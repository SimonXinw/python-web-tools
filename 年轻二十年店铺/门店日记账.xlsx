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<sst xmlns="http://schemas.openxmlformats.org/spreadsheetml/2006/main" count="481" uniqueCount="37">
  <si>
    <r>
      <rPr>
        <b/>
        <sz val="10"/>
        <rFont val="宋体"/>
        <charset val="134"/>
      </rPr>
      <t xml:space="preserve">                                                     2026年门店收支汇总表 （参考）</t>
    </r>
    <r>
      <rPr>
        <b/>
        <sz val="10"/>
        <color rgb="FFFF0000"/>
        <rFont val="宋体"/>
        <charset val="134"/>
      </rPr>
      <t xml:space="preserve"> </t>
    </r>
    <r>
      <rPr>
        <b/>
        <sz val="10"/>
        <rFont val="宋体"/>
        <charset val="134"/>
      </rPr>
      <t xml:space="preserve">          </t>
    </r>
    <r>
      <rPr>
        <b/>
        <sz val="10"/>
        <color rgb="FFFF0000"/>
        <rFont val="宋体"/>
        <charset val="134"/>
      </rPr>
      <t>注：有颜色区域禁止填写                                                       更新时间：</t>
    </r>
  </si>
  <si>
    <t>总收入</t>
  </si>
  <si>
    <t>上月库存</t>
  </si>
  <si>
    <t>本月购入（按下单日期）</t>
  </si>
  <si>
    <t>本月出库/成本</t>
  </si>
  <si>
    <t>本月库存结余（根据月末盘点金额填写）</t>
  </si>
  <si>
    <t>盈利额</t>
  </si>
  <si>
    <t>日期</t>
  </si>
  <si>
    <t>收入明细项</t>
  </si>
  <si>
    <t>食材成本支出合计50-55%</t>
  </si>
  <si>
    <t>经营费用支出合计26-30%</t>
  </si>
  <si>
    <t>合计</t>
  </si>
  <si>
    <t>美团收入</t>
  </si>
  <si>
    <t>单量</t>
  </si>
  <si>
    <t>客单</t>
  </si>
  <si>
    <t>饿了么收入</t>
  </si>
  <si>
    <t>京东收入</t>
  </si>
  <si>
    <t>堂食收入</t>
  </si>
  <si>
    <t>团餐收入</t>
  </si>
  <si>
    <t>配送支出，仅自配费</t>
  </si>
  <si>
    <t>合计收入</t>
  </si>
  <si>
    <t>料包</t>
  </si>
  <si>
    <t>包材（供应链）耗材（日常）</t>
  </si>
  <si>
    <t>肉类（含生鲜和冻货）</t>
  </si>
  <si>
    <t>生鲜（蔬菜、水果、馒头、豆花）</t>
  </si>
  <si>
    <t>干杂、调料（含鸡蛋、皮蛋）</t>
  </si>
  <si>
    <t>大米饮料</t>
  </si>
  <si>
    <t>推广支出</t>
  </si>
  <si>
    <t>售后返现差补（含处理差评车费）</t>
  </si>
  <si>
    <t>补单支出</t>
  </si>
  <si>
    <t>日杂（含福利费、宿舍水电网络费）</t>
  </si>
  <si>
    <t>宿舍房租</t>
  </si>
  <si>
    <t>员工工资</t>
  </si>
  <si>
    <t>水电气</t>
  </si>
  <si>
    <t>其他运费</t>
  </si>
  <si>
    <t>收支小计</t>
  </si>
  <si>
    <t>营业收入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</si>
</sst>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.0%"/>
    <numFmt numFmtId="178" formatCode="0.00_ "/>
    <numFmt numFmtId="179" formatCode="yyyy/m/d;@"/>
    <numFmt numFmtId="180" formatCode="0.00_);[Red]\(0.00\)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26" applyNumberFormat="0" applyAlignment="0" applyProtection="0">
      <alignment vertical="center"/>
    </xf>
    <xf numFmtId="0" fontId="18" fillId="10" borderId="27" applyNumberFormat="0" applyAlignment="0" applyProtection="0">
      <alignment vertical="center"/>
    </xf>
    <xf numFmtId="0" fontId="19" fillId="10" borderId="26" applyNumberFormat="0" applyAlignment="0" applyProtection="0">
      <alignment vertical="center"/>
    </xf>
    <xf numFmtId="0" fontId="20" fillId="11" borderId="28" applyNumberFormat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right" vertical="center" wrapText="1"/>
    </xf>
    <xf numFmtId="0" fontId="3" fillId="2" borderId="3" xfId="0" applyFont="1" applyFill="1" applyBorder="1" applyAlignment="1" applyProtection="1">
      <alignment horizontal="right" vertical="center" wrapText="1"/>
    </xf>
    <xf numFmtId="0" fontId="2" fillId="2" borderId="4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3" fillId="4" borderId="11" xfId="0" applyFont="1" applyFill="1" applyBorder="1" applyAlignment="1" applyProtection="1">
      <alignment horizontal="center" vertical="center"/>
    </xf>
    <xf numFmtId="0" fontId="3" fillId="4" borderId="12" xfId="0" applyFont="1" applyFill="1" applyBorder="1" applyAlignment="1" applyProtection="1">
      <alignment horizontal="center" vertical="center"/>
    </xf>
    <xf numFmtId="0" fontId="3" fillId="4" borderId="13" xfId="0" applyFont="1" applyFill="1" applyBorder="1" applyAlignment="1" applyProtection="1">
      <alignment horizontal="center" vertical="center"/>
    </xf>
    <xf numFmtId="0" fontId="3" fillId="4" borderId="9" xfId="0" applyFont="1" applyFill="1" applyBorder="1" applyAlignment="1" applyProtection="1">
      <alignment vertical="center"/>
    </xf>
    <xf numFmtId="0" fontId="3" fillId="4" borderId="10" xfId="0" applyFont="1" applyFill="1" applyBorder="1" applyAlignment="1" applyProtection="1">
      <alignment vertical="center"/>
    </xf>
    <xf numFmtId="0" fontId="3" fillId="5" borderId="11" xfId="0" applyFont="1" applyFill="1" applyBorder="1" applyAlignment="1" applyProtection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</xf>
    <xf numFmtId="0" fontId="3" fillId="5" borderId="13" xfId="0" applyFont="1" applyFill="1" applyBorder="1" applyAlignment="1" applyProtection="1">
      <alignment horizontal="center" vertical="center"/>
    </xf>
    <xf numFmtId="0" fontId="3" fillId="5" borderId="9" xfId="0" applyFont="1" applyFill="1" applyBorder="1" applyAlignment="1" applyProtection="1">
      <alignment vertical="center"/>
    </xf>
    <xf numFmtId="0" fontId="3" fillId="5" borderId="10" xfId="0" applyFont="1" applyFill="1" applyBorder="1" applyAlignment="1" applyProtection="1">
      <alignment vertical="center"/>
    </xf>
    <xf numFmtId="0" fontId="3" fillId="3" borderId="14" xfId="0" applyFont="1" applyFill="1" applyBorder="1" applyAlignment="1" applyProtection="1">
      <alignment horizontal="center" vertical="center" wrapText="1"/>
    </xf>
    <xf numFmtId="0" fontId="3" fillId="3" borderId="15" xfId="0" applyFont="1" applyFill="1" applyBorder="1" applyAlignment="1" applyProtection="1">
      <alignment horizontal="center" vertical="center" wrapText="1"/>
    </xf>
    <xf numFmtId="0" fontId="3" fillId="3" borderId="16" xfId="0" applyFont="1" applyFill="1" applyBorder="1" applyAlignment="1" applyProtection="1">
      <alignment horizontal="center" vertical="center" wrapText="1"/>
    </xf>
    <xf numFmtId="49" fontId="3" fillId="3" borderId="16" xfId="0" applyNumberFormat="1" applyFont="1" applyFill="1" applyBorder="1" applyAlignment="1" applyProtection="1">
      <alignment horizontal="center" vertical="center" wrapText="1"/>
    </xf>
    <xf numFmtId="49" fontId="3" fillId="3" borderId="17" xfId="0" applyNumberFormat="1" applyFont="1" applyFill="1" applyBorder="1" applyAlignment="1" applyProtection="1">
      <alignment horizontal="center" vertical="center" wrapText="1"/>
    </xf>
    <xf numFmtId="0" fontId="3" fillId="4" borderId="15" xfId="0" applyFont="1" applyFill="1" applyBorder="1" applyAlignment="1" applyProtection="1">
      <alignment horizontal="center" vertical="center" wrapText="1"/>
    </xf>
    <xf numFmtId="0" fontId="3" fillId="4" borderId="16" xfId="0" applyFont="1" applyFill="1" applyBorder="1" applyAlignment="1" applyProtection="1">
      <alignment horizontal="center" vertical="center" wrapText="1"/>
    </xf>
    <xf numFmtId="49" fontId="3" fillId="4" borderId="16" xfId="0" applyNumberFormat="1" applyFont="1" applyFill="1" applyBorder="1" applyAlignment="1" applyProtection="1">
      <alignment horizontal="center" vertical="center" wrapText="1"/>
    </xf>
    <xf numFmtId="176" fontId="3" fillId="4" borderId="16" xfId="0" applyNumberFormat="1" applyFont="1" applyFill="1" applyBorder="1" applyAlignment="1" applyProtection="1">
      <alignment horizontal="center" vertical="center" wrapText="1"/>
    </xf>
    <xf numFmtId="176" fontId="3" fillId="4" borderId="17" xfId="0" applyNumberFormat="1" applyFont="1" applyFill="1" applyBorder="1" applyAlignment="1" applyProtection="1">
      <alignment horizontal="center" vertical="center" wrapText="1"/>
    </xf>
    <xf numFmtId="176" fontId="3" fillId="5" borderId="15" xfId="0" applyNumberFormat="1" applyFont="1" applyFill="1" applyBorder="1" applyAlignment="1" applyProtection="1">
      <alignment horizontal="center" vertical="center" wrapText="1"/>
    </xf>
    <xf numFmtId="0" fontId="3" fillId="5" borderId="16" xfId="0" applyFont="1" applyFill="1" applyBorder="1" applyAlignment="1" applyProtection="1">
      <alignment horizontal="center" vertical="center" wrapText="1"/>
    </xf>
    <xf numFmtId="0" fontId="3" fillId="5" borderId="17" xfId="0" applyFont="1" applyFill="1" applyBorder="1" applyAlignment="1" applyProtection="1">
      <alignment horizontal="center" vertical="center" wrapText="1"/>
    </xf>
    <xf numFmtId="0" fontId="3" fillId="3" borderId="18" xfId="0" applyFont="1" applyFill="1" applyBorder="1" applyAlignment="1" applyProtection="1">
      <alignment horizontal="center" vertical="center" wrapText="1"/>
    </xf>
    <xf numFmtId="0" fontId="3" fillId="3" borderId="15" xfId="0" applyFont="1" applyFill="1" applyBorder="1" applyAlignment="1" applyProtection="1">
      <alignment horizontal="center" vertical="center"/>
    </xf>
    <xf numFmtId="0" fontId="3" fillId="3" borderId="16" xfId="0" applyFont="1" applyFill="1" applyBorder="1" applyAlignment="1">
      <alignment vertical="center"/>
    </xf>
    <xf numFmtId="177" fontId="3" fillId="4" borderId="15" xfId="0" applyNumberFormat="1" applyFont="1" applyFill="1" applyBorder="1" applyAlignment="1" applyProtection="1">
      <alignment horizontal="center" vertical="center" wrapText="1"/>
    </xf>
    <xf numFmtId="177" fontId="3" fillId="4" borderId="16" xfId="0" applyNumberFormat="1" applyFont="1" applyFill="1" applyBorder="1" applyAlignment="1" applyProtection="1">
      <alignment horizontal="center" vertical="center" wrapText="1"/>
    </xf>
    <xf numFmtId="177" fontId="3" fillId="4" borderId="17" xfId="0" applyNumberFormat="1" applyFont="1" applyFill="1" applyBorder="1" applyAlignment="1" applyProtection="1">
      <alignment horizontal="center" vertical="center" wrapText="1"/>
    </xf>
    <xf numFmtId="177" fontId="3" fillId="5" borderId="15" xfId="0" applyNumberFormat="1" applyFont="1" applyFill="1" applyBorder="1" applyAlignment="1" applyProtection="1">
      <alignment horizontal="center" vertical="center" wrapText="1"/>
    </xf>
    <xf numFmtId="177" fontId="3" fillId="5" borderId="16" xfId="0" applyNumberFormat="1" applyFont="1" applyFill="1" applyBorder="1" applyAlignment="1" applyProtection="1">
      <alignment horizontal="center" vertical="center" wrapText="1"/>
    </xf>
    <xf numFmtId="177" fontId="3" fillId="5" borderId="17" xfId="0" applyNumberFormat="1" applyFont="1" applyFill="1" applyBorder="1" applyAlignment="1" applyProtection="1">
      <alignment horizontal="center" vertical="center" wrapText="1"/>
    </xf>
    <xf numFmtId="177" fontId="3" fillId="3" borderId="18" xfId="0" applyNumberFormat="1" applyFont="1" applyFill="1" applyBorder="1" applyAlignment="1" applyProtection="1">
      <alignment horizontal="center" vertical="center" wrapText="1"/>
    </xf>
    <xf numFmtId="178" fontId="3" fillId="3" borderId="16" xfId="0" applyNumberFormat="1" applyFont="1" applyFill="1" applyBorder="1" applyAlignment="1" applyProtection="1">
      <alignment horizontal="center" vertical="center"/>
    </xf>
    <xf numFmtId="0" fontId="3" fillId="3" borderId="16" xfId="0" applyNumberFormat="1" applyFont="1" applyFill="1" applyBorder="1" applyAlignment="1" applyProtection="1">
      <alignment horizontal="center" vertical="center"/>
    </xf>
    <xf numFmtId="178" fontId="3" fillId="3" borderId="17" xfId="0" applyNumberFormat="1" applyFont="1" applyFill="1" applyBorder="1" applyAlignment="1" applyProtection="1">
      <alignment horizontal="center" vertical="center"/>
    </xf>
    <xf numFmtId="178" fontId="3" fillId="4" borderId="15" xfId="0" applyNumberFormat="1" applyFont="1" applyFill="1" applyBorder="1" applyAlignment="1" applyProtection="1">
      <alignment horizontal="center" vertical="center"/>
    </xf>
    <xf numFmtId="178" fontId="3" fillId="4" borderId="16" xfId="0" applyNumberFormat="1" applyFont="1" applyFill="1" applyBorder="1" applyAlignment="1" applyProtection="1">
      <alignment horizontal="center" vertical="center"/>
    </xf>
    <xf numFmtId="178" fontId="3" fillId="4" borderId="17" xfId="0" applyNumberFormat="1" applyFont="1" applyFill="1" applyBorder="1" applyAlignment="1" applyProtection="1">
      <alignment horizontal="center" vertical="center"/>
    </xf>
    <xf numFmtId="178" fontId="3" fillId="5" borderId="15" xfId="0" applyNumberFormat="1" applyFont="1" applyFill="1" applyBorder="1" applyAlignment="1" applyProtection="1">
      <alignment horizontal="center" vertical="center"/>
    </xf>
    <xf numFmtId="178" fontId="3" fillId="5" borderId="16" xfId="0" applyNumberFormat="1" applyFont="1" applyFill="1" applyBorder="1" applyAlignment="1" applyProtection="1">
      <alignment horizontal="center" vertical="center"/>
    </xf>
    <xf numFmtId="178" fontId="3" fillId="3" borderId="18" xfId="0" applyNumberFormat="1" applyFont="1" applyFill="1" applyBorder="1" applyAlignment="1" applyProtection="1">
      <alignment horizontal="center" vertical="center"/>
    </xf>
    <xf numFmtId="179" fontId="4" fillId="0" borderId="15" xfId="0" applyNumberFormat="1" applyFont="1" applyFill="1" applyBorder="1" applyAlignment="1" applyProtection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178" fontId="6" fillId="6" borderId="19" xfId="0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178" fontId="3" fillId="0" borderId="18" xfId="0" applyNumberFormat="1" applyFont="1" applyFill="1" applyBorder="1" applyAlignment="1" applyProtection="1">
      <alignment horizontal="center" vertical="center"/>
    </xf>
    <xf numFmtId="178" fontId="5" fillId="0" borderId="19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178" fontId="4" fillId="0" borderId="16" xfId="0" applyNumberFormat="1" applyFont="1" applyFill="1" applyBorder="1" applyAlignment="1" applyProtection="1">
      <alignment horizontal="center" vertical="center"/>
      <protection locked="0"/>
    </xf>
    <xf numFmtId="0" fontId="4" fillId="0" borderId="16" xfId="0" applyNumberFormat="1" applyFont="1" applyFill="1" applyBorder="1" applyAlignment="1" applyProtection="1">
      <alignment horizontal="center" vertical="center"/>
      <protection locked="0"/>
    </xf>
    <xf numFmtId="178" fontId="4" fillId="0" borderId="16" xfId="0" applyNumberFormat="1" applyFont="1" applyFill="1" applyBorder="1" applyAlignment="1" applyProtection="1">
      <alignment horizontal="center" vertical="center"/>
    </xf>
    <xf numFmtId="178" fontId="4" fillId="0" borderId="16" xfId="0" applyNumberFormat="1" applyFont="1" applyFill="1" applyBorder="1" applyAlignment="1" applyProtection="1">
      <alignment horizontal="center" vertical="center" wrapText="1"/>
    </xf>
    <xf numFmtId="178" fontId="4" fillId="0" borderId="17" xfId="0" applyNumberFormat="1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178" fontId="4" fillId="0" borderId="17" xfId="0" applyNumberFormat="1" applyFont="1" applyFill="1" applyBorder="1" applyAlignment="1" applyProtection="1">
      <alignment horizontal="center" vertical="center"/>
      <protection locked="0"/>
    </xf>
    <xf numFmtId="178" fontId="4" fillId="0" borderId="15" xfId="0" applyNumberFormat="1" applyFont="1" applyFill="1" applyBorder="1" applyAlignment="1" applyProtection="1">
      <alignment horizontal="center" vertical="center"/>
      <protection locked="0"/>
    </xf>
    <xf numFmtId="0" fontId="4" fillId="0" borderId="15" xfId="0" applyFont="1" applyFill="1" applyBorder="1" applyAlignment="1" applyProtection="1">
      <alignment horizontal="center" vertical="center"/>
      <protection locked="0"/>
    </xf>
    <xf numFmtId="0" fontId="4" fillId="0" borderId="16" xfId="0" applyFont="1" applyFill="1" applyBorder="1" applyAlignment="1" applyProtection="1">
      <alignment horizontal="center" vertical="center"/>
      <protection locked="0"/>
    </xf>
    <xf numFmtId="0" fontId="4" fillId="7" borderId="16" xfId="0" applyFont="1" applyFill="1" applyBorder="1" applyAlignment="1">
      <alignment horizontal="center" vertical="center"/>
    </xf>
    <xf numFmtId="178" fontId="4" fillId="7" borderId="16" xfId="0" applyNumberFormat="1" applyFont="1" applyFill="1" applyBorder="1" applyAlignment="1">
      <alignment horizontal="center" vertical="center"/>
    </xf>
    <xf numFmtId="180" fontId="4" fillId="0" borderId="16" xfId="0" applyNumberFormat="1" applyFont="1" applyFill="1" applyBorder="1" applyAlignment="1" applyProtection="1">
      <alignment horizontal="center" vertical="center"/>
      <protection locked="0"/>
    </xf>
    <xf numFmtId="179" fontId="8" fillId="0" borderId="0" xfId="0" applyNumberFormat="1" applyFont="1" applyFill="1" applyBorder="1" applyAlignment="1" applyProtection="1">
      <alignment horizontal="center" vertical="center" wrapText="1"/>
    </xf>
    <xf numFmtId="178" fontId="3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178" fontId="8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4"/>
  <sheetViews>
    <sheetView topLeftCell="A27" workbookViewId="0">
      <selection activeCell="A27" sqref="$A1:$XFD1048576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16384" width="9.025" style="1"/>
  </cols>
  <sheetData>
    <row r="1" s="1" customFormat="1" ht="33" customHeight="1" spans="1: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29">
      <c r="A2" s="9" t="s">
        <v>1</v>
      </c>
      <c r="B2" s="10">
        <f>N6-(N6*0.07)</f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0</v>
      </c>
      <c r="U2" s="10" t="s">
        <v>4</v>
      </c>
      <c r="V2" s="12"/>
      <c r="W2" s="15">
        <f>Q2+T2-Z2</f>
        <v>0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29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0</v>
      </c>
      <c r="T3" s="25" t="e">
        <f>SUM(O5:T5)</f>
        <v>#DIV/0!</v>
      </c>
      <c r="U3" s="26" t="s">
        <v>10</v>
      </c>
      <c r="V3" s="27"/>
      <c r="W3" s="27"/>
      <c r="X3" s="27"/>
      <c r="Y3" s="27"/>
      <c r="Z3" s="28"/>
      <c r="AA3" s="29">
        <f>SUM(U6:AB6)</f>
        <v>0</v>
      </c>
      <c r="AB3" s="30" t="e">
        <f>SUM(U5:AB5)</f>
        <v>#DIV/0!</v>
      </c>
      <c r="AC3" s="31" t="s">
        <v>11</v>
      </c>
    </row>
    <row r="4" s="4" customFormat="1" ht="26" customHeight="1" spans="1:29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</row>
    <row r="5" s="3" customFormat="1" ht="26" customHeight="1" spans="1:29">
      <c r="A5" s="45"/>
      <c r="B5" s="46" t="e">
        <f>B6/$N$6</f>
        <v>#DIV/0!</v>
      </c>
      <c r="C5" s="46"/>
      <c r="D5" s="46"/>
      <c r="E5" s="46" t="e">
        <f>E6/$N$6</f>
        <v>#DIV/0!</v>
      </c>
      <c r="F5" s="46"/>
      <c r="G5" s="46"/>
      <c r="H5" s="46" t="e">
        <f t="shared" ref="H5:M5" si="0">H6/$N$6</f>
        <v>#DIV/0!</v>
      </c>
      <c r="I5" s="46"/>
      <c r="J5" s="46"/>
      <c r="K5" s="46" t="e">
        <f t="shared" si="0"/>
        <v>#DIV/0!</v>
      </c>
      <c r="L5" s="46" t="e">
        <f t="shared" si="0"/>
        <v>#DIV/0!</v>
      </c>
      <c r="M5" s="46" t="e">
        <f t="shared" si="0"/>
        <v>#DIV/0!</v>
      </c>
      <c r="N5" s="35"/>
      <c r="O5" s="47" t="e">
        <f t="shared" ref="O5:AB5" si="1">O6/$N$6</f>
        <v>#DIV/0!</v>
      </c>
      <c r="P5" s="48" t="e">
        <f t="shared" si="1"/>
        <v>#DIV/0!</v>
      </c>
      <c r="Q5" s="48" t="e">
        <f t="shared" si="1"/>
        <v>#DIV/0!</v>
      </c>
      <c r="R5" s="48" t="e">
        <f t="shared" si="1"/>
        <v>#DIV/0!</v>
      </c>
      <c r="S5" s="48" t="e">
        <f t="shared" si="1"/>
        <v>#DIV/0!</v>
      </c>
      <c r="T5" s="49" t="e">
        <f t="shared" si="1"/>
        <v>#DIV/0!</v>
      </c>
      <c r="U5" s="50" t="e">
        <f t="shared" si="1"/>
        <v>#DIV/0!</v>
      </c>
      <c r="V5" s="51" t="e">
        <f t="shared" si="1"/>
        <v>#DIV/0!</v>
      </c>
      <c r="W5" s="51" t="e">
        <f t="shared" si="1"/>
        <v>#DIV/0!</v>
      </c>
      <c r="X5" s="51" t="e">
        <f t="shared" si="1"/>
        <v>#DIV/0!</v>
      </c>
      <c r="Y5" s="51" t="e">
        <f t="shared" si="1"/>
        <v>#DIV/0!</v>
      </c>
      <c r="Z5" s="51" t="e">
        <f t="shared" si="1"/>
        <v>#DIV/0!</v>
      </c>
      <c r="AA5" s="51" t="e">
        <f t="shared" si="1"/>
        <v>#DIV/0!</v>
      </c>
      <c r="AB5" s="52" t="e">
        <f t="shared" si="1"/>
        <v>#DIV/0!</v>
      </c>
      <c r="AC5" s="53" t="e">
        <f>SUM(O5:AB5)</f>
        <v>#DIV/0!</v>
      </c>
    </row>
    <row r="6" s="5" customFormat="1" ht="26" customHeight="1" spans="1:29">
      <c r="A6" s="32" t="s">
        <v>35</v>
      </c>
      <c r="B6" s="54">
        <f t="shared" ref="B6:F6" si="2">SUM(B7:B37)</f>
        <v>0</v>
      </c>
      <c r="C6" s="55">
        <f t="shared" si="2"/>
        <v>0</v>
      </c>
      <c r="D6" s="54" t="e">
        <f>B6/C6</f>
        <v>#DIV/0!</v>
      </c>
      <c r="E6" s="54">
        <f t="shared" si="2"/>
        <v>0</v>
      </c>
      <c r="F6" s="54">
        <f t="shared" si="2"/>
        <v>0</v>
      </c>
      <c r="G6" s="54" t="e">
        <f>E6/F6</f>
        <v>#DIV/0!</v>
      </c>
      <c r="H6" s="54">
        <f t="shared" ref="H6:M6" si="3">SUM(H7:H37)</f>
        <v>0</v>
      </c>
      <c r="I6" s="55">
        <f t="shared" si="3"/>
        <v>0</v>
      </c>
      <c r="J6" s="54" t="e">
        <f>H6/I6</f>
        <v>#DIV/0!</v>
      </c>
      <c r="K6" s="54">
        <f t="shared" si="3"/>
        <v>0</v>
      </c>
      <c r="L6" s="54">
        <f t="shared" si="3"/>
        <v>0</v>
      </c>
      <c r="M6" s="54">
        <f t="shared" si="3"/>
        <v>0</v>
      </c>
      <c r="N6" s="56">
        <f>B6+E6+H6+K6+L6-M6</f>
        <v>0</v>
      </c>
      <c r="O6" s="57">
        <f t="shared" ref="O6:AB6" si="4">SUM(O7:O37)</f>
        <v>0</v>
      </c>
      <c r="P6" s="58">
        <f t="shared" si="4"/>
        <v>0</v>
      </c>
      <c r="Q6" s="58">
        <f t="shared" si="4"/>
        <v>0</v>
      </c>
      <c r="R6" s="58">
        <f t="shared" si="4"/>
        <v>0</v>
      </c>
      <c r="S6" s="58">
        <f t="shared" si="4"/>
        <v>0</v>
      </c>
      <c r="T6" s="59">
        <f t="shared" si="4"/>
        <v>0</v>
      </c>
      <c r="U6" s="60">
        <f t="shared" si="4"/>
        <v>0</v>
      </c>
      <c r="V6" s="61">
        <f t="shared" si="4"/>
        <v>0</v>
      </c>
      <c r="W6" s="61">
        <f t="shared" si="4"/>
        <v>0</v>
      </c>
      <c r="X6" s="61">
        <f t="shared" si="4"/>
        <v>0</v>
      </c>
      <c r="Y6" s="61">
        <f t="shared" si="4"/>
        <v>0</v>
      </c>
      <c r="Z6" s="61">
        <f t="shared" si="4"/>
        <v>0</v>
      </c>
      <c r="AA6" s="61">
        <f t="shared" si="4"/>
        <v>0</v>
      </c>
      <c r="AB6" s="61">
        <f t="shared" si="4"/>
        <v>0</v>
      </c>
      <c r="AC6" s="62">
        <f>SUM(O6:AB6)</f>
        <v>0</v>
      </c>
    </row>
    <row r="7" s="5" customFormat="1" ht="26" customHeight="1" spans="1:29">
      <c r="A7" s="63">
        <v>46023</v>
      </c>
      <c r="B7" s="64"/>
      <c r="C7" s="64"/>
      <c r="D7" s="65"/>
      <c r="E7" s="64"/>
      <c r="F7" s="64"/>
      <c r="G7" s="65"/>
      <c r="H7" s="64"/>
      <c r="I7" s="64"/>
      <c r="J7" s="65"/>
      <c r="K7" s="64"/>
      <c r="L7" s="64"/>
      <c r="M7" s="66"/>
      <c r="N7" s="67"/>
      <c r="O7" s="68"/>
      <c r="P7" s="64"/>
      <c r="Q7" s="64"/>
      <c r="R7" s="64"/>
      <c r="S7" s="64"/>
      <c r="T7" s="67"/>
      <c r="U7" s="68"/>
      <c r="V7" s="64"/>
      <c r="W7" s="64"/>
      <c r="X7" s="64"/>
      <c r="Y7" s="64"/>
      <c r="Z7" s="64"/>
      <c r="AA7" s="64"/>
      <c r="AB7" s="67"/>
      <c r="AC7" s="69"/>
    </row>
    <row r="8" s="5" customFormat="1" ht="26" customHeight="1" spans="1:29">
      <c r="A8" s="63">
        <v>46024</v>
      </c>
      <c r="B8" s="64"/>
      <c r="C8" s="64"/>
      <c r="D8" s="65"/>
      <c r="E8" s="64"/>
      <c r="F8" s="64"/>
      <c r="G8" s="65"/>
      <c r="H8" s="64"/>
      <c r="I8" s="64"/>
      <c r="J8" s="65"/>
      <c r="K8" s="64"/>
      <c r="L8" s="64"/>
      <c r="M8" s="66"/>
      <c r="N8" s="67"/>
      <c r="O8" s="68"/>
      <c r="P8" s="64"/>
      <c r="Q8" s="64"/>
      <c r="R8" s="64"/>
      <c r="S8" s="64"/>
      <c r="T8" s="67"/>
      <c r="U8" s="68"/>
      <c r="V8" s="64"/>
      <c r="W8" s="64"/>
      <c r="X8" s="64"/>
      <c r="Y8" s="64"/>
      <c r="Z8" s="64"/>
      <c r="AA8" s="64"/>
      <c r="AB8" s="67"/>
      <c r="AC8" s="69"/>
    </row>
    <row r="9" s="5" customFormat="1" ht="26" customHeight="1" spans="1:29">
      <c r="A9" s="63">
        <v>46025</v>
      </c>
      <c r="B9" s="64"/>
      <c r="C9" s="64"/>
      <c r="D9" s="65"/>
      <c r="E9" s="64"/>
      <c r="F9" s="64"/>
      <c r="G9" s="70"/>
      <c r="H9" s="64"/>
      <c r="I9" s="64"/>
      <c r="J9" s="65"/>
      <c r="K9" s="64"/>
      <c r="L9" s="64"/>
      <c r="M9" s="66"/>
      <c r="N9" s="67"/>
      <c r="O9" s="68"/>
      <c r="P9" s="64"/>
      <c r="Q9" s="64"/>
      <c r="R9" s="71"/>
      <c r="S9" s="64"/>
      <c r="T9" s="64"/>
      <c r="U9" s="68"/>
      <c r="V9" s="64"/>
      <c r="W9" s="64"/>
      <c r="X9" s="72"/>
      <c r="Y9" s="64"/>
      <c r="Z9" s="64"/>
      <c r="AA9" s="64"/>
      <c r="AB9" s="67"/>
      <c r="AC9" s="69"/>
    </row>
    <row r="10" s="5" customFormat="1" ht="26" customHeight="1" spans="1:29">
      <c r="A10" s="63">
        <v>46026</v>
      </c>
      <c r="B10" s="64"/>
      <c r="C10" s="64"/>
      <c r="D10" s="70"/>
      <c r="E10" s="64"/>
      <c r="F10" s="64"/>
      <c r="G10" s="70"/>
      <c r="H10" s="64"/>
      <c r="I10" s="64"/>
      <c r="J10" s="70"/>
      <c r="K10" s="64"/>
      <c r="L10" s="64"/>
      <c r="M10" s="66"/>
      <c r="N10" s="67"/>
      <c r="O10" s="68"/>
      <c r="P10" s="64"/>
      <c r="Q10" s="64"/>
      <c r="R10" s="64"/>
      <c r="S10" s="64"/>
      <c r="T10" s="64"/>
      <c r="U10" s="68"/>
      <c r="V10" s="64"/>
      <c r="W10" s="64"/>
      <c r="X10" s="64"/>
      <c r="Y10" s="64"/>
      <c r="Z10" s="64"/>
      <c r="AA10" s="64"/>
      <c r="AB10" s="67"/>
      <c r="AC10" s="69"/>
    </row>
    <row r="11" s="5" customFormat="1" ht="26" customHeight="1" spans="1:29">
      <c r="A11" s="63">
        <v>46027</v>
      </c>
      <c r="B11" s="73"/>
      <c r="C11" s="74"/>
      <c r="D11" s="75"/>
      <c r="E11" s="73"/>
      <c r="F11" s="74"/>
      <c r="G11" s="75"/>
      <c r="H11" s="75"/>
      <c r="I11" s="75"/>
      <c r="J11" s="75"/>
      <c r="K11" s="75"/>
      <c r="L11" s="75"/>
      <c r="M11" s="76"/>
      <c r="N11" s="77"/>
      <c r="O11" s="78"/>
      <c r="P11" s="79"/>
      <c r="Q11" s="79"/>
      <c r="R11" s="73"/>
      <c r="S11" s="73"/>
      <c r="T11" s="80"/>
      <c r="U11" s="81"/>
      <c r="V11" s="73"/>
      <c r="W11" s="73"/>
      <c r="X11" s="73"/>
      <c r="Y11" s="64"/>
      <c r="Z11" s="64"/>
      <c r="AA11" s="64"/>
      <c r="AB11" s="80"/>
      <c r="AC11" s="69"/>
    </row>
    <row r="12" s="5" customFormat="1" ht="26" customHeight="1" spans="1:29">
      <c r="A12" s="63">
        <v>46028</v>
      </c>
      <c r="B12" s="73"/>
      <c r="C12" s="74"/>
      <c r="D12" s="75"/>
      <c r="E12" s="73"/>
      <c r="F12" s="74"/>
      <c r="G12" s="75"/>
      <c r="H12" s="75"/>
      <c r="I12" s="75"/>
      <c r="J12" s="75"/>
      <c r="K12" s="75"/>
      <c r="L12" s="75"/>
      <c r="M12" s="76"/>
      <c r="N12" s="77"/>
      <c r="O12" s="81"/>
      <c r="P12" s="73"/>
      <c r="Q12" s="64"/>
      <c r="R12" s="73"/>
      <c r="S12" s="73"/>
      <c r="T12" s="80"/>
      <c r="U12" s="81"/>
      <c r="V12" s="73"/>
      <c r="W12" s="73"/>
      <c r="X12" s="73"/>
      <c r="Y12" s="64"/>
      <c r="Z12" s="64"/>
      <c r="AA12" s="64"/>
      <c r="AB12" s="80"/>
      <c r="AC12" s="69"/>
    </row>
    <row r="13" s="5" customFormat="1" ht="26" customHeight="1" spans="1:29">
      <c r="A13" s="63">
        <v>46029</v>
      </c>
      <c r="B13" s="73"/>
      <c r="C13" s="74"/>
      <c r="D13" s="75"/>
      <c r="E13" s="73"/>
      <c r="F13" s="74"/>
      <c r="G13" s="75"/>
      <c r="H13" s="75"/>
      <c r="I13" s="75"/>
      <c r="J13" s="75"/>
      <c r="K13" s="75"/>
      <c r="L13" s="75"/>
      <c r="M13" s="76"/>
      <c r="N13" s="77"/>
      <c r="O13" s="81"/>
      <c r="P13" s="73"/>
      <c r="Q13" s="73"/>
      <c r="R13" s="73"/>
      <c r="S13" s="73"/>
      <c r="T13" s="80"/>
      <c r="U13" s="81"/>
      <c r="V13" s="73"/>
      <c r="W13" s="73"/>
      <c r="X13" s="73"/>
      <c r="Y13" s="64"/>
      <c r="Z13" s="64"/>
      <c r="AA13" s="64"/>
      <c r="AB13" s="80"/>
      <c r="AC13" s="69"/>
    </row>
    <row r="14" s="5" customFormat="1" ht="26" customHeight="1" spans="1:29">
      <c r="A14" s="63">
        <v>46030</v>
      </c>
      <c r="B14" s="73"/>
      <c r="C14" s="74"/>
      <c r="D14" s="75"/>
      <c r="E14" s="73"/>
      <c r="F14" s="74"/>
      <c r="G14" s="75"/>
      <c r="H14" s="75"/>
      <c r="I14" s="75"/>
      <c r="J14" s="75"/>
      <c r="K14" s="75"/>
      <c r="L14" s="75"/>
      <c r="M14" s="76"/>
      <c r="N14" s="77"/>
      <c r="O14" s="81"/>
      <c r="P14" s="73"/>
      <c r="Q14" s="73"/>
      <c r="R14" s="73"/>
      <c r="S14" s="73"/>
      <c r="T14" s="80"/>
      <c r="U14" s="81"/>
      <c r="V14" s="73"/>
      <c r="W14" s="73"/>
      <c r="X14" s="73"/>
      <c r="Y14" s="64"/>
      <c r="Z14" s="64"/>
      <c r="AA14" s="64"/>
      <c r="AB14" s="80"/>
      <c r="AC14" s="69"/>
    </row>
    <row r="15" s="5" customFormat="1" ht="26" customHeight="1" spans="1:29">
      <c r="A15" s="63">
        <v>46031</v>
      </c>
      <c r="B15" s="73"/>
      <c r="C15" s="74"/>
      <c r="D15" s="75"/>
      <c r="E15" s="73"/>
      <c r="F15" s="74"/>
      <c r="G15" s="75"/>
      <c r="H15" s="75"/>
      <c r="I15" s="75"/>
      <c r="J15" s="75"/>
      <c r="K15" s="75"/>
      <c r="L15" s="75"/>
      <c r="M15" s="76"/>
      <c r="N15" s="77"/>
      <c r="O15" s="81"/>
      <c r="P15" s="73"/>
      <c r="Q15" s="73"/>
      <c r="R15" s="73"/>
      <c r="S15" s="73"/>
      <c r="T15" s="80"/>
      <c r="U15" s="81"/>
      <c r="V15" s="73"/>
      <c r="W15" s="73"/>
      <c r="X15" s="73"/>
      <c r="Y15" s="64"/>
      <c r="Z15" s="64"/>
      <c r="AA15" s="64"/>
      <c r="AB15" s="80"/>
      <c r="AC15" s="69"/>
    </row>
    <row r="16" s="5" customFormat="1" ht="26" customHeight="1" spans="1:29">
      <c r="A16" s="63">
        <v>46032</v>
      </c>
      <c r="B16" s="73"/>
      <c r="C16" s="74"/>
      <c r="D16" s="75"/>
      <c r="E16" s="73"/>
      <c r="F16" s="74"/>
      <c r="G16" s="75"/>
      <c r="H16" s="75"/>
      <c r="I16" s="75"/>
      <c r="J16" s="75"/>
      <c r="K16" s="75"/>
      <c r="L16" s="75"/>
      <c r="M16" s="76"/>
      <c r="N16" s="77"/>
      <c r="O16" s="81"/>
      <c r="P16" s="73"/>
      <c r="Q16" s="73"/>
      <c r="R16" s="73"/>
      <c r="S16" s="73"/>
      <c r="T16" s="80"/>
      <c r="U16" s="81"/>
      <c r="V16" s="73"/>
      <c r="W16" s="73"/>
      <c r="X16" s="73"/>
      <c r="Y16" s="64"/>
      <c r="Z16" s="64"/>
      <c r="AA16" s="64"/>
      <c r="AB16" s="80"/>
      <c r="AC16" s="69"/>
    </row>
    <row r="17" s="5" customFormat="1" ht="26" customHeight="1" spans="1:29">
      <c r="A17" s="63">
        <v>46033</v>
      </c>
      <c r="B17" s="73"/>
      <c r="C17" s="74"/>
      <c r="D17" s="75"/>
      <c r="E17" s="73"/>
      <c r="F17" s="74"/>
      <c r="G17" s="75"/>
      <c r="H17" s="75"/>
      <c r="I17" s="75"/>
      <c r="J17" s="75"/>
      <c r="K17" s="75"/>
      <c r="L17" s="75"/>
      <c r="M17" s="76"/>
      <c r="N17" s="77"/>
      <c r="O17" s="81"/>
      <c r="P17" s="73"/>
      <c r="Q17" s="73"/>
      <c r="R17" s="73"/>
      <c r="S17" s="73"/>
      <c r="T17" s="80"/>
      <c r="U17" s="81"/>
      <c r="V17" s="73"/>
      <c r="W17" s="73"/>
      <c r="X17" s="73"/>
      <c r="Y17" s="64"/>
      <c r="Z17" s="64"/>
      <c r="AA17" s="64"/>
      <c r="AB17" s="80"/>
      <c r="AC17" s="69"/>
    </row>
    <row r="18" s="5" customFormat="1" ht="26" customHeight="1" spans="1:29">
      <c r="A18" s="63">
        <v>46034</v>
      </c>
      <c r="B18" s="73"/>
      <c r="C18" s="74"/>
      <c r="D18" s="75"/>
      <c r="E18" s="73"/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/>
      <c r="V18" s="73"/>
      <c r="W18" s="73"/>
      <c r="X18" s="73"/>
      <c r="Y18" s="64"/>
      <c r="Z18" s="64"/>
      <c r="AA18" s="64"/>
      <c r="AB18" s="80"/>
      <c r="AC18" s="69"/>
    </row>
    <row r="19" s="5" customFormat="1" ht="26" customHeight="1" spans="1:29">
      <c r="A19" s="63">
        <v>46035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46036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46037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46038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46039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46040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46041</v>
      </c>
      <c r="B25" s="73"/>
      <c r="C25" s="74"/>
      <c r="D25" s="75"/>
      <c r="E25" s="73"/>
      <c r="F25" s="74"/>
      <c r="G25" s="75"/>
      <c r="H25" s="75"/>
      <c r="I25" s="75"/>
      <c r="J25" s="75"/>
      <c r="K25" s="75"/>
      <c r="L25" s="75"/>
      <c r="M25" s="76"/>
      <c r="N25" s="77"/>
      <c r="O25" s="81"/>
      <c r="P25" s="73"/>
      <c r="Q25" s="73"/>
      <c r="R25" s="84"/>
      <c r="S25" s="85"/>
      <c r="T25" s="80"/>
      <c r="U25" s="81"/>
      <c r="V25" s="73"/>
      <c r="W25" s="73"/>
      <c r="X25" s="73"/>
      <c r="Y25" s="64"/>
      <c r="Z25" s="64"/>
      <c r="AA25" s="64"/>
      <c r="AB25" s="80"/>
      <c r="AC25" s="69"/>
    </row>
    <row r="26" s="5" customFormat="1" ht="26" customHeight="1" spans="1:29">
      <c r="A26" s="63">
        <v>46042</v>
      </c>
      <c r="B26" s="73"/>
      <c r="C26" s="74"/>
      <c r="D26" s="75"/>
      <c r="E26" s="73"/>
      <c r="F26" s="74"/>
      <c r="G26" s="75"/>
      <c r="H26" s="75"/>
      <c r="I26" s="75"/>
      <c r="J26" s="75"/>
      <c r="K26" s="79"/>
      <c r="L26" s="75"/>
      <c r="M26" s="76"/>
      <c r="N26" s="77"/>
      <c r="O26" s="81"/>
      <c r="P26" s="73"/>
      <c r="Q26" s="73"/>
      <c r="R26" s="73"/>
      <c r="S26" s="73"/>
      <c r="T26" s="80"/>
      <c r="U26" s="81"/>
      <c r="V26" s="73"/>
      <c r="W26" s="73"/>
      <c r="X26" s="73"/>
      <c r="Y26" s="64"/>
      <c r="Z26" s="64"/>
      <c r="AA26" s="64"/>
      <c r="AB26" s="80"/>
      <c r="AC26" s="69"/>
    </row>
    <row r="27" s="5" customFormat="1" ht="26" customHeight="1" spans="1:29">
      <c r="A27" s="63">
        <v>46043</v>
      </c>
      <c r="B27" s="73"/>
      <c r="C27" s="74"/>
      <c r="D27" s="75"/>
      <c r="E27" s="73"/>
      <c r="F27" s="74"/>
      <c r="G27" s="75"/>
      <c r="H27" s="75"/>
      <c r="I27" s="75"/>
      <c r="J27" s="75"/>
      <c r="K27" s="75"/>
      <c r="L27" s="75"/>
      <c r="M27" s="76"/>
      <c r="N27" s="77"/>
      <c r="O27" s="81"/>
      <c r="P27" s="73"/>
      <c r="Q27" s="73"/>
      <c r="R27" s="73"/>
      <c r="S27" s="73"/>
      <c r="T27" s="80"/>
      <c r="U27" s="81"/>
      <c r="V27" s="73"/>
      <c r="W27" s="73"/>
      <c r="X27" s="73"/>
      <c r="Y27" s="64"/>
      <c r="Z27" s="64"/>
      <c r="AA27" s="64"/>
      <c r="AB27" s="80"/>
      <c r="AC27" s="69"/>
    </row>
    <row r="28" s="5" customFormat="1" ht="26" customHeight="1" spans="1:29">
      <c r="A28" s="63">
        <v>46044</v>
      </c>
      <c r="B28" s="73"/>
      <c r="C28" s="74"/>
      <c r="D28" s="75"/>
      <c r="E28" s="73"/>
      <c r="F28" s="74"/>
      <c r="G28" s="75"/>
      <c r="H28" s="75"/>
      <c r="I28" s="75"/>
      <c r="J28" s="75"/>
      <c r="K28" s="75"/>
      <c r="L28" s="75"/>
      <c r="M28" s="76"/>
      <c r="N28" s="77"/>
      <c r="O28" s="81"/>
      <c r="P28" s="73"/>
      <c r="Q28" s="73"/>
      <c r="R28" s="73"/>
      <c r="S28" s="73"/>
      <c r="T28" s="80"/>
      <c r="U28" s="81"/>
      <c r="V28" s="73"/>
      <c r="W28" s="73"/>
      <c r="X28" s="73"/>
      <c r="Y28" s="64"/>
      <c r="Z28" s="64"/>
      <c r="AA28" s="64"/>
      <c r="AB28" s="80"/>
      <c r="AC28" s="69"/>
    </row>
    <row r="29" s="5" customFormat="1" ht="26" customHeight="1" spans="1:29">
      <c r="A29" s="63">
        <v>46045</v>
      </c>
      <c r="B29" s="73"/>
      <c r="C29" s="74"/>
      <c r="D29" s="75"/>
      <c r="E29" s="73"/>
      <c r="F29" s="74"/>
      <c r="G29" s="75"/>
      <c r="H29" s="75"/>
      <c r="I29" s="75"/>
      <c r="J29" s="75"/>
      <c r="K29" s="75"/>
      <c r="L29" s="75"/>
      <c r="M29" s="76"/>
      <c r="N29" s="77"/>
      <c r="O29" s="81"/>
      <c r="P29" s="73"/>
      <c r="Q29" s="73"/>
      <c r="R29" s="73"/>
      <c r="S29" s="73"/>
      <c r="T29" s="80"/>
      <c r="U29" s="81"/>
      <c r="V29" s="73"/>
      <c r="W29" s="73"/>
      <c r="X29" s="73"/>
      <c r="Y29" s="64"/>
      <c r="Z29" s="64"/>
      <c r="AA29" s="64"/>
      <c r="AB29" s="80"/>
      <c r="AC29" s="69"/>
    </row>
    <row r="30" s="5" customFormat="1" ht="26" customHeight="1" spans="1:29">
      <c r="A30" s="63">
        <v>46046</v>
      </c>
      <c r="B30" s="73"/>
      <c r="C30" s="74"/>
      <c r="D30" s="75"/>
      <c r="E30" s="73"/>
      <c r="F30" s="74"/>
      <c r="G30" s="75"/>
      <c r="H30" s="75"/>
      <c r="I30" s="75"/>
      <c r="J30" s="75"/>
      <c r="K30" s="75"/>
      <c r="L30" s="75"/>
      <c r="M30" s="76"/>
      <c r="N30" s="77"/>
      <c r="O30" s="81"/>
      <c r="P30" s="73"/>
      <c r="Q30" s="73"/>
      <c r="R30" s="73"/>
      <c r="S30" s="73"/>
      <c r="T30" s="80"/>
      <c r="U30" s="81"/>
      <c r="V30" s="73"/>
      <c r="W30" s="73"/>
      <c r="X30" s="73"/>
      <c r="Y30" s="64"/>
      <c r="Z30" s="64"/>
      <c r="AA30" s="64"/>
      <c r="AB30" s="80"/>
      <c r="AC30" s="69"/>
    </row>
    <row r="31" s="5" customFormat="1" ht="26" customHeight="1" spans="1:29">
      <c r="A31" s="63">
        <v>46047</v>
      </c>
      <c r="B31" s="73"/>
      <c r="C31" s="74"/>
      <c r="D31" s="75"/>
      <c r="E31" s="73"/>
      <c r="F31" s="74"/>
      <c r="G31" s="75"/>
      <c r="H31" s="75"/>
      <c r="I31" s="75"/>
      <c r="J31" s="75"/>
      <c r="K31" s="75"/>
      <c r="L31" s="75"/>
      <c r="M31" s="76"/>
      <c r="N31" s="77"/>
      <c r="O31" s="81"/>
      <c r="P31" s="73"/>
      <c r="Q31" s="73"/>
      <c r="R31" s="73"/>
      <c r="S31" s="73"/>
      <c r="T31" s="80"/>
      <c r="U31" s="81"/>
      <c r="V31" s="73"/>
      <c r="W31" s="73"/>
      <c r="X31" s="73"/>
      <c r="Y31" s="64"/>
      <c r="Z31" s="64"/>
      <c r="AA31" s="64"/>
      <c r="AB31" s="80"/>
      <c r="AC31" s="69"/>
    </row>
    <row r="32" s="5" customFormat="1" ht="26" customHeight="1" spans="1:29">
      <c r="A32" s="63">
        <v>46048</v>
      </c>
      <c r="B32" s="73"/>
      <c r="C32" s="74"/>
      <c r="D32" s="75"/>
      <c r="E32" s="73"/>
      <c r="F32" s="74"/>
      <c r="G32" s="75"/>
      <c r="H32" s="75"/>
      <c r="I32" s="75"/>
      <c r="J32" s="75"/>
      <c r="K32" s="75"/>
      <c r="L32" s="75"/>
      <c r="M32" s="76"/>
      <c r="N32" s="77"/>
      <c r="O32" s="81"/>
      <c r="P32" s="73"/>
      <c r="Q32" s="73"/>
      <c r="R32" s="73"/>
      <c r="S32" s="73"/>
      <c r="T32" s="80"/>
      <c r="U32" s="81"/>
      <c r="V32" s="73"/>
      <c r="W32" s="73"/>
      <c r="X32" s="73"/>
      <c r="Y32" s="64"/>
      <c r="Z32" s="64"/>
      <c r="AA32" s="64"/>
      <c r="AB32" s="80"/>
      <c r="AC32" s="69"/>
    </row>
    <row r="33" s="5" customFormat="1" ht="26" customHeight="1" spans="1:29">
      <c r="A33" s="63">
        <v>46049</v>
      </c>
      <c r="B33" s="73"/>
      <c r="C33" s="74"/>
      <c r="D33" s="75"/>
      <c r="E33" s="73"/>
      <c r="F33" s="74"/>
      <c r="G33" s="75"/>
      <c r="H33" s="75"/>
      <c r="I33" s="75"/>
      <c r="J33" s="75"/>
      <c r="K33" s="75"/>
      <c r="L33" s="75"/>
      <c r="M33" s="76"/>
      <c r="N33" s="77"/>
      <c r="O33" s="81"/>
      <c r="P33" s="73"/>
      <c r="Q33" s="73"/>
      <c r="R33" s="73"/>
      <c r="S33" s="73"/>
      <c r="T33" s="80"/>
      <c r="U33" s="81"/>
      <c r="V33" s="73"/>
      <c r="W33" s="73"/>
      <c r="X33" s="73"/>
      <c r="Y33" s="64"/>
      <c r="Z33" s="64"/>
      <c r="AA33" s="64"/>
      <c r="AB33" s="80"/>
      <c r="AC33" s="69"/>
    </row>
    <row r="34" s="5" customFormat="1" ht="26" customHeight="1" spans="1:29">
      <c r="A34" s="63">
        <v>46050</v>
      </c>
      <c r="B34" s="73"/>
      <c r="C34" s="74"/>
      <c r="D34" s="75"/>
      <c r="E34" s="73"/>
      <c r="F34" s="74"/>
      <c r="G34" s="75"/>
      <c r="H34" s="75"/>
      <c r="I34" s="75"/>
      <c r="J34" s="75"/>
      <c r="K34" s="73"/>
      <c r="L34" s="75"/>
      <c r="M34" s="76"/>
      <c r="N34" s="77"/>
      <c r="O34" s="81"/>
      <c r="P34" s="73"/>
      <c r="Q34" s="73"/>
      <c r="R34" s="73"/>
      <c r="S34" s="73"/>
      <c r="T34" s="80"/>
      <c r="U34" s="81"/>
      <c r="V34" s="73"/>
      <c r="W34" s="73"/>
      <c r="X34" s="73"/>
      <c r="Y34" s="64"/>
      <c r="Z34" s="64"/>
      <c r="AA34" s="64"/>
      <c r="AB34" s="80"/>
      <c r="AC34" s="69"/>
    </row>
    <row r="35" s="5" customFormat="1" ht="26" customHeight="1" spans="1:29">
      <c r="A35" s="63">
        <v>46051</v>
      </c>
      <c r="B35" s="73"/>
      <c r="C35" s="74"/>
      <c r="D35" s="75"/>
      <c r="E35" s="86"/>
      <c r="F35" s="74"/>
      <c r="G35" s="75"/>
      <c r="H35" s="75"/>
      <c r="I35" s="75"/>
      <c r="J35" s="75"/>
      <c r="K35" s="86"/>
      <c r="L35" s="75"/>
      <c r="M35" s="76"/>
      <c r="N35" s="77"/>
      <c r="O35" s="81"/>
      <c r="P35" s="73"/>
      <c r="Q35" s="73"/>
      <c r="R35" s="73"/>
      <c r="S35" s="73"/>
      <c r="T35" s="80"/>
      <c r="U35" s="81"/>
      <c r="V35" s="73"/>
      <c r="W35" s="73"/>
      <c r="X35" s="73"/>
      <c r="Y35" s="64"/>
      <c r="Z35" s="64"/>
      <c r="AA35" s="64"/>
      <c r="AB35" s="80"/>
      <c r="AC35" s="69"/>
    </row>
    <row r="36" s="5" customFormat="1" ht="26" customHeight="1" spans="1:29">
      <c r="A36" s="63">
        <v>46052</v>
      </c>
      <c r="B36" s="73"/>
      <c r="C36" s="74"/>
      <c r="D36" s="75"/>
      <c r="E36" s="73"/>
      <c r="F36" s="74"/>
      <c r="G36" s="75"/>
      <c r="H36" s="75"/>
      <c r="I36" s="75"/>
      <c r="J36" s="75"/>
      <c r="K36" s="73"/>
      <c r="L36" s="75"/>
      <c r="M36" s="76"/>
      <c r="N36" s="77"/>
      <c r="O36" s="81"/>
      <c r="P36" s="73"/>
      <c r="Q36" s="73"/>
      <c r="R36" s="73"/>
      <c r="S36" s="73"/>
      <c r="T36" s="80"/>
      <c r="U36" s="81"/>
      <c r="V36" s="73"/>
      <c r="W36" s="73"/>
      <c r="X36" s="73"/>
      <c r="Y36" s="64"/>
      <c r="Z36" s="64"/>
      <c r="AA36" s="64"/>
      <c r="AB36" s="80"/>
      <c r="AC36" s="69"/>
    </row>
    <row r="37" s="5" customFormat="1" ht="26" customHeight="1" spans="1:29">
      <c r="A37" s="63">
        <v>46053</v>
      </c>
      <c r="B37" s="73"/>
      <c r="C37" s="74"/>
      <c r="D37" s="75"/>
      <c r="E37" s="73"/>
      <c r="F37" s="74"/>
      <c r="G37" s="75"/>
      <c r="H37" s="75"/>
      <c r="I37" s="75"/>
      <c r="J37" s="75"/>
      <c r="K37" s="73"/>
      <c r="L37" s="75"/>
      <c r="M37" s="76"/>
      <c r="N37" s="77"/>
      <c r="O37" s="81"/>
      <c r="P37" s="73"/>
      <c r="Q37" s="73"/>
      <c r="R37" s="73"/>
      <c r="S37" s="73"/>
      <c r="T37" s="80"/>
      <c r="U37" s="81"/>
      <c r="V37" s="73"/>
      <c r="W37" s="73"/>
      <c r="X37" s="73"/>
      <c r="Y37" s="64"/>
      <c r="Z37" s="64"/>
      <c r="AA37" s="64"/>
      <c r="AB37" s="80"/>
      <c r="AC37" s="69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87"/>
      <c r="B44" s="88"/>
      <c r="C44" s="89"/>
      <c r="D44" s="90"/>
      <c r="E44" s="88"/>
      <c r="F44" s="89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87"/>
      <c r="B45" s="88"/>
      <c r="C45" s="89"/>
      <c r="D45" s="90"/>
      <c r="E45" s="88"/>
      <c r="F45" s="89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87"/>
      <c r="B46" s="88"/>
      <c r="C46" s="89"/>
      <c r="D46" s="90"/>
      <c r="E46" s="88"/>
      <c r="F46" s="89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</row>
    <row r="49" s="1" customFormat="1" spans="1:2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  <c r="AC49" s="1">
        <v>119</v>
      </c>
    </row>
    <row r="50" s="1" customFormat="1" spans="1:2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2"/>
      <c r="N50" s="91"/>
      <c r="AC50" s="1">
        <v>87</v>
      </c>
    </row>
    <row r="51" s="1" customFormat="1" spans="1:2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2"/>
      <c r="N51" s="91"/>
      <c r="AC51" s="1">
        <v>69</v>
      </c>
    </row>
    <row r="52" s="1" customFormat="1" spans="1:29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2"/>
      <c r="N52" s="91"/>
      <c r="AC52" s="1">
        <v>104</v>
      </c>
    </row>
    <row r="53" s="1" customFormat="1" spans="1:29">
      <c r="M53" s="6"/>
      <c r="AC53" s="1">
        <v>106</v>
      </c>
    </row>
    <row r="54" s="1" customFormat="1" spans="1:29">
      <c r="M54" s="6"/>
      <c r="AC54" s="1">
        <v>105</v>
      </c>
    </row>
  </sheetData>
  <mergeCells count="13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1"/>
  <sheetViews>
    <sheetView tabSelected="1" workbookViewId="0">
      <pane xSplit="1" topLeftCell="Q1" activePane="topRight" state="frozen"/>
      <selection/>
      <selection pane="topRight" activeCell="AB12" sqref="AB12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30" width="10.5" style="1" customWidth="1"/>
    <col min="31" max="16384" width="9.025" style="1"/>
  </cols>
  <sheetData>
    <row r="1" s="1" customFormat="1" ht="33" customHeight="1" spans="1:3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30">
      <c r="A2" s="9" t="s">
        <v>1</v>
      </c>
      <c r="B2" s="10">
        <f>N6-(N6*0.07)</f>
        <v>114557.889645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63303.07</v>
      </c>
      <c r="U2" s="10" t="s">
        <v>4</v>
      </c>
      <c r="V2" s="12"/>
      <c r="W2" s="15">
        <f>Q2+T2-Z2</f>
        <v>63303.07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30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63303.07</v>
      </c>
      <c r="T3" s="25">
        <f>SUM(O5:T5)</f>
        <v>0.513904850049492</v>
      </c>
      <c r="U3" s="26" t="s">
        <v>10</v>
      </c>
      <c r="V3" s="27"/>
      <c r="W3" s="27"/>
      <c r="X3" s="27"/>
      <c r="Y3" s="27"/>
      <c r="Z3" s="28"/>
      <c r="AA3" s="29">
        <f>SUM(U6:AB6)</f>
        <v>55815.75</v>
      </c>
      <c r="AB3" s="30">
        <f>SUM(U5:AB5)</f>
        <v>0.453121541090344</v>
      </c>
      <c r="AC3" s="31" t="s">
        <v>11</v>
      </c>
      <c r="AD3" s="93" t="s">
        <v>36</v>
      </c>
    </row>
    <row r="4" s="4" customFormat="1" ht="26" customHeight="1" spans="1:30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  <c r="AD4" s="93"/>
    </row>
    <row r="5" s="3" customFormat="1" ht="26" customHeight="1" spans="1:30">
      <c r="A5" s="45"/>
      <c r="B5" s="46">
        <f>B6/$N$6</f>
        <v>0.844956990827605</v>
      </c>
      <c r="C5" s="46"/>
      <c r="D5" s="46"/>
      <c r="E5" s="46">
        <f>E6/$N$6</f>
        <v>0.342166742565433</v>
      </c>
      <c r="F5" s="46"/>
      <c r="G5" s="46"/>
      <c r="H5" s="46">
        <f t="shared" ref="H5:M5" si="0">H6/$N$6</f>
        <v>0</v>
      </c>
      <c r="I5" s="46"/>
      <c r="J5" s="46"/>
      <c r="K5" s="46">
        <f t="shared" si="0"/>
        <v>0</v>
      </c>
      <c r="L5" s="46">
        <f t="shared" si="0"/>
        <v>0</v>
      </c>
      <c r="M5" s="46">
        <f t="shared" si="0"/>
        <v>0.187123733393038</v>
      </c>
      <c r="N5" s="35"/>
      <c r="O5" s="47">
        <f t="shared" ref="O5:AB5" si="1">O6/$N$6</f>
        <v>0</v>
      </c>
      <c r="P5" s="48">
        <f t="shared" si="1"/>
        <v>0.0744569800162366</v>
      </c>
      <c r="Q5" s="48">
        <f t="shared" si="1"/>
        <v>0.439447870033256</v>
      </c>
      <c r="R5" s="48">
        <f t="shared" si="1"/>
        <v>0</v>
      </c>
      <c r="S5" s="48">
        <f t="shared" si="1"/>
        <v>0</v>
      </c>
      <c r="T5" s="49">
        <f t="shared" si="1"/>
        <v>0</v>
      </c>
      <c r="U5" s="50">
        <f t="shared" si="1"/>
        <v>0.0603075032318522</v>
      </c>
      <c r="V5" s="51">
        <f t="shared" si="1"/>
        <v>0.00788306421145229</v>
      </c>
      <c r="W5" s="51">
        <f t="shared" si="1"/>
        <v>0</v>
      </c>
      <c r="X5" s="51">
        <f t="shared" si="1"/>
        <v>0</v>
      </c>
      <c r="Y5" s="51">
        <f t="shared" si="1"/>
        <v>0.0483842711940349</v>
      </c>
      <c r="Z5" s="51">
        <f t="shared" si="1"/>
        <v>0.263483205683489</v>
      </c>
      <c r="AA5" s="51">
        <f t="shared" si="1"/>
        <v>0.0730634967695157</v>
      </c>
      <c r="AB5" s="52">
        <f t="shared" si="1"/>
        <v>0</v>
      </c>
      <c r="AC5" s="53">
        <f>SUM(O5:AB5)</f>
        <v>0.967026391139836</v>
      </c>
    </row>
    <row r="6" s="5" customFormat="1" ht="26" customHeight="1" spans="1:30">
      <c r="A6" s="32" t="s">
        <v>35</v>
      </c>
      <c r="B6" s="54">
        <f>SUM(B7:B34)</f>
        <v>104082.247</v>
      </c>
      <c r="C6" s="55">
        <f>SUM(C7:C34)</f>
        <v>818</v>
      </c>
      <c r="D6" s="54">
        <f>B6/C6</f>
        <v>127.239910757946</v>
      </c>
      <c r="E6" s="54">
        <f>SUM(E7:E34)</f>
        <v>42148.2795</v>
      </c>
      <c r="F6" s="54">
        <f>SUM(F7:F34)</f>
        <v>626</v>
      </c>
      <c r="G6" s="54">
        <f>E6/F6</f>
        <v>67.3295199680511</v>
      </c>
      <c r="H6" s="54">
        <f>SUM(H7:H34)</f>
        <v>0</v>
      </c>
      <c r="I6" s="55">
        <f>SUM(I7:I34)</f>
        <v>0</v>
      </c>
      <c r="J6" s="54" t="e">
        <f>H6/I6</f>
        <v>#DIV/0!</v>
      </c>
      <c r="K6" s="54">
        <f>SUM(K7:K34)</f>
        <v>0</v>
      </c>
      <c r="L6" s="54">
        <f>SUM(L7:L34)</f>
        <v>0</v>
      </c>
      <c r="M6" s="54">
        <f>SUM(M7:M34)</f>
        <v>23050</v>
      </c>
      <c r="N6" s="56">
        <f>B6+E6+H6+K6+L6-M6</f>
        <v>123180.5265</v>
      </c>
      <c r="O6" s="57">
        <f t="shared" ref="O6:AB6" si="2">SUM(O7:O34)</f>
        <v>0</v>
      </c>
      <c r="P6" s="58">
        <f t="shared" si="2"/>
        <v>9171.65</v>
      </c>
      <c r="Q6" s="58">
        <f t="shared" si="2"/>
        <v>54131.42</v>
      </c>
      <c r="R6" s="58">
        <f t="shared" si="2"/>
        <v>0</v>
      </c>
      <c r="S6" s="58">
        <f t="shared" si="2"/>
        <v>0</v>
      </c>
      <c r="T6" s="59">
        <f t="shared" si="2"/>
        <v>0</v>
      </c>
      <c r="U6" s="60">
        <f t="shared" si="2"/>
        <v>7428.71</v>
      </c>
      <c r="V6" s="61">
        <f t="shared" si="2"/>
        <v>971.04</v>
      </c>
      <c r="W6" s="61">
        <f t="shared" si="2"/>
        <v>0</v>
      </c>
      <c r="X6" s="61">
        <f t="shared" si="2"/>
        <v>0</v>
      </c>
      <c r="Y6" s="61">
        <f t="shared" si="2"/>
        <v>5960</v>
      </c>
      <c r="Z6" s="61">
        <f t="shared" si="2"/>
        <v>32456</v>
      </c>
      <c r="AA6" s="61">
        <f t="shared" si="2"/>
        <v>9000</v>
      </c>
      <c r="AB6" s="61">
        <f t="shared" si="2"/>
        <v>0</v>
      </c>
      <c r="AC6" s="62">
        <f>SUM(O6:AB6)</f>
        <v>119118.82</v>
      </c>
      <c r="AD6" s="5">
        <f>N6-AC6</f>
        <v>4061.70650000001</v>
      </c>
    </row>
    <row r="7" s="5" customFormat="1" ht="26" customHeight="1" spans="1:30">
      <c r="A7" s="63">
        <v>46054</v>
      </c>
      <c r="B7" s="64">
        <f>(5733.85)*0.95</f>
        <v>5447.1575</v>
      </c>
      <c r="C7" s="64">
        <v>146</v>
      </c>
      <c r="D7" s="65">
        <v>37.74</v>
      </c>
      <c r="E7" s="64">
        <f>(2845.39)*0.95</f>
        <v>2703.1205</v>
      </c>
      <c r="F7" s="64">
        <v>101</v>
      </c>
      <c r="G7" s="65"/>
      <c r="H7" s="64"/>
      <c r="I7" s="64"/>
      <c r="J7" s="65"/>
      <c r="K7" s="64"/>
      <c r="L7" s="64"/>
      <c r="M7" s="66">
        <v>1350</v>
      </c>
      <c r="N7" s="67"/>
      <c r="O7" s="68"/>
      <c r="P7" s="64"/>
      <c r="Q7" s="64">
        <v>3220</v>
      </c>
      <c r="R7" s="64"/>
      <c r="S7" s="64"/>
      <c r="T7" s="67"/>
      <c r="U7" s="68">
        <f>150+200</f>
        <v>350</v>
      </c>
      <c r="V7" s="64">
        <v>6.9</v>
      </c>
      <c r="W7" s="64"/>
      <c r="X7" s="64"/>
      <c r="Y7" s="64">
        <v>5960</v>
      </c>
      <c r="Z7" s="64">
        <v>1600</v>
      </c>
      <c r="AA7" s="64">
        <v>9000</v>
      </c>
      <c r="AB7" s="67"/>
      <c r="AC7" s="64"/>
    </row>
    <row r="8" s="5" customFormat="1" ht="26" customHeight="1" spans="1:30">
      <c r="A8" s="63">
        <v>46055</v>
      </c>
      <c r="B8" s="64">
        <f>(4661.07)*0.95</f>
        <v>4428.0165</v>
      </c>
      <c r="C8" s="64">
        <v>126</v>
      </c>
      <c r="D8" s="65">
        <v>36.23</v>
      </c>
      <c r="E8" s="64">
        <f>(2513.32)*0.95</f>
        <v>2387.654</v>
      </c>
      <c r="F8" s="64">
        <v>90</v>
      </c>
      <c r="G8" s="65"/>
      <c r="H8" s="64"/>
      <c r="I8" s="64"/>
      <c r="J8" s="65"/>
      <c r="K8" s="64"/>
      <c r="L8" s="64"/>
      <c r="M8" s="66">
        <v>1200</v>
      </c>
      <c r="N8" s="67"/>
      <c r="O8" s="68"/>
      <c r="P8" s="64">
        <v>4526</v>
      </c>
      <c r="Q8" s="64">
        <v>2934</v>
      </c>
      <c r="R8" s="64"/>
      <c r="S8" s="64"/>
      <c r="T8" s="67"/>
      <c r="U8" s="68">
        <f>190+189.84</f>
        <v>379.84</v>
      </c>
      <c r="V8" s="64">
        <v>20.9</v>
      </c>
      <c r="W8" s="64"/>
      <c r="X8" s="64"/>
      <c r="Y8" s="64"/>
      <c r="Z8" s="64">
        <v>1600</v>
      </c>
      <c r="AA8" s="64"/>
      <c r="AB8" s="67"/>
      <c r="AC8" s="64"/>
    </row>
    <row r="9" s="5" customFormat="1" ht="26" customHeight="1" spans="1:30">
      <c r="A9" s="63">
        <v>46056</v>
      </c>
      <c r="B9" s="64">
        <f>(4006.77)*0.95</f>
        <v>3806.4315</v>
      </c>
      <c r="C9" s="64">
        <v>116</v>
      </c>
      <c r="D9" s="65">
        <v>34.55</v>
      </c>
      <c r="E9" s="64">
        <f>(2302.36)*0.95</f>
        <v>2187.242</v>
      </c>
      <c r="F9" s="64">
        <v>97</v>
      </c>
      <c r="G9" s="70"/>
      <c r="H9" s="64"/>
      <c r="I9" s="64"/>
      <c r="J9" s="65"/>
      <c r="K9" s="64"/>
      <c r="L9" s="64"/>
      <c r="M9" s="66">
        <v>1100</v>
      </c>
      <c r="N9" s="67"/>
      <c r="O9" s="68"/>
      <c r="P9" s="64"/>
      <c r="Q9" s="64">
        <v>2712.5</v>
      </c>
      <c r="R9" s="71"/>
      <c r="S9" s="64"/>
      <c r="T9" s="64"/>
      <c r="U9" s="68">
        <f>210+190</f>
        <v>400</v>
      </c>
      <c r="V9" s="64"/>
      <c r="W9" s="64"/>
      <c r="X9" s="72"/>
      <c r="Y9" s="64"/>
      <c r="Z9" s="64">
        <v>1600</v>
      </c>
      <c r="AA9" s="64"/>
      <c r="AB9" s="67"/>
      <c r="AC9" s="64"/>
    </row>
    <row r="10" s="5" customFormat="1" ht="26" customHeight="1" spans="1:30">
      <c r="A10" s="63">
        <v>46057</v>
      </c>
      <c r="B10" s="64">
        <f>(5110.03)*0.95</f>
        <v>4854.5285</v>
      </c>
      <c r="C10" s="64">
        <v>154</v>
      </c>
      <c r="D10" s="70">
        <v>31.89</v>
      </c>
      <c r="E10" s="64">
        <f>(2738.96)*0.95</f>
        <v>2602.012</v>
      </c>
      <c r="F10" s="64">
        <v>100</v>
      </c>
      <c r="G10" s="70"/>
      <c r="H10" s="64"/>
      <c r="I10" s="64"/>
      <c r="J10" s="70"/>
      <c r="K10" s="64"/>
      <c r="L10" s="64"/>
      <c r="M10" s="66">
        <v>1400</v>
      </c>
      <c r="N10" s="67"/>
      <c r="O10" s="68"/>
      <c r="P10" s="64"/>
      <c r="Q10" s="64">
        <v>2244.64</v>
      </c>
      <c r="R10" s="64"/>
      <c r="S10" s="64"/>
      <c r="T10" s="64"/>
      <c r="U10" s="68">
        <f>199.89+198.1</f>
        <v>397.99</v>
      </c>
      <c r="V10" s="64">
        <v>16.9</v>
      </c>
      <c r="W10" s="64"/>
      <c r="X10" s="64"/>
      <c r="Y10" s="64"/>
      <c r="Z10" s="64">
        <v>1600</v>
      </c>
      <c r="AA10" s="64"/>
      <c r="AB10" s="67"/>
      <c r="AC10" s="64"/>
    </row>
    <row r="11" s="5" customFormat="1" ht="26" customHeight="1" spans="1:30">
      <c r="A11" s="63">
        <v>46058</v>
      </c>
      <c r="B11" s="73">
        <f>(4659.43)*0.95</f>
        <v>4426.4585</v>
      </c>
      <c r="C11" s="74">
        <v>131</v>
      </c>
      <c r="D11" s="75">
        <v>35.02</v>
      </c>
      <c r="E11" s="73">
        <f>(2668.45)*0.95</f>
        <v>2535.0275</v>
      </c>
      <c r="F11" s="74">
        <v>106</v>
      </c>
      <c r="G11" s="75"/>
      <c r="H11" s="75"/>
      <c r="I11" s="75"/>
      <c r="J11" s="75"/>
      <c r="K11" s="75"/>
      <c r="L11" s="75"/>
      <c r="M11" s="76">
        <v>1200</v>
      </c>
      <c r="N11" s="77"/>
      <c r="O11" s="78"/>
      <c r="P11" s="64"/>
      <c r="Q11" s="79">
        <v>4684.07</v>
      </c>
      <c r="R11" s="73"/>
      <c r="S11" s="73"/>
      <c r="T11" s="80"/>
      <c r="U11" s="81">
        <f>212.24+185.25</f>
        <v>397.49</v>
      </c>
      <c r="V11" s="73"/>
      <c r="W11" s="73"/>
      <c r="X11" s="73"/>
      <c r="Y11" s="64"/>
      <c r="Z11" s="64">
        <v>1460</v>
      </c>
      <c r="AA11" s="64"/>
      <c r="AB11" s="80"/>
      <c r="AC11" s="64"/>
    </row>
    <row r="12" s="5" customFormat="1" ht="26" customHeight="1" spans="1:30">
      <c r="A12" s="63">
        <v>46059</v>
      </c>
      <c r="B12" s="73">
        <f>(5121.53)*0.95</f>
        <v>4865.4535</v>
      </c>
      <c r="C12" s="74">
        <v>145</v>
      </c>
      <c r="D12" s="75">
        <v>35.88</v>
      </c>
      <c r="E12" s="73">
        <f>(2946.87)*0.95</f>
        <v>2799.5265</v>
      </c>
      <c r="F12" s="74">
        <v>132</v>
      </c>
      <c r="G12" s="75">
        <v>25.78</v>
      </c>
      <c r="H12" s="75"/>
      <c r="I12" s="75"/>
      <c r="J12" s="75"/>
      <c r="K12" s="75"/>
      <c r="L12" s="75"/>
      <c r="M12" s="76">
        <v>1600</v>
      </c>
      <c r="N12" s="77"/>
      <c r="O12" s="81"/>
      <c r="P12" s="64"/>
      <c r="Q12" s="64">
        <v>3393.07</v>
      </c>
      <c r="R12" s="73"/>
      <c r="S12" s="73"/>
      <c r="T12" s="80"/>
      <c r="U12" s="81">
        <f>250+224.1</f>
        <v>474.1</v>
      </c>
      <c r="V12" s="73">
        <f>37.62+600+20+10</f>
        <v>667.62</v>
      </c>
      <c r="W12" s="73"/>
      <c r="X12" s="73"/>
      <c r="Y12" s="64"/>
      <c r="Z12" s="64">
        <v>1460</v>
      </c>
      <c r="AA12" s="64"/>
      <c r="AB12" s="80"/>
      <c r="AC12" s="64"/>
    </row>
    <row r="13" s="5" customFormat="1" ht="26" customHeight="1" spans="1:30">
      <c r="A13" s="63">
        <v>46060</v>
      </c>
      <c r="B13" s="73">
        <f>(6023.19)*0.95</f>
        <v>5722.0305</v>
      </c>
      <c r="C13" s="74"/>
      <c r="D13" s="75"/>
      <c r="E13" s="73">
        <f>(2660.4)*0.95</f>
        <v>2527.38</v>
      </c>
      <c r="F13" s="74"/>
      <c r="G13" s="75"/>
      <c r="H13" s="75"/>
      <c r="I13" s="75"/>
      <c r="J13" s="75"/>
      <c r="K13" s="75"/>
      <c r="L13" s="75"/>
      <c r="M13" s="94">
        <v>1200</v>
      </c>
      <c r="N13" s="77"/>
      <c r="O13" s="81"/>
      <c r="P13" s="64"/>
      <c r="Q13" s="73">
        <f>1000+2500</f>
        <v>3500</v>
      </c>
      <c r="R13" s="73"/>
      <c r="S13" s="73"/>
      <c r="T13" s="80"/>
      <c r="U13" s="81">
        <f>220+210</f>
        <v>430</v>
      </c>
      <c r="V13" s="73"/>
      <c r="W13" s="73"/>
      <c r="X13" s="73"/>
      <c r="Y13" s="64"/>
      <c r="Z13" s="64">
        <v>1460</v>
      </c>
      <c r="AA13" s="64"/>
      <c r="AB13" s="80"/>
      <c r="AC13" s="64"/>
    </row>
    <row r="14" s="5" customFormat="1" ht="26" customHeight="1" spans="1:30">
      <c r="A14" s="63">
        <v>46061</v>
      </c>
      <c r="B14" s="73">
        <f>(5969.64)*0.95</f>
        <v>5671.158</v>
      </c>
      <c r="C14" s="74"/>
      <c r="D14" s="75"/>
      <c r="E14" s="73">
        <f>(2009.24)*0.95</f>
        <v>1908.778</v>
      </c>
      <c r="F14" s="74"/>
      <c r="G14" s="75"/>
      <c r="H14" s="75"/>
      <c r="I14" s="75"/>
      <c r="J14" s="75"/>
      <c r="K14" s="75"/>
      <c r="L14" s="75"/>
      <c r="M14" s="76">
        <v>1300</v>
      </c>
      <c r="N14" s="77"/>
      <c r="O14" s="81"/>
      <c r="P14" s="73">
        <v>4645.65</v>
      </c>
      <c r="Q14" s="73">
        <v>2439.53</v>
      </c>
      <c r="R14" s="73"/>
      <c r="S14" s="73"/>
      <c r="T14" s="80"/>
      <c r="U14" s="81">
        <f>220+210</f>
        <v>430</v>
      </c>
      <c r="V14" s="73"/>
      <c r="W14" s="73"/>
      <c r="X14" s="73"/>
      <c r="Y14" s="64"/>
      <c r="Z14" s="64">
        <v>1460</v>
      </c>
      <c r="AA14" s="64"/>
      <c r="AB14" s="80"/>
      <c r="AC14" s="69"/>
    </row>
    <row r="15" s="5" customFormat="1" ht="26" customHeight="1" spans="1:30">
      <c r="A15" s="63">
        <v>46062</v>
      </c>
      <c r="B15" s="73">
        <f>(6358.63)*0.95</f>
        <v>6040.6985</v>
      </c>
      <c r="C15" s="74"/>
      <c r="D15" s="75"/>
      <c r="E15" s="73">
        <f>(2586.3)*0.95</f>
        <v>2456.985</v>
      </c>
      <c r="F15" s="74"/>
      <c r="G15" s="75"/>
      <c r="H15" s="75"/>
      <c r="I15" s="75"/>
      <c r="J15" s="75"/>
      <c r="K15" s="75"/>
      <c r="L15" s="75"/>
      <c r="M15" s="76">
        <v>1600</v>
      </c>
      <c r="N15" s="77"/>
      <c r="O15" s="81"/>
      <c r="P15" s="73"/>
      <c r="Q15" s="73">
        <v>1863.73</v>
      </c>
      <c r="R15" s="73"/>
      <c r="S15" s="73"/>
      <c r="T15" s="80"/>
      <c r="U15" s="81">
        <f>230+160</f>
        <v>390</v>
      </c>
      <c r="V15" s="73"/>
      <c r="W15" s="73"/>
      <c r="X15" s="73"/>
      <c r="Y15" s="64"/>
      <c r="Z15" s="64">
        <v>1460</v>
      </c>
      <c r="AA15" s="64"/>
      <c r="AB15" s="80"/>
      <c r="AC15" s="69"/>
    </row>
    <row r="16" s="5" customFormat="1" ht="26" customHeight="1" spans="1:30">
      <c r="A16" s="63">
        <v>46063</v>
      </c>
      <c r="B16" s="73">
        <f>(5169.67)*0.95</f>
        <v>4911.1865</v>
      </c>
      <c r="C16" s="74"/>
      <c r="D16" s="75"/>
      <c r="E16" s="73">
        <f>(2503)*0.95</f>
        <v>2377.85</v>
      </c>
      <c r="F16" s="74"/>
      <c r="G16" s="75"/>
      <c r="H16" s="75"/>
      <c r="I16" s="75"/>
      <c r="J16" s="75"/>
      <c r="K16" s="75"/>
      <c r="L16" s="75"/>
      <c r="M16" s="76">
        <v>1400</v>
      </c>
      <c r="N16" s="77"/>
      <c r="O16" s="81"/>
      <c r="P16" s="73"/>
      <c r="Q16" s="73">
        <v>2652.81</v>
      </c>
      <c r="R16" s="73"/>
      <c r="S16" s="73"/>
      <c r="T16" s="80"/>
      <c r="U16" s="81">
        <f>239.96+190</f>
        <v>429.96</v>
      </c>
      <c r="V16" s="73"/>
      <c r="W16" s="73"/>
      <c r="X16" s="73"/>
      <c r="Y16" s="64"/>
      <c r="Z16" s="64">
        <v>1460</v>
      </c>
      <c r="AA16" s="64"/>
      <c r="AB16" s="80"/>
      <c r="AC16" s="69"/>
    </row>
    <row r="17" s="5" customFormat="1" ht="26" customHeight="1" spans="1:29">
      <c r="A17" s="63">
        <v>46064</v>
      </c>
      <c r="B17" s="73">
        <f>(5229.45)*0.95</f>
        <v>4967.9775</v>
      </c>
      <c r="C17" s="74"/>
      <c r="D17" s="75"/>
      <c r="E17" s="73">
        <f>(2189.16)*0.95</f>
        <v>2079.702</v>
      </c>
      <c r="F17" s="74"/>
      <c r="G17" s="75"/>
      <c r="H17" s="75"/>
      <c r="I17" s="75"/>
      <c r="J17" s="75"/>
      <c r="K17" s="75"/>
      <c r="L17" s="75"/>
      <c r="M17" s="76">
        <v>1400</v>
      </c>
      <c r="N17" s="77"/>
      <c r="O17" s="81"/>
      <c r="P17" s="73"/>
      <c r="Q17" s="73">
        <v>1654.92</v>
      </c>
      <c r="R17" s="73"/>
      <c r="S17" s="73"/>
      <c r="T17" s="80"/>
      <c r="U17" s="81">
        <f>218.02+195.9</f>
        <v>413.92</v>
      </c>
      <c r="V17" s="73"/>
      <c r="W17" s="73"/>
      <c r="X17" s="73"/>
      <c r="Y17" s="64"/>
      <c r="Z17" s="64">
        <v>1460</v>
      </c>
      <c r="AA17" s="64"/>
      <c r="AB17" s="80"/>
      <c r="AC17" s="69"/>
    </row>
    <row r="18" s="5" customFormat="1" ht="26" customHeight="1" spans="1:29">
      <c r="A18" s="63">
        <v>46065</v>
      </c>
      <c r="B18" s="73">
        <f>(2182.03)*0.95</f>
        <v>2072.9285</v>
      </c>
      <c r="C18" s="74"/>
      <c r="D18" s="75"/>
      <c r="E18" s="73">
        <f>(695.86)*0.95</f>
        <v>661.067</v>
      </c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>
        <f>92.82+83.22</f>
        <v>176.04</v>
      </c>
      <c r="V18" s="73"/>
      <c r="W18" s="73"/>
      <c r="X18" s="73"/>
      <c r="Y18" s="64"/>
      <c r="Z18" s="64">
        <v>1460</v>
      </c>
      <c r="AA18" s="64"/>
      <c r="AB18" s="80"/>
      <c r="AC18" s="69"/>
    </row>
    <row r="19" s="5" customFormat="1" ht="26" customHeight="1" spans="1:29">
      <c r="A19" s="63">
        <v>46066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46067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46068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46069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46070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46071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46072</v>
      </c>
      <c r="B25" s="73">
        <f>(1982.42)*0.95</f>
        <v>1883.299</v>
      </c>
      <c r="C25" s="74"/>
      <c r="D25" s="75"/>
      <c r="E25" s="73">
        <f>(448.55)*0.95</f>
        <v>426.1225</v>
      </c>
      <c r="F25" s="74"/>
      <c r="G25" s="75"/>
      <c r="H25" s="75"/>
      <c r="I25" s="75"/>
      <c r="J25" s="75"/>
      <c r="K25" s="75"/>
      <c r="L25" s="75"/>
      <c r="M25" s="76">
        <v>200</v>
      </c>
      <c r="N25" s="77"/>
      <c r="O25" s="81"/>
      <c r="P25" s="73"/>
      <c r="Q25" s="73">
        <v>2192.09</v>
      </c>
      <c r="R25" s="84"/>
      <c r="S25" s="85"/>
      <c r="T25" s="80"/>
      <c r="U25" s="81">
        <f>152.39+89.48</f>
        <v>241.87</v>
      </c>
      <c r="V25" s="73"/>
      <c r="W25" s="73"/>
      <c r="X25" s="73"/>
      <c r="Y25" s="64"/>
      <c r="Z25" s="64">
        <f>307+192+428.5+230+66</f>
        <v>1223.5</v>
      </c>
      <c r="AA25" s="64"/>
      <c r="AB25" s="80"/>
      <c r="AC25" s="69"/>
    </row>
    <row r="26" s="5" customFormat="1" ht="26" customHeight="1" spans="1:29">
      <c r="A26" s="63">
        <v>46073</v>
      </c>
      <c r="B26" s="73">
        <f>(5723.26)*0.95</f>
        <v>5437.097</v>
      </c>
      <c r="C26" s="74"/>
      <c r="D26" s="75"/>
      <c r="E26" s="73">
        <f>(559.3)*0.95</f>
        <v>531.335</v>
      </c>
      <c r="F26" s="74"/>
      <c r="G26" s="75"/>
      <c r="H26" s="75"/>
      <c r="I26" s="75"/>
      <c r="J26" s="75"/>
      <c r="K26" s="79"/>
      <c r="L26" s="75"/>
      <c r="M26" s="76">
        <v>900</v>
      </c>
      <c r="N26" s="77"/>
      <c r="O26" s="81"/>
      <c r="P26" s="73"/>
      <c r="Q26" s="73">
        <v>2132.73</v>
      </c>
      <c r="R26" s="73"/>
      <c r="S26" s="73"/>
      <c r="T26" s="80"/>
      <c r="U26" s="81">
        <f>95.37+77.3</f>
        <v>172.67</v>
      </c>
      <c r="V26" s="73">
        <v>113.34</v>
      </c>
      <c r="W26" s="73"/>
      <c r="X26" s="73"/>
      <c r="Y26" s="64"/>
      <c r="Z26" s="64">
        <f t="shared" ref="Z26:Z28" si="3">614+192+428.5+230+66</f>
        <v>1530.5</v>
      </c>
      <c r="AA26" s="64"/>
      <c r="AB26" s="80"/>
      <c r="AC26" s="69"/>
    </row>
    <row r="27" s="5" customFormat="1" ht="26" customHeight="1" spans="1:29">
      <c r="A27" s="63">
        <v>46074</v>
      </c>
      <c r="B27" s="73">
        <f>(5569.03)*0.95</f>
        <v>5290.5785</v>
      </c>
      <c r="C27" s="74"/>
      <c r="D27" s="75"/>
      <c r="E27" s="73">
        <f>(588.1)*0.95</f>
        <v>558.695</v>
      </c>
      <c r="F27" s="74"/>
      <c r="G27" s="75"/>
      <c r="H27" s="75"/>
      <c r="I27" s="75"/>
      <c r="J27" s="75"/>
      <c r="K27" s="75"/>
      <c r="L27" s="75"/>
      <c r="M27" s="76">
        <v>700</v>
      </c>
      <c r="N27" s="77"/>
      <c r="O27" s="81"/>
      <c r="P27" s="73"/>
      <c r="Q27" s="73">
        <f>3485.5+31.9</f>
        <v>3517.4</v>
      </c>
      <c r="R27" s="73"/>
      <c r="S27" s="73"/>
      <c r="T27" s="80"/>
      <c r="U27" s="81">
        <f>95.99</f>
        <v>95.99</v>
      </c>
      <c r="V27" s="73">
        <f>20+35.6</f>
        <v>55.6</v>
      </c>
      <c r="W27" s="73"/>
      <c r="X27" s="73"/>
      <c r="Y27" s="64"/>
      <c r="Z27" s="64">
        <f t="shared" si="3"/>
        <v>1530.5</v>
      </c>
      <c r="AA27" s="64"/>
      <c r="AB27" s="80"/>
      <c r="AC27" s="69"/>
    </row>
    <row r="28" s="5" customFormat="1" ht="26" customHeight="1" spans="1:29">
      <c r="A28" s="63">
        <v>46075</v>
      </c>
      <c r="B28" s="73">
        <f>(6528.87)*0.95</f>
        <v>6202.4265</v>
      </c>
      <c r="C28" s="74"/>
      <c r="D28" s="75"/>
      <c r="E28" s="73">
        <f>(1703.3)*0.95</f>
        <v>1618.135</v>
      </c>
      <c r="F28" s="74"/>
      <c r="G28" s="75"/>
      <c r="H28" s="75"/>
      <c r="I28" s="75"/>
      <c r="J28" s="75"/>
      <c r="K28" s="75"/>
      <c r="L28" s="75"/>
      <c r="M28" s="76">
        <v>1300</v>
      </c>
      <c r="N28" s="77"/>
      <c r="O28" s="81"/>
      <c r="P28" s="73"/>
      <c r="Q28" s="73">
        <v>2262.17</v>
      </c>
      <c r="R28" s="73"/>
      <c r="S28" s="73"/>
      <c r="T28" s="80"/>
      <c r="U28" s="81">
        <f>119.56+85</f>
        <v>204.56</v>
      </c>
      <c r="W28" s="73"/>
      <c r="X28" s="73"/>
      <c r="Y28" s="64"/>
      <c r="Z28" s="64">
        <f t="shared" si="3"/>
        <v>1530.5</v>
      </c>
      <c r="AA28" s="64"/>
      <c r="AB28" s="80"/>
      <c r="AC28" s="69"/>
    </row>
    <row r="29" s="5" customFormat="1" ht="26" customHeight="1" spans="1:29">
      <c r="A29" s="63">
        <v>46076</v>
      </c>
      <c r="B29" s="73">
        <f>(6202.58)*0.95</f>
        <v>5892.451</v>
      </c>
      <c r="C29" s="74"/>
      <c r="D29" s="75"/>
      <c r="E29" s="73">
        <f>(1884.95)*0.95</f>
        <v>1790.7025</v>
      </c>
      <c r="F29" s="74"/>
      <c r="G29" s="75"/>
      <c r="H29" s="75"/>
      <c r="I29" s="75"/>
      <c r="J29" s="75"/>
      <c r="K29" s="75"/>
      <c r="L29" s="75"/>
      <c r="M29" s="76">
        <v>700</v>
      </c>
      <c r="N29" s="77"/>
      <c r="O29" s="81"/>
      <c r="P29" s="73"/>
      <c r="Q29" s="73">
        <v>2558.74</v>
      </c>
      <c r="R29" s="73"/>
      <c r="S29" s="73"/>
      <c r="T29" s="80"/>
      <c r="U29" s="81">
        <f>100+50</f>
        <v>150</v>
      </c>
      <c r="V29" s="73">
        <v>11.9</v>
      </c>
      <c r="W29" s="73"/>
      <c r="X29" s="73"/>
      <c r="Y29" s="64"/>
      <c r="Z29" s="64">
        <f>500+192+428.5+230+66</f>
        <v>1416.5</v>
      </c>
      <c r="AA29" s="64"/>
      <c r="AB29" s="80"/>
      <c r="AC29" s="69"/>
    </row>
    <row r="30" s="5" customFormat="1" ht="26" customHeight="1" spans="1:29">
      <c r="A30" s="63">
        <v>46077</v>
      </c>
      <c r="B30" s="73">
        <f>(4786.19)*0.95</f>
        <v>4546.8805</v>
      </c>
      <c r="C30" s="74"/>
      <c r="D30" s="75"/>
      <c r="E30" s="73">
        <f>(1596.83)*0.95</f>
        <v>1516.9885</v>
      </c>
      <c r="F30" s="74"/>
      <c r="G30" s="75"/>
      <c r="H30" s="75"/>
      <c r="I30" s="75"/>
      <c r="J30" s="75"/>
      <c r="K30" s="75"/>
      <c r="L30" s="75"/>
      <c r="M30" s="76">
        <v>1300</v>
      </c>
      <c r="N30" s="77"/>
      <c r="O30" s="81"/>
      <c r="P30" s="73"/>
      <c r="Q30" s="73">
        <f>1441+1360</f>
        <v>2801</v>
      </c>
      <c r="R30" s="73"/>
      <c r="S30" s="73"/>
      <c r="T30" s="80"/>
      <c r="U30" s="81">
        <f>200+140</f>
        <v>340</v>
      </c>
      <c r="V30" s="73"/>
      <c r="W30" s="73"/>
      <c r="X30" s="73"/>
      <c r="Y30" s="64"/>
      <c r="Z30" s="64">
        <f>600+192+428.5+230+66</f>
        <v>1516.5</v>
      </c>
      <c r="AA30" s="64"/>
      <c r="AB30" s="80"/>
      <c r="AC30" s="69"/>
    </row>
    <row r="31" s="5" customFormat="1" ht="26" customHeight="1" spans="1:29">
      <c r="A31" s="63">
        <v>46078</v>
      </c>
      <c r="B31" s="73">
        <f>(5398.74)*0.95</f>
        <v>5128.803</v>
      </c>
      <c r="C31" s="74"/>
      <c r="D31" s="75"/>
      <c r="E31" s="73">
        <f>(1890.28)*0.95</f>
        <v>1795.766</v>
      </c>
      <c r="F31" s="74"/>
      <c r="G31" s="75"/>
      <c r="H31" s="75"/>
      <c r="I31" s="75"/>
      <c r="J31" s="75"/>
      <c r="K31" s="75"/>
      <c r="L31" s="75"/>
      <c r="M31" s="76">
        <v>1000</v>
      </c>
      <c r="N31" s="77"/>
      <c r="O31" s="81"/>
      <c r="P31" s="73"/>
      <c r="Q31" s="73">
        <v>2221.11</v>
      </c>
      <c r="R31" s="73"/>
      <c r="S31" s="73"/>
      <c r="T31" s="80"/>
      <c r="U31" s="81">
        <f>220+140</f>
        <v>360</v>
      </c>
      <c r="V31" s="73"/>
      <c r="W31" s="73"/>
      <c r="X31" s="73"/>
      <c r="Y31" s="64"/>
      <c r="Z31" s="64">
        <f>540+192+428.5+230+66</f>
        <v>1456.5</v>
      </c>
      <c r="AA31" s="64"/>
      <c r="AB31" s="80"/>
      <c r="AC31" s="69"/>
    </row>
    <row r="32" s="5" customFormat="1" ht="26" customHeight="1" spans="1:29">
      <c r="A32" s="63">
        <v>46079</v>
      </c>
      <c r="B32" s="73">
        <f>(4960.99)*0.95</f>
        <v>4712.9405</v>
      </c>
      <c r="C32" s="74"/>
      <c r="D32" s="75"/>
      <c r="E32" s="73">
        <f>(2591.36)*0.95</f>
        <v>2461.792</v>
      </c>
      <c r="F32" s="74"/>
      <c r="G32" s="75"/>
      <c r="H32" s="75"/>
      <c r="I32" s="75"/>
      <c r="J32" s="75"/>
      <c r="K32" s="75"/>
      <c r="L32" s="75"/>
      <c r="M32" s="76">
        <v>1300</v>
      </c>
      <c r="N32" s="77"/>
      <c r="O32" s="81"/>
      <c r="P32" s="73"/>
      <c r="Q32" s="73">
        <v>3861.16</v>
      </c>
      <c r="R32" s="73"/>
      <c r="S32" s="73"/>
      <c r="T32" s="80"/>
      <c r="U32" s="81">
        <f>200+190</f>
        <v>390</v>
      </c>
      <c r="V32" s="73">
        <f>6+35.88+5</f>
        <v>46.88</v>
      </c>
      <c r="W32" s="73"/>
      <c r="X32" s="73"/>
      <c r="Y32" s="64"/>
      <c r="Z32" s="64">
        <f t="shared" ref="Z32:Z34" si="4">540+192+428.5+230</f>
        <v>1390.5</v>
      </c>
      <c r="AA32" s="64"/>
      <c r="AB32" s="80"/>
      <c r="AC32" s="69"/>
    </row>
    <row r="33" s="5" customFormat="1" ht="26" customHeight="1" spans="1:29">
      <c r="A33" s="63">
        <v>46080</v>
      </c>
      <c r="B33" s="73">
        <f>(3616.82)*0.95</f>
        <v>3435.979</v>
      </c>
      <c r="C33" s="74"/>
      <c r="D33" s="75"/>
      <c r="E33" s="73">
        <f>(2330.67)*0.95</f>
        <v>2214.1365</v>
      </c>
      <c r="F33" s="74"/>
      <c r="G33" s="75"/>
      <c r="H33" s="75"/>
      <c r="I33" s="75"/>
      <c r="J33" s="75"/>
      <c r="K33" s="75"/>
      <c r="L33" s="75"/>
      <c r="N33" s="77"/>
      <c r="O33" s="81"/>
      <c r="P33" s="73"/>
      <c r="Q33" s="73"/>
      <c r="R33" s="73"/>
      <c r="S33" s="73"/>
      <c r="T33" s="80"/>
      <c r="U33" s="81">
        <f>160+235</f>
        <v>395</v>
      </c>
      <c r="V33" s="73">
        <v>15</v>
      </c>
      <c r="W33" s="73"/>
      <c r="X33" s="73"/>
      <c r="Y33" s="64"/>
      <c r="Z33" s="64">
        <f t="shared" si="4"/>
        <v>1390.5</v>
      </c>
      <c r="AA33" s="64"/>
      <c r="AB33" s="80"/>
      <c r="AC33" s="69"/>
    </row>
    <row r="34" s="5" customFormat="1" ht="26" customHeight="1" spans="1:29">
      <c r="A34" s="63">
        <v>46081</v>
      </c>
      <c r="B34" s="73">
        <f>(4566.07)*0.95</f>
        <v>4337.7665</v>
      </c>
      <c r="C34" s="74"/>
      <c r="D34" s="75"/>
      <c r="E34" s="73">
        <f>(2113.96)*0.95</f>
        <v>2008.262</v>
      </c>
      <c r="F34" s="74"/>
      <c r="G34" s="75"/>
      <c r="H34" s="75"/>
      <c r="I34" s="75"/>
      <c r="J34" s="75"/>
      <c r="K34" s="73"/>
      <c r="L34" s="75"/>
      <c r="M34" s="76">
        <v>900</v>
      </c>
      <c r="N34" s="77"/>
      <c r="O34" s="81"/>
      <c r="P34" s="73"/>
      <c r="Q34" s="73">
        <v>1285.75</v>
      </c>
      <c r="R34" s="73"/>
      <c r="S34" s="73"/>
      <c r="T34" s="80"/>
      <c r="U34" s="81">
        <f>219.28+190</f>
        <v>409.28</v>
      </c>
      <c r="V34" s="73">
        <f>13+3</f>
        <v>16</v>
      </c>
      <c r="W34" s="73"/>
      <c r="X34" s="73"/>
      <c r="Y34" s="64"/>
      <c r="Z34" s="64">
        <f t="shared" si="4"/>
        <v>1390.5</v>
      </c>
      <c r="AA34" s="64"/>
      <c r="AB34" s="80"/>
      <c r="AC34" s="69"/>
    </row>
    <row r="35" s="1" customFormat="1" spans="1:29">
      <c r="A35" s="87"/>
      <c r="B35" s="88"/>
      <c r="C35" s="89"/>
      <c r="D35" s="90"/>
      <c r="E35" s="88"/>
      <c r="F35" s="89"/>
      <c r="G35" s="91"/>
      <c r="H35" s="91"/>
      <c r="I35" s="91"/>
      <c r="J35" s="91"/>
      <c r="K35" s="91"/>
      <c r="L35" s="91"/>
      <c r="M35" s="92"/>
      <c r="N35" s="91"/>
    </row>
    <row r="36" s="1" customFormat="1" spans="1:29">
      <c r="A36" s="87"/>
      <c r="B36" s="88"/>
      <c r="C36" s="89"/>
      <c r="D36" s="90"/>
      <c r="E36" s="88"/>
      <c r="F36" s="89"/>
      <c r="G36" s="91"/>
      <c r="H36" s="91"/>
      <c r="I36" s="91"/>
      <c r="J36" s="91"/>
      <c r="K36" s="91"/>
      <c r="L36" s="91"/>
      <c r="M36" s="92"/>
      <c r="N36" s="91"/>
    </row>
    <row r="37" s="1" customFormat="1" spans="1:29">
      <c r="A37" s="87"/>
      <c r="B37" s="88"/>
      <c r="C37" s="89"/>
      <c r="D37" s="90"/>
      <c r="E37" s="88"/>
      <c r="F37" s="89"/>
      <c r="G37" s="91"/>
      <c r="H37" s="91"/>
      <c r="I37" s="91"/>
      <c r="J37" s="91"/>
      <c r="K37" s="91"/>
      <c r="L37" s="91"/>
      <c r="M37" s="92"/>
      <c r="N37" s="91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</row>
    <row r="49" s="1" customFormat="1" spans="1:14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</row>
    <row r="50" s="1" customFormat="1" spans="1:14">
      <c r="M50" s="6"/>
    </row>
    <row r="51" s="1" customFormat="1" spans="1:14">
      <c r="M51" s="6"/>
    </row>
  </sheetData>
  <mergeCells count="14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  <mergeCell ref="AD3:AD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4"/>
  <sheetViews>
    <sheetView topLeftCell="A31" workbookViewId="0">
      <selection activeCell="A7" sqref="A7:A37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16384" width="9.025" style="1"/>
  </cols>
  <sheetData>
    <row r="1" s="1" customFormat="1" ht="33" customHeight="1" spans="1: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29">
      <c r="A2" s="9" t="s">
        <v>1</v>
      </c>
      <c r="B2" s="10">
        <f>N6-(N6*0.07)</f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0</v>
      </c>
      <c r="U2" s="10" t="s">
        <v>4</v>
      </c>
      <c r="V2" s="12"/>
      <c r="W2" s="15">
        <f>Q2+T2-Z2</f>
        <v>0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29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0</v>
      </c>
      <c r="T3" s="25" t="e">
        <f>SUM(O5:T5)</f>
        <v>#DIV/0!</v>
      </c>
      <c r="U3" s="26" t="s">
        <v>10</v>
      </c>
      <c r="V3" s="27"/>
      <c r="W3" s="27"/>
      <c r="X3" s="27"/>
      <c r="Y3" s="27"/>
      <c r="Z3" s="28"/>
      <c r="AA3" s="29">
        <f>SUM(U6:AB6)</f>
        <v>0</v>
      </c>
      <c r="AB3" s="30" t="e">
        <f>SUM(U5:AB5)</f>
        <v>#DIV/0!</v>
      </c>
      <c r="AC3" s="31" t="s">
        <v>11</v>
      </c>
    </row>
    <row r="4" s="4" customFormat="1" ht="26" customHeight="1" spans="1:29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</row>
    <row r="5" s="3" customFormat="1" ht="26" customHeight="1" spans="1:29">
      <c r="A5" s="45"/>
      <c r="B5" s="46" t="e">
        <f>B6/$N$6</f>
        <v>#DIV/0!</v>
      </c>
      <c r="C5" s="46"/>
      <c r="D5" s="46"/>
      <c r="E5" s="46" t="e">
        <f>E6/$N$6</f>
        <v>#DIV/0!</v>
      </c>
      <c r="F5" s="46"/>
      <c r="G5" s="46"/>
      <c r="H5" s="46" t="e">
        <f t="shared" ref="H5:M5" si="0">H6/$N$6</f>
        <v>#DIV/0!</v>
      </c>
      <c r="I5" s="46"/>
      <c r="J5" s="46"/>
      <c r="K5" s="46" t="e">
        <f t="shared" si="0"/>
        <v>#DIV/0!</v>
      </c>
      <c r="L5" s="46" t="e">
        <f t="shared" si="0"/>
        <v>#DIV/0!</v>
      </c>
      <c r="M5" s="46" t="e">
        <f t="shared" si="0"/>
        <v>#DIV/0!</v>
      </c>
      <c r="N5" s="35"/>
      <c r="O5" s="47" t="e">
        <f t="shared" ref="O5:AB5" si="1">O6/$N$6</f>
        <v>#DIV/0!</v>
      </c>
      <c r="P5" s="48" t="e">
        <f t="shared" si="1"/>
        <v>#DIV/0!</v>
      </c>
      <c r="Q5" s="48" t="e">
        <f t="shared" si="1"/>
        <v>#DIV/0!</v>
      </c>
      <c r="R5" s="48" t="e">
        <f t="shared" si="1"/>
        <v>#DIV/0!</v>
      </c>
      <c r="S5" s="48" t="e">
        <f t="shared" si="1"/>
        <v>#DIV/0!</v>
      </c>
      <c r="T5" s="49" t="e">
        <f t="shared" si="1"/>
        <v>#DIV/0!</v>
      </c>
      <c r="U5" s="50" t="e">
        <f t="shared" si="1"/>
        <v>#DIV/0!</v>
      </c>
      <c r="V5" s="51" t="e">
        <f t="shared" si="1"/>
        <v>#DIV/0!</v>
      </c>
      <c r="W5" s="51" t="e">
        <f t="shared" si="1"/>
        <v>#DIV/0!</v>
      </c>
      <c r="X5" s="51" t="e">
        <f t="shared" si="1"/>
        <v>#DIV/0!</v>
      </c>
      <c r="Y5" s="51" t="e">
        <f t="shared" si="1"/>
        <v>#DIV/0!</v>
      </c>
      <c r="Z5" s="51" t="e">
        <f t="shared" si="1"/>
        <v>#DIV/0!</v>
      </c>
      <c r="AA5" s="51" t="e">
        <f t="shared" si="1"/>
        <v>#DIV/0!</v>
      </c>
      <c r="AB5" s="52" t="e">
        <f t="shared" si="1"/>
        <v>#DIV/0!</v>
      </c>
      <c r="AC5" s="53" t="e">
        <f>SUM(O5:AB5)</f>
        <v>#DIV/0!</v>
      </c>
    </row>
    <row r="6" s="5" customFormat="1" ht="26" customHeight="1" spans="1:29">
      <c r="A6" s="32" t="s">
        <v>35</v>
      </c>
      <c r="B6" s="54">
        <f t="shared" ref="B6:F6" si="2">SUM(B7:B37)</f>
        <v>0</v>
      </c>
      <c r="C6" s="55">
        <f t="shared" si="2"/>
        <v>0</v>
      </c>
      <c r="D6" s="54" t="e">
        <f>B6/C6</f>
        <v>#DIV/0!</v>
      </c>
      <c r="E6" s="54">
        <f t="shared" si="2"/>
        <v>0</v>
      </c>
      <c r="F6" s="54">
        <f t="shared" si="2"/>
        <v>0</v>
      </c>
      <c r="G6" s="54" t="e">
        <f>E6/F6</f>
        <v>#DIV/0!</v>
      </c>
      <c r="H6" s="54">
        <f t="shared" ref="H6:M6" si="3">SUM(H7:H37)</f>
        <v>0</v>
      </c>
      <c r="I6" s="55">
        <f t="shared" si="3"/>
        <v>0</v>
      </c>
      <c r="J6" s="54" t="e">
        <f>H6/I6</f>
        <v>#DIV/0!</v>
      </c>
      <c r="K6" s="54">
        <f t="shared" si="3"/>
        <v>0</v>
      </c>
      <c r="L6" s="54">
        <f t="shared" si="3"/>
        <v>0</v>
      </c>
      <c r="M6" s="54">
        <f t="shared" si="3"/>
        <v>0</v>
      </c>
      <c r="N6" s="56">
        <f>B6+E6+H6+K6+L6-M6</f>
        <v>0</v>
      </c>
      <c r="O6" s="57">
        <f t="shared" ref="O6:AB6" si="4">SUM(O7:O37)</f>
        <v>0</v>
      </c>
      <c r="P6" s="58">
        <f t="shared" si="4"/>
        <v>0</v>
      </c>
      <c r="Q6" s="58">
        <f t="shared" si="4"/>
        <v>0</v>
      </c>
      <c r="R6" s="58">
        <f t="shared" si="4"/>
        <v>0</v>
      </c>
      <c r="S6" s="58">
        <f t="shared" si="4"/>
        <v>0</v>
      </c>
      <c r="T6" s="59">
        <f t="shared" si="4"/>
        <v>0</v>
      </c>
      <c r="U6" s="60">
        <f t="shared" si="4"/>
        <v>0</v>
      </c>
      <c r="V6" s="61">
        <f t="shared" si="4"/>
        <v>0</v>
      </c>
      <c r="W6" s="61">
        <f t="shared" si="4"/>
        <v>0</v>
      </c>
      <c r="X6" s="61">
        <f t="shared" si="4"/>
        <v>0</v>
      </c>
      <c r="Y6" s="61">
        <f t="shared" si="4"/>
        <v>0</v>
      </c>
      <c r="Z6" s="61">
        <f t="shared" si="4"/>
        <v>0</v>
      </c>
      <c r="AA6" s="61">
        <f t="shared" si="4"/>
        <v>0</v>
      </c>
      <c r="AB6" s="61">
        <f t="shared" si="4"/>
        <v>0</v>
      </c>
      <c r="AC6" s="62">
        <f>SUM(O6:AB6)</f>
        <v>0</v>
      </c>
    </row>
    <row r="7" s="5" customFormat="1" ht="26" customHeight="1" spans="1:29">
      <c r="A7" s="63">
        <v>46082</v>
      </c>
      <c r="B7" s="64"/>
      <c r="C7" s="64"/>
      <c r="D7" s="65"/>
      <c r="E7" s="64"/>
      <c r="F7" s="64"/>
      <c r="G7" s="65"/>
      <c r="H7" s="64"/>
      <c r="I7" s="64"/>
      <c r="J7" s="65"/>
      <c r="K7" s="64"/>
      <c r="L7" s="64"/>
      <c r="M7" s="66"/>
      <c r="N7" s="67"/>
      <c r="O7" s="68"/>
      <c r="P7" s="64"/>
      <c r="Q7" s="64"/>
      <c r="R7" s="64"/>
      <c r="S7" s="64"/>
      <c r="T7" s="67"/>
      <c r="U7" s="68"/>
      <c r="V7" s="64"/>
      <c r="W7" s="64"/>
      <c r="X7" s="64"/>
      <c r="Y7" s="64"/>
      <c r="Z7" s="64"/>
      <c r="AA7" s="64"/>
      <c r="AB7" s="67"/>
      <c r="AC7" s="69"/>
    </row>
    <row r="8" s="5" customFormat="1" ht="26" customHeight="1" spans="1:29">
      <c r="A8" s="63">
        <v>46083</v>
      </c>
      <c r="B8" s="64"/>
      <c r="C8" s="64"/>
      <c r="D8" s="65"/>
      <c r="E8" s="64"/>
      <c r="F8" s="64"/>
      <c r="G8" s="65"/>
      <c r="H8" s="64"/>
      <c r="I8" s="64"/>
      <c r="J8" s="65"/>
      <c r="K8" s="64"/>
      <c r="L8" s="64"/>
      <c r="M8" s="66"/>
      <c r="N8" s="67"/>
      <c r="O8" s="68"/>
      <c r="P8" s="64"/>
      <c r="Q8" s="64"/>
      <c r="R8" s="64"/>
      <c r="S8" s="64"/>
      <c r="T8" s="67"/>
      <c r="U8" s="68"/>
      <c r="V8" s="64"/>
      <c r="W8" s="64"/>
      <c r="X8" s="64"/>
      <c r="Y8" s="64"/>
      <c r="Z8" s="64"/>
      <c r="AA8" s="64"/>
      <c r="AB8" s="67"/>
      <c r="AC8" s="69"/>
    </row>
    <row r="9" s="5" customFormat="1" ht="26" customHeight="1" spans="1:29">
      <c r="A9" s="63">
        <v>46084</v>
      </c>
      <c r="B9" s="64"/>
      <c r="C9" s="64"/>
      <c r="D9" s="65"/>
      <c r="E9" s="64"/>
      <c r="F9" s="64"/>
      <c r="G9" s="70"/>
      <c r="H9" s="64"/>
      <c r="I9" s="64"/>
      <c r="J9" s="65"/>
      <c r="K9" s="64"/>
      <c r="L9" s="64"/>
      <c r="M9" s="66"/>
      <c r="N9" s="67"/>
      <c r="O9" s="68"/>
      <c r="P9" s="64"/>
      <c r="Q9" s="64"/>
      <c r="R9" s="71"/>
      <c r="S9" s="64"/>
      <c r="T9" s="64"/>
      <c r="U9" s="68"/>
      <c r="V9" s="64"/>
      <c r="W9" s="64"/>
      <c r="X9" s="72"/>
      <c r="Y9" s="64"/>
      <c r="Z9" s="64"/>
      <c r="AA9" s="64"/>
      <c r="AB9" s="67"/>
      <c r="AC9" s="69"/>
    </row>
    <row r="10" s="5" customFormat="1" ht="26" customHeight="1" spans="1:29">
      <c r="A10" s="63">
        <v>46085</v>
      </c>
      <c r="B10" s="64"/>
      <c r="C10" s="64"/>
      <c r="D10" s="70"/>
      <c r="E10" s="64"/>
      <c r="F10" s="64"/>
      <c r="G10" s="70"/>
      <c r="H10" s="64"/>
      <c r="I10" s="64"/>
      <c r="J10" s="70"/>
      <c r="K10" s="64"/>
      <c r="L10" s="64"/>
      <c r="M10" s="66"/>
      <c r="N10" s="67"/>
      <c r="O10" s="68"/>
      <c r="P10" s="64"/>
      <c r="Q10" s="64"/>
      <c r="R10" s="64"/>
      <c r="S10" s="64"/>
      <c r="T10" s="64"/>
      <c r="U10" s="68"/>
      <c r="V10" s="64"/>
      <c r="W10" s="64"/>
      <c r="X10" s="64"/>
      <c r="Y10" s="64"/>
      <c r="Z10" s="64"/>
      <c r="AA10" s="64"/>
      <c r="AB10" s="67"/>
      <c r="AC10" s="69"/>
    </row>
    <row r="11" s="5" customFormat="1" ht="26" customHeight="1" spans="1:29">
      <c r="A11" s="63">
        <v>46086</v>
      </c>
      <c r="B11" s="73"/>
      <c r="C11" s="74"/>
      <c r="D11" s="75"/>
      <c r="E11" s="73"/>
      <c r="F11" s="74"/>
      <c r="G11" s="75"/>
      <c r="H11" s="75"/>
      <c r="I11" s="75"/>
      <c r="J11" s="75"/>
      <c r="K11" s="75"/>
      <c r="L11" s="75"/>
      <c r="M11" s="76"/>
      <c r="N11" s="77"/>
      <c r="O11" s="78"/>
      <c r="P11" s="79"/>
      <c r="Q11" s="79"/>
      <c r="R11" s="73"/>
      <c r="S11" s="73"/>
      <c r="T11" s="80"/>
      <c r="U11" s="81"/>
      <c r="V11" s="73"/>
      <c r="W11" s="73"/>
      <c r="X11" s="73"/>
      <c r="Y11" s="64"/>
      <c r="Z11" s="64"/>
      <c r="AA11" s="64"/>
      <c r="AB11" s="80"/>
      <c r="AC11" s="69"/>
    </row>
    <row r="12" s="5" customFormat="1" ht="26" customHeight="1" spans="1:29">
      <c r="A12" s="63">
        <v>46087</v>
      </c>
      <c r="B12" s="73"/>
      <c r="C12" s="74"/>
      <c r="D12" s="75"/>
      <c r="E12" s="73"/>
      <c r="F12" s="74"/>
      <c r="G12" s="75"/>
      <c r="H12" s="75"/>
      <c r="I12" s="75"/>
      <c r="J12" s="75"/>
      <c r="K12" s="75"/>
      <c r="L12" s="75"/>
      <c r="M12" s="76"/>
      <c r="N12" s="77"/>
      <c r="O12" s="81"/>
      <c r="P12" s="73"/>
      <c r="Q12" s="64"/>
      <c r="R12" s="73"/>
      <c r="S12" s="73"/>
      <c r="T12" s="80"/>
      <c r="U12" s="81"/>
      <c r="V12" s="73"/>
      <c r="W12" s="73"/>
      <c r="X12" s="73"/>
      <c r="Y12" s="64"/>
      <c r="Z12" s="64"/>
      <c r="AA12" s="64"/>
      <c r="AB12" s="80"/>
      <c r="AC12" s="69"/>
    </row>
    <row r="13" s="5" customFormat="1" ht="26" customHeight="1" spans="1:29">
      <c r="A13" s="63">
        <v>46088</v>
      </c>
      <c r="B13" s="73"/>
      <c r="C13" s="74"/>
      <c r="D13" s="75"/>
      <c r="E13" s="73"/>
      <c r="F13" s="74"/>
      <c r="G13" s="75"/>
      <c r="H13" s="75"/>
      <c r="I13" s="75"/>
      <c r="J13" s="75"/>
      <c r="K13" s="75"/>
      <c r="L13" s="75"/>
      <c r="M13" s="76"/>
      <c r="N13" s="77"/>
      <c r="O13" s="81"/>
      <c r="P13" s="73"/>
      <c r="Q13" s="73"/>
      <c r="R13" s="73"/>
      <c r="S13" s="73"/>
      <c r="T13" s="80"/>
      <c r="U13" s="81"/>
      <c r="V13" s="73"/>
      <c r="W13" s="73"/>
      <c r="X13" s="73"/>
      <c r="Y13" s="64"/>
      <c r="Z13" s="64"/>
      <c r="AA13" s="64"/>
      <c r="AB13" s="80"/>
      <c r="AC13" s="69"/>
    </row>
    <row r="14" s="5" customFormat="1" ht="26" customHeight="1" spans="1:29">
      <c r="A14" s="63">
        <v>46089</v>
      </c>
      <c r="B14" s="73"/>
      <c r="C14" s="74"/>
      <c r="D14" s="75"/>
      <c r="E14" s="73"/>
      <c r="F14" s="74"/>
      <c r="G14" s="75"/>
      <c r="H14" s="75"/>
      <c r="I14" s="75"/>
      <c r="J14" s="75"/>
      <c r="K14" s="75"/>
      <c r="L14" s="75"/>
      <c r="M14" s="76"/>
      <c r="N14" s="77"/>
      <c r="O14" s="81"/>
      <c r="P14" s="73"/>
      <c r="Q14" s="73"/>
      <c r="R14" s="73"/>
      <c r="S14" s="73"/>
      <c r="T14" s="80"/>
      <c r="U14" s="81"/>
      <c r="V14" s="73"/>
      <c r="W14" s="73"/>
      <c r="X14" s="73"/>
      <c r="Y14" s="64"/>
      <c r="Z14" s="64"/>
      <c r="AA14" s="64"/>
      <c r="AB14" s="80"/>
      <c r="AC14" s="69"/>
    </row>
    <row r="15" s="5" customFormat="1" ht="26" customHeight="1" spans="1:29">
      <c r="A15" s="63">
        <v>46090</v>
      </c>
      <c r="B15" s="73"/>
      <c r="C15" s="74"/>
      <c r="D15" s="75"/>
      <c r="E15" s="73"/>
      <c r="F15" s="74"/>
      <c r="G15" s="75"/>
      <c r="H15" s="75"/>
      <c r="I15" s="75"/>
      <c r="J15" s="75"/>
      <c r="K15" s="75"/>
      <c r="L15" s="75"/>
      <c r="M15" s="76"/>
      <c r="N15" s="77"/>
      <c r="O15" s="81"/>
      <c r="P15" s="73"/>
      <c r="Q15" s="73"/>
      <c r="R15" s="73"/>
      <c r="S15" s="73"/>
      <c r="T15" s="80"/>
      <c r="U15" s="81"/>
      <c r="V15" s="73"/>
      <c r="W15" s="73"/>
      <c r="X15" s="73"/>
      <c r="Y15" s="64"/>
      <c r="Z15" s="64"/>
      <c r="AA15" s="64"/>
      <c r="AB15" s="80"/>
      <c r="AC15" s="69"/>
    </row>
    <row r="16" s="5" customFormat="1" ht="26" customHeight="1" spans="1:29">
      <c r="A16" s="63">
        <v>46091</v>
      </c>
      <c r="B16" s="73"/>
      <c r="C16" s="74"/>
      <c r="D16" s="75"/>
      <c r="E16" s="73"/>
      <c r="F16" s="74"/>
      <c r="G16" s="75"/>
      <c r="H16" s="75"/>
      <c r="I16" s="75"/>
      <c r="J16" s="75"/>
      <c r="K16" s="75"/>
      <c r="L16" s="75"/>
      <c r="M16" s="76"/>
      <c r="N16" s="77"/>
      <c r="O16" s="81"/>
      <c r="P16" s="73"/>
      <c r="Q16" s="73"/>
      <c r="R16" s="73"/>
      <c r="S16" s="73"/>
      <c r="T16" s="80"/>
      <c r="U16" s="81"/>
      <c r="V16" s="73"/>
      <c r="W16" s="73"/>
      <c r="X16" s="73"/>
      <c r="Y16" s="64"/>
      <c r="Z16" s="64"/>
      <c r="AA16" s="64"/>
      <c r="AB16" s="80"/>
      <c r="AC16" s="69"/>
    </row>
    <row r="17" s="5" customFormat="1" ht="26" customHeight="1" spans="1:29">
      <c r="A17" s="63">
        <v>46092</v>
      </c>
      <c r="B17" s="73"/>
      <c r="C17" s="74"/>
      <c r="D17" s="75"/>
      <c r="E17" s="73"/>
      <c r="F17" s="74"/>
      <c r="G17" s="75"/>
      <c r="H17" s="75"/>
      <c r="I17" s="75"/>
      <c r="J17" s="75"/>
      <c r="K17" s="75"/>
      <c r="L17" s="75"/>
      <c r="M17" s="76"/>
      <c r="N17" s="77"/>
      <c r="O17" s="81"/>
      <c r="P17" s="73"/>
      <c r="Q17" s="73"/>
      <c r="R17" s="73"/>
      <c r="S17" s="73"/>
      <c r="T17" s="80"/>
      <c r="U17" s="81"/>
      <c r="V17" s="73"/>
      <c r="W17" s="73"/>
      <c r="X17" s="73"/>
      <c r="Y17" s="64"/>
      <c r="Z17" s="64"/>
      <c r="AA17" s="64"/>
      <c r="AB17" s="80"/>
      <c r="AC17" s="69"/>
    </row>
    <row r="18" s="5" customFormat="1" ht="26" customHeight="1" spans="1:29">
      <c r="A18" s="63">
        <v>46093</v>
      </c>
      <c r="B18" s="73"/>
      <c r="C18" s="74"/>
      <c r="D18" s="75"/>
      <c r="E18" s="73"/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/>
      <c r="V18" s="73"/>
      <c r="W18" s="73"/>
      <c r="X18" s="73"/>
      <c r="Y18" s="64"/>
      <c r="Z18" s="64"/>
      <c r="AA18" s="64"/>
      <c r="AB18" s="80"/>
      <c r="AC18" s="69"/>
    </row>
    <row r="19" s="5" customFormat="1" ht="26" customHeight="1" spans="1:29">
      <c r="A19" s="63">
        <v>46094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46095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46096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46097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46098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46099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46100</v>
      </c>
      <c r="B25" s="73"/>
      <c r="C25" s="74"/>
      <c r="D25" s="75"/>
      <c r="E25" s="73"/>
      <c r="F25" s="74"/>
      <c r="G25" s="75"/>
      <c r="H25" s="75"/>
      <c r="I25" s="75"/>
      <c r="J25" s="75"/>
      <c r="K25" s="75"/>
      <c r="L25" s="75"/>
      <c r="M25" s="76"/>
      <c r="N25" s="77"/>
      <c r="O25" s="81"/>
      <c r="P25" s="73"/>
      <c r="Q25" s="73"/>
      <c r="R25" s="84"/>
      <c r="S25" s="85"/>
      <c r="T25" s="80"/>
      <c r="U25" s="81"/>
      <c r="V25" s="73"/>
      <c r="W25" s="73"/>
      <c r="X25" s="73"/>
      <c r="Y25" s="64"/>
      <c r="Z25" s="64"/>
      <c r="AA25" s="64"/>
      <c r="AB25" s="80"/>
      <c r="AC25" s="69"/>
    </row>
    <row r="26" s="5" customFormat="1" ht="26" customHeight="1" spans="1:29">
      <c r="A26" s="63">
        <v>46101</v>
      </c>
      <c r="B26" s="73"/>
      <c r="C26" s="74"/>
      <c r="D26" s="75"/>
      <c r="E26" s="73"/>
      <c r="F26" s="74"/>
      <c r="G26" s="75"/>
      <c r="H26" s="75"/>
      <c r="I26" s="75"/>
      <c r="J26" s="75"/>
      <c r="K26" s="79"/>
      <c r="L26" s="75"/>
      <c r="M26" s="76"/>
      <c r="N26" s="77"/>
      <c r="O26" s="81"/>
      <c r="P26" s="73"/>
      <c r="Q26" s="73"/>
      <c r="R26" s="73"/>
      <c r="S26" s="73"/>
      <c r="T26" s="80"/>
      <c r="U26" s="81"/>
      <c r="V26" s="73"/>
      <c r="W26" s="73"/>
      <c r="X26" s="73"/>
      <c r="Y26" s="64"/>
      <c r="Z26" s="64"/>
      <c r="AA26" s="64"/>
      <c r="AB26" s="80"/>
      <c r="AC26" s="69"/>
    </row>
    <row r="27" s="5" customFormat="1" ht="26" customHeight="1" spans="1:29">
      <c r="A27" s="63">
        <v>46102</v>
      </c>
      <c r="B27" s="73"/>
      <c r="C27" s="74"/>
      <c r="D27" s="75"/>
      <c r="E27" s="73"/>
      <c r="F27" s="74"/>
      <c r="G27" s="75"/>
      <c r="H27" s="75"/>
      <c r="I27" s="75"/>
      <c r="J27" s="75"/>
      <c r="K27" s="75"/>
      <c r="L27" s="75"/>
      <c r="M27" s="76"/>
      <c r="N27" s="77"/>
      <c r="O27" s="81"/>
      <c r="P27" s="73"/>
      <c r="Q27" s="73"/>
      <c r="R27" s="73"/>
      <c r="S27" s="73"/>
      <c r="T27" s="80"/>
      <c r="U27" s="81"/>
      <c r="V27" s="73"/>
      <c r="W27" s="73"/>
      <c r="X27" s="73"/>
      <c r="Y27" s="64"/>
      <c r="Z27" s="64"/>
      <c r="AA27" s="64"/>
      <c r="AB27" s="80"/>
      <c r="AC27" s="69"/>
    </row>
    <row r="28" s="5" customFormat="1" ht="26" customHeight="1" spans="1:29">
      <c r="A28" s="63">
        <v>46103</v>
      </c>
      <c r="B28" s="73"/>
      <c r="C28" s="74"/>
      <c r="D28" s="75"/>
      <c r="E28" s="73"/>
      <c r="F28" s="74"/>
      <c r="G28" s="75"/>
      <c r="H28" s="75"/>
      <c r="I28" s="75"/>
      <c r="J28" s="75"/>
      <c r="K28" s="75"/>
      <c r="L28" s="75"/>
      <c r="M28" s="76"/>
      <c r="N28" s="77"/>
      <c r="O28" s="81"/>
      <c r="P28" s="73"/>
      <c r="Q28" s="73"/>
      <c r="R28" s="73"/>
      <c r="S28" s="73"/>
      <c r="T28" s="80"/>
      <c r="U28" s="81"/>
      <c r="V28" s="73"/>
      <c r="W28" s="73"/>
      <c r="X28" s="73"/>
      <c r="Y28" s="64"/>
      <c r="Z28" s="64"/>
      <c r="AA28" s="64"/>
      <c r="AB28" s="80"/>
      <c r="AC28" s="69"/>
    </row>
    <row r="29" s="5" customFormat="1" ht="26" customHeight="1" spans="1:29">
      <c r="A29" s="63">
        <v>46104</v>
      </c>
      <c r="B29" s="73"/>
      <c r="C29" s="74"/>
      <c r="D29" s="75"/>
      <c r="E29" s="73"/>
      <c r="F29" s="74"/>
      <c r="G29" s="75"/>
      <c r="H29" s="75"/>
      <c r="I29" s="75"/>
      <c r="J29" s="75"/>
      <c r="K29" s="75"/>
      <c r="L29" s="75"/>
      <c r="M29" s="76"/>
      <c r="N29" s="77"/>
      <c r="O29" s="81"/>
      <c r="P29" s="73"/>
      <c r="Q29" s="73"/>
      <c r="R29" s="73"/>
      <c r="S29" s="73"/>
      <c r="T29" s="80"/>
      <c r="U29" s="81"/>
      <c r="V29" s="73"/>
      <c r="W29" s="73"/>
      <c r="X29" s="73"/>
      <c r="Y29" s="64"/>
      <c r="Z29" s="64"/>
      <c r="AA29" s="64"/>
      <c r="AB29" s="80"/>
      <c r="AC29" s="69"/>
    </row>
    <row r="30" s="5" customFormat="1" ht="26" customHeight="1" spans="1:29">
      <c r="A30" s="63">
        <v>46105</v>
      </c>
      <c r="B30" s="73"/>
      <c r="C30" s="74"/>
      <c r="D30" s="75"/>
      <c r="E30" s="73"/>
      <c r="F30" s="74"/>
      <c r="G30" s="75"/>
      <c r="H30" s="75"/>
      <c r="I30" s="75"/>
      <c r="J30" s="75"/>
      <c r="K30" s="75"/>
      <c r="L30" s="75"/>
      <c r="M30" s="76"/>
      <c r="N30" s="77"/>
      <c r="O30" s="81"/>
      <c r="P30" s="73"/>
      <c r="Q30" s="73"/>
      <c r="R30" s="73"/>
      <c r="S30" s="73"/>
      <c r="T30" s="80"/>
      <c r="U30" s="81"/>
      <c r="V30" s="73"/>
      <c r="W30" s="73"/>
      <c r="X30" s="73"/>
      <c r="Y30" s="64"/>
      <c r="Z30" s="64"/>
      <c r="AA30" s="64"/>
      <c r="AB30" s="80"/>
      <c r="AC30" s="69"/>
    </row>
    <row r="31" s="5" customFormat="1" ht="26" customHeight="1" spans="1:29">
      <c r="A31" s="63">
        <v>46106</v>
      </c>
      <c r="B31" s="73"/>
      <c r="C31" s="74"/>
      <c r="D31" s="75"/>
      <c r="E31" s="73"/>
      <c r="F31" s="74"/>
      <c r="G31" s="75"/>
      <c r="H31" s="75"/>
      <c r="I31" s="75"/>
      <c r="J31" s="75"/>
      <c r="K31" s="75"/>
      <c r="L31" s="75"/>
      <c r="M31" s="76"/>
      <c r="N31" s="77"/>
      <c r="O31" s="81"/>
      <c r="P31" s="73"/>
      <c r="Q31" s="73"/>
      <c r="R31" s="73"/>
      <c r="S31" s="73"/>
      <c r="T31" s="80"/>
      <c r="U31" s="81"/>
      <c r="V31" s="73"/>
      <c r="W31" s="73"/>
      <c r="X31" s="73"/>
      <c r="Y31" s="64"/>
      <c r="Z31" s="64"/>
      <c r="AA31" s="64"/>
      <c r="AB31" s="80"/>
      <c r="AC31" s="69"/>
    </row>
    <row r="32" s="5" customFormat="1" ht="26" customHeight="1" spans="1:29">
      <c r="A32" s="63">
        <v>46107</v>
      </c>
      <c r="B32" s="73"/>
      <c r="C32" s="74"/>
      <c r="D32" s="75"/>
      <c r="E32" s="73"/>
      <c r="F32" s="74"/>
      <c r="G32" s="75"/>
      <c r="H32" s="75"/>
      <c r="I32" s="75"/>
      <c r="J32" s="75"/>
      <c r="K32" s="75"/>
      <c r="L32" s="75"/>
      <c r="M32" s="76"/>
      <c r="N32" s="77"/>
      <c r="O32" s="81"/>
      <c r="P32" s="73"/>
      <c r="Q32" s="73"/>
      <c r="R32" s="73"/>
      <c r="S32" s="73"/>
      <c r="T32" s="80"/>
      <c r="U32" s="81"/>
      <c r="V32" s="73"/>
      <c r="W32" s="73"/>
      <c r="X32" s="73"/>
      <c r="Y32" s="64"/>
      <c r="Z32" s="64"/>
      <c r="AA32" s="64"/>
      <c r="AB32" s="80"/>
      <c r="AC32" s="69"/>
    </row>
    <row r="33" s="5" customFormat="1" ht="26" customHeight="1" spans="1:29">
      <c r="A33" s="63">
        <v>46108</v>
      </c>
      <c r="B33" s="73"/>
      <c r="C33" s="74"/>
      <c r="D33" s="75"/>
      <c r="E33" s="73"/>
      <c r="F33" s="74"/>
      <c r="G33" s="75"/>
      <c r="H33" s="75"/>
      <c r="I33" s="75"/>
      <c r="J33" s="75"/>
      <c r="K33" s="75"/>
      <c r="L33" s="75"/>
      <c r="M33" s="76"/>
      <c r="N33" s="77"/>
      <c r="O33" s="81"/>
      <c r="P33" s="73"/>
      <c r="Q33" s="73"/>
      <c r="R33" s="73"/>
      <c r="S33" s="73"/>
      <c r="T33" s="80"/>
      <c r="U33" s="81"/>
      <c r="V33" s="73"/>
      <c r="W33" s="73"/>
      <c r="X33" s="73"/>
      <c r="Y33" s="64"/>
      <c r="Z33" s="64"/>
      <c r="AA33" s="64"/>
      <c r="AB33" s="80"/>
      <c r="AC33" s="69"/>
    </row>
    <row r="34" s="5" customFormat="1" ht="26" customHeight="1" spans="1:29">
      <c r="A34" s="63">
        <v>46109</v>
      </c>
      <c r="B34" s="73"/>
      <c r="C34" s="74"/>
      <c r="D34" s="75"/>
      <c r="E34" s="73"/>
      <c r="F34" s="74"/>
      <c r="G34" s="75"/>
      <c r="H34" s="75"/>
      <c r="I34" s="75"/>
      <c r="J34" s="75"/>
      <c r="K34" s="73"/>
      <c r="L34" s="75"/>
      <c r="M34" s="76"/>
      <c r="N34" s="77"/>
      <c r="O34" s="81"/>
      <c r="P34" s="73"/>
      <c r="Q34" s="73"/>
      <c r="R34" s="73"/>
      <c r="S34" s="73"/>
      <c r="T34" s="80"/>
      <c r="U34" s="81"/>
      <c r="V34" s="73"/>
      <c r="W34" s="73"/>
      <c r="X34" s="73"/>
      <c r="Y34" s="64"/>
      <c r="Z34" s="64"/>
      <c r="AA34" s="64"/>
      <c r="AB34" s="80"/>
      <c r="AC34" s="69"/>
    </row>
    <row r="35" s="5" customFormat="1" ht="26" customHeight="1" spans="1:29">
      <c r="A35" s="63">
        <v>46110</v>
      </c>
      <c r="B35" s="73"/>
      <c r="C35" s="74"/>
      <c r="D35" s="75"/>
      <c r="E35" s="86"/>
      <c r="F35" s="74"/>
      <c r="G35" s="75"/>
      <c r="H35" s="75"/>
      <c r="I35" s="75"/>
      <c r="J35" s="75"/>
      <c r="K35" s="86"/>
      <c r="L35" s="75"/>
      <c r="M35" s="76"/>
      <c r="N35" s="77"/>
      <c r="O35" s="81"/>
      <c r="P35" s="73"/>
      <c r="Q35" s="73"/>
      <c r="R35" s="73"/>
      <c r="S35" s="73"/>
      <c r="T35" s="80"/>
      <c r="U35" s="81"/>
      <c r="V35" s="73"/>
      <c r="W35" s="73"/>
      <c r="X35" s="73"/>
      <c r="Y35" s="64"/>
      <c r="Z35" s="64"/>
      <c r="AA35" s="64"/>
      <c r="AB35" s="80"/>
      <c r="AC35" s="69"/>
    </row>
    <row r="36" s="5" customFormat="1" ht="26" customHeight="1" spans="1:29">
      <c r="A36" s="63">
        <v>46111</v>
      </c>
      <c r="B36" s="73"/>
      <c r="C36" s="74"/>
      <c r="D36" s="75"/>
      <c r="E36" s="73"/>
      <c r="F36" s="74"/>
      <c r="G36" s="75"/>
      <c r="H36" s="75"/>
      <c r="I36" s="75"/>
      <c r="J36" s="75"/>
      <c r="K36" s="73"/>
      <c r="L36" s="75"/>
      <c r="M36" s="76"/>
      <c r="N36" s="77"/>
      <c r="O36" s="81"/>
      <c r="P36" s="73"/>
      <c r="Q36" s="73"/>
      <c r="R36" s="73"/>
      <c r="S36" s="73"/>
      <c r="T36" s="80"/>
      <c r="U36" s="81"/>
      <c r="V36" s="73"/>
      <c r="W36" s="73"/>
      <c r="X36" s="73"/>
      <c r="Y36" s="64"/>
      <c r="Z36" s="64"/>
      <c r="AA36" s="64"/>
      <c r="AB36" s="80"/>
      <c r="AC36" s="69"/>
    </row>
    <row r="37" s="5" customFormat="1" ht="26" customHeight="1" spans="1:29">
      <c r="A37" s="63">
        <v>46112</v>
      </c>
      <c r="B37" s="73"/>
      <c r="C37" s="74"/>
      <c r="D37" s="75"/>
      <c r="E37" s="73"/>
      <c r="F37" s="74"/>
      <c r="G37" s="75"/>
      <c r="H37" s="75"/>
      <c r="I37" s="75"/>
      <c r="J37" s="75"/>
      <c r="K37" s="73"/>
      <c r="L37" s="75"/>
      <c r="M37" s="76"/>
      <c r="N37" s="77"/>
      <c r="O37" s="81"/>
      <c r="P37" s="73"/>
      <c r="Q37" s="73"/>
      <c r="R37" s="73"/>
      <c r="S37" s="73"/>
      <c r="T37" s="80"/>
      <c r="U37" s="81"/>
      <c r="V37" s="73"/>
      <c r="W37" s="73"/>
      <c r="X37" s="73"/>
      <c r="Y37" s="64"/>
      <c r="Z37" s="64"/>
      <c r="AA37" s="64"/>
      <c r="AB37" s="80"/>
      <c r="AC37" s="69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87"/>
      <c r="B44" s="88"/>
      <c r="C44" s="89"/>
      <c r="D44" s="90"/>
      <c r="E44" s="88"/>
      <c r="F44" s="89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87"/>
      <c r="B45" s="88"/>
      <c r="C45" s="89"/>
      <c r="D45" s="90"/>
      <c r="E45" s="88"/>
      <c r="F45" s="89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87"/>
      <c r="B46" s="88"/>
      <c r="C46" s="89"/>
      <c r="D46" s="90"/>
      <c r="E46" s="88"/>
      <c r="F46" s="89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</row>
    <row r="49" s="1" customFormat="1" spans="1:2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  <c r="AC49" s="1">
        <v>119</v>
      </c>
    </row>
    <row r="50" s="1" customFormat="1" spans="1:2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2"/>
      <c r="N50" s="91"/>
      <c r="AC50" s="1">
        <v>87</v>
      </c>
    </row>
    <row r="51" s="1" customFormat="1" spans="1:2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2"/>
      <c r="N51" s="91"/>
      <c r="AC51" s="1">
        <v>69</v>
      </c>
    </row>
    <row r="52" s="1" customFormat="1" spans="1:29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2"/>
      <c r="N52" s="91"/>
      <c r="AC52" s="1">
        <v>104</v>
      </c>
    </row>
    <row r="53" s="1" customFormat="1" spans="1:29">
      <c r="M53" s="6"/>
      <c r="AC53" s="1">
        <v>106</v>
      </c>
    </row>
    <row r="54" s="1" customFormat="1" spans="1:29">
      <c r="M54" s="6"/>
      <c r="AC54" s="1">
        <v>105</v>
      </c>
    </row>
  </sheetData>
  <mergeCells count="13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3"/>
  <sheetViews>
    <sheetView topLeftCell="A31" workbookViewId="0">
      <selection activeCell="A37" sqref="$A37:$XFD37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16384" width="9.025" style="1"/>
  </cols>
  <sheetData>
    <row r="1" s="1" customFormat="1" ht="33" customHeight="1" spans="1: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29">
      <c r="A2" s="9" t="s">
        <v>1</v>
      </c>
      <c r="B2" s="10">
        <f>N6-(N6*0.07)</f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0</v>
      </c>
      <c r="U2" s="10" t="s">
        <v>4</v>
      </c>
      <c r="V2" s="12"/>
      <c r="W2" s="15">
        <f>Q2+T2-Z2</f>
        <v>0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29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0</v>
      </c>
      <c r="T3" s="25" t="e">
        <f>SUM(O5:T5)</f>
        <v>#DIV/0!</v>
      </c>
      <c r="U3" s="26" t="s">
        <v>10</v>
      </c>
      <c r="V3" s="27"/>
      <c r="W3" s="27"/>
      <c r="X3" s="27"/>
      <c r="Y3" s="27"/>
      <c r="Z3" s="28"/>
      <c r="AA3" s="29">
        <f>SUM(U6:AB6)</f>
        <v>0</v>
      </c>
      <c r="AB3" s="30" t="e">
        <f>SUM(U5:AB5)</f>
        <v>#DIV/0!</v>
      </c>
      <c r="AC3" s="31" t="s">
        <v>11</v>
      </c>
    </row>
    <row r="4" s="4" customFormat="1" ht="26" customHeight="1" spans="1:29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</row>
    <row r="5" s="3" customFormat="1" ht="26" customHeight="1" spans="1:29">
      <c r="A5" s="45"/>
      <c r="B5" s="46" t="e">
        <f>B6/$N$6</f>
        <v>#DIV/0!</v>
      </c>
      <c r="C5" s="46"/>
      <c r="D5" s="46"/>
      <c r="E5" s="46" t="e">
        <f>E6/$N$6</f>
        <v>#DIV/0!</v>
      </c>
      <c r="F5" s="46"/>
      <c r="G5" s="46"/>
      <c r="H5" s="46" t="e">
        <f t="shared" ref="H5:M5" si="0">H6/$N$6</f>
        <v>#DIV/0!</v>
      </c>
      <c r="I5" s="46"/>
      <c r="J5" s="46"/>
      <c r="K5" s="46" t="e">
        <f t="shared" si="0"/>
        <v>#DIV/0!</v>
      </c>
      <c r="L5" s="46" t="e">
        <f t="shared" si="0"/>
        <v>#DIV/0!</v>
      </c>
      <c r="M5" s="46" t="e">
        <f t="shared" si="0"/>
        <v>#DIV/0!</v>
      </c>
      <c r="N5" s="35"/>
      <c r="O5" s="47" t="e">
        <f t="shared" ref="O5:AB5" si="1">O6/$N$6</f>
        <v>#DIV/0!</v>
      </c>
      <c r="P5" s="48" t="e">
        <f t="shared" si="1"/>
        <v>#DIV/0!</v>
      </c>
      <c r="Q5" s="48" t="e">
        <f t="shared" si="1"/>
        <v>#DIV/0!</v>
      </c>
      <c r="R5" s="48" t="e">
        <f t="shared" si="1"/>
        <v>#DIV/0!</v>
      </c>
      <c r="S5" s="48" t="e">
        <f t="shared" si="1"/>
        <v>#DIV/0!</v>
      </c>
      <c r="T5" s="49" t="e">
        <f t="shared" si="1"/>
        <v>#DIV/0!</v>
      </c>
      <c r="U5" s="50" t="e">
        <f t="shared" si="1"/>
        <v>#DIV/0!</v>
      </c>
      <c r="V5" s="51" t="e">
        <f t="shared" si="1"/>
        <v>#DIV/0!</v>
      </c>
      <c r="W5" s="51" t="e">
        <f t="shared" si="1"/>
        <v>#DIV/0!</v>
      </c>
      <c r="X5" s="51" t="e">
        <f t="shared" si="1"/>
        <v>#DIV/0!</v>
      </c>
      <c r="Y5" s="51" t="e">
        <f t="shared" si="1"/>
        <v>#DIV/0!</v>
      </c>
      <c r="Z5" s="51" t="e">
        <f t="shared" si="1"/>
        <v>#DIV/0!</v>
      </c>
      <c r="AA5" s="51" t="e">
        <f t="shared" si="1"/>
        <v>#DIV/0!</v>
      </c>
      <c r="AB5" s="52" t="e">
        <f t="shared" si="1"/>
        <v>#DIV/0!</v>
      </c>
      <c r="AC5" s="53" t="e">
        <f>SUM(O5:AB5)</f>
        <v>#DIV/0!</v>
      </c>
    </row>
    <row r="6" s="5" customFormat="1" ht="26" customHeight="1" spans="1:29">
      <c r="A6" s="32" t="s">
        <v>35</v>
      </c>
      <c r="B6" s="54">
        <f>SUM(B7:B36)</f>
        <v>0</v>
      </c>
      <c r="C6" s="55">
        <f>SUM(C7:C36)</f>
        <v>0</v>
      </c>
      <c r="D6" s="54" t="e">
        <f>B6/C6</f>
        <v>#DIV/0!</v>
      </c>
      <c r="E6" s="54">
        <f>SUM(E7:E36)</f>
        <v>0</v>
      </c>
      <c r="F6" s="54">
        <f>SUM(F7:F36)</f>
        <v>0</v>
      </c>
      <c r="G6" s="54" t="e">
        <f>E6/F6</f>
        <v>#DIV/0!</v>
      </c>
      <c r="H6" s="54">
        <f>SUM(H7:H36)</f>
        <v>0</v>
      </c>
      <c r="I6" s="55">
        <f>SUM(I7:I36)</f>
        <v>0</v>
      </c>
      <c r="J6" s="54" t="e">
        <f>H6/I6</f>
        <v>#DIV/0!</v>
      </c>
      <c r="K6" s="54">
        <f>SUM(K7:K36)</f>
        <v>0</v>
      </c>
      <c r="L6" s="54">
        <f>SUM(L7:L36)</f>
        <v>0</v>
      </c>
      <c r="M6" s="54">
        <f>SUM(M7:M36)</f>
        <v>0</v>
      </c>
      <c r="N6" s="56">
        <f>B6+E6+H6+K6+L6-M6</f>
        <v>0</v>
      </c>
      <c r="O6" s="57">
        <f t="shared" ref="O6:AB6" si="2">SUM(O7:O36)</f>
        <v>0</v>
      </c>
      <c r="P6" s="58">
        <f t="shared" si="2"/>
        <v>0</v>
      </c>
      <c r="Q6" s="58">
        <f t="shared" si="2"/>
        <v>0</v>
      </c>
      <c r="R6" s="58">
        <f t="shared" si="2"/>
        <v>0</v>
      </c>
      <c r="S6" s="58">
        <f t="shared" si="2"/>
        <v>0</v>
      </c>
      <c r="T6" s="59">
        <f t="shared" si="2"/>
        <v>0</v>
      </c>
      <c r="U6" s="60">
        <f t="shared" si="2"/>
        <v>0</v>
      </c>
      <c r="V6" s="61">
        <f t="shared" si="2"/>
        <v>0</v>
      </c>
      <c r="W6" s="61">
        <f t="shared" si="2"/>
        <v>0</v>
      </c>
      <c r="X6" s="61">
        <f t="shared" si="2"/>
        <v>0</v>
      </c>
      <c r="Y6" s="61">
        <f t="shared" si="2"/>
        <v>0</v>
      </c>
      <c r="Z6" s="61">
        <f t="shared" si="2"/>
        <v>0</v>
      </c>
      <c r="AA6" s="61">
        <f t="shared" si="2"/>
        <v>0</v>
      </c>
      <c r="AB6" s="61">
        <f t="shared" si="2"/>
        <v>0</v>
      </c>
      <c r="AC6" s="62">
        <f>SUM(O6:AB6)</f>
        <v>0</v>
      </c>
    </row>
    <row r="7" s="5" customFormat="1" ht="26" customHeight="1" spans="1:29">
      <c r="A7" s="63">
        <v>46113</v>
      </c>
      <c r="B7" s="64"/>
      <c r="C7" s="64"/>
      <c r="D7" s="65"/>
      <c r="E7" s="64"/>
      <c r="F7" s="64"/>
      <c r="G7" s="65"/>
      <c r="H7" s="64"/>
      <c r="I7" s="64"/>
      <c r="J7" s="65"/>
      <c r="K7" s="64"/>
      <c r="L7" s="64"/>
      <c r="M7" s="66"/>
      <c r="N7" s="67"/>
      <c r="O7" s="68"/>
      <c r="P7" s="64"/>
      <c r="Q7" s="64"/>
      <c r="R7" s="64"/>
      <c r="S7" s="64"/>
      <c r="T7" s="67"/>
      <c r="U7" s="68"/>
      <c r="V7" s="64"/>
      <c r="W7" s="64"/>
      <c r="X7" s="64"/>
      <c r="Y7" s="64"/>
      <c r="Z7" s="64"/>
      <c r="AA7" s="64"/>
      <c r="AB7" s="67"/>
      <c r="AC7" s="69"/>
    </row>
    <row r="8" s="5" customFormat="1" ht="26" customHeight="1" spans="1:29">
      <c r="A8" s="63">
        <v>46114</v>
      </c>
      <c r="B8" s="64"/>
      <c r="C8" s="64"/>
      <c r="D8" s="65"/>
      <c r="E8" s="64"/>
      <c r="F8" s="64"/>
      <c r="G8" s="65"/>
      <c r="H8" s="64"/>
      <c r="I8" s="64"/>
      <c r="J8" s="65"/>
      <c r="K8" s="64"/>
      <c r="L8" s="64"/>
      <c r="M8" s="66"/>
      <c r="N8" s="67"/>
      <c r="O8" s="68"/>
      <c r="P8" s="64"/>
      <c r="Q8" s="64"/>
      <c r="R8" s="64"/>
      <c r="S8" s="64"/>
      <c r="T8" s="67"/>
      <c r="U8" s="68"/>
      <c r="V8" s="64"/>
      <c r="W8" s="64"/>
      <c r="X8" s="64"/>
      <c r="Y8" s="64"/>
      <c r="Z8" s="64"/>
      <c r="AA8" s="64"/>
      <c r="AB8" s="67"/>
      <c r="AC8" s="69"/>
    </row>
    <row r="9" s="5" customFormat="1" ht="26" customHeight="1" spans="1:29">
      <c r="A9" s="63">
        <v>46115</v>
      </c>
      <c r="B9" s="64"/>
      <c r="C9" s="64"/>
      <c r="D9" s="65"/>
      <c r="E9" s="64"/>
      <c r="F9" s="64"/>
      <c r="G9" s="70"/>
      <c r="H9" s="64"/>
      <c r="I9" s="64"/>
      <c r="J9" s="65"/>
      <c r="K9" s="64"/>
      <c r="L9" s="64"/>
      <c r="M9" s="66"/>
      <c r="N9" s="67"/>
      <c r="O9" s="68"/>
      <c r="P9" s="64"/>
      <c r="Q9" s="64"/>
      <c r="R9" s="71"/>
      <c r="S9" s="64"/>
      <c r="T9" s="64"/>
      <c r="U9" s="68"/>
      <c r="V9" s="64"/>
      <c r="W9" s="64"/>
      <c r="X9" s="72"/>
      <c r="Y9" s="64"/>
      <c r="Z9" s="64"/>
      <c r="AA9" s="64"/>
      <c r="AB9" s="67"/>
      <c r="AC9" s="69"/>
    </row>
    <row r="10" s="5" customFormat="1" ht="26" customHeight="1" spans="1:29">
      <c r="A10" s="63">
        <v>46116</v>
      </c>
      <c r="B10" s="64"/>
      <c r="C10" s="64"/>
      <c r="D10" s="70"/>
      <c r="E10" s="64"/>
      <c r="F10" s="64"/>
      <c r="G10" s="70"/>
      <c r="H10" s="64"/>
      <c r="I10" s="64"/>
      <c r="J10" s="70"/>
      <c r="K10" s="64"/>
      <c r="L10" s="64"/>
      <c r="M10" s="66"/>
      <c r="N10" s="67"/>
      <c r="O10" s="68"/>
      <c r="P10" s="64"/>
      <c r="Q10" s="64"/>
      <c r="R10" s="64"/>
      <c r="S10" s="64"/>
      <c r="T10" s="64"/>
      <c r="U10" s="68"/>
      <c r="V10" s="64"/>
      <c r="W10" s="64"/>
      <c r="X10" s="64"/>
      <c r="Y10" s="64"/>
      <c r="Z10" s="64"/>
      <c r="AA10" s="64"/>
      <c r="AB10" s="67"/>
      <c r="AC10" s="69"/>
    </row>
    <row r="11" s="5" customFormat="1" ht="26" customHeight="1" spans="1:29">
      <c r="A11" s="63">
        <v>46117</v>
      </c>
      <c r="B11" s="73"/>
      <c r="C11" s="74"/>
      <c r="D11" s="75"/>
      <c r="E11" s="73"/>
      <c r="F11" s="74"/>
      <c r="G11" s="75"/>
      <c r="H11" s="75"/>
      <c r="I11" s="75"/>
      <c r="J11" s="75"/>
      <c r="K11" s="75"/>
      <c r="L11" s="75"/>
      <c r="M11" s="76"/>
      <c r="N11" s="77"/>
      <c r="O11" s="78"/>
      <c r="P11" s="79"/>
      <c r="Q11" s="79"/>
      <c r="R11" s="73"/>
      <c r="S11" s="73"/>
      <c r="T11" s="80"/>
      <c r="U11" s="81"/>
      <c r="V11" s="73"/>
      <c r="W11" s="73"/>
      <c r="X11" s="73"/>
      <c r="Y11" s="64"/>
      <c r="Z11" s="64"/>
      <c r="AA11" s="64"/>
      <c r="AB11" s="80"/>
      <c r="AC11" s="69"/>
    </row>
    <row r="12" s="5" customFormat="1" ht="26" customHeight="1" spans="1:29">
      <c r="A12" s="63">
        <v>46118</v>
      </c>
      <c r="B12" s="73"/>
      <c r="C12" s="74"/>
      <c r="D12" s="75"/>
      <c r="E12" s="73"/>
      <c r="F12" s="74"/>
      <c r="G12" s="75"/>
      <c r="H12" s="75"/>
      <c r="I12" s="75"/>
      <c r="J12" s="75"/>
      <c r="K12" s="75"/>
      <c r="L12" s="75"/>
      <c r="M12" s="76"/>
      <c r="N12" s="77"/>
      <c r="O12" s="81"/>
      <c r="P12" s="73"/>
      <c r="Q12" s="64"/>
      <c r="R12" s="73"/>
      <c r="S12" s="73"/>
      <c r="T12" s="80"/>
      <c r="U12" s="81"/>
      <c r="V12" s="73"/>
      <c r="W12" s="73"/>
      <c r="X12" s="73"/>
      <c r="Y12" s="64"/>
      <c r="Z12" s="64"/>
      <c r="AA12" s="64"/>
      <c r="AB12" s="80"/>
      <c r="AC12" s="69"/>
    </row>
    <row r="13" s="5" customFormat="1" ht="26" customHeight="1" spans="1:29">
      <c r="A13" s="63">
        <v>46119</v>
      </c>
      <c r="B13" s="73"/>
      <c r="C13" s="74"/>
      <c r="D13" s="75"/>
      <c r="E13" s="73"/>
      <c r="F13" s="74"/>
      <c r="G13" s="75"/>
      <c r="H13" s="75"/>
      <c r="I13" s="75"/>
      <c r="J13" s="75"/>
      <c r="K13" s="75"/>
      <c r="L13" s="75"/>
      <c r="M13" s="76"/>
      <c r="N13" s="77"/>
      <c r="O13" s="81"/>
      <c r="P13" s="73"/>
      <c r="Q13" s="73"/>
      <c r="R13" s="73"/>
      <c r="S13" s="73"/>
      <c r="T13" s="80"/>
      <c r="U13" s="81"/>
      <c r="V13" s="73"/>
      <c r="W13" s="73"/>
      <c r="X13" s="73"/>
      <c r="Y13" s="64"/>
      <c r="Z13" s="64"/>
      <c r="AA13" s="64"/>
      <c r="AB13" s="80"/>
      <c r="AC13" s="69"/>
    </row>
    <row r="14" s="5" customFormat="1" ht="26" customHeight="1" spans="1:29">
      <c r="A14" s="63">
        <v>46120</v>
      </c>
      <c r="B14" s="73"/>
      <c r="C14" s="74"/>
      <c r="D14" s="75"/>
      <c r="E14" s="73"/>
      <c r="F14" s="74"/>
      <c r="G14" s="75"/>
      <c r="H14" s="75"/>
      <c r="I14" s="75"/>
      <c r="J14" s="75"/>
      <c r="K14" s="75"/>
      <c r="L14" s="75"/>
      <c r="M14" s="76"/>
      <c r="N14" s="77"/>
      <c r="O14" s="81"/>
      <c r="P14" s="73"/>
      <c r="Q14" s="73"/>
      <c r="R14" s="73"/>
      <c r="S14" s="73"/>
      <c r="T14" s="80"/>
      <c r="U14" s="81"/>
      <c r="V14" s="73"/>
      <c r="W14" s="73"/>
      <c r="X14" s="73"/>
      <c r="Y14" s="64"/>
      <c r="Z14" s="64"/>
      <c r="AA14" s="64"/>
      <c r="AB14" s="80"/>
      <c r="AC14" s="69"/>
    </row>
    <row r="15" s="5" customFormat="1" ht="26" customHeight="1" spans="1:29">
      <c r="A15" s="63">
        <v>46121</v>
      </c>
      <c r="B15" s="73"/>
      <c r="C15" s="74"/>
      <c r="D15" s="75"/>
      <c r="E15" s="73"/>
      <c r="F15" s="74"/>
      <c r="G15" s="75"/>
      <c r="H15" s="75"/>
      <c r="I15" s="75"/>
      <c r="J15" s="75"/>
      <c r="K15" s="75"/>
      <c r="L15" s="75"/>
      <c r="M15" s="76"/>
      <c r="N15" s="77"/>
      <c r="O15" s="81"/>
      <c r="P15" s="73"/>
      <c r="Q15" s="73"/>
      <c r="R15" s="73"/>
      <c r="S15" s="73"/>
      <c r="T15" s="80"/>
      <c r="U15" s="81"/>
      <c r="V15" s="73"/>
      <c r="W15" s="73"/>
      <c r="X15" s="73"/>
      <c r="Y15" s="64"/>
      <c r="Z15" s="64"/>
      <c r="AA15" s="64"/>
      <c r="AB15" s="80"/>
      <c r="AC15" s="69"/>
    </row>
    <row r="16" s="5" customFormat="1" ht="26" customHeight="1" spans="1:29">
      <c r="A16" s="63">
        <v>46122</v>
      </c>
      <c r="B16" s="73"/>
      <c r="C16" s="74"/>
      <c r="D16" s="75"/>
      <c r="E16" s="73"/>
      <c r="F16" s="74"/>
      <c r="G16" s="75"/>
      <c r="H16" s="75"/>
      <c r="I16" s="75"/>
      <c r="J16" s="75"/>
      <c r="K16" s="75"/>
      <c r="L16" s="75"/>
      <c r="M16" s="76"/>
      <c r="N16" s="77"/>
      <c r="O16" s="81"/>
      <c r="P16" s="73"/>
      <c r="Q16" s="73"/>
      <c r="R16" s="73"/>
      <c r="S16" s="73"/>
      <c r="T16" s="80"/>
      <c r="U16" s="81"/>
      <c r="V16" s="73"/>
      <c r="W16" s="73"/>
      <c r="X16" s="73"/>
      <c r="Y16" s="64"/>
      <c r="Z16" s="64"/>
      <c r="AA16" s="64"/>
      <c r="AB16" s="80"/>
      <c r="AC16" s="69"/>
    </row>
    <row r="17" s="5" customFormat="1" ht="26" customHeight="1" spans="1:29">
      <c r="A17" s="63">
        <v>46123</v>
      </c>
      <c r="B17" s="73"/>
      <c r="C17" s="74"/>
      <c r="D17" s="75"/>
      <c r="E17" s="73"/>
      <c r="F17" s="74"/>
      <c r="G17" s="75"/>
      <c r="H17" s="75"/>
      <c r="I17" s="75"/>
      <c r="J17" s="75"/>
      <c r="K17" s="75"/>
      <c r="L17" s="75"/>
      <c r="M17" s="76"/>
      <c r="N17" s="77"/>
      <c r="O17" s="81"/>
      <c r="P17" s="73"/>
      <c r="Q17" s="73"/>
      <c r="R17" s="73"/>
      <c r="S17" s="73"/>
      <c r="T17" s="80"/>
      <c r="U17" s="81"/>
      <c r="V17" s="73"/>
      <c r="W17" s="73"/>
      <c r="X17" s="73"/>
      <c r="Y17" s="64"/>
      <c r="Z17" s="64"/>
      <c r="AA17" s="64"/>
      <c r="AB17" s="80"/>
      <c r="AC17" s="69"/>
    </row>
    <row r="18" s="5" customFormat="1" ht="26" customHeight="1" spans="1:29">
      <c r="A18" s="63">
        <v>46124</v>
      </c>
      <c r="B18" s="73"/>
      <c r="C18" s="74"/>
      <c r="D18" s="75"/>
      <c r="E18" s="73"/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/>
      <c r="V18" s="73"/>
      <c r="W18" s="73"/>
      <c r="X18" s="73"/>
      <c r="Y18" s="64"/>
      <c r="Z18" s="64"/>
      <c r="AA18" s="64"/>
      <c r="AB18" s="80"/>
      <c r="AC18" s="69"/>
    </row>
    <row r="19" s="5" customFormat="1" ht="26" customHeight="1" spans="1:29">
      <c r="A19" s="63">
        <v>46125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46126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46127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46128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46129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46130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46131</v>
      </c>
      <c r="B25" s="73"/>
      <c r="C25" s="74"/>
      <c r="D25" s="75"/>
      <c r="E25" s="73"/>
      <c r="F25" s="74"/>
      <c r="G25" s="75"/>
      <c r="H25" s="75"/>
      <c r="I25" s="75"/>
      <c r="J25" s="75"/>
      <c r="K25" s="75"/>
      <c r="L25" s="75"/>
      <c r="M25" s="76"/>
      <c r="N25" s="77"/>
      <c r="O25" s="81"/>
      <c r="P25" s="73"/>
      <c r="Q25" s="73"/>
      <c r="R25" s="84"/>
      <c r="S25" s="85"/>
      <c r="T25" s="80"/>
      <c r="U25" s="81"/>
      <c r="V25" s="73"/>
      <c r="W25" s="73"/>
      <c r="X25" s="73"/>
      <c r="Y25" s="64"/>
      <c r="Z25" s="64"/>
      <c r="AA25" s="64"/>
      <c r="AB25" s="80"/>
      <c r="AC25" s="69"/>
    </row>
    <row r="26" s="5" customFormat="1" ht="26" customHeight="1" spans="1:29">
      <c r="A26" s="63">
        <v>46132</v>
      </c>
      <c r="B26" s="73"/>
      <c r="C26" s="74"/>
      <c r="D26" s="75"/>
      <c r="E26" s="73"/>
      <c r="F26" s="74"/>
      <c r="G26" s="75"/>
      <c r="H26" s="75"/>
      <c r="I26" s="75"/>
      <c r="J26" s="75"/>
      <c r="K26" s="79"/>
      <c r="L26" s="75"/>
      <c r="M26" s="76"/>
      <c r="N26" s="77"/>
      <c r="O26" s="81"/>
      <c r="P26" s="73"/>
      <c r="Q26" s="73"/>
      <c r="R26" s="73"/>
      <c r="S26" s="73"/>
      <c r="T26" s="80"/>
      <c r="U26" s="81"/>
      <c r="V26" s="73"/>
      <c r="W26" s="73"/>
      <c r="X26" s="73"/>
      <c r="Y26" s="64"/>
      <c r="Z26" s="64"/>
      <c r="AA26" s="64"/>
      <c r="AB26" s="80"/>
      <c r="AC26" s="69"/>
    </row>
    <row r="27" s="5" customFormat="1" ht="26" customHeight="1" spans="1:29">
      <c r="A27" s="63">
        <v>46133</v>
      </c>
      <c r="B27" s="73"/>
      <c r="C27" s="74"/>
      <c r="D27" s="75"/>
      <c r="E27" s="73"/>
      <c r="F27" s="74"/>
      <c r="G27" s="75"/>
      <c r="H27" s="75"/>
      <c r="I27" s="75"/>
      <c r="J27" s="75"/>
      <c r="K27" s="75"/>
      <c r="L27" s="75"/>
      <c r="M27" s="76"/>
      <c r="N27" s="77"/>
      <c r="O27" s="81"/>
      <c r="P27" s="73"/>
      <c r="Q27" s="73"/>
      <c r="R27" s="73"/>
      <c r="S27" s="73"/>
      <c r="T27" s="80"/>
      <c r="U27" s="81"/>
      <c r="V27" s="73"/>
      <c r="W27" s="73"/>
      <c r="X27" s="73"/>
      <c r="Y27" s="64"/>
      <c r="Z27" s="64"/>
      <c r="AA27" s="64"/>
      <c r="AB27" s="80"/>
      <c r="AC27" s="69"/>
    </row>
    <row r="28" s="5" customFormat="1" ht="26" customHeight="1" spans="1:29">
      <c r="A28" s="63">
        <v>46134</v>
      </c>
      <c r="B28" s="73"/>
      <c r="C28" s="74"/>
      <c r="D28" s="75"/>
      <c r="E28" s="73"/>
      <c r="F28" s="74"/>
      <c r="G28" s="75"/>
      <c r="H28" s="75"/>
      <c r="I28" s="75"/>
      <c r="J28" s="75"/>
      <c r="K28" s="75"/>
      <c r="L28" s="75"/>
      <c r="M28" s="76"/>
      <c r="N28" s="77"/>
      <c r="O28" s="81"/>
      <c r="P28" s="73"/>
      <c r="Q28" s="73"/>
      <c r="R28" s="73"/>
      <c r="S28" s="73"/>
      <c r="T28" s="80"/>
      <c r="U28" s="81"/>
      <c r="V28" s="73"/>
      <c r="W28" s="73"/>
      <c r="X28" s="73"/>
      <c r="Y28" s="64"/>
      <c r="Z28" s="64"/>
      <c r="AA28" s="64"/>
      <c r="AB28" s="80"/>
      <c r="AC28" s="69"/>
    </row>
    <row r="29" s="5" customFormat="1" ht="26" customHeight="1" spans="1:29">
      <c r="A29" s="63">
        <v>46135</v>
      </c>
      <c r="B29" s="73"/>
      <c r="C29" s="74"/>
      <c r="D29" s="75"/>
      <c r="E29" s="73"/>
      <c r="F29" s="74"/>
      <c r="G29" s="75"/>
      <c r="H29" s="75"/>
      <c r="I29" s="75"/>
      <c r="J29" s="75"/>
      <c r="K29" s="75"/>
      <c r="L29" s="75"/>
      <c r="M29" s="76"/>
      <c r="N29" s="77"/>
      <c r="O29" s="81"/>
      <c r="P29" s="73"/>
      <c r="Q29" s="73"/>
      <c r="R29" s="73"/>
      <c r="S29" s="73"/>
      <c r="T29" s="80"/>
      <c r="U29" s="81"/>
      <c r="V29" s="73"/>
      <c r="W29" s="73"/>
      <c r="X29" s="73"/>
      <c r="Y29" s="64"/>
      <c r="Z29" s="64"/>
      <c r="AA29" s="64"/>
      <c r="AB29" s="80"/>
      <c r="AC29" s="69"/>
    </row>
    <row r="30" s="5" customFormat="1" ht="26" customHeight="1" spans="1:29">
      <c r="A30" s="63">
        <v>46136</v>
      </c>
      <c r="B30" s="73"/>
      <c r="C30" s="74"/>
      <c r="D30" s="75"/>
      <c r="E30" s="73"/>
      <c r="F30" s="74"/>
      <c r="G30" s="75"/>
      <c r="H30" s="75"/>
      <c r="I30" s="75"/>
      <c r="J30" s="75"/>
      <c r="K30" s="75"/>
      <c r="L30" s="75"/>
      <c r="M30" s="76"/>
      <c r="N30" s="77"/>
      <c r="O30" s="81"/>
      <c r="P30" s="73"/>
      <c r="Q30" s="73"/>
      <c r="R30" s="73"/>
      <c r="S30" s="73"/>
      <c r="T30" s="80"/>
      <c r="U30" s="81"/>
      <c r="V30" s="73"/>
      <c r="W30" s="73"/>
      <c r="X30" s="73"/>
      <c r="Y30" s="64"/>
      <c r="Z30" s="64"/>
      <c r="AA30" s="64"/>
      <c r="AB30" s="80"/>
      <c r="AC30" s="69"/>
    </row>
    <row r="31" s="5" customFormat="1" ht="26" customHeight="1" spans="1:29">
      <c r="A31" s="63">
        <v>46137</v>
      </c>
      <c r="B31" s="73"/>
      <c r="C31" s="74"/>
      <c r="D31" s="75"/>
      <c r="E31" s="73"/>
      <c r="F31" s="74"/>
      <c r="G31" s="75"/>
      <c r="H31" s="75"/>
      <c r="I31" s="75"/>
      <c r="J31" s="75"/>
      <c r="K31" s="75"/>
      <c r="L31" s="75"/>
      <c r="M31" s="76"/>
      <c r="N31" s="77"/>
      <c r="O31" s="81"/>
      <c r="P31" s="73"/>
      <c r="Q31" s="73"/>
      <c r="R31" s="73"/>
      <c r="S31" s="73"/>
      <c r="T31" s="80"/>
      <c r="U31" s="81"/>
      <c r="V31" s="73"/>
      <c r="W31" s="73"/>
      <c r="X31" s="73"/>
      <c r="Y31" s="64"/>
      <c r="Z31" s="64"/>
      <c r="AA31" s="64"/>
      <c r="AB31" s="80"/>
      <c r="AC31" s="69"/>
    </row>
    <row r="32" s="5" customFormat="1" ht="26" customHeight="1" spans="1:29">
      <c r="A32" s="63">
        <v>46138</v>
      </c>
      <c r="B32" s="73"/>
      <c r="C32" s="74"/>
      <c r="D32" s="75"/>
      <c r="E32" s="73"/>
      <c r="F32" s="74"/>
      <c r="G32" s="75"/>
      <c r="H32" s="75"/>
      <c r="I32" s="75"/>
      <c r="J32" s="75"/>
      <c r="K32" s="75"/>
      <c r="L32" s="75"/>
      <c r="M32" s="76"/>
      <c r="N32" s="77"/>
      <c r="O32" s="81"/>
      <c r="P32" s="73"/>
      <c r="Q32" s="73"/>
      <c r="R32" s="73"/>
      <c r="S32" s="73"/>
      <c r="T32" s="80"/>
      <c r="U32" s="81"/>
      <c r="V32" s="73"/>
      <c r="W32" s="73"/>
      <c r="X32" s="73"/>
      <c r="Y32" s="64"/>
      <c r="Z32" s="64"/>
      <c r="AA32" s="64"/>
      <c r="AB32" s="80"/>
      <c r="AC32" s="69"/>
    </row>
    <row r="33" s="5" customFormat="1" ht="26" customHeight="1" spans="1:29">
      <c r="A33" s="63">
        <v>46139</v>
      </c>
      <c r="B33" s="73"/>
      <c r="C33" s="74"/>
      <c r="D33" s="75"/>
      <c r="E33" s="73"/>
      <c r="F33" s="74"/>
      <c r="G33" s="75"/>
      <c r="H33" s="75"/>
      <c r="I33" s="75"/>
      <c r="J33" s="75"/>
      <c r="K33" s="75"/>
      <c r="L33" s="75"/>
      <c r="M33" s="76"/>
      <c r="N33" s="77"/>
      <c r="O33" s="81"/>
      <c r="P33" s="73"/>
      <c r="Q33" s="73"/>
      <c r="R33" s="73"/>
      <c r="S33" s="73"/>
      <c r="T33" s="80"/>
      <c r="U33" s="81"/>
      <c r="V33" s="73"/>
      <c r="W33" s="73"/>
      <c r="X33" s="73"/>
      <c r="Y33" s="64"/>
      <c r="Z33" s="64"/>
      <c r="AA33" s="64"/>
      <c r="AB33" s="80"/>
      <c r="AC33" s="69"/>
    </row>
    <row r="34" s="5" customFormat="1" ht="26" customHeight="1" spans="1:29">
      <c r="A34" s="63">
        <v>46140</v>
      </c>
      <c r="B34" s="73"/>
      <c r="C34" s="74"/>
      <c r="D34" s="75"/>
      <c r="E34" s="73"/>
      <c r="F34" s="74"/>
      <c r="G34" s="75"/>
      <c r="H34" s="75"/>
      <c r="I34" s="75"/>
      <c r="J34" s="75"/>
      <c r="K34" s="73"/>
      <c r="L34" s="75"/>
      <c r="M34" s="76"/>
      <c r="N34" s="77"/>
      <c r="O34" s="81"/>
      <c r="P34" s="73"/>
      <c r="Q34" s="73"/>
      <c r="R34" s="73"/>
      <c r="S34" s="73"/>
      <c r="T34" s="80"/>
      <c r="U34" s="81"/>
      <c r="V34" s="73"/>
      <c r="W34" s="73"/>
      <c r="X34" s="73"/>
      <c r="Y34" s="64"/>
      <c r="Z34" s="64"/>
      <c r="AA34" s="64"/>
      <c r="AB34" s="80"/>
      <c r="AC34" s="69"/>
    </row>
    <row r="35" s="5" customFormat="1" ht="26" customHeight="1" spans="1:29">
      <c r="A35" s="63">
        <v>46141</v>
      </c>
      <c r="B35" s="73"/>
      <c r="C35" s="74"/>
      <c r="D35" s="75"/>
      <c r="E35" s="86"/>
      <c r="F35" s="74"/>
      <c r="G35" s="75"/>
      <c r="H35" s="75"/>
      <c r="I35" s="75"/>
      <c r="J35" s="75"/>
      <c r="K35" s="86"/>
      <c r="L35" s="75"/>
      <c r="M35" s="76"/>
      <c r="N35" s="77"/>
      <c r="O35" s="81"/>
      <c r="P35" s="73"/>
      <c r="Q35" s="73"/>
      <c r="R35" s="73"/>
      <c r="S35" s="73"/>
      <c r="T35" s="80"/>
      <c r="U35" s="81"/>
      <c r="V35" s="73"/>
      <c r="W35" s="73"/>
      <c r="X35" s="73"/>
      <c r="Y35" s="64"/>
      <c r="Z35" s="64"/>
      <c r="AA35" s="64"/>
      <c r="AB35" s="80"/>
      <c r="AC35" s="69"/>
    </row>
    <row r="36" s="5" customFormat="1" ht="26" customHeight="1" spans="1:29">
      <c r="A36" s="63">
        <v>46142</v>
      </c>
      <c r="B36" s="73"/>
      <c r="C36" s="74"/>
      <c r="D36" s="75"/>
      <c r="E36" s="73"/>
      <c r="F36" s="74"/>
      <c r="G36" s="75"/>
      <c r="H36" s="75"/>
      <c r="I36" s="75"/>
      <c r="J36" s="75"/>
      <c r="K36" s="73"/>
      <c r="L36" s="75"/>
      <c r="M36" s="76"/>
      <c r="N36" s="77"/>
      <c r="O36" s="81"/>
      <c r="P36" s="73"/>
      <c r="Q36" s="73"/>
      <c r="R36" s="73"/>
      <c r="S36" s="73"/>
      <c r="T36" s="80"/>
      <c r="U36" s="81"/>
      <c r="V36" s="73"/>
      <c r="W36" s="73"/>
      <c r="X36" s="73"/>
      <c r="Y36" s="64"/>
      <c r="Z36" s="64"/>
      <c r="AA36" s="64"/>
      <c r="AB36" s="80"/>
      <c r="AC36" s="69"/>
    </row>
    <row r="37" s="1" customFormat="1" spans="1:29">
      <c r="A37" s="87"/>
      <c r="B37" s="88"/>
      <c r="C37" s="89"/>
      <c r="D37" s="90"/>
      <c r="E37" s="88"/>
      <c r="F37" s="89"/>
      <c r="G37" s="91"/>
      <c r="H37" s="91"/>
      <c r="I37" s="91"/>
      <c r="J37" s="91"/>
      <c r="K37" s="91"/>
      <c r="L37" s="91"/>
      <c r="M37" s="92"/>
      <c r="N37" s="91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87"/>
      <c r="B44" s="88"/>
      <c r="C44" s="89"/>
      <c r="D44" s="90"/>
      <c r="E44" s="88"/>
      <c r="F44" s="89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87"/>
      <c r="B45" s="88"/>
      <c r="C45" s="89"/>
      <c r="D45" s="90"/>
      <c r="E45" s="88"/>
      <c r="F45" s="89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  <c r="AC48" s="1">
        <v>119</v>
      </c>
    </row>
    <row r="49" s="1" customFormat="1" spans="1:2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  <c r="AC49" s="1">
        <v>87</v>
      </c>
    </row>
    <row r="50" s="1" customFormat="1" spans="1:2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2"/>
      <c r="N50" s="91"/>
      <c r="AC50" s="1">
        <v>69</v>
      </c>
    </row>
    <row r="51" s="1" customFormat="1" spans="1:2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2"/>
      <c r="N51" s="91"/>
      <c r="AC51" s="1">
        <v>104</v>
      </c>
    </row>
    <row r="52" s="1" customFormat="1" spans="1:29">
      <c r="M52" s="6"/>
      <c r="AC52" s="1">
        <v>106</v>
      </c>
    </row>
    <row r="53" s="1" customFormat="1" spans="1:29">
      <c r="M53" s="6"/>
      <c r="AC53" s="1">
        <v>105</v>
      </c>
    </row>
  </sheetData>
  <mergeCells count="13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4"/>
  <sheetViews>
    <sheetView topLeftCell="A30" workbookViewId="0">
      <selection activeCell="A7" sqref="A7:A37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16384" width="9.025" style="1"/>
  </cols>
  <sheetData>
    <row r="1" s="1" customFormat="1" ht="33" customHeight="1" spans="1: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29">
      <c r="A2" s="9" t="s">
        <v>1</v>
      </c>
      <c r="B2" s="10">
        <f>N6-(N6*0.07)</f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0</v>
      </c>
      <c r="U2" s="10" t="s">
        <v>4</v>
      </c>
      <c r="V2" s="12"/>
      <c r="W2" s="15">
        <f>Q2+T2-Z2</f>
        <v>0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29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0</v>
      </c>
      <c r="T3" s="25" t="e">
        <f>SUM(O5:T5)</f>
        <v>#DIV/0!</v>
      </c>
      <c r="U3" s="26" t="s">
        <v>10</v>
      </c>
      <c r="V3" s="27"/>
      <c r="W3" s="27"/>
      <c r="X3" s="27"/>
      <c r="Y3" s="27"/>
      <c r="Z3" s="28"/>
      <c r="AA3" s="29">
        <f>SUM(U6:AB6)</f>
        <v>0</v>
      </c>
      <c r="AB3" s="30" t="e">
        <f>SUM(U5:AB5)</f>
        <v>#DIV/0!</v>
      </c>
      <c r="AC3" s="31" t="s">
        <v>11</v>
      </c>
    </row>
    <row r="4" s="4" customFormat="1" ht="26" customHeight="1" spans="1:29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</row>
    <row r="5" s="3" customFormat="1" ht="26" customHeight="1" spans="1:29">
      <c r="A5" s="45"/>
      <c r="B5" s="46" t="e">
        <f>B6/$N$6</f>
        <v>#DIV/0!</v>
      </c>
      <c r="C5" s="46"/>
      <c r="D5" s="46"/>
      <c r="E5" s="46" t="e">
        <f>E6/$N$6</f>
        <v>#DIV/0!</v>
      </c>
      <c r="F5" s="46"/>
      <c r="G5" s="46"/>
      <c r="H5" s="46" t="e">
        <f t="shared" ref="H5:M5" si="0">H6/$N$6</f>
        <v>#DIV/0!</v>
      </c>
      <c r="I5" s="46"/>
      <c r="J5" s="46"/>
      <c r="K5" s="46" t="e">
        <f t="shared" si="0"/>
        <v>#DIV/0!</v>
      </c>
      <c r="L5" s="46" t="e">
        <f t="shared" si="0"/>
        <v>#DIV/0!</v>
      </c>
      <c r="M5" s="46" t="e">
        <f t="shared" si="0"/>
        <v>#DIV/0!</v>
      </c>
      <c r="N5" s="35"/>
      <c r="O5" s="47" t="e">
        <f t="shared" ref="O5:AB5" si="1">O6/$N$6</f>
        <v>#DIV/0!</v>
      </c>
      <c r="P5" s="48" t="e">
        <f t="shared" si="1"/>
        <v>#DIV/0!</v>
      </c>
      <c r="Q5" s="48" t="e">
        <f t="shared" si="1"/>
        <v>#DIV/0!</v>
      </c>
      <c r="R5" s="48" t="e">
        <f t="shared" si="1"/>
        <v>#DIV/0!</v>
      </c>
      <c r="S5" s="48" t="e">
        <f t="shared" si="1"/>
        <v>#DIV/0!</v>
      </c>
      <c r="T5" s="49" t="e">
        <f t="shared" si="1"/>
        <v>#DIV/0!</v>
      </c>
      <c r="U5" s="50" t="e">
        <f t="shared" si="1"/>
        <v>#DIV/0!</v>
      </c>
      <c r="V5" s="51" t="e">
        <f t="shared" si="1"/>
        <v>#DIV/0!</v>
      </c>
      <c r="W5" s="51" t="e">
        <f t="shared" si="1"/>
        <v>#DIV/0!</v>
      </c>
      <c r="X5" s="51" t="e">
        <f t="shared" si="1"/>
        <v>#DIV/0!</v>
      </c>
      <c r="Y5" s="51" t="e">
        <f t="shared" si="1"/>
        <v>#DIV/0!</v>
      </c>
      <c r="Z5" s="51" t="e">
        <f t="shared" si="1"/>
        <v>#DIV/0!</v>
      </c>
      <c r="AA5" s="51" t="e">
        <f t="shared" si="1"/>
        <v>#DIV/0!</v>
      </c>
      <c r="AB5" s="52" t="e">
        <f t="shared" si="1"/>
        <v>#DIV/0!</v>
      </c>
      <c r="AC5" s="53" t="e">
        <f>SUM(O5:AB5)</f>
        <v>#DIV/0!</v>
      </c>
    </row>
    <row r="6" s="5" customFormat="1" ht="26" customHeight="1" spans="1:29">
      <c r="A6" s="32" t="s">
        <v>35</v>
      </c>
      <c r="B6" s="54">
        <f t="shared" ref="B6:F6" si="2">SUM(B7:B37)</f>
        <v>0</v>
      </c>
      <c r="C6" s="55">
        <f t="shared" si="2"/>
        <v>0</v>
      </c>
      <c r="D6" s="54" t="e">
        <f>B6/C6</f>
        <v>#DIV/0!</v>
      </c>
      <c r="E6" s="54">
        <f t="shared" si="2"/>
        <v>0</v>
      </c>
      <c r="F6" s="54">
        <f t="shared" si="2"/>
        <v>0</v>
      </c>
      <c r="G6" s="54" t="e">
        <f>E6/F6</f>
        <v>#DIV/0!</v>
      </c>
      <c r="H6" s="54">
        <f t="shared" ref="H6:M6" si="3">SUM(H7:H37)</f>
        <v>0</v>
      </c>
      <c r="I6" s="55">
        <f t="shared" si="3"/>
        <v>0</v>
      </c>
      <c r="J6" s="54" t="e">
        <f>H6/I6</f>
        <v>#DIV/0!</v>
      </c>
      <c r="K6" s="54">
        <f t="shared" si="3"/>
        <v>0</v>
      </c>
      <c r="L6" s="54">
        <f t="shared" si="3"/>
        <v>0</v>
      </c>
      <c r="M6" s="54">
        <f t="shared" si="3"/>
        <v>0</v>
      </c>
      <c r="N6" s="56">
        <f>B6+E6+H6+K6+L6-M6</f>
        <v>0</v>
      </c>
      <c r="O6" s="57">
        <f t="shared" ref="O6:AB6" si="4">SUM(O7:O37)</f>
        <v>0</v>
      </c>
      <c r="P6" s="58">
        <f t="shared" si="4"/>
        <v>0</v>
      </c>
      <c r="Q6" s="58">
        <f t="shared" si="4"/>
        <v>0</v>
      </c>
      <c r="R6" s="58">
        <f t="shared" si="4"/>
        <v>0</v>
      </c>
      <c r="S6" s="58">
        <f t="shared" si="4"/>
        <v>0</v>
      </c>
      <c r="T6" s="59">
        <f t="shared" si="4"/>
        <v>0</v>
      </c>
      <c r="U6" s="60">
        <f t="shared" si="4"/>
        <v>0</v>
      </c>
      <c r="V6" s="61">
        <f t="shared" si="4"/>
        <v>0</v>
      </c>
      <c r="W6" s="61">
        <f t="shared" si="4"/>
        <v>0</v>
      </c>
      <c r="X6" s="61">
        <f t="shared" si="4"/>
        <v>0</v>
      </c>
      <c r="Y6" s="61">
        <f t="shared" si="4"/>
        <v>0</v>
      </c>
      <c r="Z6" s="61">
        <f t="shared" si="4"/>
        <v>0</v>
      </c>
      <c r="AA6" s="61">
        <f t="shared" si="4"/>
        <v>0</v>
      </c>
      <c r="AB6" s="61">
        <f t="shared" si="4"/>
        <v>0</v>
      </c>
      <c r="AC6" s="62">
        <f>SUM(O6:AB6)</f>
        <v>0</v>
      </c>
    </row>
    <row r="7" s="5" customFormat="1" ht="26" customHeight="1" spans="1:29">
      <c r="A7" s="63">
        <v>46143</v>
      </c>
      <c r="B7" s="64"/>
      <c r="C7" s="64"/>
      <c r="D7" s="65"/>
      <c r="E7" s="64"/>
      <c r="F7" s="64"/>
      <c r="G7" s="65"/>
      <c r="H7" s="64"/>
      <c r="I7" s="64"/>
      <c r="J7" s="65"/>
      <c r="K7" s="64"/>
      <c r="L7" s="64"/>
      <c r="M7" s="66"/>
      <c r="N7" s="67"/>
      <c r="O7" s="68"/>
      <c r="P7" s="64"/>
      <c r="Q7" s="64"/>
      <c r="R7" s="64"/>
      <c r="S7" s="64"/>
      <c r="T7" s="67"/>
      <c r="U7" s="68"/>
      <c r="V7" s="64"/>
      <c r="W7" s="64"/>
      <c r="X7" s="64"/>
      <c r="Y7" s="64"/>
      <c r="Z7" s="64"/>
      <c r="AA7" s="64"/>
      <c r="AB7" s="67"/>
      <c r="AC7" s="69"/>
    </row>
    <row r="8" s="5" customFormat="1" ht="26" customHeight="1" spans="1:29">
      <c r="A8" s="63">
        <v>46144</v>
      </c>
      <c r="B8" s="64"/>
      <c r="C8" s="64"/>
      <c r="D8" s="65"/>
      <c r="E8" s="64"/>
      <c r="F8" s="64"/>
      <c r="G8" s="65"/>
      <c r="H8" s="64"/>
      <c r="I8" s="64"/>
      <c r="J8" s="65"/>
      <c r="K8" s="64"/>
      <c r="L8" s="64"/>
      <c r="M8" s="66"/>
      <c r="N8" s="67"/>
      <c r="O8" s="68"/>
      <c r="P8" s="64"/>
      <c r="Q8" s="64"/>
      <c r="R8" s="64"/>
      <c r="S8" s="64"/>
      <c r="T8" s="67"/>
      <c r="U8" s="68"/>
      <c r="V8" s="64"/>
      <c r="W8" s="64"/>
      <c r="X8" s="64"/>
      <c r="Y8" s="64"/>
      <c r="Z8" s="64"/>
      <c r="AA8" s="64"/>
      <c r="AB8" s="67"/>
      <c r="AC8" s="69"/>
    </row>
    <row r="9" s="5" customFormat="1" ht="26" customHeight="1" spans="1:29">
      <c r="A9" s="63">
        <v>46145</v>
      </c>
      <c r="B9" s="64"/>
      <c r="C9" s="64"/>
      <c r="D9" s="65"/>
      <c r="E9" s="64"/>
      <c r="F9" s="64"/>
      <c r="G9" s="70"/>
      <c r="H9" s="64"/>
      <c r="I9" s="64"/>
      <c r="J9" s="65"/>
      <c r="K9" s="64"/>
      <c r="L9" s="64"/>
      <c r="M9" s="66"/>
      <c r="N9" s="67"/>
      <c r="O9" s="68"/>
      <c r="P9" s="64"/>
      <c r="Q9" s="64"/>
      <c r="R9" s="71"/>
      <c r="S9" s="64"/>
      <c r="T9" s="64"/>
      <c r="U9" s="68"/>
      <c r="V9" s="64"/>
      <c r="W9" s="64"/>
      <c r="X9" s="72"/>
      <c r="Y9" s="64"/>
      <c r="Z9" s="64"/>
      <c r="AA9" s="64"/>
      <c r="AB9" s="67"/>
      <c r="AC9" s="69"/>
    </row>
    <row r="10" s="5" customFormat="1" ht="26" customHeight="1" spans="1:29">
      <c r="A10" s="63">
        <v>46146</v>
      </c>
      <c r="B10" s="64"/>
      <c r="C10" s="64"/>
      <c r="D10" s="70"/>
      <c r="E10" s="64"/>
      <c r="F10" s="64"/>
      <c r="G10" s="70"/>
      <c r="H10" s="64"/>
      <c r="I10" s="64"/>
      <c r="J10" s="70"/>
      <c r="K10" s="64"/>
      <c r="L10" s="64"/>
      <c r="M10" s="66"/>
      <c r="N10" s="67"/>
      <c r="O10" s="68"/>
      <c r="P10" s="64"/>
      <c r="Q10" s="64"/>
      <c r="R10" s="64"/>
      <c r="S10" s="64"/>
      <c r="T10" s="64"/>
      <c r="U10" s="68"/>
      <c r="V10" s="64"/>
      <c r="W10" s="64"/>
      <c r="X10" s="64"/>
      <c r="Y10" s="64"/>
      <c r="Z10" s="64"/>
      <c r="AA10" s="64"/>
      <c r="AB10" s="67"/>
      <c r="AC10" s="69"/>
    </row>
    <row r="11" s="5" customFormat="1" ht="26" customHeight="1" spans="1:29">
      <c r="A11" s="63">
        <v>46147</v>
      </c>
      <c r="B11" s="73"/>
      <c r="C11" s="74"/>
      <c r="D11" s="75"/>
      <c r="E11" s="73"/>
      <c r="F11" s="74"/>
      <c r="G11" s="75"/>
      <c r="H11" s="75"/>
      <c r="I11" s="75"/>
      <c r="J11" s="75"/>
      <c r="K11" s="75"/>
      <c r="L11" s="75"/>
      <c r="M11" s="76"/>
      <c r="N11" s="77"/>
      <c r="O11" s="78"/>
      <c r="P11" s="79"/>
      <c r="Q11" s="79"/>
      <c r="R11" s="73"/>
      <c r="S11" s="73"/>
      <c r="T11" s="80"/>
      <c r="U11" s="81"/>
      <c r="V11" s="73"/>
      <c r="W11" s="73"/>
      <c r="X11" s="73"/>
      <c r="Y11" s="64"/>
      <c r="Z11" s="64"/>
      <c r="AA11" s="64"/>
      <c r="AB11" s="80"/>
      <c r="AC11" s="69"/>
    </row>
    <row r="12" s="5" customFormat="1" ht="26" customHeight="1" spans="1:29">
      <c r="A12" s="63">
        <v>46148</v>
      </c>
      <c r="B12" s="73"/>
      <c r="C12" s="74"/>
      <c r="D12" s="75"/>
      <c r="E12" s="73"/>
      <c r="F12" s="74"/>
      <c r="G12" s="75"/>
      <c r="H12" s="75"/>
      <c r="I12" s="75"/>
      <c r="J12" s="75"/>
      <c r="K12" s="75"/>
      <c r="L12" s="75"/>
      <c r="M12" s="76"/>
      <c r="N12" s="77"/>
      <c r="O12" s="81"/>
      <c r="P12" s="73"/>
      <c r="Q12" s="64"/>
      <c r="R12" s="73"/>
      <c r="S12" s="73"/>
      <c r="T12" s="80"/>
      <c r="U12" s="81"/>
      <c r="V12" s="73"/>
      <c r="W12" s="73"/>
      <c r="X12" s="73"/>
      <c r="Y12" s="64"/>
      <c r="Z12" s="64"/>
      <c r="AA12" s="64"/>
      <c r="AB12" s="80"/>
      <c r="AC12" s="69"/>
    </row>
    <row r="13" s="5" customFormat="1" ht="26" customHeight="1" spans="1:29">
      <c r="A13" s="63">
        <v>46149</v>
      </c>
      <c r="B13" s="73"/>
      <c r="C13" s="74"/>
      <c r="D13" s="75"/>
      <c r="E13" s="73"/>
      <c r="F13" s="74"/>
      <c r="G13" s="75"/>
      <c r="H13" s="75"/>
      <c r="I13" s="75"/>
      <c r="J13" s="75"/>
      <c r="K13" s="75"/>
      <c r="L13" s="75"/>
      <c r="M13" s="76"/>
      <c r="N13" s="77"/>
      <c r="O13" s="81"/>
      <c r="P13" s="73"/>
      <c r="Q13" s="73"/>
      <c r="R13" s="73"/>
      <c r="S13" s="73"/>
      <c r="T13" s="80"/>
      <c r="U13" s="81"/>
      <c r="V13" s="73"/>
      <c r="W13" s="73"/>
      <c r="X13" s="73"/>
      <c r="Y13" s="64"/>
      <c r="Z13" s="64"/>
      <c r="AA13" s="64"/>
      <c r="AB13" s="80"/>
      <c r="AC13" s="69"/>
    </row>
    <row r="14" s="5" customFormat="1" ht="26" customHeight="1" spans="1:29">
      <c r="A14" s="63">
        <v>46150</v>
      </c>
      <c r="B14" s="73"/>
      <c r="C14" s="74"/>
      <c r="D14" s="75"/>
      <c r="E14" s="73"/>
      <c r="F14" s="74"/>
      <c r="G14" s="75"/>
      <c r="H14" s="75"/>
      <c r="I14" s="75"/>
      <c r="J14" s="75"/>
      <c r="K14" s="75"/>
      <c r="L14" s="75"/>
      <c r="M14" s="76"/>
      <c r="N14" s="77"/>
      <c r="O14" s="81"/>
      <c r="P14" s="73"/>
      <c r="Q14" s="73"/>
      <c r="R14" s="73"/>
      <c r="S14" s="73"/>
      <c r="T14" s="80"/>
      <c r="U14" s="81"/>
      <c r="V14" s="73"/>
      <c r="W14" s="73"/>
      <c r="X14" s="73"/>
      <c r="Y14" s="64"/>
      <c r="Z14" s="64"/>
      <c r="AA14" s="64"/>
      <c r="AB14" s="80"/>
      <c r="AC14" s="69"/>
    </row>
    <row r="15" s="5" customFormat="1" ht="26" customHeight="1" spans="1:29">
      <c r="A15" s="63">
        <v>46151</v>
      </c>
      <c r="B15" s="73"/>
      <c r="C15" s="74"/>
      <c r="D15" s="75"/>
      <c r="E15" s="73"/>
      <c r="F15" s="74"/>
      <c r="G15" s="75"/>
      <c r="H15" s="75"/>
      <c r="I15" s="75"/>
      <c r="J15" s="75"/>
      <c r="K15" s="75"/>
      <c r="L15" s="75"/>
      <c r="M15" s="76"/>
      <c r="N15" s="77"/>
      <c r="O15" s="81"/>
      <c r="P15" s="73"/>
      <c r="Q15" s="73"/>
      <c r="R15" s="73"/>
      <c r="S15" s="73"/>
      <c r="T15" s="80"/>
      <c r="U15" s="81"/>
      <c r="V15" s="73"/>
      <c r="W15" s="73"/>
      <c r="X15" s="73"/>
      <c r="Y15" s="64"/>
      <c r="Z15" s="64"/>
      <c r="AA15" s="64"/>
      <c r="AB15" s="80"/>
      <c r="AC15" s="69"/>
    </row>
    <row r="16" s="5" customFormat="1" ht="26" customHeight="1" spans="1:29">
      <c r="A16" s="63">
        <v>46152</v>
      </c>
      <c r="B16" s="73"/>
      <c r="C16" s="74"/>
      <c r="D16" s="75"/>
      <c r="E16" s="73"/>
      <c r="F16" s="74"/>
      <c r="G16" s="75"/>
      <c r="H16" s="75"/>
      <c r="I16" s="75"/>
      <c r="J16" s="75"/>
      <c r="K16" s="75"/>
      <c r="L16" s="75"/>
      <c r="M16" s="76"/>
      <c r="N16" s="77"/>
      <c r="O16" s="81"/>
      <c r="P16" s="73"/>
      <c r="Q16" s="73"/>
      <c r="R16" s="73"/>
      <c r="S16" s="73"/>
      <c r="T16" s="80"/>
      <c r="U16" s="81"/>
      <c r="V16" s="73"/>
      <c r="W16" s="73"/>
      <c r="X16" s="73"/>
      <c r="Y16" s="64"/>
      <c r="Z16" s="64"/>
      <c r="AA16" s="64"/>
      <c r="AB16" s="80"/>
      <c r="AC16" s="69"/>
    </row>
    <row r="17" s="5" customFormat="1" ht="26" customHeight="1" spans="1:29">
      <c r="A17" s="63">
        <v>46153</v>
      </c>
      <c r="B17" s="73"/>
      <c r="C17" s="74"/>
      <c r="D17" s="75"/>
      <c r="E17" s="73"/>
      <c r="F17" s="74"/>
      <c r="G17" s="75"/>
      <c r="H17" s="75"/>
      <c r="I17" s="75"/>
      <c r="J17" s="75"/>
      <c r="K17" s="75"/>
      <c r="L17" s="75"/>
      <c r="M17" s="76"/>
      <c r="N17" s="77"/>
      <c r="O17" s="81"/>
      <c r="P17" s="73"/>
      <c r="Q17" s="73"/>
      <c r="R17" s="73"/>
      <c r="S17" s="73"/>
      <c r="T17" s="80"/>
      <c r="U17" s="81"/>
      <c r="V17" s="73"/>
      <c r="W17" s="73"/>
      <c r="X17" s="73"/>
      <c r="Y17" s="64"/>
      <c r="Z17" s="64"/>
      <c r="AA17" s="64"/>
      <c r="AB17" s="80"/>
      <c r="AC17" s="69"/>
    </row>
    <row r="18" s="5" customFormat="1" ht="26" customHeight="1" spans="1:29">
      <c r="A18" s="63">
        <v>46154</v>
      </c>
      <c r="B18" s="73"/>
      <c r="C18" s="74"/>
      <c r="D18" s="75"/>
      <c r="E18" s="73"/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/>
      <c r="V18" s="73"/>
      <c r="W18" s="73"/>
      <c r="X18" s="73"/>
      <c r="Y18" s="64"/>
      <c r="Z18" s="64"/>
      <c r="AA18" s="64"/>
      <c r="AB18" s="80"/>
      <c r="AC18" s="69"/>
    </row>
    <row r="19" s="5" customFormat="1" ht="26" customHeight="1" spans="1:29">
      <c r="A19" s="63">
        <v>46155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46156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46157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46158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46159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46160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46161</v>
      </c>
      <c r="B25" s="73"/>
      <c r="C25" s="74"/>
      <c r="D25" s="75"/>
      <c r="E25" s="73"/>
      <c r="F25" s="74"/>
      <c r="G25" s="75"/>
      <c r="H25" s="75"/>
      <c r="I25" s="75"/>
      <c r="J25" s="75"/>
      <c r="K25" s="75"/>
      <c r="L25" s="75"/>
      <c r="M25" s="76"/>
      <c r="N25" s="77"/>
      <c r="O25" s="81"/>
      <c r="P25" s="73"/>
      <c r="Q25" s="73"/>
      <c r="R25" s="84"/>
      <c r="S25" s="85"/>
      <c r="T25" s="80"/>
      <c r="U25" s="81"/>
      <c r="V25" s="73"/>
      <c r="W25" s="73"/>
      <c r="X25" s="73"/>
      <c r="Y25" s="64"/>
      <c r="Z25" s="64"/>
      <c r="AA25" s="64"/>
      <c r="AB25" s="80"/>
      <c r="AC25" s="69"/>
    </row>
    <row r="26" s="5" customFormat="1" ht="26" customHeight="1" spans="1:29">
      <c r="A26" s="63">
        <v>46162</v>
      </c>
      <c r="B26" s="73"/>
      <c r="C26" s="74"/>
      <c r="D26" s="75"/>
      <c r="E26" s="73"/>
      <c r="F26" s="74"/>
      <c r="G26" s="75"/>
      <c r="H26" s="75"/>
      <c r="I26" s="75"/>
      <c r="J26" s="75"/>
      <c r="K26" s="79"/>
      <c r="L26" s="75"/>
      <c r="M26" s="76"/>
      <c r="N26" s="77"/>
      <c r="O26" s="81"/>
      <c r="P26" s="73"/>
      <c r="Q26" s="73"/>
      <c r="R26" s="73"/>
      <c r="S26" s="73"/>
      <c r="T26" s="80"/>
      <c r="U26" s="81"/>
      <c r="V26" s="73"/>
      <c r="W26" s="73"/>
      <c r="X26" s="73"/>
      <c r="Y26" s="64"/>
      <c r="Z26" s="64"/>
      <c r="AA26" s="64"/>
      <c r="AB26" s="80"/>
      <c r="AC26" s="69"/>
    </row>
    <row r="27" s="5" customFormat="1" ht="26" customHeight="1" spans="1:29">
      <c r="A27" s="63">
        <v>46163</v>
      </c>
      <c r="B27" s="73"/>
      <c r="C27" s="74"/>
      <c r="D27" s="75"/>
      <c r="E27" s="73"/>
      <c r="F27" s="74"/>
      <c r="G27" s="75"/>
      <c r="H27" s="75"/>
      <c r="I27" s="75"/>
      <c r="J27" s="75"/>
      <c r="K27" s="75"/>
      <c r="L27" s="75"/>
      <c r="M27" s="76"/>
      <c r="N27" s="77"/>
      <c r="O27" s="81"/>
      <c r="P27" s="73"/>
      <c r="Q27" s="73"/>
      <c r="R27" s="73"/>
      <c r="S27" s="73"/>
      <c r="T27" s="80"/>
      <c r="U27" s="81"/>
      <c r="V27" s="73"/>
      <c r="W27" s="73"/>
      <c r="X27" s="73"/>
      <c r="Y27" s="64"/>
      <c r="Z27" s="64"/>
      <c r="AA27" s="64"/>
      <c r="AB27" s="80"/>
      <c r="AC27" s="69"/>
    </row>
    <row r="28" s="5" customFormat="1" ht="26" customHeight="1" spans="1:29">
      <c r="A28" s="63">
        <v>46164</v>
      </c>
      <c r="B28" s="73"/>
      <c r="C28" s="74"/>
      <c r="D28" s="75"/>
      <c r="E28" s="73"/>
      <c r="F28" s="74"/>
      <c r="G28" s="75"/>
      <c r="H28" s="75"/>
      <c r="I28" s="75"/>
      <c r="J28" s="75"/>
      <c r="K28" s="75"/>
      <c r="L28" s="75"/>
      <c r="M28" s="76"/>
      <c r="N28" s="77"/>
      <c r="O28" s="81"/>
      <c r="P28" s="73"/>
      <c r="Q28" s="73"/>
      <c r="R28" s="73"/>
      <c r="S28" s="73"/>
      <c r="T28" s="80"/>
      <c r="U28" s="81"/>
      <c r="V28" s="73"/>
      <c r="W28" s="73"/>
      <c r="X28" s="73"/>
      <c r="Y28" s="64"/>
      <c r="Z28" s="64"/>
      <c r="AA28" s="64"/>
      <c r="AB28" s="80"/>
      <c r="AC28" s="69"/>
    </row>
    <row r="29" s="5" customFormat="1" ht="26" customHeight="1" spans="1:29">
      <c r="A29" s="63">
        <v>46165</v>
      </c>
      <c r="B29" s="73"/>
      <c r="C29" s="74"/>
      <c r="D29" s="75"/>
      <c r="E29" s="73"/>
      <c r="F29" s="74"/>
      <c r="G29" s="75"/>
      <c r="H29" s="75"/>
      <c r="I29" s="75"/>
      <c r="J29" s="75"/>
      <c r="K29" s="75"/>
      <c r="L29" s="75"/>
      <c r="M29" s="76"/>
      <c r="N29" s="77"/>
      <c r="O29" s="81"/>
      <c r="P29" s="73"/>
      <c r="Q29" s="73"/>
      <c r="R29" s="73"/>
      <c r="S29" s="73"/>
      <c r="T29" s="80"/>
      <c r="U29" s="81"/>
      <c r="V29" s="73"/>
      <c r="W29" s="73"/>
      <c r="X29" s="73"/>
      <c r="Y29" s="64"/>
      <c r="Z29" s="64"/>
      <c r="AA29" s="64"/>
      <c r="AB29" s="80"/>
      <c r="AC29" s="69"/>
    </row>
    <row r="30" s="5" customFormat="1" ht="26" customHeight="1" spans="1:29">
      <c r="A30" s="63">
        <v>46166</v>
      </c>
      <c r="B30" s="73"/>
      <c r="C30" s="74"/>
      <c r="D30" s="75"/>
      <c r="E30" s="73"/>
      <c r="F30" s="74"/>
      <c r="G30" s="75"/>
      <c r="H30" s="75"/>
      <c r="I30" s="75"/>
      <c r="J30" s="75"/>
      <c r="K30" s="75"/>
      <c r="L30" s="75"/>
      <c r="M30" s="76"/>
      <c r="N30" s="77"/>
      <c r="O30" s="81"/>
      <c r="P30" s="73"/>
      <c r="Q30" s="73"/>
      <c r="R30" s="73"/>
      <c r="S30" s="73"/>
      <c r="T30" s="80"/>
      <c r="U30" s="81"/>
      <c r="V30" s="73"/>
      <c r="W30" s="73"/>
      <c r="X30" s="73"/>
      <c r="Y30" s="64"/>
      <c r="Z30" s="64"/>
      <c r="AA30" s="64"/>
      <c r="AB30" s="80"/>
      <c r="AC30" s="69"/>
    </row>
    <row r="31" s="5" customFormat="1" ht="26" customHeight="1" spans="1:29">
      <c r="A31" s="63">
        <v>46167</v>
      </c>
      <c r="B31" s="73"/>
      <c r="C31" s="74"/>
      <c r="D31" s="75"/>
      <c r="E31" s="73"/>
      <c r="F31" s="74"/>
      <c r="G31" s="75"/>
      <c r="H31" s="75"/>
      <c r="I31" s="75"/>
      <c r="J31" s="75"/>
      <c r="K31" s="75"/>
      <c r="L31" s="75"/>
      <c r="M31" s="76"/>
      <c r="N31" s="77"/>
      <c r="O31" s="81"/>
      <c r="P31" s="73"/>
      <c r="Q31" s="73"/>
      <c r="R31" s="73"/>
      <c r="S31" s="73"/>
      <c r="T31" s="80"/>
      <c r="U31" s="81"/>
      <c r="V31" s="73"/>
      <c r="W31" s="73"/>
      <c r="X31" s="73"/>
      <c r="Y31" s="64"/>
      <c r="Z31" s="64"/>
      <c r="AA31" s="64"/>
      <c r="AB31" s="80"/>
      <c r="AC31" s="69"/>
    </row>
    <row r="32" s="5" customFormat="1" ht="26" customHeight="1" spans="1:29">
      <c r="A32" s="63">
        <v>46168</v>
      </c>
      <c r="B32" s="73"/>
      <c r="C32" s="74"/>
      <c r="D32" s="75"/>
      <c r="E32" s="73"/>
      <c r="F32" s="74"/>
      <c r="G32" s="75"/>
      <c r="H32" s="75"/>
      <c r="I32" s="75"/>
      <c r="J32" s="75"/>
      <c r="K32" s="75"/>
      <c r="L32" s="75"/>
      <c r="M32" s="76"/>
      <c r="N32" s="77"/>
      <c r="O32" s="81"/>
      <c r="P32" s="73"/>
      <c r="Q32" s="73"/>
      <c r="R32" s="73"/>
      <c r="S32" s="73"/>
      <c r="T32" s="80"/>
      <c r="U32" s="81"/>
      <c r="V32" s="73"/>
      <c r="W32" s="73"/>
      <c r="X32" s="73"/>
      <c r="Y32" s="64"/>
      <c r="Z32" s="64"/>
      <c r="AA32" s="64"/>
      <c r="AB32" s="80"/>
      <c r="AC32" s="69"/>
    </row>
    <row r="33" s="5" customFormat="1" ht="26" customHeight="1" spans="1:29">
      <c r="A33" s="63">
        <v>46169</v>
      </c>
      <c r="B33" s="73"/>
      <c r="C33" s="74"/>
      <c r="D33" s="75"/>
      <c r="E33" s="73"/>
      <c r="F33" s="74"/>
      <c r="G33" s="75"/>
      <c r="H33" s="75"/>
      <c r="I33" s="75"/>
      <c r="J33" s="75"/>
      <c r="K33" s="75"/>
      <c r="L33" s="75"/>
      <c r="M33" s="76"/>
      <c r="N33" s="77"/>
      <c r="O33" s="81"/>
      <c r="P33" s="73"/>
      <c r="Q33" s="73"/>
      <c r="R33" s="73"/>
      <c r="S33" s="73"/>
      <c r="T33" s="80"/>
      <c r="U33" s="81"/>
      <c r="V33" s="73"/>
      <c r="W33" s="73"/>
      <c r="X33" s="73"/>
      <c r="Y33" s="64"/>
      <c r="Z33" s="64"/>
      <c r="AA33" s="64"/>
      <c r="AB33" s="80"/>
      <c r="AC33" s="69"/>
    </row>
    <row r="34" s="5" customFormat="1" ht="26" customHeight="1" spans="1:29">
      <c r="A34" s="63">
        <v>46170</v>
      </c>
      <c r="B34" s="73"/>
      <c r="C34" s="74"/>
      <c r="D34" s="75"/>
      <c r="E34" s="73"/>
      <c r="F34" s="74"/>
      <c r="G34" s="75"/>
      <c r="H34" s="75"/>
      <c r="I34" s="75"/>
      <c r="J34" s="75"/>
      <c r="K34" s="73"/>
      <c r="L34" s="75"/>
      <c r="M34" s="76"/>
      <c r="N34" s="77"/>
      <c r="O34" s="81"/>
      <c r="P34" s="73"/>
      <c r="Q34" s="73"/>
      <c r="R34" s="73"/>
      <c r="S34" s="73"/>
      <c r="T34" s="80"/>
      <c r="U34" s="81"/>
      <c r="V34" s="73"/>
      <c r="W34" s="73"/>
      <c r="X34" s="73"/>
      <c r="Y34" s="64"/>
      <c r="Z34" s="64"/>
      <c r="AA34" s="64"/>
      <c r="AB34" s="80"/>
      <c r="AC34" s="69"/>
    </row>
    <row r="35" s="5" customFormat="1" ht="26" customHeight="1" spans="1:29">
      <c r="A35" s="63">
        <v>46171</v>
      </c>
      <c r="B35" s="73"/>
      <c r="C35" s="74"/>
      <c r="D35" s="75"/>
      <c r="E35" s="86"/>
      <c r="F35" s="74"/>
      <c r="G35" s="75"/>
      <c r="H35" s="75"/>
      <c r="I35" s="75"/>
      <c r="J35" s="75"/>
      <c r="K35" s="86"/>
      <c r="L35" s="75"/>
      <c r="M35" s="76"/>
      <c r="N35" s="77"/>
      <c r="O35" s="81"/>
      <c r="P35" s="73"/>
      <c r="Q35" s="73"/>
      <c r="R35" s="73"/>
      <c r="S35" s="73"/>
      <c r="T35" s="80"/>
      <c r="U35" s="81"/>
      <c r="V35" s="73"/>
      <c r="W35" s="73"/>
      <c r="X35" s="73"/>
      <c r="Y35" s="64"/>
      <c r="Z35" s="64"/>
      <c r="AA35" s="64"/>
      <c r="AB35" s="80"/>
      <c r="AC35" s="69"/>
    </row>
    <row r="36" s="5" customFormat="1" ht="26" customHeight="1" spans="1:29">
      <c r="A36" s="63">
        <v>46172</v>
      </c>
      <c r="B36" s="73"/>
      <c r="C36" s="74"/>
      <c r="D36" s="75"/>
      <c r="E36" s="73"/>
      <c r="F36" s="74"/>
      <c r="G36" s="75"/>
      <c r="H36" s="75"/>
      <c r="I36" s="75"/>
      <c r="J36" s="75"/>
      <c r="K36" s="73"/>
      <c r="L36" s="75"/>
      <c r="M36" s="76"/>
      <c r="N36" s="77"/>
      <c r="O36" s="81"/>
      <c r="P36" s="73"/>
      <c r="Q36" s="73"/>
      <c r="R36" s="73"/>
      <c r="S36" s="73"/>
      <c r="T36" s="80"/>
      <c r="U36" s="81"/>
      <c r="V36" s="73"/>
      <c r="W36" s="73"/>
      <c r="X36" s="73"/>
      <c r="Y36" s="64"/>
      <c r="Z36" s="64"/>
      <c r="AA36" s="64"/>
      <c r="AB36" s="80"/>
      <c r="AC36" s="69"/>
    </row>
    <row r="37" s="5" customFormat="1" ht="26" customHeight="1" spans="1:29">
      <c r="A37" s="63">
        <v>46173</v>
      </c>
      <c r="B37" s="73"/>
      <c r="C37" s="74"/>
      <c r="D37" s="75"/>
      <c r="E37" s="73"/>
      <c r="F37" s="74"/>
      <c r="G37" s="75"/>
      <c r="H37" s="75"/>
      <c r="I37" s="75"/>
      <c r="J37" s="75"/>
      <c r="K37" s="73"/>
      <c r="L37" s="75"/>
      <c r="M37" s="76"/>
      <c r="N37" s="77"/>
      <c r="O37" s="81"/>
      <c r="P37" s="73"/>
      <c r="Q37" s="73"/>
      <c r="R37" s="73"/>
      <c r="S37" s="73"/>
      <c r="T37" s="80"/>
      <c r="U37" s="81"/>
      <c r="V37" s="73"/>
      <c r="W37" s="73"/>
      <c r="X37" s="73"/>
      <c r="Y37" s="64"/>
      <c r="Z37" s="64"/>
      <c r="AA37" s="64"/>
      <c r="AB37" s="80"/>
      <c r="AC37" s="69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87"/>
      <c r="B44" s="88"/>
      <c r="C44" s="89"/>
      <c r="D44" s="90"/>
      <c r="E44" s="88"/>
      <c r="F44" s="89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87"/>
      <c r="B45" s="88"/>
      <c r="C45" s="89"/>
      <c r="D45" s="90"/>
      <c r="E45" s="88"/>
      <c r="F45" s="89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87"/>
      <c r="B46" s="88"/>
      <c r="C46" s="89"/>
      <c r="D46" s="90"/>
      <c r="E46" s="88"/>
      <c r="F46" s="89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</row>
    <row r="49" s="1" customFormat="1" spans="1:2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  <c r="AC49" s="1">
        <v>119</v>
      </c>
    </row>
    <row r="50" s="1" customFormat="1" spans="1:2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2"/>
      <c r="N50" s="91"/>
      <c r="AC50" s="1">
        <v>87</v>
      </c>
    </row>
    <row r="51" s="1" customFormat="1" spans="1:2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2"/>
      <c r="N51" s="91"/>
      <c r="AC51" s="1">
        <v>69</v>
      </c>
    </row>
    <row r="52" s="1" customFormat="1" spans="1:29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2"/>
      <c r="N52" s="91"/>
      <c r="AC52" s="1">
        <v>104</v>
      </c>
    </row>
    <row r="53" s="1" customFormat="1" spans="1:29">
      <c r="M53" s="6"/>
      <c r="AC53" s="1">
        <v>106</v>
      </c>
    </row>
    <row r="54" s="1" customFormat="1" spans="1:29">
      <c r="M54" s="6"/>
      <c r="AC54" s="1">
        <v>105</v>
      </c>
    </row>
  </sheetData>
  <mergeCells count="13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3"/>
  <sheetViews>
    <sheetView topLeftCell="A34" workbookViewId="0">
      <selection activeCell="A37" sqref="$A37:$XFD37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16384" width="9.025" style="1"/>
  </cols>
  <sheetData>
    <row r="1" s="1" customFormat="1" ht="33" customHeight="1" spans="1: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29">
      <c r="A2" s="9" t="s">
        <v>1</v>
      </c>
      <c r="B2" s="10">
        <f>N6-(N6*0.07)</f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0</v>
      </c>
      <c r="U2" s="10" t="s">
        <v>4</v>
      </c>
      <c r="V2" s="12"/>
      <c r="W2" s="15">
        <f>Q2+T2-Z2</f>
        <v>0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29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0</v>
      </c>
      <c r="T3" s="25" t="e">
        <f>SUM(O5:T5)</f>
        <v>#DIV/0!</v>
      </c>
      <c r="U3" s="26" t="s">
        <v>10</v>
      </c>
      <c r="V3" s="27"/>
      <c r="W3" s="27"/>
      <c r="X3" s="27"/>
      <c r="Y3" s="27"/>
      <c r="Z3" s="28"/>
      <c r="AA3" s="29">
        <f>SUM(U6:AB6)</f>
        <v>0</v>
      </c>
      <c r="AB3" s="30" t="e">
        <f>SUM(U5:AB5)</f>
        <v>#DIV/0!</v>
      </c>
      <c r="AC3" s="31" t="s">
        <v>11</v>
      </c>
    </row>
    <row r="4" s="4" customFormat="1" ht="26" customHeight="1" spans="1:29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</row>
    <row r="5" s="3" customFormat="1" ht="26" customHeight="1" spans="1:29">
      <c r="A5" s="45"/>
      <c r="B5" s="46" t="e">
        <f>B6/$N$6</f>
        <v>#DIV/0!</v>
      </c>
      <c r="C5" s="46"/>
      <c r="D5" s="46"/>
      <c r="E5" s="46" t="e">
        <f>E6/$N$6</f>
        <v>#DIV/0!</v>
      </c>
      <c r="F5" s="46"/>
      <c r="G5" s="46"/>
      <c r="H5" s="46" t="e">
        <f t="shared" ref="H5:M5" si="0">H6/$N$6</f>
        <v>#DIV/0!</v>
      </c>
      <c r="I5" s="46"/>
      <c r="J5" s="46"/>
      <c r="K5" s="46" t="e">
        <f t="shared" si="0"/>
        <v>#DIV/0!</v>
      </c>
      <c r="L5" s="46" t="e">
        <f t="shared" si="0"/>
        <v>#DIV/0!</v>
      </c>
      <c r="M5" s="46" t="e">
        <f t="shared" si="0"/>
        <v>#DIV/0!</v>
      </c>
      <c r="N5" s="35"/>
      <c r="O5" s="47" t="e">
        <f t="shared" ref="O5:AB5" si="1">O6/$N$6</f>
        <v>#DIV/0!</v>
      </c>
      <c r="P5" s="48" t="e">
        <f t="shared" si="1"/>
        <v>#DIV/0!</v>
      </c>
      <c r="Q5" s="48" t="e">
        <f t="shared" si="1"/>
        <v>#DIV/0!</v>
      </c>
      <c r="R5" s="48" t="e">
        <f t="shared" si="1"/>
        <v>#DIV/0!</v>
      </c>
      <c r="S5" s="48" t="e">
        <f t="shared" si="1"/>
        <v>#DIV/0!</v>
      </c>
      <c r="T5" s="49" t="e">
        <f t="shared" si="1"/>
        <v>#DIV/0!</v>
      </c>
      <c r="U5" s="50" t="e">
        <f t="shared" si="1"/>
        <v>#DIV/0!</v>
      </c>
      <c r="V5" s="51" t="e">
        <f t="shared" si="1"/>
        <v>#DIV/0!</v>
      </c>
      <c r="W5" s="51" t="e">
        <f t="shared" si="1"/>
        <v>#DIV/0!</v>
      </c>
      <c r="X5" s="51" t="e">
        <f t="shared" si="1"/>
        <v>#DIV/0!</v>
      </c>
      <c r="Y5" s="51" t="e">
        <f t="shared" si="1"/>
        <v>#DIV/0!</v>
      </c>
      <c r="Z5" s="51" t="e">
        <f t="shared" si="1"/>
        <v>#DIV/0!</v>
      </c>
      <c r="AA5" s="51" t="e">
        <f t="shared" si="1"/>
        <v>#DIV/0!</v>
      </c>
      <c r="AB5" s="52" t="e">
        <f t="shared" si="1"/>
        <v>#DIV/0!</v>
      </c>
      <c r="AC5" s="53" t="e">
        <f>SUM(O5:AB5)</f>
        <v>#DIV/0!</v>
      </c>
    </row>
    <row r="6" s="5" customFormat="1" ht="26" customHeight="1" spans="1:29">
      <c r="A6" s="32" t="s">
        <v>35</v>
      </c>
      <c r="B6" s="54">
        <f>SUM(B7:B36)</f>
        <v>0</v>
      </c>
      <c r="C6" s="55">
        <f>SUM(C7:C36)</f>
        <v>0</v>
      </c>
      <c r="D6" s="54" t="e">
        <f>B6/C6</f>
        <v>#DIV/0!</v>
      </c>
      <c r="E6" s="54">
        <f>SUM(E7:E36)</f>
        <v>0</v>
      </c>
      <c r="F6" s="54">
        <f>SUM(F7:F36)</f>
        <v>0</v>
      </c>
      <c r="G6" s="54" t="e">
        <f>E6/F6</f>
        <v>#DIV/0!</v>
      </c>
      <c r="H6" s="54">
        <f>SUM(H7:H36)</f>
        <v>0</v>
      </c>
      <c r="I6" s="55">
        <f>SUM(I7:I36)</f>
        <v>0</v>
      </c>
      <c r="J6" s="54" t="e">
        <f>H6/I6</f>
        <v>#DIV/0!</v>
      </c>
      <c r="K6" s="54">
        <f>SUM(K7:K36)</f>
        <v>0</v>
      </c>
      <c r="L6" s="54">
        <f>SUM(L7:L36)</f>
        <v>0</v>
      </c>
      <c r="M6" s="54">
        <f>SUM(M7:M36)</f>
        <v>0</v>
      </c>
      <c r="N6" s="56">
        <f>B6+E6+H6+K6+L6-M6</f>
        <v>0</v>
      </c>
      <c r="O6" s="57">
        <f t="shared" ref="O6:AB6" si="2">SUM(O7:O36)</f>
        <v>0</v>
      </c>
      <c r="P6" s="58">
        <f t="shared" si="2"/>
        <v>0</v>
      </c>
      <c r="Q6" s="58">
        <f t="shared" si="2"/>
        <v>0</v>
      </c>
      <c r="R6" s="58">
        <f t="shared" si="2"/>
        <v>0</v>
      </c>
      <c r="S6" s="58">
        <f t="shared" si="2"/>
        <v>0</v>
      </c>
      <c r="T6" s="59">
        <f t="shared" si="2"/>
        <v>0</v>
      </c>
      <c r="U6" s="60">
        <f t="shared" si="2"/>
        <v>0</v>
      </c>
      <c r="V6" s="61">
        <f t="shared" si="2"/>
        <v>0</v>
      </c>
      <c r="W6" s="61">
        <f t="shared" si="2"/>
        <v>0</v>
      </c>
      <c r="X6" s="61">
        <f t="shared" si="2"/>
        <v>0</v>
      </c>
      <c r="Y6" s="61">
        <f t="shared" si="2"/>
        <v>0</v>
      </c>
      <c r="Z6" s="61">
        <f t="shared" si="2"/>
        <v>0</v>
      </c>
      <c r="AA6" s="61">
        <f t="shared" si="2"/>
        <v>0</v>
      </c>
      <c r="AB6" s="61">
        <f t="shared" si="2"/>
        <v>0</v>
      </c>
      <c r="AC6" s="62">
        <f>SUM(O6:AB6)</f>
        <v>0</v>
      </c>
    </row>
    <row r="7" s="5" customFormat="1" ht="26" customHeight="1" spans="1:29">
      <c r="A7" s="63">
        <v>46174</v>
      </c>
      <c r="B7" s="64"/>
      <c r="C7" s="64"/>
      <c r="D7" s="65"/>
      <c r="E7" s="64"/>
      <c r="F7" s="64"/>
      <c r="G7" s="65"/>
      <c r="H7" s="64"/>
      <c r="I7" s="64"/>
      <c r="J7" s="65"/>
      <c r="K7" s="64"/>
      <c r="L7" s="64"/>
      <c r="M7" s="66"/>
      <c r="N7" s="67"/>
      <c r="O7" s="68"/>
      <c r="P7" s="64"/>
      <c r="Q7" s="64"/>
      <c r="R7" s="64"/>
      <c r="S7" s="64"/>
      <c r="T7" s="67"/>
      <c r="U7" s="68"/>
      <c r="V7" s="64"/>
      <c r="W7" s="64"/>
      <c r="X7" s="64"/>
      <c r="Y7" s="64"/>
      <c r="Z7" s="64"/>
      <c r="AA7" s="64"/>
      <c r="AB7" s="67"/>
      <c r="AC7" s="69"/>
    </row>
    <row r="8" s="5" customFormat="1" ht="26" customHeight="1" spans="1:29">
      <c r="A8" s="63">
        <v>46175</v>
      </c>
      <c r="B8" s="64"/>
      <c r="C8" s="64"/>
      <c r="D8" s="65"/>
      <c r="E8" s="64"/>
      <c r="F8" s="64"/>
      <c r="G8" s="65"/>
      <c r="H8" s="64"/>
      <c r="I8" s="64"/>
      <c r="J8" s="65"/>
      <c r="K8" s="64"/>
      <c r="L8" s="64"/>
      <c r="M8" s="66"/>
      <c r="N8" s="67"/>
      <c r="O8" s="68"/>
      <c r="P8" s="64"/>
      <c r="Q8" s="64"/>
      <c r="R8" s="64"/>
      <c r="S8" s="64"/>
      <c r="T8" s="67"/>
      <c r="U8" s="68"/>
      <c r="V8" s="64"/>
      <c r="W8" s="64"/>
      <c r="X8" s="64"/>
      <c r="Y8" s="64"/>
      <c r="Z8" s="64"/>
      <c r="AA8" s="64"/>
      <c r="AB8" s="67"/>
      <c r="AC8" s="69"/>
    </row>
    <row r="9" s="5" customFormat="1" ht="26" customHeight="1" spans="1:29">
      <c r="A9" s="63">
        <v>46176</v>
      </c>
      <c r="B9" s="64"/>
      <c r="C9" s="64"/>
      <c r="D9" s="65"/>
      <c r="E9" s="64"/>
      <c r="F9" s="64"/>
      <c r="G9" s="70"/>
      <c r="H9" s="64"/>
      <c r="I9" s="64"/>
      <c r="J9" s="65"/>
      <c r="K9" s="64"/>
      <c r="L9" s="64"/>
      <c r="M9" s="66"/>
      <c r="N9" s="67"/>
      <c r="O9" s="68"/>
      <c r="P9" s="64"/>
      <c r="Q9" s="64"/>
      <c r="R9" s="71"/>
      <c r="S9" s="64"/>
      <c r="T9" s="64"/>
      <c r="U9" s="68"/>
      <c r="V9" s="64"/>
      <c r="W9" s="64"/>
      <c r="X9" s="72"/>
      <c r="Y9" s="64"/>
      <c r="Z9" s="64"/>
      <c r="AA9" s="64"/>
      <c r="AB9" s="67"/>
      <c r="AC9" s="69"/>
    </row>
    <row r="10" s="5" customFormat="1" ht="26" customHeight="1" spans="1:29">
      <c r="A10" s="63">
        <v>46177</v>
      </c>
      <c r="B10" s="64"/>
      <c r="C10" s="64"/>
      <c r="D10" s="70"/>
      <c r="E10" s="64"/>
      <c r="F10" s="64"/>
      <c r="G10" s="70"/>
      <c r="H10" s="64"/>
      <c r="I10" s="64"/>
      <c r="J10" s="70"/>
      <c r="K10" s="64"/>
      <c r="L10" s="64"/>
      <c r="M10" s="66"/>
      <c r="N10" s="67"/>
      <c r="O10" s="68"/>
      <c r="P10" s="64"/>
      <c r="Q10" s="64"/>
      <c r="R10" s="64"/>
      <c r="S10" s="64"/>
      <c r="T10" s="64"/>
      <c r="U10" s="68"/>
      <c r="V10" s="64"/>
      <c r="W10" s="64"/>
      <c r="X10" s="64"/>
      <c r="Y10" s="64"/>
      <c r="Z10" s="64"/>
      <c r="AA10" s="64"/>
      <c r="AB10" s="67"/>
      <c r="AC10" s="69"/>
    </row>
    <row r="11" s="5" customFormat="1" ht="26" customHeight="1" spans="1:29">
      <c r="A11" s="63">
        <v>46178</v>
      </c>
      <c r="B11" s="73"/>
      <c r="C11" s="74"/>
      <c r="D11" s="75"/>
      <c r="E11" s="73"/>
      <c r="F11" s="74"/>
      <c r="G11" s="75"/>
      <c r="H11" s="75"/>
      <c r="I11" s="75"/>
      <c r="J11" s="75"/>
      <c r="K11" s="75"/>
      <c r="L11" s="75"/>
      <c r="M11" s="76"/>
      <c r="N11" s="77"/>
      <c r="O11" s="78"/>
      <c r="P11" s="79"/>
      <c r="Q11" s="79"/>
      <c r="R11" s="73"/>
      <c r="S11" s="73"/>
      <c r="T11" s="80"/>
      <c r="U11" s="81"/>
      <c r="V11" s="73"/>
      <c r="W11" s="73"/>
      <c r="X11" s="73"/>
      <c r="Y11" s="64"/>
      <c r="Z11" s="64"/>
      <c r="AA11" s="64"/>
      <c r="AB11" s="80"/>
      <c r="AC11" s="69"/>
    </row>
    <row r="12" s="5" customFormat="1" ht="26" customHeight="1" spans="1:29">
      <c r="A12" s="63">
        <v>46179</v>
      </c>
      <c r="B12" s="73"/>
      <c r="C12" s="74"/>
      <c r="D12" s="75"/>
      <c r="E12" s="73"/>
      <c r="F12" s="74"/>
      <c r="G12" s="75"/>
      <c r="H12" s="75"/>
      <c r="I12" s="75"/>
      <c r="J12" s="75"/>
      <c r="K12" s="75"/>
      <c r="L12" s="75"/>
      <c r="M12" s="76"/>
      <c r="N12" s="77"/>
      <c r="O12" s="81"/>
      <c r="P12" s="73"/>
      <c r="Q12" s="64"/>
      <c r="R12" s="73"/>
      <c r="S12" s="73"/>
      <c r="T12" s="80"/>
      <c r="U12" s="81"/>
      <c r="V12" s="73"/>
      <c r="W12" s="73"/>
      <c r="X12" s="73"/>
      <c r="Y12" s="64"/>
      <c r="Z12" s="64"/>
      <c r="AA12" s="64"/>
      <c r="AB12" s="80"/>
      <c r="AC12" s="69"/>
    </row>
    <row r="13" s="5" customFormat="1" ht="26" customHeight="1" spans="1:29">
      <c r="A13" s="63">
        <v>46180</v>
      </c>
      <c r="B13" s="73"/>
      <c r="C13" s="74"/>
      <c r="D13" s="75"/>
      <c r="E13" s="73"/>
      <c r="F13" s="74"/>
      <c r="G13" s="75"/>
      <c r="H13" s="75"/>
      <c r="I13" s="75"/>
      <c r="J13" s="75"/>
      <c r="K13" s="75"/>
      <c r="L13" s="75"/>
      <c r="M13" s="76"/>
      <c r="N13" s="77"/>
      <c r="O13" s="81"/>
      <c r="P13" s="73"/>
      <c r="Q13" s="73"/>
      <c r="R13" s="73"/>
      <c r="S13" s="73"/>
      <c r="T13" s="80"/>
      <c r="U13" s="81"/>
      <c r="V13" s="73"/>
      <c r="W13" s="73"/>
      <c r="X13" s="73"/>
      <c r="Y13" s="64"/>
      <c r="Z13" s="64"/>
      <c r="AA13" s="64"/>
      <c r="AB13" s="80"/>
      <c r="AC13" s="69"/>
    </row>
    <row r="14" s="5" customFormat="1" ht="26" customHeight="1" spans="1:29">
      <c r="A14" s="63">
        <v>46181</v>
      </c>
      <c r="B14" s="73"/>
      <c r="C14" s="74"/>
      <c r="D14" s="75"/>
      <c r="E14" s="73"/>
      <c r="F14" s="74"/>
      <c r="G14" s="75"/>
      <c r="H14" s="75"/>
      <c r="I14" s="75"/>
      <c r="J14" s="75"/>
      <c r="K14" s="75"/>
      <c r="L14" s="75"/>
      <c r="M14" s="76"/>
      <c r="N14" s="77"/>
      <c r="O14" s="81"/>
      <c r="P14" s="73"/>
      <c r="Q14" s="73"/>
      <c r="R14" s="73"/>
      <c r="S14" s="73"/>
      <c r="T14" s="80"/>
      <c r="U14" s="81"/>
      <c r="V14" s="73"/>
      <c r="W14" s="73"/>
      <c r="X14" s="73"/>
      <c r="Y14" s="64"/>
      <c r="Z14" s="64"/>
      <c r="AA14" s="64"/>
      <c r="AB14" s="80"/>
      <c r="AC14" s="69"/>
    </row>
    <row r="15" s="5" customFormat="1" ht="26" customHeight="1" spans="1:29">
      <c r="A15" s="63">
        <v>46182</v>
      </c>
      <c r="B15" s="73"/>
      <c r="C15" s="74"/>
      <c r="D15" s="75"/>
      <c r="E15" s="73"/>
      <c r="F15" s="74"/>
      <c r="G15" s="75"/>
      <c r="H15" s="75"/>
      <c r="I15" s="75"/>
      <c r="J15" s="75"/>
      <c r="K15" s="75"/>
      <c r="L15" s="75"/>
      <c r="M15" s="76"/>
      <c r="N15" s="77"/>
      <c r="O15" s="81"/>
      <c r="P15" s="73"/>
      <c r="Q15" s="73"/>
      <c r="R15" s="73"/>
      <c r="S15" s="73"/>
      <c r="T15" s="80"/>
      <c r="U15" s="81"/>
      <c r="V15" s="73"/>
      <c r="W15" s="73"/>
      <c r="X15" s="73"/>
      <c r="Y15" s="64"/>
      <c r="Z15" s="64"/>
      <c r="AA15" s="64"/>
      <c r="AB15" s="80"/>
      <c r="AC15" s="69"/>
    </row>
    <row r="16" s="5" customFormat="1" ht="26" customHeight="1" spans="1:29">
      <c r="A16" s="63">
        <v>46183</v>
      </c>
      <c r="B16" s="73"/>
      <c r="C16" s="74"/>
      <c r="D16" s="75"/>
      <c r="E16" s="73"/>
      <c r="F16" s="74"/>
      <c r="G16" s="75"/>
      <c r="H16" s="75"/>
      <c r="I16" s="75"/>
      <c r="J16" s="75"/>
      <c r="K16" s="75"/>
      <c r="L16" s="75"/>
      <c r="M16" s="76"/>
      <c r="N16" s="77"/>
      <c r="O16" s="81"/>
      <c r="P16" s="73"/>
      <c r="Q16" s="73"/>
      <c r="R16" s="73"/>
      <c r="S16" s="73"/>
      <c r="T16" s="80"/>
      <c r="U16" s="81"/>
      <c r="V16" s="73"/>
      <c r="W16" s="73"/>
      <c r="X16" s="73"/>
      <c r="Y16" s="64"/>
      <c r="Z16" s="64"/>
      <c r="AA16" s="64"/>
      <c r="AB16" s="80"/>
      <c r="AC16" s="69"/>
    </row>
    <row r="17" s="5" customFormat="1" ht="26" customHeight="1" spans="1:29">
      <c r="A17" s="63">
        <v>46184</v>
      </c>
      <c r="B17" s="73"/>
      <c r="C17" s="74"/>
      <c r="D17" s="75"/>
      <c r="E17" s="73"/>
      <c r="F17" s="74"/>
      <c r="G17" s="75"/>
      <c r="H17" s="75"/>
      <c r="I17" s="75"/>
      <c r="J17" s="75"/>
      <c r="K17" s="75"/>
      <c r="L17" s="75"/>
      <c r="M17" s="76"/>
      <c r="N17" s="77"/>
      <c r="O17" s="81"/>
      <c r="P17" s="73"/>
      <c r="Q17" s="73"/>
      <c r="R17" s="73"/>
      <c r="S17" s="73"/>
      <c r="T17" s="80"/>
      <c r="U17" s="81"/>
      <c r="V17" s="73"/>
      <c r="W17" s="73"/>
      <c r="X17" s="73"/>
      <c r="Y17" s="64"/>
      <c r="Z17" s="64"/>
      <c r="AA17" s="64"/>
      <c r="AB17" s="80"/>
      <c r="AC17" s="69"/>
    </row>
    <row r="18" s="5" customFormat="1" ht="26" customHeight="1" spans="1:29">
      <c r="A18" s="63">
        <v>46185</v>
      </c>
      <c r="B18" s="73"/>
      <c r="C18" s="74"/>
      <c r="D18" s="75"/>
      <c r="E18" s="73"/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/>
      <c r="V18" s="73"/>
      <c r="W18" s="73"/>
      <c r="X18" s="73"/>
      <c r="Y18" s="64"/>
      <c r="Z18" s="64"/>
      <c r="AA18" s="64"/>
      <c r="AB18" s="80"/>
      <c r="AC18" s="69"/>
    </row>
    <row r="19" s="5" customFormat="1" ht="26" customHeight="1" spans="1:29">
      <c r="A19" s="63">
        <v>46186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46187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46188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46189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46190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46191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46192</v>
      </c>
      <c r="B25" s="73"/>
      <c r="C25" s="74"/>
      <c r="D25" s="75"/>
      <c r="E25" s="73"/>
      <c r="F25" s="74"/>
      <c r="G25" s="75"/>
      <c r="H25" s="75"/>
      <c r="I25" s="75"/>
      <c r="J25" s="75"/>
      <c r="K25" s="75"/>
      <c r="L25" s="75"/>
      <c r="M25" s="76"/>
      <c r="N25" s="77"/>
      <c r="O25" s="81"/>
      <c r="P25" s="73"/>
      <c r="Q25" s="73"/>
      <c r="R25" s="84"/>
      <c r="S25" s="85"/>
      <c r="T25" s="80"/>
      <c r="U25" s="81"/>
      <c r="V25" s="73"/>
      <c r="W25" s="73"/>
      <c r="X25" s="73"/>
      <c r="Y25" s="64"/>
      <c r="Z25" s="64"/>
      <c r="AA25" s="64"/>
      <c r="AB25" s="80"/>
      <c r="AC25" s="69"/>
    </row>
    <row r="26" s="5" customFormat="1" ht="26" customHeight="1" spans="1:29">
      <c r="A26" s="63">
        <v>46193</v>
      </c>
      <c r="B26" s="73"/>
      <c r="C26" s="74"/>
      <c r="D26" s="75"/>
      <c r="E26" s="73"/>
      <c r="F26" s="74"/>
      <c r="G26" s="75"/>
      <c r="H26" s="75"/>
      <c r="I26" s="75"/>
      <c r="J26" s="75"/>
      <c r="K26" s="79"/>
      <c r="L26" s="75"/>
      <c r="M26" s="76"/>
      <c r="N26" s="77"/>
      <c r="O26" s="81"/>
      <c r="P26" s="73"/>
      <c r="Q26" s="73"/>
      <c r="R26" s="73"/>
      <c r="S26" s="73"/>
      <c r="T26" s="80"/>
      <c r="U26" s="81"/>
      <c r="V26" s="73"/>
      <c r="W26" s="73"/>
      <c r="X26" s="73"/>
      <c r="Y26" s="64"/>
      <c r="Z26" s="64"/>
      <c r="AA26" s="64"/>
      <c r="AB26" s="80"/>
      <c r="AC26" s="69"/>
    </row>
    <row r="27" s="5" customFormat="1" ht="26" customHeight="1" spans="1:29">
      <c r="A27" s="63">
        <v>46194</v>
      </c>
      <c r="B27" s="73"/>
      <c r="C27" s="74"/>
      <c r="D27" s="75"/>
      <c r="E27" s="73"/>
      <c r="F27" s="74"/>
      <c r="G27" s="75"/>
      <c r="H27" s="75"/>
      <c r="I27" s="75"/>
      <c r="J27" s="75"/>
      <c r="K27" s="75"/>
      <c r="L27" s="75"/>
      <c r="M27" s="76"/>
      <c r="N27" s="77"/>
      <c r="O27" s="81"/>
      <c r="P27" s="73"/>
      <c r="Q27" s="73"/>
      <c r="R27" s="73"/>
      <c r="S27" s="73"/>
      <c r="T27" s="80"/>
      <c r="U27" s="81"/>
      <c r="V27" s="73"/>
      <c r="W27" s="73"/>
      <c r="X27" s="73"/>
      <c r="Y27" s="64"/>
      <c r="Z27" s="64"/>
      <c r="AA27" s="64"/>
      <c r="AB27" s="80"/>
      <c r="AC27" s="69"/>
    </row>
    <row r="28" s="5" customFormat="1" ht="26" customHeight="1" spans="1:29">
      <c r="A28" s="63">
        <v>46195</v>
      </c>
      <c r="B28" s="73"/>
      <c r="C28" s="74"/>
      <c r="D28" s="75"/>
      <c r="E28" s="73"/>
      <c r="F28" s="74"/>
      <c r="G28" s="75"/>
      <c r="H28" s="75"/>
      <c r="I28" s="75"/>
      <c r="J28" s="75"/>
      <c r="K28" s="75"/>
      <c r="L28" s="75"/>
      <c r="M28" s="76"/>
      <c r="N28" s="77"/>
      <c r="O28" s="81"/>
      <c r="P28" s="73"/>
      <c r="Q28" s="73"/>
      <c r="R28" s="73"/>
      <c r="S28" s="73"/>
      <c r="T28" s="80"/>
      <c r="U28" s="81"/>
      <c r="V28" s="73"/>
      <c r="W28" s="73"/>
      <c r="X28" s="73"/>
      <c r="Y28" s="64"/>
      <c r="Z28" s="64"/>
      <c r="AA28" s="64"/>
      <c r="AB28" s="80"/>
      <c r="AC28" s="69"/>
    </row>
    <row r="29" s="5" customFormat="1" ht="26" customHeight="1" spans="1:29">
      <c r="A29" s="63">
        <v>46196</v>
      </c>
      <c r="B29" s="73"/>
      <c r="C29" s="74"/>
      <c r="D29" s="75"/>
      <c r="E29" s="73"/>
      <c r="F29" s="74"/>
      <c r="G29" s="75"/>
      <c r="H29" s="75"/>
      <c r="I29" s="75"/>
      <c r="J29" s="75"/>
      <c r="K29" s="75"/>
      <c r="L29" s="75"/>
      <c r="M29" s="76"/>
      <c r="N29" s="77"/>
      <c r="O29" s="81"/>
      <c r="P29" s="73"/>
      <c r="Q29" s="73"/>
      <c r="R29" s="73"/>
      <c r="S29" s="73"/>
      <c r="T29" s="80"/>
      <c r="U29" s="81"/>
      <c r="V29" s="73"/>
      <c r="W29" s="73"/>
      <c r="X29" s="73"/>
      <c r="Y29" s="64"/>
      <c r="Z29" s="64"/>
      <c r="AA29" s="64"/>
      <c r="AB29" s="80"/>
      <c r="AC29" s="69"/>
    </row>
    <row r="30" s="5" customFormat="1" ht="26" customHeight="1" spans="1:29">
      <c r="A30" s="63">
        <v>46197</v>
      </c>
      <c r="B30" s="73"/>
      <c r="C30" s="74"/>
      <c r="D30" s="75"/>
      <c r="E30" s="73"/>
      <c r="F30" s="74"/>
      <c r="G30" s="75"/>
      <c r="H30" s="75"/>
      <c r="I30" s="75"/>
      <c r="J30" s="75"/>
      <c r="K30" s="75"/>
      <c r="L30" s="75"/>
      <c r="M30" s="76"/>
      <c r="N30" s="77"/>
      <c r="O30" s="81"/>
      <c r="P30" s="73"/>
      <c r="Q30" s="73"/>
      <c r="R30" s="73"/>
      <c r="S30" s="73"/>
      <c r="T30" s="80"/>
      <c r="U30" s="81"/>
      <c r="V30" s="73"/>
      <c r="W30" s="73"/>
      <c r="X30" s="73"/>
      <c r="Y30" s="64"/>
      <c r="Z30" s="64"/>
      <c r="AA30" s="64"/>
      <c r="AB30" s="80"/>
      <c r="AC30" s="69"/>
    </row>
    <row r="31" s="5" customFormat="1" ht="26" customHeight="1" spans="1:29">
      <c r="A31" s="63">
        <v>46198</v>
      </c>
      <c r="B31" s="73"/>
      <c r="C31" s="74"/>
      <c r="D31" s="75"/>
      <c r="E31" s="73"/>
      <c r="F31" s="74"/>
      <c r="G31" s="75"/>
      <c r="H31" s="75"/>
      <c r="I31" s="75"/>
      <c r="J31" s="75"/>
      <c r="K31" s="75"/>
      <c r="L31" s="75"/>
      <c r="M31" s="76"/>
      <c r="N31" s="77"/>
      <c r="O31" s="81"/>
      <c r="P31" s="73"/>
      <c r="Q31" s="73"/>
      <c r="R31" s="73"/>
      <c r="S31" s="73"/>
      <c r="T31" s="80"/>
      <c r="U31" s="81"/>
      <c r="V31" s="73"/>
      <c r="W31" s="73"/>
      <c r="X31" s="73"/>
      <c r="Y31" s="64"/>
      <c r="Z31" s="64"/>
      <c r="AA31" s="64"/>
      <c r="AB31" s="80"/>
      <c r="AC31" s="69"/>
    </row>
    <row r="32" s="5" customFormat="1" ht="26" customHeight="1" spans="1:29">
      <c r="A32" s="63">
        <v>46199</v>
      </c>
      <c r="B32" s="73"/>
      <c r="C32" s="74"/>
      <c r="D32" s="75"/>
      <c r="E32" s="73"/>
      <c r="F32" s="74"/>
      <c r="G32" s="75"/>
      <c r="H32" s="75"/>
      <c r="I32" s="75"/>
      <c r="J32" s="75"/>
      <c r="K32" s="75"/>
      <c r="L32" s="75"/>
      <c r="M32" s="76"/>
      <c r="N32" s="77"/>
      <c r="O32" s="81"/>
      <c r="P32" s="73"/>
      <c r="Q32" s="73"/>
      <c r="R32" s="73"/>
      <c r="S32" s="73"/>
      <c r="T32" s="80"/>
      <c r="U32" s="81"/>
      <c r="V32" s="73"/>
      <c r="W32" s="73"/>
      <c r="X32" s="73"/>
      <c r="Y32" s="64"/>
      <c r="Z32" s="64"/>
      <c r="AA32" s="64"/>
      <c r="AB32" s="80"/>
      <c r="AC32" s="69"/>
    </row>
    <row r="33" s="5" customFormat="1" ht="26" customHeight="1" spans="1:29">
      <c r="A33" s="63">
        <v>46200</v>
      </c>
      <c r="B33" s="73"/>
      <c r="C33" s="74"/>
      <c r="D33" s="75"/>
      <c r="E33" s="73"/>
      <c r="F33" s="74"/>
      <c r="G33" s="75"/>
      <c r="H33" s="75"/>
      <c r="I33" s="75"/>
      <c r="J33" s="75"/>
      <c r="K33" s="75"/>
      <c r="L33" s="75"/>
      <c r="M33" s="76"/>
      <c r="N33" s="77"/>
      <c r="O33" s="81"/>
      <c r="P33" s="73"/>
      <c r="Q33" s="73"/>
      <c r="R33" s="73"/>
      <c r="S33" s="73"/>
      <c r="T33" s="80"/>
      <c r="U33" s="81"/>
      <c r="V33" s="73"/>
      <c r="W33" s="73"/>
      <c r="X33" s="73"/>
      <c r="Y33" s="64"/>
      <c r="Z33" s="64"/>
      <c r="AA33" s="64"/>
      <c r="AB33" s="80"/>
      <c r="AC33" s="69"/>
    </row>
    <row r="34" s="5" customFormat="1" ht="26" customHeight="1" spans="1:29">
      <c r="A34" s="63">
        <v>46201</v>
      </c>
      <c r="B34" s="73"/>
      <c r="C34" s="74"/>
      <c r="D34" s="75"/>
      <c r="E34" s="73"/>
      <c r="F34" s="74"/>
      <c r="G34" s="75"/>
      <c r="H34" s="75"/>
      <c r="I34" s="75"/>
      <c r="J34" s="75"/>
      <c r="K34" s="73"/>
      <c r="L34" s="75"/>
      <c r="M34" s="76"/>
      <c r="N34" s="77"/>
      <c r="O34" s="81"/>
      <c r="P34" s="73"/>
      <c r="Q34" s="73"/>
      <c r="R34" s="73"/>
      <c r="S34" s="73"/>
      <c r="T34" s="80"/>
      <c r="U34" s="81"/>
      <c r="V34" s="73"/>
      <c r="W34" s="73"/>
      <c r="X34" s="73"/>
      <c r="Y34" s="64"/>
      <c r="Z34" s="64"/>
      <c r="AA34" s="64"/>
      <c r="AB34" s="80"/>
      <c r="AC34" s="69"/>
    </row>
    <row r="35" s="5" customFormat="1" ht="26" customHeight="1" spans="1:29">
      <c r="A35" s="63">
        <v>46202</v>
      </c>
      <c r="B35" s="73"/>
      <c r="C35" s="74"/>
      <c r="D35" s="75"/>
      <c r="E35" s="86"/>
      <c r="F35" s="74"/>
      <c r="G35" s="75"/>
      <c r="H35" s="75"/>
      <c r="I35" s="75"/>
      <c r="J35" s="75"/>
      <c r="K35" s="86"/>
      <c r="L35" s="75"/>
      <c r="M35" s="76"/>
      <c r="N35" s="77"/>
      <c r="O35" s="81"/>
      <c r="P35" s="73"/>
      <c r="Q35" s="73"/>
      <c r="R35" s="73"/>
      <c r="S35" s="73"/>
      <c r="T35" s="80"/>
      <c r="U35" s="81"/>
      <c r="V35" s="73"/>
      <c r="W35" s="73"/>
      <c r="X35" s="73"/>
      <c r="Y35" s="64"/>
      <c r="Z35" s="64"/>
      <c r="AA35" s="64"/>
      <c r="AB35" s="80"/>
      <c r="AC35" s="69"/>
    </row>
    <row r="36" s="5" customFormat="1" ht="26" customHeight="1" spans="1:29">
      <c r="A36" s="63">
        <v>46203</v>
      </c>
      <c r="B36" s="73"/>
      <c r="C36" s="74"/>
      <c r="D36" s="75"/>
      <c r="E36" s="73"/>
      <c r="F36" s="74"/>
      <c r="G36" s="75"/>
      <c r="H36" s="75"/>
      <c r="I36" s="75"/>
      <c r="J36" s="75"/>
      <c r="K36" s="73"/>
      <c r="L36" s="75"/>
      <c r="M36" s="76"/>
      <c r="N36" s="77"/>
      <c r="O36" s="81"/>
      <c r="P36" s="73"/>
      <c r="Q36" s="73"/>
      <c r="R36" s="73"/>
      <c r="S36" s="73"/>
      <c r="T36" s="80"/>
      <c r="U36" s="81"/>
      <c r="V36" s="73"/>
      <c r="W36" s="73"/>
      <c r="X36" s="73"/>
      <c r="Y36" s="64"/>
      <c r="Z36" s="64"/>
      <c r="AA36" s="64"/>
      <c r="AB36" s="80"/>
      <c r="AC36" s="69"/>
    </row>
    <row r="37" s="1" customFormat="1" spans="1:29">
      <c r="A37" s="87"/>
      <c r="B37" s="88"/>
      <c r="C37" s="89"/>
      <c r="D37" s="90"/>
      <c r="E37" s="88"/>
      <c r="F37" s="89"/>
      <c r="G37" s="91"/>
      <c r="H37" s="91"/>
      <c r="I37" s="91"/>
      <c r="J37" s="91"/>
      <c r="K37" s="91"/>
      <c r="L37" s="91"/>
      <c r="M37" s="92"/>
      <c r="N37" s="91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87"/>
      <c r="B44" s="88"/>
      <c r="C44" s="89"/>
      <c r="D44" s="90"/>
      <c r="E44" s="88"/>
      <c r="F44" s="89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87"/>
      <c r="B45" s="88"/>
      <c r="C45" s="89"/>
      <c r="D45" s="90"/>
      <c r="E45" s="88"/>
      <c r="F45" s="89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  <c r="AC48" s="1">
        <v>119</v>
      </c>
    </row>
    <row r="49" s="1" customFormat="1" spans="1:2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  <c r="AC49" s="1">
        <v>87</v>
      </c>
    </row>
    <row r="50" s="1" customFormat="1" spans="1:2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2"/>
      <c r="N50" s="91"/>
      <c r="AC50" s="1">
        <v>69</v>
      </c>
    </row>
    <row r="51" s="1" customFormat="1" spans="1:2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2"/>
      <c r="N51" s="91"/>
      <c r="AC51" s="1">
        <v>104</v>
      </c>
    </row>
    <row r="52" s="1" customFormat="1" spans="1:29">
      <c r="M52" s="6"/>
      <c r="AC52" s="1">
        <v>106</v>
      </c>
    </row>
    <row r="53" s="1" customFormat="1" spans="1:29">
      <c r="M53" s="6"/>
      <c r="AC53" s="1">
        <v>105</v>
      </c>
    </row>
  </sheetData>
  <mergeCells count="13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4"/>
  <sheetViews>
    <sheetView topLeftCell="A29" workbookViewId="0">
      <selection activeCell="A7" sqref="A7:A37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16384" width="9.025" style="1"/>
  </cols>
  <sheetData>
    <row r="1" s="1" customFormat="1" ht="33" customHeight="1" spans="1: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29">
      <c r="A2" s="9" t="s">
        <v>1</v>
      </c>
      <c r="B2" s="10">
        <f>N6-(N6*0.07)</f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0</v>
      </c>
      <c r="U2" s="10" t="s">
        <v>4</v>
      </c>
      <c r="V2" s="12"/>
      <c r="W2" s="15">
        <f>Q2+T2-Z2</f>
        <v>0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29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0</v>
      </c>
      <c r="T3" s="25" t="e">
        <f>SUM(O5:T5)</f>
        <v>#DIV/0!</v>
      </c>
      <c r="U3" s="26" t="s">
        <v>10</v>
      </c>
      <c r="V3" s="27"/>
      <c r="W3" s="27"/>
      <c r="X3" s="27"/>
      <c r="Y3" s="27"/>
      <c r="Z3" s="28"/>
      <c r="AA3" s="29">
        <f>SUM(U6:AB6)</f>
        <v>0</v>
      </c>
      <c r="AB3" s="30" t="e">
        <f>SUM(U5:AB5)</f>
        <v>#DIV/0!</v>
      </c>
      <c r="AC3" s="31" t="s">
        <v>11</v>
      </c>
    </row>
    <row r="4" s="4" customFormat="1" ht="26" customHeight="1" spans="1:29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</row>
    <row r="5" s="3" customFormat="1" ht="26" customHeight="1" spans="1:29">
      <c r="A5" s="45"/>
      <c r="B5" s="46" t="e">
        <f>B6/$N$6</f>
        <v>#DIV/0!</v>
      </c>
      <c r="C5" s="46"/>
      <c r="D5" s="46"/>
      <c r="E5" s="46" t="e">
        <f>E6/$N$6</f>
        <v>#DIV/0!</v>
      </c>
      <c r="F5" s="46"/>
      <c r="G5" s="46"/>
      <c r="H5" s="46" t="e">
        <f t="shared" ref="H5:M5" si="0">H6/$N$6</f>
        <v>#DIV/0!</v>
      </c>
      <c r="I5" s="46"/>
      <c r="J5" s="46"/>
      <c r="K5" s="46" t="e">
        <f t="shared" si="0"/>
        <v>#DIV/0!</v>
      </c>
      <c r="L5" s="46" t="e">
        <f t="shared" si="0"/>
        <v>#DIV/0!</v>
      </c>
      <c r="M5" s="46" t="e">
        <f t="shared" si="0"/>
        <v>#DIV/0!</v>
      </c>
      <c r="N5" s="35"/>
      <c r="O5" s="47" t="e">
        <f t="shared" ref="O5:AB5" si="1">O6/$N$6</f>
        <v>#DIV/0!</v>
      </c>
      <c r="P5" s="48" t="e">
        <f t="shared" si="1"/>
        <v>#DIV/0!</v>
      </c>
      <c r="Q5" s="48" t="e">
        <f t="shared" si="1"/>
        <v>#DIV/0!</v>
      </c>
      <c r="R5" s="48" t="e">
        <f t="shared" si="1"/>
        <v>#DIV/0!</v>
      </c>
      <c r="S5" s="48" t="e">
        <f t="shared" si="1"/>
        <v>#DIV/0!</v>
      </c>
      <c r="T5" s="49" t="e">
        <f t="shared" si="1"/>
        <v>#DIV/0!</v>
      </c>
      <c r="U5" s="50" t="e">
        <f t="shared" si="1"/>
        <v>#DIV/0!</v>
      </c>
      <c r="V5" s="51" t="e">
        <f t="shared" si="1"/>
        <v>#DIV/0!</v>
      </c>
      <c r="W5" s="51" t="e">
        <f t="shared" si="1"/>
        <v>#DIV/0!</v>
      </c>
      <c r="X5" s="51" t="e">
        <f t="shared" si="1"/>
        <v>#DIV/0!</v>
      </c>
      <c r="Y5" s="51" t="e">
        <f t="shared" si="1"/>
        <v>#DIV/0!</v>
      </c>
      <c r="Z5" s="51" t="e">
        <f t="shared" si="1"/>
        <v>#DIV/0!</v>
      </c>
      <c r="AA5" s="51" t="e">
        <f t="shared" si="1"/>
        <v>#DIV/0!</v>
      </c>
      <c r="AB5" s="52" t="e">
        <f t="shared" si="1"/>
        <v>#DIV/0!</v>
      </c>
      <c r="AC5" s="53" t="e">
        <f>SUM(O5:AB5)</f>
        <v>#DIV/0!</v>
      </c>
    </row>
    <row r="6" s="5" customFormat="1" ht="26" customHeight="1" spans="1:29">
      <c r="A6" s="32" t="s">
        <v>35</v>
      </c>
      <c r="B6" s="54">
        <f t="shared" ref="B6:F6" si="2">SUM(B7:B37)</f>
        <v>0</v>
      </c>
      <c r="C6" s="55">
        <f t="shared" si="2"/>
        <v>0</v>
      </c>
      <c r="D6" s="54" t="e">
        <f>B6/C6</f>
        <v>#DIV/0!</v>
      </c>
      <c r="E6" s="54">
        <f t="shared" si="2"/>
        <v>0</v>
      </c>
      <c r="F6" s="54">
        <f t="shared" si="2"/>
        <v>0</v>
      </c>
      <c r="G6" s="54" t="e">
        <f>E6/F6</f>
        <v>#DIV/0!</v>
      </c>
      <c r="H6" s="54">
        <f t="shared" ref="H6:M6" si="3">SUM(H7:H37)</f>
        <v>0</v>
      </c>
      <c r="I6" s="55">
        <f t="shared" si="3"/>
        <v>0</v>
      </c>
      <c r="J6" s="54" t="e">
        <f>H6/I6</f>
        <v>#DIV/0!</v>
      </c>
      <c r="K6" s="54">
        <f t="shared" si="3"/>
        <v>0</v>
      </c>
      <c r="L6" s="54">
        <f t="shared" si="3"/>
        <v>0</v>
      </c>
      <c r="M6" s="54">
        <f t="shared" si="3"/>
        <v>0</v>
      </c>
      <c r="N6" s="56">
        <f>B6+E6+H6+K6+L6-M6</f>
        <v>0</v>
      </c>
      <c r="O6" s="57">
        <f t="shared" ref="O6:AB6" si="4">SUM(O7:O37)</f>
        <v>0</v>
      </c>
      <c r="P6" s="58">
        <f t="shared" si="4"/>
        <v>0</v>
      </c>
      <c r="Q6" s="58">
        <f t="shared" si="4"/>
        <v>0</v>
      </c>
      <c r="R6" s="58">
        <f t="shared" si="4"/>
        <v>0</v>
      </c>
      <c r="S6" s="58">
        <f t="shared" si="4"/>
        <v>0</v>
      </c>
      <c r="T6" s="59">
        <f t="shared" si="4"/>
        <v>0</v>
      </c>
      <c r="U6" s="60">
        <f t="shared" si="4"/>
        <v>0</v>
      </c>
      <c r="V6" s="61">
        <f t="shared" si="4"/>
        <v>0</v>
      </c>
      <c r="W6" s="61">
        <f t="shared" si="4"/>
        <v>0</v>
      </c>
      <c r="X6" s="61">
        <f t="shared" si="4"/>
        <v>0</v>
      </c>
      <c r="Y6" s="61">
        <f t="shared" si="4"/>
        <v>0</v>
      </c>
      <c r="Z6" s="61">
        <f t="shared" si="4"/>
        <v>0</v>
      </c>
      <c r="AA6" s="61">
        <f t="shared" si="4"/>
        <v>0</v>
      </c>
      <c r="AB6" s="61">
        <f t="shared" si="4"/>
        <v>0</v>
      </c>
      <c r="AC6" s="62">
        <f>SUM(O6:AB6)</f>
        <v>0</v>
      </c>
    </row>
    <row r="7" s="5" customFormat="1" ht="26" customHeight="1" spans="1:29">
      <c r="A7" s="63">
        <v>46204</v>
      </c>
      <c r="B7" s="64"/>
      <c r="C7" s="64"/>
      <c r="D7" s="65"/>
      <c r="E7" s="64"/>
      <c r="F7" s="64"/>
      <c r="G7" s="65"/>
      <c r="H7" s="64"/>
      <c r="I7" s="64"/>
      <c r="J7" s="65"/>
      <c r="K7" s="64"/>
      <c r="L7" s="64"/>
      <c r="M7" s="66"/>
      <c r="N7" s="67"/>
      <c r="O7" s="68"/>
      <c r="P7" s="64"/>
      <c r="Q7" s="64"/>
      <c r="R7" s="64"/>
      <c r="S7" s="64"/>
      <c r="T7" s="67"/>
      <c r="U7" s="68"/>
      <c r="V7" s="64"/>
      <c r="W7" s="64"/>
      <c r="X7" s="64"/>
      <c r="Y7" s="64"/>
      <c r="Z7" s="64"/>
      <c r="AA7" s="64"/>
      <c r="AB7" s="67"/>
      <c r="AC7" s="69"/>
    </row>
    <row r="8" s="5" customFormat="1" ht="26" customHeight="1" spans="1:29">
      <c r="A8" s="63">
        <v>46205</v>
      </c>
      <c r="B8" s="64"/>
      <c r="C8" s="64"/>
      <c r="D8" s="65"/>
      <c r="E8" s="64"/>
      <c r="F8" s="64"/>
      <c r="G8" s="65"/>
      <c r="H8" s="64"/>
      <c r="I8" s="64"/>
      <c r="J8" s="65"/>
      <c r="K8" s="64"/>
      <c r="L8" s="64"/>
      <c r="M8" s="66"/>
      <c r="N8" s="67"/>
      <c r="O8" s="68"/>
      <c r="P8" s="64"/>
      <c r="Q8" s="64"/>
      <c r="R8" s="64"/>
      <c r="S8" s="64"/>
      <c r="T8" s="67"/>
      <c r="U8" s="68"/>
      <c r="V8" s="64"/>
      <c r="W8" s="64"/>
      <c r="X8" s="64"/>
      <c r="Y8" s="64"/>
      <c r="Z8" s="64"/>
      <c r="AA8" s="64"/>
      <c r="AB8" s="67"/>
      <c r="AC8" s="69"/>
    </row>
    <row r="9" s="5" customFormat="1" ht="26" customHeight="1" spans="1:29">
      <c r="A9" s="63">
        <v>46206</v>
      </c>
      <c r="B9" s="64"/>
      <c r="C9" s="64"/>
      <c r="D9" s="65"/>
      <c r="E9" s="64"/>
      <c r="F9" s="64"/>
      <c r="G9" s="70"/>
      <c r="H9" s="64"/>
      <c r="I9" s="64"/>
      <c r="J9" s="65"/>
      <c r="K9" s="64"/>
      <c r="L9" s="64"/>
      <c r="M9" s="66"/>
      <c r="N9" s="67"/>
      <c r="O9" s="68"/>
      <c r="P9" s="64"/>
      <c r="Q9" s="64"/>
      <c r="R9" s="71"/>
      <c r="S9" s="64"/>
      <c r="T9" s="64"/>
      <c r="U9" s="68"/>
      <c r="V9" s="64"/>
      <c r="W9" s="64"/>
      <c r="X9" s="72"/>
      <c r="Y9" s="64"/>
      <c r="Z9" s="64"/>
      <c r="AA9" s="64"/>
      <c r="AB9" s="67"/>
      <c r="AC9" s="69"/>
    </row>
    <row r="10" s="5" customFormat="1" ht="26" customHeight="1" spans="1:29">
      <c r="A10" s="63">
        <v>46207</v>
      </c>
      <c r="B10" s="64"/>
      <c r="C10" s="64"/>
      <c r="D10" s="70"/>
      <c r="E10" s="64"/>
      <c r="F10" s="64"/>
      <c r="G10" s="70"/>
      <c r="H10" s="64"/>
      <c r="I10" s="64"/>
      <c r="J10" s="70"/>
      <c r="K10" s="64"/>
      <c r="L10" s="64"/>
      <c r="M10" s="66"/>
      <c r="N10" s="67"/>
      <c r="O10" s="68"/>
      <c r="P10" s="64"/>
      <c r="Q10" s="64"/>
      <c r="R10" s="64"/>
      <c r="S10" s="64"/>
      <c r="T10" s="64"/>
      <c r="U10" s="68"/>
      <c r="V10" s="64"/>
      <c r="W10" s="64"/>
      <c r="X10" s="64"/>
      <c r="Y10" s="64"/>
      <c r="Z10" s="64"/>
      <c r="AA10" s="64"/>
      <c r="AB10" s="67"/>
      <c r="AC10" s="69"/>
    </row>
    <row r="11" s="5" customFormat="1" ht="26" customHeight="1" spans="1:29">
      <c r="A11" s="63">
        <v>46208</v>
      </c>
      <c r="B11" s="73"/>
      <c r="C11" s="74"/>
      <c r="D11" s="75"/>
      <c r="E11" s="73"/>
      <c r="F11" s="74"/>
      <c r="G11" s="75"/>
      <c r="H11" s="75"/>
      <c r="I11" s="75"/>
      <c r="J11" s="75"/>
      <c r="K11" s="75"/>
      <c r="L11" s="75"/>
      <c r="M11" s="76"/>
      <c r="N11" s="77"/>
      <c r="O11" s="78"/>
      <c r="P11" s="79"/>
      <c r="Q11" s="79"/>
      <c r="R11" s="73"/>
      <c r="S11" s="73"/>
      <c r="T11" s="80"/>
      <c r="U11" s="81"/>
      <c r="V11" s="73"/>
      <c r="W11" s="73"/>
      <c r="X11" s="73"/>
      <c r="Y11" s="64"/>
      <c r="Z11" s="64"/>
      <c r="AA11" s="64"/>
      <c r="AB11" s="80"/>
      <c r="AC11" s="69"/>
    </row>
    <row r="12" s="5" customFormat="1" ht="26" customHeight="1" spans="1:29">
      <c r="A12" s="63">
        <v>46209</v>
      </c>
      <c r="B12" s="73"/>
      <c r="C12" s="74"/>
      <c r="D12" s="75"/>
      <c r="E12" s="73"/>
      <c r="F12" s="74"/>
      <c r="G12" s="75"/>
      <c r="H12" s="75"/>
      <c r="I12" s="75"/>
      <c r="J12" s="75"/>
      <c r="K12" s="75"/>
      <c r="L12" s="75"/>
      <c r="M12" s="76"/>
      <c r="N12" s="77"/>
      <c r="O12" s="81"/>
      <c r="P12" s="73"/>
      <c r="Q12" s="64"/>
      <c r="R12" s="73"/>
      <c r="S12" s="73"/>
      <c r="T12" s="80"/>
      <c r="U12" s="81"/>
      <c r="V12" s="73"/>
      <c r="W12" s="73"/>
      <c r="X12" s="73"/>
      <c r="Y12" s="64"/>
      <c r="Z12" s="64"/>
      <c r="AA12" s="64"/>
      <c r="AB12" s="80"/>
      <c r="AC12" s="69"/>
    </row>
    <row r="13" s="5" customFormat="1" ht="26" customHeight="1" spans="1:29">
      <c r="A13" s="63">
        <v>46210</v>
      </c>
      <c r="B13" s="73"/>
      <c r="C13" s="74"/>
      <c r="D13" s="75"/>
      <c r="E13" s="73"/>
      <c r="F13" s="74"/>
      <c r="G13" s="75"/>
      <c r="H13" s="75"/>
      <c r="I13" s="75"/>
      <c r="J13" s="75"/>
      <c r="K13" s="75"/>
      <c r="L13" s="75"/>
      <c r="M13" s="76"/>
      <c r="N13" s="77"/>
      <c r="O13" s="81"/>
      <c r="P13" s="73"/>
      <c r="Q13" s="73"/>
      <c r="R13" s="73"/>
      <c r="S13" s="73"/>
      <c r="T13" s="80"/>
      <c r="U13" s="81"/>
      <c r="V13" s="73"/>
      <c r="W13" s="73"/>
      <c r="X13" s="73"/>
      <c r="Y13" s="64"/>
      <c r="Z13" s="64"/>
      <c r="AA13" s="64"/>
      <c r="AB13" s="80"/>
      <c r="AC13" s="69"/>
    </row>
    <row r="14" s="5" customFormat="1" ht="26" customHeight="1" spans="1:29">
      <c r="A14" s="63">
        <v>46211</v>
      </c>
      <c r="B14" s="73"/>
      <c r="C14" s="74"/>
      <c r="D14" s="75"/>
      <c r="E14" s="73"/>
      <c r="F14" s="74"/>
      <c r="G14" s="75"/>
      <c r="H14" s="75"/>
      <c r="I14" s="75"/>
      <c r="J14" s="75"/>
      <c r="K14" s="75"/>
      <c r="L14" s="75"/>
      <c r="M14" s="76"/>
      <c r="N14" s="77"/>
      <c r="O14" s="81"/>
      <c r="P14" s="73"/>
      <c r="Q14" s="73"/>
      <c r="R14" s="73"/>
      <c r="S14" s="73"/>
      <c r="T14" s="80"/>
      <c r="U14" s="81"/>
      <c r="V14" s="73"/>
      <c r="W14" s="73"/>
      <c r="X14" s="73"/>
      <c r="Y14" s="64"/>
      <c r="Z14" s="64"/>
      <c r="AA14" s="64"/>
      <c r="AB14" s="80"/>
      <c r="AC14" s="69"/>
    </row>
    <row r="15" s="5" customFormat="1" ht="26" customHeight="1" spans="1:29">
      <c r="A15" s="63">
        <v>46212</v>
      </c>
      <c r="B15" s="73"/>
      <c r="C15" s="74"/>
      <c r="D15" s="75"/>
      <c r="E15" s="73"/>
      <c r="F15" s="74"/>
      <c r="G15" s="75"/>
      <c r="H15" s="75"/>
      <c r="I15" s="75"/>
      <c r="J15" s="75"/>
      <c r="K15" s="75"/>
      <c r="L15" s="75"/>
      <c r="M15" s="76"/>
      <c r="N15" s="77"/>
      <c r="O15" s="81"/>
      <c r="P15" s="73"/>
      <c r="Q15" s="73"/>
      <c r="R15" s="73"/>
      <c r="S15" s="73"/>
      <c r="T15" s="80"/>
      <c r="U15" s="81"/>
      <c r="V15" s="73"/>
      <c r="W15" s="73"/>
      <c r="X15" s="73"/>
      <c r="Y15" s="64"/>
      <c r="Z15" s="64"/>
      <c r="AA15" s="64"/>
      <c r="AB15" s="80"/>
      <c r="AC15" s="69"/>
    </row>
    <row r="16" s="5" customFormat="1" ht="26" customHeight="1" spans="1:29">
      <c r="A16" s="63">
        <v>46213</v>
      </c>
      <c r="B16" s="73"/>
      <c r="C16" s="74"/>
      <c r="D16" s="75"/>
      <c r="E16" s="73"/>
      <c r="F16" s="74"/>
      <c r="G16" s="75"/>
      <c r="H16" s="75"/>
      <c r="I16" s="75"/>
      <c r="J16" s="75"/>
      <c r="K16" s="75"/>
      <c r="L16" s="75"/>
      <c r="M16" s="76"/>
      <c r="N16" s="77"/>
      <c r="O16" s="81"/>
      <c r="P16" s="73"/>
      <c r="Q16" s="73"/>
      <c r="R16" s="73"/>
      <c r="S16" s="73"/>
      <c r="T16" s="80"/>
      <c r="U16" s="81"/>
      <c r="V16" s="73"/>
      <c r="W16" s="73"/>
      <c r="X16" s="73"/>
      <c r="Y16" s="64"/>
      <c r="Z16" s="64"/>
      <c r="AA16" s="64"/>
      <c r="AB16" s="80"/>
      <c r="AC16" s="69"/>
    </row>
    <row r="17" s="5" customFormat="1" ht="26" customHeight="1" spans="1:29">
      <c r="A17" s="63">
        <v>46214</v>
      </c>
      <c r="B17" s="73"/>
      <c r="C17" s="74"/>
      <c r="D17" s="75"/>
      <c r="E17" s="73"/>
      <c r="F17" s="74"/>
      <c r="G17" s="75"/>
      <c r="H17" s="75"/>
      <c r="I17" s="75"/>
      <c r="J17" s="75"/>
      <c r="K17" s="75"/>
      <c r="L17" s="75"/>
      <c r="M17" s="76"/>
      <c r="N17" s="77"/>
      <c r="O17" s="81"/>
      <c r="P17" s="73"/>
      <c r="Q17" s="73"/>
      <c r="R17" s="73"/>
      <c r="S17" s="73"/>
      <c r="T17" s="80"/>
      <c r="U17" s="81"/>
      <c r="V17" s="73"/>
      <c r="W17" s="73"/>
      <c r="X17" s="73"/>
      <c r="Y17" s="64"/>
      <c r="Z17" s="64"/>
      <c r="AA17" s="64"/>
      <c r="AB17" s="80"/>
      <c r="AC17" s="69"/>
    </row>
    <row r="18" s="5" customFormat="1" ht="26" customHeight="1" spans="1:29">
      <c r="A18" s="63">
        <v>46215</v>
      </c>
      <c r="B18" s="73"/>
      <c r="C18" s="74"/>
      <c r="D18" s="75"/>
      <c r="E18" s="73"/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/>
      <c r="V18" s="73"/>
      <c r="W18" s="73"/>
      <c r="X18" s="73"/>
      <c r="Y18" s="64"/>
      <c r="Z18" s="64"/>
      <c r="AA18" s="64"/>
      <c r="AB18" s="80"/>
      <c r="AC18" s="69"/>
    </row>
    <row r="19" s="5" customFormat="1" ht="26" customHeight="1" spans="1:29">
      <c r="A19" s="63">
        <v>46216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46217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46218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46219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46220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46221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46222</v>
      </c>
      <c r="B25" s="73"/>
      <c r="C25" s="74"/>
      <c r="D25" s="75"/>
      <c r="E25" s="73"/>
      <c r="F25" s="74"/>
      <c r="G25" s="75"/>
      <c r="H25" s="75"/>
      <c r="I25" s="75"/>
      <c r="J25" s="75"/>
      <c r="K25" s="75"/>
      <c r="L25" s="75"/>
      <c r="M25" s="76"/>
      <c r="N25" s="77"/>
      <c r="O25" s="81"/>
      <c r="P25" s="73"/>
      <c r="Q25" s="73"/>
      <c r="R25" s="84"/>
      <c r="S25" s="85"/>
      <c r="T25" s="80"/>
      <c r="U25" s="81"/>
      <c r="V25" s="73"/>
      <c r="W25" s="73"/>
      <c r="X25" s="73"/>
      <c r="Y25" s="64"/>
      <c r="Z25" s="64"/>
      <c r="AA25" s="64"/>
      <c r="AB25" s="80"/>
      <c r="AC25" s="69"/>
    </row>
    <row r="26" s="5" customFormat="1" ht="26" customHeight="1" spans="1:29">
      <c r="A26" s="63">
        <v>46223</v>
      </c>
      <c r="B26" s="73"/>
      <c r="C26" s="74"/>
      <c r="D26" s="75"/>
      <c r="E26" s="73"/>
      <c r="F26" s="74"/>
      <c r="G26" s="75"/>
      <c r="H26" s="75"/>
      <c r="I26" s="75"/>
      <c r="J26" s="75"/>
      <c r="K26" s="79"/>
      <c r="L26" s="75"/>
      <c r="M26" s="76"/>
      <c r="N26" s="77"/>
      <c r="O26" s="81"/>
      <c r="P26" s="73"/>
      <c r="Q26" s="73"/>
      <c r="R26" s="73"/>
      <c r="S26" s="73"/>
      <c r="T26" s="80"/>
      <c r="U26" s="81"/>
      <c r="V26" s="73"/>
      <c r="W26" s="73"/>
      <c r="X26" s="73"/>
      <c r="Y26" s="64"/>
      <c r="Z26" s="64"/>
      <c r="AA26" s="64"/>
      <c r="AB26" s="80"/>
      <c r="AC26" s="69"/>
    </row>
    <row r="27" s="5" customFormat="1" ht="26" customHeight="1" spans="1:29">
      <c r="A27" s="63">
        <v>46224</v>
      </c>
      <c r="B27" s="73"/>
      <c r="C27" s="74"/>
      <c r="D27" s="75"/>
      <c r="E27" s="73"/>
      <c r="F27" s="74"/>
      <c r="G27" s="75"/>
      <c r="H27" s="75"/>
      <c r="I27" s="75"/>
      <c r="J27" s="75"/>
      <c r="K27" s="75"/>
      <c r="L27" s="75"/>
      <c r="M27" s="76"/>
      <c r="N27" s="77"/>
      <c r="O27" s="81"/>
      <c r="P27" s="73"/>
      <c r="Q27" s="73"/>
      <c r="R27" s="73"/>
      <c r="S27" s="73"/>
      <c r="T27" s="80"/>
      <c r="U27" s="81"/>
      <c r="V27" s="73"/>
      <c r="W27" s="73"/>
      <c r="X27" s="73"/>
      <c r="Y27" s="64"/>
      <c r="Z27" s="64"/>
      <c r="AA27" s="64"/>
      <c r="AB27" s="80"/>
      <c r="AC27" s="69"/>
    </row>
    <row r="28" s="5" customFormat="1" ht="26" customHeight="1" spans="1:29">
      <c r="A28" s="63">
        <v>46225</v>
      </c>
      <c r="B28" s="73"/>
      <c r="C28" s="74"/>
      <c r="D28" s="75"/>
      <c r="E28" s="73"/>
      <c r="F28" s="74"/>
      <c r="G28" s="75"/>
      <c r="H28" s="75"/>
      <c r="I28" s="75"/>
      <c r="J28" s="75"/>
      <c r="K28" s="75"/>
      <c r="L28" s="75"/>
      <c r="M28" s="76"/>
      <c r="N28" s="77"/>
      <c r="O28" s="81"/>
      <c r="P28" s="73"/>
      <c r="Q28" s="73"/>
      <c r="R28" s="73"/>
      <c r="S28" s="73"/>
      <c r="T28" s="80"/>
      <c r="U28" s="81"/>
      <c r="V28" s="73"/>
      <c r="W28" s="73"/>
      <c r="X28" s="73"/>
      <c r="Y28" s="64"/>
      <c r="Z28" s="64"/>
      <c r="AA28" s="64"/>
      <c r="AB28" s="80"/>
      <c r="AC28" s="69"/>
    </row>
    <row r="29" s="5" customFormat="1" ht="26" customHeight="1" spans="1:29">
      <c r="A29" s="63">
        <v>46226</v>
      </c>
      <c r="B29" s="73"/>
      <c r="C29" s="74"/>
      <c r="D29" s="75"/>
      <c r="E29" s="73"/>
      <c r="F29" s="74"/>
      <c r="G29" s="75"/>
      <c r="H29" s="75"/>
      <c r="I29" s="75"/>
      <c r="J29" s="75"/>
      <c r="K29" s="75"/>
      <c r="L29" s="75"/>
      <c r="M29" s="76"/>
      <c r="N29" s="77"/>
      <c r="O29" s="81"/>
      <c r="P29" s="73"/>
      <c r="Q29" s="73"/>
      <c r="R29" s="73"/>
      <c r="S29" s="73"/>
      <c r="T29" s="80"/>
      <c r="U29" s="81"/>
      <c r="V29" s="73"/>
      <c r="W29" s="73"/>
      <c r="X29" s="73"/>
      <c r="Y29" s="64"/>
      <c r="Z29" s="64"/>
      <c r="AA29" s="64"/>
      <c r="AB29" s="80"/>
      <c r="AC29" s="69"/>
    </row>
    <row r="30" s="5" customFormat="1" ht="26" customHeight="1" spans="1:29">
      <c r="A30" s="63">
        <v>46227</v>
      </c>
      <c r="B30" s="73"/>
      <c r="C30" s="74"/>
      <c r="D30" s="75"/>
      <c r="E30" s="73"/>
      <c r="F30" s="74"/>
      <c r="G30" s="75"/>
      <c r="H30" s="75"/>
      <c r="I30" s="75"/>
      <c r="J30" s="75"/>
      <c r="K30" s="75"/>
      <c r="L30" s="75"/>
      <c r="M30" s="76"/>
      <c r="N30" s="77"/>
      <c r="O30" s="81"/>
      <c r="P30" s="73"/>
      <c r="Q30" s="73"/>
      <c r="R30" s="73"/>
      <c r="S30" s="73"/>
      <c r="T30" s="80"/>
      <c r="U30" s="81"/>
      <c r="V30" s="73"/>
      <c r="W30" s="73"/>
      <c r="X30" s="73"/>
      <c r="Y30" s="64"/>
      <c r="Z30" s="64"/>
      <c r="AA30" s="64"/>
      <c r="AB30" s="80"/>
      <c r="AC30" s="69"/>
    </row>
    <row r="31" s="5" customFormat="1" ht="26" customHeight="1" spans="1:29">
      <c r="A31" s="63">
        <v>46228</v>
      </c>
      <c r="B31" s="73"/>
      <c r="C31" s="74"/>
      <c r="D31" s="75"/>
      <c r="E31" s="73"/>
      <c r="F31" s="74"/>
      <c r="G31" s="75"/>
      <c r="H31" s="75"/>
      <c r="I31" s="75"/>
      <c r="J31" s="75"/>
      <c r="K31" s="75"/>
      <c r="L31" s="75"/>
      <c r="M31" s="76"/>
      <c r="N31" s="77"/>
      <c r="O31" s="81"/>
      <c r="P31" s="73"/>
      <c r="Q31" s="73"/>
      <c r="R31" s="73"/>
      <c r="S31" s="73"/>
      <c r="T31" s="80"/>
      <c r="U31" s="81"/>
      <c r="V31" s="73"/>
      <c r="W31" s="73"/>
      <c r="X31" s="73"/>
      <c r="Y31" s="64"/>
      <c r="Z31" s="64"/>
      <c r="AA31" s="64"/>
      <c r="AB31" s="80"/>
      <c r="AC31" s="69"/>
    </row>
    <row r="32" s="5" customFormat="1" ht="26" customHeight="1" spans="1:29">
      <c r="A32" s="63">
        <v>46229</v>
      </c>
      <c r="B32" s="73"/>
      <c r="C32" s="74"/>
      <c r="D32" s="75"/>
      <c r="E32" s="73"/>
      <c r="F32" s="74"/>
      <c r="G32" s="75"/>
      <c r="H32" s="75"/>
      <c r="I32" s="75"/>
      <c r="J32" s="75"/>
      <c r="K32" s="75"/>
      <c r="L32" s="75"/>
      <c r="M32" s="76"/>
      <c r="N32" s="77"/>
      <c r="O32" s="81"/>
      <c r="P32" s="73"/>
      <c r="Q32" s="73"/>
      <c r="R32" s="73"/>
      <c r="S32" s="73"/>
      <c r="T32" s="80"/>
      <c r="U32" s="81"/>
      <c r="V32" s="73"/>
      <c r="W32" s="73"/>
      <c r="X32" s="73"/>
      <c r="Y32" s="64"/>
      <c r="Z32" s="64"/>
      <c r="AA32" s="64"/>
      <c r="AB32" s="80"/>
      <c r="AC32" s="69"/>
    </row>
    <row r="33" s="5" customFormat="1" ht="26" customHeight="1" spans="1:29">
      <c r="A33" s="63">
        <v>46230</v>
      </c>
      <c r="B33" s="73"/>
      <c r="C33" s="74"/>
      <c r="D33" s="75"/>
      <c r="E33" s="73"/>
      <c r="F33" s="74"/>
      <c r="G33" s="75"/>
      <c r="H33" s="75"/>
      <c r="I33" s="75"/>
      <c r="J33" s="75"/>
      <c r="K33" s="75"/>
      <c r="L33" s="75"/>
      <c r="M33" s="76"/>
      <c r="N33" s="77"/>
      <c r="O33" s="81"/>
      <c r="P33" s="73"/>
      <c r="Q33" s="73"/>
      <c r="R33" s="73"/>
      <c r="S33" s="73"/>
      <c r="T33" s="80"/>
      <c r="U33" s="81"/>
      <c r="V33" s="73"/>
      <c r="W33" s="73"/>
      <c r="X33" s="73"/>
      <c r="Y33" s="64"/>
      <c r="Z33" s="64"/>
      <c r="AA33" s="64"/>
      <c r="AB33" s="80"/>
      <c r="AC33" s="69"/>
    </row>
    <row r="34" s="5" customFormat="1" ht="26" customHeight="1" spans="1:29">
      <c r="A34" s="63">
        <v>46231</v>
      </c>
      <c r="B34" s="73"/>
      <c r="C34" s="74"/>
      <c r="D34" s="75"/>
      <c r="E34" s="73"/>
      <c r="F34" s="74"/>
      <c r="G34" s="75"/>
      <c r="H34" s="75"/>
      <c r="I34" s="75"/>
      <c r="J34" s="75"/>
      <c r="K34" s="73"/>
      <c r="L34" s="75"/>
      <c r="M34" s="76"/>
      <c r="N34" s="77"/>
      <c r="O34" s="81"/>
      <c r="P34" s="73"/>
      <c r="Q34" s="73"/>
      <c r="R34" s="73"/>
      <c r="S34" s="73"/>
      <c r="T34" s="80"/>
      <c r="U34" s="81"/>
      <c r="V34" s="73"/>
      <c r="W34" s="73"/>
      <c r="X34" s="73"/>
      <c r="Y34" s="64"/>
      <c r="Z34" s="64"/>
      <c r="AA34" s="64"/>
      <c r="AB34" s="80"/>
      <c r="AC34" s="69"/>
    </row>
    <row r="35" s="5" customFormat="1" ht="26" customHeight="1" spans="1:29">
      <c r="A35" s="63">
        <v>46232</v>
      </c>
      <c r="B35" s="73"/>
      <c r="C35" s="74"/>
      <c r="D35" s="75"/>
      <c r="E35" s="86"/>
      <c r="F35" s="74"/>
      <c r="G35" s="75"/>
      <c r="H35" s="75"/>
      <c r="I35" s="75"/>
      <c r="J35" s="75"/>
      <c r="K35" s="86"/>
      <c r="L35" s="75"/>
      <c r="M35" s="76"/>
      <c r="N35" s="77"/>
      <c r="O35" s="81"/>
      <c r="P35" s="73"/>
      <c r="Q35" s="73"/>
      <c r="R35" s="73"/>
      <c r="S35" s="73"/>
      <c r="T35" s="80"/>
      <c r="U35" s="81"/>
      <c r="V35" s="73"/>
      <c r="W35" s="73"/>
      <c r="X35" s="73"/>
      <c r="Y35" s="64"/>
      <c r="Z35" s="64"/>
      <c r="AA35" s="64"/>
      <c r="AB35" s="80"/>
      <c r="AC35" s="69"/>
    </row>
    <row r="36" s="5" customFormat="1" ht="26" customHeight="1" spans="1:29">
      <c r="A36" s="63">
        <v>46233</v>
      </c>
      <c r="B36" s="73"/>
      <c r="C36" s="74"/>
      <c r="D36" s="75"/>
      <c r="E36" s="73"/>
      <c r="F36" s="74"/>
      <c r="G36" s="75"/>
      <c r="H36" s="75"/>
      <c r="I36" s="75"/>
      <c r="J36" s="75"/>
      <c r="K36" s="73"/>
      <c r="L36" s="75"/>
      <c r="M36" s="76"/>
      <c r="N36" s="77"/>
      <c r="O36" s="81"/>
      <c r="P36" s="73"/>
      <c r="Q36" s="73"/>
      <c r="R36" s="73"/>
      <c r="S36" s="73"/>
      <c r="T36" s="80"/>
      <c r="U36" s="81"/>
      <c r="V36" s="73"/>
      <c r="W36" s="73"/>
      <c r="X36" s="73"/>
      <c r="Y36" s="64"/>
      <c r="Z36" s="64"/>
      <c r="AA36" s="64"/>
      <c r="AB36" s="80"/>
      <c r="AC36" s="69"/>
    </row>
    <row r="37" s="5" customFormat="1" ht="26" customHeight="1" spans="1:29">
      <c r="A37" s="63">
        <v>46234</v>
      </c>
      <c r="B37" s="73"/>
      <c r="C37" s="74"/>
      <c r="D37" s="75"/>
      <c r="E37" s="73"/>
      <c r="F37" s="74"/>
      <c r="G37" s="75"/>
      <c r="H37" s="75"/>
      <c r="I37" s="75"/>
      <c r="J37" s="75"/>
      <c r="K37" s="73"/>
      <c r="L37" s="75"/>
      <c r="M37" s="76"/>
      <c r="N37" s="77"/>
      <c r="O37" s="81"/>
      <c r="P37" s="73"/>
      <c r="Q37" s="73"/>
      <c r="R37" s="73"/>
      <c r="S37" s="73"/>
      <c r="T37" s="80"/>
      <c r="U37" s="81"/>
      <c r="V37" s="73"/>
      <c r="W37" s="73"/>
      <c r="X37" s="73"/>
      <c r="Y37" s="64"/>
      <c r="Z37" s="64"/>
      <c r="AA37" s="64"/>
      <c r="AB37" s="80"/>
      <c r="AC37" s="69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87"/>
      <c r="B44" s="88"/>
      <c r="C44" s="89"/>
      <c r="D44" s="90"/>
      <c r="E44" s="88"/>
      <c r="F44" s="89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87"/>
      <c r="B45" s="88"/>
      <c r="C45" s="89"/>
      <c r="D45" s="90"/>
      <c r="E45" s="88"/>
      <c r="F45" s="89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87"/>
      <c r="B46" s="88"/>
      <c r="C46" s="89"/>
      <c r="D46" s="90"/>
      <c r="E46" s="88"/>
      <c r="F46" s="89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</row>
    <row r="49" s="1" customFormat="1" spans="1:2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  <c r="AC49" s="1">
        <v>119</v>
      </c>
    </row>
    <row r="50" s="1" customFormat="1" spans="1:2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2"/>
      <c r="N50" s="91"/>
      <c r="AC50" s="1">
        <v>87</v>
      </c>
    </row>
    <row r="51" s="1" customFormat="1" spans="1:2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2"/>
      <c r="N51" s="91"/>
      <c r="AC51" s="1">
        <v>69</v>
      </c>
    </row>
    <row r="52" s="1" customFormat="1" spans="1:29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2"/>
      <c r="N52" s="91"/>
      <c r="AC52" s="1">
        <v>104</v>
      </c>
    </row>
    <row r="53" s="1" customFormat="1" spans="1:29">
      <c r="M53" s="6"/>
      <c r="AC53" s="1">
        <v>106</v>
      </c>
    </row>
    <row r="54" s="1" customFormat="1" spans="1:29">
      <c r="M54" s="6"/>
      <c r="AC54" s="1">
        <v>105</v>
      </c>
    </row>
  </sheetData>
  <mergeCells count="13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4"/>
  <sheetViews>
    <sheetView topLeftCell="A34" workbookViewId="0">
      <selection activeCell="A7" sqref="A7:A37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16384" width="9.025" style="1"/>
  </cols>
  <sheetData>
    <row r="1" s="1" customFormat="1" ht="33" customHeight="1" spans="1: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29">
      <c r="A2" s="9" t="s">
        <v>1</v>
      </c>
      <c r="B2" s="10">
        <f>N6-(N6*0.07)</f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0</v>
      </c>
      <c r="U2" s="10" t="s">
        <v>4</v>
      </c>
      <c r="V2" s="12"/>
      <c r="W2" s="15">
        <f>Q2+T2-Z2</f>
        <v>0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29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0</v>
      </c>
      <c r="T3" s="25" t="e">
        <f>SUM(O5:T5)</f>
        <v>#DIV/0!</v>
      </c>
      <c r="U3" s="26" t="s">
        <v>10</v>
      </c>
      <c r="V3" s="27"/>
      <c r="W3" s="27"/>
      <c r="X3" s="27"/>
      <c r="Y3" s="27"/>
      <c r="Z3" s="28"/>
      <c r="AA3" s="29">
        <f>SUM(U6:AB6)</f>
        <v>0</v>
      </c>
      <c r="AB3" s="30" t="e">
        <f>SUM(U5:AB5)</f>
        <v>#DIV/0!</v>
      </c>
      <c r="AC3" s="31" t="s">
        <v>11</v>
      </c>
    </row>
    <row r="4" s="4" customFormat="1" ht="26" customHeight="1" spans="1:29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</row>
    <row r="5" s="3" customFormat="1" ht="26" customHeight="1" spans="1:29">
      <c r="A5" s="45"/>
      <c r="B5" s="46" t="e">
        <f>B6/$N$6</f>
        <v>#DIV/0!</v>
      </c>
      <c r="C5" s="46"/>
      <c r="D5" s="46"/>
      <c r="E5" s="46" t="e">
        <f>E6/$N$6</f>
        <v>#DIV/0!</v>
      </c>
      <c r="F5" s="46"/>
      <c r="G5" s="46"/>
      <c r="H5" s="46" t="e">
        <f t="shared" ref="H5:M5" si="0">H6/$N$6</f>
        <v>#DIV/0!</v>
      </c>
      <c r="I5" s="46"/>
      <c r="J5" s="46"/>
      <c r="K5" s="46" t="e">
        <f t="shared" si="0"/>
        <v>#DIV/0!</v>
      </c>
      <c r="L5" s="46" t="e">
        <f t="shared" si="0"/>
        <v>#DIV/0!</v>
      </c>
      <c r="M5" s="46" t="e">
        <f t="shared" si="0"/>
        <v>#DIV/0!</v>
      </c>
      <c r="N5" s="35"/>
      <c r="O5" s="47" t="e">
        <f t="shared" ref="O5:AB5" si="1">O6/$N$6</f>
        <v>#DIV/0!</v>
      </c>
      <c r="P5" s="48" t="e">
        <f t="shared" si="1"/>
        <v>#DIV/0!</v>
      </c>
      <c r="Q5" s="48" t="e">
        <f t="shared" si="1"/>
        <v>#DIV/0!</v>
      </c>
      <c r="R5" s="48" t="e">
        <f t="shared" si="1"/>
        <v>#DIV/0!</v>
      </c>
      <c r="S5" s="48" t="e">
        <f t="shared" si="1"/>
        <v>#DIV/0!</v>
      </c>
      <c r="T5" s="49" t="e">
        <f t="shared" si="1"/>
        <v>#DIV/0!</v>
      </c>
      <c r="U5" s="50" t="e">
        <f t="shared" si="1"/>
        <v>#DIV/0!</v>
      </c>
      <c r="V5" s="51" t="e">
        <f t="shared" si="1"/>
        <v>#DIV/0!</v>
      </c>
      <c r="W5" s="51" t="e">
        <f t="shared" si="1"/>
        <v>#DIV/0!</v>
      </c>
      <c r="X5" s="51" t="e">
        <f t="shared" si="1"/>
        <v>#DIV/0!</v>
      </c>
      <c r="Y5" s="51" t="e">
        <f t="shared" si="1"/>
        <v>#DIV/0!</v>
      </c>
      <c r="Z5" s="51" t="e">
        <f t="shared" si="1"/>
        <v>#DIV/0!</v>
      </c>
      <c r="AA5" s="51" t="e">
        <f t="shared" si="1"/>
        <v>#DIV/0!</v>
      </c>
      <c r="AB5" s="52" t="e">
        <f t="shared" si="1"/>
        <v>#DIV/0!</v>
      </c>
      <c r="AC5" s="53" t="e">
        <f>SUM(O5:AB5)</f>
        <v>#DIV/0!</v>
      </c>
    </row>
    <row r="6" s="5" customFormat="1" ht="26" customHeight="1" spans="1:29">
      <c r="A6" s="32" t="s">
        <v>35</v>
      </c>
      <c r="B6" s="54">
        <f t="shared" ref="B6:F6" si="2">SUM(B7:B37)</f>
        <v>0</v>
      </c>
      <c r="C6" s="55">
        <f t="shared" si="2"/>
        <v>0</v>
      </c>
      <c r="D6" s="54" t="e">
        <f>B6/C6</f>
        <v>#DIV/0!</v>
      </c>
      <c r="E6" s="54">
        <f t="shared" si="2"/>
        <v>0</v>
      </c>
      <c r="F6" s="54">
        <f t="shared" si="2"/>
        <v>0</v>
      </c>
      <c r="G6" s="54" t="e">
        <f>E6/F6</f>
        <v>#DIV/0!</v>
      </c>
      <c r="H6" s="54">
        <f t="shared" ref="H6:M6" si="3">SUM(H7:H37)</f>
        <v>0</v>
      </c>
      <c r="I6" s="55">
        <f t="shared" si="3"/>
        <v>0</v>
      </c>
      <c r="J6" s="54" t="e">
        <f>H6/I6</f>
        <v>#DIV/0!</v>
      </c>
      <c r="K6" s="54">
        <f t="shared" si="3"/>
        <v>0</v>
      </c>
      <c r="L6" s="54">
        <f t="shared" si="3"/>
        <v>0</v>
      </c>
      <c r="M6" s="54">
        <f t="shared" si="3"/>
        <v>0</v>
      </c>
      <c r="N6" s="56">
        <f>B6+E6+H6+K6+L6-M6</f>
        <v>0</v>
      </c>
      <c r="O6" s="57">
        <f t="shared" ref="O6:AB6" si="4">SUM(O7:O37)</f>
        <v>0</v>
      </c>
      <c r="P6" s="58">
        <f t="shared" si="4"/>
        <v>0</v>
      </c>
      <c r="Q6" s="58">
        <f t="shared" si="4"/>
        <v>0</v>
      </c>
      <c r="R6" s="58">
        <f t="shared" si="4"/>
        <v>0</v>
      </c>
      <c r="S6" s="58">
        <f t="shared" si="4"/>
        <v>0</v>
      </c>
      <c r="T6" s="59">
        <f t="shared" si="4"/>
        <v>0</v>
      </c>
      <c r="U6" s="60">
        <f t="shared" si="4"/>
        <v>0</v>
      </c>
      <c r="V6" s="61">
        <f t="shared" si="4"/>
        <v>0</v>
      </c>
      <c r="W6" s="61">
        <f t="shared" si="4"/>
        <v>0</v>
      </c>
      <c r="X6" s="61">
        <f t="shared" si="4"/>
        <v>0</v>
      </c>
      <c r="Y6" s="61">
        <f t="shared" si="4"/>
        <v>0</v>
      </c>
      <c r="Z6" s="61">
        <f t="shared" si="4"/>
        <v>0</v>
      </c>
      <c r="AA6" s="61">
        <f t="shared" si="4"/>
        <v>0</v>
      </c>
      <c r="AB6" s="61">
        <f t="shared" si="4"/>
        <v>0</v>
      </c>
      <c r="AC6" s="62">
        <f>SUM(O6:AB6)</f>
        <v>0</v>
      </c>
    </row>
    <row r="7" s="5" customFormat="1" ht="26" customHeight="1" spans="1:29">
      <c r="A7" s="63">
        <v>46235</v>
      </c>
      <c r="B7" s="64"/>
      <c r="C7" s="64"/>
      <c r="D7" s="65"/>
      <c r="E7" s="64"/>
      <c r="F7" s="64"/>
      <c r="G7" s="65"/>
      <c r="H7" s="64"/>
      <c r="I7" s="64"/>
      <c r="J7" s="65"/>
      <c r="K7" s="64"/>
      <c r="L7" s="64"/>
      <c r="M7" s="66"/>
      <c r="N7" s="67"/>
      <c r="O7" s="68"/>
      <c r="P7" s="64"/>
      <c r="Q7" s="64"/>
      <c r="R7" s="64"/>
      <c r="S7" s="64"/>
      <c r="T7" s="67"/>
      <c r="U7" s="68"/>
      <c r="V7" s="64"/>
      <c r="W7" s="64"/>
      <c r="X7" s="64"/>
      <c r="Y7" s="64"/>
      <c r="Z7" s="64"/>
      <c r="AA7" s="64"/>
      <c r="AB7" s="67"/>
      <c r="AC7" s="69"/>
    </row>
    <row r="8" s="5" customFormat="1" ht="26" customHeight="1" spans="1:29">
      <c r="A8" s="63">
        <v>46236</v>
      </c>
      <c r="B8" s="64"/>
      <c r="C8" s="64"/>
      <c r="D8" s="65"/>
      <c r="E8" s="64"/>
      <c r="F8" s="64"/>
      <c r="G8" s="65"/>
      <c r="H8" s="64"/>
      <c r="I8" s="64"/>
      <c r="J8" s="65"/>
      <c r="K8" s="64"/>
      <c r="L8" s="64"/>
      <c r="M8" s="66"/>
      <c r="N8" s="67"/>
      <c r="O8" s="68"/>
      <c r="P8" s="64"/>
      <c r="Q8" s="64"/>
      <c r="R8" s="64"/>
      <c r="S8" s="64"/>
      <c r="T8" s="67"/>
      <c r="U8" s="68"/>
      <c r="V8" s="64"/>
      <c r="W8" s="64"/>
      <c r="X8" s="64"/>
      <c r="Y8" s="64"/>
      <c r="Z8" s="64"/>
      <c r="AA8" s="64"/>
      <c r="AB8" s="67"/>
      <c r="AC8" s="69"/>
    </row>
    <row r="9" s="5" customFormat="1" ht="26" customHeight="1" spans="1:29">
      <c r="A9" s="63">
        <v>46237</v>
      </c>
      <c r="B9" s="64"/>
      <c r="C9" s="64"/>
      <c r="D9" s="65"/>
      <c r="E9" s="64"/>
      <c r="F9" s="64"/>
      <c r="G9" s="70"/>
      <c r="H9" s="64"/>
      <c r="I9" s="64"/>
      <c r="J9" s="65"/>
      <c r="K9" s="64"/>
      <c r="L9" s="64"/>
      <c r="M9" s="66"/>
      <c r="N9" s="67"/>
      <c r="O9" s="68"/>
      <c r="P9" s="64"/>
      <c r="Q9" s="64"/>
      <c r="R9" s="71"/>
      <c r="S9" s="64"/>
      <c r="T9" s="64"/>
      <c r="U9" s="68"/>
      <c r="V9" s="64"/>
      <c r="W9" s="64"/>
      <c r="X9" s="72"/>
      <c r="Y9" s="64"/>
      <c r="Z9" s="64"/>
      <c r="AA9" s="64"/>
      <c r="AB9" s="67"/>
      <c r="AC9" s="69"/>
    </row>
    <row r="10" s="5" customFormat="1" ht="26" customHeight="1" spans="1:29">
      <c r="A10" s="63">
        <v>46238</v>
      </c>
      <c r="B10" s="64"/>
      <c r="C10" s="64"/>
      <c r="D10" s="70"/>
      <c r="E10" s="64"/>
      <c r="F10" s="64"/>
      <c r="G10" s="70"/>
      <c r="H10" s="64"/>
      <c r="I10" s="64"/>
      <c r="J10" s="70"/>
      <c r="K10" s="64"/>
      <c r="L10" s="64"/>
      <c r="M10" s="66"/>
      <c r="N10" s="67"/>
      <c r="O10" s="68"/>
      <c r="P10" s="64"/>
      <c r="Q10" s="64"/>
      <c r="R10" s="64"/>
      <c r="S10" s="64"/>
      <c r="T10" s="64"/>
      <c r="U10" s="68"/>
      <c r="V10" s="64"/>
      <c r="W10" s="64"/>
      <c r="X10" s="64"/>
      <c r="Y10" s="64"/>
      <c r="Z10" s="64"/>
      <c r="AA10" s="64"/>
      <c r="AB10" s="67"/>
      <c r="AC10" s="69"/>
    </row>
    <row r="11" s="5" customFormat="1" ht="26" customHeight="1" spans="1:29">
      <c r="A11" s="63">
        <v>46239</v>
      </c>
      <c r="B11" s="73"/>
      <c r="C11" s="74"/>
      <c r="D11" s="75"/>
      <c r="E11" s="73"/>
      <c r="F11" s="74"/>
      <c r="G11" s="75"/>
      <c r="H11" s="75"/>
      <c r="I11" s="75"/>
      <c r="J11" s="75"/>
      <c r="K11" s="75"/>
      <c r="L11" s="75"/>
      <c r="M11" s="76"/>
      <c r="N11" s="77"/>
      <c r="O11" s="78"/>
      <c r="P11" s="79"/>
      <c r="Q11" s="79"/>
      <c r="R11" s="73"/>
      <c r="S11" s="73"/>
      <c r="T11" s="80"/>
      <c r="U11" s="81"/>
      <c r="V11" s="73"/>
      <c r="W11" s="73"/>
      <c r="X11" s="73"/>
      <c r="Y11" s="64"/>
      <c r="Z11" s="64"/>
      <c r="AA11" s="64"/>
      <c r="AB11" s="80"/>
      <c r="AC11" s="69"/>
    </row>
    <row r="12" s="5" customFormat="1" ht="26" customHeight="1" spans="1:29">
      <c r="A12" s="63">
        <v>46240</v>
      </c>
      <c r="B12" s="73"/>
      <c r="C12" s="74"/>
      <c r="D12" s="75"/>
      <c r="E12" s="73"/>
      <c r="F12" s="74"/>
      <c r="G12" s="75"/>
      <c r="H12" s="75"/>
      <c r="I12" s="75"/>
      <c r="J12" s="75"/>
      <c r="K12" s="75"/>
      <c r="L12" s="75"/>
      <c r="M12" s="76"/>
      <c r="N12" s="77"/>
      <c r="O12" s="81"/>
      <c r="P12" s="73"/>
      <c r="Q12" s="64"/>
      <c r="R12" s="73"/>
      <c r="S12" s="73"/>
      <c r="T12" s="80"/>
      <c r="U12" s="81"/>
      <c r="V12" s="73"/>
      <c r="W12" s="73"/>
      <c r="X12" s="73"/>
      <c r="Y12" s="64"/>
      <c r="Z12" s="64"/>
      <c r="AA12" s="64"/>
      <c r="AB12" s="80"/>
      <c r="AC12" s="69"/>
    </row>
    <row r="13" s="5" customFormat="1" ht="26" customHeight="1" spans="1:29">
      <c r="A13" s="63">
        <v>46241</v>
      </c>
      <c r="B13" s="73"/>
      <c r="C13" s="74"/>
      <c r="D13" s="75"/>
      <c r="E13" s="73"/>
      <c r="F13" s="74"/>
      <c r="G13" s="75"/>
      <c r="H13" s="75"/>
      <c r="I13" s="75"/>
      <c r="J13" s="75"/>
      <c r="K13" s="75"/>
      <c r="L13" s="75"/>
      <c r="M13" s="76"/>
      <c r="N13" s="77"/>
      <c r="O13" s="81"/>
      <c r="P13" s="73"/>
      <c r="Q13" s="73"/>
      <c r="R13" s="73"/>
      <c r="S13" s="73"/>
      <c r="T13" s="80"/>
      <c r="U13" s="81"/>
      <c r="V13" s="73"/>
      <c r="W13" s="73"/>
      <c r="X13" s="73"/>
      <c r="Y13" s="64"/>
      <c r="Z13" s="64"/>
      <c r="AA13" s="64"/>
      <c r="AB13" s="80"/>
      <c r="AC13" s="69"/>
    </row>
    <row r="14" s="5" customFormat="1" ht="26" customHeight="1" spans="1:29">
      <c r="A14" s="63">
        <v>46242</v>
      </c>
      <c r="B14" s="73"/>
      <c r="C14" s="74"/>
      <c r="D14" s="75"/>
      <c r="E14" s="73"/>
      <c r="F14" s="74"/>
      <c r="G14" s="75"/>
      <c r="H14" s="75"/>
      <c r="I14" s="75"/>
      <c r="J14" s="75"/>
      <c r="K14" s="75"/>
      <c r="L14" s="75"/>
      <c r="M14" s="76"/>
      <c r="N14" s="77"/>
      <c r="O14" s="81"/>
      <c r="P14" s="73"/>
      <c r="Q14" s="73"/>
      <c r="R14" s="73"/>
      <c r="S14" s="73"/>
      <c r="T14" s="80"/>
      <c r="U14" s="81"/>
      <c r="V14" s="73"/>
      <c r="W14" s="73"/>
      <c r="X14" s="73"/>
      <c r="Y14" s="64"/>
      <c r="Z14" s="64"/>
      <c r="AA14" s="64"/>
      <c r="AB14" s="80"/>
      <c r="AC14" s="69"/>
    </row>
    <row r="15" s="5" customFormat="1" ht="26" customHeight="1" spans="1:29">
      <c r="A15" s="63">
        <v>46243</v>
      </c>
      <c r="B15" s="73"/>
      <c r="C15" s="74"/>
      <c r="D15" s="75"/>
      <c r="E15" s="73"/>
      <c r="F15" s="74"/>
      <c r="G15" s="75"/>
      <c r="H15" s="75"/>
      <c r="I15" s="75"/>
      <c r="J15" s="75"/>
      <c r="K15" s="75"/>
      <c r="L15" s="75"/>
      <c r="M15" s="76"/>
      <c r="N15" s="77"/>
      <c r="O15" s="81"/>
      <c r="P15" s="73"/>
      <c r="Q15" s="73"/>
      <c r="R15" s="73"/>
      <c r="S15" s="73"/>
      <c r="T15" s="80"/>
      <c r="U15" s="81"/>
      <c r="V15" s="73"/>
      <c r="W15" s="73"/>
      <c r="X15" s="73"/>
      <c r="Y15" s="64"/>
      <c r="Z15" s="64"/>
      <c r="AA15" s="64"/>
      <c r="AB15" s="80"/>
      <c r="AC15" s="69"/>
    </row>
    <row r="16" s="5" customFormat="1" ht="26" customHeight="1" spans="1:29">
      <c r="A16" s="63">
        <v>46244</v>
      </c>
      <c r="B16" s="73"/>
      <c r="C16" s="74"/>
      <c r="D16" s="75"/>
      <c r="E16" s="73"/>
      <c r="F16" s="74"/>
      <c r="G16" s="75"/>
      <c r="H16" s="75"/>
      <c r="I16" s="75"/>
      <c r="J16" s="75"/>
      <c r="K16" s="75"/>
      <c r="L16" s="75"/>
      <c r="M16" s="76"/>
      <c r="N16" s="77"/>
      <c r="O16" s="81"/>
      <c r="P16" s="73"/>
      <c r="Q16" s="73"/>
      <c r="R16" s="73"/>
      <c r="S16" s="73"/>
      <c r="T16" s="80"/>
      <c r="U16" s="81"/>
      <c r="V16" s="73"/>
      <c r="W16" s="73"/>
      <c r="X16" s="73"/>
      <c r="Y16" s="64"/>
      <c r="Z16" s="64"/>
      <c r="AA16" s="64"/>
      <c r="AB16" s="80"/>
      <c r="AC16" s="69"/>
    </row>
    <row r="17" s="5" customFormat="1" ht="26" customHeight="1" spans="1:29">
      <c r="A17" s="63">
        <v>46245</v>
      </c>
      <c r="B17" s="73"/>
      <c r="C17" s="74"/>
      <c r="D17" s="75"/>
      <c r="E17" s="73"/>
      <c r="F17" s="74"/>
      <c r="G17" s="75"/>
      <c r="H17" s="75"/>
      <c r="I17" s="75"/>
      <c r="J17" s="75"/>
      <c r="K17" s="75"/>
      <c r="L17" s="75"/>
      <c r="M17" s="76"/>
      <c r="N17" s="77"/>
      <c r="O17" s="81"/>
      <c r="P17" s="73"/>
      <c r="Q17" s="73"/>
      <c r="R17" s="73"/>
      <c r="S17" s="73"/>
      <c r="T17" s="80"/>
      <c r="U17" s="81"/>
      <c r="V17" s="73"/>
      <c r="W17" s="73"/>
      <c r="X17" s="73"/>
      <c r="Y17" s="64"/>
      <c r="Z17" s="64"/>
      <c r="AA17" s="64"/>
      <c r="AB17" s="80"/>
      <c r="AC17" s="69"/>
    </row>
    <row r="18" s="5" customFormat="1" ht="26" customHeight="1" spans="1:29">
      <c r="A18" s="63">
        <v>46246</v>
      </c>
      <c r="B18" s="73"/>
      <c r="C18" s="74"/>
      <c r="D18" s="75"/>
      <c r="E18" s="73"/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/>
      <c r="V18" s="73"/>
      <c r="W18" s="73"/>
      <c r="X18" s="73"/>
      <c r="Y18" s="64"/>
      <c r="Z18" s="64"/>
      <c r="AA18" s="64"/>
      <c r="AB18" s="80"/>
      <c r="AC18" s="69"/>
    </row>
    <row r="19" s="5" customFormat="1" ht="26" customHeight="1" spans="1:29">
      <c r="A19" s="63">
        <v>46247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46248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46249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46250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46251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46252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46253</v>
      </c>
      <c r="B25" s="73"/>
      <c r="C25" s="74"/>
      <c r="D25" s="75"/>
      <c r="E25" s="73"/>
      <c r="F25" s="74"/>
      <c r="G25" s="75"/>
      <c r="H25" s="75"/>
      <c r="I25" s="75"/>
      <c r="J25" s="75"/>
      <c r="K25" s="75"/>
      <c r="L25" s="75"/>
      <c r="M25" s="76"/>
      <c r="N25" s="77"/>
      <c r="O25" s="81"/>
      <c r="P25" s="73"/>
      <c r="Q25" s="73"/>
      <c r="R25" s="84"/>
      <c r="S25" s="85"/>
      <c r="T25" s="80"/>
      <c r="U25" s="81"/>
      <c r="V25" s="73"/>
      <c r="W25" s="73"/>
      <c r="X25" s="73"/>
      <c r="Y25" s="64"/>
      <c r="Z25" s="64"/>
      <c r="AA25" s="64"/>
      <c r="AB25" s="80"/>
      <c r="AC25" s="69"/>
    </row>
    <row r="26" s="5" customFormat="1" ht="26" customHeight="1" spans="1:29">
      <c r="A26" s="63">
        <v>46254</v>
      </c>
      <c r="B26" s="73"/>
      <c r="C26" s="74"/>
      <c r="D26" s="75"/>
      <c r="E26" s="73"/>
      <c r="F26" s="74"/>
      <c r="G26" s="75"/>
      <c r="H26" s="75"/>
      <c r="I26" s="75"/>
      <c r="J26" s="75"/>
      <c r="K26" s="79"/>
      <c r="L26" s="75"/>
      <c r="M26" s="76"/>
      <c r="N26" s="77"/>
      <c r="O26" s="81"/>
      <c r="P26" s="73"/>
      <c r="Q26" s="73"/>
      <c r="R26" s="73"/>
      <c r="S26" s="73"/>
      <c r="T26" s="80"/>
      <c r="U26" s="81"/>
      <c r="V26" s="73"/>
      <c r="W26" s="73"/>
      <c r="X26" s="73"/>
      <c r="Y26" s="64"/>
      <c r="Z26" s="64"/>
      <c r="AA26" s="64"/>
      <c r="AB26" s="80"/>
      <c r="AC26" s="69"/>
    </row>
    <row r="27" s="5" customFormat="1" ht="26" customHeight="1" spans="1:29">
      <c r="A27" s="63">
        <v>46255</v>
      </c>
      <c r="B27" s="73"/>
      <c r="C27" s="74"/>
      <c r="D27" s="75"/>
      <c r="E27" s="73"/>
      <c r="F27" s="74"/>
      <c r="G27" s="75"/>
      <c r="H27" s="75"/>
      <c r="I27" s="75"/>
      <c r="J27" s="75"/>
      <c r="K27" s="75"/>
      <c r="L27" s="75"/>
      <c r="M27" s="76"/>
      <c r="N27" s="77"/>
      <c r="O27" s="81"/>
      <c r="P27" s="73"/>
      <c r="Q27" s="73"/>
      <c r="R27" s="73"/>
      <c r="S27" s="73"/>
      <c r="T27" s="80"/>
      <c r="U27" s="81"/>
      <c r="V27" s="73"/>
      <c r="W27" s="73"/>
      <c r="X27" s="73"/>
      <c r="Y27" s="64"/>
      <c r="Z27" s="64"/>
      <c r="AA27" s="64"/>
      <c r="AB27" s="80"/>
      <c r="AC27" s="69"/>
    </row>
    <row r="28" s="5" customFormat="1" ht="26" customHeight="1" spans="1:29">
      <c r="A28" s="63">
        <v>46256</v>
      </c>
      <c r="B28" s="73"/>
      <c r="C28" s="74"/>
      <c r="D28" s="75"/>
      <c r="E28" s="73"/>
      <c r="F28" s="74"/>
      <c r="G28" s="75"/>
      <c r="H28" s="75"/>
      <c r="I28" s="75"/>
      <c r="J28" s="75"/>
      <c r="K28" s="75"/>
      <c r="L28" s="75"/>
      <c r="M28" s="76"/>
      <c r="N28" s="77"/>
      <c r="O28" s="81"/>
      <c r="P28" s="73"/>
      <c r="Q28" s="73"/>
      <c r="R28" s="73"/>
      <c r="S28" s="73"/>
      <c r="T28" s="80"/>
      <c r="U28" s="81"/>
      <c r="V28" s="73"/>
      <c r="W28" s="73"/>
      <c r="X28" s="73"/>
      <c r="Y28" s="64"/>
      <c r="Z28" s="64"/>
      <c r="AA28" s="64"/>
      <c r="AB28" s="80"/>
      <c r="AC28" s="69"/>
    </row>
    <row r="29" s="5" customFormat="1" ht="26" customHeight="1" spans="1:29">
      <c r="A29" s="63">
        <v>46257</v>
      </c>
      <c r="B29" s="73"/>
      <c r="C29" s="74"/>
      <c r="D29" s="75"/>
      <c r="E29" s="73"/>
      <c r="F29" s="74"/>
      <c r="G29" s="75"/>
      <c r="H29" s="75"/>
      <c r="I29" s="75"/>
      <c r="J29" s="75"/>
      <c r="K29" s="75"/>
      <c r="L29" s="75"/>
      <c r="M29" s="76"/>
      <c r="N29" s="77"/>
      <c r="O29" s="81"/>
      <c r="P29" s="73"/>
      <c r="Q29" s="73"/>
      <c r="R29" s="73"/>
      <c r="S29" s="73"/>
      <c r="T29" s="80"/>
      <c r="U29" s="81"/>
      <c r="V29" s="73"/>
      <c r="W29" s="73"/>
      <c r="X29" s="73"/>
      <c r="Y29" s="64"/>
      <c r="Z29" s="64"/>
      <c r="AA29" s="64"/>
      <c r="AB29" s="80"/>
      <c r="AC29" s="69"/>
    </row>
    <row r="30" s="5" customFormat="1" ht="26" customHeight="1" spans="1:29">
      <c r="A30" s="63">
        <v>46258</v>
      </c>
      <c r="B30" s="73"/>
      <c r="C30" s="74"/>
      <c r="D30" s="75"/>
      <c r="E30" s="73"/>
      <c r="F30" s="74"/>
      <c r="G30" s="75"/>
      <c r="H30" s="75"/>
      <c r="I30" s="75"/>
      <c r="J30" s="75"/>
      <c r="K30" s="75"/>
      <c r="L30" s="75"/>
      <c r="M30" s="76"/>
      <c r="N30" s="77"/>
      <c r="O30" s="81"/>
      <c r="P30" s="73"/>
      <c r="Q30" s="73"/>
      <c r="R30" s="73"/>
      <c r="S30" s="73"/>
      <c r="T30" s="80"/>
      <c r="U30" s="81"/>
      <c r="V30" s="73"/>
      <c r="W30" s="73"/>
      <c r="X30" s="73"/>
      <c r="Y30" s="64"/>
      <c r="Z30" s="64"/>
      <c r="AA30" s="64"/>
      <c r="AB30" s="80"/>
      <c r="AC30" s="69"/>
    </row>
    <row r="31" s="5" customFormat="1" ht="26" customHeight="1" spans="1:29">
      <c r="A31" s="63">
        <v>46259</v>
      </c>
      <c r="B31" s="73"/>
      <c r="C31" s="74"/>
      <c r="D31" s="75"/>
      <c r="E31" s="73"/>
      <c r="F31" s="74"/>
      <c r="G31" s="75"/>
      <c r="H31" s="75"/>
      <c r="I31" s="75"/>
      <c r="J31" s="75"/>
      <c r="K31" s="75"/>
      <c r="L31" s="75"/>
      <c r="M31" s="76"/>
      <c r="N31" s="77"/>
      <c r="O31" s="81"/>
      <c r="P31" s="73"/>
      <c r="Q31" s="73"/>
      <c r="R31" s="73"/>
      <c r="S31" s="73"/>
      <c r="T31" s="80"/>
      <c r="U31" s="81"/>
      <c r="V31" s="73"/>
      <c r="W31" s="73"/>
      <c r="X31" s="73"/>
      <c r="Y31" s="64"/>
      <c r="Z31" s="64"/>
      <c r="AA31" s="64"/>
      <c r="AB31" s="80"/>
      <c r="AC31" s="69"/>
    </row>
    <row r="32" s="5" customFormat="1" ht="26" customHeight="1" spans="1:29">
      <c r="A32" s="63">
        <v>46260</v>
      </c>
      <c r="B32" s="73"/>
      <c r="C32" s="74"/>
      <c r="D32" s="75"/>
      <c r="E32" s="73"/>
      <c r="F32" s="74"/>
      <c r="G32" s="75"/>
      <c r="H32" s="75"/>
      <c r="I32" s="75"/>
      <c r="J32" s="75"/>
      <c r="K32" s="75"/>
      <c r="L32" s="75"/>
      <c r="M32" s="76"/>
      <c r="N32" s="77"/>
      <c r="O32" s="81"/>
      <c r="P32" s="73"/>
      <c r="Q32" s="73"/>
      <c r="R32" s="73"/>
      <c r="S32" s="73"/>
      <c r="T32" s="80"/>
      <c r="U32" s="81"/>
      <c r="V32" s="73"/>
      <c r="W32" s="73"/>
      <c r="X32" s="73"/>
      <c r="Y32" s="64"/>
      <c r="Z32" s="64"/>
      <c r="AA32" s="64"/>
      <c r="AB32" s="80"/>
      <c r="AC32" s="69"/>
    </row>
    <row r="33" s="5" customFormat="1" ht="26" customHeight="1" spans="1:29">
      <c r="A33" s="63">
        <v>46261</v>
      </c>
      <c r="B33" s="73"/>
      <c r="C33" s="74"/>
      <c r="D33" s="75"/>
      <c r="E33" s="73"/>
      <c r="F33" s="74"/>
      <c r="G33" s="75"/>
      <c r="H33" s="75"/>
      <c r="I33" s="75"/>
      <c r="J33" s="75"/>
      <c r="K33" s="75"/>
      <c r="L33" s="75"/>
      <c r="M33" s="76"/>
      <c r="N33" s="77"/>
      <c r="O33" s="81"/>
      <c r="P33" s="73"/>
      <c r="Q33" s="73"/>
      <c r="R33" s="73"/>
      <c r="S33" s="73"/>
      <c r="T33" s="80"/>
      <c r="U33" s="81"/>
      <c r="V33" s="73"/>
      <c r="W33" s="73"/>
      <c r="X33" s="73"/>
      <c r="Y33" s="64"/>
      <c r="Z33" s="64"/>
      <c r="AA33" s="64"/>
      <c r="AB33" s="80"/>
      <c r="AC33" s="69"/>
    </row>
    <row r="34" s="5" customFormat="1" ht="26" customHeight="1" spans="1:29">
      <c r="A34" s="63">
        <v>46262</v>
      </c>
      <c r="B34" s="73"/>
      <c r="C34" s="74"/>
      <c r="D34" s="75"/>
      <c r="E34" s="73"/>
      <c r="F34" s="74"/>
      <c r="G34" s="75"/>
      <c r="H34" s="75"/>
      <c r="I34" s="75"/>
      <c r="J34" s="75"/>
      <c r="K34" s="73"/>
      <c r="L34" s="75"/>
      <c r="M34" s="76"/>
      <c r="N34" s="77"/>
      <c r="O34" s="81"/>
      <c r="P34" s="73"/>
      <c r="Q34" s="73"/>
      <c r="R34" s="73"/>
      <c r="S34" s="73"/>
      <c r="T34" s="80"/>
      <c r="U34" s="81"/>
      <c r="V34" s="73"/>
      <c r="W34" s="73"/>
      <c r="X34" s="73"/>
      <c r="Y34" s="64"/>
      <c r="Z34" s="64"/>
      <c r="AA34" s="64"/>
      <c r="AB34" s="80"/>
      <c r="AC34" s="69"/>
    </row>
    <row r="35" s="5" customFormat="1" ht="26" customHeight="1" spans="1:29">
      <c r="A35" s="63">
        <v>46263</v>
      </c>
      <c r="B35" s="73"/>
      <c r="C35" s="74"/>
      <c r="D35" s="75"/>
      <c r="E35" s="86"/>
      <c r="F35" s="74"/>
      <c r="G35" s="75"/>
      <c r="H35" s="75"/>
      <c r="I35" s="75"/>
      <c r="J35" s="75"/>
      <c r="K35" s="86"/>
      <c r="L35" s="75"/>
      <c r="M35" s="76"/>
      <c r="N35" s="77"/>
      <c r="O35" s="81"/>
      <c r="P35" s="73"/>
      <c r="Q35" s="73"/>
      <c r="R35" s="73"/>
      <c r="S35" s="73"/>
      <c r="T35" s="80"/>
      <c r="U35" s="81"/>
      <c r="V35" s="73"/>
      <c r="W35" s="73"/>
      <c r="X35" s="73"/>
      <c r="Y35" s="64"/>
      <c r="Z35" s="64"/>
      <c r="AA35" s="64"/>
      <c r="AB35" s="80"/>
      <c r="AC35" s="69"/>
    </row>
    <row r="36" s="5" customFormat="1" ht="26" customHeight="1" spans="1:29">
      <c r="A36" s="63">
        <v>46264</v>
      </c>
      <c r="B36" s="73"/>
      <c r="C36" s="74"/>
      <c r="D36" s="75"/>
      <c r="E36" s="73"/>
      <c r="F36" s="74"/>
      <c r="G36" s="75"/>
      <c r="H36" s="75"/>
      <c r="I36" s="75"/>
      <c r="J36" s="75"/>
      <c r="K36" s="73"/>
      <c r="L36" s="75"/>
      <c r="M36" s="76"/>
      <c r="N36" s="77"/>
      <c r="O36" s="81"/>
      <c r="P36" s="73"/>
      <c r="Q36" s="73"/>
      <c r="R36" s="73"/>
      <c r="S36" s="73"/>
      <c r="T36" s="80"/>
      <c r="U36" s="81"/>
      <c r="V36" s="73"/>
      <c r="W36" s="73"/>
      <c r="X36" s="73"/>
      <c r="Y36" s="64"/>
      <c r="Z36" s="64"/>
      <c r="AA36" s="64"/>
      <c r="AB36" s="80"/>
      <c r="AC36" s="69"/>
    </row>
    <row r="37" s="5" customFormat="1" ht="26" customHeight="1" spans="1:29">
      <c r="A37" s="63">
        <v>46265</v>
      </c>
      <c r="B37" s="73"/>
      <c r="C37" s="74"/>
      <c r="D37" s="75"/>
      <c r="E37" s="73"/>
      <c r="F37" s="74"/>
      <c r="G37" s="75"/>
      <c r="H37" s="75"/>
      <c r="I37" s="75"/>
      <c r="J37" s="75"/>
      <c r="K37" s="73"/>
      <c r="L37" s="75"/>
      <c r="M37" s="76"/>
      <c r="N37" s="77"/>
      <c r="O37" s="81"/>
      <c r="P37" s="73"/>
      <c r="Q37" s="73"/>
      <c r="R37" s="73"/>
      <c r="S37" s="73"/>
      <c r="T37" s="80"/>
      <c r="U37" s="81"/>
      <c r="V37" s="73"/>
      <c r="W37" s="73"/>
      <c r="X37" s="73"/>
      <c r="Y37" s="64"/>
      <c r="Z37" s="64"/>
      <c r="AA37" s="64"/>
      <c r="AB37" s="80"/>
      <c r="AC37" s="69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87"/>
      <c r="B44" s="88"/>
      <c r="C44" s="89"/>
      <c r="D44" s="90"/>
      <c r="E44" s="88"/>
      <c r="F44" s="89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87"/>
      <c r="B45" s="88"/>
      <c r="C45" s="89"/>
      <c r="D45" s="90"/>
      <c r="E45" s="88"/>
      <c r="F45" s="89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87"/>
      <c r="B46" s="88"/>
      <c r="C46" s="89"/>
      <c r="D46" s="90"/>
      <c r="E46" s="88"/>
      <c r="F46" s="89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</row>
    <row r="49" s="1" customFormat="1" spans="1:2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  <c r="AC49" s="1">
        <v>119</v>
      </c>
    </row>
    <row r="50" s="1" customFormat="1" spans="1:2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2"/>
      <c r="N50" s="91"/>
      <c r="AC50" s="1">
        <v>87</v>
      </c>
    </row>
    <row r="51" s="1" customFormat="1" spans="1:2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2"/>
      <c r="N51" s="91"/>
      <c r="AC51" s="1">
        <v>69</v>
      </c>
    </row>
    <row r="52" s="1" customFormat="1" spans="1:29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2"/>
      <c r="N52" s="91"/>
      <c r="AC52" s="1">
        <v>104</v>
      </c>
    </row>
    <row r="53" s="1" customFormat="1" spans="1:29">
      <c r="M53" s="6"/>
      <c r="AC53" s="1">
        <v>106</v>
      </c>
    </row>
    <row r="54" s="1" customFormat="1" spans="1:29">
      <c r="M54" s="6"/>
      <c r="AC54" s="1">
        <v>105</v>
      </c>
    </row>
  </sheetData>
  <mergeCells count="13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3"/>
  <sheetViews>
    <sheetView topLeftCell="A30" workbookViewId="0">
      <selection activeCell="A37" sqref="$A37:$XFD37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16384" width="9.025" style="1"/>
  </cols>
  <sheetData>
    <row r="1" s="1" customFormat="1" ht="33" customHeight="1" spans="1: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29">
      <c r="A2" s="9" t="s">
        <v>1</v>
      </c>
      <c r="B2" s="10">
        <f>N6-(N6*0.07)</f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0</v>
      </c>
      <c r="U2" s="10" t="s">
        <v>4</v>
      </c>
      <c r="V2" s="12"/>
      <c r="W2" s="15">
        <f>Q2+T2-Z2</f>
        <v>0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29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0</v>
      </c>
      <c r="T3" s="25" t="e">
        <f>SUM(O5:T5)</f>
        <v>#DIV/0!</v>
      </c>
      <c r="U3" s="26" t="s">
        <v>10</v>
      </c>
      <c r="V3" s="27"/>
      <c r="W3" s="27"/>
      <c r="X3" s="27"/>
      <c r="Y3" s="27"/>
      <c r="Z3" s="28"/>
      <c r="AA3" s="29">
        <f>SUM(U6:AB6)</f>
        <v>0</v>
      </c>
      <c r="AB3" s="30" t="e">
        <f>SUM(U5:AB5)</f>
        <v>#DIV/0!</v>
      </c>
      <c r="AC3" s="31" t="s">
        <v>11</v>
      </c>
    </row>
    <row r="4" s="4" customFormat="1" ht="26" customHeight="1" spans="1:29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</row>
    <row r="5" s="3" customFormat="1" ht="26" customHeight="1" spans="1:29">
      <c r="A5" s="45"/>
      <c r="B5" s="46" t="e">
        <f>B6/$N$6</f>
        <v>#DIV/0!</v>
      </c>
      <c r="C5" s="46"/>
      <c r="D5" s="46"/>
      <c r="E5" s="46" t="e">
        <f>E6/$N$6</f>
        <v>#DIV/0!</v>
      </c>
      <c r="F5" s="46"/>
      <c r="G5" s="46"/>
      <c r="H5" s="46" t="e">
        <f t="shared" ref="H5:M5" si="0">H6/$N$6</f>
        <v>#DIV/0!</v>
      </c>
      <c r="I5" s="46"/>
      <c r="J5" s="46"/>
      <c r="K5" s="46" t="e">
        <f t="shared" si="0"/>
        <v>#DIV/0!</v>
      </c>
      <c r="L5" s="46" t="e">
        <f t="shared" si="0"/>
        <v>#DIV/0!</v>
      </c>
      <c r="M5" s="46" t="e">
        <f t="shared" si="0"/>
        <v>#DIV/0!</v>
      </c>
      <c r="N5" s="35"/>
      <c r="O5" s="47" t="e">
        <f t="shared" ref="O5:AB5" si="1">O6/$N$6</f>
        <v>#DIV/0!</v>
      </c>
      <c r="P5" s="48" t="e">
        <f t="shared" si="1"/>
        <v>#DIV/0!</v>
      </c>
      <c r="Q5" s="48" t="e">
        <f t="shared" si="1"/>
        <v>#DIV/0!</v>
      </c>
      <c r="R5" s="48" t="e">
        <f t="shared" si="1"/>
        <v>#DIV/0!</v>
      </c>
      <c r="S5" s="48" t="e">
        <f t="shared" si="1"/>
        <v>#DIV/0!</v>
      </c>
      <c r="T5" s="49" t="e">
        <f t="shared" si="1"/>
        <v>#DIV/0!</v>
      </c>
      <c r="U5" s="50" t="e">
        <f t="shared" si="1"/>
        <v>#DIV/0!</v>
      </c>
      <c r="V5" s="51" t="e">
        <f t="shared" si="1"/>
        <v>#DIV/0!</v>
      </c>
      <c r="W5" s="51" t="e">
        <f t="shared" si="1"/>
        <v>#DIV/0!</v>
      </c>
      <c r="X5" s="51" t="e">
        <f t="shared" si="1"/>
        <v>#DIV/0!</v>
      </c>
      <c r="Y5" s="51" t="e">
        <f t="shared" si="1"/>
        <v>#DIV/0!</v>
      </c>
      <c r="Z5" s="51" t="e">
        <f t="shared" si="1"/>
        <v>#DIV/0!</v>
      </c>
      <c r="AA5" s="51" t="e">
        <f t="shared" si="1"/>
        <v>#DIV/0!</v>
      </c>
      <c r="AB5" s="52" t="e">
        <f t="shared" si="1"/>
        <v>#DIV/0!</v>
      </c>
      <c r="AC5" s="53" t="e">
        <f>SUM(O5:AB5)</f>
        <v>#DIV/0!</v>
      </c>
    </row>
    <row r="6" s="5" customFormat="1" ht="26" customHeight="1" spans="1:29">
      <c r="A6" s="32" t="s">
        <v>35</v>
      </c>
      <c r="B6" s="54">
        <f>SUM(B7:B36)</f>
        <v>0</v>
      </c>
      <c r="C6" s="55">
        <f>SUM(C7:C36)</f>
        <v>0</v>
      </c>
      <c r="D6" s="54" t="e">
        <f>B6/C6</f>
        <v>#DIV/0!</v>
      </c>
      <c r="E6" s="54">
        <f>SUM(E7:E36)</f>
        <v>0</v>
      </c>
      <c r="F6" s="54">
        <f>SUM(F7:F36)</f>
        <v>0</v>
      </c>
      <c r="G6" s="54" t="e">
        <f>E6/F6</f>
        <v>#DIV/0!</v>
      </c>
      <c r="H6" s="54">
        <f>SUM(H7:H36)</f>
        <v>0</v>
      </c>
      <c r="I6" s="55">
        <f>SUM(I7:I36)</f>
        <v>0</v>
      </c>
      <c r="J6" s="54" t="e">
        <f>H6/I6</f>
        <v>#DIV/0!</v>
      </c>
      <c r="K6" s="54">
        <f>SUM(K7:K36)</f>
        <v>0</v>
      </c>
      <c r="L6" s="54">
        <f>SUM(L7:L36)</f>
        <v>0</v>
      </c>
      <c r="M6" s="54">
        <f>SUM(M7:M36)</f>
        <v>0</v>
      </c>
      <c r="N6" s="56">
        <f>B6+E6+H6+K6+L6-M6</f>
        <v>0</v>
      </c>
      <c r="O6" s="57">
        <f t="shared" ref="O6:AB6" si="2">SUM(O7:O36)</f>
        <v>0</v>
      </c>
      <c r="P6" s="58">
        <f t="shared" si="2"/>
        <v>0</v>
      </c>
      <c r="Q6" s="58">
        <f t="shared" si="2"/>
        <v>0</v>
      </c>
      <c r="R6" s="58">
        <f t="shared" si="2"/>
        <v>0</v>
      </c>
      <c r="S6" s="58">
        <f t="shared" si="2"/>
        <v>0</v>
      </c>
      <c r="T6" s="59">
        <f t="shared" si="2"/>
        <v>0</v>
      </c>
      <c r="U6" s="60">
        <f t="shared" si="2"/>
        <v>0</v>
      </c>
      <c r="V6" s="61">
        <f t="shared" si="2"/>
        <v>0</v>
      </c>
      <c r="W6" s="61">
        <f t="shared" si="2"/>
        <v>0</v>
      </c>
      <c r="X6" s="61">
        <f t="shared" si="2"/>
        <v>0</v>
      </c>
      <c r="Y6" s="61">
        <f t="shared" si="2"/>
        <v>0</v>
      </c>
      <c r="Z6" s="61">
        <f t="shared" si="2"/>
        <v>0</v>
      </c>
      <c r="AA6" s="61">
        <f t="shared" si="2"/>
        <v>0</v>
      </c>
      <c r="AB6" s="61">
        <f t="shared" si="2"/>
        <v>0</v>
      </c>
      <c r="AC6" s="62">
        <f>SUM(O6:AB6)</f>
        <v>0</v>
      </c>
    </row>
    <row r="7" s="5" customFormat="1" ht="26" customHeight="1" spans="1:29">
      <c r="A7" s="63">
        <v>46266</v>
      </c>
      <c r="B7" s="64"/>
      <c r="C7" s="64"/>
      <c r="D7" s="65"/>
      <c r="E7" s="64"/>
      <c r="F7" s="64"/>
      <c r="G7" s="65"/>
      <c r="H7" s="64"/>
      <c r="I7" s="64"/>
      <c r="J7" s="65"/>
      <c r="K7" s="64"/>
      <c r="L7" s="64"/>
      <c r="M7" s="66"/>
      <c r="N7" s="67"/>
      <c r="O7" s="68"/>
      <c r="P7" s="64"/>
      <c r="Q7" s="64"/>
      <c r="R7" s="64"/>
      <c r="S7" s="64"/>
      <c r="T7" s="67"/>
      <c r="U7" s="68"/>
      <c r="V7" s="64"/>
      <c r="W7" s="64"/>
      <c r="X7" s="64"/>
      <c r="Y7" s="64"/>
      <c r="Z7" s="64"/>
      <c r="AA7" s="64"/>
      <c r="AB7" s="67"/>
      <c r="AC7" s="69"/>
    </row>
    <row r="8" s="5" customFormat="1" ht="26" customHeight="1" spans="1:29">
      <c r="A8" s="63">
        <v>46267</v>
      </c>
      <c r="B8" s="64"/>
      <c r="C8" s="64"/>
      <c r="D8" s="65"/>
      <c r="E8" s="64"/>
      <c r="F8" s="64"/>
      <c r="G8" s="65"/>
      <c r="H8" s="64"/>
      <c r="I8" s="64"/>
      <c r="J8" s="65"/>
      <c r="K8" s="64"/>
      <c r="L8" s="64"/>
      <c r="M8" s="66"/>
      <c r="N8" s="67"/>
      <c r="O8" s="68"/>
      <c r="P8" s="64"/>
      <c r="Q8" s="64"/>
      <c r="R8" s="64"/>
      <c r="S8" s="64"/>
      <c r="T8" s="67"/>
      <c r="U8" s="68"/>
      <c r="V8" s="64"/>
      <c r="W8" s="64"/>
      <c r="X8" s="64"/>
      <c r="Y8" s="64"/>
      <c r="Z8" s="64"/>
      <c r="AA8" s="64"/>
      <c r="AB8" s="67"/>
      <c r="AC8" s="69"/>
    </row>
    <row r="9" s="5" customFormat="1" ht="26" customHeight="1" spans="1:29">
      <c r="A9" s="63">
        <v>46268</v>
      </c>
      <c r="B9" s="64"/>
      <c r="C9" s="64"/>
      <c r="D9" s="65"/>
      <c r="E9" s="64"/>
      <c r="F9" s="64"/>
      <c r="G9" s="70"/>
      <c r="H9" s="64"/>
      <c r="I9" s="64"/>
      <c r="J9" s="65"/>
      <c r="K9" s="64"/>
      <c r="L9" s="64"/>
      <c r="M9" s="66"/>
      <c r="N9" s="67"/>
      <c r="O9" s="68"/>
      <c r="P9" s="64"/>
      <c r="Q9" s="64"/>
      <c r="R9" s="71"/>
      <c r="S9" s="64"/>
      <c r="T9" s="64"/>
      <c r="U9" s="68"/>
      <c r="V9" s="64"/>
      <c r="W9" s="64"/>
      <c r="X9" s="72"/>
      <c r="Y9" s="64"/>
      <c r="Z9" s="64"/>
      <c r="AA9" s="64"/>
      <c r="AB9" s="67"/>
      <c r="AC9" s="69"/>
    </row>
    <row r="10" s="5" customFormat="1" ht="26" customHeight="1" spans="1:29">
      <c r="A10" s="63">
        <v>46269</v>
      </c>
      <c r="B10" s="64"/>
      <c r="C10" s="64"/>
      <c r="D10" s="70"/>
      <c r="E10" s="64"/>
      <c r="F10" s="64"/>
      <c r="G10" s="70"/>
      <c r="H10" s="64"/>
      <c r="I10" s="64"/>
      <c r="J10" s="70"/>
      <c r="K10" s="64"/>
      <c r="L10" s="64"/>
      <c r="M10" s="66"/>
      <c r="N10" s="67"/>
      <c r="O10" s="68"/>
      <c r="P10" s="64"/>
      <c r="Q10" s="64"/>
      <c r="R10" s="64"/>
      <c r="S10" s="64"/>
      <c r="T10" s="64"/>
      <c r="U10" s="68"/>
      <c r="V10" s="64"/>
      <c r="W10" s="64"/>
      <c r="X10" s="64"/>
      <c r="Y10" s="64"/>
      <c r="Z10" s="64"/>
      <c r="AA10" s="64"/>
      <c r="AB10" s="67"/>
      <c r="AC10" s="69"/>
    </row>
    <row r="11" s="5" customFormat="1" ht="26" customHeight="1" spans="1:29">
      <c r="A11" s="63">
        <v>46270</v>
      </c>
      <c r="B11" s="73"/>
      <c r="C11" s="74"/>
      <c r="D11" s="75"/>
      <c r="E11" s="73"/>
      <c r="F11" s="74"/>
      <c r="G11" s="75"/>
      <c r="H11" s="75"/>
      <c r="I11" s="75"/>
      <c r="J11" s="75"/>
      <c r="K11" s="75"/>
      <c r="L11" s="75"/>
      <c r="M11" s="76"/>
      <c r="N11" s="77"/>
      <c r="O11" s="78"/>
      <c r="P11" s="79"/>
      <c r="Q11" s="79"/>
      <c r="R11" s="73"/>
      <c r="S11" s="73"/>
      <c r="T11" s="80"/>
      <c r="U11" s="81"/>
      <c r="V11" s="73"/>
      <c r="W11" s="73"/>
      <c r="X11" s="73"/>
      <c r="Y11" s="64"/>
      <c r="Z11" s="64"/>
      <c r="AA11" s="64"/>
      <c r="AB11" s="80"/>
      <c r="AC11" s="69"/>
    </row>
    <row r="12" s="5" customFormat="1" ht="26" customHeight="1" spans="1:29">
      <c r="A12" s="63">
        <v>46271</v>
      </c>
      <c r="B12" s="73"/>
      <c r="C12" s="74"/>
      <c r="D12" s="75"/>
      <c r="E12" s="73"/>
      <c r="F12" s="74"/>
      <c r="G12" s="75"/>
      <c r="H12" s="75"/>
      <c r="I12" s="75"/>
      <c r="J12" s="75"/>
      <c r="K12" s="75"/>
      <c r="L12" s="75"/>
      <c r="M12" s="76"/>
      <c r="N12" s="77"/>
      <c r="O12" s="81"/>
      <c r="P12" s="73"/>
      <c r="Q12" s="64"/>
      <c r="R12" s="73"/>
      <c r="S12" s="73"/>
      <c r="T12" s="80"/>
      <c r="U12" s="81"/>
      <c r="V12" s="73"/>
      <c r="W12" s="73"/>
      <c r="X12" s="73"/>
      <c r="Y12" s="64"/>
      <c r="Z12" s="64"/>
      <c r="AA12" s="64"/>
      <c r="AB12" s="80"/>
      <c r="AC12" s="69"/>
    </row>
    <row r="13" s="5" customFormat="1" ht="26" customHeight="1" spans="1:29">
      <c r="A13" s="63">
        <v>46272</v>
      </c>
      <c r="B13" s="73"/>
      <c r="C13" s="74"/>
      <c r="D13" s="75"/>
      <c r="E13" s="73"/>
      <c r="F13" s="74"/>
      <c r="G13" s="75"/>
      <c r="H13" s="75"/>
      <c r="I13" s="75"/>
      <c r="J13" s="75"/>
      <c r="K13" s="75"/>
      <c r="L13" s="75"/>
      <c r="M13" s="76"/>
      <c r="N13" s="77"/>
      <c r="O13" s="81"/>
      <c r="P13" s="73"/>
      <c r="Q13" s="73"/>
      <c r="R13" s="73"/>
      <c r="S13" s="73"/>
      <c r="T13" s="80"/>
      <c r="U13" s="81"/>
      <c r="V13" s="73"/>
      <c r="W13" s="73"/>
      <c r="X13" s="73"/>
      <c r="Y13" s="64"/>
      <c r="Z13" s="64"/>
      <c r="AA13" s="64"/>
      <c r="AB13" s="80"/>
      <c r="AC13" s="69"/>
    </row>
    <row r="14" s="5" customFormat="1" ht="26" customHeight="1" spans="1:29">
      <c r="A14" s="63">
        <v>46273</v>
      </c>
      <c r="B14" s="73"/>
      <c r="C14" s="74"/>
      <c r="D14" s="75"/>
      <c r="E14" s="73"/>
      <c r="F14" s="74"/>
      <c r="G14" s="75"/>
      <c r="H14" s="75"/>
      <c r="I14" s="75"/>
      <c r="J14" s="75"/>
      <c r="K14" s="75"/>
      <c r="L14" s="75"/>
      <c r="M14" s="76"/>
      <c r="N14" s="77"/>
      <c r="O14" s="81"/>
      <c r="P14" s="73"/>
      <c r="Q14" s="73"/>
      <c r="R14" s="73"/>
      <c r="S14" s="73"/>
      <c r="T14" s="80"/>
      <c r="U14" s="81"/>
      <c r="V14" s="73"/>
      <c r="W14" s="73"/>
      <c r="X14" s="73"/>
      <c r="Y14" s="64"/>
      <c r="Z14" s="64"/>
      <c r="AA14" s="64"/>
      <c r="AB14" s="80"/>
      <c r="AC14" s="69"/>
    </row>
    <row r="15" s="5" customFormat="1" ht="26" customHeight="1" spans="1:29">
      <c r="A15" s="63">
        <v>46274</v>
      </c>
      <c r="B15" s="73"/>
      <c r="C15" s="74"/>
      <c r="D15" s="75"/>
      <c r="E15" s="73"/>
      <c r="F15" s="74"/>
      <c r="G15" s="75"/>
      <c r="H15" s="75"/>
      <c r="I15" s="75"/>
      <c r="J15" s="75"/>
      <c r="K15" s="75"/>
      <c r="L15" s="75"/>
      <c r="M15" s="76"/>
      <c r="N15" s="77"/>
      <c r="O15" s="81"/>
      <c r="P15" s="73"/>
      <c r="Q15" s="73"/>
      <c r="R15" s="73"/>
      <c r="S15" s="73"/>
      <c r="T15" s="80"/>
      <c r="U15" s="81"/>
      <c r="V15" s="73"/>
      <c r="W15" s="73"/>
      <c r="X15" s="73"/>
      <c r="Y15" s="64"/>
      <c r="Z15" s="64"/>
      <c r="AA15" s="64"/>
      <c r="AB15" s="80"/>
      <c r="AC15" s="69"/>
    </row>
    <row r="16" s="5" customFormat="1" ht="26" customHeight="1" spans="1:29">
      <c r="A16" s="63">
        <v>46275</v>
      </c>
      <c r="B16" s="73"/>
      <c r="C16" s="74"/>
      <c r="D16" s="75"/>
      <c r="E16" s="73"/>
      <c r="F16" s="74"/>
      <c r="G16" s="75"/>
      <c r="H16" s="75"/>
      <c r="I16" s="75"/>
      <c r="J16" s="75"/>
      <c r="K16" s="75"/>
      <c r="L16" s="75"/>
      <c r="M16" s="76"/>
      <c r="N16" s="77"/>
      <c r="O16" s="81"/>
      <c r="P16" s="73"/>
      <c r="Q16" s="73"/>
      <c r="R16" s="73"/>
      <c r="S16" s="73"/>
      <c r="T16" s="80"/>
      <c r="U16" s="81"/>
      <c r="V16" s="73"/>
      <c r="W16" s="73"/>
      <c r="X16" s="73"/>
      <c r="Y16" s="64"/>
      <c r="Z16" s="64"/>
      <c r="AA16" s="64"/>
      <c r="AB16" s="80"/>
      <c r="AC16" s="69"/>
    </row>
    <row r="17" s="5" customFormat="1" ht="26" customHeight="1" spans="1:29">
      <c r="A17" s="63">
        <v>46276</v>
      </c>
      <c r="B17" s="73"/>
      <c r="C17" s="74"/>
      <c r="D17" s="75"/>
      <c r="E17" s="73"/>
      <c r="F17" s="74"/>
      <c r="G17" s="75"/>
      <c r="H17" s="75"/>
      <c r="I17" s="75"/>
      <c r="J17" s="75"/>
      <c r="K17" s="75"/>
      <c r="L17" s="75"/>
      <c r="M17" s="76"/>
      <c r="N17" s="77"/>
      <c r="O17" s="81"/>
      <c r="P17" s="73"/>
      <c r="Q17" s="73"/>
      <c r="R17" s="73"/>
      <c r="S17" s="73"/>
      <c r="T17" s="80"/>
      <c r="U17" s="81"/>
      <c r="V17" s="73"/>
      <c r="W17" s="73"/>
      <c r="X17" s="73"/>
      <c r="Y17" s="64"/>
      <c r="Z17" s="64"/>
      <c r="AA17" s="64"/>
      <c r="AB17" s="80"/>
      <c r="AC17" s="69"/>
    </row>
    <row r="18" s="5" customFormat="1" ht="26" customHeight="1" spans="1:29">
      <c r="A18" s="63">
        <v>46277</v>
      </c>
      <c r="B18" s="73"/>
      <c r="C18" s="74"/>
      <c r="D18" s="75"/>
      <c r="E18" s="73"/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/>
      <c r="V18" s="73"/>
      <c r="W18" s="73"/>
      <c r="X18" s="73"/>
      <c r="Y18" s="64"/>
      <c r="Z18" s="64"/>
      <c r="AA18" s="64"/>
      <c r="AB18" s="80"/>
      <c r="AC18" s="69"/>
    </row>
    <row r="19" s="5" customFormat="1" ht="26" customHeight="1" spans="1:29">
      <c r="A19" s="63">
        <v>46278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46279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46280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46281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46282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46283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46284</v>
      </c>
      <c r="B25" s="73"/>
      <c r="C25" s="74"/>
      <c r="D25" s="75"/>
      <c r="E25" s="73"/>
      <c r="F25" s="74"/>
      <c r="G25" s="75"/>
      <c r="H25" s="75"/>
      <c r="I25" s="75"/>
      <c r="J25" s="75"/>
      <c r="K25" s="75"/>
      <c r="L25" s="75"/>
      <c r="M25" s="76"/>
      <c r="N25" s="77"/>
      <c r="O25" s="81"/>
      <c r="P25" s="73"/>
      <c r="Q25" s="73"/>
      <c r="R25" s="84"/>
      <c r="S25" s="85"/>
      <c r="T25" s="80"/>
      <c r="U25" s="81"/>
      <c r="V25" s="73"/>
      <c r="W25" s="73"/>
      <c r="X25" s="73"/>
      <c r="Y25" s="64"/>
      <c r="Z25" s="64"/>
      <c r="AA25" s="64"/>
      <c r="AB25" s="80"/>
      <c r="AC25" s="69"/>
    </row>
    <row r="26" s="5" customFormat="1" ht="26" customHeight="1" spans="1:29">
      <c r="A26" s="63">
        <v>46285</v>
      </c>
      <c r="B26" s="73"/>
      <c r="C26" s="74"/>
      <c r="D26" s="75"/>
      <c r="E26" s="73"/>
      <c r="F26" s="74"/>
      <c r="G26" s="75"/>
      <c r="H26" s="75"/>
      <c r="I26" s="75"/>
      <c r="J26" s="75"/>
      <c r="K26" s="79"/>
      <c r="L26" s="75"/>
      <c r="M26" s="76"/>
      <c r="N26" s="77"/>
      <c r="O26" s="81"/>
      <c r="P26" s="73"/>
      <c r="Q26" s="73"/>
      <c r="R26" s="73"/>
      <c r="S26" s="73"/>
      <c r="T26" s="80"/>
      <c r="U26" s="81"/>
      <c r="V26" s="73"/>
      <c r="W26" s="73"/>
      <c r="X26" s="73"/>
      <c r="Y26" s="64"/>
      <c r="Z26" s="64"/>
      <c r="AA26" s="64"/>
      <c r="AB26" s="80"/>
      <c r="AC26" s="69"/>
    </row>
    <row r="27" s="5" customFormat="1" ht="26" customHeight="1" spans="1:29">
      <c r="A27" s="63">
        <v>46286</v>
      </c>
      <c r="B27" s="73"/>
      <c r="C27" s="74"/>
      <c r="D27" s="75"/>
      <c r="E27" s="73"/>
      <c r="F27" s="74"/>
      <c r="G27" s="75"/>
      <c r="H27" s="75"/>
      <c r="I27" s="75"/>
      <c r="J27" s="75"/>
      <c r="K27" s="75"/>
      <c r="L27" s="75"/>
      <c r="M27" s="76"/>
      <c r="N27" s="77"/>
      <c r="O27" s="81"/>
      <c r="P27" s="73"/>
      <c r="Q27" s="73"/>
      <c r="R27" s="73"/>
      <c r="S27" s="73"/>
      <c r="T27" s="80"/>
      <c r="U27" s="81"/>
      <c r="V27" s="73"/>
      <c r="W27" s="73"/>
      <c r="X27" s="73"/>
      <c r="Y27" s="64"/>
      <c r="Z27" s="64"/>
      <c r="AA27" s="64"/>
      <c r="AB27" s="80"/>
      <c r="AC27" s="69"/>
    </row>
    <row r="28" s="5" customFormat="1" ht="26" customHeight="1" spans="1:29">
      <c r="A28" s="63">
        <v>46287</v>
      </c>
      <c r="B28" s="73"/>
      <c r="C28" s="74"/>
      <c r="D28" s="75"/>
      <c r="E28" s="73"/>
      <c r="F28" s="74"/>
      <c r="G28" s="75"/>
      <c r="H28" s="75"/>
      <c r="I28" s="75"/>
      <c r="J28" s="75"/>
      <c r="K28" s="75"/>
      <c r="L28" s="75"/>
      <c r="M28" s="76"/>
      <c r="N28" s="77"/>
      <c r="O28" s="81"/>
      <c r="P28" s="73"/>
      <c r="Q28" s="73"/>
      <c r="R28" s="73"/>
      <c r="S28" s="73"/>
      <c r="T28" s="80"/>
      <c r="U28" s="81"/>
      <c r="V28" s="73"/>
      <c r="W28" s="73"/>
      <c r="X28" s="73"/>
      <c r="Y28" s="64"/>
      <c r="Z28" s="64"/>
      <c r="AA28" s="64"/>
      <c r="AB28" s="80"/>
      <c r="AC28" s="69"/>
    </row>
    <row r="29" s="5" customFormat="1" ht="26" customHeight="1" spans="1:29">
      <c r="A29" s="63">
        <v>46288</v>
      </c>
      <c r="B29" s="73"/>
      <c r="C29" s="74"/>
      <c r="D29" s="75"/>
      <c r="E29" s="73"/>
      <c r="F29" s="74"/>
      <c r="G29" s="75"/>
      <c r="H29" s="75"/>
      <c r="I29" s="75"/>
      <c r="J29" s="75"/>
      <c r="K29" s="75"/>
      <c r="L29" s="75"/>
      <c r="M29" s="76"/>
      <c r="N29" s="77"/>
      <c r="O29" s="81"/>
      <c r="P29" s="73"/>
      <c r="Q29" s="73"/>
      <c r="R29" s="73"/>
      <c r="S29" s="73"/>
      <c r="T29" s="80"/>
      <c r="U29" s="81"/>
      <c r="V29" s="73"/>
      <c r="W29" s="73"/>
      <c r="X29" s="73"/>
      <c r="Y29" s="64"/>
      <c r="Z29" s="64"/>
      <c r="AA29" s="64"/>
      <c r="AB29" s="80"/>
      <c r="AC29" s="69"/>
    </row>
    <row r="30" s="5" customFormat="1" ht="26" customHeight="1" spans="1:29">
      <c r="A30" s="63">
        <v>46289</v>
      </c>
      <c r="B30" s="73"/>
      <c r="C30" s="74"/>
      <c r="D30" s="75"/>
      <c r="E30" s="73"/>
      <c r="F30" s="74"/>
      <c r="G30" s="75"/>
      <c r="H30" s="75"/>
      <c r="I30" s="75"/>
      <c r="J30" s="75"/>
      <c r="K30" s="75"/>
      <c r="L30" s="75"/>
      <c r="M30" s="76"/>
      <c r="N30" s="77"/>
      <c r="O30" s="81"/>
      <c r="P30" s="73"/>
      <c r="Q30" s="73"/>
      <c r="R30" s="73"/>
      <c r="S30" s="73"/>
      <c r="T30" s="80"/>
      <c r="U30" s="81"/>
      <c r="V30" s="73"/>
      <c r="W30" s="73"/>
      <c r="X30" s="73"/>
      <c r="Y30" s="64"/>
      <c r="Z30" s="64"/>
      <c r="AA30" s="64"/>
      <c r="AB30" s="80"/>
      <c r="AC30" s="69"/>
    </row>
    <row r="31" s="5" customFormat="1" ht="26" customHeight="1" spans="1:29">
      <c r="A31" s="63">
        <v>46290</v>
      </c>
      <c r="B31" s="73"/>
      <c r="C31" s="74"/>
      <c r="D31" s="75"/>
      <c r="E31" s="73"/>
      <c r="F31" s="74"/>
      <c r="G31" s="75"/>
      <c r="H31" s="75"/>
      <c r="I31" s="75"/>
      <c r="J31" s="75"/>
      <c r="K31" s="75"/>
      <c r="L31" s="75"/>
      <c r="M31" s="76"/>
      <c r="N31" s="77"/>
      <c r="O31" s="81"/>
      <c r="P31" s="73"/>
      <c r="Q31" s="73"/>
      <c r="R31" s="73"/>
      <c r="S31" s="73"/>
      <c r="T31" s="80"/>
      <c r="U31" s="81"/>
      <c r="V31" s="73"/>
      <c r="W31" s="73"/>
      <c r="X31" s="73"/>
      <c r="Y31" s="64"/>
      <c r="Z31" s="64"/>
      <c r="AA31" s="64"/>
      <c r="AB31" s="80"/>
      <c r="AC31" s="69"/>
    </row>
    <row r="32" s="5" customFormat="1" ht="26" customHeight="1" spans="1:29">
      <c r="A32" s="63">
        <v>46291</v>
      </c>
      <c r="B32" s="73"/>
      <c r="C32" s="74"/>
      <c r="D32" s="75"/>
      <c r="E32" s="73"/>
      <c r="F32" s="74"/>
      <c r="G32" s="75"/>
      <c r="H32" s="75"/>
      <c r="I32" s="75"/>
      <c r="J32" s="75"/>
      <c r="K32" s="75"/>
      <c r="L32" s="75"/>
      <c r="M32" s="76"/>
      <c r="N32" s="77"/>
      <c r="O32" s="81"/>
      <c r="P32" s="73"/>
      <c r="Q32" s="73"/>
      <c r="R32" s="73"/>
      <c r="S32" s="73"/>
      <c r="T32" s="80"/>
      <c r="U32" s="81"/>
      <c r="V32" s="73"/>
      <c r="W32" s="73"/>
      <c r="X32" s="73"/>
      <c r="Y32" s="64"/>
      <c r="Z32" s="64"/>
      <c r="AA32" s="64"/>
      <c r="AB32" s="80"/>
      <c r="AC32" s="69"/>
    </row>
    <row r="33" s="5" customFormat="1" ht="26" customHeight="1" spans="1:29">
      <c r="A33" s="63">
        <v>46292</v>
      </c>
      <c r="B33" s="73"/>
      <c r="C33" s="74"/>
      <c r="D33" s="75"/>
      <c r="E33" s="73"/>
      <c r="F33" s="74"/>
      <c r="G33" s="75"/>
      <c r="H33" s="75"/>
      <c r="I33" s="75"/>
      <c r="J33" s="75"/>
      <c r="K33" s="75"/>
      <c r="L33" s="75"/>
      <c r="M33" s="76"/>
      <c r="N33" s="77"/>
      <c r="O33" s="81"/>
      <c r="P33" s="73"/>
      <c r="Q33" s="73"/>
      <c r="R33" s="73"/>
      <c r="S33" s="73"/>
      <c r="T33" s="80"/>
      <c r="U33" s="81"/>
      <c r="V33" s="73"/>
      <c r="W33" s="73"/>
      <c r="X33" s="73"/>
      <c r="Y33" s="64"/>
      <c r="Z33" s="64"/>
      <c r="AA33" s="64"/>
      <c r="AB33" s="80"/>
      <c r="AC33" s="69"/>
    </row>
    <row r="34" s="5" customFormat="1" ht="26" customHeight="1" spans="1:29">
      <c r="A34" s="63">
        <v>46293</v>
      </c>
      <c r="B34" s="73"/>
      <c r="C34" s="74"/>
      <c r="D34" s="75"/>
      <c r="E34" s="73"/>
      <c r="F34" s="74"/>
      <c r="G34" s="75"/>
      <c r="H34" s="75"/>
      <c r="I34" s="75"/>
      <c r="J34" s="75"/>
      <c r="K34" s="73"/>
      <c r="L34" s="75"/>
      <c r="M34" s="76"/>
      <c r="N34" s="77"/>
      <c r="O34" s="81"/>
      <c r="P34" s="73"/>
      <c r="Q34" s="73"/>
      <c r="R34" s="73"/>
      <c r="S34" s="73"/>
      <c r="T34" s="80"/>
      <c r="U34" s="81"/>
      <c r="V34" s="73"/>
      <c r="W34" s="73"/>
      <c r="X34" s="73"/>
      <c r="Y34" s="64"/>
      <c r="Z34" s="64"/>
      <c r="AA34" s="64"/>
      <c r="AB34" s="80"/>
      <c r="AC34" s="69"/>
    </row>
    <row r="35" s="5" customFormat="1" ht="26" customHeight="1" spans="1:29">
      <c r="A35" s="63">
        <v>46294</v>
      </c>
      <c r="B35" s="73"/>
      <c r="C35" s="74"/>
      <c r="D35" s="75"/>
      <c r="E35" s="86"/>
      <c r="F35" s="74"/>
      <c r="G35" s="75"/>
      <c r="H35" s="75"/>
      <c r="I35" s="75"/>
      <c r="J35" s="75"/>
      <c r="K35" s="86"/>
      <c r="L35" s="75"/>
      <c r="M35" s="76"/>
      <c r="N35" s="77"/>
      <c r="O35" s="81"/>
      <c r="P35" s="73"/>
      <c r="Q35" s="73"/>
      <c r="R35" s="73"/>
      <c r="S35" s="73"/>
      <c r="T35" s="80"/>
      <c r="U35" s="81"/>
      <c r="V35" s="73"/>
      <c r="W35" s="73"/>
      <c r="X35" s="73"/>
      <c r="Y35" s="64"/>
      <c r="Z35" s="64"/>
      <c r="AA35" s="64"/>
      <c r="AB35" s="80"/>
      <c r="AC35" s="69"/>
    </row>
    <row r="36" s="5" customFormat="1" ht="26" customHeight="1" spans="1:29">
      <c r="A36" s="63">
        <v>46295</v>
      </c>
      <c r="B36" s="73"/>
      <c r="C36" s="74"/>
      <c r="D36" s="75"/>
      <c r="E36" s="73"/>
      <c r="F36" s="74"/>
      <c r="G36" s="75"/>
      <c r="H36" s="75"/>
      <c r="I36" s="75"/>
      <c r="J36" s="75"/>
      <c r="K36" s="73"/>
      <c r="L36" s="75"/>
      <c r="M36" s="76"/>
      <c r="N36" s="77"/>
      <c r="O36" s="81"/>
      <c r="P36" s="73"/>
      <c r="Q36" s="73"/>
      <c r="R36" s="73"/>
      <c r="S36" s="73"/>
      <c r="T36" s="80"/>
      <c r="U36" s="81"/>
      <c r="V36" s="73"/>
      <c r="W36" s="73"/>
      <c r="X36" s="73"/>
      <c r="Y36" s="64"/>
      <c r="Z36" s="64"/>
      <c r="AA36" s="64"/>
      <c r="AB36" s="80"/>
      <c r="AC36" s="69"/>
    </row>
    <row r="37" s="1" customFormat="1" spans="1:29">
      <c r="A37" s="87"/>
      <c r="B37" s="88"/>
      <c r="C37" s="89"/>
      <c r="D37" s="90"/>
      <c r="E37" s="88"/>
      <c r="F37" s="89"/>
      <c r="G37" s="91"/>
      <c r="H37" s="91"/>
      <c r="I37" s="91"/>
      <c r="J37" s="91"/>
      <c r="K37" s="91"/>
      <c r="L37" s="91"/>
      <c r="M37" s="92"/>
      <c r="N37" s="91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87"/>
      <c r="B44" s="88"/>
      <c r="C44" s="89"/>
      <c r="D44" s="90"/>
      <c r="E44" s="88"/>
      <c r="F44" s="89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87"/>
      <c r="B45" s="88"/>
      <c r="C45" s="89"/>
      <c r="D45" s="90"/>
      <c r="E45" s="88"/>
      <c r="F45" s="89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  <c r="AC48" s="1">
        <v>119</v>
      </c>
    </row>
    <row r="49" s="1" customFormat="1" spans="1:2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  <c r="AC49" s="1">
        <v>87</v>
      </c>
    </row>
    <row r="50" s="1" customFormat="1" spans="1:2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2"/>
      <c r="N50" s="91"/>
      <c r="AC50" s="1">
        <v>69</v>
      </c>
    </row>
    <row r="51" s="1" customFormat="1" spans="1:2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2"/>
      <c r="N51" s="91"/>
      <c r="AC51" s="1">
        <v>104</v>
      </c>
    </row>
    <row r="52" s="1" customFormat="1" spans="1:29">
      <c r="M52" s="6"/>
      <c r="AC52" s="1">
        <v>106</v>
      </c>
    </row>
    <row r="53" s="1" customFormat="1" spans="1:29">
      <c r="M53" s="6"/>
      <c r="AC53" s="1">
        <v>105</v>
      </c>
    </row>
  </sheetData>
  <mergeCells count="13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4"/>
  <sheetViews>
    <sheetView topLeftCell="A36" workbookViewId="0">
      <selection activeCell="A7" sqref="A7:A37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16384" width="9.025" style="1"/>
  </cols>
  <sheetData>
    <row r="1" s="1" customFormat="1" ht="33" customHeight="1" spans="1: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29">
      <c r="A2" s="9" t="s">
        <v>1</v>
      </c>
      <c r="B2" s="10">
        <f>N6-(N6*0.07)</f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0</v>
      </c>
      <c r="U2" s="10" t="s">
        <v>4</v>
      </c>
      <c r="V2" s="12"/>
      <c r="W2" s="15">
        <f>Q2+T2-Z2</f>
        <v>0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29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0</v>
      </c>
      <c r="T3" s="25" t="e">
        <f>SUM(O5:T5)</f>
        <v>#DIV/0!</v>
      </c>
      <c r="U3" s="26" t="s">
        <v>10</v>
      </c>
      <c r="V3" s="27"/>
      <c r="W3" s="27"/>
      <c r="X3" s="27"/>
      <c r="Y3" s="27"/>
      <c r="Z3" s="28"/>
      <c r="AA3" s="29">
        <f>SUM(U6:AB6)</f>
        <v>0</v>
      </c>
      <c r="AB3" s="30" t="e">
        <f>SUM(U5:AB5)</f>
        <v>#DIV/0!</v>
      </c>
      <c r="AC3" s="31" t="s">
        <v>11</v>
      </c>
    </row>
    <row r="4" s="4" customFormat="1" ht="26" customHeight="1" spans="1:29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</row>
    <row r="5" s="3" customFormat="1" ht="26" customHeight="1" spans="1:29">
      <c r="A5" s="45"/>
      <c r="B5" s="46" t="e">
        <f>B6/$N$6</f>
        <v>#DIV/0!</v>
      </c>
      <c r="C5" s="46"/>
      <c r="D5" s="46"/>
      <c r="E5" s="46" t="e">
        <f>E6/$N$6</f>
        <v>#DIV/0!</v>
      </c>
      <c r="F5" s="46"/>
      <c r="G5" s="46"/>
      <c r="H5" s="46" t="e">
        <f t="shared" ref="H5:M5" si="0">H6/$N$6</f>
        <v>#DIV/0!</v>
      </c>
      <c r="I5" s="46"/>
      <c r="J5" s="46"/>
      <c r="K5" s="46" t="e">
        <f t="shared" si="0"/>
        <v>#DIV/0!</v>
      </c>
      <c r="L5" s="46" t="e">
        <f t="shared" si="0"/>
        <v>#DIV/0!</v>
      </c>
      <c r="M5" s="46" t="e">
        <f t="shared" si="0"/>
        <v>#DIV/0!</v>
      </c>
      <c r="N5" s="35"/>
      <c r="O5" s="47" t="e">
        <f t="shared" ref="O5:AB5" si="1">O6/$N$6</f>
        <v>#DIV/0!</v>
      </c>
      <c r="P5" s="48" t="e">
        <f t="shared" si="1"/>
        <v>#DIV/0!</v>
      </c>
      <c r="Q5" s="48" t="e">
        <f t="shared" si="1"/>
        <v>#DIV/0!</v>
      </c>
      <c r="R5" s="48" t="e">
        <f t="shared" si="1"/>
        <v>#DIV/0!</v>
      </c>
      <c r="S5" s="48" t="e">
        <f t="shared" si="1"/>
        <v>#DIV/0!</v>
      </c>
      <c r="T5" s="49" t="e">
        <f t="shared" si="1"/>
        <v>#DIV/0!</v>
      </c>
      <c r="U5" s="50" t="e">
        <f t="shared" si="1"/>
        <v>#DIV/0!</v>
      </c>
      <c r="V5" s="51" t="e">
        <f t="shared" si="1"/>
        <v>#DIV/0!</v>
      </c>
      <c r="W5" s="51" t="e">
        <f t="shared" si="1"/>
        <v>#DIV/0!</v>
      </c>
      <c r="X5" s="51" t="e">
        <f t="shared" si="1"/>
        <v>#DIV/0!</v>
      </c>
      <c r="Y5" s="51" t="e">
        <f t="shared" si="1"/>
        <v>#DIV/0!</v>
      </c>
      <c r="Z5" s="51" t="e">
        <f t="shared" si="1"/>
        <v>#DIV/0!</v>
      </c>
      <c r="AA5" s="51" t="e">
        <f t="shared" si="1"/>
        <v>#DIV/0!</v>
      </c>
      <c r="AB5" s="52" t="e">
        <f t="shared" si="1"/>
        <v>#DIV/0!</v>
      </c>
      <c r="AC5" s="53" t="e">
        <f>SUM(O5:AB5)</f>
        <v>#DIV/0!</v>
      </c>
    </row>
    <row r="6" s="5" customFormat="1" ht="26" customHeight="1" spans="1:29">
      <c r="A6" s="32" t="s">
        <v>35</v>
      </c>
      <c r="B6" s="54">
        <f t="shared" ref="B6:F6" si="2">SUM(B7:B37)</f>
        <v>0</v>
      </c>
      <c r="C6" s="55">
        <f t="shared" si="2"/>
        <v>0</v>
      </c>
      <c r="D6" s="54" t="e">
        <f>B6/C6</f>
        <v>#DIV/0!</v>
      </c>
      <c r="E6" s="54">
        <f t="shared" si="2"/>
        <v>0</v>
      </c>
      <c r="F6" s="54">
        <f t="shared" si="2"/>
        <v>0</v>
      </c>
      <c r="G6" s="54" t="e">
        <f>E6/F6</f>
        <v>#DIV/0!</v>
      </c>
      <c r="H6" s="54">
        <f t="shared" ref="H6:M6" si="3">SUM(H7:H37)</f>
        <v>0</v>
      </c>
      <c r="I6" s="55">
        <f t="shared" si="3"/>
        <v>0</v>
      </c>
      <c r="J6" s="54" t="e">
        <f>H6/I6</f>
        <v>#DIV/0!</v>
      </c>
      <c r="K6" s="54">
        <f t="shared" si="3"/>
        <v>0</v>
      </c>
      <c r="L6" s="54">
        <f t="shared" si="3"/>
        <v>0</v>
      </c>
      <c r="M6" s="54">
        <f t="shared" si="3"/>
        <v>0</v>
      </c>
      <c r="N6" s="56">
        <f>B6+E6+H6+K6+L6-M6</f>
        <v>0</v>
      </c>
      <c r="O6" s="57">
        <f t="shared" ref="O6:AB6" si="4">SUM(O7:O37)</f>
        <v>0</v>
      </c>
      <c r="P6" s="58">
        <f t="shared" si="4"/>
        <v>0</v>
      </c>
      <c r="Q6" s="58">
        <f t="shared" si="4"/>
        <v>0</v>
      </c>
      <c r="R6" s="58">
        <f t="shared" si="4"/>
        <v>0</v>
      </c>
      <c r="S6" s="58">
        <f t="shared" si="4"/>
        <v>0</v>
      </c>
      <c r="T6" s="59">
        <f t="shared" si="4"/>
        <v>0</v>
      </c>
      <c r="U6" s="60">
        <f t="shared" si="4"/>
        <v>0</v>
      </c>
      <c r="V6" s="61">
        <f t="shared" si="4"/>
        <v>0</v>
      </c>
      <c r="W6" s="61">
        <f t="shared" si="4"/>
        <v>0</v>
      </c>
      <c r="X6" s="61">
        <f t="shared" si="4"/>
        <v>0</v>
      </c>
      <c r="Y6" s="61">
        <f t="shared" si="4"/>
        <v>0</v>
      </c>
      <c r="Z6" s="61">
        <f t="shared" si="4"/>
        <v>0</v>
      </c>
      <c r="AA6" s="61">
        <f t="shared" si="4"/>
        <v>0</v>
      </c>
      <c r="AB6" s="61">
        <f t="shared" si="4"/>
        <v>0</v>
      </c>
      <c r="AC6" s="62">
        <f>SUM(O6:AB6)</f>
        <v>0</v>
      </c>
    </row>
    <row r="7" s="5" customFormat="1" ht="26" customHeight="1" spans="1:29">
      <c r="A7" s="63">
        <v>46296</v>
      </c>
      <c r="B7" s="64"/>
      <c r="C7" s="64"/>
      <c r="D7" s="65"/>
      <c r="E7" s="64"/>
      <c r="F7" s="64"/>
      <c r="G7" s="65"/>
      <c r="H7" s="64"/>
      <c r="I7" s="64"/>
      <c r="J7" s="65"/>
      <c r="K7" s="64"/>
      <c r="L7" s="64"/>
      <c r="M7" s="66"/>
      <c r="N7" s="67"/>
      <c r="O7" s="68"/>
      <c r="P7" s="64"/>
      <c r="Q7" s="64"/>
      <c r="R7" s="64"/>
      <c r="S7" s="64"/>
      <c r="T7" s="67"/>
      <c r="U7" s="68"/>
      <c r="V7" s="64"/>
      <c r="W7" s="64"/>
      <c r="X7" s="64"/>
      <c r="Y7" s="64"/>
      <c r="Z7" s="64"/>
      <c r="AA7" s="64"/>
      <c r="AB7" s="67"/>
      <c r="AC7" s="69"/>
    </row>
    <row r="8" s="5" customFormat="1" ht="26" customHeight="1" spans="1:29">
      <c r="A8" s="63">
        <v>46297</v>
      </c>
      <c r="B8" s="64"/>
      <c r="C8" s="64"/>
      <c r="D8" s="65"/>
      <c r="E8" s="64"/>
      <c r="F8" s="64"/>
      <c r="G8" s="65"/>
      <c r="H8" s="64"/>
      <c r="I8" s="64"/>
      <c r="J8" s="65"/>
      <c r="K8" s="64"/>
      <c r="L8" s="64"/>
      <c r="M8" s="66"/>
      <c r="N8" s="67"/>
      <c r="O8" s="68"/>
      <c r="P8" s="64"/>
      <c r="Q8" s="64"/>
      <c r="R8" s="64"/>
      <c r="S8" s="64"/>
      <c r="T8" s="67"/>
      <c r="U8" s="68"/>
      <c r="V8" s="64"/>
      <c r="W8" s="64"/>
      <c r="X8" s="64"/>
      <c r="Y8" s="64"/>
      <c r="Z8" s="64"/>
      <c r="AA8" s="64"/>
      <c r="AB8" s="67"/>
      <c r="AC8" s="69"/>
    </row>
    <row r="9" s="5" customFormat="1" ht="26" customHeight="1" spans="1:29">
      <c r="A9" s="63">
        <v>46298</v>
      </c>
      <c r="B9" s="64"/>
      <c r="C9" s="64"/>
      <c r="D9" s="65"/>
      <c r="E9" s="64"/>
      <c r="F9" s="64"/>
      <c r="G9" s="70"/>
      <c r="H9" s="64"/>
      <c r="I9" s="64"/>
      <c r="J9" s="65"/>
      <c r="K9" s="64"/>
      <c r="L9" s="64"/>
      <c r="M9" s="66"/>
      <c r="N9" s="67"/>
      <c r="O9" s="68"/>
      <c r="P9" s="64"/>
      <c r="Q9" s="64"/>
      <c r="R9" s="71"/>
      <c r="S9" s="64"/>
      <c r="T9" s="64"/>
      <c r="U9" s="68"/>
      <c r="V9" s="64"/>
      <c r="W9" s="64"/>
      <c r="X9" s="72"/>
      <c r="Y9" s="64"/>
      <c r="Z9" s="64"/>
      <c r="AA9" s="64"/>
      <c r="AB9" s="67"/>
      <c r="AC9" s="69"/>
    </row>
    <row r="10" s="5" customFormat="1" ht="26" customHeight="1" spans="1:29">
      <c r="A10" s="63">
        <v>46299</v>
      </c>
      <c r="B10" s="64"/>
      <c r="C10" s="64"/>
      <c r="D10" s="70"/>
      <c r="E10" s="64"/>
      <c r="F10" s="64"/>
      <c r="G10" s="70"/>
      <c r="H10" s="64"/>
      <c r="I10" s="64"/>
      <c r="J10" s="70"/>
      <c r="K10" s="64"/>
      <c r="L10" s="64"/>
      <c r="M10" s="66"/>
      <c r="N10" s="67"/>
      <c r="O10" s="68"/>
      <c r="P10" s="64"/>
      <c r="Q10" s="64"/>
      <c r="R10" s="64"/>
      <c r="S10" s="64"/>
      <c r="T10" s="64"/>
      <c r="U10" s="68"/>
      <c r="V10" s="64"/>
      <c r="W10" s="64"/>
      <c r="X10" s="64"/>
      <c r="Y10" s="64"/>
      <c r="Z10" s="64"/>
      <c r="AA10" s="64"/>
      <c r="AB10" s="67"/>
      <c r="AC10" s="69"/>
    </row>
    <row r="11" s="5" customFormat="1" ht="26" customHeight="1" spans="1:29">
      <c r="A11" s="63">
        <v>46300</v>
      </c>
      <c r="B11" s="73"/>
      <c r="C11" s="74"/>
      <c r="D11" s="75"/>
      <c r="E11" s="73"/>
      <c r="F11" s="74"/>
      <c r="G11" s="75"/>
      <c r="H11" s="75"/>
      <c r="I11" s="75"/>
      <c r="J11" s="75"/>
      <c r="K11" s="75"/>
      <c r="L11" s="75"/>
      <c r="M11" s="76"/>
      <c r="N11" s="77"/>
      <c r="O11" s="78"/>
      <c r="P11" s="79"/>
      <c r="Q11" s="79"/>
      <c r="R11" s="73"/>
      <c r="S11" s="73"/>
      <c r="T11" s="80"/>
      <c r="U11" s="81"/>
      <c r="V11" s="73"/>
      <c r="W11" s="73"/>
      <c r="X11" s="73"/>
      <c r="Y11" s="64"/>
      <c r="Z11" s="64"/>
      <c r="AA11" s="64"/>
      <c r="AB11" s="80"/>
      <c r="AC11" s="69"/>
    </row>
    <row r="12" s="5" customFormat="1" ht="26" customHeight="1" spans="1:29">
      <c r="A12" s="63">
        <v>46301</v>
      </c>
      <c r="B12" s="73"/>
      <c r="C12" s="74"/>
      <c r="D12" s="75"/>
      <c r="E12" s="73"/>
      <c r="F12" s="74"/>
      <c r="G12" s="75"/>
      <c r="H12" s="75"/>
      <c r="I12" s="75"/>
      <c r="J12" s="75"/>
      <c r="K12" s="75"/>
      <c r="L12" s="75"/>
      <c r="M12" s="76"/>
      <c r="N12" s="77"/>
      <c r="O12" s="81"/>
      <c r="P12" s="73"/>
      <c r="Q12" s="64"/>
      <c r="R12" s="73"/>
      <c r="S12" s="73"/>
      <c r="T12" s="80"/>
      <c r="U12" s="81"/>
      <c r="V12" s="73"/>
      <c r="W12" s="73"/>
      <c r="X12" s="73"/>
      <c r="Y12" s="64"/>
      <c r="Z12" s="64"/>
      <c r="AA12" s="64"/>
      <c r="AB12" s="80"/>
      <c r="AC12" s="69"/>
    </row>
    <row r="13" s="5" customFormat="1" ht="26" customHeight="1" spans="1:29">
      <c r="A13" s="63">
        <v>46302</v>
      </c>
      <c r="B13" s="73"/>
      <c r="C13" s="74"/>
      <c r="D13" s="75"/>
      <c r="E13" s="73"/>
      <c r="F13" s="74"/>
      <c r="G13" s="75"/>
      <c r="H13" s="75"/>
      <c r="I13" s="75"/>
      <c r="J13" s="75"/>
      <c r="K13" s="75"/>
      <c r="L13" s="75"/>
      <c r="M13" s="76"/>
      <c r="N13" s="77"/>
      <c r="O13" s="81"/>
      <c r="P13" s="73"/>
      <c r="Q13" s="73"/>
      <c r="R13" s="73"/>
      <c r="S13" s="73"/>
      <c r="T13" s="80"/>
      <c r="U13" s="81"/>
      <c r="V13" s="73"/>
      <c r="W13" s="73"/>
      <c r="X13" s="73"/>
      <c r="Y13" s="64"/>
      <c r="Z13" s="64"/>
      <c r="AA13" s="64"/>
      <c r="AB13" s="80"/>
      <c r="AC13" s="69"/>
    </row>
    <row r="14" s="5" customFormat="1" ht="26" customHeight="1" spans="1:29">
      <c r="A14" s="63">
        <v>46303</v>
      </c>
      <c r="B14" s="73"/>
      <c r="C14" s="74"/>
      <c r="D14" s="75"/>
      <c r="E14" s="73"/>
      <c r="F14" s="74"/>
      <c r="G14" s="75"/>
      <c r="H14" s="75"/>
      <c r="I14" s="75"/>
      <c r="J14" s="75"/>
      <c r="K14" s="75"/>
      <c r="L14" s="75"/>
      <c r="M14" s="76"/>
      <c r="N14" s="77"/>
      <c r="O14" s="81"/>
      <c r="P14" s="73"/>
      <c r="Q14" s="73"/>
      <c r="R14" s="73"/>
      <c r="S14" s="73"/>
      <c r="T14" s="80"/>
      <c r="U14" s="81"/>
      <c r="V14" s="73"/>
      <c r="W14" s="73"/>
      <c r="X14" s="73"/>
      <c r="Y14" s="64"/>
      <c r="Z14" s="64"/>
      <c r="AA14" s="64"/>
      <c r="AB14" s="80"/>
      <c r="AC14" s="69"/>
    </row>
    <row r="15" s="5" customFormat="1" ht="26" customHeight="1" spans="1:29">
      <c r="A15" s="63">
        <v>46304</v>
      </c>
      <c r="B15" s="73"/>
      <c r="C15" s="74"/>
      <c r="D15" s="75"/>
      <c r="E15" s="73"/>
      <c r="F15" s="74"/>
      <c r="G15" s="75"/>
      <c r="H15" s="75"/>
      <c r="I15" s="75"/>
      <c r="J15" s="75"/>
      <c r="K15" s="75"/>
      <c r="L15" s="75"/>
      <c r="M15" s="76"/>
      <c r="N15" s="77"/>
      <c r="O15" s="81"/>
      <c r="P15" s="73"/>
      <c r="Q15" s="73"/>
      <c r="R15" s="73"/>
      <c r="S15" s="73"/>
      <c r="T15" s="80"/>
      <c r="U15" s="81"/>
      <c r="V15" s="73"/>
      <c r="W15" s="73"/>
      <c r="X15" s="73"/>
      <c r="Y15" s="64"/>
      <c r="Z15" s="64"/>
      <c r="AA15" s="64"/>
      <c r="AB15" s="80"/>
      <c r="AC15" s="69"/>
    </row>
    <row r="16" s="5" customFormat="1" ht="26" customHeight="1" spans="1:29">
      <c r="A16" s="63">
        <v>46305</v>
      </c>
      <c r="B16" s="73"/>
      <c r="C16" s="74"/>
      <c r="D16" s="75"/>
      <c r="E16" s="73"/>
      <c r="F16" s="74"/>
      <c r="G16" s="75"/>
      <c r="H16" s="75"/>
      <c r="I16" s="75"/>
      <c r="J16" s="75"/>
      <c r="K16" s="75"/>
      <c r="L16" s="75"/>
      <c r="M16" s="76"/>
      <c r="N16" s="77"/>
      <c r="O16" s="81"/>
      <c r="P16" s="73"/>
      <c r="Q16" s="73"/>
      <c r="R16" s="73"/>
      <c r="S16" s="73"/>
      <c r="T16" s="80"/>
      <c r="U16" s="81"/>
      <c r="V16" s="73"/>
      <c r="W16" s="73"/>
      <c r="X16" s="73"/>
      <c r="Y16" s="64"/>
      <c r="Z16" s="64"/>
      <c r="AA16" s="64"/>
      <c r="AB16" s="80"/>
      <c r="AC16" s="69"/>
    </row>
    <row r="17" s="5" customFormat="1" ht="26" customHeight="1" spans="1:29">
      <c r="A17" s="63">
        <v>46306</v>
      </c>
      <c r="B17" s="73"/>
      <c r="C17" s="74"/>
      <c r="D17" s="75"/>
      <c r="E17" s="73"/>
      <c r="F17" s="74"/>
      <c r="G17" s="75"/>
      <c r="H17" s="75"/>
      <c r="I17" s="75"/>
      <c r="J17" s="75"/>
      <c r="K17" s="75"/>
      <c r="L17" s="75"/>
      <c r="M17" s="76"/>
      <c r="N17" s="77"/>
      <c r="O17" s="81"/>
      <c r="P17" s="73"/>
      <c r="Q17" s="73"/>
      <c r="R17" s="73"/>
      <c r="S17" s="73"/>
      <c r="T17" s="80"/>
      <c r="U17" s="81"/>
      <c r="V17" s="73"/>
      <c r="W17" s="73"/>
      <c r="X17" s="73"/>
      <c r="Y17" s="64"/>
      <c r="Z17" s="64"/>
      <c r="AA17" s="64"/>
      <c r="AB17" s="80"/>
      <c r="AC17" s="69"/>
    </row>
    <row r="18" s="5" customFormat="1" ht="26" customHeight="1" spans="1:29">
      <c r="A18" s="63">
        <v>46307</v>
      </c>
      <c r="B18" s="73"/>
      <c r="C18" s="74"/>
      <c r="D18" s="75"/>
      <c r="E18" s="73"/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/>
      <c r="V18" s="73"/>
      <c r="W18" s="73"/>
      <c r="X18" s="73"/>
      <c r="Y18" s="64"/>
      <c r="Z18" s="64"/>
      <c r="AA18" s="64"/>
      <c r="AB18" s="80"/>
      <c r="AC18" s="69"/>
    </row>
    <row r="19" s="5" customFormat="1" ht="26" customHeight="1" spans="1:29">
      <c r="A19" s="63">
        <v>46308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46309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46310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46311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46312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46313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46314</v>
      </c>
      <c r="B25" s="73"/>
      <c r="C25" s="74"/>
      <c r="D25" s="75"/>
      <c r="E25" s="73"/>
      <c r="F25" s="74"/>
      <c r="G25" s="75"/>
      <c r="H25" s="75"/>
      <c r="I25" s="75"/>
      <c r="J25" s="75"/>
      <c r="K25" s="75"/>
      <c r="L25" s="75"/>
      <c r="M25" s="76"/>
      <c r="N25" s="77"/>
      <c r="O25" s="81"/>
      <c r="P25" s="73"/>
      <c r="Q25" s="73"/>
      <c r="R25" s="84"/>
      <c r="S25" s="85"/>
      <c r="T25" s="80"/>
      <c r="U25" s="81"/>
      <c r="V25" s="73"/>
      <c r="W25" s="73"/>
      <c r="X25" s="73"/>
      <c r="Y25" s="64"/>
      <c r="Z25" s="64"/>
      <c r="AA25" s="64"/>
      <c r="AB25" s="80"/>
      <c r="AC25" s="69"/>
    </row>
    <row r="26" s="5" customFormat="1" ht="26" customHeight="1" spans="1:29">
      <c r="A26" s="63">
        <v>46315</v>
      </c>
      <c r="B26" s="73"/>
      <c r="C26" s="74"/>
      <c r="D26" s="75"/>
      <c r="E26" s="73"/>
      <c r="F26" s="74"/>
      <c r="G26" s="75"/>
      <c r="H26" s="75"/>
      <c r="I26" s="75"/>
      <c r="J26" s="75"/>
      <c r="K26" s="79"/>
      <c r="L26" s="75"/>
      <c r="M26" s="76"/>
      <c r="N26" s="77"/>
      <c r="O26" s="81"/>
      <c r="P26" s="73"/>
      <c r="Q26" s="73"/>
      <c r="R26" s="73"/>
      <c r="S26" s="73"/>
      <c r="T26" s="80"/>
      <c r="U26" s="81"/>
      <c r="V26" s="73"/>
      <c r="W26" s="73"/>
      <c r="X26" s="73"/>
      <c r="Y26" s="64"/>
      <c r="Z26" s="64"/>
      <c r="AA26" s="64"/>
      <c r="AB26" s="80"/>
      <c r="AC26" s="69"/>
    </row>
    <row r="27" s="5" customFormat="1" ht="26" customHeight="1" spans="1:29">
      <c r="A27" s="63">
        <v>46316</v>
      </c>
      <c r="B27" s="73"/>
      <c r="C27" s="74"/>
      <c r="D27" s="75"/>
      <c r="E27" s="73"/>
      <c r="F27" s="74"/>
      <c r="G27" s="75"/>
      <c r="H27" s="75"/>
      <c r="I27" s="75"/>
      <c r="J27" s="75"/>
      <c r="K27" s="75"/>
      <c r="L27" s="75"/>
      <c r="M27" s="76"/>
      <c r="N27" s="77"/>
      <c r="O27" s="81"/>
      <c r="P27" s="73"/>
      <c r="Q27" s="73"/>
      <c r="R27" s="73"/>
      <c r="S27" s="73"/>
      <c r="T27" s="80"/>
      <c r="U27" s="81"/>
      <c r="V27" s="73"/>
      <c r="W27" s="73"/>
      <c r="X27" s="73"/>
      <c r="Y27" s="64"/>
      <c r="Z27" s="64"/>
      <c r="AA27" s="64"/>
      <c r="AB27" s="80"/>
      <c r="AC27" s="69"/>
    </row>
    <row r="28" s="5" customFormat="1" ht="26" customHeight="1" spans="1:29">
      <c r="A28" s="63">
        <v>46317</v>
      </c>
      <c r="B28" s="73"/>
      <c r="C28" s="74"/>
      <c r="D28" s="75"/>
      <c r="E28" s="73"/>
      <c r="F28" s="74"/>
      <c r="G28" s="75"/>
      <c r="H28" s="75"/>
      <c r="I28" s="75"/>
      <c r="J28" s="75"/>
      <c r="K28" s="75"/>
      <c r="L28" s="75"/>
      <c r="M28" s="76"/>
      <c r="N28" s="77"/>
      <c r="O28" s="81"/>
      <c r="P28" s="73"/>
      <c r="Q28" s="73"/>
      <c r="R28" s="73"/>
      <c r="S28" s="73"/>
      <c r="T28" s="80"/>
      <c r="U28" s="81"/>
      <c r="V28" s="73"/>
      <c r="W28" s="73"/>
      <c r="X28" s="73"/>
      <c r="Y28" s="64"/>
      <c r="Z28" s="64"/>
      <c r="AA28" s="64"/>
      <c r="AB28" s="80"/>
      <c r="AC28" s="69"/>
    </row>
    <row r="29" s="5" customFormat="1" ht="26" customHeight="1" spans="1:29">
      <c r="A29" s="63">
        <v>46318</v>
      </c>
      <c r="B29" s="73"/>
      <c r="C29" s="74"/>
      <c r="D29" s="75"/>
      <c r="E29" s="73"/>
      <c r="F29" s="74"/>
      <c r="G29" s="75"/>
      <c r="H29" s="75"/>
      <c r="I29" s="75"/>
      <c r="J29" s="75"/>
      <c r="K29" s="75"/>
      <c r="L29" s="75"/>
      <c r="M29" s="76"/>
      <c r="N29" s="77"/>
      <c r="O29" s="81"/>
      <c r="P29" s="73"/>
      <c r="Q29" s="73"/>
      <c r="R29" s="73"/>
      <c r="S29" s="73"/>
      <c r="T29" s="80"/>
      <c r="U29" s="81"/>
      <c r="V29" s="73"/>
      <c r="W29" s="73"/>
      <c r="X29" s="73"/>
      <c r="Y29" s="64"/>
      <c r="Z29" s="64"/>
      <c r="AA29" s="64"/>
      <c r="AB29" s="80"/>
      <c r="AC29" s="69"/>
    </row>
    <row r="30" s="5" customFormat="1" ht="26" customHeight="1" spans="1:29">
      <c r="A30" s="63">
        <v>46319</v>
      </c>
      <c r="B30" s="73"/>
      <c r="C30" s="74"/>
      <c r="D30" s="75"/>
      <c r="E30" s="73"/>
      <c r="F30" s="74"/>
      <c r="G30" s="75"/>
      <c r="H30" s="75"/>
      <c r="I30" s="75"/>
      <c r="J30" s="75"/>
      <c r="K30" s="75"/>
      <c r="L30" s="75"/>
      <c r="M30" s="76"/>
      <c r="N30" s="77"/>
      <c r="O30" s="81"/>
      <c r="P30" s="73"/>
      <c r="Q30" s="73"/>
      <c r="R30" s="73"/>
      <c r="S30" s="73"/>
      <c r="T30" s="80"/>
      <c r="U30" s="81"/>
      <c r="V30" s="73"/>
      <c r="W30" s="73"/>
      <c r="X30" s="73"/>
      <c r="Y30" s="64"/>
      <c r="Z30" s="64"/>
      <c r="AA30" s="64"/>
      <c r="AB30" s="80"/>
      <c r="AC30" s="69"/>
    </row>
    <row r="31" s="5" customFormat="1" ht="26" customHeight="1" spans="1:29">
      <c r="A31" s="63">
        <v>46320</v>
      </c>
      <c r="B31" s="73"/>
      <c r="C31" s="74"/>
      <c r="D31" s="75"/>
      <c r="E31" s="73"/>
      <c r="F31" s="74"/>
      <c r="G31" s="75"/>
      <c r="H31" s="75"/>
      <c r="I31" s="75"/>
      <c r="J31" s="75"/>
      <c r="K31" s="75"/>
      <c r="L31" s="75"/>
      <c r="M31" s="76"/>
      <c r="N31" s="77"/>
      <c r="O31" s="81"/>
      <c r="P31" s="73"/>
      <c r="Q31" s="73"/>
      <c r="R31" s="73"/>
      <c r="S31" s="73"/>
      <c r="T31" s="80"/>
      <c r="U31" s="81"/>
      <c r="V31" s="73"/>
      <c r="W31" s="73"/>
      <c r="X31" s="73"/>
      <c r="Y31" s="64"/>
      <c r="Z31" s="64"/>
      <c r="AA31" s="64"/>
      <c r="AB31" s="80"/>
      <c r="AC31" s="69"/>
    </row>
    <row r="32" s="5" customFormat="1" ht="26" customHeight="1" spans="1:29">
      <c r="A32" s="63">
        <v>46321</v>
      </c>
      <c r="B32" s="73"/>
      <c r="C32" s="74"/>
      <c r="D32" s="75"/>
      <c r="E32" s="73"/>
      <c r="F32" s="74"/>
      <c r="G32" s="75"/>
      <c r="H32" s="75"/>
      <c r="I32" s="75"/>
      <c r="J32" s="75"/>
      <c r="K32" s="75"/>
      <c r="L32" s="75"/>
      <c r="M32" s="76"/>
      <c r="N32" s="77"/>
      <c r="O32" s="81"/>
      <c r="P32" s="73"/>
      <c r="Q32" s="73"/>
      <c r="R32" s="73"/>
      <c r="S32" s="73"/>
      <c r="T32" s="80"/>
      <c r="U32" s="81"/>
      <c r="V32" s="73"/>
      <c r="W32" s="73"/>
      <c r="X32" s="73"/>
      <c r="Y32" s="64"/>
      <c r="Z32" s="64"/>
      <c r="AA32" s="64"/>
      <c r="AB32" s="80"/>
      <c r="AC32" s="69"/>
    </row>
    <row r="33" s="5" customFormat="1" ht="26" customHeight="1" spans="1:29">
      <c r="A33" s="63">
        <v>46322</v>
      </c>
      <c r="B33" s="73"/>
      <c r="C33" s="74"/>
      <c r="D33" s="75"/>
      <c r="E33" s="73"/>
      <c r="F33" s="74"/>
      <c r="G33" s="75"/>
      <c r="H33" s="75"/>
      <c r="I33" s="75"/>
      <c r="J33" s="75"/>
      <c r="K33" s="75"/>
      <c r="L33" s="75"/>
      <c r="M33" s="76"/>
      <c r="N33" s="77"/>
      <c r="O33" s="81"/>
      <c r="P33" s="73"/>
      <c r="Q33" s="73"/>
      <c r="R33" s="73"/>
      <c r="S33" s="73"/>
      <c r="T33" s="80"/>
      <c r="U33" s="81"/>
      <c r="V33" s="73"/>
      <c r="W33" s="73"/>
      <c r="X33" s="73"/>
      <c r="Y33" s="64"/>
      <c r="Z33" s="64"/>
      <c r="AA33" s="64"/>
      <c r="AB33" s="80"/>
      <c r="AC33" s="69"/>
    </row>
    <row r="34" s="5" customFormat="1" ht="26" customHeight="1" spans="1:29">
      <c r="A34" s="63">
        <v>46323</v>
      </c>
      <c r="B34" s="73"/>
      <c r="C34" s="74"/>
      <c r="D34" s="75"/>
      <c r="E34" s="73"/>
      <c r="F34" s="74"/>
      <c r="G34" s="75"/>
      <c r="H34" s="75"/>
      <c r="I34" s="75"/>
      <c r="J34" s="75"/>
      <c r="K34" s="73"/>
      <c r="L34" s="75"/>
      <c r="M34" s="76"/>
      <c r="N34" s="77"/>
      <c r="O34" s="81"/>
      <c r="P34" s="73"/>
      <c r="Q34" s="73"/>
      <c r="R34" s="73"/>
      <c r="S34" s="73"/>
      <c r="T34" s="80"/>
      <c r="U34" s="81"/>
      <c r="V34" s="73"/>
      <c r="W34" s="73"/>
      <c r="X34" s="73"/>
      <c r="Y34" s="64"/>
      <c r="Z34" s="64"/>
      <c r="AA34" s="64"/>
      <c r="AB34" s="80"/>
      <c r="AC34" s="69"/>
    </row>
    <row r="35" s="5" customFormat="1" ht="26" customHeight="1" spans="1:29">
      <c r="A35" s="63">
        <v>46324</v>
      </c>
      <c r="B35" s="73"/>
      <c r="C35" s="74"/>
      <c r="D35" s="75"/>
      <c r="E35" s="86"/>
      <c r="F35" s="74"/>
      <c r="G35" s="75"/>
      <c r="H35" s="75"/>
      <c r="I35" s="75"/>
      <c r="J35" s="75"/>
      <c r="K35" s="86"/>
      <c r="L35" s="75"/>
      <c r="M35" s="76"/>
      <c r="N35" s="77"/>
      <c r="O35" s="81"/>
      <c r="P35" s="73"/>
      <c r="Q35" s="73"/>
      <c r="R35" s="73"/>
      <c r="S35" s="73"/>
      <c r="T35" s="80"/>
      <c r="U35" s="81"/>
      <c r="V35" s="73"/>
      <c r="W35" s="73"/>
      <c r="X35" s="73"/>
      <c r="Y35" s="64"/>
      <c r="Z35" s="64"/>
      <c r="AA35" s="64"/>
      <c r="AB35" s="80"/>
      <c r="AC35" s="69"/>
    </row>
    <row r="36" s="5" customFormat="1" ht="26" customHeight="1" spans="1:29">
      <c r="A36" s="63">
        <v>46325</v>
      </c>
      <c r="B36" s="73"/>
      <c r="C36" s="74"/>
      <c r="D36" s="75"/>
      <c r="E36" s="73"/>
      <c r="F36" s="74"/>
      <c r="G36" s="75"/>
      <c r="H36" s="75"/>
      <c r="I36" s="75"/>
      <c r="J36" s="75"/>
      <c r="K36" s="73"/>
      <c r="L36" s="75"/>
      <c r="M36" s="76"/>
      <c r="N36" s="77"/>
      <c r="O36" s="81"/>
      <c r="P36" s="73"/>
      <c r="Q36" s="73"/>
      <c r="R36" s="73"/>
      <c r="S36" s="73"/>
      <c r="T36" s="80"/>
      <c r="U36" s="81"/>
      <c r="V36" s="73"/>
      <c r="W36" s="73"/>
      <c r="X36" s="73"/>
      <c r="Y36" s="64"/>
      <c r="Z36" s="64"/>
      <c r="AA36" s="64"/>
      <c r="AB36" s="80"/>
      <c r="AC36" s="69"/>
    </row>
    <row r="37" s="5" customFormat="1" ht="26" customHeight="1" spans="1:29">
      <c r="A37" s="63">
        <v>46326</v>
      </c>
      <c r="B37" s="73"/>
      <c r="C37" s="74"/>
      <c r="D37" s="75"/>
      <c r="E37" s="73"/>
      <c r="F37" s="74"/>
      <c r="G37" s="75"/>
      <c r="H37" s="75"/>
      <c r="I37" s="75"/>
      <c r="J37" s="75"/>
      <c r="K37" s="73"/>
      <c r="L37" s="75"/>
      <c r="M37" s="76"/>
      <c r="N37" s="77"/>
      <c r="O37" s="81"/>
      <c r="P37" s="73"/>
      <c r="Q37" s="73"/>
      <c r="R37" s="73"/>
      <c r="S37" s="73"/>
      <c r="T37" s="80"/>
      <c r="U37" s="81"/>
      <c r="V37" s="73"/>
      <c r="W37" s="73"/>
      <c r="X37" s="73"/>
      <c r="Y37" s="64"/>
      <c r="Z37" s="64"/>
      <c r="AA37" s="64"/>
      <c r="AB37" s="80"/>
      <c r="AC37" s="69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87"/>
      <c r="B44" s="88"/>
      <c r="C44" s="89"/>
      <c r="D44" s="90"/>
      <c r="E44" s="88"/>
      <c r="F44" s="89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87"/>
      <c r="B45" s="88"/>
      <c r="C45" s="89"/>
      <c r="D45" s="90"/>
      <c r="E45" s="88"/>
      <c r="F45" s="89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87"/>
      <c r="B46" s="88"/>
      <c r="C46" s="89"/>
      <c r="D46" s="90"/>
      <c r="E46" s="88"/>
      <c r="F46" s="89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</row>
    <row r="49" s="1" customFormat="1" spans="1:2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  <c r="AC49" s="1">
        <v>119</v>
      </c>
    </row>
    <row r="50" s="1" customFormat="1" spans="1:2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2"/>
      <c r="N50" s="91"/>
      <c r="AC50" s="1">
        <v>87</v>
      </c>
    </row>
    <row r="51" s="1" customFormat="1" spans="1:2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2"/>
      <c r="N51" s="91"/>
      <c r="AC51" s="1">
        <v>69</v>
      </c>
    </row>
    <row r="52" s="1" customFormat="1" spans="1:29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2"/>
      <c r="N52" s="91"/>
      <c r="AC52" s="1">
        <v>104</v>
      </c>
    </row>
    <row r="53" s="1" customFormat="1" spans="1:29">
      <c r="M53" s="6"/>
      <c r="AC53" s="1">
        <v>106</v>
      </c>
    </row>
    <row r="54" s="1" customFormat="1" spans="1:29">
      <c r="M54" s="6"/>
      <c r="AC54" s="1">
        <v>105</v>
      </c>
    </row>
  </sheetData>
  <mergeCells count="13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3"/>
  <sheetViews>
    <sheetView topLeftCell="A34" workbookViewId="0">
      <selection activeCell="A37" sqref="$A37:$XFD37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16384" width="9.025" style="1"/>
  </cols>
  <sheetData>
    <row r="1" s="1" customFormat="1" ht="33" customHeight="1" spans="1: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29">
      <c r="A2" s="9" t="s">
        <v>1</v>
      </c>
      <c r="B2" s="10">
        <f>N6-(N6*0.07)</f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0</v>
      </c>
      <c r="U2" s="10" t="s">
        <v>4</v>
      </c>
      <c r="V2" s="12"/>
      <c r="W2" s="15">
        <f>Q2+T2-Z2</f>
        <v>0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29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0</v>
      </c>
      <c r="T3" s="25" t="e">
        <f>SUM(O5:T5)</f>
        <v>#DIV/0!</v>
      </c>
      <c r="U3" s="26" t="s">
        <v>10</v>
      </c>
      <c r="V3" s="27"/>
      <c r="W3" s="27"/>
      <c r="X3" s="27"/>
      <c r="Y3" s="27"/>
      <c r="Z3" s="28"/>
      <c r="AA3" s="29">
        <f>SUM(U6:AB6)</f>
        <v>0</v>
      </c>
      <c r="AB3" s="30" t="e">
        <f>SUM(U5:AB5)</f>
        <v>#DIV/0!</v>
      </c>
      <c r="AC3" s="31" t="s">
        <v>11</v>
      </c>
    </row>
    <row r="4" s="4" customFormat="1" ht="26" customHeight="1" spans="1:29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</row>
    <row r="5" s="3" customFormat="1" ht="26" customHeight="1" spans="1:29">
      <c r="A5" s="45"/>
      <c r="B5" s="46" t="e">
        <f>B6/$N$6</f>
        <v>#DIV/0!</v>
      </c>
      <c r="C5" s="46"/>
      <c r="D5" s="46"/>
      <c r="E5" s="46" t="e">
        <f>E6/$N$6</f>
        <v>#DIV/0!</v>
      </c>
      <c r="F5" s="46"/>
      <c r="G5" s="46"/>
      <c r="H5" s="46" t="e">
        <f t="shared" ref="H5:M5" si="0">H6/$N$6</f>
        <v>#DIV/0!</v>
      </c>
      <c r="I5" s="46"/>
      <c r="J5" s="46"/>
      <c r="K5" s="46" t="e">
        <f t="shared" si="0"/>
        <v>#DIV/0!</v>
      </c>
      <c r="L5" s="46" t="e">
        <f t="shared" si="0"/>
        <v>#DIV/0!</v>
      </c>
      <c r="M5" s="46" t="e">
        <f t="shared" si="0"/>
        <v>#DIV/0!</v>
      </c>
      <c r="N5" s="35"/>
      <c r="O5" s="47" t="e">
        <f t="shared" ref="O5:AB5" si="1">O6/$N$6</f>
        <v>#DIV/0!</v>
      </c>
      <c r="P5" s="48" t="e">
        <f t="shared" si="1"/>
        <v>#DIV/0!</v>
      </c>
      <c r="Q5" s="48" t="e">
        <f t="shared" si="1"/>
        <v>#DIV/0!</v>
      </c>
      <c r="R5" s="48" t="e">
        <f t="shared" si="1"/>
        <v>#DIV/0!</v>
      </c>
      <c r="S5" s="48" t="e">
        <f t="shared" si="1"/>
        <v>#DIV/0!</v>
      </c>
      <c r="T5" s="49" t="e">
        <f t="shared" si="1"/>
        <v>#DIV/0!</v>
      </c>
      <c r="U5" s="50" t="e">
        <f t="shared" si="1"/>
        <v>#DIV/0!</v>
      </c>
      <c r="V5" s="51" t="e">
        <f t="shared" si="1"/>
        <v>#DIV/0!</v>
      </c>
      <c r="W5" s="51" t="e">
        <f t="shared" si="1"/>
        <v>#DIV/0!</v>
      </c>
      <c r="X5" s="51" t="e">
        <f t="shared" si="1"/>
        <v>#DIV/0!</v>
      </c>
      <c r="Y5" s="51" t="e">
        <f t="shared" si="1"/>
        <v>#DIV/0!</v>
      </c>
      <c r="Z5" s="51" t="e">
        <f t="shared" si="1"/>
        <v>#DIV/0!</v>
      </c>
      <c r="AA5" s="51" t="e">
        <f t="shared" si="1"/>
        <v>#DIV/0!</v>
      </c>
      <c r="AB5" s="52" t="e">
        <f t="shared" si="1"/>
        <v>#DIV/0!</v>
      </c>
      <c r="AC5" s="53" t="e">
        <f>SUM(O5:AB5)</f>
        <v>#DIV/0!</v>
      </c>
    </row>
    <row r="6" s="5" customFormat="1" ht="26" customHeight="1" spans="1:29">
      <c r="A6" s="32" t="s">
        <v>35</v>
      </c>
      <c r="B6" s="54">
        <f>SUM(B7:B36)</f>
        <v>0</v>
      </c>
      <c r="C6" s="55">
        <f>SUM(C7:C36)</f>
        <v>0</v>
      </c>
      <c r="D6" s="54" t="e">
        <f>B6/C6</f>
        <v>#DIV/0!</v>
      </c>
      <c r="E6" s="54">
        <f>SUM(E7:E36)</f>
        <v>0</v>
      </c>
      <c r="F6" s="54">
        <f>SUM(F7:F36)</f>
        <v>0</v>
      </c>
      <c r="G6" s="54" t="e">
        <f>E6/F6</f>
        <v>#DIV/0!</v>
      </c>
      <c r="H6" s="54">
        <f>SUM(H7:H36)</f>
        <v>0</v>
      </c>
      <c r="I6" s="55">
        <f>SUM(I7:I36)</f>
        <v>0</v>
      </c>
      <c r="J6" s="54" t="e">
        <f>H6/I6</f>
        <v>#DIV/0!</v>
      </c>
      <c r="K6" s="54">
        <f>SUM(K7:K36)</f>
        <v>0</v>
      </c>
      <c r="L6" s="54">
        <f>SUM(L7:L36)</f>
        <v>0</v>
      </c>
      <c r="M6" s="54">
        <f>SUM(M7:M36)</f>
        <v>0</v>
      </c>
      <c r="N6" s="56">
        <f>B6+E6+H6+K6+L6-M6</f>
        <v>0</v>
      </c>
      <c r="O6" s="57">
        <f t="shared" ref="O6:AB6" si="2">SUM(O7:O36)</f>
        <v>0</v>
      </c>
      <c r="P6" s="58">
        <f t="shared" si="2"/>
        <v>0</v>
      </c>
      <c r="Q6" s="58">
        <f t="shared" si="2"/>
        <v>0</v>
      </c>
      <c r="R6" s="58">
        <f t="shared" si="2"/>
        <v>0</v>
      </c>
      <c r="S6" s="58">
        <f t="shared" si="2"/>
        <v>0</v>
      </c>
      <c r="T6" s="59">
        <f t="shared" si="2"/>
        <v>0</v>
      </c>
      <c r="U6" s="60">
        <f t="shared" si="2"/>
        <v>0</v>
      </c>
      <c r="V6" s="61">
        <f t="shared" si="2"/>
        <v>0</v>
      </c>
      <c r="W6" s="61">
        <f t="shared" si="2"/>
        <v>0</v>
      </c>
      <c r="X6" s="61">
        <f t="shared" si="2"/>
        <v>0</v>
      </c>
      <c r="Y6" s="61">
        <f t="shared" si="2"/>
        <v>0</v>
      </c>
      <c r="Z6" s="61">
        <f t="shared" si="2"/>
        <v>0</v>
      </c>
      <c r="AA6" s="61">
        <f t="shared" si="2"/>
        <v>0</v>
      </c>
      <c r="AB6" s="61">
        <f t="shared" si="2"/>
        <v>0</v>
      </c>
      <c r="AC6" s="62">
        <f>SUM(O6:AB6)</f>
        <v>0</v>
      </c>
    </row>
    <row r="7" s="5" customFormat="1" ht="26" customHeight="1" spans="1:29">
      <c r="A7" s="63">
        <v>46327</v>
      </c>
      <c r="B7" s="64"/>
      <c r="C7" s="64"/>
      <c r="D7" s="65"/>
      <c r="E7" s="64"/>
      <c r="F7" s="64"/>
      <c r="G7" s="65"/>
      <c r="H7" s="64"/>
      <c r="I7" s="64"/>
      <c r="J7" s="65"/>
      <c r="K7" s="64"/>
      <c r="L7" s="64"/>
      <c r="M7" s="66"/>
      <c r="N7" s="67"/>
      <c r="O7" s="68"/>
      <c r="P7" s="64"/>
      <c r="Q7" s="64"/>
      <c r="R7" s="64"/>
      <c r="S7" s="64"/>
      <c r="T7" s="67"/>
      <c r="U7" s="68"/>
      <c r="V7" s="64"/>
      <c r="W7" s="64"/>
      <c r="X7" s="64"/>
      <c r="Y7" s="64"/>
      <c r="Z7" s="64"/>
      <c r="AA7" s="64"/>
      <c r="AB7" s="67"/>
      <c r="AC7" s="69"/>
    </row>
    <row r="8" s="5" customFormat="1" ht="26" customHeight="1" spans="1:29">
      <c r="A8" s="63">
        <v>46328</v>
      </c>
      <c r="B8" s="64"/>
      <c r="C8" s="64"/>
      <c r="D8" s="65"/>
      <c r="E8" s="64"/>
      <c r="F8" s="64"/>
      <c r="G8" s="65"/>
      <c r="H8" s="64"/>
      <c r="I8" s="64"/>
      <c r="J8" s="65"/>
      <c r="K8" s="64"/>
      <c r="L8" s="64"/>
      <c r="M8" s="66"/>
      <c r="N8" s="67"/>
      <c r="O8" s="68"/>
      <c r="P8" s="64"/>
      <c r="Q8" s="64"/>
      <c r="R8" s="64"/>
      <c r="S8" s="64"/>
      <c r="T8" s="67"/>
      <c r="U8" s="68"/>
      <c r="V8" s="64"/>
      <c r="W8" s="64"/>
      <c r="X8" s="64"/>
      <c r="Y8" s="64"/>
      <c r="Z8" s="64"/>
      <c r="AA8" s="64"/>
      <c r="AB8" s="67"/>
      <c r="AC8" s="69"/>
    </row>
    <row r="9" s="5" customFormat="1" ht="26" customHeight="1" spans="1:29">
      <c r="A9" s="63">
        <v>46329</v>
      </c>
      <c r="B9" s="64"/>
      <c r="C9" s="64"/>
      <c r="D9" s="65"/>
      <c r="E9" s="64"/>
      <c r="F9" s="64"/>
      <c r="G9" s="70"/>
      <c r="H9" s="64"/>
      <c r="I9" s="64"/>
      <c r="J9" s="65"/>
      <c r="K9" s="64"/>
      <c r="L9" s="64"/>
      <c r="M9" s="66"/>
      <c r="N9" s="67"/>
      <c r="O9" s="68"/>
      <c r="P9" s="64"/>
      <c r="Q9" s="64"/>
      <c r="R9" s="71"/>
      <c r="S9" s="64"/>
      <c r="T9" s="64"/>
      <c r="U9" s="68"/>
      <c r="V9" s="64"/>
      <c r="W9" s="64"/>
      <c r="X9" s="72"/>
      <c r="Y9" s="64"/>
      <c r="Z9" s="64"/>
      <c r="AA9" s="64"/>
      <c r="AB9" s="67"/>
      <c r="AC9" s="69"/>
    </row>
    <row r="10" s="5" customFormat="1" ht="26" customHeight="1" spans="1:29">
      <c r="A10" s="63">
        <v>46330</v>
      </c>
      <c r="B10" s="64"/>
      <c r="C10" s="64"/>
      <c r="D10" s="70"/>
      <c r="E10" s="64"/>
      <c r="F10" s="64"/>
      <c r="G10" s="70"/>
      <c r="H10" s="64"/>
      <c r="I10" s="64"/>
      <c r="J10" s="70"/>
      <c r="K10" s="64"/>
      <c r="L10" s="64"/>
      <c r="M10" s="66"/>
      <c r="N10" s="67"/>
      <c r="O10" s="68"/>
      <c r="P10" s="64"/>
      <c r="Q10" s="64"/>
      <c r="R10" s="64"/>
      <c r="S10" s="64"/>
      <c r="T10" s="64"/>
      <c r="U10" s="68"/>
      <c r="V10" s="64"/>
      <c r="W10" s="64"/>
      <c r="X10" s="64"/>
      <c r="Y10" s="64"/>
      <c r="Z10" s="64"/>
      <c r="AA10" s="64"/>
      <c r="AB10" s="67"/>
      <c r="AC10" s="69"/>
    </row>
    <row r="11" s="5" customFormat="1" ht="26" customHeight="1" spans="1:29">
      <c r="A11" s="63">
        <v>46331</v>
      </c>
      <c r="B11" s="73"/>
      <c r="C11" s="74"/>
      <c r="D11" s="75"/>
      <c r="E11" s="73"/>
      <c r="F11" s="74"/>
      <c r="G11" s="75"/>
      <c r="H11" s="75"/>
      <c r="I11" s="75"/>
      <c r="J11" s="75"/>
      <c r="K11" s="75"/>
      <c r="L11" s="75"/>
      <c r="M11" s="76"/>
      <c r="N11" s="77"/>
      <c r="O11" s="78"/>
      <c r="P11" s="79"/>
      <c r="Q11" s="79"/>
      <c r="R11" s="73"/>
      <c r="S11" s="73"/>
      <c r="T11" s="80"/>
      <c r="U11" s="81"/>
      <c r="V11" s="73"/>
      <c r="W11" s="73"/>
      <c r="X11" s="73"/>
      <c r="Y11" s="64"/>
      <c r="Z11" s="64"/>
      <c r="AA11" s="64"/>
      <c r="AB11" s="80"/>
      <c r="AC11" s="69"/>
    </row>
    <row r="12" s="5" customFormat="1" ht="26" customHeight="1" spans="1:29">
      <c r="A12" s="63">
        <v>46332</v>
      </c>
      <c r="B12" s="73"/>
      <c r="C12" s="74"/>
      <c r="D12" s="75"/>
      <c r="E12" s="73"/>
      <c r="F12" s="74"/>
      <c r="G12" s="75"/>
      <c r="H12" s="75"/>
      <c r="I12" s="75"/>
      <c r="J12" s="75"/>
      <c r="K12" s="75"/>
      <c r="L12" s="75"/>
      <c r="M12" s="76"/>
      <c r="N12" s="77"/>
      <c r="O12" s="81"/>
      <c r="P12" s="73"/>
      <c r="Q12" s="64"/>
      <c r="R12" s="73"/>
      <c r="S12" s="73"/>
      <c r="T12" s="80"/>
      <c r="U12" s="81"/>
      <c r="V12" s="73"/>
      <c r="W12" s="73"/>
      <c r="X12" s="73"/>
      <c r="Y12" s="64"/>
      <c r="Z12" s="64"/>
      <c r="AA12" s="64"/>
      <c r="AB12" s="80"/>
      <c r="AC12" s="69"/>
    </row>
    <row r="13" s="5" customFormat="1" ht="26" customHeight="1" spans="1:29">
      <c r="A13" s="63">
        <v>46333</v>
      </c>
      <c r="B13" s="73"/>
      <c r="C13" s="74"/>
      <c r="D13" s="75"/>
      <c r="E13" s="73"/>
      <c r="F13" s="74"/>
      <c r="G13" s="75"/>
      <c r="H13" s="75"/>
      <c r="I13" s="75"/>
      <c r="J13" s="75"/>
      <c r="K13" s="75"/>
      <c r="L13" s="75"/>
      <c r="M13" s="76"/>
      <c r="N13" s="77"/>
      <c r="O13" s="81"/>
      <c r="P13" s="73"/>
      <c r="Q13" s="73"/>
      <c r="R13" s="73"/>
      <c r="S13" s="73"/>
      <c r="T13" s="80"/>
      <c r="U13" s="81"/>
      <c r="V13" s="73"/>
      <c r="W13" s="73"/>
      <c r="X13" s="73"/>
      <c r="Y13" s="64"/>
      <c r="Z13" s="64"/>
      <c r="AA13" s="64"/>
      <c r="AB13" s="80"/>
      <c r="AC13" s="69"/>
    </row>
    <row r="14" s="5" customFormat="1" ht="26" customHeight="1" spans="1:29">
      <c r="A14" s="63">
        <v>46334</v>
      </c>
      <c r="B14" s="73"/>
      <c r="C14" s="74"/>
      <c r="D14" s="75"/>
      <c r="E14" s="73"/>
      <c r="F14" s="74"/>
      <c r="G14" s="75"/>
      <c r="H14" s="75"/>
      <c r="I14" s="75"/>
      <c r="J14" s="75"/>
      <c r="K14" s="75"/>
      <c r="L14" s="75"/>
      <c r="M14" s="76"/>
      <c r="N14" s="77"/>
      <c r="O14" s="81"/>
      <c r="P14" s="73"/>
      <c r="Q14" s="73"/>
      <c r="R14" s="73"/>
      <c r="S14" s="73"/>
      <c r="T14" s="80"/>
      <c r="U14" s="81"/>
      <c r="V14" s="73"/>
      <c r="W14" s="73"/>
      <c r="X14" s="73"/>
      <c r="Y14" s="64"/>
      <c r="Z14" s="64"/>
      <c r="AA14" s="64"/>
      <c r="AB14" s="80"/>
      <c r="AC14" s="69"/>
    </row>
    <row r="15" s="5" customFormat="1" ht="26" customHeight="1" spans="1:29">
      <c r="A15" s="63">
        <v>46335</v>
      </c>
      <c r="B15" s="73"/>
      <c r="C15" s="74"/>
      <c r="D15" s="75"/>
      <c r="E15" s="73"/>
      <c r="F15" s="74"/>
      <c r="G15" s="75"/>
      <c r="H15" s="75"/>
      <c r="I15" s="75"/>
      <c r="J15" s="75"/>
      <c r="K15" s="75"/>
      <c r="L15" s="75"/>
      <c r="M15" s="76"/>
      <c r="N15" s="77"/>
      <c r="O15" s="81"/>
      <c r="P15" s="73"/>
      <c r="Q15" s="73"/>
      <c r="R15" s="73"/>
      <c r="S15" s="73"/>
      <c r="T15" s="80"/>
      <c r="U15" s="81"/>
      <c r="V15" s="73"/>
      <c r="W15" s="73"/>
      <c r="X15" s="73"/>
      <c r="Y15" s="64"/>
      <c r="Z15" s="64"/>
      <c r="AA15" s="64"/>
      <c r="AB15" s="80"/>
      <c r="AC15" s="69"/>
    </row>
    <row r="16" s="5" customFormat="1" ht="26" customHeight="1" spans="1:29">
      <c r="A16" s="63">
        <v>46336</v>
      </c>
      <c r="B16" s="73"/>
      <c r="C16" s="74"/>
      <c r="D16" s="75"/>
      <c r="E16" s="73"/>
      <c r="F16" s="74"/>
      <c r="G16" s="75"/>
      <c r="H16" s="75"/>
      <c r="I16" s="75"/>
      <c r="J16" s="75"/>
      <c r="K16" s="75"/>
      <c r="L16" s="75"/>
      <c r="M16" s="76"/>
      <c r="N16" s="77"/>
      <c r="O16" s="81"/>
      <c r="P16" s="73"/>
      <c r="Q16" s="73"/>
      <c r="R16" s="73"/>
      <c r="S16" s="73"/>
      <c r="T16" s="80"/>
      <c r="U16" s="81"/>
      <c r="V16" s="73"/>
      <c r="W16" s="73"/>
      <c r="X16" s="73"/>
      <c r="Y16" s="64"/>
      <c r="Z16" s="64"/>
      <c r="AA16" s="64"/>
      <c r="AB16" s="80"/>
      <c r="AC16" s="69"/>
    </row>
    <row r="17" s="5" customFormat="1" ht="26" customHeight="1" spans="1:29">
      <c r="A17" s="63">
        <v>46337</v>
      </c>
      <c r="B17" s="73"/>
      <c r="C17" s="74"/>
      <c r="D17" s="75"/>
      <c r="E17" s="73"/>
      <c r="F17" s="74"/>
      <c r="G17" s="75"/>
      <c r="H17" s="75"/>
      <c r="I17" s="75"/>
      <c r="J17" s="75"/>
      <c r="K17" s="75"/>
      <c r="L17" s="75"/>
      <c r="M17" s="76"/>
      <c r="N17" s="77"/>
      <c r="O17" s="81"/>
      <c r="P17" s="73"/>
      <c r="Q17" s="73"/>
      <c r="R17" s="73"/>
      <c r="S17" s="73"/>
      <c r="T17" s="80"/>
      <c r="U17" s="81"/>
      <c r="V17" s="73"/>
      <c r="W17" s="73"/>
      <c r="X17" s="73"/>
      <c r="Y17" s="64"/>
      <c r="Z17" s="64"/>
      <c r="AA17" s="64"/>
      <c r="AB17" s="80"/>
      <c r="AC17" s="69"/>
    </row>
    <row r="18" s="5" customFormat="1" ht="26" customHeight="1" spans="1:29">
      <c r="A18" s="63">
        <v>46338</v>
      </c>
      <c r="B18" s="73"/>
      <c r="C18" s="74"/>
      <c r="D18" s="75"/>
      <c r="E18" s="73"/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/>
      <c r="V18" s="73"/>
      <c r="W18" s="73"/>
      <c r="X18" s="73"/>
      <c r="Y18" s="64"/>
      <c r="Z18" s="64"/>
      <c r="AA18" s="64"/>
      <c r="AB18" s="80"/>
      <c r="AC18" s="69"/>
    </row>
    <row r="19" s="5" customFormat="1" ht="26" customHeight="1" spans="1:29">
      <c r="A19" s="63">
        <v>46339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46340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46341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46342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46343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46344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46345</v>
      </c>
      <c r="B25" s="73"/>
      <c r="C25" s="74"/>
      <c r="D25" s="75"/>
      <c r="E25" s="73"/>
      <c r="F25" s="74"/>
      <c r="G25" s="75"/>
      <c r="H25" s="75"/>
      <c r="I25" s="75"/>
      <c r="J25" s="75"/>
      <c r="K25" s="75"/>
      <c r="L25" s="75"/>
      <c r="M25" s="76"/>
      <c r="N25" s="77"/>
      <c r="O25" s="81"/>
      <c r="P25" s="73"/>
      <c r="Q25" s="73"/>
      <c r="R25" s="84"/>
      <c r="S25" s="85"/>
      <c r="T25" s="80"/>
      <c r="U25" s="81"/>
      <c r="V25" s="73"/>
      <c r="W25" s="73"/>
      <c r="X25" s="73"/>
      <c r="Y25" s="64"/>
      <c r="Z25" s="64"/>
      <c r="AA25" s="64"/>
      <c r="AB25" s="80"/>
      <c r="AC25" s="69"/>
    </row>
    <row r="26" s="5" customFormat="1" ht="26" customHeight="1" spans="1:29">
      <c r="A26" s="63">
        <v>46346</v>
      </c>
      <c r="B26" s="73"/>
      <c r="C26" s="74"/>
      <c r="D26" s="75"/>
      <c r="E26" s="73"/>
      <c r="F26" s="74"/>
      <c r="G26" s="75"/>
      <c r="H26" s="75"/>
      <c r="I26" s="75"/>
      <c r="J26" s="75"/>
      <c r="K26" s="79"/>
      <c r="L26" s="75"/>
      <c r="M26" s="76"/>
      <c r="N26" s="77"/>
      <c r="O26" s="81"/>
      <c r="P26" s="73"/>
      <c r="Q26" s="73"/>
      <c r="R26" s="73"/>
      <c r="S26" s="73"/>
      <c r="T26" s="80"/>
      <c r="U26" s="81"/>
      <c r="V26" s="73"/>
      <c r="W26" s="73"/>
      <c r="X26" s="73"/>
      <c r="Y26" s="64"/>
      <c r="Z26" s="64"/>
      <c r="AA26" s="64"/>
      <c r="AB26" s="80"/>
      <c r="AC26" s="69"/>
    </row>
    <row r="27" s="5" customFormat="1" ht="26" customHeight="1" spans="1:29">
      <c r="A27" s="63">
        <v>46347</v>
      </c>
      <c r="B27" s="73"/>
      <c r="C27" s="74"/>
      <c r="D27" s="75"/>
      <c r="E27" s="73"/>
      <c r="F27" s="74"/>
      <c r="G27" s="75"/>
      <c r="H27" s="75"/>
      <c r="I27" s="75"/>
      <c r="J27" s="75"/>
      <c r="K27" s="75"/>
      <c r="L27" s="75"/>
      <c r="M27" s="76"/>
      <c r="N27" s="77"/>
      <c r="O27" s="81"/>
      <c r="P27" s="73"/>
      <c r="Q27" s="73"/>
      <c r="R27" s="73"/>
      <c r="S27" s="73"/>
      <c r="T27" s="80"/>
      <c r="U27" s="81"/>
      <c r="V27" s="73"/>
      <c r="W27" s="73"/>
      <c r="X27" s="73"/>
      <c r="Y27" s="64"/>
      <c r="Z27" s="64"/>
      <c r="AA27" s="64"/>
      <c r="AB27" s="80"/>
      <c r="AC27" s="69"/>
    </row>
    <row r="28" s="5" customFormat="1" ht="26" customHeight="1" spans="1:29">
      <c r="A28" s="63">
        <v>46348</v>
      </c>
      <c r="B28" s="73"/>
      <c r="C28" s="74"/>
      <c r="D28" s="75"/>
      <c r="E28" s="73"/>
      <c r="F28" s="74"/>
      <c r="G28" s="75"/>
      <c r="H28" s="75"/>
      <c r="I28" s="75"/>
      <c r="J28" s="75"/>
      <c r="K28" s="75"/>
      <c r="L28" s="75"/>
      <c r="M28" s="76"/>
      <c r="N28" s="77"/>
      <c r="O28" s="81"/>
      <c r="P28" s="73"/>
      <c r="Q28" s="73"/>
      <c r="R28" s="73"/>
      <c r="S28" s="73"/>
      <c r="T28" s="80"/>
      <c r="U28" s="81"/>
      <c r="V28" s="73"/>
      <c r="W28" s="73"/>
      <c r="X28" s="73"/>
      <c r="Y28" s="64"/>
      <c r="Z28" s="64"/>
      <c r="AA28" s="64"/>
      <c r="AB28" s="80"/>
      <c r="AC28" s="69"/>
    </row>
    <row r="29" s="5" customFormat="1" ht="26" customHeight="1" spans="1:29">
      <c r="A29" s="63">
        <v>46349</v>
      </c>
      <c r="B29" s="73"/>
      <c r="C29" s="74"/>
      <c r="D29" s="75"/>
      <c r="E29" s="73"/>
      <c r="F29" s="74"/>
      <c r="G29" s="75"/>
      <c r="H29" s="75"/>
      <c r="I29" s="75"/>
      <c r="J29" s="75"/>
      <c r="K29" s="75"/>
      <c r="L29" s="75"/>
      <c r="M29" s="76"/>
      <c r="N29" s="77"/>
      <c r="O29" s="81"/>
      <c r="P29" s="73"/>
      <c r="Q29" s="73"/>
      <c r="R29" s="73"/>
      <c r="S29" s="73"/>
      <c r="T29" s="80"/>
      <c r="U29" s="81"/>
      <c r="V29" s="73"/>
      <c r="W29" s="73"/>
      <c r="X29" s="73"/>
      <c r="Y29" s="64"/>
      <c r="Z29" s="64"/>
      <c r="AA29" s="64"/>
      <c r="AB29" s="80"/>
      <c r="AC29" s="69"/>
    </row>
    <row r="30" s="5" customFormat="1" ht="26" customHeight="1" spans="1:29">
      <c r="A30" s="63">
        <v>46350</v>
      </c>
      <c r="B30" s="73"/>
      <c r="C30" s="74"/>
      <c r="D30" s="75"/>
      <c r="E30" s="73"/>
      <c r="F30" s="74"/>
      <c r="G30" s="75"/>
      <c r="H30" s="75"/>
      <c r="I30" s="75"/>
      <c r="J30" s="75"/>
      <c r="K30" s="75"/>
      <c r="L30" s="75"/>
      <c r="M30" s="76"/>
      <c r="N30" s="77"/>
      <c r="O30" s="81"/>
      <c r="P30" s="73"/>
      <c r="Q30" s="73"/>
      <c r="R30" s="73"/>
      <c r="S30" s="73"/>
      <c r="T30" s="80"/>
      <c r="U30" s="81"/>
      <c r="V30" s="73"/>
      <c r="W30" s="73"/>
      <c r="X30" s="73"/>
      <c r="Y30" s="64"/>
      <c r="Z30" s="64"/>
      <c r="AA30" s="64"/>
      <c r="AB30" s="80"/>
      <c r="AC30" s="69"/>
    </row>
    <row r="31" s="5" customFormat="1" ht="26" customHeight="1" spans="1:29">
      <c r="A31" s="63">
        <v>46351</v>
      </c>
      <c r="B31" s="73"/>
      <c r="C31" s="74"/>
      <c r="D31" s="75"/>
      <c r="E31" s="73"/>
      <c r="F31" s="74"/>
      <c r="G31" s="75"/>
      <c r="H31" s="75"/>
      <c r="I31" s="75"/>
      <c r="J31" s="75"/>
      <c r="K31" s="75"/>
      <c r="L31" s="75"/>
      <c r="M31" s="76"/>
      <c r="N31" s="77"/>
      <c r="O31" s="81"/>
      <c r="P31" s="73"/>
      <c r="Q31" s="73"/>
      <c r="R31" s="73"/>
      <c r="S31" s="73"/>
      <c r="T31" s="80"/>
      <c r="U31" s="81"/>
      <c r="V31" s="73"/>
      <c r="W31" s="73"/>
      <c r="X31" s="73"/>
      <c r="Y31" s="64"/>
      <c r="Z31" s="64"/>
      <c r="AA31" s="64"/>
      <c r="AB31" s="80"/>
      <c r="AC31" s="69"/>
    </row>
    <row r="32" s="5" customFormat="1" ht="26" customHeight="1" spans="1:29">
      <c r="A32" s="63">
        <v>46352</v>
      </c>
      <c r="B32" s="73"/>
      <c r="C32" s="74"/>
      <c r="D32" s="75"/>
      <c r="E32" s="73"/>
      <c r="F32" s="74"/>
      <c r="G32" s="75"/>
      <c r="H32" s="75"/>
      <c r="I32" s="75"/>
      <c r="J32" s="75"/>
      <c r="K32" s="75"/>
      <c r="L32" s="75"/>
      <c r="M32" s="76"/>
      <c r="N32" s="77"/>
      <c r="O32" s="81"/>
      <c r="P32" s="73"/>
      <c r="Q32" s="73"/>
      <c r="R32" s="73"/>
      <c r="S32" s="73"/>
      <c r="T32" s="80"/>
      <c r="U32" s="81"/>
      <c r="V32" s="73"/>
      <c r="W32" s="73"/>
      <c r="X32" s="73"/>
      <c r="Y32" s="64"/>
      <c r="Z32" s="64"/>
      <c r="AA32" s="64"/>
      <c r="AB32" s="80"/>
      <c r="AC32" s="69"/>
    </row>
    <row r="33" s="5" customFormat="1" ht="26" customHeight="1" spans="1:29">
      <c r="A33" s="63">
        <v>46353</v>
      </c>
      <c r="B33" s="73"/>
      <c r="C33" s="74"/>
      <c r="D33" s="75"/>
      <c r="E33" s="73"/>
      <c r="F33" s="74"/>
      <c r="G33" s="75"/>
      <c r="H33" s="75"/>
      <c r="I33" s="75"/>
      <c r="J33" s="75"/>
      <c r="K33" s="75"/>
      <c r="L33" s="75"/>
      <c r="M33" s="76"/>
      <c r="N33" s="77"/>
      <c r="O33" s="81"/>
      <c r="P33" s="73"/>
      <c r="Q33" s="73"/>
      <c r="R33" s="73"/>
      <c r="S33" s="73"/>
      <c r="T33" s="80"/>
      <c r="U33" s="81"/>
      <c r="V33" s="73"/>
      <c r="W33" s="73"/>
      <c r="X33" s="73"/>
      <c r="Y33" s="64"/>
      <c r="Z33" s="64"/>
      <c r="AA33" s="64"/>
      <c r="AB33" s="80"/>
      <c r="AC33" s="69"/>
    </row>
    <row r="34" s="5" customFormat="1" ht="26" customHeight="1" spans="1:29">
      <c r="A34" s="63">
        <v>46354</v>
      </c>
      <c r="B34" s="73"/>
      <c r="C34" s="74"/>
      <c r="D34" s="75"/>
      <c r="E34" s="73"/>
      <c r="F34" s="74"/>
      <c r="G34" s="75"/>
      <c r="H34" s="75"/>
      <c r="I34" s="75"/>
      <c r="J34" s="75"/>
      <c r="K34" s="73"/>
      <c r="L34" s="75"/>
      <c r="M34" s="76"/>
      <c r="N34" s="77"/>
      <c r="O34" s="81"/>
      <c r="P34" s="73"/>
      <c r="Q34" s="73"/>
      <c r="R34" s="73"/>
      <c r="S34" s="73"/>
      <c r="T34" s="80"/>
      <c r="U34" s="81"/>
      <c r="V34" s="73"/>
      <c r="W34" s="73"/>
      <c r="X34" s="73"/>
      <c r="Y34" s="64"/>
      <c r="Z34" s="64"/>
      <c r="AA34" s="64"/>
      <c r="AB34" s="80"/>
      <c r="AC34" s="69"/>
    </row>
    <row r="35" s="5" customFormat="1" ht="26" customHeight="1" spans="1:29">
      <c r="A35" s="63">
        <v>46355</v>
      </c>
      <c r="B35" s="73"/>
      <c r="C35" s="74"/>
      <c r="D35" s="75"/>
      <c r="E35" s="86"/>
      <c r="F35" s="74"/>
      <c r="G35" s="75"/>
      <c r="H35" s="75"/>
      <c r="I35" s="75"/>
      <c r="J35" s="75"/>
      <c r="K35" s="86"/>
      <c r="L35" s="75"/>
      <c r="M35" s="76"/>
      <c r="N35" s="77"/>
      <c r="O35" s="81"/>
      <c r="P35" s="73"/>
      <c r="Q35" s="73"/>
      <c r="R35" s="73"/>
      <c r="S35" s="73"/>
      <c r="T35" s="80"/>
      <c r="U35" s="81"/>
      <c r="V35" s="73"/>
      <c r="W35" s="73"/>
      <c r="X35" s="73"/>
      <c r="Y35" s="64"/>
      <c r="Z35" s="64"/>
      <c r="AA35" s="64"/>
      <c r="AB35" s="80"/>
      <c r="AC35" s="69"/>
    </row>
    <row r="36" s="5" customFormat="1" ht="26" customHeight="1" spans="1:29">
      <c r="A36" s="63">
        <v>46356</v>
      </c>
      <c r="B36" s="73"/>
      <c r="C36" s="74"/>
      <c r="D36" s="75"/>
      <c r="E36" s="73"/>
      <c r="F36" s="74"/>
      <c r="G36" s="75"/>
      <c r="H36" s="75"/>
      <c r="I36" s="75"/>
      <c r="J36" s="75"/>
      <c r="K36" s="73"/>
      <c r="L36" s="75"/>
      <c r="M36" s="76"/>
      <c r="N36" s="77"/>
      <c r="O36" s="81"/>
      <c r="P36" s="73"/>
      <c r="Q36" s="73"/>
      <c r="R36" s="73"/>
      <c r="S36" s="73"/>
      <c r="T36" s="80"/>
      <c r="U36" s="81"/>
      <c r="V36" s="73"/>
      <c r="W36" s="73"/>
      <c r="X36" s="73"/>
      <c r="Y36" s="64"/>
      <c r="Z36" s="64"/>
      <c r="AA36" s="64"/>
      <c r="AB36" s="80"/>
      <c r="AC36" s="69"/>
    </row>
    <row r="37" s="1" customFormat="1" spans="1:29">
      <c r="A37" s="87"/>
      <c r="B37" s="88"/>
      <c r="C37" s="89"/>
      <c r="D37" s="90"/>
      <c r="E37" s="88"/>
      <c r="F37" s="89"/>
      <c r="G37" s="91"/>
      <c r="H37" s="91"/>
      <c r="I37" s="91"/>
      <c r="J37" s="91"/>
      <c r="K37" s="91"/>
      <c r="L37" s="91"/>
      <c r="M37" s="92"/>
      <c r="N37" s="91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87"/>
      <c r="B44" s="88"/>
      <c r="C44" s="89"/>
      <c r="D44" s="90"/>
      <c r="E44" s="88"/>
      <c r="F44" s="89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87"/>
      <c r="B45" s="88"/>
      <c r="C45" s="89"/>
      <c r="D45" s="90"/>
      <c r="E45" s="88"/>
      <c r="F45" s="89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  <c r="AC48" s="1">
        <v>119</v>
      </c>
    </row>
    <row r="49" s="1" customFormat="1" spans="1:2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  <c r="AC49" s="1">
        <v>87</v>
      </c>
    </row>
    <row r="50" s="1" customFormat="1" spans="1:2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2"/>
      <c r="N50" s="91"/>
      <c r="AC50" s="1">
        <v>69</v>
      </c>
    </row>
    <row r="51" s="1" customFormat="1" spans="1:2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2"/>
      <c r="N51" s="91"/>
      <c r="AC51" s="1">
        <v>104</v>
      </c>
    </row>
    <row r="52" s="1" customFormat="1" spans="1:29">
      <c r="M52" s="6"/>
      <c r="AC52" s="1">
        <v>106</v>
      </c>
    </row>
    <row r="53" s="1" customFormat="1" spans="1:29">
      <c r="M53" s="6"/>
      <c r="AC53" s="1">
        <v>105</v>
      </c>
    </row>
  </sheetData>
  <mergeCells count="13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4"/>
  <sheetViews>
    <sheetView topLeftCell="A29" workbookViewId="0">
      <selection activeCell="A7" sqref="A7:A37"/>
    </sheetView>
  </sheetViews>
  <sheetFormatPr defaultColWidth="9.025" defaultRowHeight="12"/>
  <cols>
    <col min="1" max="1" width="12.8333333333333" style="1" customWidth="1"/>
    <col min="2" max="2" width="10.6833333333333" style="1" customWidth="1"/>
    <col min="3" max="3" width="9.025" style="1"/>
    <col min="4" max="4" width="9.18333333333333" style="1"/>
    <col min="5" max="5" width="11.2416666666667" style="1" customWidth="1"/>
    <col min="6" max="6" width="11.3666666666667" style="1"/>
    <col min="7" max="7" width="9.18333333333333" style="1"/>
    <col min="8" max="8" width="12.6083333333333" style="1" customWidth="1"/>
    <col min="9" max="10" width="9.18333333333333" style="1"/>
    <col min="11" max="11" width="10.375" style="1"/>
    <col min="12" max="12" width="9.18333333333333" style="1"/>
    <col min="13" max="13" width="14.2666666666667" style="6" customWidth="1"/>
    <col min="14" max="14" width="11.375" style="1" customWidth="1"/>
    <col min="15" max="15" width="17.2583333333333" style="1" customWidth="1"/>
    <col min="16" max="16" width="14.4" style="1" customWidth="1"/>
    <col min="17" max="17" width="20.7583333333333" style="1" customWidth="1"/>
    <col min="18" max="18" width="15.5" style="1" customWidth="1"/>
    <col min="19" max="19" width="15.375" style="1" customWidth="1"/>
    <col min="20" max="21" width="13.0916666666667" style="1" customWidth="1"/>
    <col min="22" max="22" width="30" style="1" customWidth="1"/>
    <col min="23" max="23" width="13.0916666666667" style="1" customWidth="1"/>
    <col min="24" max="24" width="20.8833333333333" style="1" customWidth="1"/>
    <col min="25" max="25" width="12.125" style="1" customWidth="1"/>
    <col min="26" max="26" width="14.625" style="1" customWidth="1"/>
    <col min="27" max="28" width="16.3333333333333" style="1" customWidth="1"/>
    <col min="29" max="29" width="17.1583333333333" style="1" customWidth="1"/>
    <col min="30" max="16384" width="9.025" style="1"/>
  </cols>
  <sheetData>
    <row r="1" s="1" customFormat="1" ht="33" customHeight="1" spans="1: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="2" customFormat="1" ht="38" customHeight="1" spans="1:29">
      <c r="A2" s="9" t="s">
        <v>1</v>
      </c>
      <c r="B2" s="10">
        <f>N6-(N6*0.07)</f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0" t="s">
        <v>2</v>
      </c>
      <c r="P2" s="12"/>
      <c r="Q2" s="13"/>
      <c r="R2" s="10" t="s">
        <v>3</v>
      </c>
      <c r="S2" s="11"/>
      <c r="T2" s="14">
        <f>S3</f>
        <v>0</v>
      </c>
      <c r="U2" s="10" t="s">
        <v>4</v>
      </c>
      <c r="V2" s="12"/>
      <c r="W2" s="15">
        <f>Q2+T2-Z2</f>
        <v>0</v>
      </c>
      <c r="X2" s="10" t="s">
        <v>5</v>
      </c>
      <c r="Y2" s="12"/>
      <c r="Z2" s="16"/>
      <c r="AA2" s="11" t="s">
        <v>6</v>
      </c>
      <c r="AB2" s="12"/>
      <c r="AC2" s="17"/>
    </row>
    <row r="3" s="3" customFormat="1" ht="26" customHeight="1" spans="1:29">
      <c r="A3" s="18" t="s">
        <v>7</v>
      </c>
      <c r="B3" s="19" t="s">
        <v>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1" t="s">
        <v>9</v>
      </c>
      <c r="P3" s="22"/>
      <c r="Q3" s="22"/>
      <c r="R3" s="23"/>
      <c r="S3" s="24">
        <f>SUM(O6:T6)</f>
        <v>0</v>
      </c>
      <c r="T3" s="25" t="e">
        <f>SUM(O5:T5)</f>
        <v>#DIV/0!</v>
      </c>
      <c r="U3" s="26" t="s">
        <v>10</v>
      </c>
      <c r="V3" s="27"/>
      <c r="W3" s="27"/>
      <c r="X3" s="27"/>
      <c r="Y3" s="27"/>
      <c r="Z3" s="28"/>
      <c r="AA3" s="29">
        <f>SUM(U6:AB6)</f>
        <v>0</v>
      </c>
      <c r="AB3" s="30" t="e">
        <f>SUM(U5:AB5)</f>
        <v>#DIV/0!</v>
      </c>
      <c r="AC3" s="31" t="s">
        <v>11</v>
      </c>
    </row>
    <row r="4" s="4" customFormat="1" ht="26" customHeight="1" spans="1:29">
      <c r="A4" s="32"/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13</v>
      </c>
      <c r="G4" s="33" t="s">
        <v>14</v>
      </c>
      <c r="H4" s="33" t="s">
        <v>16</v>
      </c>
      <c r="I4" s="33" t="s">
        <v>13</v>
      </c>
      <c r="J4" s="33" t="s">
        <v>14</v>
      </c>
      <c r="K4" s="34" t="s">
        <v>17</v>
      </c>
      <c r="L4" s="34" t="s">
        <v>18</v>
      </c>
      <c r="M4" s="34" t="s">
        <v>19</v>
      </c>
      <c r="N4" s="35" t="s">
        <v>20</v>
      </c>
      <c r="O4" s="36" t="s">
        <v>21</v>
      </c>
      <c r="P4" s="37" t="s">
        <v>22</v>
      </c>
      <c r="Q4" s="38" t="s">
        <v>23</v>
      </c>
      <c r="R4" s="38" t="s">
        <v>24</v>
      </c>
      <c r="S4" s="39" t="s">
        <v>25</v>
      </c>
      <c r="T4" s="40" t="s">
        <v>26</v>
      </c>
      <c r="U4" s="41" t="s">
        <v>27</v>
      </c>
      <c r="V4" s="42" t="s">
        <v>28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33</v>
      </c>
      <c r="AB4" s="43" t="s">
        <v>34</v>
      </c>
      <c r="AC4" s="44"/>
    </row>
    <row r="5" s="3" customFormat="1" ht="26" customHeight="1" spans="1:29">
      <c r="A5" s="45"/>
      <c r="B5" s="46" t="e">
        <f>B6/$N$6</f>
        <v>#DIV/0!</v>
      </c>
      <c r="C5" s="46"/>
      <c r="D5" s="46"/>
      <c r="E5" s="46" t="e">
        <f>E6/$N$6</f>
        <v>#DIV/0!</v>
      </c>
      <c r="F5" s="46"/>
      <c r="G5" s="46"/>
      <c r="H5" s="46" t="e">
        <f t="shared" ref="H5:M5" si="0">H6/$N$6</f>
        <v>#DIV/0!</v>
      </c>
      <c r="I5" s="46"/>
      <c r="J5" s="46"/>
      <c r="K5" s="46" t="e">
        <f t="shared" si="0"/>
        <v>#DIV/0!</v>
      </c>
      <c r="L5" s="46" t="e">
        <f t="shared" si="0"/>
        <v>#DIV/0!</v>
      </c>
      <c r="M5" s="46" t="e">
        <f t="shared" si="0"/>
        <v>#DIV/0!</v>
      </c>
      <c r="N5" s="35"/>
      <c r="O5" s="47" t="e">
        <f t="shared" ref="O5:AB5" si="1">O6/$N$6</f>
        <v>#DIV/0!</v>
      </c>
      <c r="P5" s="48" t="e">
        <f t="shared" si="1"/>
        <v>#DIV/0!</v>
      </c>
      <c r="Q5" s="48" t="e">
        <f t="shared" si="1"/>
        <v>#DIV/0!</v>
      </c>
      <c r="R5" s="48" t="e">
        <f t="shared" si="1"/>
        <v>#DIV/0!</v>
      </c>
      <c r="S5" s="48" t="e">
        <f t="shared" si="1"/>
        <v>#DIV/0!</v>
      </c>
      <c r="T5" s="49" t="e">
        <f t="shared" si="1"/>
        <v>#DIV/0!</v>
      </c>
      <c r="U5" s="50" t="e">
        <f t="shared" si="1"/>
        <v>#DIV/0!</v>
      </c>
      <c r="V5" s="51" t="e">
        <f t="shared" si="1"/>
        <v>#DIV/0!</v>
      </c>
      <c r="W5" s="51" t="e">
        <f t="shared" si="1"/>
        <v>#DIV/0!</v>
      </c>
      <c r="X5" s="51" t="e">
        <f t="shared" si="1"/>
        <v>#DIV/0!</v>
      </c>
      <c r="Y5" s="51" t="e">
        <f t="shared" si="1"/>
        <v>#DIV/0!</v>
      </c>
      <c r="Z5" s="51" t="e">
        <f t="shared" si="1"/>
        <v>#DIV/0!</v>
      </c>
      <c r="AA5" s="51" t="e">
        <f t="shared" si="1"/>
        <v>#DIV/0!</v>
      </c>
      <c r="AB5" s="52" t="e">
        <f t="shared" si="1"/>
        <v>#DIV/0!</v>
      </c>
      <c r="AC5" s="53" t="e">
        <f>SUM(O5:AB5)</f>
        <v>#DIV/0!</v>
      </c>
    </row>
    <row r="6" s="5" customFormat="1" ht="26" customHeight="1" spans="1:29">
      <c r="A6" s="32" t="s">
        <v>35</v>
      </c>
      <c r="B6" s="54">
        <f t="shared" ref="B6:F6" si="2">SUM(B7:B37)</f>
        <v>0</v>
      </c>
      <c r="C6" s="55">
        <f t="shared" si="2"/>
        <v>0</v>
      </c>
      <c r="D6" s="54" t="e">
        <f>B6/C6</f>
        <v>#DIV/0!</v>
      </c>
      <c r="E6" s="54">
        <f t="shared" si="2"/>
        <v>0</v>
      </c>
      <c r="F6" s="54">
        <f t="shared" si="2"/>
        <v>0</v>
      </c>
      <c r="G6" s="54" t="e">
        <f>E6/F6</f>
        <v>#DIV/0!</v>
      </c>
      <c r="H6" s="54">
        <f t="shared" ref="H6:M6" si="3">SUM(H7:H37)</f>
        <v>0</v>
      </c>
      <c r="I6" s="55">
        <f t="shared" si="3"/>
        <v>0</v>
      </c>
      <c r="J6" s="54" t="e">
        <f>H6/I6</f>
        <v>#DIV/0!</v>
      </c>
      <c r="K6" s="54">
        <f t="shared" si="3"/>
        <v>0</v>
      </c>
      <c r="L6" s="54">
        <f t="shared" si="3"/>
        <v>0</v>
      </c>
      <c r="M6" s="54">
        <f t="shared" si="3"/>
        <v>0</v>
      </c>
      <c r="N6" s="56">
        <f>B6+E6+H6+K6+L6-M6</f>
        <v>0</v>
      </c>
      <c r="O6" s="57">
        <f t="shared" ref="O6:AB6" si="4">SUM(O7:O37)</f>
        <v>0</v>
      </c>
      <c r="P6" s="58">
        <f t="shared" si="4"/>
        <v>0</v>
      </c>
      <c r="Q6" s="58">
        <f t="shared" si="4"/>
        <v>0</v>
      </c>
      <c r="R6" s="58">
        <f t="shared" si="4"/>
        <v>0</v>
      </c>
      <c r="S6" s="58">
        <f t="shared" si="4"/>
        <v>0</v>
      </c>
      <c r="T6" s="59">
        <f t="shared" si="4"/>
        <v>0</v>
      </c>
      <c r="U6" s="60">
        <f t="shared" si="4"/>
        <v>0</v>
      </c>
      <c r="V6" s="61">
        <f t="shared" si="4"/>
        <v>0</v>
      </c>
      <c r="W6" s="61">
        <f t="shared" si="4"/>
        <v>0</v>
      </c>
      <c r="X6" s="61">
        <f t="shared" si="4"/>
        <v>0</v>
      </c>
      <c r="Y6" s="61">
        <f t="shared" si="4"/>
        <v>0</v>
      </c>
      <c r="Z6" s="61">
        <f t="shared" si="4"/>
        <v>0</v>
      </c>
      <c r="AA6" s="61">
        <f t="shared" si="4"/>
        <v>0</v>
      </c>
      <c r="AB6" s="61">
        <f t="shared" si="4"/>
        <v>0</v>
      </c>
      <c r="AC6" s="62">
        <f>SUM(O6:AB6)</f>
        <v>0</v>
      </c>
    </row>
    <row r="7" s="5" customFormat="1" ht="26" customHeight="1" spans="1:29">
      <c r="A7" s="63">
        <v>46357</v>
      </c>
      <c r="B7" s="64"/>
      <c r="C7" s="64"/>
      <c r="D7" s="65"/>
      <c r="E7" s="64"/>
      <c r="F7" s="64"/>
      <c r="G7" s="65"/>
      <c r="H7" s="64"/>
      <c r="I7" s="64"/>
      <c r="J7" s="65"/>
      <c r="K7" s="64"/>
      <c r="L7" s="64"/>
      <c r="M7" s="66"/>
      <c r="N7" s="67"/>
      <c r="O7" s="68"/>
      <c r="P7" s="64"/>
      <c r="Q7" s="64"/>
      <c r="R7" s="64"/>
      <c r="S7" s="64"/>
      <c r="T7" s="67"/>
      <c r="U7" s="68"/>
      <c r="V7" s="64"/>
      <c r="W7" s="64"/>
      <c r="X7" s="64"/>
      <c r="Y7" s="64"/>
      <c r="Z7" s="64"/>
      <c r="AA7" s="64"/>
      <c r="AB7" s="67"/>
      <c r="AC7" s="69"/>
    </row>
    <row r="8" s="5" customFormat="1" ht="26" customHeight="1" spans="1:29">
      <c r="A8" s="63">
        <v>46358</v>
      </c>
      <c r="B8" s="64"/>
      <c r="C8" s="64"/>
      <c r="D8" s="65"/>
      <c r="E8" s="64"/>
      <c r="F8" s="64"/>
      <c r="G8" s="65"/>
      <c r="H8" s="64"/>
      <c r="I8" s="64"/>
      <c r="J8" s="65"/>
      <c r="K8" s="64"/>
      <c r="L8" s="64"/>
      <c r="M8" s="66"/>
      <c r="N8" s="67"/>
      <c r="O8" s="68"/>
      <c r="P8" s="64"/>
      <c r="Q8" s="64"/>
      <c r="R8" s="64"/>
      <c r="S8" s="64"/>
      <c r="T8" s="67"/>
      <c r="U8" s="68"/>
      <c r="V8" s="64"/>
      <c r="W8" s="64"/>
      <c r="X8" s="64"/>
      <c r="Y8" s="64"/>
      <c r="Z8" s="64"/>
      <c r="AA8" s="64"/>
      <c r="AB8" s="67"/>
      <c r="AC8" s="69"/>
    </row>
    <row r="9" s="5" customFormat="1" ht="26" customHeight="1" spans="1:29">
      <c r="A9" s="63">
        <v>46359</v>
      </c>
      <c r="B9" s="64"/>
      <c r="C9" s="64"/>
      <c r="D9" s="65"/>
      <c r="E9" s="64"/>
      <c r="F9" s="64"/>
      <c r="G9" s="70"/>
      <c r="H9" s="64"/>
      <c r="I9" s="64"/>
      <c r="J9" s="65"/>
      <c r="K9" s="64"/>
      <c r="L9" s="64"/>
      <c r="M9" s="66"/>
      <c r="N9" s="67"/>
      <c r="O9" s="68"/>
      <c r="P9" s="64"/>
      <c r="Q9" s="64"/>
      <c r="R9" s="71"/>
      <c r="S9" s="64"/>
      <c r="T9" s="64"/>
      <c r="U9" s="68"/>
      <c r="V9" s="64"/>
      <c r="W9" s="64"/>
      <c r="X9" s="72"/>
      <c r="Y9" s="64"/>
      <c r="Z9" s="64"/>
      <c r="AA9" s="64"/>
      <c r="AB9" s="67"/>
      <c r="AC9" s="69"/>
    </row>
    <row r="10" s="5" customFormat="1" ht="26" customHeight="1" spans="1:29">
      <c r="A10" s="63">
        <v>46360</v>
      </c>
      <c r="B10" s="64"/>
      <c r="C10" s="64"/>
      <c r="D10" s="70"/>
      <c r="E10" s="64"/>
      <c r="F10" s="64"/>
      <c r="G10" s="70"/>
      <c r="H10" s="64"/>
      <c r="I10" s="64"/>
      <c r="J10" s="70"/>
      <c r="K10" s="64"/>
      <c r="L10" s="64"/>
      <c r="M10" s="66"/>
      <c r="N10" s="67"/>
      <c r="O10" s="68"/>
      <c r="P10" s="64"/>
      <c r="Q10" s="64"/>
      <c r="R10" s="64"/>
      <c r="S10" s="64"/>
      <c r="T10" s="64"/>
      <c r="U10" s="68"/>
      <c r="V10" s="64"/>
      <c r="W10" s="64"/>
      <c r="X10" s="64"/>
      <c r="Y10" s="64"/>
      <c r="Z10" s="64"/>
      <c r="AA10" s="64"/>
      <c r="AB10" s="67"/>
      <c r="AC10" s="69"/>
    </row>
    <row r="11" s="5" customFormat="1" ht="26" customHeight="1" spans="1:29">
      <c r="A11" s="63">
        <v>46361</v>
      </c>
      <c r="B11" s="73"/>
      <c r="C11" s="74"/>
      <c r="D11" s="75"/>
      <c r="E11" s="73"/>
      <c r="F11" s="74"/>
      <c r="G11" s="75"/>
      <c r="H11" s="75"/>
      <c r="I11" s="75"/>
      <c r="J11" s="75"/>
      <c r="K11" s="75"/>
      <c r="L11" s="75"/>
      <c r="M11" s="76"/>
      <c r="N11" s="77"/>
      <c r="O11" s="78"/>
      <c r="P11" s="79"/>
      <c r="Q11" s="79"/>
      <c r="R11" s="73"/>
      <c r="S11" s="73"/>
      <c r="T11" s="80"/>
      <c r="U11" s="81"/>
      <c r="V11" s="73"/>
      <c r="W11" s="73"/>
      <c r="X11" s="73"/>
      <c r="Y11" s="64"/>
      <c r="Z11" s="64"/>
      <c r="AA11" s="64"/>
      <c r="AB11" s="80"/>
      <c r="AC11" s="69"/>
    </row>
    <row r="12" s="5" customFormat="1" ht="26" customHeight="1" spans="1:29">
      <c r="A12" s="63">
        <v>46362</v>
      </c>
      <c r="B12" s="73"/>
      <c r="C12" s="74"/>
      <c r="D12" s="75"/>
      <c r="E12" s="73"/>
      <c r="F12" s="74"/>
      <c r="G12" s="75"/>
      <c r="H12" s="75"/>
      <c r="I12" s="75"/>
      <c r="J12" s="75"/>
      <c r="K12" s="75"/>
      <c r="L12" s="75"/>
      <c r="M12" s="76"/>
      <c r="N12" s="77"/>
      <c r="O12" s="81"/>
      <c r="P12" s="73"/>
      <c r="Q12" s="64"/>
      <c r="R12" s="73"/>
      <c r="S12" s="73"/>
      <c r="T12" s="80"/>
      <c r="U12" s="81"/>
      <c r="V12" s="73"/>
      <c r="W12" s="73"/>
      <c r="X12" s="73"/>
      <c r="Y12" s="64"/>
      <c r="Z12" s="64"/>
      <c r="AA12" s="64"/>
      <c r="AB12" s="80"/>
      <c r="AC12" s="69"/>
    </row>
    <row r="13" s="5" customFormat="1" ht="26" customHeight="1" spans="1:29">
      <c r="A13" s="63">
        <v>46363</v>
      </c>
      <c r="B13" s="73"/>
      <c r="C13" s="74"/>
      <c r="D13" s="75"/>
      <c r="E13" s="73"/>
      <c r="F13" s="74"/>
      <c r="G13" s="75"/>
      <c r="H13" s="75"/>
      <c r="I13" s="75"/>
      <c r="J13" s="75"/>
      <c r="K13" s="75"/>
      <c r="L13" s="75"/>
      <c r="M13" s="76"/>
      <c r="N13" s="77"/>
      <c r="O13" s="81"/>
      <c r="P13" s="73"/>
      <c r="Q13" s="73"/>
      <c r="R13" s="73"/>
      <c r="S13" s="73"/>
      <c r="T13" s="80"/>
      <c r="U13" s="81"/>
      <c r="V13" s="73"/>
      <c r="W13" s="73"/>
      <c r="X13" s="73"/>
      <c r="Y13" s="64"/>
      <c r="Z13" s="64"/>
      <c r="AA13" s="64"/>
      <c r="AB13" s="80"/>
      <c r="AC13" s="69"/>
    </row>
    <row r="14" s="5" customFormat="1" ht="26" customHeight="1" spans="1:29">
      <c r="A14" s="63">
        <v>46364</v>
      </c>
      <c r="B14" s="73"/>
      <c r="C14" s="74"/>
      <c r="D14" s="75"/>
      <c r="E14" s="73"/>
      <c r="F14" s="74"/>
      <c r="G14" s="75"/>
      <c r="H14" s="75"/>
      <c r="I14" s="75"/>
      <c r="J14" s="75"/>
      <c r="K14" s="75"/>
      <c r="L14" s="75"/>
      <c r="M14" s="76"/>
      <c r="N14" s="77"/>
      <c r="O14" s="81"/>
      <c r="P14" s="73"/>
      <c r="Q14" s="73"/>
      <c r="R14" s="73"/>
      <c r="S14" s="73"/>
      <c r="T14" s="80"/>
      <c r="U14" s="81"/>
      <c r="V14" s="73"/>
      <c r="W14" s="73"/>
      <c r="X14" s="73"/>
      <c r="Y14" s="64"/>
      <c r="Z14" s="64"/>
      <c r="AA14" s="64"/>
      <c r="AB14" s="80"/>
      <c r="AC14" s="69"/>
    </row>
    <row r="15" s="5" customFormat="1" ht="26" customHeight="1" spans="1:29">
      <c r="A15" s="63">
        <v>46365</v>
      </c>
      <c r="B15" s="73"/>
      <c r="C15" s="74"/>
      <c r="D15" s="75"/>
      <c r="E15" s="73"/>
      <c r="F15" s="74"/>
      <c r="G15" s="75"/>
      <c r="H15" s="75"/>
      <c r="I15" s="75"/>
      <c r="J15" s="75"/>
      <c r="K15" s="75"/>
      <c r="L15" s="75"/>
      <c r="M15" s="76"/>
      <c r="N15" s="77"/>
      <c r="O15" s="81"/>
      <c r="P15" s="73"/>
      <c r="Q15" s="73"/>
      <c r="R15" s="73"/>
      <c r="S15" s="73"/>
      <c r="T15" s="80"/>
      <c r="U15" s="81"/>
      <c r="V15" s="73"/>
      <c r="W15" s="73"/>
      <c r="X15" s="73"/>
      <c r="Y15" s="64"/>
      <c r="Z15" s="64"/>
      <c r="AA15" s="64"/>
      <c r="AB15" s="80"/>
      <c r="AC15" s="69"/>
    </row>
    <row r="16" s="5" customFormat="1" ht="26" customHeight="1" spans="1:29">
      <c r="A16" s="63">
        <v>46366</v>
      </c>
      <c r="B16" s="73"/>
      <c r="C16" s="74"/>
      <c r="D16" s="75"/>
      <c r="E16" s="73"/>
      <c r="F16" s="74"/>
      <c r="G16" s="75"/>
      <c r="H16" s="75"/>
      <c r="I16" s="75"/>
      <c r="J16" s="75"/>
      <c r="K16" s="75"/>
      <c r="L16" s="75"/>
      <c r="M16" s="76"/>
      <c r="N16" s="77"/>
      <c r="O16" s="81"/>
      <c r="P16" s="73"/>
      <c r="Q16" s="73"/>
      <c r="R16" s="73"/>
      <c r="S16" s="73"/>
      <c r="T16" s="80"/>
      <c r="U16" s="81"/>
      <c r="V16" s="73"/>
      <c r="W16" s="73"/>
      <c r="X16" s="73"/>
      <c r="Y16" s="64"/>
      <c r="Z16" s="64"/>
      <c r="AA16" s="64"/>
      <c r="AB16" s="80"/>
      <c r="AC16" s="69"/>
    </row>
    <row r="17" s="5" customFormat="1" ht="26" customHeight="1" spans="1:29">
      <c r="A17" s="63">
        <v>46367</v>
      </c>
      <c r="B17" s="73"/>
      <c r="C17" s="74"/>
      <c r="D17" s="75"/>
      <c r="E17" s="73"/>
      <c r="F17" s="74"/>
      <c r="G17" s="75"/>
      <c r="H17" s="75"/>
      <c r="I17" s="75"/>
      <c r="J17" s="75"/>
      <c r="K17" s="75"/>
      <c r="L17" s="75"/>
      <c r="M17" s="76"/>
      <c r="N17" s="77"/>
      <c r="O17" s="81"/>
      <c r="P17" s="73"/>
      <c r="Q17" s="73"/>
      <c r="R17" s="73"/>
      <c r="S17" s="73"/>
      <c r="T17" s="80"/>
      <c r="U17" s="81"/>
      <c r="V17" s="73"/>
      <c r="W17" s="73"/>
      <c r="X17" s="73"/>
      <c r="Y17" s="64"/>
      <c r="Z17" s="64"/>
      <c r="AA17" s="64"/>
      <c r="AB17" s="80"/>
      <c r="AC17" s="69"/>
    </row>
    <row r="18" s="5" customFormat="1" ht="26" customHeight="1" spans="1:29">
      <c r="A18" s="63">
        <v>46368</v>
      </c>
      <c r="B18" s="73"/>
      <c r="C18" s="74"/>
      <c r="D18" s="75"/>
      <c r="E18" s="73"/>
      <c r="F18" s="74"/>
      <c r="G18" s="75"/>
      <c r="H18" s="75"/>
      <c r="I18" s="75"/>
      <c r="J18" s="75"/>
      <c r="K18" s="75"/>
      <c r="L18" s="75"/>
      <c r="M18" s="76"/>
      <c r="N18" s="77"/>
      <c r="O18" s="81"/>
      <c r="P18" s="73"/>
      <c r="Q18" s="73"/>
      <c r="R18" s="73"/>
      <c r="S18" s="73"/>
      <c r="T18" s="80"/>
      <c r="U18" s="81"/>
      <c r="V18" s="73"/>
      <c r="W18" s="73"/>
      <c r="X18" s="73"/>
      <c r="Y18" s="64"/>
      <c r="Z18" s="64"/>
      <c r="AA18" s="64"/>
      <c r="AB18" s="80"/>
      <c r="AC18" s="69"/>
    </row>
    <row r="19" s="5" customFormat="1" ht="26" customHeight="1" spans="1:29">
      <c r="A19" s="63">
        <v>46369</v>
      </c>
      <c r="B19" s="73"/>
      <c r="C19" s="74"/>
      <c r="D19" s="75"/>
      <c r="E19" s="73"/>
      <c r="F19" s="74"/>
      <c r="G19" s="75"/>
      <c r="H19" s="75"/>
      <c r="I19" s="75"/>
      <c r="J19" s="75"/>
      <c r="K19" s="75"/>
      <c r="L19" s="75"/>
      <c r="M19" s="76"/>
      <c r="N19" s="77"/>
      <c r="O19" s="81"/>
      <c r="P19" s="73"/>
      <c r="Q19" s="73"/>
      <c r="R19" s="73"/>
      <c r="S19" s="73"/>
      <c r="T19" s="80"/>
      <c r="U19" s="81"/>
      <c r="V19" s="73"/>
      <c r="W19" s="73"/>
      <c r="X19" s="73"/>
      <c r="Y19" s="64"/>
      <c r="Z19" s="64"/>
      <c r="AA19" s="64"/>
      <c r="AB19" s="80"/>
      <c r="AC19" s="69"/>
    </row>
    <row r="20" s="5" customFormat="1" ht="26" customHeight="1" spans="1:29">
      <c r="A20" s="63">
        <v>46370</v>
      </c>
      <c r="B20" s="73"/>
      <c r="C20" s="74"/>
      <c r="D20" s="75"/>
      <c r="E20" s="73"/>
      <c r="F20" s="74"/>
      <c r="G20" s="75"/>
      <c r="H20" s="75"/>
      <c r="I20" s="75"/>
      <c r="J20" s="75"/>
      <c r="K20" s="75"/>
      <c r="L20" s="75"/>
      <c r="M20" s="76"/>
      <c r="N20" s="77"/>
      <c r="O20" s="82"/>
      <c r="P20" s="83"/>
      <c r="Q20" s="83"/>
      <c r="R20" s="73"/>
      <c r="S20" s="73"/>
      <c r="T20" s="80"/>
      <c r="U20" s="81"/>
      <c r="V20" s="73"/>
      <c r="W20" s="73"/>
      <c r="X20" s="73"/>
      <c r="Y20" s="64"/>
      <c r="Z20" s="64"/>
      <c r="AA20" s="64"/>
      <c r="AB20" s="80"/>
      <c r="AC20" s="69"/>
    </row>
    <row r="21" s="5" customFormat="1" ht="26" customHeight="1" spans="1:29">
      <c r="A21" s="63">
        <v>46371</v>
      </c>
      <c r="B21" s="73"/>
      <c r="C21" s="74"/>
      <c r="D21" s="75"/>
      <c r="E21" s="73"/>
      <c r="F21" s="74"/>
      <c r="G21" s="75"/>
      <c r="H21" s="75"/>
      <c r="I21" s="75"/>
      <c r="J21" s="75"/>
      <c r="K21" s="75"/>
      <c r="L21" s="75"/>
      <c r="M21" s="76"/>
      <c r="N21" s="77"/>
      <c r="O21" s="81"/>
      <c r="P21" s="73"/>
      <c r="Q21" s="73"/>
      <c r="R21" s="73"/>
      <c r="S21" s="73"/>
      <c r="T21" s="80"/>
      <c r="U21" s="81"/>
      <c r="V21" s="73"/>
      <c r="W21" s="73"/>
      <c r="X21" s="73"/>
      <c r="Y21" s="64"/>
      <c r="Z21" s="64"/>
      <c r="AA21" s="64"/>
      <c r="AB21" s="80"/>
      <c r="AC21" s="69"/>
    </row>
    <row r="22" s="5" customFormat="1" ht="26" customHeight="1" spans="1:29">
      <c r="A22" s="63">
        <v>46372</v>
      </c>
      <c r="B22" s="73"/>
      <c r="C22" s="74"/>
      <c r="D22" s="75"/>
      <c r="E22" s="73"/>
      <c r="F22" s="74"/>
      <c r="G22" s="75"/>
      <c r="H22" s="75"/>
      <c r="I22" s="75"/>
      <c r="J22" s="75"/>
      <c r="K22" s="75"/>
      <c r="L22" s="75"/>
      <c r="M22" s="76"/>
      <c r="N22" s="77"/>
      <c r="O22" s="81"/>
      <c r="P22" s="73"/>
      <c r="Q22" s="73"/>
      <c r="R22" s="73"/>
      <c r="S22" s="73"/>
      <c r="T22" s="80"/>
      <c r="U22" s="81"/>
      <c r="V22" s="73"/>
      <c r="W22" s="73"/>
      <c r="X22" s="73"/>
      <c r="Y22" s="64"/>
      <c r="Z22" s="64"/>
      <c r="AA22" s="64"/>
      <c r="AB22" s="80"/>
      <c r="AC22" s="69"/>
    </row>
    <row r="23" s="5" customFormat="1" ht="26" customHeight="1" spans="1:29">
      <c r="A23" s="63">
        <v>46373</v>
      </c>
      <c r="B23" s="73"/>
      <c r="C23" s="74"/>
      <c r="D23" s="75"/>
      <c r="E23" s="73"/>
      <c r="F23" s="74"/>
      <c r="G23" s="75"/>
      <c r="H23" s="75"/>
      <c r="I23" s="75"/>
      <c r="J23" s="75"/>
      <c r="K23" s="75"/>
      <c r="L23" s="75"/>
      <c r="M23" s="76"/>
      <c r="N23" s="77"/>
      <c r="O23" s="81"/>
      <c r="P23" s="73"/>
      <c r="Q23" s="73"/>
      <c r="R23" s="73"/>
      <c r="S23" s="73"/>
      <c r="T23" s="80"/>
      <c r="U23" s="81"/>
      <c r="V23" s="73"/>
      <c r="W23" s="73"/>
      <c r="X23" s="73"/>
      <c r="Y23" s="64"/>
      <c r="Z23" s="64"/>
      <c r="AA23" s="64"/>
      <c r="AB23" s="80"/>
      <c r="AC23" s="69"/>
    </row>
    <row r="24" s="5" customFormat="1" ht="26" customHeight="1" spans="1:29">
      <c r="A24" s="63">
        <v>46374</v>
      </c>
      <c r="B24" s="73"/>
      <c r="C24" s="74"/>
      <c r="D24" s="75"/>
      <c r="E24" s="73"/>
      <c r="F24" s="74"/>
      <c r="G24" s="75"/>
      <c r="H24" s="75"/>
      <c r="I24" s="75"/>
      <c r="J24" s="75"/>
      <c r="K24" s="75"/>
      <c r="L24" s="75"/>
      <c r="M24" s="76"/>
      <c r="N24" s="77"/>
      <c r="O24" s="81"/>
      <c r="P24" s="73"/>
      <c r="Q24" s="73"/>
      <c r="R24" s="73"/>
      <c r="S24" s="73"/>
      <c r="T24" s="80"/>
      <c r="U24" s="81"/>
      <c r="V24" s="73"/>
      <c r="W24" s="73"/>
      <c r="X24" s="73"/>
      <c r="Y24" s="64"/>
      <c r="Z24" s="64"/>
      <c r="AA24" s="64"/>
      <c r="AB24" s="80"/>
      <c r="AC24" s="69"/>
    </row>
    <row r="25" s="5" customFormat="1" ht="26" customHeight="1" spans="1:29">
      <c r="A25" s="63">
        <v>46375</v>
      </c>
      <c r="B25" s="73"/>
      <c r="C25" s="74"/>
      <c r="D25" s="75"/>
      <c r="E25" s="73"/>
      <c r="F25" s="74"/>
      <c r="G25" s="75"/>
      <c r="H25" s="75"/>
      <c r="I25" s="75"/>
      <c r="J25" s="75"/>
      <c r="K25" s="75"/>
      <c r="L25" s="75"/>
      <c r="M25" s="76"/>
      <c r="N25" s="77"/>
      <c r="O25" s="81"/>
      <c r="P25" s="73"/>
      <c r="Q25" s="73"/>
      <c r="R25" s="84"/>
      <c r="S25" s="85"/>
      <c r="T25" s="80"/>
      <c r="U25" s="81"/>
      <c r="V25" s="73"/>
      <c r="W25" s="73"/>
      <c r="X25" s="73"/>
      <c r="Y25" s="64"/>
      <c r="Z25" s="64"/>
      <c r="AA25" s="64"/>
      <c r="AB25" s="80"/>
      <c r="AC25" s="69"/>
    </row>
    <row r="26" s="5" customFormat="1" ht="26" customHeight="1" spans="1:29">
      <c r="A26" s="63">
        <v>46376</v>
      </c>
      <c r="B26" s="73"/>
      <c r="C26" s="74"/>
      <c r="D26" s="75"/>
      <c r="E26" s="73"/>
      <c r="F26" s="74"/>
      <c r="G26" s="75"/>
      <c r="H26" s="75"/>
      <c r="I26" s="75"/>
      <c r="J26" s="75"/>
      <c r="K26" s="79"/>
      <c r="L26" s="75"/>
      <c r="M26" s="76"/>
      <c r="N26" s="77"/>
      <c r="O26" s="81"/>
      <c r="P26" s="73"/>
      <c r="Q26" s="73"/>
      <c r="R26" s="73"/>
      <c r="S26" s="73"/>
      <c r="T26" s="80"/>
      <c r="U26" s="81"/>
      <c r="V26" s="73"/>
      <c r="W26" s="73"/>
      <c r="X26" s="73"/>
      <c r="Y26" s="64"/>
      <c r="Z26" s="64"/>
      <c r="AA26" s="64"/>
      <c r="AB26" s="80"/>
      <c r="AC26" s="69"/>
    </row>
    <row r="27" s="5" customFormat="1" ht="26" customHeight="1" spans="1:29">
      <c r="A27" s="63">
        <v>46377</v>
      </c>
      <c r="B27" s="73"/>
      <c r="C27" s="74"/>
      <c r="D27" s="75"/>
      <c r="E27" s="73"/>
      <c r="F27" s="74"/>
      <c r="G27" s="75"/>
      <c r="H27" s="75"/>
      <c r="I27" s="75"/>
      <c r="J27" s="75"/>
      <c r="K27" s="75"/>
      <c r="L27" s="75"/>
      <c r="M27" s="76"/>
      <c r="N27" s="77"/>
      <c r="O27" s="81"/>
      <c r="P27" s="73"/>
      <c r="Q27" s="73"/>
      <c r="R27" s="73"/>
      <c r="S27" s="73"/>
      <c r="T27" s="80"/>
      <c r="U27" s="81"/>
      <c r="V27" s="73"/>
      <c r="W27" s="73"/>
      <c r="X27" s="73"/>
      <c r="Y27" s="64"/>
      <c r="Z27" s="64"/>
      <c r="AA27" s="64"/>
      <c r="AB27" s="80"/>
      <c r="AC27" s="69"/>
    </row>
    <row r="28" s="5" customFormat="1" ht="26" customHeight="1" spans="1:29">
      <c r="A28" s="63">
        <v>46378</v>
      </c>
      <c r="B28" s="73"/>
      <c r="C28" s="74"/>
      <c r="D28" s="75"/>
      <c r="E28" s="73"/>
      <c r="F28" s="74"/>
      <c r="G28" s="75"/>
      <c r="H28" s="75"/>
      <c r="I28" s="75"/>
      <c r="J28" s="75"/>
      <c r="K28" s="75"/>
      <c r="L28" s="75"/>
      <c r="M28" s="76"/>
      <c r="N28" s="77"/>
      <c r="O28" s="81"/>
      <c r="P28" s="73"/>
      <c r="Q28" s="73"/>
      <c r="R28" s="73"/>
      <c r="S28" s="73"/>
      <c r="T28" s="80"/>
      <c r="U28" s="81"/>
      <c r="V28" s="73"/>
      <c r="W28" s="73"/>
      <c r="X28" s="73"/>
      <c r="Y28" s="64"/>
      <c r="Z28" s="64"/>
      <c r="AA28" s="64"/>
      <c r="AB28" s="80"/>
      <c r="AC28" s="69"/>
    </row>
    <row r="29" s="5" customFormat="1" ht="26" customHeight="1" spans="1:29">
      <c r="A29" s="63">
        <v>46379</v>
      </c>
      <c r="B29" s="73"/>
      <c r="C29" s="74"/>
      <c r="D29" s="75"/>
      <c r="E29" s="73"/>
      <c r="F29" s="74"/>
      <c r="G29" s="75"/>
      <c r="H29" s="75"/>
      <c r="I29" s="75"/>
      <c r="J29" s="75"/>
      <c r="K29" s="75"/>
      <c r="L29" s="75"/>
      <c r="M29" s="76"/>
      <c r="N29" s="77"/>
      <c r="O29" s="81"/>
      <c r="P29" s="73"/>
      <c r="Q29" s="73"/>
      <c r="R29" s="73"/>
      <c r="S29" s="73"/>
      <c r="T29" s="80"/>
      <c r="U29" s="81"/>
      <c r="V29" s="73"/>
      <c r="W29" s="73"/>
      <c r="X29" s="73"/>
      <c r="Y29" s="64"/>
      <c r="Z29" s="64"/>
      <c r="AA29" s="64"/>
      <c r="AB29" s="80"/>
      <c r="AC29" s="69"/>
    </row>
    <row r="30" s="5" customFormat="1" ht="26" customHeight="1" spans="1:29">
      <c r="A30" s="63">
        <v>46380</v>
      </c>
      <c r="B30" s="73"/>
      <c r="C30" s="74"/>
      <c r="D30" s="75"/>
      <c r="E30" s="73"/>
      <c r="F30" s="74"/>
      <c r="G30" s="75"/>
      <c r="H30" s="75"/>
      <c r="I30" s="75"/>
      <c r="J30" s="75"/>
      <c r="K30" s="75"/>
      <c r="L30" s="75"/>
      <c r="M30" s="76"/>
      <c r="N30" s="77"/>
      <c r="O30" s="81"/>
      <c r="P30" s="73"/>
      <c r="Q30" s="73"/>
      <c r="R30" s="73"/>
      <c r="S30" s="73"/>
      <c r="T30" s="80"/>
      <c r="U30" s="81"/>
      <c r="V30" s="73"/>
      <c r="W30" s="73"/>
      <c r="X30" s="73"/>
      <c r="Y30" s="64"/>
      <c r="Z30" s="64"/>
      <c r="AA30" s="64"/>
      <c r="AB30" s="80"/>
      <c r="AC30" s="69"/>
    </row>
    <row r="31" s="5" customFormat="1" ht="26" customHeight="1" spans="1:29">
      <c r="A31" s="63">
        <v>46381</v>
      </c>
      <c r="B31" s="73"/>
      <c r="C31" s="74"/>
      <c r="D31" s="75"/>
      <c r="E31" s="73"/>
      <c r="F31" s="74"/>
      <c r="G31" s="75"/>
      <c r="H31" s="75"/>
      <c r="I31" s="75"/>
      <c r="J31" s="75"/>
      <c r="K31" s="75"/>
      <c r="L31" s="75"/>
      <c r="M31" s="76"/>
      <c r="N31" s="77"/>
      <c r="O31" s="81"/>
      <c r="P31" s="73"/>
      <c r="Q31" s="73"/>
      <c r="R31" s="73"/>
      <c r="S31" s="73"/>
      <c r="T31" s="80"/>
      <c r="U31" s="81"/>
      <c r="V31" s="73"/>
      <c r="W31" s="73"/>
      <c r="X31" s="73"/>
      <c r="Y31" s="64"/>
      <c r="Z31" s="64"/>
      <c r="AA31" s="64"/>
      <c r="AB31" s="80"/>
      <c r="AC31" s="69"/>
    </row>
    <row r="32" s="5" customFormat="1" ht="26" customHeight="1" spans="1:29">
      <c r="A32" s="63">
        <v>46382</v>
      </c>
      <c r="B32" s="73"/>
      <c r="C32" s="74"/>
      <c r="D32" s="75"/>
      <c r="E32" s="73"/>
      <c r="F32" s="74"/>
      <c r="G32" s="75"/>
      <c r="H32" s="75"/>
      <c r="I32" s="75"/>
      <c r="J32" s="75"/>
      <c r="K32" s="75"/>
      <c r="L32" s="75"/>
      <c r="M32" s="76"/>
      <c r="N32" s="77"/>
      <c r="O32" s="81"/>
      <c r="P32" s="73"/>
      <c r="Q32" s="73"/>
      <c r="R32" s="73"/>
      <c r="S32" s="73"/>
      <c r="T32" s="80"/>
      <c r="U32" s="81"/>
      <c r="V32" s="73"/>
      <c r="W32" s="73"/>
      <c r="X32" s="73"/>
      <c r="Y32" s="64"/>
      <c r="Z32" s="64"/>
      <c r="AA32" s="64"/>
      <c r="AB32" s="80"/>
      <c r="AC32" s="69"/>
    </row>
    <row r="33" s="5" customFormat="1" ht="26" customHeight="1" spans="1:29">
      <c r="A33" s="63">
        <v>46383</v>
      </c>
      <c r="B33" s="73"/>
      <c r="C33" s="74"/>
      <c r="D33" s="75"/>
      <c r="E33" s="73"/>
      <c r="F33" s="74"/>
      <c r="G33" s="75"/>
      <c r="H33" s="75"/>
      <c r="I33" s="75"/>
      <c r="J33" s="75"/>
      <c r="K33" s="75"/>
      <c r="L33" s="75"/>
      <c r="M33" s="76"/>
      <c r="N33" s="77"/>
      <c r="O33" s="81"/>
      <c r="P33" s="73"/>
      <c r="Q33" s="73"/>
      <c r="R33" s="73"/>
      <c r="S33" s="73"/>
      <c r="T33" s="80"/>
      <c r="U33" s="81"/>
      <c r="V33" s="73"/>
      <c r="W33" s="73"/>
      <c r="X33" s="73"/>
      <c r="Y33" s="64"/>
      <c r="Z33" s="64"/>
      <c r="AA33" s="64"/>
      <c r="AB33" s="80"/>
      <c r="AC33" s="69"/>
    </row>
    <row r="34" s="5" customFormat="1" ht="26" customHeight="1" spans="1:29">
      <c r="A34" s="63">
        <v>46384</v>
      </c>
      <c r="B34" s="73"/>
      <c r="C34" s="74"/>
      <c r="D34" s="75"/>
      <c r="E34" s="73"/>
      <c r="F34" s="74"/>
      <c r="G34" s="75"/>
      <c r="H34" s="75"/>
      <c r="I34" s="75"/>
      <c r="J34" s="75"/>
      <c r="K34" s="73"/>
      <c r="L34" s="75"/>
      <c r="M34" s="76"/>
      <c r="N34" s="77"/>
      <c r="O34" s="81"/>
      <c r="P34" s="73"/>
      <c r="Q34" s="73"/>
      <c r="R34" s="73"/>
      <c r="S34" s="73"/>
      <c r="T34" s="80"/>
      <c r="U34" s="81"/>
      <c r="V34" s="73"/>
      <c r="W34" s="73"/>
      <c r="X34" s="73"/>
      <c r="Y34" s="64"/>
      <c r="Z34" s="64"/>
      <c r="AA34" s="64"/>
      <c r="AB34" s="80"/>
      <c r="AC34" s="69"/>
    </row>
    <row r="35" s="5" customFormat="1" ht="26" customHeight="1" spans="1:29">
      <c r="A35" s="63">
        <v>46385</v>
      </c>
      <c r="B35" s="73"/>
      <c r="C35" s="74"/>
      <c r="D35" s="75"/>
      <c r="E35" s="86"/>
      <c r="F35" s="74"/>
      <c r="G35" s="75"/>
      <c r="H35" s="75"/>
      <c r="I35" s="75"/>
      <c r="J35" s="75"/>
      <c r="K35" s="86"/>
      <c r="L35" s="75"/>
      <c r="M35" s="76"/>
      <c r="N35" s="77"/>
      <c r="O35" s="81"/>
      <c r="P35" s="73"/>
      <c r="Q35" s="73"/>
      <c r="R35" s="73"/>
      <c r="S35" s="73"/>
      <c r="T35" s="80"/>
      <c r="U35" s="81"/>
      <c r="V35" s="73"/>
      <c r="W35" s="73"/>
      <c r="X35" s="73"/>
      <c r="Y35" s="64"/>
      <c r="Z35" s="64"/>
      <c r="AA35" s="64"/>
      <c r="AB35" s="80"/>
      <c r="AC35" s="69"/>
    </row>
    <row r="36" s="5" customFormat="1" ht="26" customHeight="1" spans="1:29">
      <c r="A36" s="63">
        <v>46386</v>
      </c>
      <c r="B36" s="73"/>
      <c r="C36" s="74"/>
      <c r="D36" s="75"/>
      <c r="E36" s="73"/>
      <c r="F36" s="74"/>
      <c r="G36" s="75"/>
      <c r="H36" s="75"/>
      <c r="I36" s="75"/>
      <c r="J36" s="75"/>
      <c r="K36" s="73"/>
      <c r="L36" s="75"/>
      <c r="M36" s="76"/>
      <c r="N36" s="77"/>
      <c r="O36" s="81"/>
      <c r="P36" s="73"/>
      <c r="Q36" s="73"/>
      <c r="R36" s="73"/>
      <c r="S36" s="73"/>
      <c r="T36" s="80"/>
      <c r="U36" s="81"/>
      <c r="V36" s="73"/>
      <c r="W36" s="73"/>
      <c r="X36" s="73"/>
      <c r="Y36" s="64"/>
      <c r="Z36" s="64"/>
      <c r="AA36" s="64"/>
      <c r="AB36" s="80"/>
      <c r="AC36" s="69"/>
    </row>
    <row r="37" s="5" customFormat="1" ht="26" customHeight="1" spans="1:29">
      <c r="A37" s="63">
        <v>46387</v>
      </c>
      <c r="B37" s="73"/>
      <c r="C37" s="74"/>
      <c r="D37" s="75"/>
      <c r="E37" s="73"/>
      <c r="F37" s="74"/>
      <c r="G37" s="75"/>
      <c r="H37" s="75"/>
      <c r="I37" s="75"/>
      <c r="J37" s="75"/>
      <c r="K37" s="73"/>
      <c r="L37" s="75"/>
      <c r="M37" s="76"/>
      <c r="N37" s="77"/>
      <c r="O37" s="81"/>
      <c r="P37" s="73"/>
      <c r="Q37" s="73"/>
      <c r="R37" s="73"/>
      <c r="S37" s="73"/>
      <c r="T37" s="80"/>
      <c r="U37" s="81"/>
      <c r="V37" s="73"/>
      <c r="W37" s="73"/>
      <c r="X37" s="73"/>
      <c r="Y37" s="64"/>
      <c r="Z37" s="64"/>
      <c r="AA37" s="64"/>
      <c r="AB37" s="80"/>
      <c r="AC37" s="69"/>
    </row>
    <row r="38" s="1" customFormat="1" spans="1:29">
      <c r="A38" s="87"/>
      <c r="B38" s="88"/>
      <c r="C38" s="89"/>
      <c r="D38" s="90"/>
      <c r="E38" s="88"/>
      <c r="F38" s="89"/>
      <c r="G38" s="91"/>
      <c r="H38" s="91"/>
      <c r="I38" s="91"/>
      <c r="J38" s="91"/>
      <c r="K38" s="91"/>
      <c r="L38" s="91"/>
      <c r="M38" s="92"/>
      <c r="N38" s="91"/>
    </row>
    <row r="39" s="1" customFormat="1" spans="1:29">
      <c r="A39" s="87"/>
      <c r="B39" s="88"/>
      <c r="C39" s="89"/>
      <c r="D39" s="90"/>
      <c r="E39" s="88"/>
      <c r="F39" s="89"/>
      <c r="G39" s="91"/>
      <c r="H39" s="91"/>
      <c r="I39" s="91"/>
      <c r="J39" s="91"/>
      <c r="K39" s="91"/>
      <c r="L39" s="91"/>
      <c r="M39" s="92"/>
      <c r="N39" s="91"/>
    </row>
    <row r="40" s="1" customFormat="1" spans="1:29">
      <c r="A40" s="87"/>
      <c r="B40" s="88"/>
      <c r="C40" s="89"/>
      <c r="D40" s="90"/>
      <c r="E40" s="88"/>
      <c r="F40" s="89"/>
      <c r="G40" s="91"/>
      <c r="H40" s="91"/>
      <c r="I40" s="91"/>
      <c r="J40" s="91"/>
      <c r="K40" s="91"/>
      <c r="L40" s="91"/>
      <c r="M40" s="92"/>
      <c r="N40" s="91"/>
    </row>
    <row r="41" s="1" customFormat="1" spans="1:29">
      <c r="A41" s="87"/>
      <c r="B41" s="88"/>
      <c r="C41" s="89"/>
      <c r="D41" s="90"/>
      <c r="E41" s="88"/>
      <c r="F41" s="89"/>
      <c r="G41" s="91"/>
      <c r="H41" s="91"/>
      <c r="I41" s="91"/>
      <c r="J41" s="91"/>
      <c r="K41" s="91"/>
      <c r="L41" s="91"/>
      <c r="M41" s="92"/>
      <c r="N41" s="91"/>
    </row>
    <row r="42" s="1" customFormat="1" spans="1:29">
      <c r="A42" s="87"/>
      <c r="B42" s="88"/>
      <c r="C42" s="89"/>
      <c r="D42" s="90"/>
      <c r="E42" s="88"/>
      <c r="F42" s="89"/>
      <c r="G42" s="91"/>
      <c r="H42" s="91"/>
      <c r="I42" s="91"/>
      <c r="J42" s="91"/>
      <c r="K42" s="91"/>
      <c r="L42" s="91"/>
      <c r="M42" s="92"/>
      <c r="N42" s="91"/>
    </row>
    <row r="43" s="1" customFormat="1" spans="1:29">
      <c r="A43" s="87"/>
      <c r="B43" s="88"/>
      <c r="C43" s="89"/>
      <c r="D43" s="90"/>
      <c r="E43" s="88"/>
      <c r="F43" s="89"/>
      <c r="G43" s="91"/>
      <c r="H43" s="91"/>
      <c r="I43" s="91"/>
      <c r="J43" s="91"/>
      <c r="K43" s="91"/>
      <c r="L43" s="91"/>
      <c r="M43" s="92"/>
      <c r="N43" s="91"/>
    </row>
    <row r="44" s="1" customFormat="1" spans="1:29">
      <c r="A44" s="87"/>
      <c r="B44" s="88"/>
      <c r="C44" s="89"/>
      <c r="D44" s="90"/>
      <c r="E44" s="88"/>
      <c r="F44" s="89"/>
      <c r="G44" s="91"/>
      <c r="H44" s="91"/>
      <c r="I44" s="91"/>
      <c r="J44" s="91"/>
      <c r="K44" s="91"/>
      <c r="L44" s="91"/>
      <c r="M44" s="92"/>
      <c r="N44" s="91"/>
    </row>
    <row r="45" s="1" customFormat="1" spans="1:29">
      <c r="A45" s="87"/>
      <c r="B45" s="88"/>
      <c r="C45" s="89"/>
      <c r="D45" s="90"/>
      <c r="E45" s="88"/>
      <c r="F45" s="89"/>
      <c r="G45" s="91"/>
      <c r="H45" s="91"/>
      <c r="I45" s="91"/>
      <c r="J45" s="91"/>
      <c r="K45" s="91"/>
      <c r="L45" s="91"/>
      <c r="M45" s="92"/>
      <c r="N45" s="91"/>
    </row>
    <row r="46" s="1" customFormat="1" spans="1:29">
      <c r="A46" s="87"/>
      <c r="B46" s="88"/>
      <c r="C46" s="89"/>
      <c r="D46" s="90"/>
      <c r="E46" s="88"/>
      <c r="F46" s="89"/>
      <c r="G46" s="91"/>
      <c r="H46" s="91"/>
      <c r="I46" s="91"/>
      <c r="J46" s="91"/>
      <c r="K46" s="91"/>
      <c r="L46" s="91"/>
      <c r="M46" s="92"/>
      <c r="N46" s="91"/>
    </row>
    <row r="47" s="1" customFormat="1" spans="1:2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2"/>
      <c r="N47" s="91"/>
    </row>
    <row r="48" s="1" customFormat="1" spans="1:2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2"/>
      <c r="N48" s="91"/>
    </row>
    <row r="49" s="1" customFormat="1" spans="1:2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2"/>
      <c r="N49" s="91"/>
      <c r="AC49" s="1">
        <v>119</v>
      </c>
    </row>
    <row r="50" s="1" customFormat="1" spans="1:2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2"/>
      <c r="N50" s="91"/>
      <c r="AC50" s="1">
        <v>87</v>
      </c>
    </row>
    <row r="51" s="1" customFormat="1" spans="1:2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2"/>
      <c r="N51" s="91"/>
      <c r="AC51" s="1">
        <v>69</v>
      </c>
    </row>
    <row r="52" s="1" customFormat="1" spans="1:29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2"/>
      <c r="N52" s="91"/>
      <c r="AC52" s="1">
        <v>104</v>
      </c>
    </row>
    <row r="53" s="1" customFormat="1" spans="1:29">
      <c r="M53" s="6"/>
      <c r="AC53" s="1">
        <v>106</v>
      </c>
    </row>
    <row r="54" s="1" customFormat="1" spans="1:29">
      <c r="M54" s="6"/>
      <c r="AC54" s="1">
        <v>105</v>
      </c>
    </row>
  </sheetData>
  <mergeCells count="13">
    <mergeCell ref="A1:AA1"/>
    <mergeCell ref="B2:N2"/>
    <mergeCell ref="O2:P2"/>
    <mergeCell ref="R2:S2"/>
    <mergeCell ref="U2:V2"/>
    <mergeCell ref="X2:Y2"/>
    <mergeCell ref="AA2:AB2"/>
    <mergeCell ref="B3:N3"/>
    <mergeCell ref="O3:R3"/>
    <mergeCell ref="U3:Z3"/>
    <mergeCell ref="A3:A5"/>
    <mergeCell ref="N4:N5"/>
    <mergeCell ref="AC3:A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咸宁</cp:lastModifiedBy>
  <dcterms:created xsi:type="dcterms:W3CDTF">2026-01-21T09:16:00Z</dcterms:created>
  <dcterms:modified xsi:type="dcterms:W3CDTF">2026-03-01T13:24:23Z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784135233C1B482C83DE761C521B3BEA_11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