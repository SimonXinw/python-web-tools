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145" windowHeight="12255"/>
  </bookViews>
  <sheets>
    <sheet name="全部" sheetId="10" r:id="rId1"/>
    <sheet name="教育部大学名单" sheetId="11" r:id="rId2"/>
    <sheet name="汇总" sheetId="3" r:id="rId3"/>
    <sheet name="本科" sheetId="2" r:id="rId4"/>
    <sheet name="专科" sheetId="1" r:id="rId5"/>
    <sheet name="985" sheetId="4" r:id="rId6"/>
    <sheet name="211" sheetId="7" r:id="rId7"/>
    <sheet name="双一流" sheetId="5" r:id="rId8"/>
    <sheet name="公式" sheetId="6" r:id="rId9"/>
  </sheets>
  <definedNames>
    <definedName name="_xlnm._FilterDatabase" localSheetId="2" hidden="1">汇总!$A$1:$K$2921</definedName>
    <definedName name="_xlnm._FilterDatabase" localSheetId="4" hidden="1">专科!#REF!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<sst xmlns="http://schemas.openxmlformats.org/spreadsheetml/2006/main" count="69172" uniqueCount="3893">
  <si>
    <t>序号</t>
  </si>
  <si>
    <t>学校名称</t>
  </si>
  <si>
    <t>主管部门</t>
  </si>
  <si>
    <t>省份</t>
  </si>
  <si>
    <t>城市</t>
  </si>
  <si>
    <t>双一流</t>
  </si>
  <si>
    <t>类型</t>
  </si>
  <si>
    <t>层次</t>
  </si>
  <si>
    <t>性质</t>
  </si>
  <si>
    <t>北京大学</t>
  </si>
  <si>
    <t>北京</t>
  </si>
  <si>
    <t>本科</t>
  </si>
  <si>
    <t>公办</t>
  </si>
  <si>
    <t>中国人民大学</t>
  </si>
  <si>
    <t>清华大学</t>
  </si>
  <si>
    <t>北京交通大学</t>
  </si>
  <si>
    <t>北京工业大学</t>
  </si>
  <si>
    <t>北京航空航天大学</t>
  </si>
  <si>
    <t>北京理工大学</t>
  </si>
  <si>
    <t>北京科技大学</t>
  </si>
  <si>
    <t>北方工业大学</t>
  </si>
  <si>
    <t>北京化工大学</t>
  </si>
  <si>
    <t>北京工商大学</t>
  </si>
  <si>
    <t>北京服装学院</t>
  </si>
  <si>
    <t>北京邮电大学</t>
  </si>
  <si>
    <t>北京印刷学院</t>
  </si>
  <si>
    <t>北京建筑大学</t>
  </si>
  <si>
    <t>北京石油化工学院</t>
  </si>
  <si>
    <t>北京电子科技学院</t>
  </si>
  <si>
    <t>中国农业大学</t>
  </si>
  <si>
    <t>北京农学院</t>
  </si>
  <si>
    <t>北京林业大学</t>
  </si>
  <si>
    <t>北京协和医学院</t>
  </si>
  <si>
    <t>首都医科大学</t>
  </si>
  <si>
    <t>北京中医药大学</t>
  </si>
  <si>
    <t>北京师范大学</t>
  </si>
  <si>
    <t>首都师范大学</t>
  </si>
  <si>
    <t>首都体育学院</t>
  </si>
  <si>
    <t>北京外国语大学</t>
  </si>
  <si>
    <t>北京第二外国语学院</t>
  </si>
  <si>
    <t>北京语言大学</t>
  </si>
  <si>
    <t>中国传媒大学</t>
  </si>
  <si>
    <t>中央财经大学</t>
  </si>
  <si>
    <t>对外经济贸易大学</t>
  </si>
  <si>
    <t>北京物资学院</t>
  </si>
  <si>
    <t>首都经济贸易大学</t>
  </si>
  <si>
    <t>中国消防救援学院</t>
  </si>
  <si>
    <t>外交学院</t>
  </si>
  <si>
    <t>中国人民公安大学</t>
  </si>
  <si>
    <t>国际关系学院</t>
  </si>
  <si>
    <t>北京体育大学</t>
  </si>
  <si>
    <t>中央音乐学院</t>
  </si>
  <si>
    <t>中国音乐学院</t>
  </si>
  <si>
    <t>中央美术学院</t>
  </si>
  <si>
    <t>中央戏剧学院</t>
  </si>
  <si>
    <t>中国戏曲学院</t>
  </si>
  <si>
    <t>北京电影学院</t>
  </si>
  <si>
    <t>北京舞蹈学院</t>
  </si>
  <si>
    <t>中央民族大学</t>
  </si>
  <si>
    <t>中国政法大学</t>
  </si>
  <si>
    <t>华北电力大学</t>
  </si>
  <si>
    <t>中华女子学院</t>
  </si>
  <si>
    <t>北京信息科技大学</t>
  </si>
  <si>
    <t>中国矿业大学（北京）</t>
  </si>
  <si>
    <t>中国石油大学（北京）</t>
  </si>
  <si>
    <t>中国地质大学（北京）</t>
  </si>
  <si>
    <t>北京联合大学</t>
  </si>
  <si>
    <t>中国青年政治学院</t>
  </si>
  <si>
    <t>首钢工学院</t>
  </si>
  <si>
    <t>中国劳动关系学院</t>
  </si>
  <si>
    <t>北京警察学院</t>
  </si>
  <si>
    <t>中国科学院大学</t>
  </si>
  <si>
    <t>中国社会科学院大学</t>
  </si>
  <si>
    <t>北京科技职业大学</t>
  </si>
  <si>
    <t>民政职业大学</t>
  </si>
  <si>
    <t>南开大学</t>
  </si>
  <si>
    <t>天津</t>
  </si>
  <si>
    <t>天津大学</t>
  </si>
  <si>
    <t>天津科技大学</t>
  </si>
  <si>
    <t>天津工业大学</t>
  </si>
  <si>
    <t>中国民航大学</t>
  </si>
  <si>
    <t>天津理工大学</t>
  </si>
  <si>
    <t>天津农学院</t>
  </si>
  <si>
    <t>天津医科大学</t>
  </si>
  <si>
    <t>天津中医药大学</t>
  </si>
  <si>
    <t>天津师范大学</t>
  </si>
  <si>
    <t>天津职业技术师范大学</t>
  </si>
  <si>
    <t>天津外国语大学</t>
  </si>
  <si>
    <t>天津商业大学</t>
  </si>
  <si>
    <t>天津财经大学</t>
  </si>
  <si>
    <t>天津体育学院</t>
  </si>
  <si>
    <t>天津音乐学院</t>
  </si>
  <si>
    <t>天津美术学院</t>
  </si>
  <si>
    <t>天津城建大学</t>
  </si>
  <si>
    <t>天津中德应用技术大学</t>
  </si>
  <si>
    <t>天津职业大学</t>
  </si>
  <si>
    <t>天津警察学院</t>
  </si>
  <si>
    <t>河北大学</t>
  </si>
  <si>
    <t>河北</t>
  </si>
  <si>
    <t>保定</t>
  </si>
  <si>
    <t>河北工程大学</t>
  </si>
  <si>
    <t>邯郸</t>
  </si>
  <si>
    <t>河北地质大学</t>
  </si>
  <si>
    <t>石家庄</t>
  </si>
  <si>
    <t>河北工业大学</t>
  </si>
  <si>
    <t>华北理工大学</t>
  </si>
  <si>
    <t>唐山</t>
  </si>
  <si>
    <t>河北科技大学</t>
  </si>
  <si>
    <t>河北建筑工程学院</t>
  </si>
  <si>
    <t>张家口</t>
  </si>
  <si>
    <t>河北水利电力学院</t>
  </si>
  <si>
    <t>沧州</t>
  </si>
  <si>
    <t>河北农业大学</t>
  </si>
  <si>
    <t>河北医科大学</t>
  </si>
  <si>
    <t>河北北方学院</t>
  </si>
  <si>
    <t>承德医学院</t>
  </si>
  <si>
    <t>承德</t>
  </si>
  <si>
    <t>河北师范大学</t>
  </si>
  <si>
    <t>保定学院</t>
  </si>
  <si>
    <t>河北民族师范学院</t>
  </si>
  <si>
    <t>唐山师范学院</t>
  </si>
  <si>
    <t>廊坊师范学院</t>
  </si>
  <si>
    <t>廊坊</t>
  </si>
  <si>
    <t>衡水学院</t>
  </si>
  <si>
    <t>衡水</t>
  </si>
  <si>
    <t>石家庄学院</t>
  </si>
  <si>
    <t>邯郸学院</t>
  </si>
  <si>
    <t>邢台学院</t>
  </si>
  <si>
    <t>邢台</t>
  </si>
  <si>
    <t>沧州师范学院</t>
  </si>
  <si>
    <t>石家庄铁道大学</t>
  </si>
  <si>
    <t>燕山大学</t>
  </si>
  <si>
    <t>秦皇岛</t>
  </si>
  <si>
    <t>河北科技师范学院</t>
  </si>
  <si>
    <t>唐山学院</t>
  </si>
  <si>
    <t>应急管理大学</t>
  </si>
  <si>
    <t>中国人民警察大学</t>
  </si>
  <si>
    <t>河北体育学院</t>
  </si>
  <si>
    <t>河北金融学院</t>
  </si>
  <si>
    <t>北华航天工业学院</t>
  </si>
  <si>
    <t>河北经贸大学</t>
  </si>
  <si>
    <t>中央司法警官学院</t>
  </si>
  <si>
    <t>河北工业职业技术大学</t>
  </si>
  <si>
    <t>河北科技工程职业技术大学</t>
  </si>
  <si>
    <t>河北石油职业技术大学</t>
  </si>
  <si>
    <t>河北中医药大学</t>
  </si>
  <si>
    <t>张家口学院</t>
  </si>
  <si>
    <t>河北环境工程学院</t>
  </si>
  <si>
    <t>唐山工业职业技术大学</t>
  </si>
  <si>
    <t>邢台医学院</t>
  </si>
  <si>
    <t>山西大学</t>
  </si>
  <si>
    <t>山西</t>
  </si>
  <si>
    <t>太原</t>
  </si>
  <si>
    <t>太原科技大学</t>
  </si>
  <si>
    <t>中北大学</t>
  </si>
  <si>
    <t>太原理工大学</t>
  </si>
  <si>
    <t>山西农业大学</t>
  </si>
  <si>
    <t>晋中</t>
  </si>
  <si>
    <t>山西医科大学</t>
  </si>
  <si>
    <t>长治医学院</t>
  </si>
  <si>
    <t>长治</t>
  </si>
  <si>
    <t>山西师范大学</t>
  </si>
  <si>
    <t>太原师范学院</t>
  </si>
  <si>
    <t>山西大同大学</t>
  </si>
  <si>
    <t>大同</t>
  </si>
  <si>
    <t>晋中学院</t>
  </si>
  <si>
    <t>长治学院</t>
  </si>
  <si>
    <t>运城学院</t>
  </si>
  <si>
    <t>运城</t>
  </si>
  <si>
    <t>忻州师范学院</t>
  </si>
  <si>
    <t>忻州</t>
  </si>
  <si>
    <t>山西财经大学</t>
  </si>
  <si>
    <t>山西中医药大学</t>
  </si>
  <si>
    <t>吕梁学院</t>
  </si>
  <si>
    <t>吕梁</t>
  </si>
  <si>
    <t>太原学院</t>
  </si>
  <si>
    <t>山西警察学院</t>
  </si>
  <si>
    <t>山西工程科技职业大学</t>
  </si>
  <si>
    <t>山西工学院</t>
  </si>
  <si>
    <t>朔州</t>
  </si>
  <si>
    <t>山西电子科技学院</t>
  </si>
  <si>
    <t>临汾</t>
  </si>
  <si>
    <t>山西科技学院</t>
  </si>
  <si>
    <t>晋城</t>
  </si>
  <si>
    <t>太原工业学院</t>
  </si>
  <si>
    <t>山西传媒学院</t>
  </si>
  <si>
    <t>山西工程技术学院</t>
  </si>
  <si>
    <t>阳泉</t>
  </si>
  <si>
    <t>山西能源学院</t>
  </si>
  <si>
    <t>山西文化旅游职业大学</t>
  </si>
  <si>
    <t>内蒙古大学</t>
  </si>
  <si>
    <t>内蒙古</t>
  </si>
  <si>
    <t>呼和浩特</t>
  </si>
  <si>
    <t>内蒙古科技大学</t>
  </si>
  <si>
    <t>包头</t>
  </si>
  <si>
    <t>内蒙古工业大学</t>
  </si>
  <si>
    <t>内蒙古农业大学</t>
  </si>
  <si>
    <t>内蒙古医科大学</t>
  </si>
  <si>
    <t>内蒙古师范大学</t>
  </si>
  <si>
    <t>内蒙古民族大学</t>
  </si>
  <si>
    <t>通辽</t>
  </si>
  <si>
    <t>赤峰大学</t>
  </si>
  <si>
    <t>赤峰</t>
  </si>
  <si>
    <t>内蒙古财经大学</t>
  </si>
  <si>
    <t>呼伦贝尔学院</t>
  </si>
  <si>
    <t>呼伦贝尔</t>
  </si>
  <si>
    <t>集宁师范学院</t>
  </si>
  <si>
    <t>乌兰察布</t>
  </si>
  <si>
    <t>河套学院</t>
  </si>
  <si>
    <t>巴彦淖尔</t>
  </si>
  <si>
    <t>呼和浩特民族学院</t>
  </si>
  <si>
    <t>内蒙古艺术学院</t>
  </si>
  <si>
    <t>鄂尔多斯应用技术学院</t>
  </si>
  <si>
    <t>鄂尔多斯</t>
  </si>
  <si>
    <t>内蒙古建筑职业技术大学</t>
  </si>
  <si>
    <t>兴安职业技术大学</t>
  </si>
  <si>
    <t>兴安</t>
  </si>
  <si>
    <t>呼和浩特职业技术大学</t>
  </si>
  <si>
    <t>内蒙古警察学院</t>
  </si>
  <si>
    <t>辽宁大学</t>
  </si>
  <si>
    <t>辽宁</t>
  </si>
  <si>
    <t>沈阳</t>
  </si>
  <si>
    <t>大连理工大学</t>
  </si>
  <si>
    <t>大连</t>
  </si>
  <si>
    <t>沈阳工业大学</t>
  </si>
  <si>
    <t>沈阳航空航天大学</t>
  </si>
  <si>
    <t>沈阳理工大学</t>
  </si>
  <si>
    <t>东北大学</t>
  </si>
  <si>
    <t>辽宁科技大学</t>
  </si>
  <si>
    <t>鞍山</t>
  </si>
  <si>
    <t>辽宁工程技术大学</t>
  </si>
  <si>
    <t>阜新</t>
  </si>
  <si>
    <t>辽宁石油化工大学</t>
  </si>
  <si>
    <t>抚顺</t>
  </si>
  <si>
    <t>沈阳化工大学</t>
  </si>
  <si>
    <t>大连交通大学</t>
  </si>
  <si>
    <t>大连海事大学</t>
  </si>
  <si>
    <t>大连工业大学</t>
  </si>
  <si>
    <t>沈阳建筑大学</t>
  </si>
  <si>
    <t>辽宁工业大学</t>
  </si>
  <si>
    <t>锦州</t>
  </si>
  <si>
    <t>沈阳农业大学</t>
  </si>
  <si>
    <t>大连海洋大学</t>
  </si>
  <si>
    <t>中国医科大学</t>
  </si>
  <si>
    <t>锦州医科大学</t>
  </si>
  <si>
    <t>大连医科大学</t>
  </si>
  <si>
    <t>辽宁中医药大学</t>
  </si>
  <si>
    <t>沈阳药科大学</t>
  </si>
  <si>
    <t>沈阳医学院</t>
  </si>
  <si>
    <t>辽宁师范大学</t>
  </si>
  <si>
    <t>沈阳师范大学</t>
  </si>
  <si>
    <t>渤海大学</t>
  </si>
  <si>
    <t>鞍山师范学院</t>
  </si>
  <si>
    <t>大连外国语大学</t>
  </si>
  <si>
    <t>东北财经大学</t>
  </si>
  <si>
    <t>中国刑事警察学院</t>
  </si>
  <si>
    <t>沈阳体育学院</t>
  </si>
  <si>
    <t>沈阳音乐学院</t>
  </si>
  <si>
    <t>鲁迅美术学院</t>
  </si>
  <si>
    <t>沈阳大学</t>
  </si>
  <si>
    <t>大连大学</t>
  </si>
  <si>
    <t>辽宁科技学院</t>
  </si>
  <si>
    <t>本溪</t>
  </si>
  <si>
    <t>辽宁警察学院</t>
  </si>
  <si>
    <t>沈阳工程学院</t>
  </si>
  <si>
    <t>辽东学院</t>
  </si>
  <si>
    <t>丹东</t>
  </si>
  <si>
    <t>大连民族大学</t>
  </si>
  <si>
    <t>营口理工学院</t>
  </si>
  <si>
    <t>营口</t>
  </si>
  <si>
    <t>朝阳师范学院</t>
  </si>
  <si>
    <t>朝阳</t>
  </si>
  <si>
    <t>吉林大学</t>
  </si>
  <si>
    <t>吉林</t>
  </si>
  <si>
    <t>长春</t>
  </si>
  <si>
    <t>延边大学</t>
  </si>
  <si>
    <t>延边</t>
  </si>
  <si>
    <t>长春理工大学</t>
  </si>
  <si>
    <t>东北电力大学</t>
  </si>
  <si>
    <t>吉林市</t>
  </si>
  <si>
    <t>长春工业大学</t>
  </si>
  <si>
    <t>吉林建筑大学</t>
  </si>
  <si>
    <t>吉林化工大学</t>
  </si>
  <si>
    <t>吉林农业大学</t>
  </si>
  <si>
    <t>长春中医药大学</t>
  </si>
  <si>
    <t>东北师范大学</t>
  </si>
  <si>
    <t>北华大学</t>
  </si>
  <si>
    <t>通化师范学院</t>
  </si>
  <si>
    <t>通化</t>
  </si>
  <si>
    <t>吉林师范大学</t>
  </si>
  <si>
    <t>四平</t>
  </si>
  <si>
    <t>吉林工程技术师范学院</t>
  </si>
  <si>
    <t>长春师范大学</t>
  </si>
  <si>
    <t>白城师范学院</t>
  </si>
  <si>
    <t>白城</t>
  </si>
  <si>
    <t>吉林财经大学</t>
  </si>
  <si>
    <t>吉林体育学院</t>
  </si>
  <si>
    <t>吉林艺术学院</t>
  </si>
  <si>
    <t>吉林工商学院</t>
  </si>
  <si>
    <t>长春工程学院</t>
  </si>
  <si>
    <t>吉林农业科技学院</t>
  </si>
  <si>
    <t>吉林警察学院</t>
  </si>
  <si>
    <t>长春大学</t>
  </si>
  <si>
    <t>吉林医药学院</t>
  </si>
  <si>
    <t>长春汽车职业技术大学</t>
  </si>
  <si>
    <t>长春职业技术大学</t>
  </si>
  <si>
    <t>吉林铁道职业技术大学</t>
  </si>
  <si>
    <t>黑龙江大学</t>
  </si>
  <si>
    <t>黑龙江</t>
  </si>
  <si>
    <t>哈尔滨</t>
  </si>
  <si>
    <t>哈尔滨工业大学</t>
  </si>
  <si>
    <t>哈尔滨理工大学</t>
  </si>
  <si>
    <t>哈尔滨工程大学</t>
  </si>
  <si>
    <t>黑龙江科技大学</t>
  </si>
  <si>
    <t>东北石油大学</t>
  </si>
  <si>
    <t>大庆</t>
  </si>
  <si>
    <t>佳木斯大学</t>
  </si>
  <si>
    <t>佳木斯</t>
  </si>
  <si>
    <t>黑龙江八一农垦大学</t>
  </si>
  <si>
    <t>东北农业大学</t>
  </si>
  <si>
    <t>东北林业大学</t>
  </si>
  <si>
    <t>哈尔滨医科大学</t>
  </si>
  <si>
    <t>黑龙江中医药大学</t>
  </si>
  <si>
    <t>牡丹江医科大学</t>
  </si>
  <si>
    <t>牡丹江</t>
  </si>
  <si>
    <t>哈尔滨师范大学</t>
  </si>
  <si>
    <t>齐齐哈尔大学</t>
  </si>
  <si>
    <t>齐齐哈尔</t>
  </si>
  <si>
    <t>牡丹江师范学院</t>
  </si>
  <si>
    <t>哈尔滨学院</t>
  </si>
  <si>
    <t>大庆师范学院</t>
  </si>
  <si>
    <t>绥化学院</t>
  </si>
  <si>
    <t>绥化</t>
  </si>
  <si>
    <t>哈尔滨商业大学</t>
  </si>
  <si>
    <t>哈尔滨体育学院</t>
  </si>
  <si>
    <t>哈尔滨金融学院</t>
  </si>
  <si>
    <t>齐齐哈尔医学院</t>
  </si>
  <si>
    <t>黑龙江工业学院</t>
  </si>
  <si>
    <t>鸡西</t>
  </si>
  <si>
    <t>黑龙江工程学院</t>
  </si>
  <si>
    <t>黑河学院</t>
  </si>
  <si>
    <t>黑河</t>
  </si>
  <si>
    <t>哈尔滨音乐学院</t>
  </si>
  <si>
    <t>哈尔滨建筑科技职业大学</t>
  </si>
  <si>
    <t>黑龙江农业工程职业技术大学</t>
  </si>
  <si>
    <t>哈尔滨职业技术大学</t>
  </si>
  <si>
    <t>复旦大学</t>
  </si>
  <si>
    <t>上海</t>
  </si>
  <si>
    <t>同济大学</t>
  </si>
  <si>
    <t>上海交通大学</t>
  </si>
  <si>
    <t>华东理工大学</t>
  </si>
  <si>
    <t>上海理工大学</t>
  </si>
  <si>
    <t>上海海事大学</t>
  </si>
  <si>
    <t>东华大学</t>
  </si>
  <si>
    <t>上海电力大学</t>
  </si>
  <si>
    <t>上海应用技术大学</t>
  </si>
  <si>
    <t>上海健康医学院</t>
  </si>
  <si>
    <t>上海海洋大学</t>
  </si>
  <si>
    <t>上海中医药大学</t>
  </si>
  <si>
    <t>华东师范大学</t>
  </si>
  <si>
    <t>上海师范大学</t>
  </si>
  <si>
    <t>上海外国语大学</t>
  </si>
  <si>
    <t>上海财经大学</t>
  </si>
  <si>
    <t>上海对外经贸大学</t>
  </si>
  <si>
    <t>上海海关学院</t>
  </si>
  <si>
    <t>华东政法大学</t>
  </si>
  <si>
    <t>上海体育大学</t>
  </si>
  <si>
    <t>上海音乐学院</t>
  </si>
  <si>
    <t>上海戏剧学院</t>
  </si>
  <si>
    <t>上海大学</t>
  </si>
  <si>
    <t>上海公安学院</t>
  </si>
  <si>
    <t>上海工程技术大学</t>
  </si>
  <si>
    <t>上海立信会计金融学院</t>
  </si>
  <si>
    <t>上海电机学院</t>
  </si>
  <si>
    <t>上海政法学院</t>
  </si>
  <si>
    <t>上海第二工业大学</t>
  </si>
  <si>
    <t>上海商学院</t>
  </si>
  <si>
    <t>上海科技大学</t>
  </si>
  <si>
    <t>南京大学</t>
  </si>
  <si>
    <t>江苏</t>
  </si>
  <si>
    <t>南京</t>
  </si>
  <si>
    <t>苏州大学</t>
  </si>
  <si>
    <t>苏州</t>
  </si>
  <si>
    <t>东南大学</t>
  </si>
  <si>
    <t>南京航空航天大学</t>
  </si>
  <si>
    <t>南京理工大学</t>
  </si>
  <si>
    <t>江苏科技大学</t>
  </si>
  <si>
    <t>镇江</t>
  </si>
  <si>
    <t>中国矿业大学</t>
  </si>
  <si>
    <t>徐州</t>
  </si>
  <si>
    <t>南京工业大学</t>
  </si>
  <si>
    <t>常州大学</t>
  </si>
  <si>
    <t>常州</t>
  </si>
  <si>
    <t>南京邮电大学</t>
  </si>
  <si>
    <t>河海大学</t>
  </si>
  <si>
    <t>江南大学</t>
  </si>
  <si>
    <t>无锡</t>
  </si>
  <si>
    <t>南京林业大学</t>
  </si>
  <si>
    <t>江苏大学</t>
  </si>
  <si>
    <t>南京信息工程大学</t>
  </si>
  <si>
    <t>南通大学</t>
  </si>
  <si>
    <t>南通</t>
  </si>
  <si>
    <t>盐城工学院</t>
  </si>
  <si>
    <t>盐城</t>
  </si>
  <si>
    <t>南京农业大学</t>
  </si>
  <si>
    <t>南京医科大学</t>
  </si>
  <si>
    <t>徐州医科大学</t>
  </si>
  <si>
    <t>南京中医药大学</t>
  </si>
  <si>
    <t>中国药科大学</t>
  </si>
  <si>
    <t>南京师范大学</t>
  </si>
  <si>
    <t>江苏师范大学</t>
  </si>
  <si>
    <t>淮阴师范学院</t>
  </si>
  <si>
    <t>淮安</t>
  </si>
  <si>
    <t>盐城师范学院</t>
  </si>
  <si>
    <t>南京财经大学</t>
  </si>
  <si>
    <t>江苏警官学院</t>
  </si>
  <si>
    <t>南京体育学院</t>
  </si>
  <si>
    <t>南京艺术学院</t>
  </si>
  <si>
    <t>苏州科技大学</t>
  </si>
  <si>
    <t>苏州工学院</t>
  </si>
  <si>
    <t>南京工业职业技术大学</t>
  </si>
  <si>
    <t>淮安大学</t>
  </si>
  <si>
    <t>常州工学院</t>
  </si>
  <si>
    <t>扬州大学</t>
  </si>
  <si>
    <t>扬州</t>
  </si>
  <si>
    <t>南京工程学院</t>
  </si>
  <si>
    <t>南京审计大学</t>
  </si>
  <si>
    <t>南京晓庄学院</t>
  </si>
  <si>
    <t>江苏理工学院</t>
  </si>
  <si>
    <t>江苏海洋大学</t>
  </si>
  <si>
    <t>连云港</t>
  </si>
  <si>
    <t>徐州工程学院</t>
  </si>
  <si>
    <t>南京特殊教育师范学院</t>
  </si>
  <si>
    <t>南京警察学院</t>
  </si>
  <si>
    <t>泰州学院</t>
  </si>
  <si>
    <t>泰州</t>
  </si>
  <si>
    <t>金陵科技学院</t>
  </si>
  <si>
    <t>无锡学院</t>
  </si>
  <si>
    <t>苏州城市学院</t>
  </si>
  <si>
    <t>宿迁学院</t>
  </si>
  <si>
    <t>宿迁</t>
  </si>
  <si>
    <t>江苏第二师范学院</t>
  </si>
  <si>
    <t>无锡职业技术大学</t>
  </si>
  <si>
    <t>江苏建筑职业技术大学</t>
  </si>
  <si>
    <t>苏州职业技术大学</t>
  </si>
  <si>
    <t>扬州职业技术大学</t>
  </si>
  <si>
    <t>连云港师范学院</t>
  </si>
  <si>
    <t>浙江大学</t>
  </si>
  <si>
    <t>浙江</t>
  </si>
  <si>
    <t>杭州</t>
  </si>
  <si>
    <t>杭州电子科技大学</t>
  </si>
  <si>
    <t>浙江工业大学</t>
  </si>
  <si>
    <t>浙江理工大学</t>
  </si>
  <si>
    <t>浙江海洋大学</t>
  </si>
  <si>
    <t>舟山</t>
  </si>
  <si>
    <t>浙江农林大学</t>
  </si>
  <si>
    <t>温州医科大学</t>
  </si>
  <si>
    <t>温州</t>
  </si>
  <si>
    <t>浙江中医药大学</t>
  </si>
  <si>
    <t>浙江师范大学</t>
  </si>
  <si>
    <t>金华</t>
  </si>
  <si>
    <t>杭州师范大学</t>
  </si>
  <si>
    <t>湖州师范大学</t>
  </si>
  <si>
    <t>湖州</t>
  </si>
  <si>
    <t>绍兴大学</t>
  </si>
  <si>
    <t>绍兴</t>
  </si>
  <si>
    <t>台州学院</t>
  </si>
  <si>
    <t>台州</t>
  </si>
  <si>
    <t>温州大学</t>
  </si>
  <si>
    <t>丽水学院</t>
  </si>
  <si>
    <t>丽水</t>
  </si>
  <si>
    <t>浙江工商大学</t>
  </si>
  <si>
    <t>嘉兴大学</t>
  </si>
  <si>
    <t>嘉兴</t>
  </si>
  <si>
    <t>中国美术学院</t>
  </si>
  <si>
    <t>中国计量大学</t>
  </si>
  <si>
    <t>浙江万里学院</t>
  </si>
  <si>
    <t>宁波</t>
  </si>
  <si>
    <t>浙江科技大学</t>
  </si>
  <si>
    <t>宁波工程学院</t>
  </si>
  <si>
    <t>浙江水利水电学院</t>
  </si>
  <si>
    <t>浙江财经大学</t>
  </si>
  <si>
    <t>浙江警察学院</t>
  </si>
  <si>
    <t>衢州学院</t>
  </si>
  <si>
    <t>衢州</t>
  </si>
  <si>
    <t>宁波大学</t>
  </si>
  <si>
    <t>浙江传媒学院</t>
  </si>
  <si>
    <t>浙大城市学院</t>
  </si>
  <si>
    <t>浙大宁波理工学院</t>
  </si>
  <si>
    <t>杭州医学院</t>
  </si>
  <si>
    <t>湖州学院</t>
  </si>
  <si>
    <t>绍兴理工学院</t>
  </si>
  <si>
    <t>温州理工学院</t>
  </si>
  <si>
    <t>嘉兴南湖学院</t>
  </si>
  <si>
    <t>浙江外国语学院</t>
  </si>
  <si>
    <t>浙江音乐学院</t>
  </si>
  <si>
    <t>浙江药科职业大学</t>
  </si>
  <si>
    <t>宁波职业技术大学</t>
  </si>
  <si>
    <t>金华职业技术大学</t>
  </si>
  <si>
    <t>浙江机电职业技术大学</t>
  </si>
  <si>
    <t>杭州职业技术大学</t>
  </si>
  <si>
    <t>安徽大学</t>
  </si>
  <si>
    <t>安徽</t>
  </si>
  <si>
    <t>合肥</t>
  </si>
  <si>
    <t>中国科学技术大学</t>
  </si>
  <si>
    <t>合肥工业大学</t>
  </si>
  <si>
    <t>安徽工业大学</t>
  </si>
  <si>
    <t>马鞍山</t>
  </si>
  <si>
    <t>安徽理工大学</t>
  </si>
  <si>
    <t>淮南</t>
  </si>
  <si>
    <t>安徽工程大学</t>
  </si>
  <si>
    <t>芜湖</t>
  </si>
  <si>
    <t>安徽农业大学</t>
  </si>
  <si>
    <t>安徽医科大学</t>
  </si>
  <si>
    <t>蚌埠医科大学</t>
  </si>
  <si>
    <t>蚌埠</t>
  </si>
  <si>
    <t>皖南医科大学</t>
  </si>
  <si>
    <t>安徽中医药大学</t>
  </si>
  <si>
    <t>安徽师范大学</t>
  </si>
  <si>
    <t>阜阳师范大学</t>
  </si>
  <si>
    <t>阜阳</t>
  </si>
  <si>
    <t>安庆师范大学</t>
  </si>
  <si>
    <t>安庆</t>
  </si>
  <si>
    <t>淮北师范大学</t>
  </si>
  <si>
    <t>淮北</t>
  </si>
  <si>
    <t>黄山学院</t>
  </si>
  <si>
    <t>黄山</t>
  </si>
  <si>
    <t>皖西学院</t>
  </si>
  <si>
    <t>六安</t>
  </si>
  <si>
    <t>滁州学院</t>
  </si>
  <si>
    <t>滁州</t>
  </si>
  <si>
    <t>安徽财经大学</t>
  </si>
  <si>
    <t>宿州学院</t>
  </si>
  <si>
    <t>宿州</t>
  </si>
  <si>
    <t>巢湖学院</t>
  </si>
  <si>
    <t>淮南师范学院</t>
  </si>
  <si>
    <t>铜陵学院</t>
  </si>
  <si>
    <t>铜陵</t>
  </si>
  <si>
    <t>安徽建筑大学</t>
  </si>
  <si>
    <t>安徽科技工程大学</t>
  </si>
  <si>
    <t>合肥大学</t>
  </si>
  <si>
    <t>蚌埠学院</t>
  </si>
  <si>
    <t>池州学院</t>
  </si>
  <si>
    <t>池州</t>
  </si>
  <si>
    <t>亳州学院</t>
  </si>
  <si>
    <t>亳州</t>
  </si>
  <si>
    <t>合肥理工学院</t>
  </si>
  <si>
    <t>合肥师范学院</t>
  </si>
  <si>
    <t>安徽艺术学院</t>
  </si>
  <si>
    <t>安徽职业技术大学</t>
  </si>
  <si>
    <t>芜湖职业技术大学</t>
  </si>
  <si>
    <t>安徽第二医学院</t>
  </si>
  <si>
    <t>厦门大学</t>
  </si>
  <si>
    <t>福建</t>
  </si>
  <si>
    <t>厦门</t>
  </si>
  <si>
    <t>华侨大学</t>
  </si>
  <si>
    <t>泉州</t>
  </si>
  <si>
    <t>福州大学</t>
  </si>
  <si>
    <t>福州</t>
  </si>
  <si>
    <t>福建理工大学</t>
  </si>
  <si>
    <t>福建农林大学</t>
  </si>
  <si>
    <t>集美大学</t>
  </si>
  <si>
    <t>福建医科大学</t>
  </si>
  <si>
    <t>福建中医药大学</t>
  </si>
  <si>
    <t>福建师范大学</t>
  </si>
  <si>
    <t>闽江大学</t>
  </si>
  <si>
    <t>武夷学院</t>
  </si>
  <si>
    <t>南平</t>
  </si>
  <si>
    <t>宁德师范学院</t>
  </si>
  <si>
    <t>宁德</t>
  </si>
  <si>
    <t>泉州师范学院</t>
  </si>
  <si>
    <t>闽南师范大学</t>
  </si>
  <si>
    <t>漳州</t>
  </si>
  <si>
    <t>厦门理工学院</t>
  </si>
  <si>
    <t>三明学院</t>
  </si>
  <si>
    <t>三明</t>
  </si>
  <si>
    <t>龙岩学院</t>
  </si>
  <si>
    <t>龙岩</t>
  </si>
  <si>
    <t>福建商学院</t>
  </si>
  <si>
    <t>福建警察学院</t>
  </si>
  <si>
    <t>莆田学院</t>
  </si>
  <si>
    <t>莆田</t>
  </si>
  <si>
    <t>厦门医学院</t>
  </si>
  <si>
    <t>福建江夏学院</t>
  </si>
  <si>
    <t>福建技术师范学院</t>
  </si>
  <si>
    <t>黎明职业大学</t>
  </si>
  <si>
    <t>南昌大学</t>
  </si>
  <si>
    <t>江西</t>
  </si>
  <si>
    <t>南昌</t>
  </si>
  <si>
    <t>华东交通大学</t>
  </si>
  <si>
    <t>东华理工大学</t>
  </si>
  <si>
    <t>抚州</t>
  </si>
  <si>
    <t>南昌航空大学</t>
  </si>
  <si>
    <t>江西理工大学</t>
  </si>
  <si>
    <t>赣州</t>
  </si>
  <si>
    <t>景德镇陶瓷大学</t>
  </si>
  <si>
    <t>景德镇</t>
  </si>
  <si>
    <t>江西农业大学</t>
  </si>
  <si>
    <t>江西中医药大学</t>
  </si>
  <si>
    <t>赣南医科大学</t>
  </si>
  <si>
    <t>江西师范大学</t>
  </si>
  <si>
    <t>上饶师范学院</t>
  </si>
  <si>
    <t>上饶</t>
  </si>
  <si>
    <t>宜春学院</t>
  </si>
  <si>
    <t>宜春</t>
  </si>
  <si>
    <t>赣南师范大学</t>
  </si>
  <si>
    <t>井冈山大学</t>
  </si>
  <si>
    <t>吉安</t>
  </si>
  <si>
    <t>江西财经大学</t>
  </si>
  <si>
    <t>景德镇学院</t>
  </si>
  <si>
    <t>萍乡学院</t>
  </si>
  <si>
    <t>萍乡</t>
  </si>
  <si>
    <t>江西科技师范大学</t>
  </si>
  <si>
    <t>江西水利电力大学</t>
  </si>
  <si>
    <t>江西警察学院</t>
  </si>
  <si>
    <t>新余学院</t>
  </si>
  <si>
    <t>新余</t>
  </si>
  <si>
    <t>九江学院</t>
  </si>
  <si>
    <t>九江</t>
  </si>
  <si>
    <t>赣东学院</t>
  </si>
  <si>
    <t>赣南科技学院</t>
  </si>
  <si>
    <t>南昌医学院</t>
  </si>
  <si>
    <t>豫章师范学院</t>
  </si>
  <si>
    <t>南昌师范学院</t>
  </si>
  <si>
    <t>江西职业技术大学</t>
  </si>
  <si>
    <t>抚州医药学院</t>
  </si>
  <si>
    <t>江西飞行学院</t>
  </si>
  <si>
    <t>山东大学</t>
  </si>
  <si>
    <t>山东</t>
  </si>
  <si>
    <t>济南</t>
  </si>
  <si>
    <t>中国海洋大学</t>
  </si>
  <si>
    <t>青岛</t>
  </si>
  <si>
    <t>山东科技大学</t>
  </si>
  <si>
    <t>中国石油大学（华东）</t>
  </si>
  <si>
    <t>青岛科技大学</t>
  </si>
  <si>
    <t>济南大学</t>
  </si>
  <si>
    <t>青岛理工大学</t>
  </si>
  <si>
    <t>山东建筑大学</t>
  </si>
  <si>
    <t>齐鲁工业大学</t>
  </si>
  <si>
    <t>山东理工大学</t>
  </si>
  <si>
    <t>淄博</t>
  </si>
  <si>
    <t>山东农业大学</t>
  </si>
  <si>
    <t>泰安</t>
  </si>
  <si>
    <t>青岛农业大学</t>
  </si>
  <si>
    <t>山东第二医科大学</t>
  </si>
  <si>
    <t>潍坊</t>
  </si>
  <si>
    <t>山东第一医科大学</t>
  </si>
  <si>
    <t>山东医药大学</t>
  </si>
  <si>
    <t>滨州</t>
  </si>
  <si>
    <t>山东中医药大学</t>
  </si>
  <si>
    <t>济宁医学院</t>
  </si>
  <si>
    <t>济宁</t>
  </si>
  <si>
    <t>山东师范大学</t>
  </si>
  <si>
    <t>曲阜师范大学</t>
  </si>
  <si>
    <t>聊城大学</t>
  </si>
  <si>
    <t>聊城</t>
  </si>
  <si>
    <t>德州学院</t>
  </si>
  <si>
    <t>德州</t>
  </si>
  <si>
    <t>山东航空学院</t>
  </si>
  <si>
    <t>鲁东大学</t>
  </si>
  <si>
    <t>烟台</t>
  </si>
  <si>
    <t>临沂大学</t>
  </si>
  <si>
    <t>临沂</t>
  </si>
  <si>
    <t>泰山学院</t>
  </si>
  <si>
    <t>济宁学院</t>
  </si>
  <si>
    <t>菏泽学院</t>
  </si>
  <si>
    <t>菏泽</t>
  </si>
  <si>
    <t>山东财经大学</t>
  </si>
  <si>
    <t>山东体育学院</t>
  </si>
  <si>
    <t>山东艺术学院</t>
  </si>
  <si>
    <t>枣庄学院</t>
  </si>
  <si>
    <t>枣庄</t>
  </si>
  <si>
    <t>山东工艺美术学院</t>
  </si>
  <si>
    <t>青岛大学</t>
  </si>
  <si>
    <t>烟台大学</t>
  </si>
  <si>
    <t>潍坊学院</t>
  </si>
  <si>
    <t>山东警察学院</t>
  </si>
  <si>
    <t>山东交通学院</t>
  </si>
  <si>
    <t>山东工商学院</t>
  </si>
  <si>
    <t>山东女子学院</t>
  </si>
  <si>
    <t>山东石油化工学院</t>
  </si>
  <si>
    <t>东营</t>
  </si>
  <si>
    <t>山东政法学院</t>
  </si>
  <si>
    <t>齐鲁师范学院</t>
  </si>
  <si>
    <t>山东青年政治学院</t>
  </si>
  <si>
    <t>山东管理学院</t>
  </si>
  <si>
    <t>山东农业工程学院</t>
  </si>
  <si>
    <t>日照职业技术大学</t>
  </si>
  <si>
    <t>日照</t>
  </si>
  <si>
    <t>滨州职业技术大学</t>
  </si>
  <si>
    <t>淄博职业技术大学</t>
  </si>
  <si>
    <t>华北水利水电大学</t>
  </si>
  <si>
    <t>河南</t>
  </si>
  <si>
    <t>郑州</t>
  </si>
  <si>
    <t>郑州大学</t>
  </si>
  <si>
    <t>河南理工大学</t>
  </si>
  <si>
    <t>焦作</t>
  </si>
  <si>
    <t>郑州轻工业大学</t>
  </si>
  <si>
    <t>河南工业大学</t>
  </si>
  <si>
    <t>河南科技大学</t>
  </si>
  <si>
    <t>洛阳</t>
  </si>
  <si>
    <t>中原工学院</t>
  </si>
  <si>
    <t>河南农业大学</t>
  </si>
  <si>
    <t>河南科技学院</t>
  </si>
  <si>
    <t>新乡</t>
  </si>
  <si>
    <t>河南牧业经济学院</t>
  </si>
  <si>
    <t>河南中医药大学</t>
  </si>
  <si>
    <t>河南医药大学</t>
  </si>
  <si>
    <t>河南大学</t>
  </si>
  <si>
    <t>开封</t>
  </si>
  <si>
    <t>河南师范大学</t>
  </si>
  <si>
    <t>信阳师范大学</t>
  </si>
  <si>
    <t>信阳</t>
  </si>
  <si>
    <t>周口师范学院</t>
  </si>
  <si>
    <t>周口</t>
  </si>
  <si>
    <t>安阳师范学院</t>
  </si>
  <si>
    <t>安阳</t>
  </si>
  <si>
    <t>许昌学院</t>
  </si>
  <si>
    <t>许昌</t>
  </si>
  <si>
    <t>南阳师范学院</t>
  </si>
  <si>
    <t>南阳</t>
  </si>
  <si>
    <t>洛阳师范学院</t>
  </si>
  <si>
    <t>商丘师范学院</t>
  </si>
  <si>
    <t>商丘</t>
  </si>
  <si>
    <t>河南财经政法大学</t>
  </si>
  <si>
    <t>郑州航空工业管理学院</t>
  </si>
  <si>
    <t>黄淮学院</t>
  </si>
  <si>
    <t>驻马店</t>
  </si>
  <si>
    <t>平顶山学院</t>
  </si>
  <si>
    <t>平顶山</t>
  </si>
  <si>
    <t>郑州工程技术学院</t>
  </si>
  <si>
    <t>洛阳理工学院</t>
  </si>
  <si>
    <t>新乡学院</t>
  </si>
  <si>
    <t>信阳农林学院</t>
  </si>
  <si>
    <t>河南工学院</t>
  </si>
  <si>
    <t>安阳工学院</t>
  </si>
  <si>
    <t>河南工程学院</t>
  </si>
  <si>
    <t>河南财政金融学院</t>
  </si>
  <si>
    <t>南阳理工学院</t>
  </si>
  <si>
    <t>河南城建学院</t>
  </si>
  <si>
    <t>河南警察学院</t>
  </si>
  <si>
    <t>郑州警察学院</t>
  </si>
  <si>
    <t>郑州师范学院</t>
  </si>
  <si>
    <t>黄河水利职业技术大学</t>
  </si>
  <si>
    <t>河南工业职业技术大学</t>
  </si>
  <si>
    <t>武汉大学</t>
  </si>
  <si>
    <t>湖北</t>
  </si>
  <si>
    <t>武汉</t>
  </si>
  <si>
    <t>华中科技大学</t>
  </si>
  <si>
    <t>武汉科技大学</t>
  </si>
  <si>
    <t>长江大学</t>
  </si>
  <si>
    <t>荆州</t>
  </si>
  <si>
    <t>武汉工程大学</t>
  </si>
  <si>
    <t>中国地质大学（武汉）</t>
  </si>
  <si>
    <t>武汉纺织大学</t>
  </si>
  <si>
    <t>武汉轻工大学</t>
  </si>
  <si>
    <t>武汉理工大学</t>
  </si>
  <si>
    <t>湖北工业大学</t>
  </si>
  <si>
    <t>华中农业大学</t>
  </si>
  <si>
    <t>湖北中医药大学</t>
  </si>
  <si>
    <t>华中师范大学</t>
  </si>
  <si>
    <t>湖北大学</t>
  </si>
  <si>
    <t>湖北师范大学</t>
  </si>
  <si>
    <t>黄石</t>
  </si>
  <si>
    <t>黄冈师范学院</t>
  </si>
  <si>
    <t>黄冈</t>
  </si>
  <si>
    <t>湖北民族大学</t>
  </si>
  <si>
    <t>恩施</t>
  </si>
  <si>
    <t>汉江师范学院</t>
  </si>
  <si>
    <t>十堰</t>
  </si>
  <si>
    <t>湖北文理学院</t>
  </si>
  <si>
    <t>襄阳</t>
  </si>
  <si>
    <t>中南财经政法大学</t>
  </si>
  <si>
    <t>武汉体育学院</t>
  </si>
  <si>
    <t>湖北美术学院</t>
  </si>
  <si>
    <t>中南民族大学</t>
  </si>
  <si>
    <t>湖北汽车工业学院</t>
  </si>
  <si>
    <t>湖北工程学院</t>
  </si>
  <si>
    <t>孝感</t>
  </si>
  <si>
    <t>湖北理工学院</t>
  </si>
  <si>
    <t>湖北科技学院</t>
  </si>
  <si>
    <t>咸宁</t>
  </si>
  <si>
    <t>湖北医药学院</t>
  </si>
  <si>
    <t>江汉大学</t>
  </si>
  <si>
    <t>三峡大学</t>
  </si>
  <si>
    <t>宜昌</t>
  </si>
  <si>
    <t>湖北警官学院</t>
  </si>
  <si>
    <t>荆楚理工学院</t>
  </si>
  <si>
    <t>荆门</t>
  </si>
  <si>
    <t>武汉音乐学院</t>
  </si>
  <si>
    <t>湖北经济学院</t>
  </si>
  <si>
    <t>武汉商学院</t>
  </si>
  <si>
    <t>湖北第二师范学院</t>
  </si>
  <si>
    <t>武汉职业技术大学</t>
  </si>
  <si>
    <t>黄冈职业技术大学</t>
  </si>
  <si>
    <t>襄阳职业技术大学</t>
  </si>
  <si>
    <t>湘潭大学</t>
  </si>
  <si>
    <t>湖南</t>
  </si>
  <si>
    <t>湘潭</t>
  </si>
  <si>
    <t>吉首大学</t>
  </si>
  <si>
    <t>湘西</t>
  </si>
  <si>
    <t>湖南大学</t>
  </si>
  <si>
    <t>长沙</t>
  </si>
  <si>
    <t>中南大学</t>
  </si>
  <si>
    <t>湖南科技大学</t>
  </si>
  <si>
    <t>长沙理工大学</t>
  </si>
  <si>
    <t>湖南农业大学</t>
  </si>
  <si>
    <t>中南林业科技大学</t>
  </si>
  <si>
    <t>湖南中医药大学</t>
  </si>
  <si>
    <t>湖南师范大学</t>
  </si>
  <si>
    <t>湖南理工大学</t>
  </si>
  <si>
    <t>岳阳</t>
  </si>
  <si>
    <t>湘南学院</t>
  </si>
  <si>
    <t>郴州</t>
  </si>
  <si>
    <t>衡阳师范学院</t>
  </si>
  <si>
    <t>衡阳</t>
  </si>
  <si>
    <t>邵阳学院</t>
  </si>
  <si>
    <t>邵阳</t>
  </si>
  <si>
    <t>怀化学院</t>
  </si>
  <si>
    <t>怀化</t>
  </si>
  <si>
    <t>湖南文理学院</t>
  </si>
  <si>
    <t>常德</t>
  </si>
  <si>
    <t>湖南科技学院</t>
  </si>
  <si>
    <t>永州</t>
  </si>
  <si>
    <t>湖南人文科技学院</t>
  </si>
  <si>
    <t>娄底</t>
  </si>
  <si>
    <t>湖南工商大学</t>
  </si>
  <si>
    <t>南华大学</t>
  </si>
  <si>
    <t>长沙学院</t>
  </si>
  <si>
    <t>湖南工程学院</t>
  </si>
  <si>
    <t>湖南城市学院</t>
  </si>
  <si>
    <t>益阳</t>
  </si>
  <si>
    <t>湖南工学院</t>
  </si>
  <si>
    <t>湖南财政经济学院</t>
  </si>
  <si>
    <t>湖南警察学院</t>
  </si>
  <si>
    <t>湖南工业大学</t>
  </si>
  <si>
    <t>株洲</t>
  </si>
  <si>
    <t>湖南女子学院</t>
  </si>
  <si>
    <t>湖南第一师范学院</t>
  </si>
  <si>
    <t>湖南医药学院</t>
  </si>
  <si>
    <t>长沙工业学院</t>
  </si>
  <si>
    <t>长沙师范学院</t>
  </si>
  <si>
    <t>湖南汽车工程职业大学</t>
  </si>
  <si>
    <t>中山大学</t>
  </si>
  <si>
    <t>广东</t>
  </si>
  <si>
    <t>广州</t>
  </si>
  <si>
    <t>暨南大学</t>
  </si>
  <si>
    <t>汕头大学</t>
  </si>
  <si>
    <t>汕头</t>
  </si>
  <si>
    <t>华南理工大学</t>
  </si>
  <si>
    <t>华南农业大学</t>
  </si>
  <si>
    <t>广东海洋大学</t>
  </si>
  <si>
    <t>湛江</t>
  </si>
  <si>
    <t>广州医科大学</t>
  </si>
  <si>
    <t>广东医科大学</t>
  </si>
  <si>
    <t>广州中医药大学</t>
  </si>
  <si>
    <t>广东药科大学</t>
  </si>
  <si>
    <t>华南师范大学</t>
  </si>
  <si>
    <t>韶关学院</t>
  </si>
  <si>
    <t>韶关</t>
  </si>
  <si>
    <t>惠州学院</t>
  </si>
  <si>
    <t>惠州</t>
  </si>
  <si>
    <t>韩山师范学院</t>
  </si>
  <si>
    <t>潮州</t>
  </si>
  <si>
    <t>岭南师范学院</t>
  </si>
  <si>
    <t>肇庆学院</t>
  </si>
  <si>
    <t>肇庆</t>
  </si>
  <si>
    <t>嘉应学院</t>
  </si>
  <si>
    <t>梅州</t>
  </si>
  <si>
    <t>广州体育学院</t>
  </si>
  <si>
    <t>广州美术学院</t>
  </si>
  <si>
    <t>星海音乐学院</t>
  </si>
  <si>
    <t>广东技术师范大学</t>
  </si>
  <si>
    <t>深圳大学</t>
  </si>
  <si>
    <t>深圳</t>
  </si>
  <si>
    <t>广东财经大学</t>
  </si>
  <si>
    <t>广州大学</t>
  </si>
  <si>
    <t>广州航海学院</t>
  </si>
  <si>
    <t>广东警官学院</t>
  </si>
  <si>
    <t>仲恺农业工程学院</t>
  </si>
  <si>
    <t>五邑大学</t>
  </si>
  <si>
    <t>江门</t>
  </si>
  <si>
    <t>广东金融学院</t>
  </si>
  <si>
    <t>广东石油化工学院</t>
  </si>
  <si>
    <t>茂名</t>
  </si>
  <si>
    <t>东莞理工学院</t>
  </si>
  <si>
    <t>东莞</t>
  </si>
  <si>
    <t>广东工业大学</t>
  </si>
  <si>
    <t>广东外语外贸大学</t>
  </si>
  <si>
    <t>佛山大学</t>
  </si>
  <si>
    <t>佛山</t>
  </si>
  <si>
    <t>南方医科大学</t>
  </si>
  <si>
    <t>广东第二师范学院</t>
  </si>
  <si>
    <t>南方科技大学</t>
  </si>
  <si>
    <t>深圳技术大学</t>
  </si>
  <si>
    <t>顺德职业技术大学</t>
  </si>
  <si>
    <t>广东轻工职业技术大学</t>
  </si>
  <si>
    <t>深圳职业技术大学</t>
  </si>
  <si>
    <t>广州职业技术大学</t>
  </si>
  <si>
    <t>深圳信息职业技术大学</t>
  </si>
  <si>
    <t>肇庆医学院</t>
  </si>
  <si>
    <t>广西大学</t>
  </si>
  <si>
    <t>广西</t>
  </si>
  <si>
    <t>南宁</t>
  </si>
  <si>
    <t>广西科技大学</t>
  </si>
  <si>
    <t>柳州</t>
  </si>
  <si>
    <t>桂林电子科技大学</t>
  </si>
  <si>
    <t>桂林</t>
  </si>
  <si>
    <t>桂林理工大学</t>
  </si>
  <si>
    <t>广西医科大学</t>
  </si>
  <si>
    <t>右江民族医学院</t>
  </si>
  <si>
    <t>百色</t>
  </si>
  <si>
    <t>广西中医药大学</t>
  </si>
  <si>
    <t>桂林医科大学</t>
  </si>
  <si>
    <t>广西师范大学</t>
  </si>
  <si>
    <t>南宁师范大学</t>
  </si>
  <si>
    <t>广西民族师范学院</t>
  </si>
  <si>
    <t>崇左</t>
  </si>
  <si>
    <t>河池学院</t>
  </si>
  <si>
    <t>河池</t>
  </si>
  <si>
    <t>玉林师范学院</t>
  </si>
  <si>
    <t>玉林</t>
  </si>
  <si>
    <t>广西艺术学院</t>
  </si>
  <si>
    <t>广西民族大学</t>
  </si>
  <si>
    <t>百色学院</t>
  </si>
  <si>
    <t>梧州学院</t>
  </si>
  <si>
    <t>梧州</t>
  </si>
  <si>
    <t>广西科技师范学院</t>
  </si>
  <si>
    <t>来宾</t>
  </si>
  <si>
    <t>广西财经学院</t>
  </si>
  <si>
    <t>北部湾大学</t>
  </si>
  <si>
    <t>钦州</t>
  </si>
  <si>
    <t>桂林航天工业学院</t>
  </si>
  <si>
    <t>桂林旅游学院</t>
  </si>
  <si>
    <t>贺州学院</t>
  </si>
  <si>
    <t>贺州</t>
  </si>
  <si>
    <t>广西警察学院</t>
  </si>
  <si>
    <t>广西农业职业技术大学</t>
  </si>
  <si>
    <t>广西职业师范学院</t>
  </si>
  <si>
    <t>南宁职业技术大学</t>
  </si>
  <si>
    <t>桂林师范学院</t>
  </si>
  <si>
    <t>柳州职业技术大学</t>
  </si>
  <si>
    <t>海南大学</t>
  </si>
  <si>
    <t>海南</t>
  </si>
  <si>
    <t>海口</t>
  </si>
  <si>
    <t>海南热带海洋学院</t>
  </si>
  <si>
    <t>三亚</t>
  </si>
  <si>
    <t>海南师范大学</t>
  </si>
  <si>
    <t>海南医科大学</t>
  </si>
  <si>
    <t>琼台师范学院</t>
  </si>
  <si>
    <t>重庆大学</t>
  </si>
  <si>
    <t>重庆</t>
  </si>
  <si>
    <t>重庆邮电大学</t>
  </si>
  <si>
    <t>重庆交通大学</t>
  </si>
  <si>
    <t>重庆医科大学</t>
  </si>
  <si>
    <t>西南大学</t>
  </si>
  <si>
    <t>重庆师范大学</t>
  </si>
  <si>
    <t>重庆文理学院</t>
  </si>
  <si>
    <t>重庆三峡科技大学</t>
  </si>
  <si>
    <t>长江师范学院</t>
  </si>
  <si>
    <t>四川外国语大学</t>
  </si>
  <si>
    <t>西南政法大学</t>
  </si>
  <si>
    <t>四川美术学院</t>
  </si>
  <si>
    <t>重庆科技大学</t>
  </si>
  <si>
    <t>重庆理工大学</t>
  </si>
  <si>
    <t>重庆工商大学</t>
  </si>
  <si>
    <t>重庆警察学院</t>
  </si>
  <si>
    <t>重庆第二师范学院</t>
  </si>
  <si>
    <t>重庆工业职业技术大学</t>
  </si>
  <si>
    <t>重庆电子科技职业大学</t>
  </si>
  <si>
    <t>四川大学</t>
  </si>
  <si>
    <t>四川</t>
  </si>
  <si>
    <t>成都</t>
  </si>
  <si>
    <t>西南交通大学</t>
  </si>
  <si>
    <t>电子科技大学</t>
  </si>
  <si>
    <t>西南石油大学</t>
  </si>
  <si>
    <t>成都理工大学</t>
  </si>
  <si>
    <t>西南科技大学</t>
  </si>
  <si>
    <t>绵阳</t>
  </si>
  <si>
    <t>成都信息工程大学</t>
  </si>
  <si>
    <t>四川轻化工大学</t>
  </si>
  <si>
    <t>自贡</t>
  </si>
  <si>
    <t>西华大学</t>
  </si>
  <si>
    <t>中国民用航空飞行学院</t>
  </si>
  <si>
    <t>德阳</t>
  </si>
  <si>
    <t>四川农业大学</t>
  </si>
  <si>
    <t>雅安</t>
  </si>
  <si>
    <t>西昌学院</t>
  </si>
  <si>
    <t>凉山</t>
  </si>
  <si>
    <t>西南医科大学</t>
  </si>
  <si>
    <t>泸州</t>
  </si>
  <si>
    <t>成都中医药大学</t>
  </si>
  <si>
    <t>川北医学院</t>
  </si>
  <si>
    <t>南充</t>
  </si>
  <si>
    <t>四川师范大学</t>
  </si>
  <si>
    <t>西华师范大学</t>
  </si>
  <si>
    <t>绵阳师范学院</t>
  </si>
  <si>
    <t>内江师范学院</t>
  </si>
  <si>
    <t>内江</t>
  </si>
  <si>
    <t>宜宾学院</t>
  </si>
  <si>
    <t>宜宾</t>
  </si>
  <si>
    <t>四川文理学院</t>
  </si>
  <si>
    <t>达州</t>
  </si>
  <si>
    <t>阿坝师范学院</t>
  </si>
  <si>
    <t>阿坝</t>
  </si>
  <si>
    <t>乐山师范学院</t>
  </si>
  <si>
    <t>乐山</t>
  </si>
  <si>
    <t>西南财经大学</t>
  </si>
  <si>
    <t>成都体育学院</t>
  </si>
  <si>
    <t>四川音乐学院</t>
  </si>
  <si>
    <t>西南民族大学</t>
  </si>
  <si>
    <t>成都大学</t>
  </si>
  <si>
    <t>成都工业学院</t>
  </si>
  <si>
    <t>攀枝花学院</t>
  </si>
  <si>
    <t>攀枝花</t>
  </si>
  <si>
    <t>四川旅游学院</t>
  </si>
  <si>
    <t>四川民族学院</t>
  </si>
  <si>
    <t>甘孜</t>
  </si>
  <si>
    <t>四川警察学院</t>
  </si>
  <si>
    <t>成都医学院</t>
  </si>
  <si>
    <t>成都师范学院</t>
  </si>
  <si>
    <t>成都轻工职业技术大学</t>
  </si>
  <si>
    <t>成都航空职业技术大学</t>
  </si>
  <si>
    <t>四川工程职业技术大学</t>
  </si>
  <si>
    <t>四川建筑职业技术大学</t>
  </si>
  <si>
    <t>贵州大学</t>
  </si>
  <si>
    <t>贵州</t>
  </si>
  <si>
    <t>贵阳</t>
  </si>
  <si>
    <t>贵州医科大学</t>
  </si>
  <si>
    <t>遵义医科大学</t>
  </si>
  <si>
    <t>遵义</t>
  </si>
  <si>
    <t>贵州中医药大学</t>
  </si>
  <si>
    <t>贵州师范大学</t>
  </si>
  <si>
    <t>遵义师范学院</t>
  </si>
  <si>
    <t>铜仁学院</t>
  </si>
  <si>
    <t>铜仁</t>
  </si>
  <si>
    <t>兴义民族师范学院</t>
  </si>
  <si>
    <t>黔西南</t>
  </si>
  <si>
    <t>安顺学院</t>
  </si>
  <si>
    <t>安顺</t>
  </si>
  <si>
    <t>贵州工程应用技术学院</t>
  </si>
  <si>
    <t>毕节</t>
  </si>
  <si>
    <t>凯里学院</t>
  </si>
  <si>
    <t>黔东南</t>
  </si>
  <si>
    <t>黔南民族师范学院</t>
  </si>
  <si>
    <t>黔南</t>
  </si>
  <si>
    <t>贵州财经大学</t>
  </si>
  <si>
    <t>贵州民族大学</t>
  </si>
  <si>
    <t>贵阳学院</t>
  </si>
  <si>
    <t>六盘水师范学院</t>
  </si>
  <si>
    <t>六盘水</t>
  </si>
  <si>
    <t>贵州商学院</t>
  </si>
  <si>
    <t>贵州警察学院</t>
  </si>
  <si>
    <t>贵阳康养职业大学</t>
  </si>
  <si>
    <t>贵州师范学院</t>
  </si>
  <si>
    <t>贵州理工学院</t>
  </si>
  <si>
    <t>贵州交通职业大学</t>
  </si>
  <si>
    <t>铜仁职业技术大学</t>
  </si>
  <si>
    <t>贵州轻工职业大学</t>
  </si>
  <si>
    <t>云南大学</t>
  </si>
  <si>
    <t>云南</t>
  </si>
  <si>
    <t>昆明</t>
  </si>
  <si>
    <t>昆明理工大学</t>
  </si>
  <si>
    <t>云南农业大学</t>
  </si>
  <si>
    <t>西南林业大学</t>
  </si>
  <si>
    <t>昆明医科大学</t>
  </si>
  <si>
    <t>大理大学</t>
  </si>
  <si>
    <t>大理</t>
  </si>
  <si>
    <t>云南中医药大学</t>
  </si>
  <si>
    <t>云南师范大学</t>
  </si>
  <si>
    <t>昭通学院</t>
  </si>
  <si>
    <t>昭通</t>
  </si>
  <si>
    <t>曲靖师范学院</t>
  </si>
  <si>
    <t>曲靖</t>
  </si>
  <si>
    <t>普洱学院</t>
  </si>
  <si>
    <t>普洱</t>
  </si>
  <si>
    <t>保山学院</t>
  </si>
  <si>
    <t>保山</t>
  </si>
  <si>
    <t>红河学院</t>
  </si>
  <si>
    <t>红河</t>
  </si>
  <si>
    <t>云南财经大学</t>
  </si>
  <si>
    <t>云南艺术学院</t>
  </si>
  <si>
    <t>云南民族大学</t>
  </si>
  <si>
    <t>玉溪师范学院</t>
  </si>
  <si>
    <t>玉溪</t>
  </si>
  <si>
    <t>楚雄师范学院</t>
  </si>
  <si>
    <t>楚雄</t>
  </si>
  <si>
    <t>云南警官学院</t>
  </si>
  <si>
    <t>昆明学院</t>
  </si>
  <si>
    <t>文山学院</t>
  </si>
  <si>
    <t>文山</t>
  </si>
  <si>
    <t>滇西科技师范学院</t>
  </si>
  <si>
    <t>临沧</t>
  </si>
  <si>
    <t>滇西应用技术大学</t>
  </si>
  <si>
    <t>昆明冶金职业大学</t>
  </si>
  <si>
    <t>曲靖健康医学院</t>
  </si>
  <si>
    <t>丽江师范学院</t>
  </si>
  <si>
    <t>丽江</t>
  </si>
  <si>
    <t>德宏师范学院</t>
  </si>
  <si>
    <t>德宏</t>
  </si>
  <si>
    <t>西藏农牧大学</t>
  </si>
  <si>
    <t>西藏</t>
  </si>
  <si>
    <t>林芝</t>
  </si>
  <si>
    <t>西藏大学</t>
  </si>
  <si>
    <t>拉萨</t>
  </si>
  <si>
    <t>西藏民族大学</t>
  </si>
  <si>
    <t>陕西</t>
  </si>
  <si>
    <t>咸阳</t>
  </si>
  <si>
    <t>西藏藏医药大学</t>
  </si>
  <si>
    <t>拉萨师范学院</t>
  </si>
  <si>
    <t>西北大学</t>
  </si>
  <si>
    <t>西安</t>
  </si>
  <si>
    <t>西安交通大学</t>
  </si>
  <si>
    <t>西北工业大学</t>
  </si>
  <si>
    <t>西安理工大学</t>
  </si>
  <si>
    <t>西安电子科技大学</t>
  </si>
  <si>
    <t>西安工业大学</t>
  </si>
  <si>
    <t>西安建筑科技大学</t>
  </si>
  <si>
    <t>西安科技大学</t>
  </si>
  <si>
    <t>西安石油大学</t>
  </si>
  <si>
    <t>陕西科技大学</t>
  </si>
  <si>
    <t>西安工程大学</t>
  </si>
  <si>
    <t>长安大学</t>
  </si>
  <si>
    <t>西北农林科技大学</t>
  </si>
  <si>
    <t>陕西中医药大学</t>
  </si>
  <si>
    <t>陕西师范大学</t>
  </si>
  <si>
    <t>延安大学</t>
  </si>
  <si>
    <t>延安</t>
  </si>
  <si>
    <t>陕西理工大学</t>
  </si>
  <si>
    <t>汉中</t>
  </si>
  <si>
    <t>宝鸡文理学院</t>
  </si>
  <si>
    <t>宝鸡</t>
  </si>
  <si>
    <t>咸阳师范学院</t>
  </si>
  <si>
    <t>渭南师范学院</t>
  </si>
  <si>
    <t>渭南</t>
  </si>
  <si>
    <t>西安外国语大学</t>
  </si>
  <si>
    <t>西北政法大学</t>
  </si>
  <si>
    <t>西安体育学院</t>
  </si>
  <si>
    <t>西安音乐学院</t>
  </si>
  <si>
    <t>西安美术学院</t>
  </si>
  <si>
    <t>西安文理学院</t>
  </si>
  <si>
    <t>榆林大学</t>
  </si>
  <si>
    <t>榆林</t>
  </si>
  <si>
    <t>商洛学院</t>
  </si>
  <si>
    <t>商洛</t>
  </si>
  <si>
    <t>安康学院</t>
  </si>
  <si>
    <t>安康</t>
  </si>
  <si>
    <t>西安财经大学</t>
  </si>
  <si>
    <t>西安邮电大学</t>
  </si>
  <si>
    <t>西安航空学院</t>
  </si>
  <si>
    <t>西安医学院</t>
  </si>
  <si>
    <t>陕西学前师范学院</t>
  </si>
  <si>
    <t>陕西工业职业技术大学</t>
  </si>
  <si>
    <t>陕西农林职业技术大学</t>
  </si>
  <si>
    <t>陕西警察学院</t>
  </si>
  <si>
    <t>兰州大学</t>
  </si>
  <si>
    <t>甘肃</t>
  </si>
  <si>
    <t>兰州</t>
  </si>
  <si>
    <t>兰州理工大学</t>
  </si>
  <si>
    <t>兰州交通大学</t>
  </si>
  <si>
    <t>甘肃农业大学</t>
  </si>
  <si>
    <t>甘肃中医药大学</t>
  </si>
  <si>
    <t>西北师范大学</t>
  </si>
  <si>
    <t>兰州城市学院</t>
  </si>
  <si>
    <t>陇东学院</t>
  </si>
  <si>
    <t>庆阳</t>
  </si>
  <si>
    <t>天水师范大学</t>
  </si>
  <si>
    <t>天水</t>
  </si>
  <si>
    <t>河西学院</t>
  </si>
  <si>
    <t>张掖</t>
  </si>
  <si>
    <t>兰州财经大学</t>
  </si>
  <si>
    <t>西北民族大学</t>
  </si>
  <si>
    <t>甘肃政法大学</t>
  </si>
  <si>
    <t>甘肃民族师范学院</t>
  </si>
  <si>
    <t>甘南</t>
  </si>
  <si>
    <t>兰州文理学院</t>
  </si>
  <si>
    <t>甘肃医学院</t>
  </si>
  <si>
    <t>平凉</t>
  </si>
  <si>
    <t>兰州工业学院</t>
  </si>
  <si>
    <t>兰州石化职业技术大学</t>
  </si>
  <si>
    <t>兰州资源环境职业技术大学</t>
  </si>
  <si>
    <t>陇南师范学院</t>
  </si>
  <si>
    <t>陇南</t>
  </si>
  <si>
    <t>酒泉职业技术大学</t>
  </si>
  <si>
    <t>酒泉</t>
  </si>
  <si>
    <t>甘肃警察学院</t>
  </si>
  <si>
    <t>甘肃林业职业技术大学</t>
  </si>
  <si>
    <t>甘肃工业职业技术大学</t>
  </si>
  <si>
    <t>武威职业技术大学</t>
  </si>
  <si>
    <t>武威</t>
  </si>
  <si>
    <t>青海大学</t>
  </si>
  <si>
    <t>青海</t>
  </si>
  <si>
    <t>西宁</t>
  </si>
  <si>
    <t>青海师范大学</t>
  </si>
  <si>
    <t>青海民族大学</t>
  </si>
  <si>
    <t>青海职业技术大学</t>
  </si>
  <si>
    <t>宁夏大学</t>
  </si>
  <si>
    <t>宁夏</t>
  </si>
  <si>
    <t>银川</t>
  </si>
  <si>
    <t>宁夏医科大学</t>
  </si>
  <si>
    <t>宁夏师范大学</t>
  </si>
  <si>
    <t>固原</t>
  </si>
  <si>
    <t>北方民族大学</t>
  </si>
  <si>
    <t>宁夏职业技术大学</t>
  </si>
  <si>
    <t>宁夏工商职业技术大学</t>
  </si>
  <si>
    <t>新疆大学</t>
  </si>
  <si>
    <t>新疆</t>
  </si>
  <si>
    <t>乌鲁木齐</t>
  </si>
  <si>
    <t>塔里木大学</t>
  </si>
  <si>
    <t>阿拉尔</t>
  </si>
  <si>
    <t>新疆农业大学</t>
  </si>
  <si>
    <t>石河子大学</t>
  </si>
  <si>
    <t>石河子</t>
  </si>
  <si>
    <t>新疆医科大学</t>
  </si>
  <si>
    <t>新疆师范大学</t>
  </si>
  <si>
    <t>喀什大学</t>
  </si>
  <si>
    <t>喀什</t>
  </si>
  <si>
    <t>伊犁师范大学</t>
  </si>
  <si>
    <t>伊犁</t>
  </si>
  <si>
    <t>新疆财经大学</t>
  </si>
  <si>
    <t>新疆艺术学院</t>
  </si>
  <si>
    <t>新疆工程学院</t>
  </si>
  <si>
    <t>昌吉学院</t>
  </si>
  <si>
    <t>昌吉</t>
  </si>
  <si>
    <t>新疆警察学院</t>
  </si>
  <si>
    <t>新疆理工学院</t>
  </si>
  <si>
    <t>阿克苏</t>
  </si>
  <si>
    <t>新疆第二医学院</t>
  </si>
  <si>
    <t>克拉玛依</t>
  </si>
  <si>
    <t>新疆科技学院</t>
  </si>
  <si>
    <t>巴音郭楞</t>
  </si>
  <si>
    <t>新疆政法学院</t>
  </si>
  <si>
    <t>图木舒克</t>
  </si>
  <si>
    <t>新疆和田学院</t>
  </si>
  <si>
    <t>和田</t>
  </si>
  <si>
    <t>新疆农业职业技术大学</t>
  </si>
  <si>
    <t>乌鲁木齐职业大学</t>
  </si>
  <si>
    <t>新疆交通职业技术大学</t>
  </si>
  <si>
    <t>空军军医大学</t>
  </si>
  <si>
    <t>重庆中医药学院</t>
  </si>
  <si>
    <t>安徽公安学院</t>
  </si>
  <si>
    <t>康复大学</t>
  </si>
  <si>
    <t>河南体育学院</t>
  </si>
  <si>
    <t>深圳理工大学</t>
  </si>
  <si>
    <t>青海理工学院</t>
  </si>
  <si>
    <t>新疆工业学院</t>
  </si>
  <si>
    <t>山西医药学院</t>
  </si>
  <si>
    <t>大湾区大学</t>
  </si>
  <si>
    <t>海南警察学院</t>
  </si>
  <si>
    <t>西安戏剧学院</t>
  </si>
  <si>
    <t>新疆理工职业大学</t>
  </si>
  <si>
    <t>北京城市学院</t>
  </si>
  <si>
    <t>民办</t>
  </si>
  <si>
    <t>首都师范大学科德学院</t>
  </si>
  <si>
    <t>北京金融科技学院</t>
  </si>
  <si>
    <t>北京邮电大学世纪学院</t>
  </si>
  <si>
    <t>北京工业大学耿丹学院</t>
  </si>
  <si>
    <t>北京第二外国语学院中瑞酒店管理学院</t>
  </si>
  <si>
    <t>天津天狮学院</t>
  </si>
  <si>
    <t>天津外国语大学滨海外事学院</t>
  </si>
  <si>
    <t>天津传媒学院</t>
  </si>
  <si>
    <t>天津商业大学宝德学院</t>
  </si>
  <si>
    <t>天津医科大学临床医学院</t>
  </si>
  <si>
    <t>南开大学滨海学院</t>
  </si>
  <si>
    <t>天津师范大学津沽学院</t>
  </si>
  <si>
    <t>天津理工大学中环信息学院</t>
  </si>
  <si>
    <t>北京科技大学天津学院</t>
  </si>
  <si>
    <t>天津仁爱学院</t>
  </si>
  <si>
    <t>天津财经大学珠江学院</t>
  </si>
  <si>
    <t>河北传媒学院</t>
  </si>
  <si>
    <t>河北工程技术学院</t>
  </si>
  <si>
    <t>河北美术学院</t>
  </si>
  <si>
    <t>河北科技学院</t>
  </si>
  <si>
    <t>河北外国语学院</t>
  </si>
  <si>
    <t>河北大学工商学院</t>
  </si>
  <si>
    <t>华北理工大学轻工学院</t>
  </si>
  <si>
    <t>河北师范大学汇华学院</t>
  </si>
  <si>
    <t>河北经贸大学经济管理学院</t>
  </si>
  <si>
    <t>河北医科大学临床学院</t>
  </si>
  <si>
    <t>河北工程大学科信学院</t>
  </si>
  <si>
    <t>燕山大学里仁学院</t>
  </si>
  <si>
    <t>石家庄铁道大学四方学院</t>
  </si>
  <si>
    <t>河北地质大学华信学院</t>
  </si>
  <si>
    <t>河北农业大学现代科技学院</t>
  </si>
  <si>
    <t>华北理工大学冀唐学院</t>
  </si>
  <si>
    <t>保定理工学院</t>
  </si>
  <si>
    <t>燕京理工学院</t>
  </si>
  <si>
    <t>北京中医药大学东方学院</t>
  </si>
  <si>
    <t>沧州交通学院</t>
  </si>
  <si>
    <t>河北东方学院</t>
  </si>
  <si>
    <t>山西应用科技学院</t>
  </si>
  <si>
    <t>晋中信息学院</t>
  </si>
  <si>
    <t>山西晋中理工学院</t>
  </si>
  <si>
    <t>晋中健康学院</t>
  </si>
  <si>
    <t>山西财经大学华商学院</t>
  </si>
  <si>
    <t>山西工商学院</t>
  </si>
  <si>
    <t>运城职业技术大学</t>
  </si>
  <si>
    <t>内蒙古大学创业学院</t>
  </si>
  <si>
    <t>内蒙古鸿德文理学院</t>
  </si>
  <si>
    <t>辽宁对外经贸学院</t>
  </si>
  <si>
    <t>辽宁理工职业大学</t>
  </si>
  <si>
    <t>大连理工大学城市学院</t>
  </si>
  <si>
    <t>沈阳工业大学工程学院</t>
  </si>
  <si>
    <t>辽阳</t>
  </si>
  <si>
    <t>沈阳航空航天大学北方科技学院</t>
  </si>
  <si>
    <t>沈阳工学院</t>
  </si>
  <si>
    <t>大连工业大学艺术与信息工程学院</t>
  </si>
  <si>
    <t>大连科技学院</t>
  </si>
  <si>
    <t>沈阳城市建设学院</t>
  </si>
  <si>
    <t>大连医科大学中山学院</t>
  </si>
  <si>
    <t>锦州医科大学医疗学院</t>
  </si>
  <si>
    <t>辽宁师范大学海华学院</t>
  </si>
  <si>
    <t>辽宁理工学院</t>
  </si>
  <si>
    <t>大连财经学院</t>
  </si>
  <si>
    <t>沈阳城市学院</t>
  </si>
  <si>
    <t>大连艺术学院</t>
  </si>
  <si>
    <t>辽宁中医药大学杏林学院</t>
  </si>
  <si>
    <t>辽宁何氏医学院</t>
  </si>
  <si>
    <t>沈阳科技学院</t>
  </si>
  <si>
    <t>大连东软信息学院</t>
  </si>
  <si>
    <t>辽宁财贸学院</t>
  </si>
  <si>
    <t>葫芦岛</t>
  </si>
  <si>
    <t>辽宁传媒学院</t>
  </si>
  <si>
    <t>吉林外国语大学</t>
  </si>
  <si>
    <t>长春光华学院</t>
  </si>
  <si>
    <t>长春工业大学人文信息学院</t>
  </si>
  <si>
    <t>长春电子科技学院</t>
  </si>
  <si>
    <t>长春财经学院</t>
  </si>
  <si>
    <t>吉林建筑科技学院</t>
  </si>
  <si>
    <t>长春建筑学院</t>
  </si>
  <si>
    <t>长春科技学院</t>
  </si>
  <si>
    <t>吉林动画学院</t>
  </si>
  <si>
    <t>吉林师范大学博达学院</t>
  </si>
  <si>
    <t>长春大学旅游学院</t>
  </si>
  <si>
    <t>长春人文学院</t>
  </si>
  <si>
    <t>黑龙江东方学院</t>
  </si>
  <si>
    <t>哈尔滨信息工程学院</t>
  </si>
  <si>
    <t>齐齐哈尔工程学院</t>
  </si>
  <si>
    <t>黑龙江外国语学院</t>
  </si>
  <si>
    <t>黑龙江财经学院</t>
  </si>
  <si>
    <t>哈尔滨石油学院</t>
  </si>
  <si>
    <t>黑龙江工商学院</t>
  </si>
  <si>
    <t>哈尔滨远东理工学院</t>
  </si>
  <si>
    <t>哈尔滨剑桥学院</t>
  </si>
  <si>
    <t>黑龙江工程学院昆仑旅游学院</t>
  </si>
  <si>
    <t>哈尔滨广厦学院</t>
  </si>
  <si>
    <t>哈尔滨华德学院</t>
  </si>
  <si>
    <t>上海杉达学院</t>
  </si>
  <si>
    <t>上海立达学院</t>
  </si>
  <si>
    <t>上海建桥学院</t>
  </si>
  <si>
    <t>上海兴伟学院</t>
  </si>
  <si>
    <t>上海中侨职业技术大学</t>
  </si>
  <si>
    <t>上海视觉艺术学院</t>
  </si>
  <si>
    <t>上海外国语大学贤达经济人文学院</t>
  </si>
  <si>
    <t>上海师范大学天华学院</t>
  </si>
  <si>
    <t>三江学院</t>
  </si>
  <si>
    <t>南通理工学院</t>
  </si>
  <si>
    <t>东南大学成贤学院</t>
  </si>
  <si>
    <t>无锡太湖学院</t>
  </si>
  <si>
    <t>中国矿业大学徐海学院</t>
  </si>
  <si>
    <t>南京大学金陵学院</t>
  </si>
  <si>
    <t>南京理工大学紫金学院</t>
  </si>
  <si>
    <t>南京航空航天大学金城学院</t>
  </si>
  <si>
    <t>南京传媒学院</t>
  </si>
  <si>
    <t>南京理工大学泰州科技学院</t>
  </si>
  <si>
    <t>南京师范大学泰州学院</t>
  </si>
  <si>
    <t>南京工业大学浦江学院</t>
  </si>
  <si>
    <t>南京师范大学中北学院</t>
  </si>
  <si>
    <t>南京医科大学康达学院</t>
  </si>
  <si>
    <t>南京中医药大学翰林学院</t>
  </si>
  <si>
    <t>苏州大学应用技术学院</t>
  </si>
  <si>
    <t>苏州科技大学天平学院</t>
  </si>
  <si>
    <t>江苏大学京江学院</t>
  </si>
  <si>
    <t>扬州大学广陵学院</t>
  </si>
  <si>
    <t>江苏师范大学科文学院</t>
  </si>
  <si>
    <t>南京邮电大学通达学院</t>
  </si>
  <si>
    <t>南京财经大学红山学院</t>
  </si>
  <si>
    <t>江苏科技大学苏州理工学院</t>
  </si>
  <si>
    <t>常州大学怀德学院</t>
  </si>
  <si>
    <t>南通大学杏林学院</t>
  </si>
  <si>
    <t>南京审计大学金审学院</t>
  </si>
  <si>
    <t>浙江树人学院</t>
  </si>
  <si>
    <t>浙江越秀外国语学院</t>
  </si>
  <si>
    <t>宁波财经学院</t>
  </si>
  <si>
    <t>浙江广厦建设职业技术大学</t>
  </si>
  <si>
    <t>浙江工业大学之江学院</t>
  </si>
  <si>
    <t>浙江师范大学行知学院</t>
  </si>
  <si>
    <t>宁波大学科学技术学院</t>
  </si>
  <si>
    <t>杭州电子科技大学信息工程学院</t>
  </si>
  <si>
    <t>浙江理工大学科技与艺术学院</t>
  </si>
  <si>
    <t>浙江农林大学暨阳学院</t>
  </si>
  <si>
    <t>温州医科大学仁济学院</t>
  </si>
  <si>
    <t>浙江中医药大学滨江学院</t>
  </si>
  <si>
    <t>杭州师范大学钱江学院</t>
  </si>
  <si>
    <t>浙江工商大学杭州商学院</t>
  </si>
  <si>
    <t>中国计量大学现代科技学院</t>
  </si>
  <si>
    <t>浙江财经大学东方学院</t>
  </si>
  <si>
    <t>温州商学院</t>
  </si>
  <si>
    <t>同济大学浙江学院</t>
  </si>
  <si>
    <t>上海财经大学浙江学院</t>
  </si>
  <si>
    <t>西湖大学</t>
  </si>
  <si>
    <t>安徽三联学院</t>
  </si>
  <si>
    <t>安徽新华学院</t>
  </si>
  <si>
    <t>安徽文达信息工程学院</t>
  </si>
  <si>
    <t>安徽外国语学院</t>
  </si>
  <si>
    <t>蚌埠工商学院</t>
  </si>
  <si>
    <t>安徽信息工程学院</t>
  </si>
  <si>
    <t>马鞍山学院</t>
  </si>
  <si>
    <t>合肥城市学院</t>
  </si>
  <si>
    <t>合肥经济学院</t>
  </si>
  <si>
    <t>芜湖学院</t>
  </si>
  <si>
    <t>安徽医科大学临床医学院</t>
  </si>
  <si>
    <t>阜阳理工学院</t>
  </si>
  <si>
    <t>淮北理工学院</t>
  </si>
  <si>
    <t>皖江工学院</t>
  </si>
  <si>
    <t>仰恩大学</t>
  </si>
  <si>
    <t>厦门华厦学院</t>
  </si>
  <si>
    <t>闽南理工学院</t>
  </si>
  <si>
    <t>泉州职业技术大学</t>
  </si>
  <si>
    <t>闽南科技学院</t>
  </si>
  <si>
    <t>福州工商学院</t>
  </si>
  <si>
    <t>厦门工学院</t>
  </si>
  <si>
    <t>阳光学院</t>
  </si>
  <si>
    <t>厦门大学嘉庚学院</t>
  </si>
  <si>
    <t>福州大学至诚学院</t>
  </si>
  <si>
    <t>集美大学诚毅学院</t>
  </si>
  <si>
    <t>福建师范大学协和学院</t>
  </si>
  <si>
    <t>福州外语外贸学院</t>
  </si>
  <si>
    <t>泉州信息工程学院</t>
  </si>
  <si>
    <t>福州理工学院</t>
  </si>
  <si>
    <t>福建农林大学金山学院</t>
  </si>
  <si>
    <t>江西科技学院</t>
  </si>
  <si>
    <t>江西工程学院</t>
  </si>
  <si>
    <t>南昌理工学院</t>
  </si>
  <si>
    <t>江西应用科技学院</t>
  </si>
  <si>
    <t>江西服装学院</t>
  </si>
  <si>
    <t>南昌职业大学</t>
  </si>
  <si>
    <t>南昌工学院</t>
  </si>
  <si>
    <t>南昌大学科学技术学院</t>
  </si>
  <si>
    <t>南昌大学共青学院</t>
  </si>
  <si>
    <t>南昌交通学院</t>
  </si>
  <si>
    <t>南昌航空大学科技学院</t>
  </si>
  <si>
    <t>景德镇艺术职业大学</t>
  </si>
  <si>
    <t>江西农业大学南昌商学院</t>
  </si>
  <si>
    <t>江西师范大学科学技术学院</t>
  </si>
  <si>
    <t>赣南师范大学科技学院</t>
  </si>
  <si>
    <t>南昌应用技术师范学院</t>
  </si>
  <si>
    <t>江西财经大学现代经济管理学院</t>
  </si>
  <si>
    <t>江西软件职业技术大学</t>
  </si>
  <si>
    <t>南昌科技职业大学</t>
  </si>
  <si>
    <t>九江科技职业大学</t>
  </si>
  <si>
    <t>齐鲁医药学院</t>
  </si>
  <si>
    <t>青岛滨海学院</t>
  </si>
  <si>
    <t>烟台南山学院</t>
  </si>
  <si>
    <t>潍坊科技学院</t>
  </si>
  <si>
    <t>山东英才学院</t>
  </si>
  <si>
    <t>青岛恒星科技学院</t>
  </si>
  <si>
    <t>青岛黄海学院</t>
  </si>
  <si>
    <t>山东现代学院</t>
  </si>
  <si>
    <t>山东协和学院</t>
  </si>
  <si>
    <t>山东工程职业技术大学</t>
  </si>
  <si>
    <t>烟台理工学院</t>
  </si>
  <si>
    <t>聊城大学东昌学院</t>
  </si>
  <si>
    <t>青岛城市学院</t>
  </si>
  <si>
    <t>潍坊理工学院</t>
  </si>
  <si>
    <t>山东财经大学燕山学院</t>
  </si>
  <si>
    <t>山东外国语职业技术大学</t>
  </si>
  <si>
    <t>泰山科技学院</t>
  </si>
  <si>
    <t>山东华宇工学院</t>
  </si>
  <si>
    <t>山东外事职业大学</t>
  </si>
  <si>
    <t>威海</t>
  </si>
  <si>
    <t>青岛工学院</t>
  </si>
  <si>
    <t>青岛农业大学海都学院</t>
  </si>
  <si>
    <t>齐鲁理工学院</t>
  </si>
  <si>
    <t>山东财经大学东方学院</t>
  </si>
  <si>
    <t>烟台科技学院</t>
  </si>
  <si>
    <t>青岛电影学院</t>
  </si>
  <si>
    <t>黄河科技学院</t>
  </si>
  <si>
    <t>郑州科技学院</t>
  </si>
  <si>
    <t>郑州工业应用技术学院</t>
  </si>
  <si>
    <t>郑州财经学院</t>
  </si>
  <si>
    <t>黄河交通学院</t>
  </si>
  <si>
    <t>商丘工学院</t>
  </si>
  <si>
    <t>河南开封科技传媒学院</t>
  </si>
  <si>
    <t>中原科技学院</t>
  </si>
  <si>
    <t>信阳学院</t>
  </si>
  <si>
    <t>安阳学院</t>
  </si>
  <si>
    <t>豫北医学院</t>
  </si>
  <si>
    <t>新乡工程学院</t>
  </si>
  <si>
    <t>郑州工商学院</t>
  </si>
  <si>
    <t>郑州经贸学院</t>
  </si>
  <si>
    <t>商丘学院</t>
  </si>
  <si>
    <t>郑州商学院</t>
  </si>
  <si>
    <t>河南科技职业大学</t>
  </si>
  <si>
    <t>郑州升达经贸管理学院</t>
  </si>
  <si>
    <t>郑州西亚斯学院</t>
  </si>
  <si>
    <t>郑州健康学院</t>
  </si>
  <si>
    <t>漯河食品工程职业大学</t>
  </si>
  <si>
    <t>漯河</t>
  </si>
  <si>
    <t>武汉东湖学院</t>
  </si>
  <si>
    <t>汉口学院</t>
  </si>
  <si>
    <t>武昌首义学院</t>
  </si>
  <si>
    <t>武昌理工学院</t>
  </si>
  <si>
    <t>武汉生物工程学院</t>
  </si>
  <si>
    <t>武汉晴川学院</t>
  </si>
  <si>
    <t>湖北大学知行学院</t>
  </si>
  <si>
    <t>武汉城市学院</t>
  </si>
  <si>
    <t>三峡大学科技学院</t>
  </si>
  <si>
    <t>武汉文理学院</t>
  </si>
  <si>
    <t>湖北工业大学工程技术学院</t>
  </si>
  <si>
    <t>武汉工程大学邮电与信息工程学院</t>
  </si>
  <si>
    <t>武汉纺织大学外经贸学院</t>
  </si>
  <si>
    <t>武昌工学院</t>
  </si>
  <si>
    <t>武汉工商学院</t>
  </si>
  <si>
    <t>荆州学院</t>
  </si>
  <si>
    <t>长江大学文理学院</t>
  </si>
  <si>
    <t>湖北商贸学院</t>
  </si>
  <si>
    <t>湖北汽车工业学院科技学院</t>
  </si>
  <si>
    <t>湖北医药学院药护学院</t>
  </si>
  <si>
    <t>湖北恩施学院</t>
  </si>
  <si>
    <t>湖北经济学院法商学院</t>
  </si>
  <si>
    <t>武汉体育学院体育科技学院</t>
  </si>
  <si>
    <t>湖北师范大学文理学院</t>
  </si>
  <si>
    <t>湖北文理学院理工学院</t>
  </si>
  <si>
    <t>湖北工程学院新技术学院</t>
  </si>
  <si>
    <t>文华学院</t>
  </si>
  <si>
    <t>武汉学院</t>
  </si>
  <si>
    <t>武汉工程科技学院</t>
  </si>
  <si>
    <t>武汉华夏理工学院</t>
  </si>
  <si>
    <t>武汉传媒学院</t>
  </si>
  <si>
    <t>武汉设计工程学院</t>
  </si>
  <si>
    <t>长沙医学院</t>
  </si>
  <si>
    <t>湖南涉外经济学院</t>
  </si>
  <si>
    <t>湘潭大学兴湘学院</t>
  </si>
  <si>
    <t>湖南工业大学科技学院</t>
  </si>
  <si>
    <t>湖南科技大学潇湘学院</t>
  </si>
  <si>
    <t>南华大学船山学院</t>
  </si>
  <si>
    <t>湘潭理工学院</t>
  </si>
  <si>
    <t>湖南农业大学东方科技学院</t>
  </si>
  <si>
    <t>中南林业科技大学涉外学院</t>
  </si>
  <si>
    <t>常德学院</t>
  </si>
  <si>
    <t>岳阳学院</t>
  </si>
  <si>
    <t>衡阳师范学院南岳学院</t>
  </si>
  <si>
    <t>湖南工程学院应用技术学院</t>
  </si>
  <si>
    <t>湖南中医药大学湘杏学院</t>
  </si>
  <si>
    <t>张家界学院</t>
  </si>
  <si>
    <t>张家界</t>
  </si>
  <si>
    <t>长沙理工大学城南学院</t>
  </si>
  <si>
    <t>湖南应用技术学院</t>
  </si>
  <si>
    <t>湖南信息学院</t>
  </si>
  <si>
    <t>湖南交通工程学院</t>
  </si>
  <si>
    <t>湖南软件职业技术大学</t>
  </si>
  <si>
    <t>广东白云学院</t>
  </si>
  <si>
    <t>电子科技大学中山学院</t>
  </si>
  <si>
    <t>中山</t>
  </si>
  <si>
    <t>广东培正学院</t>
  </si>
  <si>
    <t>广东东软学院</t>
  </si>
  <si>
    <t>广州城市理工学院</t>
  </si>
  <si>
    <t>广州软件学院</t>
  </si>
  <si>
    <t>广州南方学院</t>
  </si>
  <si>
    <t>广东外语外贸大学南国商学院</t>
  </si>
  <si>
    <t>广州华商学院</t>
  </si>
  <si>
    <t>湛江科技学院</t>
  </si>
  <si>
    <t>华南农业大学珠江学院</t>
  </si>
  <si>
    <t>广州理工学院</t>
  </si>
  <si>
    <t>广州华立学院</t>
  </si>
  <si>
    <t>广州应用科技学院</t>
  </si>
  <si>
    <t>广州商学院</t>
  </si>
  <si>
    <t>北京理工大学珠海学院</t>
  </si>
  <si>
    <t>珠海</t>
  </si>
  <si>
    <t>珠海科技学院</t>
  </si>
  <si>
    <t>广州工商学院</t>
  </si>
  <si>
    <t>广州科技职业技术大学</t>
  </si>
  <si>
    <t>广东科技学院</t>
  </si>
  <si>
    <t>广东理工学院</t>
  </si>
  <si>
    <t>广东工商职业技术大学</t>
  </si>
  <si>
    <t>东莞城市学院</t>
  </si>
  <si>
    <t>广州新华学院</t>
  </si>
  <si>
    <t>南宁学院</t>
  </si>
  <si>
    <t>北海艺术设计学院</t>
  </si>
  <si>
    <t>北海</t>
  </si>
  <si>
    <t>柳州工学院</t>
  </si>
  <si>
    <t>广西民族大学相思湖学院</t>
  </si>
  <si>
    <t>桂林学院</t>
  </si>
  <si>
    <t>南宁师范大学师园学院</t>
  </si>
  <si>
    <t>广西中医药大学赛恩斯新医药学院</t>
  </si>
  <si>
    <t>桂林信息科技学院</t>
  </si>
  <si>
    <t>南宁理工学院</t>
  </si>
  <si>
    <t>广西外国语学院</t>
  </si>
  <si>
    <t>北京航空航天大学北海学院</t>
  </si>
  <si>
    <t>广西城市职业大学</t>
  </si>
  <si>
    <t>海口经济学院</t>
  </si>
  <si>
    <t>三亚学院</t>
  </si>
  <si>
    <t>海南科技职业大学</t>
  </si>
  <si>
    <t>重庆机电职业技术大学</t>
  </si>
  <si>
    <t>重庆工程学院</t>
  </si>
  <si>
    <t>重庆城市科技学院</t>
  </si>
  <si>
    <t>重庆人文科技学院</t>
  </si>
  <si>
    <t>重庆外语外事学院</t>
  </si>
  <si>
    <t>重庆对外经贸学院</t>
  </si>
  <si>
    <t>重庆财经学院</t>
  </si>
  <si>
    <t>重庆工商大学派斯学院</t>
  </si>
  <si>
    <t>重庆移通学院</t>
  </si>
  <si>
    <t>成都东软学院</t>
  </si>
  <si>
    <t>成都艺术职业大学</t>
  </si>
  <si>
    <t>电子科技大学成都学院</t>
  </si>
  <si>
    <t>成都理工大学工程技术学院</t>
  </si>
  <si>
    <t>四川传媒学院</t>
  </si>
  <si>
    <t>成都银杏酒店管理学院</t>
  </si>
  <si>
    <t>成都文理学院</t>
  </si>
  <si>
    <t>四川工商学院</t>
  </si>
  <si>
    <t>成都外国语学院</t>
  </si>
  <si>
    <t>四川工业科技学院</t>
  </si>
  <si>
    <t>成都锦城学院</t>
  </si>
  <si>
    <t>西南财经大学天府学院</t>
  </si>
  <si>
    <t>四川大学锦江学院</t>
  </si>
  <si>
    <t>眉山</t>
  </si>
  <si>
    <t>四川文化艺术学院</t>
  </si>
  <si>
    <t>绵阳城市学院</t>
  </si>
  <si>
    <t>西南交通大学希望学院</t>
  </si>
  <si>
    <t>四川电影电视学院</t>
  </si>
  <si>
    <t>吉利学院</t>
  </si>
  <si>
    <t>贵州中医药大学时珍学院</t>
  </si>
  <si>
    <t>贵州黔南经济学院</t>
  </si>
  <si>
    <t>贵州黔南科技学院</t>
  </si>
  <si>
    <t>贵阳信息科技学院</t>
  </si>
  <si>
    <t>贵阳人文科技学院</t>
  </si>
  <si>
    <t>遵义医科大学医学与科技学院</t>
  </si>
  <si>
    <t>贵州医科大学神奇民族医药学院</t>
  </si>
  <si>
    <t>茅台学院</t>
  </si>
  <si>
    <t>贵州工商职业大学</t>
  </si>
  <si>
    <t>云南经济管理学院</t>
  </si>
  <si>
    <t>滇池学院</t>
  </si>
  <si>
    <t>丽江文化旅游学院</t>
  </si>
  <si>
    <t>昆明理工大学津桥学院</t>
  </si>
  <si>
    <t>昆明城市学院</t>
  </si>
  <si>
    <t>昆明文理学院</t>
  </si>
  <si>
    <t>昆明医科大学海源学院</t>
  </si>
  <si>
    <t>昆明传媒学院</t>
  </si>
  <si>
    <t>云南工商学院</t>
  </si>
  <si>
    <t>昆明科技职业大学</t>
  </si>
  <si>
    <t>西安培华学院</t>
  </si>
  <si>
    <t>西安欧亚学院</t>
  </si>
  <si>
    <t>西安外事学院</t>
  </si>
  <si>
    <t>西安翻译学院</t>
  </si>
  <si>
    <t>西京学院</t>
  </si>
  <si>
    <t>西安思源学院</t>
  </si>
  <si>
    <t>陕西国际商贸学院</t>
  </si>
  <si>
    <t>陕西服装工程学院</t>
  </si>
  <si>
    <t>西安交通工程学院</t>
  </si>
  <si>
    <t>西安交通大学城市学院</t>
  </si>
  <si>
    <t>西北大学现代学院</t>
  </si>
  <si>
    <t>西安建筑科技大学华清学院</t>
  </si>
  <si>
    <t>西安财经大学行知学院</t>
  </si>
  <si>
    <t>陕西科技大学镐京学院</t>
  </si>
  <si>
    <t>西安工商学院</t>
  </si>
  <si>
    <t>延安大学西安创新学院</t>
  </si>
  <si>
    <t>西安电子科技大学长安学院</t>
  </si>
  <si>
    <t>西安汽车职业大学</t>
  </si>
  <si>
    <t>西安明德理工学院</t>
  </si>
  <si>
    <t>西安信息职业大学</t>
  </si>
  <si>
    <t>长安大学兴华学院</t>
  </si>
  <si>
    <t>西安理工大学高科学院</t>
  </si>
  <si>
    <t>西安科技大学高新学院</t>
  </si>
  <si>
    <t>兰州工商学院</t>
  </si>
  <si>
    <t>兰州博文科技学院</t>
  </si>
  <si>
    <t>兰州信息科技学院</t>
  </si>
  <si>
    <t>青海大学昆仑学院</t>
  </si>
  <si>
    <t>宁夏理工学院</t>
  </si>
  <si>
    <t>石嘴山</t>
  </si>
  <si>
    <t>宁夏大学新华学院</t>
  </si>
  <si>
    <t>银川能源学院</t>
  </si>
  <si>
    <t>银川科技学院</t>
  </si>
  <si>
    <t>新疆农业大学科学技术学院</t>
  </si>
  <si>
    <t>新疆天山职业技术大学</t>
  </si>
  <si>
    <t>郑州美术学院</t>
  </si>
  <si>
    <t>福建福耀科技大学</t>
  </si>
  <si>
    <t>湖北三峡航空学院</t>
  </si>
  <si>
    <t>长沙科技学院</t>
  </si>
  <si>
    <t>塔里木理工学院</t>
  </si>
  <si>
    <t>宁波东方理工大学</t>
  </si>
  <si>
    <t>北师香港浸会大学</t>
  </si>
  <si>
    <t>内地与港澳合作办学</t>
  </si>
  <si>
    <t>香港中文大学（深圳）</t>
  </si>
  <si>
    <t>香港科技大学（广州）</t>
  </si>
  <si>
    <t>香港城市大学（东莞）</t>
  </si>
  <si>
    <t>上海纽约大学</t>
  </si>
  <si>
    <t>中外合作办学</t>
  </si>
  <si>
    <t>西交利物浦大学</t>
  </si>
  <si>
    <t>昆山杜克大学</t>
  </si>
  <si>
    <t>昆山</t>
  </si>
  <si>
    <t>宁波诺丁汉大学</t>
  </si>
  <si>
    <t>温州肯恩大学</t>
  </si>
  <si>
    <t>深圳北理莫斯科大学</t>
  </si>
  <si>
    <t>广东以色列理工学院</t>
  </si>
  <si>
    <t>海南比勒费尔德应用科学大学</t>
  </si>
  <si>
    <t>陵水</t>
  </si>
  <si>
    <t>境外高等教育机构在海南自由贸易港设立的实施理工农医类学科专业教育的学校</t>
  </si>
  <si>
    <t>海南洛桑旅游大学</t>
  </si>
  <si>
    <t>北京工业职业技术学院</t>
  </si>
  <si>
    <t>专科</t>
  </si>
  <si>
    <t>北京信息职业技术学院</t>
  </si>
  <si>
    <t>北京京北职业技术学院</t>
  </si>
  <si>
    <t>北京交通职业技术学院</t>
  </si>
  <si>
    <t>北京青年政治学院</t>
  </si>
  <si>
    <t>北京农业职业学院</t>
  </si>
  <si>
    <t>北京政法职业学院</t>
  </si>
  <si>
    <t>北京财贸职业学院</t>
  </si>
  <si>
    <t>北京戏曲艺术职业学院</t>
  </si>
  <si>
    <t>北京经济管理职业学院</t>
  </si>
  <si>
    <t>北京劳动保障职业学院</t>
  </si>
  <si>
    <t>北京体育职业学院</t>
  </si>
  <si>
    <t>北京交通运输职业学院</t>
  </si>
  <si>
    <t>北京卫生职业学院</t>
  </si>
  <si>
    <t>天津滨海职业学院</t>
  </si>
  <si>
    <t>天津工程职业技术学院</t>
  </si>
  <si>
    <t>天津渤海职业技术学院</t>
  </si>
  <si>
    <t>天津电子信息职业技术学院</t>
  </si>
  <si>
    <t>天津机电职业技术学院</t>
  </si>
  <si>
    <t>天津现代职业技术学院</t>
  </si>
  <si>
    <t>天津轻工职业技术学院</t>
  </si>
  <si>
    <t>天津商务职业学院</t>
  </si>
  <si>
    <t>天津国土资源和房屋职业学院</t>
  </si>
  <si>
    <t>天津医学高等专科学校</t>
  </si>
  <si>
    <t>天津开发区职业技术学院</t>
  </si>
  <si>
    <t>天津艺术职业学院</t>
  </si>
  <si>
    <t>天津交通职业学院</t>
  </si>
  <si>
    <t>天津工业职业学院</t>
  </si>
  <si>
    <t>天津石油职业技术学院</t>
  </si>
  <si>
    <t>天津城市职业学院</t>
  </si>
  <si>
    <t>天津铁道职业技术学院</t>
  </si>
  <si>
    <t>天津工艺美术职业学院</t>
  </si>
  <si>
    <t>天津城市建设管理职业技术学院</t>
  </si>
  <si>
    <t>天津生物工程职业技术学院</t>
  </si>
  <si>
    <t>天津海运职业学院</t>
  </si>
  <si>
    <t>天津广播影视职业学院</t>
  </si>
  <si>
    <t>天津体育职业学院</t>
  </si>
  <si>
    <t>邯郸职业技术学院</t>
  </si>
  <si>
    <t>石家庄职业技术学院</t>
  </si>
  <si>
    <t>张家口职业技术学院</t>
  </si>
  <si>
    <t>河北软件职业技术学院</t>
  </si>
  <si>
    <t>河北石油职业技术学院</t>
  </si>
  <si>
    <t>河北建材职业技术学院</t>
  </si>
  <si>
    <t>河北政法职业学院</t>
  </si>
  <si>
    <t>沧州职业技术学院</t>
  </si>
  <si>
    <t>河北能源职业技术学院</t>
  </si>
  <si>
    <t>石家庄铁路职业技术学院</t>
  </si>
  <si>
    <t>保定职业技术学院</t>
  </si>
  <si>
    <t>秦皇岛职业技术学院</t>
  </si>
  <si>
    <t>唐山职业技术学院</t>
  </si>
  <si>
    <t>衡水职业技术学院</t>
  </si>
  <si>
    <t>河北艺术职业学院</t>
  </si>
  <si>
    <t>河北旅游职业学院</t>
  </si>
  <si>
    <t>河北交通职业技术学院</t>
  </si>
  <si>
    <t>河北化工医药职业技术学院</t>
  </si>
  <si>
    <t>石家庄信息工程职业学院</t>
  </si>
  <si>
    <t>河北对外经贸职业学院</t>
  </si>
  <si>
    <t>保定电力职业技术学院</t>
  </si>
  <si>
    <t>河北机电职业技术学院</t>
  </si>
  <si>
    <t>渤海石油职业学院</t>
  </si>
  <si>
    <t>廊坊职业技术学院</t>
  </si>
  <si>
    <t>唐山科技职业技术学院</t>
  </si>
  <si>
    <t>石家庄邮电职业技术学院</t>
  </si>
  <si>
    <t>河北公安警察职业学院</t>
  </si>
  <si>
    <t>河北司法警官职业学院</t>
  </si>
  <si>
    <t>沧州医学高等专科学校</t>
  </si>
  <si>
    <t>河北女子职业技术学院</t>
  </si>
  <si>
    <t>冀中职业学院</t>
  </si>
  <si>
    <t>河北正定师范高等专科学校</t>
  </si>
  <si>
    <t>河北劳动关系职业学院</t>
  </si>
  <si>
    <t>沧州幼儿师范高等专科学校</t>
  </si>
  <si>
    <t>宣化科技职业学院</t>
  </si>
  <si>
    <t>廊坊燕京职业技术学院</t>
  </si>
  <si>
    <t>承德护理职业学院</t>
  </si>
  <si>
    <t>石家庄幼儿师范高等专科学校</t>
  </si>
  <si>
    <t>廊坊卫生职业学院</t>
  </si>
  <si>
    <t>河北轨道运输职业技术学院</t>
  </si>
  <si>
    <t>保定幼儿师范高等专科学校</t>
  </si>
  <si>
    <t>河北工艺美术职业学院</t>
  </si>
  <si>
    <t>唐山幼儿师范高等专科学校</t>
  </si>
  <si>
    <t>承德应用技术职业学院</t>
  </si>
  <si>
    <t>邯郸幼儿师范高等专科学校</t>
  </si>
  <si>
    <t>邯郸科技职业学院</t>
  </si>
  <si>
    <t>山西省财政税务专科学校</t>
  </si>
  <si>
    <t>长治职业技术学院</t>
  </si>
  <si>
    <t>晋城职业技术学院</t>
  </si>
  <si>
    <t>山西药科职业学院</t>
  </si>
  <si>
    <t>大同煤炭职业技术学院</t>
  </si>
  <si>
    <t>山西机电职业技术学院</t>
  </si>
  <si>
    <t>山西财贸职业技术学院</t>
  </si>
  <si>
    <t>山西林业职业技术学院</t>
  </si>
  <si>
    <t>山西水利职业技术学院</t>
  </si>
  <si>
    <t>阳泉职业技术学院</t>
  </si>
  <si>
    <t>临汾职业技术学院</t>
  </si>
  <si>
    <t>山西职业技术学院</t>
  </si>
  <si>
    <t>山西金融职业学院</t>
  </si>
  <si>
    <t>太原城市职业技术学院</t>
  </si>
  <si>
    <t>山西体育职业学院</t>
  </si>
  <si>
    <t>山西警官职业学院</t>
  </si>
  <si>
    <t>山西国际商务职业学院</t>
  </si>
  <si>
    <t>潞安职业技术学院</t>
  </si>
  <si>
    <t>山西管理职业学院</t>
  </si>
  <si>
    <t>山西电力职业技术学院</t>
  </si>
  <si>
    <t>忻州职业技术学院</t>
  </si>
  <si>
    <t>晋中职业技术学院</t>
  </si>
  <si>
    <t>山西运城农业职业技术学院</t>
  </si>
  <si>
    <t>运城幼儿师范高等专科学校</t>
  </si>
  <si>
    <t>山西经贸职业学院</t>
  </si>
  <si>
    <t>朔州职业技术学院</t>
  </si>
  <si>
    <t>山西铁道职业技术学院</t>
  </si>
  <si>
    <t>晋中师范高等专科学校</t>
  </si>
  <si>
    <t>阳泉师范高等专科学校</t>
  </si>
  <si>
    <t>运城护理职业学院</t>
  </si>
  <si>
    <t>运城师范高等专科学校</t>
  </si>
  <si>
    <t>朔州师范高等专科学校</t>
  </si>
  <si>
    <t>吕梁职业技术学院</t>
  </si>
  <si>
    <t>大同师范高等专科学校</t>
  </si>
  <si>
    <t>太原幼儿师范高等专科学校</t>
  </si>
  <si>
    <t>山西工程职业学院</t>
  </si>
  <si>
    <t>长治幼儿师范高等专科学校</t>
  </si>
  <si>
    <t>山西通用航空职业技术学院</t>
  </si>
  <si>
    <t>朔州陶瓷职业技术学院</t>
  </si>
  <si>
    <t>山西卫生健康职业学院</t>
  </si>
  <si>
    <t>包头职业技术学院</t>
  </si>
  <si>
    <t>包头轻工职业技术学院</t>
  </si>
  <si>
    <t>内蒙古电子信息职业技术学院</t>
  </si>
  <si>
    <t>内蒙古机电职业技术学院</t>
  </si>
  <si>
    <t>内蒙古化工职业学院</t>
  </si>
  <si>
    <t>内蒙古商贸职业学院</t>
  </si>
  <si>
    <t>锡林郭勒职业学院</t>
  </si>
  <si>
    <t>锡林郭勒</t>
  </si>
  <si>
    <t>内蒙古体育职业学院</t>
  </si>
  <si>
    <t>乌兰察布职业学院</t>
  </si>
  <si>
    <t>通辽职业学院</t>
  </si>
  <si>
    <t>科尔沁艺术职业学院</t>
  </si>
  <si>
    <t>内蒙古交通职业技术学院</t>
  </si>
  <si>
    <t>包头钢铁职业技术学院</t>
  </si>
  <si>
    <t>乌海职业技术学院</t>
  </si>
  <si>
    <t>乌海</t>
  </si>
  <si>
    <t>包头铁道职业技术学院</t>
  </si>
  <si>
    <t>乌兰察布医学高等专科学校</t>
  </si>
  <si>
    <t>鄂尔多斯职业学院</t>
  </si>
  <si>
    <t>呼伦贝尔职业技术学院</t>
  </si>
  <si>
    <t>满洲里俄语职业学院</t>
  </si>
  <si>
    <t>赤峰工业职业技术学院</t>
  </si>
  <si>
    <t>阿拉善职业技术学院</t>
  </si>
  <si>
    <t>阿拉善</t>
  </si>
  <si>
    <t>内蒙古民族幼儿师范高等专科学校</t>
  </si>
  <si>
    <t>鄂尔多斯生态环境职业学院</t>
  </si>
  <si>
    <t>扎兰屯职业学院</t>
  </si>
  <si>
    <t>赤峰应用技术职业学院</t>
  </si>
  <si>
    <t>抚顺师范高等专科学校</t>
  </si>
  <si>
    <t>锦州师范高等专科学校</t>
  </si>
  <si>
    <t>营口职业技术学院</t>
  </si>
  <si>
    <t>铁岭师范高等专科学校</t>
  </si>
  <si>
    <t>铁岭</t>
  </si>
  <si>
    <t>大连职业技术学院</t>
  </si>
  <si>
    <t>辽宁农业职业技术学院</t>
  </si>
  <si>
    <t>抚顺职业技术学院</t>
  </si>
  <si>
    <t>辽阳职业技术学院</t>
  </si>
  <si>
    <t>阜新高等专科学校</t>
  </si>
  <si>
    <t>辽宁省交通高等专科学校</t>
  </si>
  <si>
    <t>辽宁税务高等专科学校</t>
  </si>
  <si>
    <t>盘锦职业技术学院</t>
  </si>
  <si>
    <t>盘锦</t>
  </si>
  <si>
    <t>沈阳航空职业技术学院</t>
  </si>
  <si>
    <t>辽宁体育运动职业技术学院</t>
  </si>
  <si>
    <t>辽宁职业学院</t>
  </si>
  <si>
    <t>辽宁生态工程职业学院</t>
  </si>
  <si>
    <t>沈阳职业技术学院</t>
  </si>
  <si>
    <t>辽宁金融职业学院</t>
  </si>
  <si>
    <t>辽宁轨道交通职业学院</t>
  </si>
  <si>
    <t>辽宁机电职业技术学院</t>
  </si>
  <si>
    <t>辽宁经济职业技术学院</t>
  </si>
  <si>
    <t>辽宁石化职业技术学院</t>
  </si>
  <si>
    <t>渤海船舶职业学院</t>
  </si>
  <si>
    <t>辽宁商贸职业学院</t>
  </si>
  <si>
    <t>辽宁装备制造职业技术学院</t>
  </si>
  <si>
    <t>辽河石油职业技术学院</t>
  </si>
  <si>
    <t>辽宁地质工程职业学院</t>
  </si>
  <si>
    <t>辽宁铁道职业技术学院</t>
  </si>
  <si>
    <t>辽宁建筑职业学院</t>
  </si>
  <si>
    <t>辽宁现代服务职业技术学院</t>
  </si>
  <si>
    <t>辽宁冶金职业技术学院</t>
  </si>
  <si>
    <t>辽宁工程职业学院</t>
  </si>
  <si>
    <t>辽宁城市建设职业技术学院</t>
  </si>
  <si>
    <t>辽宁医药职业学院</t>
  </si>
  <si>
    <t>铁岭卫生职业学院</t>
  </si>
  <si>
    <t>辽宁政法职业学院</t>
  </si>
  <si>
    <t>辽宁民族师范高等专科学校</t>
  </si>
  <si>
    <t>辽宁轻工职业学院</t>
  </si>
  <si>
    <t>辽宁特殊教育师范高等专科学校</t>
  </si>
  <si>
    <t>辽宁师范高等专科学校</t>
  </si>
  <si>
    <t>鞍山职业技术学院</t>
  </si>
  <si>
    <t>长春师范高等专科学校</t>
  </si>
  <si>
    <t>辽源职业技术学院</t>
  </si>
  <si>
    <t>辽源</t>
  </si>
  <si>
    <t>四平职业大学</t>
  </si>
  <si>
    <t>长春金融高等专科学校</t>
  </si>
  <si>
    <t>长春医学高等专科学校</t>
  </si>
  <si>
    <t>吉林交通职业技术学院</t>
  </si>
  <si>
    <t>吉林司法警官职业学院</t>
  </si>
  <si>
    <t>吉林电子信息职业技术学院</t>
  </si>
  <si>
    <t>吉林工业职业技术学院</t>
  </si>
  <si>
    <t>吉林工程职业学院</t>
  </si>
  <si>
    <t>白城医学高等专科学校</t>
  </si>
  <si>
    <t>松原职业技术学院</t>
  </si>
  <si>
    <t>松原</t>
  </si>
  <si>
    <t>白城职业技术学院</t>
  </si>
  <si>
    <t>长白山职业技术学院</t>
  </si>
  <si>
    <t>白山</t>
  </si>
  <si>
    <t>延边职业技术学院</t>
  </si>
  <si>
    <t>吉林水利电力职业学院</t>
  </si>
  <si>
    <t>吉林通用航空职业技术学院</t>
  </si>
  <si>
    <t>通化医药健康职业学院</t>
  </si>
  <si>
    <t>齐齐哈尔高等师范专科学校</t>
  </si>
  <si>
    <t>伊春职业学院</t>
  </si>
  <si>
    <t>伊春</t>
  </si>
  <si>
    <t>牡丹江大学</t>
  </si>
  <si>
    <t>黑龙江职业学院</t>
  </si>
  <si>
    <t>黑龙江艺术职业学院</t>
  </si>
  <si>
    <t>大庆职业学院</t>
  </si>
  <si>
    <t>黑龙江林业职业技术学院</t>
  </si>
  <si>
    <t>黑龙江农业职业技术学院</t>
  </si>
  <si>
    <t>黑龙江农垦职业学院</t>
  </si>
  <si>
    <t>黑龙江司法警官职业学院</t>
  </si>
  <si>
    <t>鹤岗师范高等专科学校</t>
  </si>
  <si>
    <t>鹤岗</t>
  </si>
  <si>
    <t>哈尔滨电力职业技术学院</t>
  </si>
  <si>
    <t>哈尔滨铁道职业技术学院</t>
  </si>
  <si>
    <t>大兴安岭职业学院</t>
  </si>
  <si>
    <t>大兴安岭</t>
  </si>
  <si>
    <t>黑龙江农业经济职业学院</t>
  </si>
  <si>
    <t>黑龙江商业职业学院</t>
  </si>
  <si>
    <t>黑龙江公安警官职业学院</t>
  </si>
  <si>
    <t>黑龙江旅游职业技术学院</t>
  </si>
  <si>
    <t>黑龙江生态工程职业学院</t>
  </si>
  <si>
    <t>黑龙江能源职业学院</t>
  </si>
  <si>
    <t>双鸭山</t>
  </si>
  <si>
    <t>七台河职业学院</t>
  </si>
  <si>
    <t>七台河</t>
  </si>
  <si>
    <t>黑龙江民族职业学院</t>
  </si>
  <si>
    <t>大庆医学高等专科学校</t>
  </si>
  <si>
    <t>黑龙江交通职业技术学院</t>
  </si>
  <si>
    <t>黑龙江幼儿师范高等专科学校</t>
  </si>
  <si>
    <t>哈尔滨科学技术职业学院</t>
  </si>
  <si>
    <t>佳木斯职业学院</t>
  </si>
  <si>
    <t>黑龙江护理高等专科学校</t>
  </si>
  <si>
    <t>哈尔滨幼儿师范高等专科学校</t>
  </si>
  <si>
    <t>黑龙江冰雪体育职业学院</t>
  </si>
  <si>
    <t>上海旅游高等专科学校</t>
  </si>
  <si>
    <t>上海出版印刷高等专科学校</t>
  </si>
  <si>
    <t>上海行健职业学院</t>
  </si>
  <si>
    <t>上海城建职业学院</t>
  </si>
  <si>
    <t>上海交通职业技术学院</t>
  </si>
  <si>
    <t>上海海事职业技术学院</t>
  </si>
  <si>
    <t>上海电子信息职业技术学院</t>
  </si>
  <si>
    <t>上海工艺美术职业学院</t>
  </si>
  <si>
    <t>上海科学技术职业学院</t>
  </si>
  <si>
    <t>上海农林职业技术学院</t>
  </si>
  <si>
    <t>上海工会管理职业学院</t>
  </si>
  <si>
    <t>上海民航职业技术学院</t>
  </si>
  <si>
    <t>上海南湖职业技术学院</t>
  </si>
  <si>
    <t>盐城幼儿师范高等专科学校</t>
  </si>
  <si>
    <t>苏州幼儿师范高等专科学校</t>
  </si>
  <si>
    <t>江苏工程职业技术学院</t>
  </si>
  <si>
    <t>苏州工艺美术职业技术学院</t>
  </si>
  <si>
    <t>连云港职业技术学院</t>
  </si>
  <si>
    <t>镇江市高等专科学校</t>
  </si>
  <si>
    <t>南通职业大学</t>
  </si>
  <si>
    <t>沙洲职业工学院</t>
  </si>
  <si>
    <t>江苏经贸职业技术学院</t>
  </si>
  <si>
    <t>泰州职业技术学院</t>
  </si>
  <si>
    <t>常州信息职业技术学院</t>
  </si>
  <si>
    <t>江苏联合职业技术学院</t>
  </si>
  <si>
    <t>江苏海事职业技术学院</t>
  </si>
  <si>
    <t>无锡科技职业学院</t>
  </si>
  <si>
    <t>江苏医药职业学院</t>
  </si>
  <si>
    <t>扬州环境资源职业技术学院</t>
  </si>
  <si>
    <t>南通科技职业学院</t>
  </si>
  <si>
    <t>苏州经贸职业技术学院</t>
  </si>
  <si>
    <t>苏州工业职业技术学院</t>
  </si>
  <si>
    <t>苏州卫生职业技术学院</t>
  </si>
  <si>
    <t>无锡商业职业技术学院</t>
  </si>
  <si>
    <t>江苏航运职业技术学院</t>
  </si>
  <si>
    <t>南京交通职业技术学院</t>
  </si>
  <si>
    <t>江苏电子信息职业学院</t>
  </si>
  <si>
    <t>江苏农牧科技职业学院</t>
  </si>
  <si>
    <t>常州纺织服装职业技术学院</t>
  </si>
  <si>
    <t>苏州农业职业技术学院</t>
  </si>
  <si>
    <t>苏州工业园区职业技术学院</t>
  </si>
  <si>
    <t>南京科技职业学院</t>
  </si>
  <si>
    <t>常州工业职业技术学院</t>
  </si>
  <si>
    <t>常州工程职业技术学院</t>
  </si>
  <si>
    <t>江苏农林职业技术学院</t>
  </si>
  <si>
    <t>江苏食品药品职业技术学院</t>
  </si>
  <si>
    <t>南京铁道职业技术学院</t>
  </si>
  <si>
    <t>徐州工业职业技术学院</t>
  </si>
  <si>
    <t>江苏信息职业技术学院</t>
  </si>
  <si>
    <t>宿迁职业技术学院</t>
  </si>
  <si>
    <t>南京信息职业技术学院</t>
  </si>
  <si>
    <t>常州机电职业技术学院</t>
  </si>
  <si>
    <t>江阴职业技术学院</t>
  </si>
  <si>
    <t>无锡城市职业技术学院</t>
  </si>
  <si>
    <t>无锡工艺职业技术学院</t>
  </si>
  <si>
    <t>苏州健雄职业技术学院</t>
  </si>
  <si>
    <t>盐城工业职业技术学院</t>
  </si>
  <si>
    <t>江苏财经职业技术学院</t>
  </si>
  <si>
    <t>扬州工业职业技术学院</t>
  </si>
  <si>
    <t>江苏城市职业学院</t>
  </si>
  <si>
    <t>南京城市职业学院</t>
  </si>
  <si>
    <t>南京机电职业技术学院</t>
  </si>
  <si>
    <t>南京旅游职业学院</t>
  </si>
  <si>
    <t>江苏卫生健康职业学院</t>
  </si>
  <si>
    <t>苏州信息职业技术学院</t>
  </si>
  <si>
    <t>苏州工业园区服务外包职业学院</t>
  </si>
  <si>
    <t>徐州幼儿师范高等专科学校</t>
  </si>
  <si>
    <t>徐州生物工程职业技术学院</t>
  </si>
  <si>
    <t>江苏商贸职业学院</t>
  </si>
  <si>
    <t>南通师范高等专科学校</t>
  </si>
  <si>
    <t>江苏护理职业学院</t>
  </si>
  <si>
    <t>江苏财会职业学院</t>
  </si>
  <si>
    <t>江苏城乡建设职业学院</t>
  </si>
  <si>
    <t>江苏航空职业技术学院</t>
  </si>
  <si>
    <t>江苏安全技术职业学院</t>
  </si>
  <si>
    <t>江苏旅游职业学院</t>
  </si>
  <si>
    <t>温州职业技术学院</t>
  </si>
  <si>
    <t>浙江交通职业技术学院</t>
  </si>
  <si>
    <t>宁波城市职业技术学院</t>
  </si>
  <si>
    <t>浙江电力职业技术学院</t>
  </si>
  <si>
    <t>浙江同济科技职业学院</t>
  </si>
  <si>
    <t>浙江工商职业技术学院</t>
  </si>
  <si>
    <t>台州职业技术学院</t>
  </si>
  <si>
    <t>浙江工贸职业技术学院</t>
  </si>
  <si>
    <t>浙江建设职业技术学院</t>
  </si>
  <si>
    <t>浙江艺术职业学院</t>
  </si>
  <si>
    <t>浙江经贸职业技术学院</t>
  </si>
  <si>
    <t>浙江商业职业技术学院</t>
  </si>
  <si>
    <t>浙江经济职业技术学院</t>
  </si>
  <si>
    <t>浙江旅游职业学院</t>
  </si>
  <si>
    <t>浙江警官职业学院</t>
  </si>
  <si>
    <t>浙江金融职业学院</t>
  </si>
  <si>
    <t>浙江工业职业技术学院</t>
  </si>
  <si>
    <t>嘉兴职业技术学院</t>
  </si>
  <si>
    <t>湖州职业技术学院</t>
  </si>
  <si>
    <t>衢州职业技术学院</t>
  </si>
  <si>
    <t>丽水职业技术学院</t>
  </si>
  <si>
    <t>义乌工商职业技术学院</t>
  </si>
  <si>
    <t>浙江纺织服装职业技术学院</t>
  </si>
  <si>
    <t>杭州科技职业技术学院</t>
  </si>
  <si>
    <t>浙江邮电职业技术学院</t>
  </si>
  <si>
    <t>宁波卫生职业技术学院</t>
  </si>
  <si>
    <t>台州科技职业学院</t>
  </si>
  <si>
    <t>浙江国际海运职业技术学院</t>
  </si>
  <si>
    <t>浙江体育职业技术学院</t>
  </si>
  <si>
    <t>温州科技职业学院</t>
  </si>
  <si>
    <t>浙江农业商贸职业学院</t>
  </si>
  <si>
    <t>浙江特殊教育职业学院</t>
  </si>
  <si>
    <t>浙江安防职业技术学院</t>
  </si>
  <si>
    <t>浙江舟山群岛新区旅游与健康职业学院</t>
  </si>
  <si>
    <t>宁波幼儿师范高等专科学校</t>
  </si>
  <si>
    <t>淮北职业技术学院</t>
  </si>
  <si>
    <t>淮南联合大学</t>
  </si>
  <si>
    <t>安徽商贸职业技术学院</t>
  </si>
  <si>
    <t>安徽水利水电职业技术学院</t>
  </si>
  <si>
    <t>阜阳职业技术学院</t>
  </si>
  <si>
    <t>铜陵职业技术学院</t>
  </si>
  <si>
    <t>安徽警官职业学院</t>
  </si>
  <si>
    <t>淮南职业技术学院</t>
  </si>
  <si>
    <t>安徽工业经济职业技术学院</t>
  </si>
  <si>
    <t>合肥通用职业技术学院</t>
  </si>
  <si>
    <t>安徽工贸职业技术学院</t>
  </si>
  <si>
    <t>宿州职业技术学院</t>
  </si>
  <si>
    <t>六安职业技术学院</t>
  </si>
  <si>
    <t>安徽电子信息职业技术学院</t>
  </si>
  <si>
    <t>安徽交通职业技术学院</t>
  </si>
  <si>
    <t>安徽体育运动职业技术学院</t>
  </si>
  <si>
    <t>安徽中医药高等专科学校</t>
  </si>
  <si>
    <t>合肥职业技术学院</t>
  </si>
  <si>
    <t>滁州职业技术学院</t>
  </si>
  <si>
    <t>池州职业技术学院</t>
  </si>
  <si>
    <t>宣城职业技术学院</t>
  </si>
  <si>
    <t>宣城</t>
  </si>
  <si>
    <t>安徽广播影视职业技术学院</t>
  </si>
  <si>
    <t>安徽电气工程职业技术学院</t>
  </si>
  <si>
    <t>安徽冶金科技职业学院</t>
  </si>
  <si>
    <t>安徽城市管理职业学院</t>
  </si>
  <si>
    <t>安徽机电职业技术学院</t>
  </si>
  <si>
    <t>安徽工商职业学院</t>
  </si>
  <si>
    <t>安徽中澳科技职业学院</t>
  </si>
  <si>
    <t>亳州职业技术学院</t>
  </si>
  <si>
    <t>安徽国防科技职业学院</t>
  </si>
  <si>
    <t>安庆职业技术学院</t>
  </si>
  <si>
    <t>安徽艺术职业学院</t>
  </si>
  <si>
    <t>马鞍山师范高等专科学校</t>
  </si>
  <si>
    <t>安徽财贸职业学院</t>
  </si>
  <si>
    <t>安徽国际商务职业学院</t>
  </si>
  <si>
    <t>安徽公安职业学院</t>
  </si>
  <si>
    <t>安徽林业职业技术学院</t>
  </si>
  <si>
    <t>安徽审计职业学院</t>
  </si>
  <si>
    <t>安徽新闻出版职业技术学院</t>
  </si>
  <si>
    <t>安徽邮电职业技术学院</t>
  </si>
  <si>
    <t>安徽工业职业技术学院</t>
  </si>
  <si>
    <t>安庆医药高等专科学校</t>
  </si>
  <si>
    <t>徽商职业学院</t>
  </si>
  <si>
    <t>马鞍山职业技术学院</t>
  </si>
  <si>
    <t>桐城师范高等专科学校</t>
  </si>
  <si>
    <t>黄山职业技术学院</t>
  </si>
  <si>
    <t>滁州城市职业学院</t>
  </si>
  <si>
    <t>安徽汽车职业技术学院</t>
  </si>
  <si>
    <t>皖西卫生职业学院</t>
  </si>
  <si>
    <t>合肥幼儿师范高等专科学校</t>
  </si>
  <si>
    <t>安徽黄梅戏艺术职业学院</t>
  </si>
  <si>
    <t>安徽粮食工程职业学院</t>
  </si>
  <si>
    <t>安徽卫生健康职业学院</t>
  </si>
  <si>
    <t>皖北卫生职业学院</t>
  </si>
  <si>
    <t>阜阳幼儿师范高等专科学校</t>
  </si>
  <si>
    <t>福建船政交通职业学院</t>
  </si>
  <si>
    <t>漳州职业技术学院</t>
  </si>
  <si>
    <t>闽西职业技术学院</t>
  </si>
  <si>
    <t>福州职业技术学院</t>
  </si>
  <si>
    <t>福建林业职业技术学院</t>
  </si>
  <si>
    <t>福建信息职业技术学院</t>
  </si>
  <si>
    <t>福建水利电力职业技术学院</t>
  </si>
  <si>
    <t>福建电力职业技术学院</t>
  </si>
  <si>
    <t>厦门海洋职业技术学院</t>
  </si>
  <si>
    <t>福建农业职业技术学院</t>
  </si>
  <si>
    <t>福建卫生职业技术学院</t>
  </si>
  <si>
    <t>泉州医学高等专科学校</t>
  </si>
  <si>
    <t>闽北职业技术学院</t>
  </si>
  <si>
    <t>泉州经贸职业技术学院</t>
  </si>
  <si>
    <t>湄洲湾职业技术学院</t>
  </si>
  <si>
    <t>福建生物工程职业技术学院</t>
  </si>
  <si>
    <t>福建艺术职业学院</t>
  </si>
  <si>
    <t>福建幼儿师范高等专科学校</t>
  </si>
  <si>
    <t>厦门城市职业学院</t>
  </si>
  <si>
    <t>泉州工艺美术职业学院</t>
  </si>
  <si>
    <t>三明医学科技职业学院</t>
  </si>
  <si>
    <t>宁德职业技术学院</t>
  </si>
  <si>
    <t>福建体育职业技术学院</t>
  </si>
  <si>
    <t>漳州城市职业学院</t>
  </si>
  <si>
    <t>漳州卫生职业学院</t>
  </si>
  <si>
    <t>泉州幼儿师范高等专科学校</t>
  </si>
  <si>
    <t>闽江师范高等专科学校</t>
  </si>
  <si>
    <t>上饶幼儿师范高等专科学校</t>
  </si>
  <si>
    <t>抚州幼儿师范高等专科学校</t>
  </si>
  <si>
    <t>江西工业职业技术学院</t>
  </si>
  <si>
    <t>江西医学高等专科学校</t>
  </si>
  <si>
    <t>九江职业大学</t>
  </si>
  <si>
    <t>江西司法警官职业学院</t>
  </si>
  <si>
    <t>江西陶瓷工艺美术职业技术学院</t>
  </si>
  <si>
    <t>江西旅游商贸职业学院</t>
  </si>
  <si>
    <t>江西电力职业技术学院</t>
  </si>
  <si>
    <t>江西环境工程职业学院</t>
  </si>
  <si>
    <t>江西艺术职业学院</t>
  </si>
  <si>
    <t>鹰潭职业技术学院</t>
  </si>
  <si>
    <t>鹰潭</t>
  </si>
  <si>
    <t>江西信息应用职业技术学院</t>
  </si>
  <si>
    <t>江西交通职业技术学院</t>
  </si>
  <si>
    <t>江西财经职业学院</t>
  </si>
  <si>
    <t>江西应用技术职业学院</t>
  </si>
  <si>
    <t>江西现代职业技术学院</t>
  </si>
  <si>
    <t>江西工业工程职业技术学院</t>
  </si>
  <si>
    <t>江西机电职业技术学院</t>
  </si>
  <si>
    <t>江西外语外贸职业学院</t>
  </si>
  <si>
    <t>江西工业贸易职业技术学院</t>
  </si>
  <si>
    <t>宜春职业技术学院</t>
  </si>
  <si>
    <t>江西应用工程职业学院</t>
  </si>
  <si>
    <t>江西生物科技职业学院</t>
  </si>
  <si>
    <t>江西建设职业技术学院</t>
  </si>
  <si>
    <t>抚州职业技术学院</t>
  </si>
  <si>
    <t>江西制造职业技术学院</t>
  </si>
  <si>
    <t>江西工程职业学院</t>
  </si>
  <si>
    <t>江西青年职业学院</t>
  </si>
  <si>
    <t>上饶职业技术学院</t>
  </si>
  <si>
    <t>江西农业工程职业学院</t>
  </si>
  <si>
    <t>江西卫生职业学院</t>
  </si>
  <si>
    <t>江西冶金职业技术学院</t>
  </si>
  <si>
    <t>江西管理职业学院</t>
  </si>
  <si>
    <t>江西传媒职业学院</t>
  </si>
  <si>
    <t>赣州师范高等专科学校</t>
  </si>
  <si>
    <t>江西水利职业学院</t>
  </si>
  <si>
    <t>宜春幼儿师范高等专科学校</t>
  </si>
  <si>
    <t>吉安职业技术学院</t>
  </si>
  <si>
    <t>江西师范高等专科学校</t>
  </si>
  <si>
    <t>赣南卫生健康职业学院</t>
  </si>
  <si>
    <t>萍乡卫生职业学院</t>
  </si>
  <si>
    <t>江西婺源茶业职业学院</t>
  </si>
  <si>
    <t>赣州职业技术学院</t>
  </si>
  <si>
    <t>南昌健康职业技术学院</t>
  </si>
  <si>
    <t>山东医学高等专科学校</t>
  </si>
  <si>
    <t>菏泽医学专科学校</t>
  </si>
  <si>
    <t>山东商业职业技术学院</t>
  </si>
  <si>
    <t>山东电力高等专科学校</t>
  </si>
  <si>
    <t>青岛职业技术学院</t>
  </si>
  <si>
    <t>威海职业学院</t>
  </si>
  <si>
    <t>山东职业学院</t>
  </si>
  <si>
    <t>山东劳动职业技术学院</t>
  </si>
  <si>
    <t>莱芜职业技术学院</t>
  </si>
  <si>
    <t>济宁职业技术学院</t>
  </si>
  <si>
    <t>潍坊职业学院</t>
  </si>
  <si>
    <t>烟台职业学院</t>
  </si>
  <si>
    <t>东营职业学院</t>
  </si>
  <si>
    <t>聊城职业技术学院</t>
  </si>
  <si>
    <t>山东科技职业学院</t>
  </si>
  <si>
    <t>山东服装职业学院</t>
  </si>
  <si>
    <t>山东水利职业学院</t>
  </si>
  <si>
    <t>山东畜牧兽医职业学院</t>
  </si>
  <si>
    <t>东营科技职业学院</t>
  </si>
  <si>
    <t>山东交通职业学院</t>
  </si>
  <si>
    <t>山东外贸职业学院</t>
  </si>
  <si>
    <t>青岛酒店管理职业技术学院</t>
  </si>
  <si>
    <t>山东信息职业技术学院</t>
  </si>
  <si>
    <t>青岛港湾职业技术学院</t>
  </si>
  <si>
    <t>山东胜利职业学院</t>
  </si>
  <si>
    <t>山东经贸职业学院</t>
  </si>
  <si>
    <t>山东工业职业学院</t>
  </si>
  <si>
    <t>山东化工职业学院</t>
  </si>
  <si>
    <t>济南职业学院</t>
  </si>
  <si>
    <t>烟台工程职业技术学院</t>
  </si>
  <si>
    <t>德州职业技术学院</t>
  </si>
  <si>
    <t>枣庄科技职业学院</t>
  </si>
  <si>
    <t>淄博师范高等专科学校</t>
  </si>
  <si>
    <t>山东中医药高等专科学校</t>
  </si>
  <si>
    <t>济南工程职业技术学院</t>
  </si>
  <si>
    <t>山东电子职业技术学院</t>
  </si>
  <si>
    <t>山东旅游职业学院</t>
  </si>
  <si>
    <t>山东铝业职业学院</t>
  </si>
  <si>
    <t>泰山职业技术学院</t>
  </si>
  <si>
    <t>山东药品食品职业学院</t>
  </si>
  <si>
    <t>山东商务职业学院</t>
  </si>
  <si>
    <t>山东轻工职业学院</t>
  </si>
  <si>
    <t>山东城市建设职业学院</t>
  </si>
  <si>
    <t>烟台汽车工程职业学院</t>
  </si>
  <si>
    <t>山东司法警官职业学院</t>
  </si>
  <si>
    <t>菏泽家政职业学院</t>
  </si>
  <si>
    <t>山东传媒职业学院</t>
  </si>
  <si>
    <t>临沂职业学院</t>
  </si>
  <si>
    <t>枣庄职业学院</t>
  </si>
  <si>
    <t>山东理工职业学院</t>
  </si>
  <si>
    <t>青岛远洋船员职业学院</t>
  </si>
  <si>
    <t>济南幼儿师范高等专科学校</t>
  </si>
  <si>
    <t>济南护理职业学院</t>
  </si>
  <si>
    <t>泰山护理职业学院</t>
  </si>
  <si>
    <t>潍坊护理职业学院</t>
  </si>
  <si>
    <t>潍坊工程职业学院</t>
  </si>
  <si>
    <t>菏泽职业学院</t>
  </si>
  <si>
    <t>威海海洋职业学院</t>
  </si>
  <si>
    <t>山东特殊教育职业学院</t>
  </si>
  <si>
    <t>青岛工程职业学院</t>
  </si>
  <si>
    <t>青岛幼儿师范高等专科学校</t>
  </si>
  <si>
    <t>烟台幼儿师范高等专科学校</t>
  </si>
  <si>
    <t>烟台文化旅游职业学院</t>
  </si>
  <si>
    <t>临沂科技职业学院</t>
  </si>
  <si>
    <t>河南职业技术学院</t>
  </si>
  <si>
    <t>漯河职业技术学院</t>
  </si>
  <si>
    <t>三门峡职业技术学院</t>
  </si>
  <si>
    <t>三门峡</t>
  </si>
  <si>
    <t>郑州铁路职业技术学院</t>
  </si>
  <si>
    <t>开封大学</t>
  </si>
  <si>
    <t>焦作大学</t>
  </si>
  <si>
    <t>濮阳职业技术学院</t>
  </si>
  <si>
    <t>濮阳</t>
  </si>
  <si>
    <t>郑州电力高等专科学校</t>
  </si>
  <si>
    <t>许昌职业技术学院</t>
  </si>
  <si>
    <t>河南工业和信息化职业学院</t>
  </si>
  <si>
    <t>河南水利与环境职业学院</t>
  </si>
  <si>
    <t>商丘职业技术学院</t>
  </si>
  <si>
    <t>平顶山工业职业技术学院</t>
  </si>
  <si>
    <t>周口职业技术学院</t>
  </si>
  <si>
    <t>济源职业技术学院</t>
  </si>
  <si>
    <t>济源</t>
  </si>
  <si>
    <t>河南司法警官职业学院</t>
  </si>
  <si>
    <t>鹤壁职业技术学院</t>
  </si>
  <si>
    <t>鹤壁</t>
  </si>
  <si>
    <t>焦作师范高等专科学校</t>
  </si>
  <si>
    <t>河南检察职业学院</t>
  </si>
  <si>
    <t>河南质量工程职业学院</t>
  </si>
  <si>
    <t>郑州信息科技职业学院</t>
  </si>
  <si>
    <t>漯河医学高等专科学校</t>
  </si>
  <si>
    <t>南阳医学高等专科学校</t>
  </si>
  <si>
    <t>商丘医学高等专科学校</t>
  </si>
  <si>
    <t>信阳职业技术学院</t>
  </si>
  <si>
    <t>郑州工业安全职业学院</t>
  </si>
  <si>
    <t>永城职业学院</t>
  </si>
  <si>
    <t>河南经贸职业学院</t>
  </si>
  <si>
    <t>河南交通职业技术学院</t>
  </si>
  <si>
    <t>河南农业职业学院</t>
  </si>
  <si>
    <t>郑州旅游职业学院</t>
  </si>
  <si>
    <t>郑州职业技术学院</t>
  </si>
  <si>
    <t>河南信息统计职业学院</t>
  </si>
  <si>
    <t>河南林业职业学院</t>
  </si>
  <si>
    <t>河南工业贸易职业学院</t>
  </si>
  <si>
    <t>河南建筑职业技术学院</t>
  </si>
  <si>
    <t>安阳职业技术学院</t>
  </si>
  <si>
    <t>新乡职业技术学院</t>
  </si>
  <si>
    <t>驻马店职业技术学院</t>
  </si>
  <si>
    <t>开封文化艺术职业学院</t>
  </si>
  <si>
    <t>河南应用技术职业学院</t>
  </si>
  <si>
    <t>河南艺术职业学院</t>
  </si>
  <si>
    <t>河南机电职业学院</t>
  </si>
  <si>
    <t>河南护理职业学院</t>
  </si>
  <si>
    <t>许昌电气职业学院</t>
  </si>
  <si>
    <t>河南推拿职业学院</t>
  </si>
  <si>
    <t>洛阳职业技术学院</t>
  </si>
  <si>
    <t>郑州幼儿师范高等专科学校</t>
  </si>
  <si>
    <t>安阳幼儿师范高等专科学校</t>
  </si>
  <si>
    <t>河南医学高等专科学校</t>
  </si>
  <si>
    <t>郑州财税金融职业学院</t>
  </si>
  <si>
    <t>南阳农业职业学院</t>
  </si>
  <si>
    <t>鹤壁能源化工职业学院</t>
  </si>
  <si>
    <t>濮阳医学高等专科学校</t>
  </si>
  <si>
    <t>驻马店幼儿师范高等专科学校</t>
  </si>
  <si>
    <t>三门峡社会管理职业学院</t>
  </si>
  <si>
    <t>河南轻工职业学院</t>
  </si>
  <si>
    <t>河南测绘职业学院</t>
  </si>
  <si>
    <t>郑州卫生健康职业学院</t>
  </si>
  <si>
    <t>河南物流职业学院</t>
  </si>
  <si>
    <t>河南地矿职业学院</t>
  </si>
  <si>
    <t>河南女子职业学院</t>
  </si>
  <si>
    <t>河南对外经济贸易职业学院</t>
  </si>
  <si>
    <t>濮阳石油化工职业技术学院</t>
  </si>
  <si>
    <t>南阳科技职业学院</t>
  </si>
  <si>
    <t>兰考三农职业学院</t>
  </si>
  <si>
    <t>汝州职业技术学院</t>
  </si>
  <si>
    <t>洛阳文化旅游职业学院</t>
  </si>
  <si>
    <t>周口文理职业学院</t>
  </si>
  <si>
    <t>信阳艺术职业学院</t>
  </si>
  <si>
    <t>平顶山职业技术学院</t>
  </si>
  <si>
    <t>长江职业学院</t>
  </si>
  <si>
    <t>荆州理工职业学院</t>
  </si>
  <si>
    <t>湖北工业职业技术学院</t>
  </si>
  <si>
    <t>鄂州职业大学</t>
  </si>
  <si>
    <t>鄂州</t>
  </si>
  <si>
    <t>武汉城市职业学院</t>
  </si>
  <si>
    <t>湖北职业技术学院</t>
  </si>
  <si>
    <t>武汉船舶职业技术学院</t>
  </si>
  <si>
    <t>恩施职业技术学院</t>
  </si>
  <si>
    <t>荆州职业技术学院</t>
  </si>
  <si>
    <t>武汉工程职业技术学院</t>
  </si>
  <si>
    <t>仙桃职业学院</t>
  </si>
  <si>
    <t>仙桃</t>
  </si>
  <si>
    <t>湖北轻工职业技术学院</t>
  </si>
  <si>
    <t>湖北交通职业技术学院</t>
  </si>
  <si>
    <t>湖北中医药高等专科学校</t>
  </si>
  <si>
    <t>武汉航海职业技术学院</t>
  </si>
  <si>
    <t>武汉铁路职业技术学院</t>
  </si>
  <si>
    <t>武汉软件工程职业学院</t>
  </si>
  <si>
    <t>湖北三峡职业技术学院</t>
  </si>
  <si>
    <t>随州职业技术学院</t>
  </si>
  <si>
    <t>随州</t>
  </si>
  <si>
    <t>武汉电力职业技术学院</t>
  </si>
  <si>
    <t>湖北水利水电职业技术学院</t>
  </si>
  <si>
    <t>湖北城市建设职业技术学院</t>
  </si>
  <si>
    <t>武汉警官职业学院</t>
  </si>
  <si>
    <t>湖北生物科技职业学院</t>
  </si>
  <si>
    <t>湖北艺术职业学院</t>
  </si>
  <si>
    <t>武汉交通职业学院</t>
  </si>
  <si>
    <t>咸宁职业技术学院</t>
  </si>
  <si>
    <t>长江工程职业技术学院</t>
  </si>
  <si>
    <t>江汉艺术职业学院</t>
  </si>
  <si>
    <t>潜江</t>
  </si>
  <si>
    <t>武汉民政职业学院</t>
  </si>
  <si>
    <t>湖北黄冈应急管理职业技术学院</t>
  </si>
  <si>
    <t>湖北财税职业学院</t>
  </si>
  <si>
    <t>湖北国土资源职业学院</t>
  </si>
  <si>
    <t>湖北生态工程职业技术学院</t>
  </si>
  <si>
    <t>三峡电力职业学院</t>
  </si>
  <si>
    <t>湖北科技职业学院</t>
  </si>
  <si>
    <t>湖北青年职业学院</t>
  </si>
  <si>
    <t>湖北工程职业学院</t>
  </si>
  <si>
    <t>三峡旅游职业技术学院</t>
  </si>
  <si>
    <t>天门职业学院</t>
  </si>
  <si>
    <t>天门</t>
  </si>
  <si>
    <t>湖北体育职业学院</t>
  </si>
  <si>
    <t>襄阳汽车职业技术学院</t>
  </si>
  <si>
    <t>湖北幼儿师范高等专科学校</t>
  </si>
  <si>
    <t>湖北铁道运输职业学院</t>
  </si>
  <si>
    <t>武汉海事职业学院</t>
  </si>
  <si>
    <t>荆门职业学院</t>
  </si>
  <si>
    <t>武汉铁路桥梁职业学院</t>
  </si>
  <si>
    <t>湘中幼儿师范高等专科学校</t>
  </si>
  <si>
    <t>长沙民政职业技术学院</t>
  </si>
  <si>
    <t>湖南工业职业技术学院</t>
  </si>
  <si>
    <t>株洲师范高等专科学校</t>
  </si>
  <si>
    <t>湖南信息职业技术学院</t>
  </si>
  <si>
    <t>湖南税务高等专科学校</t>
  </si>
  <si>
    <t>湖南冶金职业技术学院</t>
  </si>
  <si>
    <t>长沙航空职业技术学院</t>
  </si>
  <si>
    <t>湖南大众传媒职业技术学院</t>
  </si>
  <si>
    <t>永州职业技术学院</t>
  </si>
  <si>
    <t>湖南铁道职业技术学院</t>
  </si>
  <si>
    <t>湖南科技职业学院</t>
  </si>
  <si>
    <t>湖南生物机电职业技术学院</t>
  </si>
  <si>
    <t>湖南交通职业技术学院</t>
  </si>
  <si>
    <t>湖南商务职业技术学院</t>
  </si>
  <si>
    <t>湖南体育职业学院</t>
  </si>
  <si>
    <t>湖南工程职业技术学院</t>
  </si>
  <si>
    <t>保险职业学院</t>
  </si>
  <si>
    <t>湖南外贸职业学院</t>
  </si>
  <si>
    <t>湖南网络工程职业学院</t>
  </si>
  <si>
    <t>邵阳职业技术学院</t>
  </si>
  <si>
    <t>湖南司法警官职业学院</t>
  </si>
  <si>
    <t>长沙商贸旅游职业技术学院</t>
  </si>
  <si>
    <t>湖南环境生物职业技术学院</t>
  </si>
  <si>
    <t>湖南邮电职业技术学院</t>
  </si>
  <si>
    <t>湘潭医卫职业技术学院</t>
  </si>
  <si>
    <t>郴州职业技术学院</t>
  </si>
  <si>
    <t>娄底职业技术学院</t>
  </si>
  <si>
    <t>张家界航空工业职业技术学院</t>
  </si>
  <si>
    <t>长沙环境保护职业技术学院</t>
  </si>
  <si>
    <t>湖南艺术职业学院</t>
  </si>
  <si>
    <t>湖南机电职业技术学院</t>
  </si>
  <si>
    <t>长沙职业技术学院</t>
  </si>
  <si>
    <t>怀化职业技术学院</t>
  </si>
  <si>
    <t>岳阳职业技术学院</t>
  </si>
  <si>
    <t>常德职业技术学院</t>
  </si>
  <si>
    <t>湖南化工职业技术学院</t>
  </si>
  <si>
    <t>湖南城建职业技术学院</t>
  </si>
  <si>
    <t>湖南石油化工职业技术学院</t>
  </si>
  <si>
    <t>湖南中医药高等专科学校</t>
  </si>
  <si>
    <t>湖南民族职业学院</t>
  </si>
  <si>
    <t>湘西民族职业技术学院</t>
  </si>
  <si>
    <t>湖南财经工业职业技术学院</t>
  </si>
  <si>
    <t>益阳职业技术学院</t>
  </si>
  <si>
    <t>湖南工艺美术职业学院</t>
  </si>
  <si>
    <t>湖南九嶷职业技术学院</t>
  </si>
  <si>
    <t>湖南理工职业技术学院</t>
  </si>
  <si>
    <t>长沙电力职业技术学院</t>
  </si>
  <si>
    <t>湖南水利水电职业技术学院</t>
  </si>
  <si>
    <t>湖南现代物流职业技术学院</t>
  </si>
  <si>
    <t>湖南高速铁路职业技术学院</t>
  </si>
  <si>
    <t>湖南铁路科技职业技术学院</t>
  </si>
  <si>
    <t>湖南安全技术职业学院</t>
  </si>
  <si>
    <t>湖南电气职业技术学院</t>
  </si>
  <si>
    <t>益阳医学高等专科学校</t>
  </si>
  <si>
    <t>湖南国防工业职业技术学院</t>
  </si>
  <si>
    <t>长沙卫生职业学院</t>
  </si>
  <si>
    <t>湖南食品药品职业学院</t>
  </si>
  <si>
    <t>湖南有色金属职业技术学院</t>
  </si>
  <si>
    <t>湖南幼儿师范高等专科学校</t>
  </si>
  <si>
    <t>湘南幼儿师范高等专科学校</t>
  </si>
  <si>
    <t>湖南劳动人事职业学院</t>
  </si>
  <si>
    <t>怀化师范高等专科学校</t>
  </si>
  <si>
    <t>永州师范高等专科学校</t>
  </si>
  <si>
    <t>衡阳幼儿师范高等专科学校</t>
  </si>
  <si>
    <t>长沙幼儿师范高等专科学校</t>
  </si>
  <si>
    <t>广东交通职业技术学院</t>
  </si>
  <si>
    <t>广东水利电力职业技术学院</t>
  </si>
  <si>
    <t>广东南华工商职业学院</t>
  </si>
  <si>
    <t>广州民航职业技术学院</t>
  </si>
  <si>
    <t>广东松山职业技术学院</t>
  </si>
  <si>
    <t>广东农工商职业技术学院</t>
  </si>
  <si>
    <t>佛山职业技术学院</t>
  </si>
  <si>
    <t>广东科学技术职业学院</t>
  </si>
  <si>
    <t>广东食品药品职业学院</t>
  </si>
  <si>
    <t>广东行政职业学院</t>
  </si>
  <si>
    <t>广东体育职业技术学院</t>
  </si>
  <si>
    <t>广东职业技术学院</t>
  </si>
  <si>
    <t>广东建设职业技术学院</t>
  </si>
  <si>
    <t>广东女子职业技术学院</t>
  </si>
  <si>
    <t>广东机电职业技术学院</t>
  </si>
  <si>
    <t>汕尾职业技术学院</t>
  </si>
  <si>
    <t>汕尾</t>
  </si>
  <si>
    <t>罗定职业技术学院</t>
  </si>
  <si>
    <t>云浮</t>
  </si>
  <si>
    <t>阳江职业技术学院</t>
  </si>
  <si>
    <t>阳江</t>
  </si>
  <si>
    <t>河源职业技术学院</t>
  </si>
  <si>
    <t>河源</t>
  </si>
  <si>
    <t>广东邮电职业技术学院</t>
  </si>
  <si>
    <t>汕头职业技术学院</t>
  </si>
  <si>
    <t>揭阳职业技术学院</t>
  </si>
  <si>
    <t>揭阳</t>
  </si>
  <si>
    <t>清远职业技术学院</t>
  </si>
  <si>
    <t>清远</t>
  </si>
  <si>
    <t>广东工贸职业技术学院</t>
  </si>
  <si>
    <t>广东司法警官职业学院</t>
  </si>
  <si>
    <t>广东省外语艺术职业学院</t>
  </si>
  <si>
    <t>广东文艺职业学院</t>
  </si>
  <si>
    <t>广州体育职业技术学院</t>
  </si>
  <si>
    <t>广州工程技术职业学院</t>
  </si>
  <si>
    <t>中山火炬职业技术学院</t>
  </si>
  <si>
    <t>江门职业技术学院</t>
  </si>
  <si>
    <t>茂名职业技术学院</t>
  </si>
  <si>
    <t>珠海城市职业技术学院</t>
  </si>
  <si>
    <t>广东理工职业学院</t>
  </si>
  <si>
    <t>广州城市职业学院</t>
  </si>
  <si>
    <t>广东工程职业技术学院</t>
  </si>
  <si>
    <t>广州铁路职业技术学院</t>
  </si>
  <si>
    <t>广东科贸职业学院</t>
  </si>
  <si>
    <t>广州科技贸易职业学院</t>
  </si>
  <si>
    <t>中山职业技术学院</t>
  </si>
  <si>
    <t>东莞职业技术学院</t>
  </si>
  <si>
    <t>广东环境保护工程职业学院</t>
  </si>
  <si>
    <t>广东青年职业学院</t>
  </si>
  <si>
    <t>广东艺术职业学院</t>
  </si>
  <si>
    <t>惠州卫生职业技术学院</t>
  </si>
  <si>
    <t>广东生态工程职业学院</t>
  </si>
  <si>
    <t>惠州城市职业学院</t>
  </si>
  <si>
    <t>广东茂名健康职业学院</t>
  </si>
  <si>
    <t>广东茂名幼儿师范专科学校</t>
  </si>
  <si>
    <t>广州卫生职业技术学院</t>
  </si>
  <si>
    <t>惠州工程职业学院</t>
  </si>
  <si>
    <t>广东江门中医药职业学院</t>
  </si>
  <si>
    <t>广东茂名农林科技职业学院</t>
  </si>
  <si>
    <t>广东江门幼儿师范高等专科学校</t>
  </si>
  <si>
    <t>广东财贸职业学院</t>
  </si>
  <si>
    <t>广州幼儿师范高等专科学校</t>
  </si>
  <si>
    <t>广东汕头幼儿师范高等专科学校</t>
  </si>
  <si>
    <t>广东梅州职业技术学院</t>
  </si>
  <si>
    <t>广东潮州卫生健康职业学院</t>
  </si>
  <si>
    <t>广东云浮中医药职业学院</t>
  </si>
  <si>
    <t>湛江幼儿师范专科学校</t>
  </si>
  <si>
    <t>广西机电职业技术学院</t>
  </si>
  <si>
    <t>广西体育高等专科学校</t>
  </si>
  <si>
    <t>广西水利电力职业技术学院</t>
  </si>
  <si>
    <t>广西职业技术学院</t>
  </si>
  <si>
    <t>广西生态工程职业技术学院</t>
  </si>
  <si>
    <t>广西交通职业技术学院</t>
  </si>
  <si>
    <t>广西工业职业技术学院</t>
  </si>
  <si>
    <t>广西国际商务职业技术学院</t>
  </si>
  <si>
    <t>柳州铁道职业技术学院</t>
  </si>
  <si>
    <t>广西建设职业技术学院</t>
  </si>
  <si>
    <t>广西现代职业技术学院</t>
  </si>
  <si>
    <t>北海职业学院</t>
  </si>
  <si>
    <t>广西经贸职业技术学院</t>
  </si>
  <si>
    <t>广西工商职业技术学院</t>
  </si>
  <si>
    <t>广西电力职业技术学院</t>
  </si>
  <si>
    <t>柳州城市职业学院</t>
  </si>
  <si>
    <t>百色职业学院</t>
  </si>
  <si>
    <t>梧州职业学院</t>
  </si>
  <si>
    <t>广西幼儿师范高等专科学校</t>
  </si>
  <si>
    <t>广西卫生职业技术学院</t>
  </si>
  <si>
    <t>广西金融职业技术学院</t>
  </si>
  <si>
    <t>广西安全工程职业技术学院</t>
  </si>
  <si>
    <t>广西自然资源职业技术学院</t>
  </si>
  <si>
    <t>钦州幼儿师范高等专科学校</t>
  </si>
  <si>
    <t>广西制造工程职业技术学院</t>
  </si>
  <si>
    <t>广西物流职业技术学院</t>
  </si>
  <si>
    <t>贵港</t>
  </si>
  <si>
    <t>防城港职业技术学院</t>
  </si>
  <si>
    <t>防城港</t>
  </si>
  <si>
    <t>广西信息职业技术学院</t>
  </si>
  <si>
    <t>广西农业工程职业技术学院</t>
  </si>
  <si>
    <t>崇左幼儿师范高等专科学校</t>
  </si>
  <si>
    <t>海南职业技术学院</t>
  </si>
  <si>
    <t>海南软件职业技术学院</t>
  </si>
  <si>
    <t>琼海</t>
  </si>
  <si>
    <t>海南政法职业学院</t>
  </si>
  <si>
    <t>海南外国语职业学院</t>
  </si>
  <si>
    <t>文昌</t>
  </si>
  <si>
    <t>海南经贸职业技术学院</t>
  </si>
  <si>
    <t>海南体育职业技术学院</t>
  </si>
  <si>
    <t>海南卫生健康职业学院</t>
  </si>
  <si>
    <t>重庆航天职业技术学院</t>
  </si>
  <si>
    <t>重庆电力高等专科学校</t>
  </si>
  <si>
    <t>重庆三峡职业学院</t>
  </si>
  <si>
    <t>重庆工贸职业技术学院</t>
  </si>
  <si>
    <t>重庆城市管理职业学院</t>
  </si>
  <si>
    <t>重庆工程职业技术学院</t>
  </si>
  <si>
    <t>重庆城市职业学院</t>
  </si>
  <si>
    <t>重庆水利电力职业技术学院</t>
  </si>
  <si>
    <t>重庆工商职业学院</t>
  </si>
  <si>
    <t>重庆三峡医药高等专科学校</t>
  </si>
  <si>
    <t>重庆医药高等专科学校</t>
  </si>
  <si>
    <t>重庆青年职业技术学院</t>
  </si>
  <si>
    <t>重庆财经职业学院</t>
  </si>
  <si>
    <t>重庆建筑工程职业学院</t>
  </si>
  <si>
    <t>重庆商务职业学院</t>
  </si>
  <si>
    <t>重庆化工职业学院</t>
  </si>
  <si>
    <t>重庆旅游职业学院</t>
  </si>
  <si>
    <t>重庆安全技术职业学院</t>
  </si>
  <si>
    <t>重庆幼儿师范高等专科学校</t>
  </si>
  <si>
    <t>重庆文化艺术职业学院</t>
  </si>
  <si>
    <t>重庆工信职业学院</t>
  </si>
  <si>
    <t>四川电力职业技术学院</t>
  </si>
  <si>
    <t>成都职业技术学院</t>
  </si>
  <si>
    <t>四川化工职业技术学院</t>
  </si>
  <si>
    <t>四川水利职业技术学院</t>
  </si>
  <si>
    <t>南充职业技术学院</t>
  </si>
  <si>
    <t>内江职业技术学院</t>
  </si>
  <si>
    <t>四川航天职业技术学院</t>
  </si>
  <si>
    <t>四川邮电职业技术学院</t>
  </si>
  <si>
    <t>四川机电职业技术学院</t>
  </si>
  <si>
    <t>绵阳职业技术学院</t>
  </si>
  <si>
    <t>四川交通职业技术学院</t>
  </si>
  <si>
    <t>四川工商职业技术学院</t>
  </si>
  <si>
    <t>达州职业技术学院</t>
  </si>
  <si>
    <t>成都农业科技职业学院</t>
  </si>
  <si>
    <t>宜宾职业技术学院</t>
  </si>
  <si>
    <t>泸州职业技术学院</t>
  </si>
  <si>
    <t>眉山职业技术学院</t>
  </si>
  <si>
    <t>四川职业技术学院</t>
  </si>
  <si>
    <t>遂宁</t>
  </si>
  <si>
    <t>乐山职业技术学院</t>
  </si>
  <si>
    <t>雅安职业技术学院</t>
  </si>
  <si>
    <t>四川商务职业学院</t>
  </si>
  <si>
    <t>四川司法警官职业学院</t>
  </si>
  <si>
    <t>广安职业技术学院</t>
  </si>
  <si>
    <t>广安</t>
  </si>
  <si>
    <t>四川信息职业技术学院</t>
  </si>
  <si>
    <t>广元</t>
  </si>
  <si>
    <t>四川铁道职业学院</t>
  </si>
  <si>
    <t>四川艺术职业学院</t>
  </si>
  <si>
    <t>四川中医药高等专科学校</t>
  </si>
  <si>
    <t>四川文化产业职业学院</t>
  </si>
  <si>
    <t>四川财经职业学院</t>
  </si>
  <si>
    <t>四川幼儿师范高等专科学校</t>
  </si>
  <si>
    <t>川北幼儿师范高等专科学校</t>
  </si>
  <si>
    <t>四川卫生康复职业学院</t>
  </si>
  <si>
    <t>川南幼儿师范高等专科学校</t>
  </si>
  <si>
    <t>四川护理职业学院</t>
  </si>
  <si>
    <t>成都工业职业技术学院</t>
  </si>
  <si>
    <t>成都工贸职业技术学院</t>
  </si>
  <si>
    <t>西昌民族幼儿师范高等专科学校</t>
  </si>
  <si>
    <t>阿坝职业学院</t>
  </si>
  <si>
    <t>达州中医药职业学院</t>
  </si>
  <si>
    <t>内江卫生与健康职业学院</t>
  </si>
  <si>
    <t>南充文化旅游职业学院</t>
  </si>
  <si>
    <t>甘孜职业学院</t>
  </si>
  <si>
    <t>四川体育职业学院</t>
  </si>
  <si>
    <t>黔南民族医学高等专科学校</t>
  </si>
  <si>
    <t>贵州航天职业技术学院</t>
  </si>
  <si>
    <t>贵州电子信息职业技术学院</t>
  </si>
  <si>
    <t>安顺职业技术学院</t>
  </si>
  <si>
    <t>黔东南民族职业技术学院</t>
  </si>
  <si>
    <t>黔南民族职业技术学院</t>
  </si>
  <si>
    <t>遵义职业技术学院</t>
  </si>
  <si>
    <t>贵州工业职业技术学院</t>
  </si>
  <si>
    <t>贵州电力职业技术学院</t>
  </si>
  <si>
    <t>六盘水职业技术学院</t>
  </si>
  <si>
    <t>黔西南民族职业技术学院</t>
  </si>
  <si>
    <t>遵义医药高等专科学校</t>
  </si>
  <si>
    <t>贵阳职业技术学院</t>
  </si>
  <si>
    <t>毕节职业技术学院</t>
  </si>
  <si>
    <t>贵州职业技术学院</t>
  </si>
  <si>
    <t>贵阳幼儿师范高等专科学校</t>
  </si>
  <si>
    <t>铜仁幼儿师范高等专科学校</t>
  </si>
  <si>
    <t>黔南民族幼儿师范高等专科学校</t>
  </si>
  <si>
    <t>毕节医学高等专科学校</t>
  </si>
  <si>
    <t>贵州建设职业技术学院</t>
  </si>
  <si>
    <t>毕节幼儿师范高等专科学校</t>
  </si>
  <si>
    <t>贵州农业职业学院</t>
  </si>
  <si>
    <t>贵州水利水电职业技术学院</t>
  </si>
  <si>
    <t>贵州电子商务职业技术学院</t>
  </si>
  <si>
    <t>贵州电子科技职业学院</t>
  </si>
  <si>
    <t>贵州装备制造职业学院</t>
  </si>
  <si>
    <t>贵州健康职业学院</t>
  </si>
  <si>
    <t>贵州食品工程职业学院</t>
  </si>
  <si>
    <t>贵州经贸职业技术学院</t>
  </si>
  <si>
    <t>贵州护理职业技术学院</t>
  </si>
  <si>
    <t>六盘水幼儿师范高等专科学校</t>
  </si>
  <si>
    <t>毕节工业职业技术学院</t>
  </si>
  <si>
    <t>贵州机电职业技术学院</t>
  </si>
  <si>
    <t>贵州财经职业学院</t>
  </si>
  <si>
    <t>贵州文化旅游职业学院</t>
  </si>
  <si>
    <t>贵州航空职业技术学院</t>
  </si>
  <si>
    <t>云南国土资源职业学院</t>
  </si>
  <si>
    <t>云南交通职业技术学院</t>
  </si>
  <si>
    <t>昆明工业职业技术学院</t>
  </si>
  <si>
    <t>云南农业职业技术学院</t>
  </si>
  <si>
    <t>云南司法警官职业学院</t>
  </si>
  <si>
    <t>云南文化艺术职业学院</t>
  </si>
  <si>
    <t>云南体育运动职业技术学院</t>
  </si>
  <si>
    <t>西双版纳职业技术学院</t>
  </si>
  <si>
    <t>西双版纳</t>
  </si>
  <si>
    <t>玉溪农业职业技术学院</t>
  </si>
  <si>
    <t>云南能源职业技术学院</t>
  </si>
  <si>
    <t>云南国防工业职业技术学院</t>
  </si>
  <si>
    <t>云南机电职业技术学院</t>
  </si>
  <si>
    <t>云南林业职业技术学院</t>
  </si>
  <si>
    <t>楚雄医药高等专科学校</t>
  </si>
  <si>
    <t>保山中医药高等专科学校</t>
  </si>
  <si>
    <t>云南锡业职业技术学院</t>
  </si>
  <si>
    <t>德宏职业学院</t>
  </si>
  <si>
    <t>云南现代职业技术学院</t>
  </si>
  <si>
    <t>云南旅游职业学院</t>
  </si>
  <si>
    <t>红河卫生职业学院</t>
  </si>
  <si>
    <t>大理农林职业技术学院</t>
  </si>
  <si>
    <t>公安消防部队高等专科学校</t>
  </si>
  <si>
    <t>云南财经职业学院</t>
  </si>
  <si>
    <t>昆明铁道职业技术学院</t>
  </si>
  <si>
    <t>昭通卫生职业学院</t>
  </si>
  <si>
    <t>大理护理职业学院</t>
  </si>
  <si>
    <t>云南水利水电职业学院</t>
  </si>
  <si>
    <t>云南轻纺职业学院</t>
  </si>
  <si>
    <t>云南特殊教育职业学院</t>
  </si>
  <si>
    <t>云南工贸职业技术学院</t>
  </si>
  <si>
    <t>云南交通运输职业学院</t>
  </si>
  <si>
    <t>昆明幼儿师范高等专科学校</t>
  </si>
  <si>
    <t>曲靖职业技术学院</t>
  </si>
  <si>
    <t>红河职业技术学院</t>
  </si>
  <si>
    <t>西藏警官高等专科学校</t>
  </si>
  <si>
    <t>西藏职业技术学院</t>
  </si>
  <si>
    <t>西安电力高等专科学校</t>
  </si>
  <si>
    <t>陕西能源职业技术学院</t>
  </si>
  <si>
    <t>陕西国防工业职业技术学院</t>
  </si>
  <si>
    <t>西安航空职业技术学院</t>
  </si>
  <si>
    <t>陕西财经职业技术学院</t>
  </si>
  <si>
    <t>陕西交通职业技术学院</t>
  </si>
  <si>
    <t>陕西职业技术学院</t>
  </si>
  <si>
    <t>陕西铁路工程职业技术学院</t>
  </si>
  <si>
    <t>宝鸡职业技术学院</t>
  </si>
  <si>
    <t>陕西航空职业技术学院</t>
  </si>
  <si>
    <t>陕西邮电职业技术学院</t>
  </si>
  <si>
    <t>陕西经济管理职业技术学院</t>
  </si>
  <si>
    <t>西安铁路职业技术学院</t>
  </si>
  <si>
    <t>咸阳职业技术学院</t>
  </si>
  <si>
    <t>西安职业技术学院</t>
  </si>
  <si>
    <t>商洛职业技术学院</t>
  </si>
  <si>
    <t>汉中职业技术学院</t>
  </si>
  <si>
    <t>延安职业技术学院</t>
  </si>
  <si>
    <t>渭南职业技术学院</t>
  </si>
  <si>
    <t>安康职业技术学院</t>
  </si>
  <si>
    <t>铜川职业技术学院</t>
  </si>
  <si>
    <t>铜川</t>
  </si>
  <si>
    <t>陕西青年职业学院</t>
  </si>
  <si>
    <t>陕西工商职业学院</t>
  </si>
  <si>
    <t>榆林职业技术学院</t>
  </si>
  <si>
    <t>陕西艺术职业学院</t>
  </si>
  <si>
    <t>神木职业技术学院</t>
  </si>
  <si>
    <t>陕西机电职业技术学院</t>
  </si>
  <si>
    <t>定西师范高等专科学校</t>
  </si>
  <si>
    <t>定西</t>
  </si>
  <si>
    <t>甘肃建筑职业技术学院</t>
  </si>
  <si>
    <t>兰州职业技术学院</t>
  </si>
  <si>
    <t>甘肃交通职业技术学院</t>
  </si>
  <si>
    <t>甘肃农业职业技术学院</t>
  </si>
  <si>
    <t>甘肃畜牧工程职业技术学院</t>
  </si>
  <si>
    <t>甘肃钢铁职业技术学院</t>
  </si>
  <si>
    <t>嘉峪关</t>
  </si>
  <si>
    <t>甘肃有色冶金职业技术学院</t>
  </si>
  <si>
    <t>金昌</t>
  </si>
  <si>
    <t>白银矿冶职业技术学院</t>
  </si>
  <si>
    <t>白银</t>
  </si>
  <si>
    <t>甘肃卫生职业学院</t>
  </si>
  <si>
    <t>庆阳职业技术学院</t>
  </si>
  <si>
    <t>临夏现代职业学院</t>
  </si>
  <si>
    <t>临夏</t>
  </si>
  <si>
    <t>兰州现代职业学院</t>
  </si>
  <si>
    <t>平凉职业技术学院</t>
  </si>
  <si>
    <t>培黎职业学院</t>
  </si>
  <si>
    <t>兰州航空职业技术学院</t>
  </si>
  <si>
    <t>甘肃财贸职业学院</t>
  </si>
  <si>
    <t>青海卫生职业技术学院</t>
  </si>
  <si>
    <t>青海警官职业学院</t>
  </si>
  <si>
    <t>青海农牧科技职业学院</t>
  </si>
  <si>
    <t>青海建筑职业技术学院</t>
  </si>
  <si>
    <t>西宁城市职业技术学院</t>
  </si>
  <si>
    <t>青海高等职业技术学院</t>
  </si>
  <si>
    <t>海东</t>
  </si>
  <si>
    <t>青海柴达木职业技术学院</t>
  </si>
  <si>
    <t>海西</t>
  </si>
  <si>
    <t>宁夏民族职业技术学院</t>
  </si>
  <si>
    <t>吴忠</t>
  </si>
  <si>
    <t>宁夏工业职业学院</t>
  </si>
  <si>
    <t>宁夏财经职业技术学院</t>
  </si>
  <si>
    <t>宁夏警官职业学院</t>
  </si>
  <si>
    <t>宁夏建设职业技术学院</t>
  </si>
  <si>
    <t>宁夏葡萄酒与防沙治沙职业技术学院</t>
  </si>
  <si>
    <t>宁夏幼儿师范高等专科学校</t>
  </si>
  <si>
    <t>宁夏艺术职业学院</t>
  </si>
  <si>
    <t>宁夏体育职业学院</t>
  </si>
  <si>
    <t>石嘴山工贸职业技术学院</t>
  </si>
  <si>
    <t>乌鲁木齐职业技术学院</t>
  </si>
  <si>
    <t>克拉玛依职业技术学院</t>
  </si>
  <si>
    <t>新疆机电职业技术学院</t>
  </si>
  <si>
    <t>新疆轻工职业技术学院</t>
  </si>
  <si>
    <t>昌吉职业技术学院</t>
  </si>
  <si>
    <t>伊犁职业技术学院</t>
  </si>
  <si>
    <t>阿克苏职业技术学院</t>
  </si>
  <si>
    <t>巴音郭楞职业技术学院</t>
  </si>
  <si>
    <t>新疆建设职业技术学院</t>
  </si>
  <si>
    <t>新疆石河子职业技术学院</t>
  </si>
  <si>
    <t>新疆职业大学</t>
  </si>
  <si>
    <t>新疆体育职业技术学院</t>
  </si>
  <si>
    <t>新疆应用职业技术学院</t>
  </si>
  <si>
    <t>新疆师范高等专科学校</t>
  </si>
  <si>
    <t>新疆铁道职业技术学院</t>
  </si>
  <si>
    <t>新疆生产建设兵团兴新职业技术学院</t>
  </si>
  <si>
    <t>哈密职业技术学院</t>
  </si>
  <si>
    <t>哈密</t>
  </si>
  <si>
    <t>吐鲁番职业技术学院</t>
  </si>
  <si>
    <t>吐鲁番</t>
  </si>
  <si>
    <t>博尔塔拉职业技术学院</t>
  </si>
  <si>
    <t>博尔塔拉</t>
  </si>
  <si>
    <t>和田职业技术学院</t>
  </si>
  <si>
    <t>石河子工程职业技术学院</t>
  </si>
  <si>
    <t>喀什职业技术学院</t>
  </si>
  <si>
    <t>克孜勒苏职业技术学院</t>
  </si>
  <si>
    <t>克孜勒苏</t>
  </si>
  <si>
    <t>阿勒泰职业技术学院</t>
  </si>
  <si>
    <t>阿勒泰</t>
  </si>
  <si>
    <t>塔城职业技术学院</t>
  </si>
  <si>
    <t>塔城</t>
  </si>
  <si>
    <t>塔里木职业技术学院</t>
  </si>
  <si>
    <t>新疆工业职业技术学院</t>
  </si>
  <si>
    <t>铁门关职业技术学院</t>
  </si>
  <si>
    <t>铁门关</t>
  </si>
  <si>
    <t>重庆五一职业技术学院</t>
  </si>
  <si>
    <t>河北资源环境职业技术学院</t>
  </si>
  <si>
    <t>常州幼儿师范高等专科学校</t>
  </si>
  <si>
    <t>益阳师范高等专科学校</t>
  </si>
  <si>
    <t>娄底幼儿师范高等专科学校</t>
  </si>
  <si>
    <t>吕梁师范高等专科学校</t>
  </si>
  <si>
    <t>南阳工艺美术职业学院</t>
  </si>
  <si>
    <t>濮阳科技职业学院</t>
  </si>
  <si>
    <t>商丘幼儿师范高等专科学校</t>
  </si>
  <si>
    <t>周口理工职业学院</t>
  </si>
  <si>
    <t>上海科创职业技术学院</t>
  </si>
  <si>
    <t>上海闵行职业技术学院</t>
  </si>
  <si>
    <t>上海现代化工职业学院</t>
  </si>
  <si>
    <t>上海建设管理职业技术学院</t>
  </si>
  <si>
    <t>玉溪职业技术学院</t>
  </si>
  <si>
    <t>保山职业学院</t>
  </si>
  <si>
    <t>昭通职业学院</t>
  </si>
  <si>
    <t>衡水健康科技职业学院</t>
  </si>
  <si>
    <t>秦皇岛工业职业技术学院</t>
  </si>
  <si>
    <t>贵州体育职业学院</t>
  </si>
  <si>
    <t>文山职业技术学院</t>
  </si>
  <si>
    <t>丽江职业技术学院</t>
  </si>
  <si>
    <t>香格里拉职业学院</t>
  </si>
  <si>
    <t>迪庆</t>
  </si>
  <si>
    <t>宁夏卫生健康职业技术学院</t>
  </si>
  <si>
    <t>新疆司法警官职业学院</t>
  </si>
  <si>
    <t>阿克苏工业职业技术学院</t>
  </si>
  <si>
    <t>吉安幼儿师范高等专科学校</t>
  </si>
  <si>
    <t>上饶卫生健康职业学院</t>
  </si>
  <si>
    <t>山东城市服务职业学院</t>
  </si>
  <si>
    <t>常德科技职业技术学院</t>
  </si>
  <si>
    <t>邵阳工业职业技术学院</t>
  </si>
  <si>
    <t>广西质量工程职业技术学院</t>
  </si>
  <si>
    <t>定西职业技术学院</t>
  </si>
  <si>
    <t>喀什理工职业技术学院</t>
  </si>
  <si>
    <t>图木舒克职业技术学院</t>
  </si>
  <si>
    <t>可克达拉职业技术学院</t>
  </si>
  <si>
    <t>可克达拉</t>
  </si>
  <si>
    <t>新星职业技术学院</t>
  </si>
  <si>
    <t>新星</t>
  </si>
  <si>
    <t>昆玉职业技术学院</t>
  </si>
  <si>
    <t>昆玉</t>
  </si>
  <si>
    <t>襄阳科技职业学院</t>
  </si>
  <si>
    <t>宜昌科技职业学院</t>
  </si>
  <si>
    <t>上海浦东职业技术学院</t>
  </si>
  <si>
    <t>江苏司法警官职业学院</t>
  </si>
  <si>
    <t>深圳城市职业学院</t>
  </si>
  <si>
    <t>宁夏交通职业技术学院</t>
  </si>
  <si>
    <t>贵州传媒职业学院</t>
  </si>
  <si>
    <t>贵州生态能源职业学院</t>
  </si>
  <si>
    <t>黔东南理工职业学院</t>
  </si>
  <si>
    <t>盐城农业科技职业学院</t>
  </si>
  <si>
    <t>宿迁幼儿师范高等专科学校</t>
  </si>
  <si>
    <t>无锡师范高等专科学校</t>
  </si>
  <si>
    <t>烟台卫生健康职业学院</t>
  </si>
  <si>
    <t>山东文化艺术职业学院</t>
  </si>
  <si>
    <t>驻马店农业工程职业学院</t>
  </si>
  <si>
    <t>荆门通用航空职业技术学院</t>
  </si>
  <si>
    <t>怀化工商职业技术学院</t>
  </si>
  <si>
    <t>湘潭科技职业学院</t>
  </si>
  <si>
    <t>玉林职业技术学院</t>
  </si>
  <si>
    <t>广西智能制造职业技术学院</t>
  </si>
  <si>
    <t>海口旅游职业学院</t>
  </si>
  <si>
    <t>海南艺术职业学院</t>
  </si>
  <si>
    <t>西昌医学高等专科学校</t>
  </si>
  <si>
    <t>西昌</t>
  </si>
  <si>
    <t>怒江职业技术学院</t>
  </si>
  <si>
    <t>怒江</t>
  </si>
  <si>
    <t>临沧职业学院</t>
  </si>
  <si>
    <t>云南工业信息职业学院</t>
  </si>
  <si>
    <t>双河职业技术学院</t>
  </si>
  <si>
    <t>双河</t>
  </si>
  <si>
    <t>江西电子信息职业技术学院</t>
  </si>
  <si>
    <t>四平现代职业学院</t>
  </si>
  <si>
    <t>常州铁道职业技术学院</t>
  </si>
  <si>
    <t>苏州旅游职业学院</t>
  </si>
  <si>
    <t>南通卫生健康职业学院</t>
  </si>
  <si>
    <t>六安应用科技职业学院</t>
  </si>
  <si>
    <t>集美工业职业学院</t>
  </si>
  <si>
    <t>九江卫生健康职业学院</t>
  </si>
  <si>
    <t>新余职业技术学院</t>
  </si>
  <si>
    <t>聊城科技职业学院</t>
  </si>
  <si>
    <t>重庆农业职业学院</t>
  </si>
  <si>
    <t>宜宾工业职业技术学院</t>
  </si>
  <si>
    <t>宜宾医药健康职业学院</t>
  </si>
  <si>
    <t>日喀则职业技术学院</t>
  </si>
  <si>
    <t>日喀则</t>
  </si>
  <si>
    <t>阜康职业技术学院</t>
  </si>
  <si>
    <t>北京北大方正软件职业技术学院</t>
  </si>
  <si>
    <t>北京经贸职业学院</t>
  </si>
  <si>
    <t>北京经济技术职业学院</t>
  </si>
  <si>
    <t>北京汇佳职业学院</t>
  </si>
  <si>
    <t>北京科技经营管理学院</t>
  </si>
  <si>
    <t>北京科技职业学院</t>
  </si>
  <si>
    <t>北京培黎职业学院</t>
  </si>
  <si>
    <t>北京艺术传媒职业学院</t>
  </si>
  <si>
    <t>北京网络职业学院</t>
  </si>
  <si>
    <t>天津滨海汽车工程职业学院</t>
  </si>
  <si>
    <t>石家庄工程职业学院</t>
  </si>
  <si>
    <t>石家庄城市经济职业学院</t>
  </si>
  <si>
    <t>石家庄财经职业学院</t>
  </si>
  <si>
    <t>石家庄工商职业学院</t>
  </si>
  <si>
    <t>石家庄理工职业学院</t>
  </si>
  <si>
    <t>石家庄科技信息职业学院</t>
  </si>
  <si>
    <t>石家庄医学高等专科学校</t>
  </si>
  <si>
    <t>石家庄经济职业学院</t>
  </si>
  <si>
    <t>石家庄人民医学高等专科学校</t>
  </si>
  <si>
    <t>石家庄科技职业学院</t>
  </si>
  <si>
    <t>渤海理工职业学院</t>
  </si>
  <si>
    <t>曹妃甸职业技术学院</t>
  </si>
  <si>
    <t>唐山海运职业学院</t>
  </si>
  <si>
    <t>邢台应用技术职业学院</t>
  </si>
  <si>
    <t>山西信息职业技术学院</t>
  </si>
  <si>
    <t>山西同文职业技术学院</t>
  </si>
  <si>
    <t>山西华澳商贸职业学院</t>
  </si>
  <si>
    <t>山西老区职业技术学院</t>
  </si>
  <si>
    <t>内蒙古丰州职业学院</t>
  </si>
  <si>
    <t>内蒙古科技职业学院</t>
  </si>
  <si>
    <t>内蒙古北方职业技术学院</t>
  </si>
  <si>
    <t>赤峰职业技术学院</t>
  </si>
  <si>
    <t>内蒙古经贸外语职业学院</t>
  </si>
  <si>
    <t>内蒙古工业职业学院</t>
  </si>
  <si>
    <t>内蒙古能源职业学院</t>
  </si>
  <si>
    <t>内蒙古美术职业学院</t>
  </si>
  <si>
    <t>大连商务职业学院</t>
  </si>
  <si>
    <t>辽宁广告职业学院</t>
  </si>
  <si>
    <t>大连软件职业学院</t>
  </si>
  <si>
    <t>大连翻译职业学院</t>
  </si>
  <si>
    <t>大连枫叶职业技术学院</t>
  </si>
  <si>
    <t>大连航运职业技术学院</t>
  </si>
  <si>
    <t>大连装备制造职业技术学院</t>
  </si>
  <si>
    <t>大连汽车职业技术学院</t>
  </si>
  <si>
    <t>沈阳北软信息职业技术学院</t>
  </si>
  <si>
    <t>长春东方职业学院</t>
  </si>
  <si>
    <t>长春信息技术职业学院</t>
  </si>
  <si>
    <t>吉林科技职业技术学院</t>
  </si>
  <si>
    <t>吉林城市职业技术学院</t>
  </si>
  <si>
    <t>吉林职业技术学院</t>
  </si>
  <si>
    <t>长春健康职业学院</t>
  </si>
  <si>
    <t>长春早期教育职业学院</t>
  </si>
  <si>
    <t>梅河口康美职业技术学院</t>
  </si>
  <si>
    <t>哈尔滨传媒职业学院</t>
  </si>
  <si>
    <t>哈尔滨城市职业学院</t>
  </si>
  <si>
    <t>黑龙江三江美术职业学院</t>
  </si>
  <si>
    <t>哈尔滨应用职业技术学院</t>
  </si>
  <si>
    <t>齐齐哈尔理工职业学院</t>
  </si>
  <si>
    <t>哈尔滨北方航空职业技术学院</t>
  </si>
  <si>
    <t>上海东海职业技术学院</t>
  </si>
  <si>
    <t>上海工商职业技术学院</t>
  </si>
  <si>
    <t>上海震旦职业学院</t>
  </si>
  <si>
    <t>上海民远职业技术学院</t>
  </si>
  <si>
    <t>上海欧华职业技术学院</t>
  </si>
  <si>
    <t>上海思博职业技术学院</t>
  </si>
  <si>
    <t>上海济光职业技术学院</t>
  </si>
  <si>
    <t>上海工商外国语职业学院</t>
  </si>
  <si>
    <t>上海邦德职业技术学院</t>
  </si>
  <si>
    <t>上海电影艺术职业学院</t>
  </si>
  <si>
    <t>上海中华职业技术学院</t>
  </si>
  <si>
    <t>明达职业技术学院</t>
  </si>
  <si>
    <t>九州职业技术学院</t>
  </si>
  <si>
    <t>硅湖职业技术学院</t>
  </si>
  <si>
    <t>应天职业技术学院</t>
  </si>
  <si>
    <t>苏州托普信息职业技术学院</t>
  </si>
  <si>
    <t>太湖创意职业技术学院</t>
  </si>
  <si>
    <t>炎黄职业技术学院</t>
  </si>
  <si>
    <t>正德职业技术学院</t>
  </si>
  <si>
    <t>钟山职业技术学院</t>
  </si>
  <si>
    <t>无锡南洋职业技术学院</t>
  </si>
  <si>
    <t>江南影视艺术职业学院</t>
  </si>
  <si>
    <t>金肯职业技术学院</t>
  </si>
  <si>
    <t>建东职业技术学院</t>
  </si>
  <si>
    <t>江海职业技术学院</t>
  </si>
  <si>
    <t>金山职业技术学院</t>
  </si>
  <si>
    <t>昆山登云科技职业学院</t>
  </si>
  <si>
    <t>南京视觉艺术职业学院</t>
  </si>
  <si>
    <t>苏州高博职业学院</t>
  </si>
  <si>
    <t>宿迁泽达职业技术学院</t>
  </si>
  <si>
    <t>扬州中瑞酒店职业学院</t>
  </si>
  <si>
    <t>浙江育英职业技术学院</t>
  </si>
  <si>
    <t>绍兴职业技术学院</t>
  </si>
  <si>
    <t>浙江东方职业技术学院</t>
  </si>
  <si>
    <t>浙江长征职业技术学院</t>
  </si>
  <si>
    <t>嘉兴南洋职业技术学院</t>
  </si>
  <si>
    <t>杭州万向职业技术学院</t>
  </si>
  <si>
    <t>浙江汽车职业技术学院</t>
  </si>
  <si>
    <t>浙江横店影视职业学院</t>
  </si>
  <si>
    <t>浙江宇翔职业技术学院</t>
  </si>
  <si>
    <t>浙江金华科贸职业技术学院</t>
  </si>
  <si>
    <t>民办万博科技职业学院</t>
  </si>
  <si>
    <t>民办合肥经济技术职业学院</t>
  </si>
  <si>
    <t>民办合肥滨湖职业技术学院</t>
  </si>
  <si>
    <t>阜阳科技职业学院</t>
  </si>
  <si>
    <t>民办合肥财经职业学院</t>
  </si>
  <si>
    <t>安徽涉外经济职业学院</t>
  </si>
  <si>
    <t>安徽绿海商务职业学院</t>
  </si>
  <si>
    <t>合肥共达职业技术学院</t>
  </si>
  <si>
    <t>蚌埠经济技术职业学院</t>
  </si>
  <si>
    <t>民办安徽旅游职业学院</t>
  </si>
  <si>
    <t>安徽现代信息工程职业学院</t>
  </si>
  <si>
    <t>安徽矿业职业技术学院</t>
  </si>
  <si>
    <t>合肥信息技术职业学院</t>
  </si>
  <si>
    <t>安徽扬子职业技术学院</t>
  </si>
  <si>
    <t>合肥科技职业学院</t>
  </si>
  <si>
    <t>黄山健康职业学院</t>
  </si>
  <si>
    <t>宿州航空职业学院</t>
  </si>
  <si>
    <t>福建华南女子职业学院</t>
  </si>
  <si>
    <t>福州英华职业学院</t>
  </si>
  <si>
    <t>泉州纺织服装职业学院</t>
  </si>
  <si>
    <t>泉州华光职业学院</t>
  </si>
  <si>
    <t>福州黎明职业技术学院</t>
  </si>
  <si>
    <t>厦门演艺职业学院</t>
  </si>
  <si>
    <t>厦门华天涉外职业技术学院</t>
  </si>
  <si>
    <t>福州科技职业技术学院</t>
  </si>
  <si>
    <t>福州软件职业技术学院</t>
  </si>
  <si>
    <t>厦门兴才职业技术学院</t>
  </si>
  <si>
    <t>厦门软件职业技术学院</t>
  </si>
  <si>
    <t>厦门南洋职业学院</t>
  </si>
  <si>
    <t>厦门东海职业技术学院</t>
  </si>
  <si>
    <t>漳州科技职业学院</t>
  </si>
  <si>
    <t>漳州理工职业学院</t>
  </si>
  <si>
    <t>武夷山职业学院</t>
  </si>
  <si>
    <t>泉州海洋职业学院</t>
  </si>
  <si>
    <t>泉州轻工职业学院</t>
  </si>
  <si>
    <t>厦门安防科技职业学院</t>
  </si>
  <si>
    <t>泉州工程职业技术学院</t>
  </si>
  <si>
    <t>江西科技职业学院</t>
  </si>
  <si>
    <t>江西航空职业技术学院</t>
  </si>
  <si>
    <t>赣西科技职业学院</t>
  </si>
  <si>
    <t>江西新能源科技职业学院</t>
  </si>
  <si>
    <t>江西枫林涉外经贸职业学院</t>
  </si>
  <si>
    <t>江西工商职业技术学院</t>
  </si>
  <si>
    <t>景德镇陶瓷职业技术学院</t>
  </si>
  <si>
    <t>江西洪州职业学院</t>
  </si>
  <si>
    <t>南昌影视传播职业学院</t>
  </si>
  <si>
    <t>九江理工职业学院</t>
  </si>
  <si>
    <t>和君职业学院</t>
  </si>
  <si>
    <t>曲阜远东职业技术学院</t>
  </si>
  <si>
    <t>德州科技职业学院</t>
  </si>
  <si>
    <t>山东力明科技职业学院</t>
  </si>
  <si>
    <t>山东圣翰财贸职业学院</t>
  </si>
  <si>
    <t>青岛飞洋职业技术学院</t>
  </si>
  <si>
    <t>青岛求实职业技术学院</t>
  </si>
  <si>
    <t>潍坊工商职业学院</t>
  </si>
  <si>
    <t>山东杏林科技职业学院</t>
  </si>
  <si>
    <t>山东文化产业职业学院</t>
  </si>
  <si>
    <t>山东海事职业学院</t>
  </si>
  <si>
    <t>山东艺术设计职业学院</t>
  </si>
  <si>
    <t>烟台黄金职业学院</t>
  </si>
  <si>
    <t>日照航海工程职业学院</t>
  </si>
  <si>
    <t>青岛航空科技职业学院</t>
  </si>
  <si>
    <t>潍坊环境工程职业学院</t>
  </si>
  <si>
    <t>滨州科技职业学院</t>
  </si>
  <si>
    <t>郑州电子信息职业技术学院</t>
  </si>
  <si>
    <t>嵩山少林武术职业学院</t>
  </si>
  <si>
    <t>郑州电力职业技术学院</t>
  </si>
  <si>
    <t>郑州城市职业学院</t>
  </si>
  <si>
    <t>焦作工贸职业学院</t>
  </si>
  <si>
    <t>许昌陶瓷职业学院</t>
  </si>
  <si>
    <t>郑州理工职业学院</t>
  </si>
  <si>
    <t>郑州信息工程职业学院</t>
  </si>
  <si>
    <t>长垣烹饪职业技术学院</t>
  </si>
  <si>
    <t>信阳涉外职业技术学院</t>
  </si>
  <si>
    <t>鹤壁汽车工程职业学院</t>
  </si>
  <si>
    <t>南阳职业学院</t>
  </si>
  <si>
    <t>郑州商贸旅游职业学院</t>
  </si>
  <si>
    <t>郑州黄河护理职业学院</t>
  </si>
  <si>
    <t>洛阳科技职业学院</t>
  </si>
  <si>
    <t>平顶山文化艺术职业学院</t>
  </si>
  <si>
    <t>信阳航空职业学院</t>
  </si>
  <si>
    <t>林州建筑职业技术学院</t>
  </si>
  <si>
    <t>郑州电子商务职业学院</t>
  </si>
  <si>
    <t>郑州轨道工程职业学院</t>
  </si>
  <si>
    <t>郑州体育职业学院</t>
  </si>
  <si>
    <t>郑州城建职业学院</t>
  </si>
  <si>
    <t>郑州医药健康职业学院</t>
  </si>
  <si>
    <t>武汉工贸职业学院</t>
  </si>
  <si>
    <t>湖北开放职业学院</t>
  </si>
  <si>
    <t>武汉科技职业学院</t>
  </si>
  <si>
    <t>武汉外语外事职业学院</t>
  </si>
  <si>
    <t>武汉信息传播职业技术学院</t>
  </si>
  <si>
    <t>武昌职业学院</t>
  </si>
  <si>
    <t>武汉商贸职业学院</t>
  </si>
  <si>
    <t>黄冈科技职业学院</t>
  </si>
  <si>
    <t>长江艺术工程职业学院</t>
  </si>
  <si>
    <t>武汉光谷职业学院</t>
  </si>
  <si>
    <t>湖北健康职业学院</t>
  </si>
  <si>
    <t>湖北孝感美珈职业学院</t>
  </si>
  <si>
    <t>长沙南方职业学院</t>
  </si>
  <si>
    <t>潇湘职业学院</t>
  </si>
  <si>
    <t>湖南外国语职业学院</t>
  </si>
  <si>
    <t>湖南都市职业学院</t>
  </si>
  <si>
    <t>湖南电子科技职业学院</t>
  </si>
  <si>
    <t>湖南高尔夫旅游职业学院</t>
  </si>
  <si>
    <t>湖南工商职业学院</t>
  </si>
  <si>
    <t>湖南三一工业职业技术学院</t>
  </si>
  <si>
    <t>湖南吉利汽车职业技术学院</t>
  </si>
  <si>
    <t>潮汕职业技术学院</t>
  </si>
  <si>
    <t>私立华联学院</t>
  </si>
  <si>
    <t>广东新安职业技术学院</t>
  </si>
  <si>
    <t>广州康大职业技术学院</t>
  </si>
  <si>
    <t>珠海艺术职业学院</t>
  </si>
  <si>
    <t>广东岭南职业技术学院</t>
  </si>
  <si>
    <t>广东亚视演艺职业学院</t>
  </si>
  <si>
    <t>广州涉外经济职业技术学院</t>
  </si>
  <si>
    <t>广州南洋理工职业学院</t>
  </si>
  <si>
    <t>惠州经济职业技术学院</t>
  </si>
  <si>
    <t>广州现代信息工程职业技术学院</t>
  </si>
  <si>
    <t>广州华南商贸职业学院</t>
  </si>
  <si>
    <t>广州华立科技职业学院</t>
  </si>
  <si>
    <t>广州珠江职业技术学院</t>
  </si>
  <si>
    <t>广州松田职业学院</t>
  </si>
  <si>
    <t>广东文理职业学院</t>
  </si>
  <si>
    <t>广州城建职业学院</t>
  </si>
  <si>
    <t>广东南方职业学院</t>
  </si>
  <si>
    <t>广州华商职业学院</t>
  </si>
  <si>
    <t>广州华夏职业学院</t>
  </si>
  <si>
    <t>广州东华职业学院</t>
  </si>
  <si>
    <t>广东创新科技职业学院</t>
  </si>
  <si>
    <t>广东信息工程职业学院</t>
  </si>
  <si>
    <t>广东碧桂园职业学院</t>
  </si>
  <si>
    <t>广东酒店管理职业技术学院</t>
  </si>
  <si>
    <t>广东肇庆航空职业学院</t>
  </si>
  <si>
    <t>桂林生命与健康职业技术学院</t>
  </si>
  <si>
    <t>桂林山水职业学院</t>
  </si>
  <si>
    <t>广西演艺职业学院</t>
  </si>
  <si>
    <t>广西英华国际职业学院</t>
  </si>
  <si>
    <t>广西工程职业学院</t>
  </si>
  <si>
    <t>广西理工职业技术学院</t>
  </si>
  <si>
    <t>广西经济职业学院</t>
  </si>
  <si>
    <t>广西科技职业学院</t>
  </si>
  <si>
    <t>广西培贤国际职业学院</t>
  </si>
  <si>
    <t>广西中远职业学院</t>
  </si>
  <si>
    <t>玉柴职业技术学院</t>
  </si>
  <si>
    <t>广西蓝天航空职业学院</t>
  </si>
  <si>
    <t>梧州医学高等专科学校</t>
  </si>
  <si>
    <t>北海康养职业学院</t>
  </si>
  <si>
    <t>三亚城市职业学院</t>
  </si>
  <si>
    <t>海南工商职业学院</t>
  </si>
  <si>
    <t>三亚航空旅游职业学院</t>
  </si>
  <si>
    <t>三亚理工职业学院</t>
  </si>
  <si>
    <t>三亚中瑞酒店管理职业学院</t>
  </si>
  <si>
    <t>海南健康管理职业技术学院</t>
  </si>
  <si>
    <t>澄迈</t>
  </si>
  <si>
    <t>重庆海联职业技术学院</t>
  </si>
  <si>
    <t>重庆信息技术职业学院</t>
  </si>
  <si>
    <t>重庆传媒职业学院</t>
  </si>
  <si>
    <t>重庆建筑科技职业学院</t>
  </si>
  <si>
    <t>重庆应用技术职业学院</t>
  </si>
  <si>
    <t>重庆科创职业学院</t>
  </si>
  <si>
    <t>重庆电讯职业学院</t>
  </si>
  <si>
    <t>重庆能源职业学院</t>
  </si>
  <si>
    <t>重庆交通职业学院</t>
  </si>
  <si>
    <t>重庆公共运输职业学院</t>
  </si>
  <si>
    <t>重庆艺术工程职业学院</t>
  </si>
  <si>
    <t>重庆轻工职业学院</t>
  </si>
  <si>
    <t>重庆电信职业学院</t>
  </si>
  <si>
    <t>重庆经贸职业学院</t>
  </si>
  <si>
    <t>重庆科技职业学院</t>
  </si>
  <si>
    <t>重庆资源与环境保护职业学院</t>
  </si>
  <si>
    <t>重庆护理职业学院</t>
  </si>
  <si>
    <t>重庆理工职业学院</t>
  </si>
  <si>
    <t>重庆智能工程职业学院</t>
  </si>
  <si>
    <t>重庆健康职业学院</t>
  </si>
  <si>
    <t>民办四川天一学院</t>
  </si>
  <si>
    <t>四川托普信息技术职业学院</t>
  </si>
  <si>
    <t>四川国际标榜职业学院</t>
  </si>
  <si>
    <t>四川文化传媒职业学院</t>
  </si>
  <si>
    <t>四川华新现代职业学院</t>
  </si>
  <si>
    <t>四川科技职业学院</t>
  </si>
  <si>
    <t>四川城市职业学院</t>
  </si>
  <si>
    <t>四川现代职业学院</t>
  </si>
  <si>
    <t>四川长江职业学院</t>
  </si>
  <si>
    <t>四川三河职业学院</t>
  </si>
  <si>
    <t>四川汽车职业技术学院</t>
  </si>
  <si>
    <t>巴中职业技术学院</t>
  </si>
  <si>
    <t>巴中</t>
  </si>
  <si>
    <t>四川希望汽车职业学院</t>
  </si>
  <si>
    <t>资阳</t>
  </si>
  <si>
    <t>四川电子机械职业技术学院</t>
  </si>
  <si>
    <t>四川文轩职业学院</t>
  </si>
  <si>
    <t>四川西南航空职业学院</t>
  </si>
  <si>
    <t>四川应用技术职业学院</t>
  </si>
  <si>
    <t>眉山药科职业学院</t>
  </si>
  <si>
    <t>天府新区信息职业学院</t>
  </si>
  <si>
    <t>德阳城市轨道交通职业学院</t>
  </si>
  <si>
    <t>德阳科贸职业学院</t>
  </si>
  <si>
    <t>江阳城建职业学院</t>
  </si>
  <si>
    <t>天府新区航空旅游职业学院</t>
  </si>
  <si>
    <t>天府新区通用航空职业学院</t>
  </si>
  <si>
    <t>南充科技职业学院</t>
  </si>
  <si>
    <t>攀枝花攀西职业学院</t>
  </si>
  <si>
    <t>资阳口腔职业学院</t>
  </si>
  <si>
    <t>资阳环境科技职业学院</t>
  </si>
  <si>
    <t>南充电影工业职业学院</t>
  </si>
  <si>
    <t>绵阳飞行职业学院</t>
  </si>
  <si>
    <t>德阳农业科技职业学院</t>
  </si>
  <si>
    <t>泸州医疗器械职业学院</t>
  </si>
  <si>
    <t>自贡职业技术学院</t>
  </si>
  <si>
    <t>广元中核职业技术学院</t>
  </si>
  <si>
    <t>贵州城市职业学院</t>
  </si>
  <si>
    <t>贵州盛华职业学院</t>
  </si>
  <si>
    <t>贵州工程职业学院</t>
  </si>
  <si>
    <t>贵州工贸职业学院</t>
  </si>
  <si>
    <t>贵州应用技术职业学院</t>
  </si>
  <si>
    <t>贵州民用航空职业学院</t>
  </si>
  <si>
    <t>云南科技信息职业学院</t>
  </si>
  <si>
    <t>昆明艺术职业学院</t>
  </si>
  <si>
    <t>云南城市建设职业学院</t>
  </si>
  <si>
    <t>云南工程职业学院</t>
  </si>
  <si>
    <t>云南新兴职业学院</t>
  </si>
  <si>
    <t>云南三鑫职业技术学院</t>
  </si>
  <si>
    <t>云南商务职业学院</t>
  </si>
  <si>
    <t>昆明卫生职业学院</t>
  </si>
  <si>
    <t>云南外事外语职业学院</t>
  </si>
  <si>
    <t>云南医药健康职业学院</t>
  </si>
  <si>
    <t>云南理工职业学院</t>
  </si>
  <si>
    <t>西安高新科技职业学院</t>
  </si>
  <si>
    <t>西安城市建设职业学院</t>
  </si>
  <si>
    <t>陕西电子信息职业技术学院</t>
  </si>
  <si>
    <t>西安海棠职业学院</t>
  </si>
  <si>
    <t>西安健康工程职业学院</t>
  </si>
  <si>
    <t>陕西旅游烹饪职业学院</t>
  </si>
  <si>
    <t>西安医学高等专科学校</t>
  </si>
  <si>
    <t>宝鸡三和职业学院</t>
  </si>
  <si>
    <t>榆林能源科技职业学院</t>
  </si>
  <si>
    <t>宝鸡中北职业学院</t>
  </si>
  <si>
    <t>兰州外语职业学院</t>
  </si>
  <si>
    <t>兰州科技职业学院</t>
  </si>
  <si>
    <t>白银希望职业技术学院</t>
  </si>
  <si>
    <t>新疆能源职业技术学院</t>
  </si>
  <si>
    <t>新疆现代职业技术学院</t>
  </si>
  <si>
    <t>新疆科技职业技术学院</t>
  </si>
  <si>
    <t>五家渠</t>
  </si>
  <si>
    <t>新疆科信职业技术学院</t>
  </si>
  <si>
    <t>焦作新材料职业学院</t>
  </si>
  <si>
    <t>开封职业学院</t>
  </si>
  <si>
    <t>洛阳商业职业学院</t>
  </si>
  <si>
    <t>郑州软件职业技术学院</t>
  </si>
  <si>
    <t>郑州智能科技职业学院</t>
  </si>
  <si>
    <t>沧州航空职业学院</t>
  </si>
  <si>
    <t>邯郸应用技术职业学院</t>
  </si>
  <si>
    <t>珠海格力职业学院</t>
  </si>
  <si>
    <t>贵州铜仁数据职业学院</t>
  </si>
  <si>
    <t>潍坊食品科技职业学院</t>
  </si>
  <si>
    <t>烟台城市科技职业学院</t>
  </si>
  <si>
    <t>郑州食品工程职业学院</t>
  </si>
  <si>
    <t>郑州汽车工程职业学院</t>
  </si>
  <si>
    <t>长沙轨道交通职业学院</t>
  </si>
  <si>
    <t>长沙文创艺术职业学院</t>
  </si>
  <si>
    <t>岳阳现代服务职业学院</t>
  </si>
  <si>
    <t>郴州思科职业学院</t>
  </si>
  <si>
    <t>衡阳科技职业学院</t>
  </si>
  <si>
    <t>桂林信息工程职业学院</t>
  </si>
  <si>
    <t>遂宁能源职业学院</t>
  </si>
  <si>
    <t>遂宁工程职业学院</t>
  </si>
  <si>
    <t>遂宁职业学院</t>
  </si>
  <si>
    <t>长春数字科技职业学院</t>
  </si>
  <si>
    <t>芜湖医药健康职业学院</t>
  </si>
  <si>
    <t>芜湖航空职业学院</t>
  </si>
  <si>
    <t>蚌埠城市轨道交通职业学院</t>
  </si>
  <si>
    <t>海南东方新丝路职业学院</t>
  </si>
  <si>
    <t>东方</t>
  </si>
  <si>
    <t>邢台新能源职业学院</t>
  </si>
  <si>
    <t>江西樟树中医药职业学院</t>
  </si>
  <si>
    <t>赣东职业技术学院</t>
  </si>
  <si>
    <t>德州工程职业学院</t>
  </si>
  <si>
    <t>日照康养职业学院</t>
  </si>
  <si>
    <t>信阳科技职业学院</t>
  </si>
  <si>
    <t>信阳工程职业学院</t>
  </si>
  <si>
    <t>周口城市职业学院</t>
  </si>
  <si>
    <t>河南新乡工商职业学院</t>
  </si>
  <si>
    <t>重庆数字产业职业技术学院</t>
  </si>
  <si>
    <t>重庆现代制造职业学院</t>
  </si>
  <si>
    <t>成都轨道交通职业学院</t>
  </si>
  <si>
    <t>长沙医药健康职业学院</t>
  </si>
  <si>
    <t>三亚护理职业学院</t>
  </si>
  <si>
    <t>大同数据科技职业学院</t>
  </si>
  <si>
    <t>长沙科技职业学院</t>
  </si>
  <si>
    <t>株洲科技职业学院</t>
  </si>
  <si>
    <t>衡阳理工职业学院</t>
  </si>
  <si>
    <t>郴州智能科技职业学院</t>
  </si>
  <si>
    <t>鹰潭卫生职业学院</t>
  </si>
  <si>
    <t>石家庄金融职业学院</t>
  </si>
  <si>
    <t>石家庄农林职业学院</t>
  </si>
  <si>
    <t>哈尔滨商贸职业学院</t>
  </si>
  <si>
    <t>齐齐哈尔立德健康职业学院</t>
  </si>
  <si>
    <t>湖州健康职业学院</t>
  </si>
  <si>
    <t>赣州起元职业学院</t>
  </si>
  <si>
    <t>赣州远恒佳职业学院</t>
  </si>
  <si>
    <t>济宁汽车工程职业学院</t>
  </si>
  <si>
    <t>日照科技职业学院</t>
  </si>
  <si>
    <t>枣庄应用技术职业学院</t>
  </si>
  <si>
    <t>临沂城市职业学院</t>
  </si>
  <si>
    <t>菏泽生物医药职业学院</t>
  </si>
  <si>
    <t>开封工程职业学院</t>
  </si>
  <si>
    <t>开封智慧健康职业学院</t>
  </si>
  <si>
    <t>周口智慧能源职业学院</t>
  </si>
  <si>
    <t>平顶山科技职业学院</t>
  </si>
  <si>
    <t>岳阳科技职业学院</t>
  </si>
  <si>
    <t>邵阳通航职业技术学院</t>
  </si>
  <si>
    <t>重庆安防职业学院</t>
  </si>
  <si>
    <t>昆明航空职业学院</t>
  </si>
  <si>
    <t>苏州百年职业学院</t>
  </si>
  <si>
    <t>福州墨尔本理工职业学院</t>
  </si>
  <si>
    <t>郑州亚欧交通职业学院</t>
  </si>
  <si>
    <t>学校标识码</t>
  </si>
  <si>
    <t>所在地</t>
  </si>
  <si>
    <t>办学层次</t>
  </si>
  <si>
    <t>备注</t>
  </si>
  <si>
    <t>教育部</t>
  </si>
  <si>
    <t>北京市</t>
  </si>
  <si>
    <t>工业和信息化部</t>
  </si>
  <si>
    <t>中央办公厅</t>
  </si>
  <si>
    <t>国家卫生健康委员会</t>
  </si>
  <si>
    <t>应急管理部</t>
  </si>
  <si>
    <t>外交部</t>
  </si>
  <si>
    <t>公安部</t>
  </si>
  <si>
    <t>国家体育总局</t>
  </si>
  <si>
    <t>国家民委</t>
  </si>
  <si>
    <t>中华妇女联合会</t>
  </si>
  <si>
    <t>北京市教委</t>
  </si>
  <si>
    <t>共青团中央</t>
  </si>
  <si>
    <t>中华全国总工会</t>
  </si>
  <si>
    <t>中国科学院</t>
  </si>
  <si>
    <t>中国社会科学院</t>
  </si>
  <si>
    <t>民政部</t>
  </si>
  <si>
    <t>天津市</t>
  </si>
  <si>
    <t>交通运输部（中国民用航空局）</t>
  </si>
  <si>
    <t>天津市教委</t>
  </si>
  <si>
    <t>天津市职业大学</t>
  </si>
  <si>
    <t>河北省</t>
  </si>
  <si>
    <t>保定市</t>
  </si>
  <si>
    <t>邯郸市</t>
  </si>
  <si>
    <t>石家庄市</t>
  </si>
  <si>
    <t>唐山市</t>
  </si>
  <si>
    <t>张家口市</t>
  </si>
  <si>
    <t>沧州市</t>
  </si>
  <si>
    <t>承德市</t>
  </si>
  <si>
    <t>廊坊市</t>
  </si>
  <si>
    <t>衡水市</t>
  </si>
  <si>
    <t>邢台市</t>
  </si>
  <si>
    <t>秦皇岛市</t>
  </si>
  <si>
    <t>华北科技学院</t>
  </si>
  <si>
    <t>防灾科技学院</t>
  </si>
  <si>
    <t>中国地震局</t>
  </si>
  <si>
    <t>司法部</t>
  </si>
  <si>
    <t>河北省教育厅</t>
  </si>
  <si>
    <t>山西省</t>
  </si>
  <si>
    <t>太原市</t>
  </si>
  <si>
    <t>晋中市</t>
  </si>
  <si>
    <t>长治市</t>
  </si>
  <si>
    <t>大同市</t>
  </si>
  <si>
    <t>运城市</t>
  </si>
  <si>
    <t>忻州市</t>
  </si>
  <si>
    <t>吕梁市</t>
  </si>
  <si>
    <t>山西省教育厅</t>
  </si>
  <si>
    <t>朔州市</t>
  </si>
  <si>
    <t>临汾市</t>
  </si>
  <si>
    <t>晋城市</t>
  </si>
  <si>
    <t>阳泉市</t>
  </si>
  <si>
    <t>内蒙古自治区</t>
  </si>
  <si>
    <t>呼和浩特市</t>
  </si>
  <si>
    <t>包头市</t>
  </si>
  <si>
    <t>通辽市</t>
  </si>
  <si>
    <t>赤峰学院</t>
  </si>
  <si>
    <t>赤峰市</t>
  </si>
  <si>
    <t>呼伦贝尔市</t>
  </si>
  <si>
    <t>乌兰察布市</t>
  </si>
  <si>
    <t>巴彦淖尔市</t>
  </si>
  <si>
    <t>内蒙古自治区教育厅</t>
  </si>
  <si>
    <t>鄂尔多斯市</t>
  </si>
  <si>
    <t>兴安盟</t>
  </si>
  <si>
    <t>锡林郭勒盟</t>
  </si>
  <si>
    <t>乌海市</t>
  </si>
  <si>
    <t>阿拉善盟</t>
  </si>
  <si>
    <t>辽宁省</t>
  </si>
  <si>
    <t>沈阳市</t>
  </si>
  <si>
    <t>大连市</t>
  </si>
  <si>
    <t>鞍山市</t>
  </si>
  <si>
    <t>阜新市</t>
  </si>
  <si>
    <t>抚顺市</t>
  </si>
  <si>
    <t>交通运输部</t>
  </si>
  <si>
    <t>锦州市</t>
  </si>
  <si>
    <t>辽宁省教育厅</t>
  </si>
  <si>
    <t>本溪市</t>
  </si>
  <si>
    <t>丹东市</t>
  </si>
  <si>
    <t>辽阳市</t>
  </si>
  <si>
    <t>葫芦岛市</t>
  </si>
  <si>
    <t>营口市</t>
  </si>
  <si>
    <t>朝阳市</t>
  </si>
  <si>
    <t>铁岭市</t>
  </si>
  <si>
    <t>盘锦市</t>
  </si>
  <si>
    <t xml:space="preserve">渤海船舶职业学院 </t>
  </si>
  <si>
    <t>长春市</t>
  </si>
  <si>
    <t>吉林省</t>
  </si>
  <si>
    <t>延边朝鲜族自治州</t>
  </si>
  <si>
    <t>通化市</t>
  </si>
  <si>
    <t>四平市</t>
  </si>
  <si>
    <t>白城市</t>
  </si>
  <si>
    <t>吉林省教育厅</t>
  </si>
  <si>
    <t>辽源市</t>
  </si>
  <si>
    <t>松原市</t>
  </si>
  <si>
    <t>白山市</t>
  </si>
  <si>
    <t>黑龙江省</t>
  </si>
  <si>
    <t>哈尔滨市</t>
  </si>
  <si>
    <t>大庆市</t>
  </si>
  <si>
    <t>佳木斯市</t>
  </si>
  <si>
    <t>牡丹江市</t>
  </si>
  <si>
    <t>齐齐哈尔市</t>
  </si>
  <si>
    <t>绥化市</t>
  </si>
  <si>
    <t>鸡西市</t>
  </si>
  <si>
    <t>黑龙江省教育厅</t>
  </si>
  <si>
    <t>黑河市</t>
  </si>
  <si>
    <t>伊春市</t>
  </si>
  <si>
    <t>黑龙江建筑职业技术学院</t>
  </si>
  <si>
    <t>黑龙江农业工程职业学院</t>
  </si>
  <si>
    <t>鹤岗市</t>
  </si>
  <si>
    <t>大兴安岭地区</t>
  </si>
  <si>
    <t>双鸭山市</t>
  </si>
  <si>
    <t>七台河市</t>
  </si>
  <si>
    <t>上海市</t>
  </si>
  <si>
    <t>海关总署</t>
  </si>
  <si>
    <t>上海市教委</t>
  </si>
  <si>
    <t>上海市 中国科学院</t>
  </si>
  <si>
    <t>中外合作办学及内地与港澳合作办学</t>
  </si>
  <si>
    <t>南京市</t>
  </si>
  <si>
    <t>江苏省</t>
  </si>
  <si>
    <t>苏州市</t>
  </si>
  <si>
    <t>镇江市</t>
  </si>
  <si>
    <t>徐州市</t>
  </si>
  <si>
    <t>常州市</t>
  </si>
  <si>
    <t>无锡市</t>
  </si>
  <si>
    <t>南通市</t>
  </si>
  <si>
    <t>盐城市</t>
  </si>
  <si>
    <t>淮安市</t>
  </si>
  <si>
    <t>淮阴工学院</t>
  </si>
  <si>
    <t>扬州市</t>
  </si>
  <si>
    <t>江苏省教育厅</t>
  </si>
  <si>
    <t>连云港市</t>
  </si>
  <si>
    <t>泰州市</t>
  </si>
  <si>
    <t>宿迁市</t>
  </si>
  <si>
    <t>昆山市</t>
  </si>
  <si>
    <t>江苏建筑职业技术学院</t>
  </si>
  <si>
    <t>杭州市</t>
  </si>
  <si>
    <t>浙江省</t>
  </si>
  <si>
    <t>舟山市</t>
  </si>
  <si>
    <t>温州市</t>
  </si>
  <si>
    <t>金华市</t>
  </si>
  <si>
    <t>湖州师范学院</t>
  </si>
  <si>
    <t>湖州市</t>
  </si>
  <si>
    <t>绍兴文理学院</t>
  </si>
  <si>
    <t>绍兴市</t>
  </si>
  <si>
    <t>台州市</t>
  </si>
  <si>
    <t>丽水市</t>
  </si>
  <si>
    <t>嘉兴市</t>
  </si>
  <si>
    <t>宁波市</t>
  </si>
  <si>
    <t>衢州市</t>
  </si>
  <si>
    <t>浙江省教育厅</t>
  </si>
  <si>
    <t>安徽省</t>
  </si>
  <si>
    <t>合肥市</t>
  </si>
  <si>
    <t>马鞍山市</t>
  </si>
  <si>
    <t>淮南市</t>
  </si>
  <si>
    <t>芜湖市</t>
  </si>
  <si>
    <t>蚌埠市</t>
  </si>
  <si>
    <t>皖南医学院</t>
  </si>
  <si>
    <t>阜阳市</t>
  </si>
  <si>
    <t>安庆市</t>
  </si>
  <si>
    <t>淮北市</t>
  </si>
  <si>
    <t>黄山市</t>
  </si>
  <si>
    <t>六安市</t>
  </si>
  <si>
    <t>滁州市</t>
  </si>
  <si>
    <t>宿州市</t>
  </si>
  <si>
    <t>铜陵市</t>
  </si>
  <si>
    <t>安徽科技学院</t>
  </si>
  <si>
    <t>安徽省教育厅</t>
  </si>
  <si>
    <t>池州市</t>
  </si>
  <si>
    <t>亳州市</t>
  </si>
  <si>
    <t>宣城市</t>
  </si>
  <si>
    <t>厦门市</t>
  </si>
  <si>
    <t>中央统战部</t>
  </si>
  <si>
    <t>泉州市</t>
  </si>
  <si>
    <t>福建省</t>
  </si>
  <si>
    <t>福州市</t>
  </si>
  <si>
    <t>闽江学院</t>
  </si>
  <si>
    <t>南平市</t>
  </si>
  <si>
    <t>宁德市</t>
  </si>
  <si>
    <t>漳州市</t>
  </si>
  <si>
    <t>三明市</t>
  </si>
  <si>
    <t>龙岩市</t>
  </si>
  <si>
    <t>莆田市</t>
  </si>
  <si>
    <t>福建省教育厅</t>
  </si>
  <si>
    <t>江西省</t>
  </si>
  <si>
    <t>南昌市</t>
  </si>
  <si>
    <t>抚州市</t>
  </si>
  <si>
    <t>赣州市</t>
  </si>
  <si>
    <t>景德镇市</t>
  </si>
  <si>
    <t>上饶市</t>
  </si>
  <si>
    <t>宜春市</t>
  </si>
  <si>
    <t>吉安市</t>
  </si>
  <si>
    <t>江西省教育厅</t>
  </si>
  <si>
    <t>萍乡市</t>
  </si>
  <si>
    <t>新余市</t>
  </si>
  <si>
    <t>九江市</t>
  </si>
  <si>
    <t>鹰潭市</t>
  </si>
  <si>
    <t>江西经济管理职业学院</t>
  </si>
  <si>
    <t>江西泰豪动漫职业学院</t>
  </si>
  <si>
    <t xml:space="preserve">江西省       </t>
  </si>
  <si>
    <t>济南市</t>
  </si>
  <si>
    <t>青岛市</t>
  </si>
  <si>
    <t>山东省</t>
  </si>
  <si>
    <t>淄博市</t>
  </si>
  <si>
    <t>泰安市</t>
  </si>
  <si>
    <t>潍坊市</t>
  </si>
  <si>
    <t>滨州医学院</t>
  </si>
  <si>
    <t>滨州市</t>
  </si>
  <si>
    <t>济宁市</t>
  </si>
  <si>
    <t>聊城市</t>
  </si>
  <si>
    <t>德州市</t>
  </si>
  <si>
    <t>烟台市</t>
  </si>
  <si>
    <t>临沂市</t>
  </si>
  <si>
    <t>菏泽市</t>
  </si>
  <si>
    <t>山东省教育厅</t>
  </si>
  <si>
    <t>枣庄市</t>
  </si>
  <si>
    <t>东营市</t>
  </si>
  <si>
    <t>日照市</t>
  </si>
  <si>
    <t>威海市</t>
  </si>
  <si>
    <t>日照职业技术学院</t>
  </si>
  <si>
    <t>滨州职业学院</t>
  </si>
  <si>
    <t>河南省</t>
  </si>
  <si>
    <t>郑州市</t>
  </si>
  <si>
    <t>焦作市</t>
  </si>
  <si>
    <t>洛阳市</t>
  </si>
  <si>
    <t>新乡市</t>
  </si>
  <si>
    <t>开封市</t>
  </si>
  <si>
    <t>信阳市</t>
  </si>
  <si>
    <t>周口市</t>
  </si>
  <si>
    <t>安阳市</t>
  </si>
  <si>
    <t>许昌市</t>
  </si>
  <si>
    <t>南阳市</t>
  </si>
  <si>
    <t>商丘市</t>
  </si>
  <si>
    <t>驻马店市</t>
  </si>
  <si>
    <t>平顶山市</t>
  </si>
  <si>
    <t>河南省教育厅</t>
  </si>
  <si>
    <t>漯河市</t>
  </si>
  <si>
    <t>三门峡市</t>
  </si>
  <si>
    <t>濮阳市</t>
  </si>
  <si>
    <t>济源市</t>
  </si>
  <si>
    <t>鹤壁市</t>
  </si>
  <si>
    <t>河南工业职业技术学院</t>
  </si>
  <si>
    <t>武汉市</t>
  </si>
  <si>
    <t>湖北省</t>
  </si>
  <si>
    <t>荆州市</t>
  </si>
  <si>
    <t>黄石市</t>
  </si>
  <si>
    <t>黄冈市</t>
  </si>
  <si>
    <t>恩施土家族苗族自治州</t>
  </si>
  <si>
    <t>十堰市</t>
  </si>
  <si>
    <t>襄阳市</t>
  </si>
  <si>
    <t>孝感市</t>
  </si>
  <si>
    <t>咸宁市</t>
  </si>
  <si>
    <t>宜昌市</t>
  </si>
  <si>
    <t>荆门市</t>
  </si>
  <si>
    <t>湖北省教育厅</t>
  </si>
  <si>
    <t>黄冈职业技术学院</t>
  </si>
  <si>
    <t>鄂州市</t>
  </si>
  <si>
    <t>襄阳职业技术学院</t>
  </si>
  <si>
    <t>仙桃市</t>
  </si>
  <si>
    <t>随州市</t>
  </si>
  <si>
    <t>潜江市</t>
  </si>
  <si>
    <t>天门市</t>
  </si>
  <si>
    <t>湖南省</t>
  </si>
  <si>
    <t>湘潭市</t>
  </si>
  <si>
    <t>湘西土家族苗族自治州</t>
  </si>
  <si>
    <t>长沙市</t>
  </si>
  <si>
    <t>湖南理工学院</t>
  </si>
  <si>
    <t>岳阳市</t>
  </si>
  <si>
    <t>郴州市</t>
  </si>
  <si>
    <t>衡阳市</t>
  </si>
  <si>
    <t>邵阳市</t>
  </si>
  <si>
    <t>怀化市</t>
  </si>
  <si>
    <t>常德市</t>
  </si>
  <si>
    <t>永州市</t>
  </si>
  <si>
    <t>娄底市</t>
  </si>
  <si>
    <t>湖南省教育厅</t>
  </si>
  <si>
    <t>益阳市</t>
  </si>
  <si>
    <t>株洲市</t>
  </si>
  <si>
    <t>张家界市</t>
  </si>
  <si>
    <t>空军装备部</t>
  </si>
  <si>
    <t>广州市</t>
  </si>
  <si>
    <t>广东省</t>
  </si>
  <si>
    <t>汕头市</t>
  </si>
  <si>
    <t>湛江市</t>
  </si>
  <si>
    <t>韶关市</t>
  </si>
  <si>
    <t>惠州市</t>
  </si>
  <si>
    <t>潮州市</t>
  </si>
  <si>
    <t>肇庆市</t>
  </si>
  <si>
    <t>梅州市</t>
  </si>
  <si>
    <t>深圳市</t>
  </si>
  <si>
    <t>广东省教育厅</t>
  </si>
  <si>
    <t>江门市</t>
  </si>
  <si>
    <t>中山市</t>
  </si>
  <si>
    <t>茂名市</t>
  </si>
  <si>
    <t>东莞市</t>
  </si>
  <si>
    <t>佛山市</t>
  </si>
  <si>
    <t>北京师范大学珠海分校</t>
  </si>
  <si>
    <t>珠海市</t>
  </si>
  <si>
    <t>北京师范大学-香港浸会大学联合国际学院</t>
  </si>
  <si>
    <t>揭阳市</t>
  </si>
  <si>
    <t>汕尾市</t>
  </si>
  <si>
    <t>云浮市</t>
  </si>
  <si>
    <t>阳江市</t>
  </si>
  <si>
    <t>河源市</t>
  </si>
  <si>
    <t>清远市</t>
  </si>
  <si>
    <t>广西壮族自治区</t>
  </si>
  <si>
    <t>南宁市</t>
  </si>
  <si>
    <t>柳州市</t>
  </si>
  <si>
    <t>桂林市</t>
  </si>
  <si>
    <t>百色市</t>
  </si>
  <si>
    <t>崇左市</t>
  </si>
  <si>
    <t>河池市</t>
  </si>
  <si>
    <t>玉林市</t>
  </si>
  <si>
    <t>梧州市</t>
  </si>
  <si>
    <t>来宾市</t>
  </si>
  <si>
    <t>广西壮族自治区教育厅</t>
  </si>
  <si>
    <t>钦州市</t>
  </si>
  <si>
    <t>贺州市</t>
  </si>
  <si>
    <t>北海市</t>
  </si>
  <si>
    <t>贵港市</t>
  </si>
  <si>
    <t>防城港市</t>
  </si>
  <si>
    <t>海南省</t>
  </si>
  <si>
    <t>海口市</t>
  </si>
  <si>
    <t>三亚市</t>
  </si>
  <si>
    <t>海南省教育厅</t>
  </si>
  <si>
    <t>陵水黎族自治县</t>
  </si>
  <si>
    <t>琼海市</t>
  </si>
  <si>
    <t>文昌市</t>
  </si>
  <si>
    <t>澄迈县</t>
  </si>
  <si>
    <t>东方市</t>
  </si>
  <si>
    <t>重庆市</t>
  </si>
  <si>
    <t>重庆三峡学院</t>
  </si>
  <si>
    <t>重庆市教委</t>
  </si>
  <si>
    <t>成都市</t>
  </si>
  <si>
    <t>四川省</t>
  </si>
  <si>
    <t>绵阳市</t>
  </si>
  <si>
    <t>自贡市</t>
  </si>
  <si>
    <t>德阳市</t>
  </si>
  <si>
    <t>雅安市</t>
  </si>
  <si>
    <t>凉山彝族自治州</t>
  </si>
  <si>
    <t>泸州市</t>
  </si>
  <si>
    <t>南充市</t>
  </si>
  <si>
    <t>内江市</t>
  </si>
  <si>
    <t>宜宾市</t>
  </si>
  <si>
    <t>达州市</t>
  </si>
  <si>
    <t>阿坝藏族羌族自治州</t>
  </si>
  <si>
    <t>乐山市</t>
  </si>
  <si>
    <t>攀枝花市</t>
  </si>
  <si>
    <t>甘孜藏族自治州</t>
  </si>
  <si>
    <t>四川省教育厅</t>
  </si>
  <si>
    <t>眉山市</t>
  </si>
  <si>
    <t>成都纺织高等专科学校</t>
  </si>
  <si>
    <t>四川建筑职业技术学院</t>
  </si>
  <si>
    <t>遂宁市</t>
  </si>
  <si>
    <t>广安市</t>
  </si>
  <si>
    <t>广元市</t>
  </si>
  <si>
    <t>巴中市</t>
  </si>
  <si>
    <t>资阳市</t>
  </si>
  <si>
    <t>西昌市</t>
  </si>
  <si>
    <t>贵州省</t>
  </si>
  <si>
    <t>贵阳市</t>
  </si>
  <si>
    <t>遵义市</t>
  </si>
  <si>
    <t>铜仁市</t>
  </si>
  <si>
    <t>黔西南布依族苗族自治州</t>
  </si>
  <si>
    <t>安顺市</t>
  </si>
  <si>
    <t>毕节市</t>
  </si>
  <si>
    <t>黔东南苗族侗族自治州</t>
  </si>
  <si>
    <t>黔南布依族苗族自治州</t>
  </si>
  <si>
    <t>六盘水市</t>
  </si>
  <si>
    <t>贵州省教育厅</t>
  </si>
  <si>
    <t>贵州工商职业学院</t>
  </si>
  <si>
    <t>云南省</t>
  </si>
  <si>
    <t>昆明市</t>
  </si>
  <si>
    <t>大理白族自治州</t>
  </si>
  <si>
    <t>昭通市</t>
  </si>
  <si>
    <t>曲靖市</t>
  </si>
  <si>
    <t>普洱市</t>
  </si>
  <si>
    <t>保山市</t>
  </si>
  <si>
    <t>红河哈尼族彝族自治州</t>
  </si>
  <si>
    <t>玉溪市</t>
  </si>
  <si>
    <t>楚雄彝族自治州</t>
  </si>
  <si>
    <t>文山壮族苗族自治州</t>
  </si>
  <si>
    <t>云南省教育厅</t>
  </si>
  <si>
    <t>丽江市</t>
  </si>
  <si>
    <t>临沧市</t>
  </si>
  <si>
    <t>德宏傣族景颇族自治州</t>
  </si>
  <si>
    <t>昆明冶金高等专科学校</t>
  </si>
  <si>
    <t>西双版纳傣族自治州</t>
  </si>
  <si>
    <t>云南经贸外事职业学院</t>
  </si>
  <si>
    <t>迪庆藏族自治州</t>
  </si>
  <si>
    <t>怒江傈僳族自治州</t>
  </si>
  <si>
    <t>西藏自治区</t>
  </si>
  <si>
    <t>林芝市</t>
  </si>
  <si>
    <t>拉萨市</t>
  </si>
  <si>
    <t>咸阳市</t>
  </si>
  <si>
    <t>日喀则市</t>
  </si>
  <si>
    <t>陕西省</t>
  </si>
  <si>
    <t>西安市</t>
  </si>
  <si>
    <t>延安市</t>
  </si>
  <si>
    <t>汉中市</t>
  </si>
  <si>
    <t>宝鸡市</t>
  </si>
  <si>
    <t>渭南市</t>
  </si>
  <si>
    <t>榆林学院</t>
  </si>
  <si>
    <t>榆林市</t>
  </si>
  <si>
    <t>商洛市</t>
  </si>
  <si>
    <t>安康市</t>
  </si>
  <si>
    <t>陕西省教育厅</t>
  </si>
  <si>
    <t>铜川市</t>
  </si>
  <si>
    <t>兰州市</t>
  </si>
  <si>
    <t>甘肃省</t>
  </si>
  <si>
    <t>庆阳市</t>
  </si>
  <si>
    <t>天水市</t>
  </si>
  <si>
    <t>张掖市</t>
  </si>
  <si>
    <t>甘南藏族自治州</t>
  </si>
  <si>
    <t>平凉市</t>
  </si>
  <si>
    <t>甘肃省教育厅</t>
  </si>
  <si>
    <t>陇南市</t>
  </si>
  <si>
    <t>酒泉市</t>
  </si>
  <si>
    <t>武威市</t>
  </si>
  <si>
    <t>定西市</t>
  </si>
  <si>
    <t>嘉峪关市</t>
  </si>
  <si>
    <t>金昌市</t>
  </si>
  <si>
    <t>白银市</t>
  </si>
  <si>
    <t>临夏州</t>
  </si>
  <si>
    <t>青海省</t>
  </si>
  <si>
    <t>西宁市</t>
  </si>
  <si>
    <t>青海省教育厅</t>
  </si>
  <si>
    <t>海东市</t>
  </si>
  <si>
    <t>海西蒙古族藏族自治州</t>
  </si>
  <si>
    <t>宁夏回族自治区</t>
  </si>
  <si>
    <t>银川市</t>
  </si>
  <si>
    <t>固原市</t>
  </si>
  <si>
    <t>宁夏回族自治区教育厅</t>
  </si>
  <si>
    <t>石嘴山市</t>
  </si>
  <si>
    <t>吴忠市</t>
  </si>
  <si>
    <t>新疆维吾尔自治区</t>
  </si>
  <si>
    <t>乌鲁木齐市</t>
  </si>
  <si>
    <t>新疆生产建设兵团</t>
  </si>
  <si>
    <t>阿拉尔市</t>
  </si>
  <si>
    <t>石河子市</t>
  </si>
  <si>
    <t>喀什地区</t>
  </si>
  <si>
    <t>伊犁哈萨克自治州</t>
  </si>
  <si>
    <t>昌吉回族自治州</t>
  </si>
  <si>
    <t>阿克苏地区</t>
  </si>
  <si>
    <t>新疆维吾尔自治区教育厅</t>
  </si>
  <si>
    <t>克拉玛依市</t>
  </si>
  <si>
    <t>巴音郭楞蒙古自治州</t>
  </si>
  <si>
    <t>图木舒克市</t>
  </si>
  <si>
    <t>和田地区</t>
  </si>
  <si>
    <t>新疆生产建设兵团教育局</t>
  </si>
  <si>
    <t>哈密市</t>
  </si>
  <si>
    <t>五家渠市</t>
  </si>
  <si>
    <t>吐鲁番市</t>
  </si>
  <si>
    <t>博尔塔拉蒙古自治州</t>
  </si>
  <si>
    <t>克孜勒苏柯尔克孜自治州</t>
  </si>
  <si>
    <t>阿勒泰地区</t>
  </si>
  <si>
    <t>塔城地区</t>
  </si>
  <si>
    <t>铁门关市</t>
  </si>
  <si>
    <t>可克达拉市</t>
  </si>
  <si>
    <t>新星市</t>
  </si>
  <si>
    <t>昆玉市</t>
  </si>
  <si>
    <t>双河市</t>
  </si>
  <si>
    <t>综合</t>
  </si>
  <si>
    <t>理工</t>
  </si>
  <si>
    <t>财经</t>
  </si>
  <si>
    <t>艺术</t>
  </si>
  <si>
    <t>农林</t>
  </si>
  <si>
    <t>是</t>
  </si>
  <si>
    <t>医药</t>
  </si>
  <si>
    <t>师范</t>
  </si>
  <si>
    <t>体育</t>
  </si>
  <si>
    <t>语言</t>
  </si>
  <si>
    <t>政法</t>
  </si>
  <si>
    <t>民族</t>
  </si>
  <si>
    <t>吉林化工学院</t>
  </si>
  <si>
    <t>常熟理工学院</t>
  </si>
  <si>
    <t>南昌工程学院</t>
  </si>
  <si>
    <t>新乡医学院</t>
  </si>
  <si>
    <t>桂林医学院</t>
  </si>
  <si>
    <t>西藏农牧学院</t>
  </si>
  <si>
    <t>天水师范学院</t>
  </si>
  <si>
    <t>北京电子科技职业学院</t>
  </si>
  <si>
    <t>管理</t>
  </si>
  <si>
    <t>天津公安警官职业学院</t>
  </si>
  <si>
    <t>山西艺术职业学院</t>
  </si>
  <si>
    <t>太原旅游职业学院</t>
  </si>
  <si>
    <t>山西旅游职业学院</t>
  </si>
  <si>
    <t>山西青年职业学院</t>
  </si>
  <si>
    <t>内蒙古建筑职业技术学院</t>
  </si>
  <si>
    <t>兴安职业技术学院</t>
  </si>
  <si>
    <t>呼和浩特职业学院</t>
  </si>
  <si>
    <t>内蒙古警察职业学院</t>
  </si>
  <si>
    <t>长春职业技术学院</t>
  </si>
  <si>
    <t>吉林铁道职业技术学院</t>
  </si>
  <si>
    <t>无锡职业技术学院</t>
  </si>
  <si>
    <t>苏州市职业大学</t>
  </si>
  <si>
    <t>扬州市职业大学</t>
  </si>
  <si>
    <t>连云港师范高等专科学校</t>
  </si>
  <si>
    <t>宁波职业技术学院</t>
  </si>
  <si>
    <t>杭州职业技术学院</t>
  </si>
  <si>
    <t>安徽职业技术学院</t>
  </si>
  <si>
    <t>芜湖职业技术学院</t>
  </si>
  <si>
    <t>安徽医学高等专科学校</t>
  </si>
  <si>
    <t>江西中医药高等专科学校</t>
  </si>
  <si>
    <t>淄博职业学院</t>
  </si>
  <si>
    <t>黄河水利职业技术学院</t>
  </si>
  <si>
    <t>武汉职业技术学院</t>
  </si>
  <si>
    <t>顺德职业技术学院</t>
  </si>
  <si>
    <t>广州番禺职业技术学院</t>
  </si>
  <si>
    <t>深圳信息职业技术学院</t>
  </si>
  <si>
    <t>桂林师范高等专科学校</t>
  </si>
  <si>
    <t>重庆工业职业技术学院</t>
  </si>
  <si>
    <t>成都航空职业技术学院</t>
  </si>
  <si>
    <t>铜仁职业技术学院</t>
  </si>
  <si>
    <t>贵州轻工职业技术学院</t>
  </si>
  <si>
    <t>曲靖医学高等专科学校</t>
  </si>
  <si>
    <t>德宏师范高等专科学校</t>
  </si>
  <si>
    <t>拉萨师范高等专科学校</t>
  </si>
  <si>
    <t>陕西工业职业技术学院</t>
  </si>
  <si>
    <t>杨凌职业技术学院</t>
  </si>
  <si>
    <t>酒泉职业技术学院</t>
  </si>
  <si>
    <t>甘肃工业职业技术学院</t>
  </si>
  <si>
    <t>武威职业学院</t>
  </si>
  <si>
    <t>甘肃机电职业技术学院</t>
  </si>
  <si>
    <t>宁夏职业技术学院</t>
  </si>
  <si>
    <t>宁夏工商职业技术学院</t>
  </si>
  <si>
    <t>新疆交通职业技术学院</t>
  </si>
  <si>
    <t>独立院校</t>
  </si>
  <si>
    <t>山西医科大学晋祠学院</t>
  </si>
  <si>
    <t>绍兴文理学院元培学院</t>
  </si>
  <si>
    <t>新乡医学院三全学院</t>
  </si>
  <si>
    <t>湖南文理学院芙蓉学院</t>
  </si>
  <si>
    <t>湖南理工学院南湖学院</t>
  </si>
  <si>
    <t>共青科技职业学院</t>
  </si>
  <si>
    <t>郑州澍青医学高等专科学校</t>
  </si>
  <si>
    <t>中法航空大学</t>
  </si>
  <si>
    <t>重庆中医药大学</t>
  </si>
  <si>
    <t>张仲景国医大学</t>
  </si>
  <si>
    <t>福耀科技大学</t>
  </si>
  <si>
    <t>北京理工大学珠海校区</t>
  </si>
  <si>
    <t>香港中文大学（深圳）音乐学院</t>
  </si>
  <si>
    <t>深圳创新创意设计学院</t>
  </si>
  <si>
    <t>金华理工学院</t>
  </si>
  <si>
    <t>和田大学</t>
  </si>
  <si>
    <t>青海理工大学</t>
  </si>
  <si>
    <t>扩展</t>
  </si>
  <si>
    <t>北京大学医学部</t>
  </si>
  <si>
    <t>上海交通大学医学院</t>
  </si>
  <si>
    <t>浙江大学医学院</t>
  </si>
  <si>
    <t>复旦大学医学院</t>
  </si>
  <si>
    <t>哈尔滨工业大学(深圳)</t>
  </si>
  <si>
    <t>电子科技大学(沙河校区)</t>
  </si>
  <si>
    <t>华北电力大学(北京)</t>
  </si>
  <si>
    <t>华北电力大学(保定)</t>
  </si>
  <si>
    <t>东北大学秦皇岛分校</t>
  </si>
  <si>
    <t>中国地质大学(北京)</t>
  </si>
  <si>
    <t>山东大学威海分校</t>
  </si>
  <si>
    <r>
      <rPr>
        <sz val="10"/>
        <color theme="1"/>
        <rFont val="Microsoft YaHei"/>
        <charset val="134"/>
      </rPr>
      <t>中国石油大学(北京</t>
    </r>
    <r>
      <rPr>
        <sz val="11"/>
        <color theme="1"/>
        <rFont val="宋体"/>
        <charset val="134"/>
        <scheme val="minor"/>
      </rPr>
      <t>)</t>
    </r>
  </si>
  <si>
    <t>哈尔滨工业大学(威海)</t>
  </si>
  <si>
    <t>中国人民大学(苏州校区)</t>
  </si>
  <si>
    <t>北京航空航天大学中法航空学院</t>
  </si>
  <si>
    <t>北京邮电大学(宏福校区)</t>
  </si>
  <si>
    <t>中国地质大学(武汉)</t>
  </si>
  <si>
    <t>合肥工业大学(宣城校区)</t>
  </si>
  <si>
    <t>中国石油大学(华东)</t>
  </si>
  <si>
    <t>厦门大学(马来西亚分校招生专业)</t>
  </si>
  <si>
    <t>马拉西亚</t>
  </si>
  <si>
    <t>吉隆坡</t>
  </si>
  <si>
    <t>中国矿业大学(北京)</t>
  </si>
  <si>
    <t>大连理工大学(盘锦校区)</t>
  </si>
  <si>
    <t>北京交通大学(威海校区)</t>
  </si>
  <si>
    <t>中国石油大学(北京)克拉玛依校区</t>
  </si>
  <si>
    <t>海军军医大学</t>
  </si>
  <si>
    <t>中国人民解放军海军</t>
  </si>
  <si>
    <t>排名</t>
  </si>
  <si>
    <t>名称</t>
  </si>
  <si>
    <t>暂无</t>
  </si>
  <si>
    <t>国防科技大学</t>
  </si>
  <si>
    <t>第四军医大学</t>
  </si>
  <si>
    <t>第二军医大学</t>
  </si>
  <si>
    <t>上海体育学院</t>
  </si>
  <si>
    <t>汇总</t>
  </si>
  <si>
    <t>专业组</t>
  </si>
  <si>
    <t>选科</t>
  </si>
  <si>
    <t>获取左边</t>
  </si>
  <si>
    <t>陆军工程大学06专业组(不限)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</si>
</sst>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theme="1"/>
      <name val="Microsoft YaHei"/>
      <charset val="134"/>
    </font>
    <font>
      <sz val="10"/>
      <color theme="1"/>
      <name val="Microsoft YaHei"/>
      <charset val="134"/>
    </font>
    <font>
      <sz val="10"/>
      <color theme="1"/>
      <name val="Times New Roman"/>
      <charset val="134"/>
    </font>
    <font>
      <sz val="10"/>
      <color indexed="8"/>
      <name val="宋体"/>
      <charset val="134"/>
    </font>
    <font>
      <b/>
      <sz val="11"/>
      <color rgb="FF333333"/>
      <name val="Microsoft YaHei"/>
      <charset val="134"/>
    </font>
    <font>
      <sz val="10"/>
      <color rgb="FF333333"/>
      <name val="Microsoft YaHei"/>
      <charset val="134"/>
    </font>
    <font>
      <sz val="10"/>
      <color rgb="FF333333"/>
      <name val="微软雅黑"/>
      <charset val="134"/>
    </font>
    <font>
      <sz val="10"/>
      <color rgb="FF000000"/>
      <name val="微软雅黑"/>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FC000"/>
        <bgColor indexed="64"/>
      </patternFill>
    </fill>
    <fill>
      <patternFill patternType="solid">
        <fgColor theme="4" tint="0.599993896298105"/>
        <bgColor theme="4" tint="0.599993896298105"/>
      </patternFill>
    </fill>
    <fill>
      <patternFill patternType="solid">
        <fgColor rgb="FFFEFEFE"/>
        <bgColor indexed="64"/>
      </patternFill>
    </fill>
    <fill>
      <patternFill patternType="solid">
        <fgColor rgb="FFF6F6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7" borderId="8" applyNumberFormat="0" applyAlignment="0" applyProtection="0">
      <alignment vertical="center"/>
    </xf>
    <xf numFmtId="0" fontId="19" fillId="8" borderId="9" applyNumberFormat="0" applyAlignment="0" applyProtection="0">
      <alignment vertical="center"/>
    </xf>
    <xf numFmtId="0" fontId="20" fillId="8" borderId="8" applyNumberFormat="0" applyAlignment="0" applyProtection="0">
      <alignment vertical="center"/>
    </xf>
    <xf numFmtId="0" fontId="21" fillId="9"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0" fillId="0" borderId="0">
      <alignment vertical="center"/>
    </xf>
    <xf numFmtId="0" fontId="0" fillId="0" borderId="0">
      <alignment vertical="center"/>
    </xf>
  </cellStyleXfs>
  <cellXfs count="37">
    <xf numFmtId="0" fontId="0" fillId="0" borderId="0" xfId="0">
      <alignment vertical="center"/>
    </xf>
    <xf numFmtId="0" fontId="0" fillId="2" borderId="0" xfId="0" applyFont="1" applyFill="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3" borderId="1" xfId="0" applyFont="1" applyFill="1" applyBorder="1" applyAlignment="1">
      <alignment horizontal="left" wrapText="1"/>
    </xf>
    <xf numFmtId="0" fontId="3" fillId="3" borderId="2" xfId="0" applyFont="1" applyFill="1" applyBorder="1" applyAlignment="1">
      <alignment horizontal="left" wrapText="1"/>
    </xf>
    <xf numFmtId="0" fontId="4" fillId="0" borderId="3" xfId="0" applyFont="1" applyFill="1" applyBorder="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5" fillId="4" borderId="0"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0" fillId="0" borderId="0" xfId="0" applyAlignment="1">
      <alignment horizontal="left" vertical="center"/>
    </xf>
    <xf numFmtId="0" fontId="6" fillId="4" borderId="0"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4" borderId="4" xfId="0" applyFont="1" applyFill="1" applyBorder="1" applyAlignment="1">
      <alignment horizontal="left" vertical="center" wrapText="1"/>
    </xf>
    <xf numFmtId="0" fontId="6" fillId="5" borderId="4" xfId="0" applyFont="1" applyFill="1" applyBorder="1" applyAlignment="1">
      <alignment horizontal="left" vertical="center" wrapText="1"/>
    </xf>
    <xf numFmtId="0" fontId="0" fillId="0" borderId="0" xfId="0" applyAlignment="1">
      <alignment horizontal="center" vertical="center"/>
    </xf>
    <xf numFmtId="0" fontId="2" fillId="0" borderId="0" xfId="0" applyFont="1" applyAlignment="1">
      <alignment horizontal="left" vertical="center" wrapText="1"/>
    </xf>
    <xf numFmtId="0" fontId="0" fillId="0" borderId="0" xfId="0" applyFont="1" applyFill="1" applyBorder="1" applyAlignment="1">
      <alignment vertical="center"/>
    </xf>
    <xf numFmtId="0" fontId="7" fillId="4" borderId="4" xfId="0" applyFont="1" applyFill="1" applyBorder="1" applyAlignment="1">
      <alignment horizontal="center" vertical="center" wrapText="1"/>
    </xf>
    <xf numFmtId="0" fontId="8" fillId="0" borderId="0" xfId="0" applyFont="1">
      <alignment vertical="center"/>
    </xf>
    <xf numFmtId="0" fontId="9" fillId="0" borderId="0" xfId="0" applyFont="1">
      <alignment vertical="center"/>
    </xf>
    <xf numFmtId="0" fontId="9" fillId="0" borderId="0" xfId="0" applyFont="1">
      <alignment vertical="center"/>
    </xf>
    <xf numFmtId="0" fontId="7" fillId="4" borderId="4" xfId="0" applyFont="1" applyFill="1" applyBorder="1" applyAlignment="1">
      <alignment horizontal="left" vertical="center" wrapText="1"/>
    </xf>
    <xf numFmtId="0" fontId="7" fillId="5" borderId="4" xfId="0" applyFont="1" applyFill="1" applyBorder="1" applyAlignment="1">
      <alignment horizontal="center" vertical="center" wrapText="1"/>
    </xf>
    <xf numFmtId="0" fontId="7" fillId="5" borderId="4" xfId="0" applyFont="1" applyFill="1" applyBorder="1" applyAlignment="1">
      <alignment horizontal="left" vertical="center" wrapText="1"/>
    </xf>
    <xf numFmtId="0" fontId="8" fillId="0" borderId="0" xfId="0" applyFo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7 2 2" xfId="49"/>
    <cellStyle name="常规 7 2 2 2"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dxsbb.com/news/list_105.html" TargetMode="External"/><Relationship Id="rId8" Type="http://schemas.openxmlformats.org/officeDocument/2006/relationships/hyperlink" Target="https://www.dxsbb.com/news/list_201.html" TargetMode="External"/><Relationship Id="rId7" Type="http://schemas.openxmlformats.org/officeDocument/2006/relationships/hyperlink" Target="https://www.dxsbb.com/news/list_202.html" TargetMode="External"/><Relationship Id="rId6" Type="http://schemas.openxmlformats.org/officeDocument/2006/relationships/hyperlink" Target="https://www.dxsbb.com/news/list_45.html" TargetMode="External"/><Relationship Id="rId5" Type="http://schemas.openxmlformats.org/officeDocument/2006/relationships/hyperlink" Target="https://www.dxsbb.com/news/list_197.html" TargetMode="External"/><Relationship Id="rId44" Type="http://schemas.openxmlformats.org/officeDocument/2006/relationships/hyperlink" Target="https://www.dxsbb.com/news/list_123.html" TargetMode="External"/><Relationship Id="rId43" Type="http://schemas.openxmlformats.org/officeDocument/2006/relationships/hyperlink" Target="https://www.dxsbb.com/news/list_108.html" TargetMode="External"/><Relationship Id="rId42" Type="http://schemas.openxmlformats.org/officeDocument/2006/relationships/hyperlink" Target="https://www.dxsbb.com/news/list_104.html" TargetMode="External"/><Relationship Id="rId41" Type="http://schemas.openxmlformats.org/officeDocument/2006/relationships/hyperlink" Target="https://www.dxsbb.com/news/list_103.html" TargetMode="External"/><Relationship Id="rId40" Type="http://schemas.openxmlformats.org/officeDocument/2006/relationships/hyperlink" Target="https://www.dxsbb.com/news/list_111.html" TargetMode="External"/><Relationship Id="rId4" Type="http://schemas.openxmlformats.org/officeDocument/2006/relationships/hyperlink" Target="https://www.dxsbb.com/news/list_199.html" TargetMode="External"/><Relationship Id="rId39" Type="http://schemas.openxmlformats.org/officeDocument/2006/relationships/hyperlink" Target="https://www.dxsbb.com/news/list_99.html" TargetMode="External"/><Relationship Id="rId38" Type="http://schemas.openxmlformats.org/officeDocument/2006/relationships/hyperlink" Target="https://www.dxsbb.com/news/list_101.html" TargetMode="External"/><Relationship Id="rId37" Type="http://schemas.openxmlformats.org/officeDocument/2006/relationships/hyperlink" Target="https://www.dxsbb.com/news/list_102.html" TargetMode="External"/><Relationship Id="rId36" Type="http://schemas.openxmlformats.org/officeDocument/2006/relationships/hyperlink" Target="https://www.dxsbb.com/news/list_200.html" TargetMode="External"/><Relationship Id="rId35" Type="http://schemas.openxmlformats.org/officeDocument/2006/relationships/hyperlink" Target="https://www.dxsbb.com/news/list_112.html" TargetMode="External"/><Relationship Id="rId34" Type="http://schemas.openxmlformats.org/officeDocument/2006/relationships/hyperlink" Target="https://www.dxsbb.com/news/list_116.html" TargetMode="External"/><Relationship Id="rId33" Type="http://schemas.openxmlformats.org/officeDocument/2006/relationships/hyperlink" Target="https://www.dxsbb.com/news/list_120.html" TargetMode="External"/><Relationship Id="rId32" Type="http://schemas.openxmlformats.org/officeDocument/2006/relationships/hyperlink" Target="https://www.dxsbb.com/news/list_36.html" TargetMode="External"/><Relationship Id="rId31" Type="http://schemas.openxmlformats.org/officeDocument/2006/relationships/hyperlink" Target="https://www.dxsbb.com/news/list_195.html" TargetMode="External"/><Relationship Id="rId30" Type="http://schemas.openxmlformats.org/officeDocument/2006/relationships/hyperlink" Target="https://www.dxsbb.com/news/list_124.html" TargetMode="External"/><Relationship Id="rId3" Type="http://schemas.openxmlformats.org/officeDocument/2006/relationships/hyperlink" Target="https://www.dxsbb.com/news/list_205.html" TargetMode="External"/><Relationship Id="rId29" Type="http://schemas.openxmlformats.org/officeDocument/2006/relationships/hyperlink" Target="https://www.dxsbb.com/news/list_126.html" TargetMode="External"/><Relationship Id="rId28" Type="http://schemas.openxmlformats.org/officeDocument/2006/relationships/hyperlink" Target="https://www.dxsbb.com/news/list_127.html" TargetMode="External"/><Relationship Id="rId27" Type="http://schemas.openxmlformats.org/officeDocument/2006/relationships/hyperlink" Target="https://www.dxsbb.com/news/list_128.html" TargetMode="External"/><Relationship Id="rId26" Type="http://schemas.openxmlformats.org/officeDocument/2006/relationships/hyperlink" Target="https://www.dxsbb.com/news/list_118.html" TargetMode="External"/><Relationship Id="rId25" Type="http://schemas.openxmlformats.org/officeDocument/2006/relationships/hyperlink" Target="https://www.dxsbb.com/news/list_121.html" TargetMode="External"/><Relationship Id="rId24" Type="http://schemas.openxmlformats.org/officeDocument/2006/relationships/hyperlink" Target="https://www.dxsbb.com/news/list_109.html" TargetMode="External"/><Relationship Id="rId23" Type="http://schemas.openxmlformats.org/officeDocument/2006/relationships/hyperlink" Target="https://www.dxsbb.com/news/list_117.html" TargetMode="External"/><Relationship Id="rId22" Type="http://schemas.openxmlformats.org/officeDocument/2006/relationships/hyperlink" Target="https://www.dxsbb.com/news/list_125.html" TargetMode="External"/><Relationship Id="rId21" Type="http://schemas.openxmlformats.org/officeDocument/2006/relationships/hyperlink" Target="https://www.dxsbb.com/news/list_115.html" TargetMode="External"/><Relationship Id="rId20" Type="http://schemas.openxmlformats.org/officeDocument/2006/relationships/hyperlink" Target="https://www.dxsbb.com/news/list_100.html" TargetMode="External"/><Relationship Id="rId2" Type="http://schemas.openxmlformats.org/officeDocument/2006/relationships/hyperlink" Target="https://www.dxsbb.com/news/list_196.html" TargetMode="External"/><Relationship Id="rId19" Type="http://schemas.openxmlformats.org/officeDocument/2006/relationships/hyperlink" Target="https://www.dxsbb.com/news/list_106.html" TargetMode="External"/><Relationship Id="rId18" Type="http://schemas.openxmlformats.org/officeDocument/2006/relationships/hyperlink" Target="https://www.dxsbb.com/news/list_203.html" TargetMode="External"/><Relationship Id="rId17" Type="http://schemas.openxmlformats.org/officeDocument/2006/relationships/hyperlink" Target="https://www.dxsbb.com/news/list_110.html" TargetMode="External"/><Relationship Id="rId16" Type="http://schemas.openxmlformats.org/officeDocument/2006/relationships/hyperlink" Target="https://www.dxsbb.com/news/list_113.html" TargetMode="External"/><Relationship Id="rId15" Type="http://schemas.openxmlformats.org/officeDocument/2006/relationships/hyperlink" Target="https://www.dxsbb.com/news/list_119.html" TargetMode="External"/><Relationship Id="rId14" Type="http://schemas.openxmlformats.org/officeDocument/2006/relationships/hyperlink" Target="https://www.dxsbb.com/news/list_194.html" TargetMode="External"/><Relationship Id="rId13" Type="http://schemas.openxmlformats.org/officeDocument/2006/relationships/hyperlink" Target="https://www.dxsbb.com/news/list_107.html" TargetMode="External"/><Relationship Id="rId12" Type="http://schemas.openxmlformats.org/officeDocument/2006/relationships/hyperlink" Target="https://www.dxsbb.com/news/list_204.html" TargetMode="External"/><Relationship Id="rId11" Type="http://schemas.openxmlformats.org/officeDocument/2006/relationships/hyperlink" Target="https://www.dxsbb.com/news/list_122.html" TargetMode="External"/><Relationship Id="rId10" Type="http://schemas.openxmlformats.org/officeDocument/2006/relationships/hyperlink" Target="https://www.dxsbb.com/news/list_114.html" TargetMode="External"/><Relationship Id="rId1" Type="http://schemas.openxmlformats.org/officeDocument/2006/relationships/hyperlink" Target="https://www.dxsbb.com/news/list_198.html"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www.dxsbb.com/news/list_104.html" TargetMode="External"/><Relationship Id="rId8" Type="http://schemas.openxmlformats.org/officeDocument/2006/relationships/hyperlink" Target="https://www.dxsbb.com/news/list_103.html" TargetMode="External"/><Relationship Id="rId7" Type="http://schemas.openxmlformats.org/officeDocument/2006/relationships/hyperlink" Target="https://www.dxsbb.com/news/list_102.html" TargetMode="External"/><Relationship Id="rId6" Type="http://schemas.openxmlformats.org/officeDocument/2006/relationships/hyperlink" Target="https://www.dxsbb.com/news/list_111.html" TargetMode="External"/><Relationship Id="rId5" Type="http://schemas.openxmlformats.org/officeDocument/2006/relationships/hyperlink" Target="https://www.dxsbb.com/news/list_112.html" TargetMode="External"/><Relationship Id="rId4" Type="http://schemas.openxmlformats.org/officeDocument/2006/relationships/hyperlink" Target="https://www.dxsbb.com/news/list_99.html" TargetMode="External"/><Relationship Id="rId3" Type="http://schemas.openxmlformats.org/officeDocument/2006/relationships/hyperlink" Target="https://www.dxsbb.com/news/list_116.html" TargetMode="External"/><Relationship Id="rId2" Type="http://schemas.openxmlformats.org/officeDocument/2006/relationships/hyperlink" Target="https://www.dxsbb.com/news/list_194.html" TargetMode="External"/><Relationship Id="rId17" Type="http://schemas.openxmlformats.org/officeDocument/2006/relationships/hyperlink" Target="https://www.dxsbb.com/news/list_109.html" TargetMode="External"/><Relationship Id="rId16" Type="http://schemas.openxmlformats.org/officeDocument/2006/relationships/hyperlink" Target="https://www.dxsbb.com/news/list_125.html" TargetMode="External"/><Relationship Id="rId15" Type="http://schemas.openxmlformats.org/officeDocument/2006/relationships/hyperlink" Target="https://www.dxsbb.com/news/list_115.html" TargetMode="External"/><Relationship Id="rId14" Type="http://schemas.openxmlformats.org/officeDocument/2006/relationships/hyperlink" Target="https://www.dxsbb.com/news/list_100.html" TargetMode="External"/><Relationship Id="rId13" Type="http://schemas.openxmlformats.org/officeDocument/2006/relationships/hyperlink" Target="https://www.dxsbb.com/news/list_195.html" TargetMode="External"/><Relationship Id="rId12" Type="http://schemas.openxmlformats.org/officeDocument/2006/relationships/hyperlink" Target="https://www.dxsbb.com/news/list_123.html" TargetMode="External"/><Relationship Id="rId11" Type="http://schemas.openxmlformats.org/officeDocument/2006/relationships/hyperlink" Target="https://www.dxsbb.com/news/list_108.html" TargetMode="External"/><Relationship Id="rId10" Type="http://schemas.openxmlformats.org/officeDocument/2006/relationships/hyperlink" Target="https://www.dxsbb.com/news/list_101.html" TargetMode="External"/><Relationship Id="rId1" Type="http://schemas.openxmlformats.org/officeDocument/2006/relationships/hyperlink" Target="https://www.dxsbb.com/news/list_120.html"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www.dxsbb.com/news/list_120.html" TargetMode="External"/><Relationship Id="rId8" Type="http://schemas.openxmlformats.org/officeDocument/2006/relationships/hyperlink" Target="https://www.dxsbb.com/news/list_201.html" TargetMode="External"/><Relationship Id="rId7" Type="http://schemas.openxmlformats.org/officeDocument/2006/relationships/hyperlink" Target="https://www.dxsbb.com/news/list_202.html" TargetMode="External"/><Relationship Id="rId6" Type="http://schemas.openxmlformats.org/officeDocument/2006/relationships/hyperlink" Target="https://www.dxsbb.com/news/list_45.html" TargetMode="External"/><Relationship Id="rId5" Type="http://schemas.openxmlformats.org/officeDocument/2006/relationships/hyperlink" Target="https://www.dxsbb.com/news/list_197.html" TargetMode="External"/><Relationship Id="rId44" Type="http://schemas.openxmlformats.org/officeDocument/2006/relationships/hyperlink" Target="https://www.dxsbb.com/news/list_200.html" TargetMode="External"/><Relationship Id="rId43" Type="http://schemas.openxmlformats.org/officeDocument/2006/relationships/hyperlink" Target="https://www.dxsbb.com/news/list_36.html" TargetMode="External"/><Relationship Id="rId42" Type="http://schemas.openxmlformats.org/officeDocument/2006/relationships/hyperlink" Target="https://www.dxsbb.com/news/list_195.html" TargetMode="External"/><Relationship Id="rId41" Type="http://schemas.openxmlformats.org/officeDocument/2006/relationships/hyperlink" Target="https://www.dxsbb.com/news/list_124.html" TargetMode="External"/><Relationship Id="rId40" Type="http://schemas.openxmlformats.org/officeDocument/2006/relationships/hyperlink" Target="https://www.dxsbb.com/news/list_126.html" TargetMode="External"/><Relationship Id="rId4" Type="http://schemas.openxmlformats.org/officeDocument/2006/relationships/hyperlink" Target="https://www.dxsbb.com/news/list_199.html" TargetMode="External"/><Relationship Id="rId39" Type="http://schemas.openxmlformats.org/officeDocument/2006/relationships/hyperlink" Target="https://www.dxsbb.com/news/list_127.html" TargetMode="External"/><Relationship Id="rId38" Type="http://schemas.openxmlformats.org/officeDocument/2006/relationships/hyperlink" Target="https://www.dxsbb.com/news/list_123.html" TargetMode="External"/><Relationship Id="rId37" Type="http://schemas.openxmlformats.org/officeDocument/2006/relationships/hyperlink" Target="https://www.dxsbb.com/news/list_108.html" TargetMode="External"/><Relationship Id="rId36" Type="http://schemas.openxmlformats.org/officeDocument/2006/relationships/hyperlink" Target="https://www.dxsbb.com/news/list_128.html" TargetMode="External"/><Relationship Id="rId35" Type="http://schemas.openxmlformats.org/officeDocument/2006/relationships/hyperlink" Target="https://www.dxsbb.com/news/list_118.html" TargetMode="External"/><Relationship Id="rId34" Type="http://schemas.openxmlformats.org/officeDocument/2006/relationships/hyperlink" Target="https://www.dxsbb.com/news/list_121.html" TargetMode="External"/><Relationship Id="rId33" Type="http://schemas.openxmlformats.org/officeDocument/2006/relationships/hyperlink" Target="https://www.dxsbb.com/news/list_109.html" TargetMode="External"/><Relationship Id="rId32" Type="http://schemas.openxmlformats.org/officeDocument/2006/relationships/hyperlink" Target="https://www.dxsbb.com/news/list_117.html" TargetMode="External"/><Relationship Id="rId31" Type="http://schemas.openxmlformats.org/officeDocument/2006/relationships/hyperlink" Target="https://www.dxsbb.com/news/list_125.html" TargetMode="External"/><Relationship Id="rId30" Type="http://schemas.openxmlformats.org/officeDocument/2006/relationships/hyperlink" Target="https://www.dxsbb.com/news/list_115.html" TargetMode="External"/><Relationship Id="rId3" Type="http://schemas.openxmlformats.org/officeDocument/2006/relationships/hyperlink" Target="https://www.dxsbb.com/news/list_205.html" TargetMode="External"/><Relationship Id="rId29" Type="http://schemas.openxmlformats.org/officeDocument/2006/relationships/hyperlink" Target="https://www.dxsbb.com/news/list_101.html" TargetMode="External"/><Relationship Id="rId28" Type="http://schemas.openxmlformats.org/officeDocument/2006/relationships/hyperlink" Target="https://www.dxsbb.com/news/list_104.html" TargetMode="External"/><Relationship Id="rId27" Type="http://schemas.openxmlformats.org/officeDocument/2006/relationships/hyperlink" Target="https://www.dxsbb.com/news/list_103.html" TargetMode="External"/><Relationship Id="rId26" Type="http://schemas.openxmlformats.org/officeDocument/2006/relationships/hyperlink" Target="https://www.dxsbb.com/news/list_102.html" TargetMode="External"/><Relationship Id="rId25" Type="http://schemas.openxmlformats.org/officeDocument/2006/relationships/hyperlink" Target="https://www.dxsbb.com/news/list_100.html" TargetMode="External"/><Relationship Id="rId24" Type="http://schemas.openxmlformats.org/officeDocument/2006/relationships/hyperlink" Target="https://www.dxsbb.com/news/list_111.html" TargetMode="External"/><Relationship Id="rId23" Type="http://schemas.openxmlformats.org/officeDocument/2006/relationships/hyperlink" Target="https://www.dxsbb.com/news/list_112.html" TargetMode="External"/><Relationship Id="rId22" Type="http://schemas.openxmlformats.org/officeDocument/2006/relationships/hyperlink" Target="https://www.dxsbb.com/news/list_106.html" TargetMode="External"/><Relationship Id="rId21" Type="http://schemas.openxmlformats.org/officeDocument/2006/relationships/hyperlink" Target="https://www.dxsbb.com/news/list_203.html" TargetMode="External"/><Relationship Id="rId20" Type="http://schemas.openxmlformats.org/officeDocument/2006/relationships/hyperlink" Target="https://www.dxsbb.com/news/list_110.html" TargetMode="External"/><Relationship Id="rId2" Type="http://schemas.openxmlformats.org/officeDocument/2006/relationships/hyperlink" Target="https://www.dxsbb.com/news/list_196.html" TargetMode="External"/><Relationship Id="rId19" Type="http://schemas.openxmlformats.org/officeDocument/2006/relationships/hyperlink" Target="https://www.dxsbb.com/news/list_99.html" TargetMode="External"/><Relationship Id="rId18" Type="http://schemas.openxmlformats.org/officeDocument/2006/relationships/hyperlink" Target="https://www.dxsbb.com/news/list_116.html" TargetMode="External"/><Relationship Id="rId17" Type="http://schemas.openxmlformats.org/officeDocument/2006/relationships/hyperlink" Target="https://www.dxsbb.com/news/list_113.html" TargetMode="External"/><Relationship Id="rId16" Type="http://schemas.openxmlformats.org/officeDocument/2006/relationships/hyperlink" Target="https://www.dxsbb.com/news/list_119.html" TargetMode="External"/><Relationship Id="rId15" Type="http://schemas.openxmlformats.org/officeDocument/2006/relationships/hyperlink" Target="https://www.dxsbb.com/news/list_194.html" TargetMode="External"/><Relationship Id="rId14" Type="http://schemas.openxmlformats.org/officeDocument/2006/relationships/hyperlink" Target="https://www.dxsbb.com/news/list_107.html" TargetMode="External"/><Relationship Id="rId13" Type="http://schemas.openxmlformats.org/officeDocument/2006/relationships/hyperlink" Target="https://www.dxsbb.com/news/list_204.html" TargetMode="External"/><Relationship Id="rId12" Type="http://schemas.openxmlformats.org/officeDocument/2006/relationships/hyperlink" Target="https://www.dxsbb.com/news/list_122.html" TargetMode="External"/><Relationship Id="rId11" Type="http://schemas.openxmlformats.org/officeDocument/2006/relationships/hyperlink" Target="https://www.dxsbb.com/news/list_114.html" TargetMode="External"/><Relationship Id="rId10" Type="http://schemas.openxmlformats.org/officeDocument/2006/relationships/hyperlink" Target="https://www.dxsbb.com/news/list_105.html" TargetMode="External"/><Relationship Id="rId1" Type="http://schemas.openxmlformats.org/officeDocument/2006/relationships/hyperlink" Target="https://www.dxsbb.com/news/list_198.html"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www.dxsbb.com/news/list_119.html" TargetMode="External"/><Relationship Id="rId8" Type="http://schemas.openxmlformats.org/officeDocument/2006/relationships/hyperlink" Target="https://www.dxsbb.com/news/list_107.html" TargetMode="External"/><Relationship Id="rId7" Type="http://schemas.openxmlformats.org/officeDocument/2006/relationships/hyperlink" Target="https://www.dxsbb.com/news/list_202.html" TargetMode="External"/><Relationship Id="rId6" Type="http://schemas.openxmlformats.org/officeDocument/2006/relationships/hyperlink" Target="https://www.dxsbb.com/news/list_122.html" TargetMode="External"/><Relationship Id="rId5" Type="http://schemas.openxmlformats.org/officeDocument/2006/relationships/hyperlink" Target="https://www.dxsbb.com/news/list_114.html" TargetMode="External"/><Relationship Id="rId4" Type="http://schemas.openxmlformats.org/officeDocument/2006/relationships/hyperlink" Target="https://www.dxsbb.com/news/list_196.html" TargetMode="External"/><Relationship Id="rId39" Type="http://schemas.openxmlformats.org/officeDocument/2006/relationships/hyperlink" Target="https://www.dxsbb.com/news/list_45.html" TargetMode="External"/><Relationship Id="rId38" Type="http://schemas.openxmlformats.org/officeDocument/2006/relationships/hyperlink" Target="https://www.dxsbb.com/news/list_124.html" TargetMode="External"/><Relationship Id="rId37" Type="http://schemas.openxmlformats.org/officeDocument/2006/relationships/hyperlink" Target="https://www.dxsbb.com/news/list_126.html" TargetMode="External"/><Relationship Id="rId36" Type="http://schemas.openxmlformats.org/officeDocument/2006/relationships/hyperlink" Target="https://www.dxsbb.com/news/list_127.html" TargetMode="External"/><Relationship Id="rId35" Type="http://schemas.openxmlformats.org/officeDocument/2006/relationships/hyperlink" Target="https://www.dxsbb.com/news/list_123.html" TargetMode="External"/><Relationship Id="rId34" Type="http://schemas.openxmlformats.org/officeDocument/2006/relationships/hyperlink" Target="https://www.dxsbb.com/news/list_195.html" TargetMode="External"/><Relationship Id="rId33" Type="http://schemas.openxmlformats.org/officeDocument/2006/relationships/hyperlink" Target="https://www.dxsbb.com/news/list_108.html" TargetMode="External"/><Relationship Id="rId32" Type="http://schemas.openxmlformats.org/officeDocument/2006/relationships/hyperlink" Target="https://www.dxsbb.com/news/list_128.html" TargetMode="External"/><Relationship Id="rId31" Type="http://schemas.openxmlformats.org/officeDocument/2006/relationships/hyperlink" Target="https://www.dxsbb.com/news/list_118.html" TargetMode="External"/><Relationship Id="rId30" Type="http://schemas.openxmlformats.org/officeDocument/2006/relationships/hyperlink" Target="https://www.dxsbb.com/news/list_121.html" TargetMode="External"/><Relationship Id="rId3" Type="http://schemas.openxmlformats.org/officeDocument/2006/relationships/hyperlink" Target="https://www.dxsbb.com/news/list_198.html" TargetMode="External"/><Relationship Id="rId29" Type="http://schemas.openxmlformats.org/officeDocument/2006/relationships/hyperlink" Target="https://www.dxsbb.com/news/list_109.html" TargetMode="External"/><Relationship Id="rId28" Type="http://schemas.openxmlformats.org/officeDocument/2006/relationships/hyperlink" Target="https://www.dxsbb.com/news/list_117.html" TargetMode="External"/><Relationship Id="rId27" Type="http://schemas.openxmlformats.org/officeDocument/2006/relationships/hyperlink" Target="https://www.dxsbb.com/news/list_115.html" TargetMode="External"/><Relationship Id="rId26" Type="http://schemas.openxmlformats.org/officeDocument/2006/relationships/hyperlink" Target="https://www.dxsbb.com/news/list_101.html" TargetMode="External"/><Relationship Id="rId25" Type="http://schemas.openxmlformats.org/officeDocument/2006/relationships/hyperlink" Target="https://www.dxsbb.com/news/list_104.html" TargetMode="External"/><Relationship Id="rId24" Type="http://schemas.openxmlformats.org/officeDocument/2006/relationships/hyperlink" Target="https://www.dxsbb.com/news/list_103.html" TargetMode="External"/><Relationship Id="rId23" Type="http://schemas.openxmlformats.org/officeDocument/2006/relationships/hyperlink" Target="https://www.dxsbb.com/news/list_102.html" TargetMode="External"/><Relationship Id="rId22" Type="http://schemas.openxmlformats.org/officeDocument/2006/relationships/hyperlink" Target="https://www.dxsbb.com/news/list_200.html" TargetMode="External"/><Relationship Id="rId21" Type="http://schemas.openxmlformats.org/officeDocument/2006/relationships/hyperlink" Target="https://www.dxsbb.com/news/list_100.html" TargetMode="External"/><Relationship Id="rId20" Type="http://schemas.openxmlformats.org/officeDocument/2006/relationships/hyperlink" Target="https://www.dxsbb.com/news/list_111.html" TargetMode="External"/><Relationship Id="rId2" Type="http://schemas.openxmlformats.org/officeDocument/2006/relationships/hyperlink" Target="https://www.dxsbb.com/news/list_105.html" TargetMode="External"/><Relationship Id="rId19" Type="http://schemas.openxmlformats.org/officeDocument/2006/relationships/hyperlink" Target="https://www.dxsbb.com/news/list_112.html" TargetMode="External"/><Relationship Id="rId18" Type="http://schemas.openxmlformats.org/officeDocument/2006/relationships/hyperlink" Target="https://www.dxsbb.com/news/list_106.html" TargetMode="External"/><Relationship Id="rId17" Type="http://schemas.openxmlformats.org/officeDocument/2006/relationships/hyperlink" Target="https://www.dxsbb.com/news/list_110.html" TargetMode="External"/><Relationship Id="rId16" Type="http://schemas.openxmlformats.org/officeDocument/2006/relationships/hyperlink" Target="https://www.dxsbb.com/news/list_197.html" TargetMode="External"/><Relationship Id="rId15" Type="http://schemas.openxmlformats.org/officeDocument/2006/relationships/hyperlink" Target="https://www.dxsbb.com/news/list_99.html" TargetMode="External"/><Relationship Id="rId14" Type="http://schemas.openxmlformats.org/officeDocument/2006/relationships/hyperlink" Target="https://www.dxsbb.com/news/list_125.html" TargetMode="External"/><Relationship Id="rId13" Type="http://schemas.openxmlformats.org/officeDocument/2006/relationships/hyperlink" Target="https://www.dxsbb.com/news/list_203.html" TargetMode="External"/><Relationship Id="rId12" Type="http://schemas.openxmlformats.org/officeDocument/2006/relationships/hyperlink" Target="https://www.dxsbb.com/news/list_116.html" TargetMode="External"/><Relationship Id="rId11" Type="http://schemas.openxmlformats.org/officeDocument/2006/relationships/hyperlink" Target="https://www.dxsbb.com/news/list_194.html" TargetMode="External"/><Relationship Id="rId10" Type="http://schemas.openxmlformats.org/officeDocument/2006/relationships/hyperlink" Target="https://www.dxsbb.com/news/list_113.html" TargetMode="External"/><Relationship Id="rId1" Type="http://schemas.openxmlformats.org/officeDocument/2006/relationships/hyperlink" Target="https://www.dxsbb.com/news/list_120.html"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www.dxsbb.com/news/list_107.html" TargetMode="External"/><Relationship Id="rId8" Type="http://schemas.openxmlformats.org/officeDocument/2006/relationships/hyperlink" Target="https://www.dxsbb.com/news/list_104.html" TargetMode="External"/><Relationship Id="rId7" Type="http://schemas.openxmlformats.org/officeDocument/2006/relationships/hyperlink" Target="https://www.dxsbb.com/news/list_112.html" TargetMode="External"/><Relationship Id="rId6" Type="http://schemas.openxmlformats.org/officeDocument/2006/relationships/hyperlink" Target="https://www.dxsbb.com/news/list_113.html" TargetMode="External"/><Relationship Id="rId5" Type="http://schemas.openxmlformats.org/officeDocument/2006/relationships/hyperlink" Target="https://www.dxsbb.com/news/list_101.html" TargetMode="External"/><Relationship Id="rId4" Type="http://schemas.openxmlformats.org/officeDocument/2006/relationships/hyperlink" Target="https://www.dxsbb.com/news/list_108.html" TargetMode="External"/><Relationship Id="rId3" Type="http://schemas.openxmlformats.org/officeDocument/2006/relationships/hyperlink" Target="https://www.dxsbb.com/news/list_103.html" TargetMode="External"/><Relationship Id="rId2" Type="http://schemas.openxmlformats.org/officeDocument/2006/relationships/hyperlink" Target="https://www.dxsbb.com/news/list_99.html" TargetMode="External"/><Relationship Id="rId16" Type="http://schemas.openxmlformats.org/officeDocument/2006/relationships/hyperlink" Target="https://www.dxsbb.com/news/list_203.html" TargetMode="External"/><Relationship Id="rId15" Type="http://schemas.openxmlformats.org/officeDocument/2006/relationships/hyperlink" Target="https://www.dxsbb.com/news/list_123.html" TargetMode="External"/><Relationship Id="rId14" Type="http://schemas.openxmlformats.org/officeDocument/2006/relationships/hyperlink" Target="https://www.dxsbb.com/news/list_202.html" TargetMode="External"/><Relationship Id="rId13" Type="http://schemas.openxmlformats.org/officeDocument/2006/relationships/hyperlink" Target="https://www.dxsbb.com/news/list_100.html" TargetMode="External"/><Relationship Id="rId12" Type="http://schemas.openxmlformats.org/officeDocument/2006/relationships/hyperlink" Target="https://www.dxsbb.com/news/list_117.html" TargetMode="External"/><Relationship Id="rId11" Type="http://schemas.openxmlformats.org/officeDocument/2006/relationships/hyperlink" Target="https://www.dxsbb.com/news/list_119.html" TargetMode="External"/><Relationship Id="rId10" Type="http://schemas.openxmlformats.org/officeDocument/2006/relationships/hyperlink" Target="https://www.dxsbb.com/news/list_109.html" TargetMode="External"/><Relationship Id="rId1" Type="http://schemas.openxmlformats.org/officeDocument/2006/relationships/hyperlink" Target="https://www.dxsbb.com/news/list_106.html"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s://www.dxsbb.com/news/list_121.html" TargetMode="External"/><Relationship Id="rId8" Type="http://schemas.openxmlformats.org/officeDocument/2006/relationships/hyperlink" Target="https://www.dxsbb.com/news/list_115.html" TargetMode="External"/><Relationship Id="rId7" Type="http://schemas.openxmlformats.org/officeDocument/2006/relationships/hyperlink" Target="https://www.dxsbb.com/news/list_101.html" TargetMode="External"/><Relationship Id="rId6" Type="http://schemas.openxmlformats.org/officeDocument/2006/relationships/hyperlink" Target="https://www.dxsbb.com/news/list_123.html" TargetMode="External"/><Relationship Id="rId5" Type="http://schemas.openxmlformats.org/officeDocument/2006/relationships/hyperlink" Target="https://www.dxsbb.com/news/list_112.html" TargetMode="External"/><Relationship Id="rId4" Type="http://schemas.openxmlformats.org/officeDocument/2006/relationships/hyperlink" Target="https://www.dxsbb.com/news/list_205.html" TargetMode="External"/><Relationship Id="rId34" Type="http://schemas.openxmlformats.org/officeDocument/2006/relationships/hyperlink" Target="https://www.dxsbb.com/news/list_117.html" TargetMode="External"/><Relationship Id="rId33" Type="http://schemas.openxmlformats.org/officeDocument/2006/relationships/hyperlink" Target="https://www.dxsbb.com/news/list_110.html" TargetMode="External"/><Relationship Id="rId32" Type="http://schemas.openxmlformats.org/officeDocument/2006/relationships/hyperlink" Target="https://www.dxsbb.com/news/list_118.html" TargetMode="External"/><Relationship Id="rId31" Type="http://schemas.openxmlformats.org/officeDocument/2006/relationships/hyperlink" Target="https://www.dxsbb.com/news/list_124.html" TargetMode="External"/><Relationship Id="rId30" Type="http://schemas.openxmlformats.org/officeDocument/2006/relationships/hyperlink" Target="https://www.dxsbb.com/news/list_128.html" TargetMode="External"/><Relationship Id="rId3" Type="http://schemas.openxmlformats.org/officeDocument/2006/relationships/hyperlink" Target="https://www.dxsbb.com/news/list_198.html" TargetMode="External"/><Relationship Id="rId29" Type="http://schemas.openxmlformats.org/officeDocument/2006/relationships/hyperlink" Target="https://www.dxsbb.com/news/list_120.html" TargetMode="External"/><Relationship Id="rId28" Type="http://schemas.openxmlformats.org/officeDocument/2006/relationships/hyperlink" Target="https://www.dxsbb.com/news/list_109.html" TargetMode="External"/><Relationship Id="rId27" Type="http://schemas.openxmlformats.org/officeDocument/2006/relationships/hyperlink" Target="https://www.dxsbb.com/news/list_116.html" TargetMode="External"/><Relationship Id="rId26" Type="http://schemas.openxmlformats.org/officeDocument/2006/relationships/hyperlink" Target="https://www.dxsbb.com/news/list_203.html" TargetMode="External"/><Relationship Id="rId25" Type="http://schemas.openxmlformats.org/officeDocument/2006/relationships/hyperlink" Target="https://www.dxsbb.com/news/list_108.html" TargetMode="External"/><Relationship Id="rId24" Type="http://schemas.openxmlformats.org/officeDocument/2006/relationships/hyperlink" Target="https://www.dxsbb.com/news/list_114.html" TargetMode="External"/><Relationship Id="rId23" Type="http://schemas.openxmlformats.org/officeDocument/2006/relationships/hyperlink" Target="https://www.dxsbb.com/news/list_100.html" TargetMode="External"/><Relationship Id="rId22" Type="http://schemas.openxmlformats.org/officeDocument/2006/relationships/hyperlink" Target="https://www.dxsbb.com/news/list_127.html" TargetMode="External"/><Relationship Id="rId21" Type="http://schemas.openxmlformats.org/officeDocument/2006/relationships/hyperlink" Target="https://www.dxsbb.com/news/list_126.html" TargetMode="External"/><Relationship Id="rId20" Type="http://schemas.openxmlformats.org/officeDocument/2006/relationships/hyperlink" Target="https://www.dxsbb.com/news/list_122.html" TargetMode="External"/><Relationship Id="rId2" Type="http://schemas.openxmlformats.org/officeDocument/2006/relationships/hyperlink" Target="https://www.dxsbb.com/news/list_202.html" TargetMode="External"/><Relationship Id="rId19" Type="http://schemas.openxmlformats.org/officeDocument/2006/relationships/hyperlink" Target="https://www.dxsbb.com/news/list_107.html" TargetMode="External"/><Relationship Id="rId18" Type="http://schemas.openxmlformats.org/officeDocument/2006/relationships/hyperlink" Target="https://www.dxsbb.com/news/list_111.html" TargetMode="External"/><Relationship Id="rId17" Type="http://schemas.openxmlformats.org/officeDocument/2006/relationships/hyperlink" Target="https://www.dxsbb.com/news/list_99.html" TargetMode="External"/><Relationship Id="rId16" Type="http://schemas.openxmlformats.org/officeDocument/2006/relationships/hyperlink" Target="https://www.dxsbb.com/news/list_119.html" TargetMode="External"/><Relationship Id="rId15" Type="http://schemas.openxmlformats.org/officeDocument/2006/relationships/hyperlink" Target="https://www.dxsbb.com/news/list_104.html" TargetMode="External"/><Relationship Id="rId14" Type="http://schemas.openxmlformats.org/officeDocument/2006/relationships/hyperlink" Target="https://www.dxsbb.com/news/list_103.html" TargetMode="External"/><Relationship Id="rId13" Type="http://schemas.openxmlformats.org/officeDocument/2006/relationships/hyperlink" Target="https://www.dxsbb.com/news/list_113.html" TargetMode="External"/><Relationship Id="rId12" Type="http://schemas.openxmlformats.org/officeDocument/2006/relationships/hyperlink" Target="https://www.dxsbb.com/news/list_102.html" TargetMode="External"/><Relationship Id="rId11" Type="http://schemas.openxmlformats.org/officeDocument/2006/relationships/hyperlink" Target="https://www.dxsbb.com/news/list_105.html" TargetMode="External"/><Relationship Id="rId10" Type="http://schemas.openxmlformats.org/officeDocument/2006/relationships/hyperlink" Target="https://www.dxsbb.com/news/list_125.html" TargetMode="External"/><Relationship Id="rId1" Type="http://schemas.openxmlformats.org/officeDocument/2006/relationships/hyperlink" Target="https://www.dxsbb.com/news/list_201.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18"/>
  <sheetViews>
    <sheetView tabSelected="1" workbookViewId="0">
      <selection activeCell="M7" sqref="M7"/>
    </sheetView>
  </sheetViews>
  <sheetFormatPr defaultColWidth="9" defaultRowHeight="13.5"/>
  <sheetData>
    <row r="1" ht="15.75" spans="1:11">
      <c r="A1" s="2" t="s">
        <v>0</v>
      </c>
      <c r="B1" s="2" t="s">
        <v>1</v>
      </c>
      <c r="C1" s="2" t="s">
        <v>2</v>
      </c>
      <c r="D1" s="2" t="s">
        <v>3</v>
      </c>
      <c r="E1" s="2" t="s">
        <v>4</v>
      </c>
      <c r="F1" s="2">
        <v>985</v>
      </c>
      <c r="G1" s="2">
        <v>211</v>
      </c>
      <c r="H1" s="2" t="s">
        <v>5</v>
      </c>
      <c r="I1" s="2" t="s">
        <v>6</v>
      </c>
      <c r="J1" s="2" t="s">
        <v>7</v>
      </c>
      <c r="K1" s="2" t="s">
        <v>8</v>
      </c>
    </row>
    <row r="2" ht="17.25" spans="1:11">
      <c r="A2" s="29">
        <v>1</v>
      </c>
      <c r="B2" s="29" t="s">
        <v>9</v>
      </c>
      <c r="C2" s="29" t="str">
        <f>VLOOKUP(B2,教育部大学名单!$B$1:$D$2920,3,FALSE)</f>
        <v>教育部</v>
      </c>
      <c r="D2" s="29" t="s">
        <v>10</v>
      </c>
      <c r="E2" s="29" t="s">
        <v>10</v>
      </c>
      <c r="F2" s="30">
        <f>IFERROR(VLOOKUP(B2,'985'!$B$2:$D$40,3,FALSE),"")</f>
        <v>985</v>
      </c>
      <c r="G2" s="31">
        <f>IFERROR(VLOOKUP(B2,'211'!$B$2:$D$116,3,FALSE),"")</f>
        <v>211</v>
      </c>
      <c r="H2" s="32" t="str">
        <f>IFERROR(VLOOKUP(B2,双一流!$B$2:$D$148,3,FALSE),"")</f>
        <v>双一流</v>
      </c>
      <c r="I2" s="32" t="str">
        <f>IFERROR(VLOOKUP(B2,汇总!$B$2:$I$2921,8,FALSE),"")</f>
        <v>综合</v>
      </c>
      <c r="J2" s="29" t="s">
        <v>11</v>
      </c>
      <c r="K2" s="33" t="s">
        <v>12</v>
      </c>
    </row>
    <row r="3" ht="33.75" spans="1:11">
      <c r="A3" s="34">
        <v>2</v>
      </c>
      <c r="B3" s="34" t="s">
        <v>13</v>
      </c>
      <c r="C3" s="29" t="str">
        <f>VLOOKUP(B3,教育部大学名单!$B$1:$D$2920,3,FALSE)</f>
        <v>教育部</v>
      </c>
      <c r="D3" s="34" t="s">
        <v>10</v>
      </c>
      <c r="E3" s="34" t="s">
        <v>10</v>
      </c>
      <c r="F3" s="30">
        <f>IFERROR(VLOOKUP(B3,'985'!$B$2:$D$40,3,FALSE),"")</f>
        <v>985</v>
      </c>
      <c r="G3" s="31">
        <f>IFERROR(VLOOKUP(B3,'211'!$B$2:$D$116,3,FALSE),"")</f>
        <v>211</v>
      </c>
      <c r="H3" s="32" t="str">
        <f>IFERROR(VLOOKUP(B3,双一流!$B$2:$D$148,3,FALSE),"")</f>
        <v>双一流</v>
      </c>
      <c r="I3" s="32" t="str">
        <f>IFERROR(VLOOKUP(B3,汇总!$B$2:$I$2921,8,FALSE),"")</f>
        <v>综合</v>
      </c>
      <c r="J3" s="34" t="s">
        <v>11</v>
      </c>
      <c r="K3" s="35" t="s">
        <v>12</v>
      </c>
    </row>
    <row r="4" ht="17.25" spans="1:11">
      <c r="A4" s="29">
        <v>3</v>
      </c>
      <c r="B4" s="29" t="s">
        <v>14</v>
      </c>
      <c r="C4" s="29" t="str">
        <f>VLOOKUP(B4,教育部大学名单!$B$1:$D$2920,3,FALSE)</f>
        <v>教育部</v>
      </c>
      <c r="D4" s="29" t="s">
        <v>10</v>
      </c>
      <c r="E4" s="29" t="s">
        <v>10</v>
      </c>
      <c r="F4" s="30">
        <f>IFERROR(VLOOKUP(B4,'985'!$B$2:$D$40,3,FALSE),"")</f>
        <v>985</v>
      </c>
      <c r="G4" s="31">
        <f>IFERROR(VLOOKUP(B4,'211'!$B$2:$D$116,3,FALSE),"")</f>
        <v>211</v>
      </c>
      <c r="H4" s="32" t="str">
        <f>IFERROR(VLOOKUP(B4,双一流!$B$2:$D$148,3,FALSE),"")</f>
        <v>双一流</v>
      </c>
      <c r="I4" s="32" t="str">
        <f>IFERROR(VLOOKUP(B4,汇总!$B$2:$I$2921,8,FALSE),"")</f>
        <v>综合</v>
      </c>
      <c r="J4" s="29" t="s">
        <v>11</v>
      </c>
      <c r="K4" s="33" t="s">
        <v>12</v>
      </c>
    </row>
    <row r="5" ht="33.75" spans="1:11">
      <c r="A5" s="34">
        <v>4</v>
      </c>
      <c r="B5" s="34" t="s">
        <v>15</v>
      </c>
      <c r="C5" s="29" t="str">
        <f>VLOOKUP(B5,教育部大学名单!$B$1:$D$2920,3,FALSE)</f>
        <v>教育部</v>
      </c>
      <c r="D5" s="34" t="s">
        <v>10</v>
      </c>
      <c r="E5" s="34" t="s">
        <v>10</v>
      </c>
      <c r="F5" s="36" t="str">
        <f>IFERROR(VLOOKUP(B5,'985'!$B$2:$D$40,3,FALSE),"")</f>
        <v/>
      </c>
      <c r="G5" s="31">
        <f>IFERROR(VLOOKUP(B5,'211'!$B$2:$D$116,3,FALSE),"")</f>
        <v>211</v>
      </c>
      <c r="H5" s="32" t="str">
        <f>IFERROR(VLOOKUP(B5,双一流!$B$2:$D$148,3,FALSE),"")</f>
        <v>双一流</v>
      </c>
      <c r="I5" s="32" t="str">
        <f>IFERROR(VLOOKUP(B5,汇总!$B$2:$I$2921,8,FALSE),"")</f>
        <v>理工</v>
      </c>
      <c r="J5" s="34" t="s">
        <v>11</v>
      </c>
      <c r="K5" s="35" t="s">
        <v>12</v>
      </c>
    </row>
    <row r="6" ht="33.75" spans="1:11">
      <c r="A6" s="29">
        <v>5</v>
      </c>
      <c r="B6" s="29" t="s">
        <v>16</v>
      </c>
      <c r="C6" s="29" t="str">
        <f>VLOOKUP(B6,教育部大学名单!$B$1:$D$2920,3,FALSE)</f>
        <v>北京市</v>
      </c>
      <c r="D6" s="29" t="s">
        <v>10</v>
      </c>
      <c r="E6" s="29" t="s">
        <v>10</v>
      </c>
      <c r="F6" s="36" t="str">
        <f>IFERROR(VLOOKUP(B6,'985'!$B$2:$D$40,3,FALSE),"")</f>
        <v/>
      </c>
      <c r="G6" s="31">
        <f>IFERROR(VLOOKUP(B6,'211'!$B$2:$D$116,3,FALSE),"")</f>
        <v>211</v>
      </c>
      <c r="H6" s="32" t="str">
        <f>IFERROR(VLOOKUP(B6,双一流!$B$2:$D$148,3,FALSE),"")</f>
        <v>双一流</v>
      </c>
      <c r="I6" s="32" t="str">
        <f>IFERROR(VLOOKUP(B6,汇总!$B$2:$I$2921,8,FALSE),"")</f>
        <v>理工</v>
      </c>
      <c r="J6" s="29" t="s">
        <v>11</v>
      </c>
      <c r="K6" s="33" t="s">
        <v>12</v>
      </c>
    </row>
    <row r="7" ht="33.75" spans="1:11">
      <c r="A7" s="34">
        <v>6</v>
      </c>
      <c r="B7" s="34" t="s">
        <v>17</v>
      </c>
      <c r="C7" s="29" t="str">
        <f>VLOOKUP(B7,教育部大学名单!$B$1:$D$2920,3,FALSE)</f>
        <v>工业和信息化部</v>
      </c>
      <c r="D7" s="34" t="s">
        <v>10</v>
      </c>
      <c r="E7" s="34" t="s">
        <v>10</v>
      </c>
      <c r="F7" s="30">
        <f>IFERROR(VLOOKUP(B7,'985'!$B$2:$D$40,3,FALSE),"")</f>
        <v>985</v>
      </c>
      <c r="G7" s="31">
        <f>IFERROR(VLOOKUP(B7,'211'!$B$2:$D$116,3,FALSE),"")</f>
        <v>211</v>
      </c>
      <c r="H7" s="32" t="str">
        <f>IFERROR(VLOOKUP(B7,双一流!$B$2:$D$148,3,FALSE),"")</f>
        <v>双一流</v>
      </c>
      <c r="I7" s="32" t="str">
        <f>IFERROR(VLOOKUP(B7,汇总!$B$2:$I$2921,8,FALSE),"")</f>
        <v>理工</v>
      </c>
      <c r="J7" s="34" t="s">
        <v>11</v>
      </c>
      <c r="K7" s="35" t="s">
        <v>12</v>
      </c>
    </row>
    <row r="8" ht="33.75" spans="1:11">
      <c r="A8" s="29">
        <v>7</v>
      </c>
      <c r="B8" s="29" t="s">
        <v>18</v>
      </c>
      <c r="C8" s="29" t="str">
        <f>VLOOKUP(B8,教育部大学名单!$B$1:$D$2920,3,FALSE)</f>
        <v>工业和信息化部</v>
      </c>
      <c r="D8" s="29" t="s">
        <v>10</v>
      </c>
      <c r="E8" s="29" t="s">
        <v>10</v>
      </c>
      <c r="F8" s="30">
        <f>IFERROR(VLOOKUP(B8,'985'!$B$2:$D$40,3,FALSE),"")</f>
        <v>985</v>
      </c>
      <c r="G8" s="31">
        <f>IFERROR(VLOOKUP(B8,'211'!$B$2:$D$116,3,FALSE),"")</f>
        <v>211</v>
      </c>
      <c r="H8" s="32" t="str">
        <f>IFERROR(VLOOKUP(B8,双一流!$B$2:$D$148,3,FALSE),"")</f>
        <v>双一流</v>
      </c>
      <c r="I8" s="32" t="str">
        <f>IFERROR(VLOOKUP(B8,汇总!$B$2:$I$2921,8,FALSE),"")</f>
        <v>理工</v>
      </c>
      <c r="J8" s="29" t="s">
        <v>11</v>
      </c>
      <c r="K8" s="33" t="s">
        <v>12</v>
      </c>
    </row>
    <row r="9" ht="33.75" spans="1:11">
      <c r="A9" s="34">
        <v>8</v>
      </c>
      <c r="B9" s="34" t="s">
        <v>19</v>
      </c>
      <c r="C9" s="29" t="str">
        <f>VLOOKUP(B9,教育部大学名单!$B$1:$D$2920,3,FALSE)</f>
        <v>教育部</v>
      </c>
      <c r="D9" s="34" t="s">
        <v>10</v>
      </c>
      <c r="E9" s="34" t="s">
        <v>10</v>
      </c>
      <c r="F9" s="36" t="str">
        <f>IFERROR(VLOOKUP(B9,'985'!$B$2:$D$40,3,FALSE),"")</f>
        <v/>
      </c>
      <c r="G9" s="31">
        <f>IFERROR(VLOOKUP(B9,'211'!$B$2:$D$116,3,FALSE),"")</f>
        <v>211</v>
      </c>
      <c r="H9" s="32" t="str">
        <f>IFERROR(VLOOKUP(B9,双一流!$B$2:$D$148,3,FALSE),"")</f>
        <v>双一流</v>
      </c>
      <c r="I9" s="32" t="str">
        <f>IFERROR(VLOOKUP(B9,汇总!$B$2:$I$2921,8,FALSE),"")</f>
        <v>理工</v>
      </c>
      <c r="J9" s="34" t="s">
        <v>11</v>
      </c>
      <c r="K9" s="35" t="s">
        <v>12</v>
      </c>
    </row>
    <row r="10" ht="33.75" spans="1:11">
      <c r="A10" s="29">
        <v>9</v>
      </c>
      <c r="B10" s="29" t="s">
        <v>20</v>
      </c>
      <c r="C10" s="29" t="str">
        <f>VLOOKUP(B10,教育部大学名单!$B$1:$D$2920,3,FALSE)</f>
        <v>北京市</v>
      </c>
      <c r="D10" s="29" t="s">
        <v>10</v>
      </c>
      <c r="E10" s="29" t="s">
        <v>10</v>
      </c>
      <c r="F10" s="36" t="str">
        <f>IFERROR(VLOOKUP(B10,'985'!$B$2:$D$40,3,FALSE),"")</f>
        <v/>
      </c>
      <c r="G10" s="32" t="str">
        <f>IFERROR(VLOOKUP(B10,'211'!$B$2:$D$116,3,FALSE),"")</f>
        <v/>
      </c>
      <c r="H10" s="32" t="str">
        <f>IFERROR(VLOOKUP(B10,双一流!$B$2:$D$148,3,FALSE),"")</f>
        <v/>
      </c>
      <c r="I10" s="32" t="str">
        <f>IFERROR(VLOOKUP(B10,汇总!$B$2:$I$2921,8,FALSE),"")</f>
        <v>理工</v>
      </c>
      <c r="J10" s="29" t="s">
        <v>11</v>
      </c>
      <c r="K10" s="33" t="s">
        <v>12</v>
      </c>
    </row>
    <row r="11" ht="33.75" spans="1:11">
      <c r="A11" s="34">
        <v>10</v>
      </c>
      <c r="B11" s="34" t="s">
        <v>21</v>
      </c>
      <c r="C11" s="29" t="str">
        <f>VLOOKUP(B11,教育部大学名单!$B$1:$D$2920,3,FALSE)</f>
        <v>教育部</v>
      </c>
      <c r="D11" s="34" t="s">
        <v>10</v>
      </c>
      <c r="E11" s="34" t="s">
        <v>10</v>
      </c>
      <c r="F11" s="36" t="str">
        <f>IFERROR(VLOOKUP(B11,'985'!$B$2:$D$40,3,FALSE),"")</f>
        <v/>
      </c>
      <c r="G11" s="31">
        <f>IFERROR(VLOOKUP(B11,'211'!$B$2:$D$116,3,FALSE),"")</f>
        <v>211</v>
      </c>
      <c r="H11" s="32" t="str">
        <f>IFERROR(VLOOKUP(B11,双一流!$B$2:$D$148,3,FALSE),"")</f>
        <v>双一流</v>
      </c>
      <c r="I11" s="32" t="str">
        <f>IFERROR(VLOOKUP(B11,汇总!$B$2:$I$2921,8,FALSE),"")</f>
        <v>理工</v>
      </c>
      <c r="J11" s="34" t="s">
        <v>11</v>
      </c>
      <c r="K11" s="35" t="s">
        <v>12</v>
      </c>
    </row>
    <row r="12" ht="33.75" spans="1:11">
      <c r="A12" s="29">
        <v>11</v>
      </c>
      <c r="B12" s="29" t="s">
        <v>22</v>
      </c>
      <c r="C12" s="29" t="str">
        <f>VLOOKUP(B12,教育部大学名单!$B$1:$D$2920,3,FALSE)</f>
        <v>北京市</v>
      </c>
      <c r="D12" s="29" t="s">
        <v>10</v>
      </c>
      <c r="E12" s="29" t="s">
        <v>10</v>
      </c>
      <c r="F12" s="36" t="str">
        <f>IFERROR(VLOOKUP(B12,'985'!$B$2:$D$40,3,FALSE),"")</f>
        <v/>
      </c>
      <c r="G12" s="32" t="str">
        <f>IFERROR(VLOOKUP(B12,'211'!$B$2:$D$116,3,FALSE),"")</f>
        <v/>
      </c>
      <c r="H12" s="32" t="str">
        <f>IFERROR(VLOOKUP(B12,双一流!$B$2:$D$148,3,FALSE),"")</f>
        <v/>
      </c>
      <c r="I12" s="32" t="str">
        <f>IFERROR(VLOOKUP(B12,汇总!$B$2:$I$2921,8,FALSE),"")</f>
        <v>财经</v>
      </c>
      <c r="J12" s="29" t="s">
        <v>11</v>
      </c>
      <c r="K12" s="33" t="s">
        <v>12</v>
      </c>
    </row>
    <row r="13" ht="33.75" spans="1:11">
      <c r="A13" s="34">
        <v>12</v>
      </c>
      <c r="B13" s="34" t="s">
        <v>23</v>
      </c>
      <c r="C13" s="29" t="str">
        <f>VLOOKUP(B13,教育部大学名单!$B$1:$D$2920,3,FALSE)</f>
        <v>北京市</v>
      </c>
      <c r="D13" s="34" t="s">
        <v>10</v>
      </c>
      <c r="E13" s="34" t="s">
        <v>10</v>
      </c>
      <c r="F13" s="36" t="str">
        <f>IFERROR(VLOOKUP(B13,'985'!$B$2:$D$40,3,FALSE),"")</f>
        <v/>
      </c>
      <c r="G13" s="32" t="str">
        <f>IFERROR(VLOOKUP(B13,'211'!$B$2:$D$116,3,FALSE),"")</f>
        <v/>
      </c>
      <c r="H13" s="32" t="str">
        <f>IFERROR(VLOOKUP(B13,双一流!$B$2:$D$148,3,FALSE),"")</f>
        <v/>
      </c>
      <c r="I13" s="32" t="str">
        <f>IFERROR(VLOOKUP(B13,汇总!$B$2:$I$2921,8,FALSE),"")</f>
        <v>艺术</v>
      </c>
      <c r="J13" s="34" t="s">
        <v>11</v>
      </c>
      <c r="K13" s="35" t="s">
        <v>12</v>
      </c>
    </row>
    <row r="14" ht="33.75" spans="1:11">
      <c r="A14" s="29">
        <v>13</v>
      </c>
      <c r="B14" s="29" t="s">
        <v>24</v>
      </c>
      <c r="C14" s="29" t="str">
        <f>VLOOKUP(B14,教育部大学名单!$B$1:$D$2920,3,FALSE)</f>
        <v>教育部</v>
      </c>
      <c r="D14" s="29" t="s">
        <v>10</v>
      </c>
      <c r="E14" s="29" t="s">
        <v>10</v>
      </c>
      <c r="F14" s="36" t="str">
        <f>IFERROR(VLOOKUP(B14,'985'!$B$2:$D$40,3,FALSE),"")</f>
        <v/>
      </c>
      <c r="G14" s="31">
        <f>IFERROR(VLOOKUP(B14,'211'!$B$2:$D$116,3,FALSE),"")</f>
        <v>211</v>
      </c>
      <c r="H14" s="32" t="str">
        <f>IFERROR(VLOOKUP(B14,双一流!$B$2:$D$148,3,FALSE),"")</f>
        <v>双一流</v>
      </c>
      <c r="I14" s="32" t="str">
        <f>IFERROR(VLOOKUP(B14,汇总!$B$2:$I$2921,8,FALSE),"")</f>
        <v>理工</v>
      </c>
      <c r="J14" s="29" t="s">
        <v>11</v>
      </c>
      <c r="K14" s="33" t="s">
        <v>12</v>
      </c>
    </row>
    <row r="15" ht="33.75" spans="1:11">
      <c r="A15" s="34">
        <v>14</v>
      </c>
      <c r="B15" s="34" t="s">
        <v>25</v>
      </c>
      <c r="C15" s="29" t="str">
        <f>VLOOKUP(B15,教育部大学名单!$B$1:$D$2920,3,FALSE)</f>
        <v>北京市</v>
      </c>
      <c r="D15" s="34" t="s">
        <v>10</v>
      </c>
      <c r="E15" s="34" t="s">
        <v>10</v>
      </c>
      <c r="F15" s="36" t="str">
        <f>IFERROR(VLOOKUP(B15,'985'!$B$2:$D$40,3,FALSE),"")</f>
        <v/>
      </c>
      <c r="G15" s="32" t="str">
        <f>IFERROR(VLOOKUP(B15,'211'!$B$2:$D$116,3,FALSE),"")</f>
        <v/>
      </c>
      <c r="H15" s="32" t="str">
        <f>IFERROR(VLOOKUP(B15,双一流!$B$2:$D$148,3,FALSE),"")</f>
        <v/>
      </c>
      <c r="I15" s="32" t="str">
        <f>IFERROR(VLOOKUP(B15,汇总!$B$2:$I$2921,8,FALSE),"")</f>
        <v>理工</v>
      </c>
      <c r="J15" s="34" t="s">
        <v>11</v>
      </c>
      <c r="K15" s="35" t="s">
        <v>12</v>
      </c>
    </row>
    <row r="16" ht="33.75" spans="1:11">
      <c r="A16" s="29">
        <v>15</v>
      </c>
      <c r="B16" s="29" t="s">
        <v>26</v>
      </c>
      <c r="C16" s="29" t="str">
        <f>VLOOKUP(B16,教育部大学名单!$B$1:$D$2920,3,FALSE)</f>
        <v>北京市</v>
      </c>
      <c r="D16" s="29" t="s">
        <v>10</v>
      </c>
      <c r="E16" s="29" t="s">
        <v>10</v>
      </c>
      <c r="F16" s="36" t="str">
        <f>IFERROR(VLOOKUP(B16,'985'!$B$2:$D$40,3,FALSE),"")</f>
        <v/>
      </c>
      <c r="G16" s="32" t="str">
        <f>IFERROR(VLOOKUP(B16,'211'!$B$2:$D$116,3,FALSE),"")</f>
        <v/>
      </c>
      <c r="H16" s="32" t="str">
        <f>IFERROR(VLOOKUP(B16,双一流!$B$2:$D$148,3,FALSE),"")</f>
        <v/>
      </c>
      <c r="I16" s="32" t="str">
        <f>IFERROR(VLOOKUP(B16,汇总!$B$2:$I$2921,8,FALSE),"")</f>
        <v>理工</v>
      </c>
      <c r="J16" s="29" t="s">
        <v>11</v>
      </c>
      <c r="K16" s="33" t="s">
        <v>12</v>
      </c>
    </row>
    <row r="17" ht="33.75" spans="1:11">
      <c r="A17" s="34">
        <v>16</v>
      </c>
      <c r="B17" s="34" t="s">
        <v>27</v>
      </c>
      <c r="C17" s="29" t="str">
        <f>VLOOKUP(B17,教育部大学名单!$B$1:$D$2920,3,FALSE)</f>
        <v>北京市</v>
      </c>
      <c r="D17" s="34" t="s">
        <v>10</v>
      </c>
      <c r="E17" s="34" t="s">
        <v>10</v>
      </c>
      <c r="F17" s="36" t="str">
        <f>IFERROR(VLOOKUP(B17,'985'!$B$2:$D$40,3,FALSE),"")</f>
        <v/>
      </c>
      <c r="G17" s="32" t="str">
        <f>IFERROR(VLOOKUP(B17,'211'!$B$2:$D$116,3,FALSE),"")</f>
        <v/>
      </c>
      <c r="H17" s="32" t="str">
        <f>IFERROR(VLOOKUP(B17,双一流!$B$2:$D$148,3,FALSE),"")</f>
        <v/>
      </c>
      <c r="I17" s="32">
        <f>IFERROR(VLOOKUP(B17,汇总!$B$2:$I$2921,8,FALSE),"")</f>
        <v>0</v>
      </c>
      <c r="J17" s="34" t="s">
        <v>11</v>
      </c>
      <c r="K17" s="35" t="s">
        <v>12</v>
      </c>
    </row>
    <row r="18" ht="33.75" spans="1:11">
      <c r="A18" s="29">
        <v>17</v>
      </c>
      <c r="B18" s="29" t="s">
        <v>28</v>
      </c>
      <c r="C18" s="29" t="str">
        <f>VLOOKUP(B18,教育部大学名单!$B$1:$D$2920,3,FALSE)</f>
        <v>中央办公厅</v>
      </c>
      <c r="D18" s="29" t="s">
        <v>10</v>
      </c>
      <c r="E18" s="29" t="s">
        <v>10</v>
      </c>
      <c r="F18" s="36" t="str">
        <f>IFERROR(VLOOKUP(B18,'985'!$B$2:$D$40,3,FALSE),"")</f>
        <v/>
      </c>
      <c r="G18" s="32" t="str">
        <f>IFERROR(VLOOKUP(B18,'211'!$B$2:$D$116,3,FALSE),"")</f>
        <v/>
      </c>
      <c r="H18" s="32" t="str">
        <f>IFERROR(VLOOKUP(B18,双一流!$B$2:$D$148,3,FALSE),"")</f>
        <v/>
      </c>
      <c r="I18" s="32" t="str">
        <f>IFERROR(VLOOKUP(B18,汇总!$B$2:$I$2921,8,FALSE),"")</f>
        <v>理工</v>
      </c>
      <c r="J18" s="29" t="s">
        <v>11</v>
      </c>
      <c r="K18" s="33" t="s">
        <v>12</v>
      </c>
    </row>
    <row r="19" ht="33.75" spans="1:11">
      <c r="A19" s="34">
        <v>18</v>
      </c>
      <c r="B19" s="34" t="s">
        <v>29</v>
      </c>
      <c r="C19" s="29" t="str">
        <f>VLOOKUP(B19,教育部大学名单!$B$1:$D$2920,3,FALSE)</f>
        <v>教育部</v>
      </c>
      <c r="D19" s="34" t="s">
        <v>10</v>
      </c>
      <c r="E19" s="34" t="s">
        <v>10</v>
      </c>
      <c r="F19" s="30">
        <f>IFERROR(VLOOKUP(B19,'985'!$B$2:$D$40,3,FALSE),"")</f>
        <v>985</v>
      </c>
      <c r="G19" s="31">
        <f>IFERROR(VLOOKUP(B19,'211'!$B$2:$D$116,3,FALSE),"")</f>
        <v>211</v>
      </c>
      <c r="H19" s="32" t="str">
        <f>IFERROR(VLOOKUP(B19,双一流!$B$2:$D$148,3,FALSE),"")</f>
        <v>双一流</v>
      </c>
      <c r="I19" s="32" t="str">
        <f>IFERROR(VLOOKUP(B19,汇总!$B$2:$I$2921,8,FALSE),"")</f>
        <v>农林</v>
      </c>
      <c r="J19" s="34" t="s">
        <v>11</v>
      </c>
      <c r="K19" s="35" t="s">
        <v>12</v>
      </c>
    </row>
    <row r="20" ht="17.25" spans="1:11">
      <c r="A20" s="29">
        <v>19</v>
      </c>
      <c r="B20" s="29" t="s">
        <v>30</v>
      </c>
      <c r="C20" s="29" t="str">
        <f>VLOOKUP(B20,教育部大学名单!$B$1:$D$2920,3,FALSE)</f>
        <v>北京市</v>
      </c>
      <c r="D20" s="29" t="s">
        <v>10</v>
      </c>
      <c r="E20" s="29" t="s">
        <v>10</v>
      </c>
      <c r="F20" s="36" t="str">
        <f>IFERROR(VLOOKUP(B20,'985'!$B$2:$D$40,3,FALSE),"")</f>
        <v/>
      </c>
      <c r="G20" s="32" t="str">
        <f>IFERROR(VLOOKUP(B20,'211'!$B$2:$D$116,3,FALSE),"")</f>
        <v/>
      </c>
      <c r="H20" s="32" t="str">
        <f>IFERROR(VLOOKUP(B20,双一流!$B$2:$D$148,3,FALSE),"")</f>
        <v/>
      </c>
      <c r="I20" s="32">
        <f>IFERROR(VLOOKUP(B20,汇总!$B$2:$I$2921,8,FALSE),"")</f>
        <v>0</v>
      </c>
      <c r="J20" s="29" t="s">
        <v>11</v>
      </c>
      <c r="K20" s="33" t="s">
        <v>12</v>
      </c>
    </row>
    <row r="21" ht="33.75" spans="1:11">
      <c r="A21" s="34">
        <v>20</v>
      </c>
      <c r="B21" s="34" t="s">
        <v>31</v>
      </c>
      <c r="C21" s="29" t="str">
        <f>VLOOKUP(B21,教育部大学名单!$B$1:$D$2920,3,FALSE)</f>
        <v>教育部</v>
      </c>
      <c r="D21" s="34" t="s">
        <v>10</v>
      </c>
      <c r="E21" s="34" t="s">
        <v>10</v>
      </c>
      <c r="F21" s="36" t="str">
        <f>IFERROR(VLOOKUP(B21,'985'!$B$2:$D$40,3,FALSE),"")</f>
        <v/>
      </c>
      <c r="G21" s="31">
        <f>IFERROR(VLOOKUP(B21,'211'!$B$2:$D$116,3,FALSE),"")</f>
        <v>211</v>
      </c>
      <c r="H21" s="32" t="str">
        <f>IFERROR(VLOOKUP(B21,双一流!$B$2:$D$148,3,FALSE),"")</f>
        <v>双一流</v>
      </c>
      <c r="I21" s="32" t="str">
        <f>IFERROR(VLOOKUP(B21,汇总!$B$2:$I$2921,8,FALSE),"")</f>
        <v>农林</v>
      </c>
      <c r="J21" s="34" t="s">
        <v>11</v>
      </c>
      <c r="K21" s="35" t="s">
        <v>12</v>
      </c>
    </row>
    <row r="22" ht="33.75" spans="1:11">
      <c r="A22" s="29">
        <v>21</v>
      </c>
      <c r="B22" s="29" t="s">
        <v>32</v>
      </c>
      <c r="C22" s="29" t="str">
        <f>VLOOKUP(B22,教育部大学名单!$B$1:$D$2920,3,FALSE)</f>
        <v>国家卫生健康委员会</v>
      </c>
      <c r="D22" s="29" t="s">
        <v>10</v>
      </c>
      <c r="E22" s="29" t="s">
        <v>10</v>
      </c>
      <c r="F22" s="36" t="str">
        <f>IFERROR(VLOOKUP(B22,'985'!$B$2:$D$40,3,FALSE),"")</f>
        <v/>
      </c>
      <c r="G22" s="32" t="str">
        <f>IFERROR(VLOOKUP(B22,'211'!$B$2:$D$116,3,FALSE),"")</f>
        <v/>
      </c>
      <c r="H22" s="32" t="str">
        <f>IFERROR(VLOOKUP(B22,双一流!$B$2:$D$148,3,FALSE),"")</f>
        <v>双一流</v>
      </c>
      <c r="I22" s="32" t="str">
        <f>IFERROR(VLOOKUP(B22,汇总!$B$2:$I$2921,8,FALSE),"")</f>
        <v>医药</v>
      </c>
      <c r="J22" s="29" t="s">
        <v>11</v>
      </c>
      <c r="K22" s="33" t="s">
        <v>12</v>
      </c>
    </row>
    <row r="23" ht="33.75" spans="1:11">
      <c r="A23" s="34">
        <v>22</v>
      </c>
      <c r="B23" s="34" t="s">
        <v>33</v>
      </c>
      <c r="C23" s="29" t="str">
        <f>VLOOKUP(B23,教育部大学名单!$B$1:$D$2920,3,FALSE)</f>
        <v>北京市</v>
      </c>
      <c r="D23" s="34" t="s">
        <v>10</v>
      </c>
      <c r="E23" s="34" t="s">
        <v>10</v>
      </c>
      <c r="F23" s="36" t="str">
        <f>IFERROR(VLOOKUP(B23,'985'!$B$2:$D$40,3,FALSE),"")</f>
        <v/>
      </c>
      <c r="G23" s="32" t="str">
        <f>IFERROR(VLOOKUP(B23,'211'!$B$2:$D$116,3,FALSE),"")</f>
        <v/>
      </c>
      <c r="H23" s="32" t="str">
        <f>IFERROR(VLOOKUP(B23,双一流!$B$2:$D$148,3,FALSE),"")</f>
        <v/>
      </c>
      <c r="I23" s="32" t="str">
        <f>IFERROR(VLOOKUP(B23,汇总!$B$2:$I$2921,8,FALSE),"")</f>
        <v>医药</v>
      </c>
      <c r="J23" s="34" t="s">
        <v>11</v>
      </c>
      <c r="K23" s="35" t="s">
        <v>12</v>
      </c>
    </row>
    <row r="24" ht="33.75" spans="1:11">
      <c r="A24" s="29">
        <v>23</v>
      </c>
      <c r="B24" s="29" t="s">
        <v>34</v>
      </c>
      <c r="C24" s="29" t="str">
        <f>VLOOKUP(B24,教育部大学名单!$B$1:$D$2920,3,FALSE)</f>
        <v>教育部</v>
      </c>
      <c r="D24" s="29" t="s">
        <v>10</v>
      </c>
      <c r="E24" s="29" t="s">
        <v>10</v>
      </c>
      <c r="F24" s="36" t="str">
        <f>IFERROR(VLOOKUP(B24,'985'!$B$2:$D$40,3,FALSE),"")</f>
        <v/>
      </c>
      <c r="G24" s="31">
        <f>IFERROR(VLOOKUP(B24,'211'!$B$2:$D$116,3,FALSE),"")</f>
        <v>211</v>
      </c>
      <c r="H24" s="32" t="str">
        <f>IFERROR(VLOOKUP(B24,双一流!$B$2:$D$148,3,FALSE),"")</f>
        <v>双一流</v>
      </c>
      <c r="I24" s="32" t="str">
        <f>IFERROR(VLOOKUP(B24,汇总!$B$2:$I$2921,8,FALSE),"")</f>
        <v>医药</v>
      </c>
      <c r="J24" s="29" t="s">
        <v>11</v>
      </c>
      <c r="K24" s="33" t="s">
        <v>12</v>
      </c>
    </row>
    <row r="25" ht="33.75" spans="1:11">
      <c r="A25" s="34">
        <v>24</v>
      </c>
      <c r="B25" s="34" t="s">
        <v>35</v>
      </c>
      <c r="C25" s="29" t="str">
        <f>VLOOKUP(B25,教育部大学名单!$B$1:$D$2920,3,FALSE)</f>
        <v>教育部</v>
      </c>
      <c r="D25" s="34" t="s">
        <v>10</v>
      </c>
      <c r="E25" s="34" t="s">
        <v>10</v>
      </c>
      <c r="F25" s="30">
        <f>IFERROR(VLOOKUP(B25,'985'!$B$2:$D$40,3,FALSE),"")</f>
        <v>985</v>
      </c>
      <c r="G25" s="31">
        <f>IFERROR(VLOOKUP(B25,'211'!$B$2:$D$116,3,FALSE),"")</f>
        <v>211</v>
      </c>
      <c r="H25" s="32" t="str">
        <f>IFERROR(VLOOKUP(B25,双一流!$B$2:$D$148,3,FALSE),"")</f>
        <v>双一流</v>
      </c>
      <c r="I25" s="32" t="str">
        <f>IFERROR(VLOOKUP(B25,汇总!$B$2:$I$2921,8,FALSE),"")</f>
        <v>师范</v>
      </c>
      <c r="J25" s="34" t="s">
        <v>11</v>
      </c>
      <c r="K25" s="35" t="s">
        <v>12</v>
      </c>
    </row>
    <row r="26" ht="33.75" spans="1:11">
      <c r="A26" s="29">
        <v>25</v>
      </c>
      <c r="B26" s="29" t="s">
        <v>36</v>
      </c>
      <c r="C26" s="29" t="str">
        <f>VLOOKUP(B26,教育部大学名单!$B$1:$D$2920,3,FALSE)</f>
        <v>北京市</v>
      </c>
      <c r="D26" s="29" t="s">
        <v>10</v>
      </c>
      <c r="E26" s="29" t="s">
        <v>10</v>
      </c>
      <c r="F26" s="36" t="str">
        <f>IFERROR(VLOOKUP(B26,'985'!$B$2:$D$40,3,FALSE),"")</f>
        <v/>
      </c>
      <c r="G26" s="32" t="str">
        <f>IFERROR(VLOOKUP(B26,'211'!$B$2:$D$116,3,FALSE),"")</f>
        <v/>
      </c>
      <c r="H26" s="32" t="str">
        <f>IFERROR(VLOOKUP(B26,双一流!$B$2:$D$148,3,FALSE),"")</f>
        <v>双一流</v>
      </c>
      <c r="I26" s="32" t="str">
        <f>IFERROR(VLOOKUP(B26,汇总!$B$2:$I$2921,8,FALSE),"")</f>
        <v>师范</v>
      </c>
      <c r="J26" s="29" t="s">
        <v>11</v>
      </c>
      <c r="K26" s="33" t="s">
        <v>12</v>
      </c>
    </row>
    <row r="27" ht="33.75" spans="1:11">
      <c r="A27" s="34">
        <v>26</v>
      </c>
      <c r="B27" s="34" t="s">
        <v>37</v>
      </c>
      <c r="C27" s="29" t="str">
        <f>VLOOKUP(B27,教育部大学名单!$B$1:$D$2920,3,FALSE)</f>
        <v>北京市</v>
      </c>
      <c r="D27" s="34" t="s">
        <v>10</v>
      </c>
      <c r="E27" s="34" t="s">
        <v>10</v>
      </c>
      <c r="F27" s="36" t="str">
        <f>IFERROR(VLOOKUP(B27,'985'!$B$2:$D$40,3,FALSE),"")</f>
        <v/>
      </c>
      <c r="G27" s="32" t="str">
        <f>IFERROR(VLOOKUP(B27,'211'!$B$2:$D$116,3,FALSE),"")</f>
        <v/>
      </c>
      <c r="H27" s="32" t="str">
        <f>IFERROR(VLOOKUP(B27,双一流!$B$2:$D$148,3,FALSE),"")</f>
        <v/>
      </c>
      <c r="I27" s="32" t="str">
        <f>IFERROR(VLOOKUP(B27,汇总!$B$2:$I$2921,8,FALSE),"")</f>
        <v>体育</v>
      </c>
      <c r="J27" s="34" t="s">
        <v>11</v>
      </c>
      <c r="K27" s="35" t="s">
        <v>12</v>
      </c>
    </row>
    <row r="28" ht="33.75" spans="1:11">
      <c r="A28" s="29">
        <v>27</v>
      </c>
      <c r="B28" s="29" t="s">
        <v>38</v>
      </c>
      <c r="C28" s="29" t="str">
        <f>VLOOKUP(B28,教育部大学名单!$B$1:$D$2920,3,FALSE)</f>
        <v>教育部</v>
      </c>
      <c r="D28" s="29" t="s">
        <v>10</v>
      </c>
      <c r="E28" s="29" t="s">
        <v>10</v>
      </c>
      <c r="F28" s="36" t="str">
        <f>IFERROR(VLOOKUP(B28,'985'!$B$2:$D$40,3,FALSE),"")</f>
        <v/>
      </c>
      <c r="G28" s="31">
        <f>IFERROR(VLOOKUP(B28,'211'!$B$2:$D$116,3,FALSE),"")</f>
        <v>211</v>
      </c>
      <c r="H28" s="32" t="str">
        <f>IFERROR(VLOOKUP(B28,双一流!$B$2:$D$148,3,FALSE),"")</f>
        <v>双一流</v>
      </c>
      <c r="I28" s="32" t="str">
        <f>IFERROR(VLOOKUP(B28,汇总!$B$2:$I$2921,8,FALSE),"")</f>
        <v>语言</v>
      </c>
      <c r="J28" s="29" t="s">
        <v>11</v>
      </c>
      <c r="K28" s="33" t="s">
        <v>12</v>
      </c>
    </row>
    <row r="29" ht="33.75" spans="1:11">
      <c r="A29" s="34">
        <v>28</v>
      </c>
      <c r="B29" s="34" t="s">
        <v>39</v>
      </c>
      <c r="C29" s="29" t="str">
        <f>VLOOKUP(B29,教育部大学名单!$B$1:$D$2920,3,FALSE)</f>
        <v>北京市</v>
      </c>
      <c r="D29" s="34" t="s">
        <v>10</v>
      </c>
      <c r="E29" s="34" t="s">
        <v>10</v>
      </c>
      <c r="F29" s="36" t="str">
        <f>IFERROR(VLOOKUP(B29,'985'!$B$2:$D$40,3,FALSE),"")</f>
        <v/>
      </c>
      <c r="G29" s="32" t="str">
        <f>IFERROR(VLOOKUP(B29,'211'!$B$2:$D$116,3,FALSE),"")</f>
        <v/>
      </c>
      <c r="H29" s="32" t="str">
        <f>IFERROR(VLOOKUP(B29,双一流!$B$2:$D$148,3,FALSE),"")</f>
        <v/>
      </c>
      <c r="I29" s="32" t="str">
        <f>IFERROR(VLOOKUP(B29,汇总!$B$2:$I$2921,8,FALSE),"")</f>
        <v>语言</v>
      </c>
      <c r="J29" s="34" t="s">
        <v>11</v>
      </c>
      <c r="K29" s="35" t="s">
        <v>12</v>
      </c>
    </row>
    <row r="30" ht="33.75" spans="1:11">
      <c r="A30" s="29">
        <v>29</v>
      </c>
      <c r="B30" s="29" t="s">
        <v>40</v>
      </c>
      <c r="C30" s="29" t="str">
        <f>VLOOKUP(B30,教育部大学名单!$B$1:$D$2920,3,FALSE)</f>
        <v>教育部</v>
      </c>
      <c r="D30" s="29" t="s">
        <v>10</v>
      </c>
      <c r="E30" s="29" t="s">
        <v>10</v>
      </c>
      <c r="F30" s="36" t="str">
        <f>IFERROR(VLOOKUP(B30,'985'!$B$2:$D$40,3,FALSE),"")</f>
        <v/>
      </c>
      <c r="G30" s="32" t="str">
        <f>IFERROR(VLOOKUP(B30,'211'!$B$2:$D$116,3,FALSE),"")</f>
        <v/>
      </c>
      <c r="H30" s="32" t="str">
        <f>IFERROR(VLOOKUP(B30,双一流!$B$2:$D$148,3,FALSE),"")</f>
        <v/>
      </c>
      <c r="I30" s="32" t="str">
        <f>IFERROR(VLOOKUP(B30,汇总!$B$2:$I$2921,8,FALSE),"")</f>
        <v>语言</v>
      </c>
      <c r="J30" s="29" t="s">
        <v>11</v>
      </c>
      <c r="K30" s="33" t="s">
        <v>12</v>
      </c>
    </row>
    <row r="31" ht="33.75" spans="1:11">
      <c r="A31" s="34">
        <v>30</v>
      </c>
      <c r="B31" s="34" t="s">
        <v>41</v>
      </c>
      <c r="C31" s="29" t="str">
        <f>VLOOKUP(B31,教育部大学名单!$B$1:$D$2920,3,FALSE)</f>
        <v>教育部</v>
      </c>
      <c r="D31" s="34" t="s">
        <v>10</v>
      </c>
      <c r="E31" s="34" t="s">
        <v>10</v>
      </c>
      <c r="F31" s="36" t="str">
        <f>IFERROR(VLOOKUP(B31,'985'!$B$2:$D$40,3,FALSE),"")</f>
        <v/>
      </c>
      <c r="G31" s="31">
        <f>IFERROR(VLOOKUP(B31,'211'!$B$2:$D$116,3,FALSE),"")</f>
        <v>211</v>
      </c>
      <c r="H31" s="32" t="str">
        <f>IFERROR(VLOOKUP(B31,双一流!$B$2:$D$148,3,FALSE),"")</f>
        <v>双一流</v>
      </c>
      <c r="I31" s="32" t="str">
        <f>IFERROR(VLOOKUP(B31,汇总!$B$2:$I$2921,8,FALSE),"")</f>
        <v>综合</v>
      </c>
      <c r="J31" s="34" t="s">
        <v>11</v>
      </c>
      <c r="K31" s="35" t="s">
        <v>12</v>
      </c>
    </row>
    <row r="32" ht="33.75" spans="1:11">
      <c r="A32" s="29">
        <v>31</v>
      </c>
      <c r="B32" s="29" t="s">
        <v>42</v>
      </c>
      <c r="C32" s="29" t="str">
        <f>VLOOKUP(B32,教育部大学名单!$B$1:$D$2920,3,FALSE)</f>
        <v>教育部</v>
      </c>
      <c r="D32" s="29" t="s">
        <v>10</v>
      </c>
      <c r="E32" s="29" t="s">
        <v>10</v>
      </c>
      <c r="F32" s="36" t="str">
        <f>IFERROR(VLOOKUP(B32,'985'!$B$2:$D$40,3,FALSE),"")</f>
        <v/>
      </c>
      <c r="G32" s="31">
        <f>IFERROR(VLOOKUP(B32,'211'!$B$2:$D$116,3,FALSE),"")</f>
        <v>211</v>
      </c>
      <c r="H32" s="32" t="str">
        <f>IFERROR(VLOOKUP(B32,双一流!$B$2:$D$148,3,FALSE),"")</f>
        <v>双一流</v>
      </c>
      <c r="I32" s="32" t="str">
        <f>IFERROR(VLOOKUP(B32,汇总!$B$2:$I$2921,8,FALSE),"")</f>
        <v>财经</v>
      </c>
      <c r="J32" s="29" t="s">
        <v>11</v>
      </c>
      <c r="K32" s="33" t="s">
        <v>12</v>
      </c>
    </row>
    <row r="33" ht="33.75" spans="1:11">
      <c r="A33" s="34">
        <v>32</v>
      </c>
      <c r="B33" s="34" t="s">
        <v>43</v>
      </c>
      <c r="C33" s="29" t="str">
        <f>VLOOKUP(B33,教育部大学名单!$B$1:$D$2920,3,FALSE)</f>
        <v>教育部</v>
      </c>
      <c r="D33" s="34" t="s">
        <v>10</v>
      </c>
      <c r="E33" s="34" t="s">
        <v>10</v>
      </c>
      <c r="F33" s="36" t="str">
        <f>IFERROR(VLOOKUP(B33,'985'!$B$2:$D$40,3,FALSE),"")</f>
        <v/>
      </c>
      <c r="G33" s="31">
        <f>IFERROR(VLOOKUP(B33,'211'!$B$2:$D$116,3,FALSE),"")</f>
        <v>211</v>
      </c>
      <c r="H33" s="32" t="str">
        <f>IFERROR(VLOOKUP(B33,双一流!$B$2:$D$148,3,FALSE),"")</f>
        <v>双一流</v>
      </c>
      <c r="I33" s="32" t="str">
        <f>IFERROR(VLOOKUP(B33,汇总!$B$2:$I$2921,8,FALSE),"")</f>
        <v>财经</v>
      </c>
      <c r="J33" s="34" t="s">
        <v>11</v>
      </c>
      <c r="K33" s="35" t="s">
        <v>12</v>
      </c>
    </row>
    <row r="34" ht="33.75" spans="1:11">
      <c r="A34" s="29">
        <v>33</v>
      </c>
      <c r="B34" s="29" t="s">
        <v>44</v>
      </c>
      <c r="C34" s="29" t="str">
        <f>VLOOKUP(B34,教育部大学名单!$B$1:$D$2920,3,FALSE)</f>
        <v>北京市</v>
      </c>
      <c r="D34" s="29" t="s">
        <v>10</v>
      </c>
      <c r="E34" s="29" t="s">
        <v>10</v>
      </c>
      <c r="F34" s="36" t="str">
        <f>IFERROR(VLOOKUP(B34,'985'!$B$2:$D$40,3,FALSE),"")</f>
        <v/>
      </c>
      <c r="G34" s="32" t="str">
        <f>IFERROR(VLOOKUP(B34,'211'!$B$2:$D$116,3,FALSE),"")</f>
        <v/>
      </c>
      <c r="H34" s="32" t="str">
        <f>IFERROR(VLOOKUP(B34,双一流!$B$2:$D$148,3,FALSE),"")</f>
        <v/>
      </c>
      <c r="I34" s="32" t="str">
        <f>IFERROR(VLOOKUP(B34,汇总!$B$2:$I$2921,8,FALSE),"")</f>
        <v>财经</v>
      </c>
      <c r="J34" s="29" t="s">
        <v>11</v>
      </c>
      <c r="K34" s="33" t="s">
        <v>12</v>
      </c>
    </row>
    <row r="35" ht="33.75" spans="1:11">
      <c r="A35" s="34">
        <v>34</v>
      </c>
      <c r="B35" s="34" t="s">
        <v>45</v>
      </c>
      <c r="C35" s="29" t="str">
        <f>VLOOKUP(B35,教育部大学名单!$B$1:$D$2920,3,FALSE)</f>
        <v>北京市</v>
      </c>
      <c r="D35" s="34" t="s">
        <v>10</v>
      </c>
      <c r="E35" s="34" t="s">
        <v>10</v>
      </c>
      <c r="F35" s="36" t="str">
        <f>IFERROR(VLOOKUP(B35,'985'!$B$2:$D$40,3,FALSE),"")</f>
        <v/>
      </c>
      <c r="G35" s="32" t="str">
        <f>IFERROR(VLOOKUP(B35,'211'!$B$2:$D$116,3,FALSE),"")</f>
        <v/>
      </c>
      <c r="H35" s="32" t="str">
        <f>IFERROR(VLOOKUP(B35,双一流!$B$2:$D$148,3,FALSE),"")</f>
        <v/>
      </c>
      <c r="I35" s="32" t="str">
        <f>IFERROR(VLOOKUP(B35,汇总!$B$2:$I$2921,8,FALSE),"")</f>
        <v>财经</v>
      </c>
      <c r="J35" s="34" t="s">
        <v>11</v>
      </c>
      <c r="K35" s="35" t="s">
        <v>12</v>
      </c>
    </row>
    <row r="36" ht="33.75" spans="1:11">
      <c r="A36" s="29">
        <v>35</v>
      </c>
      <c r="B36" s="29" t="s">
        <v>46</v>
      </c>
      <c r="C36" s="29" t="str">
        <f>VLOOKUP(B36,教育部大学名单!$B$1:$D$2920,3,FALSE)</f>
        <v>应急管理部</v>
      </c>
      <c r="D36" s="29" t="s">
        <v>10</v>
      </c>
      <c r="E36" s="29" t="s">
        <v>10</v>
      </c>
      <c r="F36" s="36" t="str">
        <f>IFERROR(VLOOKUP(B36,'985'!$B$2:$D$40,3,FALSE),"")</f>
        <v/>
      </c>
      <c r="G36" s="32" t="str">
        <f>IFERROR(VLOOKUP(B36,'211'!$B$2:$D$116,3,FALSE),"")</f>
        <v/>
      </c>
      <c r="H36" s="32" t="str">
        <f>IFERROR(VLOOKUP(B36,双一流!$B$2:$D$148,3,FALSE),"")</f>
        <v/>
      </c>
      <c r="I36" s="32">
        <f>IFERROR(VLOOKUP(B36,汇总!$B$2:$I$2921,8,FALSE),"")</f>
        <v>0</v>
      </c>
      <c r="J36" s="29" t="s">
        <v>11</v>
      </c>
      <c r="K36" s="33" t="s">
        <v>12</v>
      </c>
    </row>
    <row r="37" ht="17.25" spans="1:11">
      <c r="A37" s="34">
        <v>36</v>
      </c>
      <c r="B37" s="34" t="s">
        <v>47</v>
      </c>
      <c r="C37" s="29" t="str">
        <f>VLOOKUP(B37,教育部大学名单!$B$1:$D$2920,3,FALSE)</f>
        <v>外交部</v>
      </c>
      <c r="D37" s="34" t="s">
        <v>10</v>
      </c>
      <c r="E37" s="34" t="s">
        <v>10</v>
      </c>
      <c r="F37" s="36" t="str">
        <f>IFERROR(VLOOKUP(B37,'985'!$B$2:$D$40,3,FALSE),"")</f>
        <v/>
      </c>
      <c r="G37" s="32" t="str">
        <f>IFERROR(VLOOKUP(B37,'211'!$B$2:$D$116,3,FALSE),"")</f>
        <v/>
      </c>
      <c r="H37" s="32" t="str">
        <f>IFERROR(VLOOKUP(B37,双一流!$B$2:$D$148,3,FALSE),"")</f>
        <v>双一流</v>
      </c>
      <c r="I37" s="32" t="str">
        <f>IFERROR(VLOOKUP(B37,汇总!$B$2:$I$2921,8,FALSE),"")</f>
        <v>语言</v>
      </c>
      <c r="J37" s="34" t="s">
        <v>11</v>
      </c>
      <c r="K37" s="35" t="s">
        <v>12</v>
      </c>
    </row>
    <row r="38" ht="33.75" spans="1:11">
      <c r="A38" s="29">
        <v>37</v>
      </c>
      <c r="B38" s="29" t="s">
        <v>48</v>
      </c>
      <c r="C38" s="29" t="str">
        <f>VLOOKUP(B38,教育部大学名单!$B$1:$D$2920,3,FALSE)</f>
        <v>公安部</v>
      </c>
      <c r="D38" s="29" t="s">
        <v>10</v>
      </c>
      <c r="E38" s="29" t="s">
        <v>10</v>
      </c>
      <c r="F38" s="36" t="str">
        <f>IFERROR(VLOOKUP(B38,'985'!$B$2:$D$40,3,FALSE),"")</f>
        <v/>
      </c>
      <c r="G38" s="32" t="str">
        <f>IFERROR(VLOOKUP(B38,'211'!$B$2:$D$116,3,FALSE),"")</f>
        <v/>
      </c>
      <c r="H38" s="32" t="str">
        <f>IFERROR(VLOOKUP(B38,双一流!$B$2:$D$148,3,FALSE),"")</f>
        <v>双一流</v>
      </c>
      <c r="I38" s="32" t="str">
        <f>IFERROR(VLOOKUP(B38,汇总!$B$2:$I$2921,8,FALSE),"")</f>
        <v>政法</v>
      </c>
      <c r="J38" s="29" t="s">
        <v>11</v>
      </c>
      <c r="K38" s="33" t="s">
        <v>12</v>
      </c>
    </row>
    <row r="39" ht="33.75" spans="1:11">
      <c r="A39" s="34">
        <v>38</v>
      </c>
      <c r="B39" s="34" t="s">
        <v>49</v>
      </c>
      <c r="C39" s="29" t="str">
        <f>VLOOKUP(B39,教育部大学名单!$B$1:$D$2920,3,FALSE)</f>
        <v>教育部</v>
      </c>
      <c r="D39" s="34" t="s">
        <v>10</v>
      </c>
      <c r="E39" s="34" t="s">
        <v>10</v>
      </c>
      <c r="F39" s="36" t="str">
        <f>IFERROR(VLOOKUP(B39,'985'!$B$2:$D$40,3,FALSE),"")</f>
        <v/>
      </c>
      <c r="G39" s="32" t="str">
        <f>IFERROR(VLOOKUP(B39,'211'!$B$2:$D$116,3,FALSE),"")</f>
        <v/>
      </c>
      <c r="H39" s="32" t="str">
        <f>IFERROR(VLOOKUP(B39,双一流!$B$2:$D$148,3,FALSE),"")</f>
        <v/>
      </c>
      <c r="I39" s="32" t="str">
        <f>IFERROR(VLOOKUP(B39,汇总!$B$2:$I$2921,8,FALSE),"")</f>
        <v>政法</v>
      </c>
      <c r="J39" s="34" t="s">
        <v>11</v>
      </c>
      <c r="K39" s="35" t="s">
        <v>12</v>
      </c>
    </row>
    <row r="40" ht="33.75" spans="1:11">
      <c r="A40" s="29">
        <v>39</v>
      </c>
      <c r="B40" s="29" t="s">
        <v>50</v>
      </c>
      <c r="C40" s="29" t="str">
        <f>VLOOKUP(B40,教育部大学名单!$B$1:$D$2920,3,FALSE)</f>
        <v>国家体育总局</v>
      </c>
      <c r="D40" s="29" t="s">
        <v>10</v>
      </c>
      <c r="E40" s="29" t="s">
        <v>10</v>
      </c>
      <c r="F40" s="36" t="str">
        <f>IFERROR(VLOOKUP(B40,'985'!$B$2:$D$40,3,FALSE),"")</f>
        <v/>
      </c>
      <c r="G40" s="31">
        <f>IFERROR(VLOOKUP(B40,'211'!$B$2:$D$116,3,FALSE),"")</f>
        <v>211</v>
      </c>
      <c r="H40" s="32" t="str">
        <f>IFERROR(VLOOKUP(B40,双一流!$B$2:$D$148,3,FALSE),"")</f>
        <v>双一流</v>
      </c>
      <c r="I40" s="32" t="str">
        <f>IFERROR(VLOOKUP(B40,汇总!$B$2:$I$2921,8,FALSE),"")</f>
        <v>体育</v>
      </c>
      <c r="J40" s="29" t="s">
        <v>11</v>
      </c>
      <c r="K40" s="33" t="s">
        <v>12</v>
      </c>
    </row>
    <row r="41" ht="33.75" spans="1:11">
      <c r="A41" s="34">
        <v>40</v>
      </c>
      <c r="B41" s="34" t="s">
        <v>51</v>
      </c>
      <c r="C41" s="29" t="str">
        <f>VLOOKUP(B41,教育部大学名单!$B$1:$D$2920,3,FALSE)</f>
        <v>教育部</v>
      </c>
      <c r="D41" s="34" t="s">
        <v>10</v>
      </c>
      <c r="E41" s="34" t="s">
        <v>10</v>
      </c>
      <c r="F41" s="36" t="str">
        <f>IFERROR(VLOOKUP(B41,'985'!$B$2:$D$40,3,FALSE),"")</f>
        <v/>
      </c>
      <c r="G41" s="31">
        <f>IFERROR(VLOOKUP(B41,'211'!$B$2:$D$116,3,FALSE),"")</f>
        <v>211</v>
      </c>
      <c r="H41" s="32" t="str">
        <f>IFERROR(VLOOKUP(B41,双一流!$B$2:$D$148,3,FALSE),"")</f>
        <v>双一流</v>
      </c>
      <c r="I41" s="32" t="str">
        <f>IFERROR(VLOOKUP(B41,汇总!$B$2:$I$2921,8,FALSE),"")</f>
        <v>艺术</v>
      </c>
      <c r="J41" s="34" t="s">
        <v>11</v>
      </c>
      <c r="K41" s="35" t="s">
        <v>12</v>
      </c>
    </row>
    <row r="42" ht="33.75" spans="1:11">
      <c r="A42" s="29">
        <v>41</v>
      </c>
      <c r="B42" s="29" t="s">
        <v>52</v>
      </c>
      <c r="C42" s="29" t="str">
        <f>VLOOKUP(B42,教育部大学名单!$B$1:$D$2920,3,FALSE)</f>
        <v>北京市</v>
      </c>
      <c r="D42" s="29" t="s">
        <v>10</v>
      </c>
      <c r="E42" s="29" t="s">
        <v>10</v>
      </c>
      <c r="F42" s="36" t="str">
        <f>IFERROR(VLOOKUP(B42,'985'!$B$2:$D$40,3,FALSE),"")</f>
        <v/>
      </c>
      <c r="G42" s="32" t="str">
        <f>IFERROR(VLOOKUP(B42,'211'!$B$2:$D$116,3,FALSE),"")</f>
        <v/>
      </c>
      <c r="H42" s="32" t="str">
        <f>IFERROR(VLOOKUP(B42,双一流!$B$2:$D$148,3,FALSE),"")</f>
        <v>双一流</v>
      </c>
      <c r="I42" s="32" t="str">
        <f>IFERROR(VLOOKUP(B42,汇总!$B$2:$I$2921,8,FALSE),"")</f>
        <v>艺术</v>
      </c>
      <c r="J42" s="29" t="s">
        <v>11</v>
      </c>
      <c r="K42" s="33" t="s">
        <v>12</v>
      </c>
    </row>
    <row r="43" ht="33.75" spans="1:11">
      <c r="A43" s="34">
        <v>42</v>
      </c>
      <c r="B43" s="34" t="s">
        <v>53</v>
      </c>
      <c r="C43" s="29" t="str">
        <f>VLOOKUP(B43,教育部大学名单!$B$1:$D$2920,3,FALSE)</f>
        <v>教育部</v>
      </c>
      <c r="D43" s="34" t="s">
        <v>10</v>
      </c>
      <c r="E43" s="34" t="s">
        <v>10</v>
      </c>
      <c r="F43" s="36" t="str">
        <f>IFERROR(VLOOKUP(B43,'985'!$B$2:$D$40,3,FALSE),"")</f>
        <v/>
      </c>
      <c r="G43" s="32" t="str">
        <f>IFERROR(VLOOKUP(B43,'211'!$B$2:$D$116,3,FALSE),"")</f>
        <v/>
      </c>
      <c r="H43" s="32" t="str">
        <f>IFERROR(VLOOKUP(B43,双一流!$B$2:$D$148,3,FALSE),"")</f>
        <v>双一流</v>
      </c>
      <c r="I43" s="32" t="str">
        <f>IFERROR(VLOOKUP(B43,汇总!$B$2:$I$2921,8,FALSE),"")</f>
        <v>艺术</v>
      </c>
      <c r="J43" s="34" t="s">
        <v>11</v>
      </c>
      <c r="K43" s="35" t="s">
        <v>12</v>
      </c>
    </row>
    <row r="44" ht="33.75" spans="1:11">
      <c r="A44" s="29">
        <v>43</v>
      </c>
      <c r="B44" s="29" t="s">
        <v>54</v>
      </c>
      <c r="C44" s="29" t="str">
        <f>VLOOKUP(B44,教育部大学名单!$B$1:$D$2920,3,FALSE)</f>
        <v>教育部</v>
      </c>
      <c r="D44" s="29" t="s">
        <v>10</v>
      </c>
      <c r="E44" s="29" t="s">
        <v>10</v>
      </c>
      <c r="F44" s="36" t="str">
        <f>IFERROR(VLOOKUP(B44,'985'!$B$2:$D$40,3,FALSE),"")</f>
        <v/>
      </c>
      <c r="G44" s="32" t="str">
        <f>IFERROR(VLOOKUP(B44,'211'!$B$2:$D$116,3,FALSE),"")</f>
        <v/>
      </c>
      <c r="H44" s="32" t="str">
        <f>IFERROR(VLOOKUP(B44,双一流!$B$2:$D$148,3,FALSE),"")</f>
        <v>双一流</v>
      </c>
      <c r="I44" s="32" t="str">
        <f>IFERROR(VLOOKUP(B44,汇总!$B$2:$I$2921,8,FALSE),"")</f>
        <v>艺术</v>
      </c>
      <c r="J44" s="29" t="s">
        <v>11</v>
      </c>
      <c r="K44" s="33" t="s">
        <v>12</v>
      </c>
    </row>
    <row r="45" ht="33.75" spans="1:11">
      <c r="A45" s="34">
        <v>44</v>
      </c>
      <c r="B45" s="34" t="s">
        <v>55</v>
      </c>
      <c r="C45" s="29" t="str">
        <f>VLOOKUP(B45,教育部大学名单!$B$1:$D$2920,3,FALSE)</f>
        <v>北京市</v>
      </c>
      <c r="D45" s="34" t="s">
        <v>10</v>
      </c>
      <c r="E45" s="34" t="s">
        <v>10</v>
      </c>
      <c r="F45" s="36" t="str">
        <f>IFERROR(VLOOKUP(B45,'985'!$B$2:$D$40,3,FALSE),"")</f>
        <v/>
      </c>
      <c r="G45" s="32" t="str">
        <f>IFERROR(VLOOKUP(B45,'211'!$B$2:$D$116,3,FALSE),"")</f>
        <v/>
      </c>
      <c r="H45" s="32" t="str">
        <f>IFERROR(VLOOKUP(B45,双一流!$B$2:$D$148,3,FALSE),"")</f>
        <v/>
      </c>
      <c r="I45" s="32" t="str">
        <f>IFERROR(VLOOKUP(B45,汇总!$B$2:$I$2921,8,FALSE),"")</f>
        <v>艺术</v>
      </c>
      <c r="J45" s="34" t="s">
        <v>11</v>
      </c>
      <c r="K45" s="35" t="s">
        <v>12</v>
      </c>
    </row>
    <row r="46" ht="33.75" spans="1:11">
      <c r="A46" s="29">
        <v>45</v>
      </c>
      <c r="B46" s="29" t="s">
        <v>56</v>
      </c>
      <c r="C46" s="29" t="str">
        <f>VLOOKUP(B46,教育部大学名单!$B$1:$D$2920,3,FALSE)</f>
        <v>北京市</v>
      </c>
      <c r="D46" s="29" t="s">
        <v>10</v>
      </c>
      <c r="E46" s="29" t="s">
        <v>10</v>
      </c>
      <c r="F46" s="36" t="str">
        <f>IFERROR(VLOOKUP(B46,'985'!$B$2:$D$40,3,FALSE),"")</f>
        <v/>
      </c>
      <c r="G46" s="32" t="str">
        <f>IFERROR(VLOOKUP(B46,'211'!$B$2:$D$116,3,FALSE),"")</f>
        <v/>
      </c>
      <c r="H46" s="32" t="str">
        <f>IFERROR(VLOOKUP(B46,双一流!$B$2:$D$148,3,FALSE),"")</f>
        <v/>
      </c>
      <c r="I46" s="32" t="str">
        <f>IFERROR(VLOOKUP(B46,汇总!$B$2:$I$2921,8,FALSE),"")</f>
        <v>艺术</v>
      </c>
      <c r="J46" s="29" t="s">
        <v>11</v>
      </c>
      <c r="K46" s="33" t="s">
        <v>12</v>
      </c>
    </row>
    <row r="47" ht="33.75" spans="1:11">
      <c r="A47" s="34">
        <v>46</v>
      </c>
      <c r="B47" s="34" t="s">
        <v>57</v>
      </c>
      <c r="C47" s="29" t="str">
        <f>VLOOKUP(B47,教育部大学名单!$B$1:$D$2920,3,FALSE)</f>
        <v>北京市</v>
      </c>
      <c r="D47" s="34" t="s">
        <v>10</v>
      </c>
      <c r="E47" s="34" t="s">
        <v>10</v>
      </c>
      <c r="F47" s="36" t="str">
        <f>IFERROR(VLOOKUP(B47,'985'!$B$2:$D$40,3,FALSE),"")</f>
        <v/>
      </c>
      <c r="G47" s="32" t="str">
        <f>IFERROR(VLOOKUP(B47,'211'!$B$2:$D$116,3,FALSE),"")</f>
        <v/>
      </c>
      <c r="H47" s="32" t="str">
        <f>IFERROR(VLOOKUP(B47,双一流!$B$2:$D$148,3,FALSE),"")</f>
        <v/>
      </c>
      <c r="I47" s="32">
        <f>IFERROR(VLOOKUP(B47,汇总!$B$2:$I$2921,8,FALSE),"")</f>
        <v>0</v>
      </c>
      <c r="J47" s="34" t="s">
        <v>11</v>
      </c>
      <c r="K47" s="35" t="s">
        <v>12</v>
      </c>
    </row>
    <row r="48" ht="33.75" spans="1:11">
      <c r="A48" s="29">
        <v>47</v>
      </c>
      <c r="B48" s="29" t="s">
        <v>58</v>
      </c>
      <c r="C48" s="29" t="str">
        <f>VLOOKUP(B48,教育部大学名单!$B$1:$D$2920,3,FALSE)</f>
        <v>国家民委</v>
      </c>
      <c r="D48" s="29" t="s">
        <v>10</v>
      </c>
      <c r="E48" s="29" t="s">
        <v>10</v>
      </c>
      <c r="F48" s="30">
        <f>IFERROR(VLOOKUP(B48,'985'!$B$2:$D$40,3,FALSE),"")</f>
        <v>985</v>
      </c>
      <c r="G48" s="31">
        <f>IFERROR(VLOOKUP(B48,'211'!$B$2:$D$116,3,FALSE),"")</f>
        <v>211</v>
      </c>
      <c r="H48" s="32" t="str">
        <f>IFERROR(VLOOKUP(B48,双一流!$B$2:$D$148,3,FALSE),"")</f>
        <v>双一流</v>
      </c>
      <c r="I48" s="32" t="str">
        <f>IFERROR(VLOOKUP(B48,汇总!$B$2:$I$2921,8,FALSE),"")</f>
        <v>民族</v>
      </c>
      <c r="J48" s="29" t="s">
        <v>11</v>
      </c>
      <c r="K48" s="33" t="s">
        <v>12</v>
      </c>
    </row>
    <row r="49" ht="33.75" spans="1:11">
      <c r="A49" s="34">
        <v>48</v>
      </c>
      <c r="B49" s="34" t="s">
        <v>59</v>
      </c>
      <c r="C49" s="29" t="str">
        <f>VLOOKUP(B49,教育部大学名单!$B$1:$D$2920,3,FALSE)</f>
        <v>教育部</v>
      </c>
      <c r="D49" s="34" t="s">
        <v>10</v>
      </c>
      <c r="E49" s="34" t="s">
        <v>10</v>
      </c>
      <c r="F49" s="36" t="str">
        <f>IFERROR(VLOOKUP(B49,'985'!$B$2:$D$40,3,FALSE),"")</f>
        <v/>
      </c>
      <c r="G49" s="31">
        <f>IFERROR(VLOOKUP(B49,'211'!$B$2:$D$116,3,FALSE),"")</f>
        <v>211</v>
      </c>
      <c r="H49" s="32" t="str">
        <f>IFERROR(VLOOKUP(B49,双一流!$B$2:$D$148,3,FALSE),"")</f>
        <v>双一流</v>
      </c>
      <c r="I49" s="32" t="str">
        <f>IFERROR(VLOOKUP(B49,汇总!$B$2:$I$2921,8,FALSE),"")</f>
        <v>政法</v>
      </c>
      <c r="J49" s="34" t="s">
        <v>11</v>
      </c>
      <c r="K49" s="35" t="s">
        <v>12</v>
      </c>
    </row>
    <row r="50" ht="33.75" spans="1:11">
      <c r="A50" s="29">
        <v>49</v>
      </c>
      <c r="B50" s="29" t="s">
        <v>60</v>
      </c>
      <c r="C50" s="29" t="str">
        <f>VLOOKUP(B50,教育部大学名单!$B$1:$D$2920,3,FALSE)</f>
        <v>教育部</v>
      </c>
      <c r="D50" s="29" t="s">
        <v>10</v>
      </c>
      <c r="E50" s="29" t="s">
        <v>10</v>
      </c>
      <c r="F50" s="36" t="str">
        <f>IFERROR(VLOOKUP(B50,'985'!$B$2:$D$40,3,FALSE),"")</f>
        <v/>
      </c>
      <c r="G50" s="31">
        <f>IFERROR(VLOOKUP(B50,'211'!$B$2:$D$116,3,FALSE),"")</f>
        <v>211</v>
      </c>
      <c r="H50" s="32" t="str">
        <f>IFERROR(VLOOKUP(B50,双一流!$B$2:$D$148,3,FALSE),"")</f>
        <v>双一流</v>
      </c>
      <c r="I50" s="32" t="str">
        <f>IFERROR(VLOOKUP(B50,汇总!$B$2:$I$2921,8,FALSE),"")</f>
        <v>理工</v>
      </c>
      <c r="J50" s="29" t="s">
        <v>11</v>
      </c>
      <c r="K50" s="33" t="s">
        <v>12</v>
      </c>
    </row>
    <row r="51" ht="33.75" spans="1:11">
      <c r="A51" s="34">
        <v>50</v>
      </c>
      <c r="B51" s="34" t="s">
        <v>61</v>
      </c>
      <c r="C51" s="29" t="str">
        <f>VLOOKUP(B51,教育部大学名单!$B$1:$D$2920,3,FALSE)</f>
        <v>中华妇女联合会</v>
      </c>
      <c r="D51" s="34" t="s">
        <v>10</v>
      </c>
      <c r="E51" s="34" t="s">
        <v>10</v>
      </c>
      <c r="F51" s="36" t="str">
        <f>IFERROR(VLOOKUP(B51,'985'!$B$2:$D$40,3,FALSE),"")</f>
        <v/>
      </c>
      <c r="G51" s="32" t="str">
        <f>IFERROR(VLOOKUP(B51,'211'!$B$2:$D$116,3,FALSE),"")</f>
        <v/>
      </c>
      <c r="H51" s="32" t="str">
        <f>IFERROR(VLOOKUP(B51,双一流!$B$2:$D$148,3,FALSE),"")</f>
        <v/>
      </c>
      <c r="I51" s="32">
        <f>IFERROR(VLOOKUP(B51,汇总!$B$2:$I$2921,8,FALSE),"")</f>
        <v>0</v>
      </c>
      <c r="J51" s="34" t="s">
        <v>11</v>
      </c>
      <c r="K51" s="35" t="s">
        <v>12</v>
      </c>
    </row>
    <row r="52" ht="33.75" spans="1:11">
      <c r="A52" s="29">
        <v>51</v>
      </c>
      <c r="B52" s="29" t="s">
        <v>62</v>
      </c>
      <c r="C52" s="29" t="str">
        <f>VLOOKUP(B52,教育部大学名单!$B$1:$D$2920,3,FALSE)</f>
        <v>北京市</v>
      </c>
      <c r="D52" s="29" t="s">
        <v>10</v>
      </c>
      <c r="E52" s="29" t="s">
        <v>10</v>
      </c>
      <c r="F52" s="36" t="str">
        <f>IFERROR(VLOOKUP(B52,'985'!$B$2:$D$40,3,FALSE),"")</f>
        <v/>
      </c>
      <c r="G52" s="32" t="str">
        <f>IFERROR(VLOOKUP(B52,'211'!$B$2:$D$116,3,FALSE),"")</f>
        <v/>
      </c>
      <c r="H52" s="32" t="str">
        <f>IFERROR(VLOOKUP(B52,双一流!$B$2:$D$148,3,FALSE),"")</f>
        <v/>
      </c>
      <c r="I52" s="32" t="str">
        <f>IFERROR(VLOOKUP(B52,汇总!$B$2:$I$2921,8,FALSE),"")</f>
        <v>理工</v>
      </c>
      <c r="J52" s="29" t="s">
        <v>11</v>
      </c>
      <c r="K52" s="33" t="s">
        <v>12</v>
      </c>
    </row>
    <row r="53" ht="33.75" spans="1:11">
      <c r="A53" s="34">
        <v>52</v>
      </c>
      <c r="B53" s="34" t="s">
        <v>63</v>
      </c>
      <c r="C53" s="29" t="str">
        <f>VLOOKUP(B53,教育部大学名单!$B$1:$D$2920,3,FALSE)</f>
        <v>教育部</v>
      </c>
      <c r="D53" s="34" t="s">
        <v>10</v>
      </c>
      <c r="E53" s="34" t="s">
        <v>10</v>
      </c>
      <c r="F53" s="36" t="str">
        <f>IFERROR(VLOOKUP(B53,'985'!$B$2:$D$40,3,FALSE),"")</f>
        <v/>
      </c>
      <c r="G53" s="31">
        <f>IFERROR(VLOOKUP(B53,'211'!$B$2:$D$116,3,FALSE),"")</f>
        <v>211</v>
      </c>
      <c r="H53" s="32" t="str">
        <f>IFERROR(VLOOKUP(B53,双一流!$B$2:$D$148,3,FALSE),"")</f>
        <v>双一流</v>
      </c>
      <c r="I53" s="32" t="str">
        <f>IFERROR(VLOOKUP(B53,汇总!$B$2:$I$2921,8,FALSE),"")</f>
        <v>理工</v>
      </c>
      <c r="J53" s="34" t="s">
        <v>11</v>
      </c>
      <c r="K53" s="35" t="s">
        <v>12</v>
      </c>
    </row>
    <row r="54" ht="33.75" spans="1:11">
      <c r="A54" s="29">
        <v>53</v>
      </c>
      <c r="B54" s="29" t="s">
        <v>64</v>
      </c>
      <c r="C54" s="29" t="str">
        <f>VLOOKUP(B54,教育部大学名单!$B$1:$D$2920,3,FALSE)</f>
        <v>教育部</v>
      </c>
      <c r="D54" s="29" t="s">
        <v>10</v>
      </c>
      <c r="E54" s="29" t="s">
        <v>10</v>
      </c>
      <c r="F54" s="36" t="str">
        <f>IFERROR(VLOOKUP(B54,'985'!$B$2:$D$40,3,FALSE),"")</f>
        <v/>
      </c>
      <c r="G54" s="31">
        <f>IFERROR(VLOOKUP(B54,'211'!$B$2:$D$116,3,FALSE),"")</f>
        <v>211</v>
      </c>
      <c r="H54" s="32" t="str">
        <f>IFERROR(VLOOKUP(B54,双一流!$B$2:$D$148,3,FALSE),"")</f>
        <v>双一流</v>
      </c>
      <c r="I54" s="32" t="str">
        <f>IFERROR(VLOOKUP(B54,汇总!$B$2:$I$2921,8,FALSE),"")</f>
        <v>理工</v>
      </c>
      <c r="J54" s="29" t="s">
        <v>11</v>
      </c>
      <c r="K54" s="33" t="s">
        <v>12</v>
      </c>
    </row>
    <row r="55" ht="33.75" spans="1:11">
      <c r="A55" s="34">
        <v>54</v>
      </c>
      <c r="B55" s="34" t="s">
        <v>65</v>
      </c>
      <c r="C55" s="29" t="str">
        <f>VLOOKUP(B55,教育部大学名单!$B$1:$D$2920,3,FALSE)</f>
        <v>教育部</v>
      </c>
      <c r="D55" s="34" t="s">
        <v>10</v>
      </c>
      <c r="E55" s="34" t="s">
        <v>10</v>
      </c>
      <c r="F55" s="36" t="str">
        <f>IFERROR(VLOOKUP(B55,'985'!$B$2:$D$40,3,FALSE),"")</f>
        <v/>
      </c>
      <c r="G55" s="31">
        <f>IFERROR(VLOOKUP(B55,'211'!$B$2:$D$116,3,FALSE),"")</f>
        <v>211</v>
      </c>
      <c r="H55" s="32" t="str">
        <f>IFERROR(VLOOKUP(B55,双一流!$B$2:$D$148,3,FALSE),"")</f>
        <v>双一流</v>
      </c>
      <c r="I55" s="32" t="str">
        <f>IFERROR(VLOOKUP(B55,汇总!$B$2:$I$2921,8,FALSE),"")</f>
        <v>理工</v>
      </c>
      <c r="J55" s="34" t="s">
        <v>11</v>
      </c>
      <c r="K55" s="35" t="s">
        <v>12</v>
      </c>
    </row>
    <row r="56" ht="33.75" spans="1:11">
      <c r="A56" s="29">
        <v>55</v>
      </c>
      <c r="B56" s="29" t="s">
        <v>66</v>
      </c>
      <c r="C56" s="29" t="str">
        <f>VLOOKUP(B56,教育部大学名单!$B$1:$D$2920,3,FALSE)</f>
        <v>北京市</v>
      </c>
      <c r="D56" s="29" t="s">
        <v>10</v>
      </c>
      <c r="E56" s="29" t="s">
        <v>10</v>
      </c>
      <c r="F56" s="36" t="str">
        <f>IFERROR(VLOOKUP(B56,'985'!$B$2:$D$40,3,FALSE),"")</f>
        <v/>
      </c>
      <c r="G56" s="32" t="str">
        <f>IFERROR(VLOOKUP(B56,'211'!$B$2:$D$116,3,FALSE),"")</f>
        <v/>
      </c>
      <c r="H56" s="32" t="str">
        <f>IFERROR(VLOOKUP(B56,双一流!$B$2:$D$148,3,FALSE),"")</f>
        <v/>
      </c>
      <c r="I56" s="32" t="str">
        <f>IFERROR(VLOOKUP(B56,汇总!$B$2:$I$2921,8,FALSE),"")</f>
        <v>综合</v>
      </c>
      <c r="J56" s="29" t="s">
        <v>11</v>
      </c>
      <c r="K56" s="33" t="s">
        <v>12</v>
      </c>
    </row>
    <row r="57" ht="33.75" spans="1:11">
      <c r="A57" s="34">
        <v>56</v>
      </c>
      <c r="B57" s="34" t="s">
        <v>67</v>
      </c>
      <c r="C57" s="29" t="str">
        <f>VLOOKUP(B57,教育部大学名单!$B$1:$D$2920,3,FALSE)</f>
        <v>共青团中央</v>
      </c>
      <c r="D57" s="34" t="s">
        <v>10</v>
      </c>
      <c r="E57" s="34" t="s">
        <v>10</v>
      </c>
      <c r="F57" s="36" t="str">
        <f>IFERROR(VLOOKUP(B57,'985'!$B$2:$D$40,3,FALSE),"")</f>
        <v/>
      </c>
      <c r="G57" s="32" t="str">
        <f>IFERROR(VLOOKUP(B57,'211'!$B$2:$D$116,3,FALSE),"")</f>
        <v/>
      </c>
      <c r="H57" s="32" t="str">
        <f>IFERROR(VLOOKUP(B57,双一流!$B$2:$D$148,3,FALSE),"")</f>
        <v/>
      </c>
      <c r="I57" s="32">
        <f>IFERROR(VLOOKUP(B57,汇总!$B$2:$I$2921,8,FALSE),"")</f>
        <v>0</v>
      </c>
      <c r="J57" s="34" t="s">
        <v>11</v>
      </c>
      <c r="K57" s="35" t="s">
        <v>12</v>
      </c>
    </row>
    <row r="58" ht="17.25" spans="1:11">
      <c r="A58" s="29">
        <v>57</v>
      </c>
      <c r="B58" s="29" t="s">
        <v>68</v>
      </c>
      <c r="C58" s="29" t="str">
        <f>VLOOKUP(B58,教育部大学名单!$B$1:$D$2920,3,FALSE)</f>
        <v>北京市</v>
      </c>
      <c r="D58" s="29" t="s">
        <v>10</v>
      </c>
      <c r="E58" s="29" t="s">
        <v>10</v>
      </c>
      <c r="F58" s="36" t="str">
        <f>IFERROR(VLOOKUP(B58,'985'!$B$2:$D$40,3,FALSE),"")</f>
        <v/>
      </c>
      <c r="G58" s="32" t="str">
        <f>IFERROR(VLOOKUP(B58,'211'!$B$2:$D$116,3,FALSE),"")</f>
        <v/>
      </c>
      <c r="H58" s="32" t="str">
        <f>IFERROR(VLOOKUP(B58,双一流!$B$2:$D$148,3,FALSE),"")</f>
        <v/>
      </c>
      <c r="I58" s="32">
        <f>IFERROR(VLOOKUP(B58,汇总!$B$2:$I$2921,8,FALSE),"")</f>
        <v>0</v>
      </c>
      <c r="J58" s="29" t="s">
        <v>11</v>
      </c>
      <c r="K58" s="33" t="s">
        <v>12</v>
      </c>
    </row>
    <row r="59" ht="33.75" spans="1:11">
      <c r="A59" s="34">
        <v>58</v>
      </c>
      <c r="B59" s="34" t="s">
        <v>69</v>
      </c>
      <c r="C59" s="29" t="str">
        <f>VLOOKUP(B59,教育部大学名单!$B$1:$D$2920,3,FALSE)</f>
        <v>中华全国总工会</v>
      </c>
      <c r="D59" s="34" t="s">
        <v>10</v>
      </c>
      <c r="E59" s="34" t="s">
        <v>10</v>
      </c>
      <c r="F59" s="36" t="str">
        <f>IFERROR(VLOOKUP(B59,'985'!$B$2:$D$40,3,FALSE),"")</f>
        <v/>
      </c>
      <c r="G59" s="32" t="str">
        <f>IFERROR(VLOOKUP(B59,'211'!$B$2:$D$116,3,FALSE),"")</f>
        <v/>
      </c>
      <c r="H59" s="32" t="str">
        <f>IFERROR(VLOOKUP(B59,双一流!$B$2:$D$148,3,FALSE),"")</f>
        <v/>
      </c>
      <c r="I59" s="32">
        <f>IFERROR(VLOOKUP(B59,汇总!$B$2:$I$2921,8,FALSE),"")</f>
        <v>0</v>
      </c>
      <c r="J59" s="34" t="s">
        <v>11</v>
      </c>
      <c r="K59" s="35" t="s">
        <v>12</v>
      </c>
    </row>
    <row r="60" ht="33.75" spans="1:11">
      <c r="A60" s="29">
        <v>59</v>
      </c>
      <c r="B60" s="29" t="s">
        <v>70</v>
      </c>
      <c r="C60" s="29" t="str">
        <f>VLOOKUP(B60,教育部大学名单!$B$1:$D$2920,3,FALSE)</f>
        <v>北京市</v>
      </c>
      <c r="D60" s="29" t="s">
        <v>10</v>
      </c>
      <c r="E60" s="29" t="s">
        <v>10</v>
      </c>
      <c r="F60" s="36" t="str">
        <f>IFERROR(VLOOKUP(B60,'985'!$B$2:$D$40,3,FALSE),"")</f>
        <v/>
      </c>
      <c r="G60" s="32" t="str">
        <f>IFERROR(VLOOKUP(B60,'211'!$B$2:$D$116,3,FALSE),"")</f>
        <v/>
      </c>
      <c r="H60" s="32" t="str">
        <f>IFERROR(VLOOKUP(B60,双一流!$B$2:$D$148,3,FALSE),"")</f>
        <v/>
      </c>
      <c r="I60" s="32">
        <f>IFERROR(VLOOKUP(B60,汇总!$B$2:$I$2921,8,FALSE),"")</f>
        <v>0</v>
      </c>
      <c r="J60" s="29" t="s">
        <v>11</v>
      </c>
      <c r="K60" s="33" t="s">
        <v>12</v>
      </c>
    </row>
    <row r="61" ht="33.75" spans="1:11">
      <c r="A61" s="34">
        <v>60</v>
      </c>
      <c r="B61" s="34" t="s">
        <v>71</v>
      </c>
      <c r="C61" s="29" t="str">
        <f>VLOOKUP(B61,教育部大学名单!$B$1:$D$2920,3,FALSE)</f>
        <v>中国科学院</v>
      </c>
      <c r="D61" s="34" t="s">
        <v>10</v>
      </c>
      <c r="E61" s="34" t="s">
        <v>10</v>
      </c>
      <c r="F61" s="36" t="str">
        <f>IFERROR(VLOOKUP(B61,'985'!$B$2:$D$40,3,FALSE),"")</f>
        <v/>
      </c>
      <c r="G61" s="32" t="str">
        <f>IFERROR(VLOOKUP(B61,'211'!$B$2:$D$116,3,FALSE),"")</f>
        <v/>
      </c>
      <c r="H61" s="32" t="str">
        <f>IFERROR(VLOOKUP(B61,双一流!$B$2:$D$148,3,FALSE),"")</f>
        <v>双一流</v>
      </c>
      <c r="I61" s="32" t="str">
        <f>IFERROR(VLOOKUP(B61,汇总!$B$2:$I$2921,8,FALSE),"")</f>
        <v>理工</v>
      </c>
      <c r="J61" s="34" t="s">
        <v>11</v>
      </c>
      <c r="K61" s="35" t="s">
        <v>12</v>
      </c>
    </row>
    <row r="62" ht="33.75" spans="1:11">
      <c r="A62" s="29">
        <v>61</v>
      </c>
      <c r="B62" s="29" t="s">
        <v>72</v>
      </c>
      <c r="C62" s="29" t="str">
        <f>VLOOKUP(B62,教育部大学名单!$B$1:$D$2920,3,FALSE)</f>
        <v>中国社会科学院</v>
      </c>
      <c r="D62" s="29" t="s">
        <v>10</v>
      </c>
      <c r="E62" s="29" t="s">
        <v>10</v>
      </c>
      <c r="F62" s="36" t="str">
        <f>IFERROR(VLOOKUP(B62,'985'!$B$2:$D$40,3,FALSE),"")</f>
        <v/>
      </c>
      <c r="G62" s="32" t="str">
        <f>IFERROR(VLOOKUP(B62,'211'!$B$2:$D$116,3,FALSE),"")</f>
        <v/>
      </c>
      <c r="H62" s="32" t="str">
        <f>IFERROR(VLOOKUP(B62,双一流!$B$2:$D$148,3,FALSE),"")</f>
        <v/>
      </c>
      <c r="I62" s="32" t="str">
        <f>IFERROR(VLOOKUP(B62,汇总!$B$2:$I$2921,8,FALSE),"")</f>
        <v>综合</v>
      </c>
      <c r="J62" s="29" t="s">
        <v>11</v>
      </c>
      <c r="K62" s="33" t="s">
        <v>12</v>
      </c>
    </row>
    <row r="63" ht="33.75" spans="1:11">
      <c r="A63" s="34">
        <v>62</v>
      </c>
      <c r="B63" s="34" t="s">
        <v>73</v>
      </c>
      <c r="C63" s="29" t="str">
        <f>VLOOKUP(B63,教育部大学名单!$B$1:$D$2920,3,FALSE)</f>
        <v>北京市</v>
      </c>
      <c r="D63" s="34" t="s">
        <v>10</v>
      </c>
      <c r="E63" s="34" t="s">
        <v>10</v>
      </c>
      <c r="F63" s="36" t="str">
        <f>IFERROR(VLOOKUP(B63,'985'!$B$2:$D$40,3,FALSE),"")</f>
        <v/>
      </c>
      <c r="G63" s="32" t="str">
        <f>IFERROR(VLOOKUP(B63,'211'!$B$2:$D$116,3,FALSE),"")</f>
        <v/>
      </c>
      <c r="H63" s="32" t="str">
        <f>IFERROR(VLOOKUP(B63,双一流!$B$2:$D$148,3,FALSE),"")</f>
        <v/>
      </c>
      <c r="I63" s="32" t="str">
        <f>IFERROR(VLOOKUP(B63,汇总!$B$2:$I$2921,8,FALSE),"")</f>
        <v/>
      </c>
      <c r="J63" s="34" t="s">
        <v>11</v>
      </c>
      <c r="K63" s="35" t="s">
        <v>12</v>
      </c>
    </row>
    <row r="64" ht="33.75" spans="1:11">
      <c r="A64" s="29">
        <v>63</v>
      </c>
      <c r="B64" s="29" t="s">
        <v>74</v>
      </c>
      <c r="C64" s="29" t="str">
        <f>VLOOKUP(B64,教育部大学名单!$B$1:$D$2920,3,FALSE)</f>
        <v>民政部</v>
      </c>
      <c r="D64" s="29" t="s">
        <v>10</v>
      </c>
      <c r="E64" s="29" t="s">
        <v>10</v>
      </c>
      <c r="F64" s="36" t="str">
        <f>IFERROR(VLOOKUP(B64,'985'!$B$2:$D$40,3,FALSE),"")</f>
        <v/>
      </c>
      <c r="G64" s="32" t="str">
        <f>IFERROR(VLOOKUP(B64,'211'!$B$2:$D$116,3,FALSE),"")</f>
        <v/>
      </c>
      <c r="H64" s="32" t="str">
        <f>IFERROR(VLOOKUP(B64,双一流!$B$2:$D$148,3,FALSE),"")</f>
        <v/>
      </c>
      <c r="I64" s="32">
        <f>IFERROR(VLOOKUP(B64,汇总!$B$2:$I$2921,8,FALSE),"")</f>
        <v>0</v>
      </c>
      <c r="J64" s="29" t="s">
        <v>11</v>
      </c>
      <c r="K64" s="33" t="s">
        <v>12</v>
      </c>
    </row>
    <row r="65" ht="17.25" spans="1:11">
      <c r="A65" s="34">
        <v>64</v>
      </c>
      <c r="B65" s="34" t="s">
        <v>75</v>
      </c>
      <c r="C65" s="29" t="str">
        <f>VLOOKUP(B65,教育部大学名单!$B$1:$D$2920,3,FALSE)</f>
        <v>教育部</v>
      </c>
      <c r="D65" s="34" t="s">
        <v>76</v>
      </c>
      <c r="E65" s="34" t="s">
        <v>76</v>
      </c>
      <c r="F65" s="30">
        <f>IFERROR(VLOOKUP(B65,'985'!$B$2:$D$40,3,FALSE),"")</f>
        <v>985</v>
      </c>
      <c r="G65" s="31">
        <f>IFERROR(VLOOKUP(B65,'211'!$B$2:$D$116,3,FALSE),"")</f>
        <v>211</v>
      </c>
      <c r="H65" s="32" t="str">
        <f>IFERROR(VLOOKUP(B65,双一流!$B$2:$D$148,3,FALSE),"")</f>
        <v>双一流</v>
      </c>
      <c r="I65" s="32" t="str">
        <f>IFERROR(VLOOKUP(B65,汇总!$B$2:$I$2921,8,FALSE),"")</f>
        <v>综合</v>
      </c>
      <c r="J65" s="34" t="s">
        <v>11</v>
      </c>
      <c r="K65" s="35" t="s">
        <v>12</v>
      </c>
    </row>
    <row r="66" ht="17.25" spans="1:11">
      <c r="A66" s="29">
        <v>65</v>
      </c>
      <c r="B66" s="29" t="s">
        <v>77</v>
      </c>
      <c r="C66" s="29" t="str">
        <f>VLOOKUP(B66,教育部大学名单!$B$1:$D$2920,3,FALSE)</f>
        <v>教育部</v>
      </c>
      <c r="D66" s="29" t="s">
        <v>76</v>
      </c>
      <c r="E66" s="29" t="s">
        <v>76</v>
      </c>
      <c r="F66" s="30">
        <f>IFERROR(VLOOKUP(B66,'985'!$B$2:$D$40,3,FALSE),"")</f>
        <v>985</v>
      </c>
      <c r="G66" s="31">
        <f>IFERROR(VLOOKUP(B66,'211'!$B$2:$D$116,3,FALSE),"")</f>
        <v>211</v>
      </c>
      <c r="H66" s="32" t="str">
        <f>IFERROR(VLOOKUP(B66,双一流!$B$2:$D$148,3,FALSE),"")</f>
        <v>双一流</v>
      </c>
      <c r="I66" s="32" t="str">
        <f>IFERROR(VLOOKUP(B66,汇总!$B$2:$I$2921,8,FALSE),"")</f>
        <v>理工</v>
      </c>
      <c r="J66" s="29" t="s">
        <v>11</v>
      </c>
      <c r="K66" s="33" t="s">
        <v>12</v>
      </c>
    </row>
    <row r="67" ht="33.75" spans="1:11">
      <c r="A67" s="34">
        <v>66</v>
      </c>
      <c r="B67" s="34" t="s">
        <v>78</v>
      </c>
      <c r="C67" s="29" t="str">
        <f>VLOOKUP(B67,教育部大学名单!$B$1:$D$2920,3,FALSE)</f>
        <v>天津市</v>
      </c>
      <c r="D67" s="34" t="s">
        <v>76</v>
      </c>
      <c r="E67" s="34" t="s">
        <v>76</v>
      </c>
      <c r="F67" s="36" t="str">
        <f>IFERROR(VLOOKUP(B67,'985'!$B$2:$D$40,3,FALSE),"")</f>
        <v/>
      </c>
      <c r="G67" s="32" t="str">
        <f>IFERROR(VLOOKUP(B67,'211'!$B$2:$D$116,3,FALSE),"")</f>
        <v/>
      </c>
      <c r="H67" s="32" t="str">
        <f>IFERROR(VLOOKUP(B67,双一流!$B$2:$D$148,3,FALSE),"")</f>
        <v/>
      </c>
      <c r="I67" s="32" t="str">
        <f>IFERROR(VLOOKUP(B67,汇总!$B$2:$I$2921,8,FALSE),"")</f>
        <v>理工</v>
      </c>
      <c r="J67" s="34" t="s">
        <v>11</v>
      </c>
      <c r="K67" s="35" t="s">
        <v>12</v>
      </c>
    </row>
    <row r="68" ht="33.75" spans="1:11">
      <c r="A68" s="29">
        <v>67</v>
      </c>
      <c r="B68" s="29" t="s">
        <v>79</v>
      </c>
      <c r="C68" s="29" t="str">
        <f>VLOOKUP(B68,教育部大学名单!$B$1:$D$2920,3,FALSE)</f>
        <v>天津市</v>
      </c>
      <c r="D68" s="29" t="s">
        <v>76</v>
      </c>
      <c r="E68" s="29" t="s">
        <v>76</v>
      </c>
      <c r="F68" s="36" t="str">
        <f>IFERROR(VLOOKUP(B68,'985'!$B$2:$D$40,3,FALSE),"")</f>
        <v/>
      </c>
      <c r="G68" s="32" t="str">
        <f>IFERROR(VLOOKUP(B68,'211'!$B$2:$D$116,3,FALSE),"")</f>
        <v/>
      </c>
      <c r="H68" s="32" t="str">
        <f>IFERROR(VLOOKUP(B68,双一流!$B$2:$D$148,3,FALSE),"")</f>
        <v>双一流</v>
      </c>
      <c r="I68" s="32" t="str">
        <f>IFERROR(VLOOKUP(B68,汇总!$B$2:$I$2921,8,FALSE),"")</f>
        <v>理工</v>
      </c>
      <c r="J68" s="29" t="s">
        <v>11</v>
      </c>
      <c r="K68" s="33" t="s">
        <v>12</v>
      </c>
    </row>
    <row r="69" ht="50.25" spans="1:11">
      <c r="A69" s="34">
        <v>68</v>
      </c>
      <c r="B69" s="34" t="s">
        <v>80</v>
      </c>
      <c r="C69" s="29" t="str">
        <f>VLOOKUP(B69,教育部大学名单!$B$1:$D$2920,3,FALSE)</f>
        <v>交通运输部（中国民用航空局）</v>
      </c>
      <c r="D69" s="34" t="s">
        <v>76</v>
      </c>
      <c r="E69" s="34" t="s">
        <v>76</v>
      </c>
      <c r="F69" s="36" t="str">
        <f>IFERROR(VLOOKUP(B69,'985'!$B$2:$D$40,3,FALSE),"")</f>
        <v/>
      </c>
      <c r="G69" s="32" t="str">
        <f>IFERROR(VLOOKUP(B69,'211'!$B$2:$D$116,3,FALSE),"")</f>
        <v/>
      </c>
      <c r="H69" s="32" t="str">
        <f>IFERROR(VLOOKUP(B69,双一流!$B$2:$D$148,3,FALSE),"")</f>
        <v/>
      </c>
      <c r="I69" s="32" t="str">
        <f>IFERROR(VLOOKUP(B69,汇总!$B$2:$I$2921,8,FALSE),"")</f>
        <v>理工</v>
      </c>
      <c r="J69" s="34" t="s">
        <v>11</v>
      </c>
      <c r="K69" s="35" t="s">
        <v>12</v>
      </c>
    </row>
    <row r="70" ht="33.75" spans="1:11">
      <c r="A70" s="29">
        <v>69</v>
      </c>
      <c r="B70" s="29" t="s">
        <v>81</v>
      </c>
      <c r="C70" s="29" t="str">
        <f>VLOOKUP(B70,教育部大学名单!$B$1:$D$2920,3,FALSE)</f>
        <v>天津市</v>
      </c>
      <c r="D70" s="29" t="s">
        <v>76</v>
      </c>
      <c r="E70" s="29" t="s">
        <v>76</v>
      </c>
      <c r="F70" s="36" t="str">
        <f>IFERROR(VLOOKUP(B70,'985'!$B$2:$D$40,3,FALSE),"")</f>
        <v/>
      </c>
      <c r="G70" s="32" t="str">
        <f>IFERROR(VLOOKUP(B70,'211'!$B$2:$D$116,3,FALSE),"")</f>
        <v/>
      </c>
      <c r="H70" s="32" t="str">
        <f>IFERROR(VLOOKUP(B70,双一流!$B$2:$D$148,3,FALSE),"")</f>
        <v/>
      </c>
      <c r="I70" s="32" t="str">
        <f>IFERROR(VLOOKUP(B70,汇总!$B$2:$I$2921,8,FALSE),"")</f>
        <v>理工</v>
      </c>
      <c r="J70" s="29" t="s">
        <v>11</v>
      </c>
      <c r="K70" s="33" t="s">
        <v>12</v>
      </c>
    </row>
    <row r="71" ht="17.25" spans="1:11">
      <c r="A71" s="34">
        <v>70</v>
      </c>
      <c r="B71" s="34" t="s">
        <v>82</v>
      </c>
      <c r="C71" s="29" t="str">
        <f>VLOOKUP(B71,教育部大学名单!$B$1:$D$2920,3,FALSE)</f>
        <v>天津市</v>
      </c>
      <c r="D71" s="34" t="s">
        <v>76</v>
      </c>
      <c r="E71" s="34" t="s">
        <v>76</v>
      </c>
      <c r="F71" s="36" t="str">
        <f>IFERROR(VLOOKUP(B71,'985'!$B$2:$D$40,3,FALSE),"")</f>
        <v/>
      </c>
      <c r="G71" s="32" t="str">
        <f>IFERROR(VLOOKUP(B71,'211'!$B$2:$D$116,3,FALSE),"")</f>
        <v/>
      </c>
      <c r="H71" s="32" t="str">
        <f>IFERROR(VLOOKUP(B71,双一流!$B$2:$D$148,3,FALSE),"")</f>
        <v/>
      </c>
      <c r="I71" s="32">
        <f>IFERROR(VLOOKUP(B71,汇总!$B$2:$I$2921,8,FALSE),"")</f>
        <v>0</v>
      </c>
      <c r="J71" s="34" t="s">
        <v>11</v>
      </c>
      <c r="K71" s="35" t="s">
        <v>12</v>
      </c>
    </row>
    <row r="72" ht="33.75" spans="1:11">
      <c r="A72" s="29">
        <v>71</v>
      </c>
      <c r="B72" s="29" t="s">
        <v>83</v>
      </c>
      <c r="C72" s="29" t="str">
        <f>VLOOKUP(B72,教育部大学名单!$B$1:$D$2920,3,FALSE)</f>
        <v>天津市</v>
      </c>
      <c r="D72" s="29" t="s">
        <v>76</v>
      </c>
      <c r="E72" s="29" t="s">
        <v>76</v>
      </c>
      <c r="F72" s="36" t="str">
        <f>IFERROR(VLOOKUP(B72,'985'!$B$2:$D$40,3,FALSE),"")</f>
        <v/>
      </c>
      <c r="G72" s="31">
        <f>IFERROR(VLOOKUP(B72,'211'!$B$2:$D$116,3,FALSE),"")</f>
        <v>211</v>
      </c>
      <c r="H72" s="32" t="str">
        <f>IFERROR(VLOOKUP(B72,双一流!$B$2:$D$148,3,FALSE),"")</f>
        <v>双一流</v>
      </c>
      <c r="I72" s="32" t="str">
        <f>IFERROR(VLOOKUP(B72,汇总!$B$2:$I$2921,8,FALSE),"")</f>
        <v>医药</v>
      </c>
      <c r="J72" s="29" t="s">
        <v>11</v>
      </c>
      <c r="K72" s="33" t="s">
        <v>12</v>
      </c>
    </row>
    <row r="73" ht="33.75" spans="1:11">
      <c r="A73" s="34">
        <v>72</v>
      </c>
      <c r="B73" s="34" t="s">
        <v>84</v>
      </c>
      <c r="C73" s="29" t="str">
        <f>VLOOKUP(B73,教育部大学名单!$B$1:$D$2920,3,FALSE)</f>
        <v>天津市</v>
      </c>
      <c r="D73" s="34" t="s">
        <v>76</v>
      </c>
      <c r="E73" s="34" t="s">
        <v>76</v>
      </c>
      <c r="F73" s="36" t="str">
        <f>IFERROR(VLOOKUP(B73,'985'!$B$2:$D$40,3,FALSE),"")</f>
        <v/>
      </c>
      <c r="G73" s="32" t="str">
        <f>IFERROR(VLOOKUP(B73,'211'!$B$2:$D$116,3,FALSE),"")</f>
        <v/>
      </c>
      <c r="H73" s="32" t="str">
        <f>IFERROR(VLOOKUP(B73,双一流!$B$2:$D$148,3,FALSE),"")</f>
        <v>双一流</v>
      </c>
      <c r="I73" s="32" t="str">
        <f>IFERROR(VLOOKUP(B73,汇总!$B$2:$I$2921,8,FALSE),"")</f>
        <v>医药</v>
      </c>
      <c r="J73" s="34" t="s">
        <v>11</v>
      </c>
      <c r="K73" s="35" t="s">
        <v>12</v>
      </c>
    </row>
    <row r="74" ht="33.75" spans="1:11">
      <c r="A74" s="29">
        <v>73</v>
      </c>
      <c r="B74" s="29" t="s">
        <v>85</v>
      </c>
      <c r="C74" s="29" t="str">
        <f>VLOOKUP(B74,教育部大学名单!$B$1:$D$2920,3,FALSE)</f>
        <v>天津市</v>
      </c>
      <c r="D74" s="29" t="s">
        <v>76</v>
      </c>
      <c r="E74" s="29" t="s">
        <v>76</v>
      </c>
      <c r="F74" s="36" t="str">
        <f>IFERROR(VLOOKUP(B74,'985'!$B$2:$D$40,3,FALSE),"")</f>
        <v/>
      </c>
      <c r="G74" s="32" t="str">
        <f>IFERROR(VLOOKUP(B74,'211'!$B$2:$D$116,3,FALSE),"")</f>
        <v/>
      </c>
      <c r="H74" s="32" t="str">
        <f>IFERROR(VLOOKUP(B74,双一流!$B$2:$D$148,3,FALSE),"")</f>
        <v/>
      </c>
      <c r="I74" s="32" t="str">
        <f>IFERROR(VLOOKUP(B74,汇总!$B$2:$I$2921,8,FALSE),"")</f>
        <v>师范</v>
      </c>
      <c r="J74" s="29" t="s">
        <v>11</v>
      </c>
      <c r="K74" s="33" t="s">
        <v>12</v>
      </c>
    </row>
    <row r="75" ht="33.75" spans="1:11">
      <c r="A75" s="34">
        <v>74</v>
      </c>
      <c r="B75" s="34" t="s">
        <v>86</v>
      </c>
      <c r="C75" s="29" t="str">
        <f>VLOOKUP(B75,教育部大学名单!$B$1:$D$2920,3,FALSE)</f>
        <v>天津市</v>
      </c>
      <c r="D75" s="34" t="s">
        <v>76</v>
      </c>
      <c r="E75" s="34" t="s">
        <v>76</v>
      </c>
      <c r="F75" s="36" t="str">
        <f>IFERROR(VLOOKUP(B75,'985'!$B$2:$D$40,3,FALSE),"")</f>
        <v/>
      </c>
      <c r="G75" s="32" t="str">
        <f>IFERROR(VLOOKUP(B75,'211'!$B$2:$D$116,3,FALSE),"")</f>
        <v/>
      </c>
      <c r="H75" s="32" t="str">
        <f>IFERROR(VLOOKUP(B75,双一流!$B$2:$D$148,3,FALSE),"")</f>
        <v/>
      </c>
      <c r="I75" s="32">
        <f>IFERROR(VLOOKUP(B75,汇总!$B$2:$I$2921,8,FALSE),"")</f>
        <v>0</v>
      </c>
      <c r="J75" s="34" t="s">
        <v>11</v>
      </c>
      <c r="K75" s="35" t="s">
        <v>12</v>
      </c>
    </row>
    <row r="76" ht="33.75" spans="1:11">
      <c r="A76" s="29">
        <v>75</v>
      </c>
      <c r="B76" s="29" t="s">
        <v>87</v>
      </c>
      <c r="C76" s="29" t="str">
        <f>VLOOKUP(B76,教育部大学名单!$B$1:$D$2920,3,FALSE)</f>
        <v>天津市</v>
      </c>
      <c r="D76" s="29" t="s">
        <v>76</v>
      </c>
      <c r="E76" s="29" t="s">
        <v>76</v>
      </c>
      <c r="F76" s="36" t="str">
        <f>IFERROR(VLOOKUP(B76,'985'!$B$2:$D$40,3,FALSE),"")</f>
        <v/>
      </c>
      <c r="G76" s="32" t="str">
        <f>IFERROR(VLOOKUP(B76,'211'!$B$2:$D$116,3,FALSE),"")</f>
        <v/>
      </c>
      <c r="H76" s="32" t="str">
        <f>IFERROR(VLOOKUP(B76,双一流!$B$2:$D$148,3,FALSE),"")</f>
        <v/>
      </c>
      <c r="I76" s="32" t="str">
        <f>IFERROR(VLOOKUP(B76,汇总!$B$2:$I$2921,8,FALSE),"")</f>
        <v>语言</v>
      </c>
      <c r="J76" s="29" t="s">
        <v>11</v>
      </c>
      <c r="K76" s="33" t="s">
        <v>12</v>
      </c>
    </row>
    <row r="77" ht="33.75" spans="1:11">
      <c r="A77" s="34">
        <v>76</v>
      </c>
      <c r="B77" s="34" t="s">
        <v>88</v>
      </c>
      <c r="C77" s="29" t="str">
        <f>VLOOKUP(B77,教育部大学名单!$B$1:$D$2920,3,FALSE)</f>
        <v>天津市</v>
      </c>
      <c r="D77" s="34" t="s">
        <v>76</v>
      </c>
      <c r="E77" s="34" t="s">
        <v>76</v>
      </c>
      <c r="F77" s="36" t="str">
        <f>IFERROR(VLOOKUP(B77,'985'!$B$2:$D$40,3,FALSE),"")</f>
        <v/>
      </c>
      <c r="G77" s="32" t="str">
        <f>IFERROR(VLOOKUP(B77,'211'!$B$2:$D$116,3,FALSE),"")</f>
        <v/>
      </c>
      <c r="H77" s="32" t="str">
        <f>IFERROR(VLOOKUP(B77,双一流!$B$2:$D$148,3,FALSE),"")</f>
        <v/>
      </c>
      <c r="I77" s="32">
        <f>IFERROR(VLOOKUP(B77,汇总!$B$2:$I$2921,8,FALSE),"")</f>
        <v>0</v>
      </c>
      <c r="J77" s="34" t="s">
        <v>11</v>
      </c>
      <c r="K77" s="35" t="s">
        <v>12</v>
      </c>
    </row>
    <row r="78" ht="33.75" spans="1:11">
      <c r="A78" s="29">
        <v>77</v>
      </c>
      <c r="B78" s="29" t="s">
        <v>89</v>
      </c>
      <c r="C78" s="29" t="str">
        <f>VLOOKUP(B78,教育部大学名单!$B$1:$D$2920,3,FALSE)</f>
        <v>天津市</v>
      </c>
      <c r="D78" s="29" t="s">
        <v>76</v>
      </c>
      <c r="E78" s="29" t="s">
        <v>76</v>
      </c>
      <c r="F78" s="36" t="str">
        <f>IFERROR(VLOOKUP(B78,'985'!$B$2:$D$40,3,FALSE),"")</f>
        <v/>
      </c>
      <c r="G78" s="32" t="str">
        <f>IFERROR(VLOOKUP(B78,'211'!$B$2:$D$116,3,FALSE),"")</f>
        <v/>
      </c>
      <c r="H78" s="32" t="str">
        <f>IFERROR(VLOOKUP(B78,双一流!$B$2:$D$148,3,FALSE),"")</f>
        <v/>
      </c>
      <c r="I78" s="32" t="str">
        <f>IFERROR(VLOOKUP(B78,汇总!$B$2:$I$2921,8,FALSE),"")</f>
        <v>财经</v>
      </c>
      <c r="J78" s="29" t="s">
        <v>11</v>
      </c>
      <c r="K78" s="33" t="s">
        <v>12</v>
      </c>
    </row>
    <row r="79" ht="33.75" spans="1:11">
      <c r="A79" s="34">
        <v>78</v>
      </c>
      <c r="B79" s="34" t="s">
        <v>90</v>
      </c>
      <c r="C79" s="29" t="str">
        <f>VLOOKUP(B79,教育部大学名单!$B$1:$D$2920,3,FALSE)</f>
        <v>天津市</v>
      </c>
      <c r="D79" s="34" t="s">
        <v>76</v>
      </c>
      <c r="E79" s="34" t="s">
        <v>76</v>
      </c>
      <c r="F79" s="36" t="str">
        <f>IFERROR(VLOOKUP(B79,'985'!$B$2:$D$40,3,FALSE),"")</f>
        <v/>
      </c>
      <c r="G79" s="32" t="str">
        <f>IFERROR(VLOOKUP(B79,'211'!$B$2:$D$116,3,FALSE),"")</f>
        <v/>
      </c>
      <c r="H79" s="32" t="str">
        <f>IFERROR(VLOOKUP(B79,双一流!$B$2:$D$148,3,FALSE),"")</f>
        <v/>
      </c>
      <c r="I79" s="32" t="str">
        <f>IFERROR(VLOOKUP(B79,汇总!$B$2:$I$2921,8,FALSE),"")</f>
        <v>体育</v>
      </c>
      <c r="J79" s="34" t="s">
        <v>11</v>
      </c>
      <c r="K79" s="35" t="s">
        <v>12</v>
      </c>
    </row>
    <row r="80" ht="33.75" spans="1:11">
      <c r="A80" s="29">
        <v>79</v>
      </c>
      <c r="B80" s="29" t="s">
        <v>91</v>
      </c>
      <c r="C80" s="29" t="str">
        <f>VLOOKUP(B80,教育部大学名单!$B$1:$D$2920,3,FALSE)</f>
        <v>天津市</v>
      </c>
      <c r="D80" s="29" t="s">
        <v>76</v>
      </c>
      <c r="E80" s="29" t="s">
        <v>76</v>
      </c>
      <c r="F80" s="36" t="str">
        <f>IFERROR(VLOOKUP(B80,'985'!$B$2:$D$40,3,FALSE),"")</f>
        <v/>
      </c>
      <c r="G80" s="32" t="str">
        <f>IFERROR(VLOOKUP(B80,'211'!$B$2:$D$116,3,FALSE),"")</f>
        <v/>
      </c>
      <c r="H80" s="32" t="str">
        <f>IFERROR(VLOOKUP(B80,双一流!$B$2:$D$148,3,FALSE),"")</f>
        <v/>
      </c>
      <c r="I80" s="32">
        <f>IFERROR(VLOOKUP(B80,汇总!$B$2:$I$2921,8,FALSE),"")</f>
        <v>0</v>
      </c>
      <c r="J80" s="29" t="s">
        <v>11</v>
      </c>
      <c r="K80" s="33" t="s">
        <v>12</v>
      </c>
    </row>
    <row r="81" ht="33.75" spans="1:11">
      <c r="A81" s="34">
        <v>80</v>
      </c>
      <c r="B81" s="34" t="s">
        <v>92</v>
      </c>
      <c r="C81" s="29" t="str">
        <f>VLOOKUP(B81,教育部大学名单!$B$1:$D$2920,3,FALSE)</f>
        <v>天津市</v>
      </c>
      <c r="D81" s="34" t="s">
        <v>76</v>
      </c>
      <c r="E81" s="34" t="s">
        <v>76</v>
      </c>
      <c r="F81" s="36" t="str">
        <f>IFERROR(VLOOKUP(B81,'985'!$B$2:$D$40,3,FALSE),"")</f>
        <v/>
      </c>
      <c r="G81" s="32" t="str">
        <f>IFERROR(VLOOKUP(B81,'211'!$B$2:$D$116,3,FALSE),"")</f>
        <v/>
      </c>
      <c r="H81" s="32" t="str">
        <f>IFERROR(VLOOKUP(B81,双一流!$B$2:$D$148,3,FALSE),"")</f>
        <v/>
      </c>
      <c r="I81" s="32">
        <f>IFERROR(VLOOKUP(B81,汇总!$B$2:$I$2921,8,FALSE),"")</f>
        <v>0</v>
      </c>
      <c r="J81" s="34" t="s">
        <v>11</v>
      </c>
      <c r="K81" s="35" t="s">
        <v>12</v>
      </c>
    </row>
    <row r="82" ht="33.75" spans="1:11">
      <c r="A82" s="29">
        <v>81</v>
      </c>
      <c r="B82" s="29" t="s">
        <v>93</v>
      </c>
      <c r="C82" s="29" t="str">
        <f>VLOOKUP(B82,教育部大学名单!$B$1:$D$2920,3,FALSE)</f>
        <v>天津市</v>
      </c>
      <c r="D82" s="29" t="s">
        <v>76</v>
      </c>
      <c r="E82" s="29" t="s">
        <v>76</v>
      </c>
      <c r="F82" s="36" t="str">
        <f>IFERROR(VLOOKUP(B82,'985'!$B$2:$D$40,3,FALSE),"")</f>
        <v/>
      </c>
      <c r="G82" s="32" t="str">
        <f>IFERROR(VLOOKUP(B82,'211'!$B$2:$D$116,3,FALSE),"")</f>
        <v/>
      </c>
      <c r="H82" s="32" t="str">
        <f>IFERROR(VLOOKUP(B82,双一流!$B$2:$D$148,3,FALSE),"")</f>
        <v/>
      </c>
      <c r="I82" s="32">
        <f>IFERROR(VLOOKUP(B82,汇总!$B$2:$I$2921,8,FALSE),"")</f>
        <v>0</v>
      </c>
      <c r="J82" s="29" t="s">
        <v>11</v>
      </c>
      <c r="K82" s="33" t="s">
        <v>12</v>
      </c>
    </row>
    <row r="83" ht="33.75" spans="1:11">
      <c r="A83" s="34">
        <v>82</v>
      </c>
      <c r="B83" s="34" t="s">
        <v>94</v>
      </c>
      <c r="C83" s="29" t="str">
        <f>VLOOKUP(B83,教育部大学名单!$B$1:$D$2920,3,FALSE)</f>
        <v>天津市</v>
      </c>
      <c r="D83" s="34" t="s">
        <v>76</v>
      </c>
      <c r="E83" s="34" t="s">
        <v>76</v>
      </c>
      <c r="F83" s="36" t="str">
        <f>IFERROR(VLOOKUP(B83,'985'!$B$2:$D$40,3,FALSE),"")</f>
        <v/>
      </c>
      <c r="G83" s="32" t="str">
        <f>IFERROR(VLOOKUP(B83,'211'!$B$2:$D$116,3,FALSE),"")</f>
        <v/>
      </c>
      <c r="H83" s="32" t="str">
        <f>IFERROR(VLOOKUP(B83,双一流!$B$2:$D$148,3,FALSE),"")</f>
        <v/>
      </c>
      <c r="I83" s="32">
        <f>IFERROR(VLOOKUP(B83,汇总!$B$2:$I$2921,8,FALSE),"")</f>
        <v>0</v>
      </c>
      <c r="J83" s="34" t="s">
        <v>11</v>
      </c>
      <c r="K83" s="35" t="s">
        <v>12</v>
      </c>
    </row>
    <row r="84" ht="33.75" spans="1:11">
      <c r="A84" s="29">
        <v>83</v>
      </c>
      <c r="B84" s="29" t="s">
        <v>95</v>
      </c>
      <c r="C84" s="29" t="e">
        <f>VLOOKUP(B84,教育部大学名单!$B$1:$D$2920,3,FALSE)</f>
        <v>#N/A</v>
      </c>
      <c r="D84" s="29" t="s">
        <v>76</v>
      </c>
      <c r="E84" s="29" t="s">
        <v>76</v>
      </c>
      <c r="F84" s="36" t="str">
        <f>IFERROR(VLOOKUP(B84,'985'!$B$2:$D$40,3,FALSE),"")</f>
        <v/>
      </c>
      <c r="G84" s="32" t="str">
        <f>IFERROR(VLOOKUP(B84,'211'!$B$2:$D$116,3,FALSE),"")</f>
        <v/>
      </c>
      <c r="H84" s="32" t="str">
        <f>IFERROR(VLOOKUP(B84,双一流!$B$2:$D$148,3,FALSE),"")</f>
        <v/>
      </c>
      <c r="I84" s="32" t="str">
        <f>IFERROR(VLOOKUP(B84,汇总!$B$2:$I$2921,8,FALSE),"")</f>
        <v/>
      </c>
      <c r="J84" s="29" t="s">
        <v>11</v>
      </c>
      <c r="K84" s="33" t="s">
        <v>12</v>
      </c>
    </row>
    <row r="85" ht="33.75" spans="1:11">
      <c r="A85" s="34">
        <v>84</v>
      </c>
      <c r="B85" s="34" t="s">
        <v>96</v>
      </c>
      <c r="C85" s="29" t="str">
        <f>VLOOKUP(B85,教育部大学名单!$B$1:$D$2920,3,FALSE)</f>
        <v>天津市</v>
      </c>
      <c r="D85" s="34" t="s">
        <v>76</v>
      </c>
      <c r="E85" s="34" t="s">
        <v>76</v>
      </c>
      <c r="F85" s="36" t="str">
        <f>IFERROR(VLOOKUP(B85,'985'!$B$2:$D$40,3,FALSE),"")</f>
        <v/>
      </c>
      <c r="G85" s="32" t="str">
        <f>IFERROR(VLOOKUP(B85,'211'!$B$2:$D$116,3,FALSE),"")</f>
        <v/>
      </c>
      <c r="H85" s="32" t="str">
        <f>IFERROR(VLOOKUP(B85,双一流!$B$2:$D$148,3,FALSE),"")</f>
        <v/>
      </c>
      <c r="I85" s="32" t="str">
        <f>IFERROR(VLOOKUP(B85,汇总!$B$2:$I$2921,8,FALSE),"")</f>
        <v/>
      </c>
      <c r="J85" s="34" t="s">
        <v>11</v>
      </c>
      <c r="K85" s="35" t="s">
        <v>12</v>
      </c>
    </row>
    <row r="86" ht="17.25" spans="1:11">
      <c r="A86" s="29">
        <v>85</v>
      </c>
      <c r="B86" s="29" t="s">
        <v>97</v>
      </c>
      <c r="C86" s="29" t="str">
        <f>VLOOKUP(B86,教育部大学名单!$B$1:$D$2920,3,FALSE)</f>
        <v>河北省</v>
      </c>
      <c r="D86" s="29" t="s">
        <v>98</v>
      </c>
      <c r="E86" s="29" t="s">
        <v>99</v>
      </c>
      <c r="F86" s="36" t="str">
        <f>IFERROR(VLOOKUP(B86,'985'!$B$2:$D$40,3,FALSE),"")</f>
        <v/>
      </c>
      <c r="G86" s="32" t="str">
        <f>IFERROR(VLOOKUP(B86,'211'!$B$2:$D$116,3,FALSE),"")</f>
        <v/>
      </c>
      <c r="H86" s="32" t="str">
        <f>IFERROR(VLOOKUP(B86,双一流!$B$2:$D$148,3,FALSE),"")</f>
        <v/>
      </c>
      <c r="I86" s="32" t="str">
        <f>IFERROR(VLOOKUP(B86,汇总!$B$2:$I$2921,8,FALSE),"")</f>
        <v>综合</v>
      </c>
      <c r="J86" s="29" t="s">
        <v>11</v>
      </c>
      <c r="K86" s="33" t="s">
        <v>12</v>
      </c>
    </row>
    <row r="87" ht="33.75" spans="1:11">
      <c r="A87" s="34">
        <v>86</v>
      </c>
      <c r="B87" s="34" t="s">
        <v>100</v>
      </c>
      <c r="C87" s="29" t="str">
        <f>VLOOKUP(B87,教育部大学名单!$B$1:$D$2920,3,FALSE)</f>
        <v>河北省</v>
      </c>
      <c r="D87" s="34" t="s">
        <v>98</v>
      </c>
      <c r="E87" s="34" t="s">
        <v>101</v>
      </c>
      <c r="F87" s="36" t="str">
        <f>IFERROR(VLOOKUP(B87,'985'!$B$2:$D$40,3,FALSE),"")</f>
        <v/>
      </c>
      <c r="G87" s="32" t="str">
        <f>IFERROR(VLOOKUP(B87,'211'!$B$2:$D$116,3,FALSE),"")</f>
        <v/>
      </c>
      <c r="H87" s="32" t="str">
        <f>IFERROR(VLOOKUP(B87,双一流!$B$2:$D$148,3,FALSE),"")</f>
        <v/>
      </c>
      <c r="I87" s="32" t="str">
        <f>IFERROR(VLOOKUP(B87,汇总!$B$2:$I$2921,8,FALSE),"")</f>
        <v>理工</v>
      </c>
      <c r="J87" s="34" t="s">
        <v>11</v>
      </c>
      <c r="K87" s="35" t="s">
        <v>12</v>
      </c>
    </row>
    <row r="88" ht="33.75" spans="1:11">
      <c r="A88" s="29">
        <v>87</v>
      </c>
      <c r="B88" s="29" t="s">
        <v>102</v>
      </c>
      <c r="C88" s="29" t="str">
        <f>VLOOKUP(B88,教育部大学名单!$B$1:$D$2920,3,FALSE)</f>
        <v>河北省</v>
      </c>
      <c r="D88" s="29" t="s">
        <v>98</v>
      </c>
      <c r="E88" s="29" t="s">
        <v>103</v>
      </c>
      <c r="F88" s="36" t="str">
        <f>IFERROR(VLOOKUP(B88,'985'!$B$2:$D$40,3,FALSE),"")</f>
        <v/>
      </c>
      <c r="G88" s="32" t="str">
        <f>IFERROR(VLOOKUP(B88,'211'!$B$2:$D$116,3,FALSE),"")</f>
        <v/>
      </c>
      <c r="H88" s="32" t="str">
        <f>IFERROR(VLOOKUP(B88,双一流!$B$2:$D$148,3,FALSE),"")</f>
        <v/>
      </c>
      <c r="I88" s="32">
        <f>IFERROR(VLOOKUP(B88,汇总!$B$2:$I$2921,8,FALSE),"")</f>
        <v>0</v>
      </c>
      <c r="J88" s="29" t="s">
        <v>11</v>
      </c>
      <c r="K88" s="33" t="s">
        <v>12</v>
      </c>
    </row>
    <row r="89" ht="33.75" spans="1:11">
      <c r="A89" s="34">
        <v>88</v>
      </c>
      <c r="B89" s="34" t="s">
        <v>104</v>
      </c>
      <c r="C89" s="29" t="str">
        <f>VLOOKUP(B89,教育部大学名单!$B$1:$D$2920,3,FALSE)</f>
        <v>河北省</v>
      </c>
      <c r="D89" s="34" t="s">
        <v>76</v>
      </c>
      <c r="E89" s="34" t="s">
        <v>76</v>
      </c>
      <c r="F89" s="36" t="str">
        <f>IFERROR(VLOOKUP(B89,'985'!$B$2:$D$40,3,FALSE),"")</f>
        <v/>
      </c>
      <c r="G89" s="31">
        <f>IFERROR(VLOOKUP(B89,'211'!$B$2:$D$116,3,FALSE),"")</f>
        <v>211</v>
      </c>
      <c r="H89" s="32" t="str">
        <f>IFERROR(VLOOKUP(B89,双一流!$B$2:$D$148,3,FALSE),"")</f>
        <v>双一流</v>
      </c>
      <c r="I89" s="32" t="str">
        <f>IFERROR(VLOOKUP(B89,汇总!$B$2:$I$2921,8,FALSE),"")</f>
        <v>理工</v>
      </c>
      <c r="J89" s="34" t="s">
        <v>11</v>
      </c>
      <c r="K89" s="35" t="s">
        <v>12</v>
      </c>
    </row>
    <row r="90" ht="33.75" spans="1:11">
      <c r="A90" s="29">
        <v>89</v>
      </c>
      <c r="B90" s="29" t="s">
        <v>105</v>
      </c>
      <c r="C90" s="29" t="str">
        <f>VLOOKUP(B90,教育部大学名单!$B$1:$D$2920,3,FALSE)</f>
        <v>河北省</v>
      </c>
      <c r="D90" s="29" t="s">
        <v>98</v>
      </c>
      <c r="E90" s="29" t="s">
        <v>106</v>
      </c>
      <c r="F90" s="36" t="str">
        <f>IFERROR(VLOOKUP(B90,'985'!$B$2:$D$40,3,FALSE),"")</f>
        <v/>
      </c>
      <c r="G90" s="32" t="str">
        <f>IFERROR(VLOOKUP(B90,'211'!$B$2:$D$116,3,FALSE),"")</f>
        <v/>
      </c>
      <c r="H90" s="32" t="str">
        <f>IFERROR(VLOOKUP(B90,双一流!$B$2:$D$148,3,FALSE),"")</f>
        <v/>
      </c>
      <c r="I90" s="32" t="str">
        <f>IFERROR(VLOOKUP(B90,汇总!$B$2:$I$2921,8,FALSE),"")</f>
        <v>综合</v>
      </c>
      <c r="J90" s="29" t="s">
        <v>11</v>
      </c>
      <c r="K90" s="33" t="s">
        <v>12</v>
      </c>
    </row>
    <row r="91" ht="33.75" spans="1:11">
      <c r="A91" s="34">
        <v>90</v>
      </c>
      <c r="B91" s="34" t="s">
        <v>107</v>
      </c>
      <c r="C91" s="29" t="str">
        <f>VLOOKUP(B91,教育部大学名单!$B$1:$D$2920,3,FALSE)</f>
        <v>河北省</v>
      </c>
      <c r="D91" s="34" t="s">
        <v>98</v>
      </c>
      <c r="E91" s="34" t="s">
        <v>103</v>
      </c>
      <c r="F91" s="36" t="str">
        <f>IFERROR(VLOOKUP(B91,'985'!$B$2:$D$40,3,FALSE),"")</f>
        <v/>
      </c>
      <c r="G91" s="32" t="str">
        <f>IFERROR(VLOOKUP(B91,'211'!$B$2:$D$116,3,FALSE),"")</f>
        <v/>
      </c>
      <c r="H91" s="32" t="str">
        <f>IFERROR(VLOOKUP(B91,双一流!$B$2:$D$148,3,FALSE),"")</f>
        <v/>
      </c>
      <c r="I91" s="32" t="str">
        <f>IFERROR(VLOOKUP(B91,汇总!$B$2:$I$2921,8,FALSE),"")</f>
        <v>理工</v>
      </c>
      <c r="J91" s="34" t="s">
        <v>11</v>
      </c>
      <c r="K91" s="35" t="s">
        <v>12</v>
      </c>
    </row>
    <row r="92" ht="33.75" spans="1:11">
      <c r="A92" s="29">
        <v>91</v>
      </c>
      <c r="B92" s="29" t="s">
        <v>108</v>
      </c>
      <c r="C92" s="29" t="str">
        <f>VLOOKUP(B92,教育部大学名单!$B$1:$D$2920,3,FALSE)</f>
        <v>河北省</v>
      </c>
      <c r="D92" s="29" t="s">
        <v>98</v>
      </c>
      <c r="E92" s="29" t="s">
        <v>109</v>
      </c>
      <c r="F92" s="36" t="str">
        <f>IFERROR(VLOOKUP(B92,'985'!$B$2:$D$40,3,FALSE),"")</f>
        <v/>
      </c>
      <c r="G92" s="32" t="str">
        <f>IFERROR(VLOOKUP(B92,'211'!$B$2:$D$116,3,FALSE),"")</f>
        <v/>
      </c>
      <c r="H92" s="32" t="str">
        <f>IFERROR(VLOOKUP(B92,双一流!$B$2:$D$148,3,FALSE),"")</f>
        <v/>
      </c>
      <c r="I92" s="32">
        <f>IFERROR(VLOOKUP(B92,汇总!$B$2:$I$2921,8,FALSE),"")</f>
        <v>0</v>
      </c>
      <c r="J92" s="29" t="s">
        <v>11</v>
      </c>
      <c r="K92" s="33" t="s">
        <v>12</v>
      </c>
    </row>
    <row r="93" ht="33.75" spans="1:11">
      <c r="A93" s="34">
        <v>92</v>
      </c>
      <c r="B93" s="34" t="s">
        <v>110</v>
      </c>
      <c r="C93" s="29" t="str">
        <f>VLOOKUP(B93,教育部大学名单!$B$1:$D$2920,3,FALSE)</f>
        <v>河北省</v>
      </c>
      <c r="D93" s="34" t="s">
        <v>98</v>
      </c>
      <c r="E93" s="34" t="s">
        <v>111</v>
      </c>
      <c r="F93" s="36" t="str">
        <f>IFERROR(VLOOKUP(B93,'985'!$B$2:$D$40,3,FALSE),"")</f>
        <v/>
      </c>
      <c r="G93" s="32" t="str">
        <f>IFERROR(VLOOKUP(B93,'211'!$B$2:$D$116,3,FALSE),"")</f>
        <v/>
      </c>
      <c r="H93" s="32" t="str">
        <f>IFERROR(VLOOKUP(B93,双一流!$B$2:$D$148,3,FALSE),"")</f>
        <v/>
      </c>
      <c r="I93" s="32">
        <f>IFERROR(VLOOKUP(B93,汇总!$B$2:$I$2921,8,FALSE),"")</f>
        <v>0</v>
      </c>
      <c r="J93" s="34" t="s">
        <v>11</v>
      </c>
      <c r="K93" s="35" t="s">
        <v>12</v>
      </c>
    </row>
    <row r="94" ht="33.75" spans="1:11">
      <c r="A94" s="29">
        <v>93</v>
      </c>
      <c r="B94" s="29" t="s">
        <v>112</v>
      </c>
      <c r="C94" s="29" t="str">
        <f>VLOOKUP(B94,教育部大学名单!$B$1:$D$2920,3,FALSE)</f>
        <v>河北省</v>
      </c>
      <c r="D94" s="29" t="s">
        <v>98</v>
      </c>
      <c r="E94" s="29" t="s">
        <v>99</v>
      </c>
      <c r="F94" s="36" t="str">
        <f>IFERROR(VLOOKUP(B94,'985'!$B$2:$D$40,3,FALSE),"")</f>
        <v/>
      </c>
      <c r="G94" s="32" t="str">
        <f>IFERROR(VLOOKUP(B94,'211'!$B$2:$D$116,3,FALSE),"")</f>
        <v/>
      </c>
      <c r="H94" s="32" t="str">
        <f>IFERROR(VLOOKUP(B94,双一流!$B$2:$D$148,3,FALSE),"")</f>
        <v/>
      </c>
      <c r="I94" s="32" t="str">
        <f>IFERROR(VLOOKUP(B94,汇总!$B$2:$I$2921,8,FALSE),"")</f>
        <v>农林</v>
      </c>
      <c r="J94" s="29" t="s">
        <v>11</v>
      </c>
      <c r="K94" s="33" t="s">
        <v>12</v>
      </c>
    </row>
    <row r="95" ht="33.75" spans="1:11">
      <c r="A95" s="34">
        <v>94</v>
      </c>
      <c r="B95" s="34" t="s">
        <v>113</v>
      </c>
      <c r="C95" s="29" t="str">
        <f>VLOOKUP(B95,教育部大学名单!$B$1:$D$2920,3,FALSE)</f>
        <v>河北省</v>
      </c>
      <c r="D95" s="34" t="s">
        <v>98</v>
      </c>
      <c r="E95" s="34" t="s">
        <v>103</v>
      </c>
      <c r="F95" s="36" t="str">
        <f>IFERROR(VLOOKUP(B95,'985'!$B$2:$D$40,3,FALSE),"")</f>
        <v/>
      </c>
      <c r="G95" s="32" t="str">
        <f>IFERROR(VLOOKUP(B95,'211'!$B$2:$D$116,3,FALSE),"")</f>
        <v/>
      </c>
      <c r="H95" s="32" t="str">
        <f>IFERROR(VLOOKUP(B95,双一流!$B$2:$D$148,3,FALSE),"")</f>
        <v/>
      </c>
      <c r="I95" s="32" t="str">
        <f>IFERROR(VLOOKUP(B95,汇总!$B$2:$I$2921,8,FALSE),"")</f>
        <v>医药</v>
      </c>
      <c r="J95" s="34" t="s">
        <v>11</v>
      </c>
      <c r="K95" s="35" t="s">
        <v>12</v>
      </c>
    </row>
    <row r="96" ht="33.75" spans="1:11">
      <c r="A96" s="29">
        <v>95</v>
      </c>
      <c r="B96" s="29" t="s">
        <v>114</v>
      </c>
      <c r="C96" s="29" t="str">
        <f>VLOOKUP(B96,教育部大学名单!$B$1:$D$2920,3,FALSE)</f>
        <v>河北省</v>
      </c>
      <c r="D96" s="29" t="s">
        <v>98</v>
      </c>
      <c r="E96" s="29" t="s">
        <v>109</v>
      </c>
      <c r="F96" s="36" t="str">
        <f>IFERROR(VLOOKUP(B96,'985'!$B$2:$D$40,3,FALSE),"")</f>
        <v/>
      </c>
      <c r="G96" s="32" t="str">
        <f>IFERROR(VLOOKUP(B96,'211'!$B$2:$D$116,3,FALSE),"")</f>
        <v/>
      </c>
      <c r="H96" s="32" t="str">
        <f>IFERROR(VLOOKUP(B96,双一流!$B$2:$D$148,3,FALSE),"")</f>
        <v/>
      </c>
      <c r="I96" s="32">
        <f>IFERROR(VLOOKUP(B96,汇总!$B$2:$I$2921,8,FALSE),"")</f>
        <v>0</v>
      </c>
      <c r="J96" s="29" t="s">
        <v>11</v>
      </c>
      <c r="K96" s="33" t="s">
        <v>12</v>
      </c>
    </row>
    <row r="97" ht="17.25" spans="1:11">
      <c r="A97" s="34">
        <v>96</v>
      </c>
      <c r="B97" s="34" t="s">
        <v>115</v>
      </c>
      <c r="C97" s="29" t="str">
        <f>VLOOKUP(B97,教育部大学名单!$B$1:$D$2920,3,FALSE)</f>
        <v>河北省</v>
      </c>
      <c r="D97" s="34" t="s">
        <v>98</v>
      </c>
      <c r="E97" s="34" t="s">
        <v>116</v>
      </c>
      <c r="F97" s="36" t="str">
        <f>IFERROR(VLOOKUP(B97,'985'!$B$2:$D$40,3,FALSE),"")</f>
        <v/>
      </c>
      <c r="G97" s="32" t="str">
        <f>IFERROR(VLOOKUP(B97,'211'!$B$2:$D$116,3,FALSE),"")</f>
        <v/>
      </c>
      <c r="H97" s="32" t="str">
        <f>IFERROR(VLOOKUP(B97,双一流!$B$2:$D$148,3,FALSE),"")</f>
        <v/>
      </c>
      <c r="I97" s="32">
        <f>IFERROR(VLOOKUP(B97,汇总!$B$2:$I$2921,8,FALSE),"")</f>
        <v>0</v>
      </c>
      <c r="J97" s="34" t="s">
        <v>11</v>
      </c>
      <c r="K97" s="35" t="s">
        <v>12</v>
      </c>
    </row>
    <row r="98" ht="33.75" spans="1:11">
      <c r="A98" s="29">
        <v>97</v>
      </c>
      <c r="B98" s="29" t="s">
        <v>117</v>
      </c>
      <c r="C98" s="29" t="str">
        <f>VLOOKUP(B98,教育部大学名单!$B$1:$D$2920,3,FALSE)</f>
        <v>河北省</v>
      </c>
      <c r="D98" s="29" t="s">
        <v>98</v>
      </c>
      <c r="E98" s="29" t="s">
        <v>103</v>
      </c>
      <c r="F98" s="36" t="str">
        <f>IFERROR(VLOOKUP(B98,'985'!$B$2:$D$40,3,FALSE),"")</f>
        <v/>
      </c>
      <c r="G98" s="32" t="str">
        <f>IFERROR(VLOOKUP(B98,'211'!$B$2:$D$116,3,FALSE),"")</f>
        <v/>
      </c>
      <c r="H98" s="32" t="str">
        <f>IFERROR(VLOOKUP(B98,双一流!$B$2:$D$148,3,FALSE),"")</f>
        <v/>
      </c>
      <c r="I98" s="32" t="str">
        <f>IFERROR(VLOOKUP(B98,汇总!$B$2:$I$2921,8,FALSE),"")</f>
        <v>师范</v>
      </c>
      <c r="J98" s="29" t="s">
        <v>11</v>
      </c>
      <c r="K98" s="33" t="s">
        <v>12</v>
      </c>
    </row>
    <row r="99" ht="17.25" spans="1:11">
      <c r="A99" s="34">
        <v>98</v>
      </c>
      <c r="B99" s="34" t="s">
        <v>118</v>
      </c>
      <c r="C99" s="29" t="str">
        <f>VLOOKUP(B99,教育部大学名单!$B$1:$D$2920,3,FALSE)</f>
        <v>河北省</v>
      </c>
      <c r="D99" s="34" t="s">
        <v>98</v>
      </c>
      <c r="E99" s="34" t="s">
        <v>99</v>
      </c>
      <c r="F99" s="36" t="str">
        <f>IFERROR(VLOOKUP(B99,'985'!$B$2:$D$40,3,FALSE),"")</f>
        <v/>
      </c>
      <c r="G99" s="32" t="str">
        <f>IFERROR(VLOOKUP(B99,'211'!$B$2:$D$116,3,FALSE),"")</f>
        <v/>
      </c>
      <c r="H99" s="32" t="str">
        <f>IFERROR(VLOOKUP(B99,双一流!$B$2:$D$148,3,FALSE),"")</f>
        <v/>
      </c>
      <c r="I99" s="32">
        <f>IFERROR(VLOOKUP(B99,汇总!$B$2:$I$2921,8,FALSE),"")</f>
        <v>0</v>
      </c>
      <c r="J99" s="34" t="s">
        <v>11</v>
      </c>
      <c r="K99" s="35" t="s">
        <v>12</v>
      </c>
    </row>
    <row r="100" ht="33.75" spans="1:11">
      <c r="A100" s="29">
        <v>99</v>
      </c>
      <c r="B100" s="29" t="s">
        <v>119</v>
      </c>
      <c r="C100" s="29" t="str">
        <f>VLOOKUP(B100,教育部大学名单!$B$1:$D$2920,3,FALSE)</f>
        <v>河北省</v>
      </c>
      <c r="D100" s="29" t="s">
        <v>98</v>
      </c>
      <c r="E100" s="29" t="s">
        <v>116</v>
      </c>
      <c r="F100" s="36" t="str">
        <f>IFERROR(VLOOKUP(B100,'985'!$B$2:$D$40,3,FALSE),"")</f>
        <v/>
      </c>
      <c r="G100" s="32" t="str">
        <f>IFERROR(VLOOKUP(B100,'211'!$B$2:$D$116,3,FALSE),"")</f>
        <v/>
      </c>
      <c r="H100" s="32" t="str">
        <f>IFERROR(VLOOKUP(B100,双一流!$B$2:$D$148,3,FALSE),"")</f>
        <v/>
      </c>
      <c r="I100" s="32">
        <f>IFERROR(VLOOKUP(B100,汇总!$B$2:$I$2921,8,FALSE),"")</f>
        <v>0</v>
      </c>
      <c r="J100" s="29" t="s">
        <v>11</v>
      </c>
      <c r="K100" s="33" t="s">
        <v>12</v>
      </c>
    </row>
    <row r="101" ht="33.75" spans="1:11">
      <c r="A101" s="34">
        <v>100</v>
      </c>
      <c r="B101" s="34" t="s">
        <v>120</v>
      </c>
      <c r="C101" s="29" t="str">
        <f>VLOOKUP(B101,教育部大学名单!$B$1:$D$2920,3,FALSE)</f>
        <v>河北省</v>
      </c>
      <c r="D101" s="34" t="s">
        <v>98</v>
      </c>
      <c r="E101" s="34" t="s">
        <v>106</v>
      </c>
      <c r="F101" s="36" t="str">
        <f>IFERROR(VLOOKUP(B101,'985'!$B$2:$D$40,3,FALSE),"")</f>
        <v/>
      </c>
      <c r="G101" s="32" t="str">
        <f>IFERROR(VLOOKUP(B101,'211'!$B$2:$D$116,3,FALSE),"")</f>
        <v/>
      </c>
      <c r="H101" s="32" t="str">
        <f>IFERROR(VLOOKUP(B101,双一流!$B$2:$D$148,3,FALSE),"")</f>
        <v/>
      </c>
      <c r="I101" s="32">
        <f>IFERROR(VLOOKUP(B101,汇总!$B$2:$I$2921,8,FALSE),"")</f>
        <v>0</v>
      </c>
      <c r="J101" s="34" t="s">
        <v>11</v>
      </c>
      <c r="K101" s="35" t="s">
        <v>12</v>
      </c>
    </row>
    <row r="102" ht="33.75" spans="1:11">
      <c r="A102" s="29">
        <v>101</v>
      </c>
      <c r="B102" s="29" t="s">
        <v>121</v>
      </c>
      <c r="C102" s="29" t="str">
        <f>VLOOKUP(B102,教育部大学名单!$B$1:$D$2920,3,FALSE)</f>
        <v>河北省</v>
      </c>
      <c r="D102" s="29" t="s">
        <v>98</v>
      </c>
      <c r="E102" s="29" t="s">
        <v>122</v>
      </c>
      <c r="F102" s="36" t="str">
        <f>IFERROR(VLOOKUP(B102,'985'!$B$2:$D$40,3,FALSE),"")</f>
        <v/>
      </c>
      <c r="G102" s="32" t="str">
        <f>IFERROR(VLOOKUP(B102,'211'!$B$2:$D$116,3,FALSE),"")</f>
        <v/>
      </c>
      <c r="H102" s="32" t="str">
        <f>IFERROR(VLOOKUP(B102,双一流!$B$2:$D$148,3,FALSE),"")</f>
        <v/>
      </c>
      <c r="I102" s="32">
        <f>IFERROR(VLOOKUP(B102,汇总!$B$2:$I$2921,8,FALSE),"")</f>
        <v>0</v>
      </c>
      <c r="J102" s="29" t="s">
        <v>11</v>
      </c>
      <c r="K102" s="33" t="s">
        <v>12</v>
      </c>
    </row>
    <row r="103" ht="17.25" spans="1:11">
      <c r="A103" s="34">
        <v>102</v>
      </c>
      <c r="B103" s="34" t="s">
        <v>123</v>
      </c>
      <c r="C103" s="29" t="str">
        <f>VLOOKUP(B103,教育部大学名单!$B$1:$D$2920,3,FALSE)</f>
        <v>河北省</v>
      </c>
      <c r="D103" s="34" t="s">
        <v>98</v>
      </c>
      <c r="E103" s="34" t="s">
        <v>124</v>
      </c>
      <c r="F103" s="36" t="str">
        <f>IFERROR(VLOOKUP(B103,'985'!$B$2:$D$40,3,FALSE),"")</f>
        <v/>
      </c>
      <c r="G103" s="32" t="str">
        <f>IFERROR(VLOOKUP(B103,'211'!$B$2:$D$116,3,FALSE),"")</f>
        <v/>
      </c>
      <c r="H103" s="32" t="str">
        <f>IFERROR(VLOOKUP(B103,双一流!$B$2:$D$148,3,FALSE),"")</f>
        <v/>
      </c>
      <c r="I103" s="32">
        <f>IFERROR(VLOOKUP(B103,汇总!$B$2:$I$2921,8,FALSE),"")</f>
        <v>0</v>
      </c>
      <c r="J103" s="34" t="s">
        <v>11</v>
      </c>
      <c r="K103" s="35" t="s">
        <v>12</v>
      </c>
    </row>
    <row r="104" ht="17.25" spans="1:11">
      <c r="A104" s="29">
        <v>103</v>
      </c>
      <c r="B104" s="29" t="s">
        <v>125</v>
      </c>
      <c r="C104" s="29" t="str">
        <f>VLOOKUP(B104,教育部大学名单!$B$1:$D$2920,3,FALSE)</f>
        <v>河北省</v>
      </c>
      <c r="D104" s="29" t="s">
        <v>98</v>
      </c>
      <c r="E104" s="29" t="s">
        <v>103</v>
      </c>
      <c r="F104" s="36" t="str">
        <f>IFERROR(VLOOKUP(B104,'985'!$B$2:$D$40,3,FALSE),"")</f>
        <v/>
      </c>
      <c r="G104" s="32" t="str">
        <f>IFERROR(VLOOKUP(B104,'211'!$B$2:$D$116,3,FALSE),"")</f>
        <v/>
      </c>
      <c r="H104" s="32" t="str">
        <f>IFERROR(VLOOKUP(B104,双一流!$B$2:$D$148,3,FALSE),"")</f>
        <v/>
      </c>
      <c r="I104" s="32">
        <f>IFERROR(VLOOKUP(B104,汇总!$B$2:$I$2921,8,FALSE),"")</f>
        <v>0</v>
      </c>
      <c r="J104" s="29" t="s">
        <v>11</v>
      </c>
      <c r="K104" s="33" t="s">
        <v>12</v>
      </c>
    </row>
    <row r="105" ht="17.25" spans="1:11">
      <c r="A105" s="34">
        <v>104</v>
      </c>
      <c r="B105" s="34" t="s">
        <v>126</v>
      </c>
      <c r="C105" s="29" t="str">
        <f>VLOOKUP(B105,教育部大学名单!$B$1:$D$2920,3,FALSE)</f>
        <v>河北省</v>
      </c>
      <c r="D105" s="34" t="s">
        <v>98</v>
      </c>
      <c r="E105" s="34" t="s">
        <v>101</v>
      </c>
      <c r="F105" s="36" t="str">
        <f>IFERROR(VLOOKUP(B105,'985'!$B$2:$D$40,3,FALSE),"")</f>
        <v/>
      </c>
      <c r="G105" s="32" t="str">
        <f>IFERROR(VLOOKUP(B105,'211'!$B$2:$D$116,3,FALSE),"")</f>
        <v/>
      </c>
      <c r="H105" s="32" t="str">
        <f>IFERROR(VLOOKUP(B105,双一流!$B$2:$D$148,3,FALSE),"")</f>
        <v/>
      </c>
      <c r="I105" s="32">
        <f>IFERROR(VLOOKUP(B105,汇总!$B$2:$I$2921,8,FALSE),"")</f>
        <v>0</v>
      </c>
      <c r="J105" s="34" t="s">
        <v>11</v>
      </c>
      <c r="K105" s="35" t="s">
        <v>12</v>
      </c>
    </row>
    <row r="106" ht="17.25" spans="1:11">
      <c r="A106" s="29">
        <v>105</v>
      </c>
      <c r="B106" s="29" t="s">
        <v>127</v>
      </c>
      <c r="C106" s="29" t="str">
        <f>VLOOKUP(B106,教育部大学名单!$B$1:$D$2920,3,FALSE)</f>
        <v>河北省</v>
      </c>
      <c r="D106" s="29" t="s">
        <v>98</v>
      </c>
      <c r="E106" s="29" t="s">
        <v>128</v>
      </c>
      <c r="F106" s="36" t="str">
        <f>IFERROR(VLOOKUP(B106,'985'!$B$2:$D$40,3,FALSE),"")</f>
        <v/>
      </c>
      <c r="G106" s="32" t="str">
        <f>IFERROR(VLOOKUP(B106,'211'!$B$2:$D$116,3,FALSE),"")</f>
        <v/>
      </c>
      <c r="H106" s="32" t="str">
        <f>IFERROR(VLOOKUP(B106,双一流!$B$2:$D$148,3,FALSE),"")</f>
        <v/>
      </c>
      <c r="I106" s="32">
        <f>IFERROR(VLOOKUP(B106,汇总!$B$2:$I$2921,8,FALSE),"")</f>
        <v>0</v>
      </c>
      <c r="J106" s="29" t="s">
        <v>11</v>
      </c>
      <c r="K106" s="33" t="s">
        <v>12</v>
      </c>
    </row>
    <row r="107" ht="33.75" spans="1:11">
      <c r="A107" s="34">
        <v>106</v>
      </c>
      <c r="B107" s="34" t="s">
        <v>129</v>
      </c>
      <c r="C107" s="29" t="str">
        <f>VLOOKUP(B107,教育部大学名单!$B$1:$D$2920,3,FALSE)</f>
        <v>河北省</v>
      </c>
      <c r="D107" s="34" t="s">
        <v>98</v>
      </c>
      <c r="E107" s="34" t="s">
        <v>111</v>
      </c>
      <c r="F107" s="36" t="str">
        <f>IFERROR(VLOOKUP(B107,'985'!$B$2:$D$40,3,FALSE),"")</f>
        <v/>
      </c>
      <c r="G107" s="32" t="str">
        <f>IFERROR(VLOOKUP(B107,'211'!$B$2:$D$116,3,FALSE),"")</f>
        <v/>
      </c>
      <c r="H107" s="32" t="str">
        <f>IFERROR(VLOOKUP(B107,双一流!$B$2:$D$148,3,FALSE),"")</f>
        <v/>
      </c>
      <c r="I107" s="32">
        <f>IFERROR(VLOOKUP(B107,汇总!$B$2:$I$2921,8,FALSE),"")</f>
        <v>0</v>
      </c>
      <c r="J107" s="34" t="s">
        <v>11</v>
      </c>
      <c r="K107" s="35" t="s">
        <v>12</v>
      </c>
    </row>
    <row r="108" ht="33.75" spans="1:11">
      <c r="A108" s="29">
        <v>107</v>
      </c>
      <c r="B108" s="29" t="s">
        <v>130</v>
      </c>
      <c r="C108" s="29" t="str">
        <f>VLOOKUP(B108,教育部大学名单!$B$1:$D$2920,3,FALSE)</f>
        <v>河北省</v>
      </c>
      <c r="D108" s="29" t="s">
        <v>98</v>
      </c>
      <c r="E108" s="29" t="s">
        <v>103</v>
      </c>
      <c r="F108" s="36" t="str">
        <f>IFERROR(VLOOKUP(B108,'985'!$B$2:$D$40,3,FALSE),"")</f>
        <v/>
      </c>
      <c r="G108" s="32" t="str">
        <f>IFERROR(VLOOKUP(B108,'211'!$B$2:$D$116,3,FALSE),"")</f>
        <v/>
      </c>
      <c r="H108" s="32" t="str">
        <f>IFERROR(VLOOKUP(B108,双一流!$B$2:$D$148,3,FALSE),"")</f>
        <v/>
      </c>
      <c r="I108" s="32" t="str">
        <f>IFERROR(VLOOKUP(B108,汇总!$B$2:$I$2921,8,FALSE),"")</f>
        <v>理工</v>
      </c>
      <c r="J108" s="29" t="s">
        <v>11</v>
      </c>
      <c r="K108" s="33" t="s">
        <v>12</v>
      </c>
    </row>
    <row r="109" ht="17.25" spans="1:11">
      <c r="A109" s="34">
        <v>108</v>
      </c>
      <c r="B109" s="34" t="s">
        <v>131</v>
      </c>
      <c r="C109" s="29" t="str">
        <f>VLOOKUP(B109,教育部大学名单!$B$1:$D$2920,3,FALSE)</f>
        <v>河北省</v>
      </c>
      <c r="D109" s="34" t="s">
        <v>98</v>
      </c>
      <c r="E109" s="34" t="s">
        <v>132</v>
      </c>
      <c r="F109" s="36" t="str">
        <f>IFERROR(VLOOKUP(B109,'985'!$B$2:$D$40,3,FALSE),"")</f>
        <v/>
      </c>
      <c r="G109" s="32" t="str">
        <f>IFERROR(VLOOKUP(B109,'211'!$B$2:$D$116,3,FALSE),"")</f>
        <v/>
      </c>
      <c r="H109" s="32" t="str">
        <f>IFERROR(VLOOKUP(B109,双一流!$B$2:$D$148,3,FALSE),"")</f>
        <v/>
      </c>
      <c r="I109" s="32" t="str">
        <f>IFERROR(VLOOKUP(B109,汇总!$B$2:$I$2921,8,FALSE),"")</f>
        <v>理工</v>
      </c>
      <c r="J109" s="34" t="s">
        <v>11</v>
      </c>
      <c r="K109" s="35" t="s">
        <v>12</v>
      </c>
    </row>
    <row r="110" ht="33.75" spans="1:11">
      <c r="A110" s="29">
        <v>109</v>
      </c>
      <c r="B110" s="29" t="s">
        <v>133</v>
      </c>
      <c r="C110" s="29" t="str">
        <f>VLOOKUP(B110,教育部大学名单!$B$1:$D$2920,3,FALSE)</f>
        <v>河北省</v>
      </c>
      <c r="D110" s="29" t="s">
        <v>98</v>
      </c>
      <c r="E110" s="29" t="s">
        <v>132</v>
      </c>
      <c r="F110" s="36" t="str">
        <f>IFERROR(VLOOKUP(B110,'985'!$B$2:$D$40,3,FALSE),"")</f>
        <v/>
      </c>
      <c r="G110" s="32" t="str">
        <f>IFERROR(VLOOKUP(B110,'211'!$B$2:$D$116,3,FALSE),"")</f>
        <v/>
      </c>
      <c r="H110" s="32" t="str">
        <f>IFERROR(VLOOKUP(B110,双一流!$B$2:$D$148,3,FALSE),"")</f>
        <v/>
      </c>
      <c r="I110" s="32">
        <f>IFERROR(VLOOKUP(B110,汇总!$B$2:$I$2921,8,FALSE),"")</f>
        <v>0</v>
      </c>
      <c r="J110" s="29" t="s">
        <v>11</v>
      </c>
      <c r="K110" s="33" t="s">
        <v>12</v>
      </c>
    </row>
    <row r="111" ht="17.25" spans="1:11">
      <c r="A111" s="34">
        <v>110</v>
      </c>
      <c r="B111" s="34" t="s">
        <v>134</v>
      </c>
      <c r="C111" s="29" t="str">
        <f>VLOOKUP(B111,教育部大学名单!$B$1:$D$2920,3,FALSE)</f>
        <v>河北省</v>
      </c>
      <c r="D111" s="34" t="s">
        <v>98</v>
      </c>
      <c r="E111" s="34" t="s">
        <v>106</v>
      </c>
      <c r="F111" s="36" t="str">
        <f>IFERROR(VLOOKUP(B111,'985'!$B$2:$D$40,3,FALSE),"")</f>
        <v/>
      </c>
      <c r="G111" s="32" t="str">
        <f>IFERROR(VLOOKUP(B111,'211'!$B$2:$D$116,3,FALSE),"")</f>
        <v/>
      </c>
      <c r="H111" s="32" t="str">
        <f>IFERROR(VLOOKUP(B111,双一流!$B$2:$D$148,3,FALSE),"")</f>
        <v/>
      </c>
      <c r="I111" s="32">
        <f>IFERROR(VLOOKUP(B111,汇总!$B$2:$I$2921,8,FALSE),"")</f>
        <v>0</v>
      </c>
      <c r="J111" s="34" t="s">
        <v>11</v>
      </c>
      <c r="K111" s="35" t="s">
        <v>12</v>
      </c>
    </row>
    <row r="112" ht="33.75" spans="1:11">
      <c r="A112" s="29">
        <v>111</v>
      </c>
      <c r="B112" s="29" t="s">
        <v>135</v>
      </c>
      <c r="C112" s="29" t="e">
        <f>VLOOKUP(B112,教育部大学名单!$B$1:$D$2920,3,FALSE)</f>
        <v>#N/A</v>
      </c>
      <c r="D112" s="29" t="s">
        <v>98</v>
      </c>
      <c r="E112" s="29" t="s">
        <v>122</v>
      </c>
      <c r="F112" s="36" t="str">
        <f>IFERROR(VLOOKUP(B112,'985'!$B$2:$D$40,3,FALSE),"")</f>
        <v/>
      </c>
      <c r="G112" s="32" t="str">
        <f>IFERROR(VLOOKUP(B112,'211'!$B$2:$D$116,3,FALSE),"")</f>
        <v/>
      </c>
      <c r="H112" s="32" t="str">
        <f>IFERROR(VLOOKUP(B112,双一流!$B$2:$D$148,3,FALSE),"")</f>
        <v/>
      </c>
      <c r="I112" s="32" t="str">
        <f>IFERROR(VLOOKUP(B112,汇总!$B$2:$I$2921,8,FALSE),"")</f>
        <v/>
      </c>
      <c r="J112" s="29" t="s">
        <v>11</v>
      </c>
      <c r="K112" s="33" t="s">
        <v>12</v>
      </c>
    </row>
    <row r="113" ht="33.75" spans="1:11">
      <c r="A113" s="34">
        <v>112</v>
      </c>
      <c r="B113" s="34" t="s">
        <v>136</v>
      </c>
      <c r="C113" s="29" t="str">
        <f>VLOOKUP(B113,教育部大学名单!$B$1:$D$2920,3,FALSE)</f>
        <v>公安部</v>
      </c>
      <c r="D113" s="34" t="s">
        <v>98</v>
      </c>
      <c r="E113" s="34" t="s">
        <v>122</v>
      </c>
      <c r="F113" s="36" t="str">
        <f>IFERROR(VLOOKUP(B113,'985'!$B$2:$D$40,3,FALSE),"")</f>
        <v/>
      </c>
      <c r="G113" s="32" t="str">
        <f>IFERROR(VLOOKUP(B113,'211'!$B$2:$D$116,3,FALSE),"")</f>
        <v/>
      </c>
      <c r="H113" s="32" t="str">
        <f>IFERROR(VLOOKUP(B113,双一流!$B$2:$D$148,3,FALSE),"")</f>
        <v/>
      </c>
      <c r="I113" s="32" t="str">
        <f>IFERROR(VLOOKUP(B113,汇总!$B$2:$I$2921,8,FALSE),"")</f>
        <v>政法</v>
      </c>
      <c r="J113" s="34" t="s">
        <v>11</v>
      </c>
      <c r="K113" s="35" t="s">
        <v>12</v>
      </c>
    </row>
    <row r="114" ht="33.75" spans="1:11">
      <c r="A114" s="29">
        <v>113</v>
      </c>
      <c r="B114" s="29" t="s">
        <v>137</v>
      </c>
      <c r="C114" s="29" t="str">
        <f>VLOOKUP(B114,教育部大学名单!$B$1:$D$2920,3,FALSE)</f>
        <v>河北省</v>
      </c>
      <c r="D114" s="29" t="s">
        <v>98</v>
      </c>
      <c r="E114" s="29" t="s">
        <v>103</v>
      </c>
      <c r="F114" s="36" t="str">
        <f>IFERROR(VLOOKUP(B114,'985'!$B$2:$D$40,3,FALSE),"")</f>
        <v/>
      </c>
      <c r="G114" s="32" t="str">
        <f>IFERROR(VLOOKUP(B114,'211'!$B$2:$D$116,3,FALSE),"")</f>
        <v/>
      </c>
      <c r="H114" s="32" t="str">
        <f>IFERROR(VLOOKUP(B114,双一流!$B$2:$D$148,3,FALSE),"")</f>
        <v/>
      </c>
      <c r="I114" s="32">
        <f>IFERROR(VLOOKUP(B114,汇总!$B$2:$I$2921,8,FALSE),"")</f>
        <v>0</v>
      </c>
      <c r="J114" s="29" t="s">
        <v>11</v>
      </c>
      <c r="K114" s="33" t="s">
        <v>12</v>
      </c>
    </row>
    <row r="115" ht="33.75" spans="1:11">
      <c r="A115" s="34">
        <v>114</v>
      </c>
      <c r="B115" s="34" t="s">
        <v>138</v>
      </c>
      <c r="C115" s="29" t="str">
        <f>VLOOKUP(B115,教育部大学名单!$B$1:$D$2920,3,FALSE)</f>
        <v>河北省</v>
      </c>
      <c r="D115" s="34" t="s">
        <v>98</v>
      </c>
      <c r="E115" s="34" t="s">
        <v>99</v>
      </c>
      <c r="F115" s="36" t="str">
        <f>IFERROR(VLOOKUP(B115,'985'!$B$2:$D$40,3,FALSE),"")</f>
        <v/>
      </c>
      <c r="G115" s="32" t="str">
        <f>IFERROR(VLOOKUP(B115,'211'!$B$2:$D$116,3,FALSE),"")</f>
        <v/>
      </c>
      <c r="H115" s="32" t="str">
        <f>IFERROR(VLOOKUP(B115,双一流!$B$2:$D$148,3,FALSE),"")</f>
        <v/>
      </c>
      <c r="I115" s="32">
        <f>IFERROR(VLOOKUP(B115,汇总!$B$2:$I$2921,8,FALSE),"")</f>
        <v>0</v>
      </c>
      <c r="J115" s="34" t="s">
        <v>11</v>
      </c>
      <c r="K115" s="35" t="s">
        <v>12</v>
      </c>
    </row>
    <row r="116" ht="33.75" spans="1:11">
      <c r="A116" s="29">
        <v>115</v>
      </c>
      <c r="B116" s="29" t="s">
        <v>139</v>
      </c>
      <c r="C116" s="29" t="str">
        <f>VLOOKUP(B116,教育部大学名单!$B$1:$D$2920,3,FALSE)</f>
        <v>河北省</v>
      </c>
      <c r="D116" s="29" t="s">
        <v>98</v>
      </c>
      <c r="E116" s="29" t="s">
        <v>122</v>
      </c>
      <c r="F116" s="36" t="str">
        <f>IFERROR(VLOOKUP(B116,'985'!$B$2:$D$40,3,FALSE),"")</f>
        <v/>
      </c>
      <c r="G116" s="32" t="str">
        <f>IFERROR(VLOOKUP(B116,'211'!$B$2:$D$116,3,FALSE),"")</f>
        <v/>
      </c>
      <c r="H116" s="32" t="str">
        <f>IFERROR(VLOOKUP(B116,双一流!$B$2:$D$148,3,FALSE),"")</f>
        <v/>
      </c>
      <c r="I116" s="32">
        <f>IFERROR(VLOOKUP(B116,汇总!$B$2:$I$2921,8,FALSE),"")</f>
        <v>0</v>
      </c>
      <c r="J116" s="29" t="s">
        <v>11</v>
      </c>
      <c r="K116" s="33" t="s">
        <v>12</v>
      </c>
    </row>
    <row r="117" ht="33.75" spans="1:11">
      <c r="A117" s="34">
        <v>116</v>
      </c>
      <c r="B117" s="34" t="s">
        <v>140</v>
      </c>
      <c r="C117" s="29" t="str">
        <f>VLOOKUP(B117,教育部大学名单!$B$1:$D$2920,3,FALSE)</f>
        <v>河北省</v>
      </c>
      <c r="D117" s="34" t="s">
        <v>98</v>
      </c>
      <c r="E117" s="34" t="s">
        <v>103</v>
      </c>
      <c r="F117" s="36" t="str">
        <f>IFERROR(VLOOKUP(B117,'985'!$B$2:$D$40,3,FALSE),"")</f>
        <v/>
      </c>
      <c r="G117" s="32" t="str">
        <f>IFERROR(VLOOKUP(B117,'211'!$B$2:$D$116,3,FALSE),"")</f>
        <v/>
      </c>
      <c r="H117" s="32" t="str">
        <f>IFERROR(VLOOKUP(B117,双一流!$B$2:$D$148,3,FALSE),"")</f>
        <v/>
      </c>
      <c r="I117" s="32">
        <f>IFERROR(VLOOKUP(B117,汇总!$B$2:$I$2921,8,FALSE),"")</f>
        <v>0</v>
      </c>
      <c r="J117" s="34" t="s">
        <v>11</v>
      </c>
      <c r="K117" s="35" t="s">
        <v>12</v>
      </c>
    </row>
    <row r="118" ht="33.75" spans="1:11">
      <c r="A118" s="29">
        <v>117</v>
      </c>
      <c r="B118" s="29" t="s">
        <v>141</v>
      </c>
      <c r="C118" s="29" t="str">
        <f>VLOOKUP(B118,教育部大学名单!$B$1:$D$2920,3,FALSE)</f>
        <v>司法部</v>
      </c>
      <c r="D118" s="29" t="s">
        <v>98</v>
      </c>
      <c r="E118" s="29" t="s">
        <v>99</v>
      </c>
      <c r="F118" s="36" t="str">
        <f>IFERROR(VLOOKUP(B118,'985'!$B$2:$D$40,3,FALSE),"")</f>
        <v/>
      </c>
      <c r="G118" s="32" t="str">
        <f>IFERROR(VLOOKUP(B118,'211'!$B$2:$D$116,3,FALSE),"")</f>
        <v/>
      </c>
      <c r="H118" s="32" t="str">
        <f>IFERROR(VLOOKUP(B118,双一流!$B$2:$D$148,3,FALSE),"")</f>
        <v/>
      </c>
      <c r="I118" s="32">
        <f>IFERROR(VLOOKUP(B118,汇总!$B$2:$I$2921,8,FALSE),"")</f>
        <v>0</v>
      </c>
      <c r="J118" s="29" t="s">
        <v>11</v>
      </c>
      <c r="K118" s="33" t="s">
        <v>12</v>
      </c>
    </row>
    <row r="119" ht="33.75" spans="1:11">
      <c r="A119" s="34">
        <v>118</v>
      </c>
      <c r="B119" s="34" t="s">
        <v>142</v>
      </c>
      <c r="C119" s="29" t="str">
        <f>VLOOKUP(B119,教育部大学名单!$B$1:$D$2920,3,FALSE)</f>
        <v>河北省</v>
      </c>
      <c r="D119" s="34" t="s">
        <v>98</v>
      </c>
      <c r="E119" s="34" t="s">
        <v>103</v>
      </c>
      <c r="F119" s="36" t="str">
        <f>IFERROR(VLOOKUP(B119,'985'!$B$2:$D$40,3,FALSE),"")</f>
        <v/>
      </c>
      <c r="G119" s="32" t="str">
        <f>IFERROR(VLOOKUP(B119,'211'!$B$2:$D$116,3,FALSE),"")</f>
        <v/>
      </c>
      <c r="H119" s="32" t="str">
        <f>IFERROR(VLOOKUP(B119,双一流!$B$2:$D$148,3,FALSE),"")</f>
        <v/>
      </c>
      <c r="I119" s="32">
        <f>IFERROR(VLOOKUP(B119,汇总!$B$2:$I$2921,8,FALSE),"")</f>
        <v>0</v>
      </c>
      <c r="J119" s="34" t="s">
        <v>11</v>
      </c>
      <c r="K119" s="35" t="s">
        <v>12</v>
      </c>
    </row>
    <row r="120" ht="50.25" spans="1:11">
      <c r="A120" s="29">
        <v>119</v>
      </c>
      <c r="B120" s="29" t="s">
        <v>143</v>
      </c>
      <c r="C120" s="29" t="str">
        <f>VLOOKUP(B120,教育部大学名单!$B$1:$D$2920,3,FALSE)</f>
        <v>河北省</v>
      </c>
      <c r="D120" s="29" t="s">
        <v>98</v>
      </c>
      <c r="E120" s="29" t="s">
        <v>128</v>
      </c>
      <c r="F120" s="36" t="str">
        <f>IFERROR(VLOOKUP(B120,'985'!$B$2:$D$40,3,FALSE),"")</f>
        <v/>
      </c>
      <c r="G120" s="32" t="str">
        <f>IFERROR(VLOOKUP(B120,'211'!$B$2:$D$116,3,FALSE),"")</f>
        <v/>
      </c>
      <c r="H120" s="32" t="str">
        <f>IFERROR(VLOOKUP(B120,双一流!$B$2:$D$148,3,FALSE),"")</f>
        <v/>
      </c>
      <c r="I120" s="32">
        <f>IFERROR(VLOOKUP(B120,汇总!$B$2:$I$2921,8,FALSE),"")</f>
        <v>0</v>
      </c>
      <c r="J120" s="29" t="s">
        <v>11</v>
      </c>
      <c r="K120" s="33" t="s">
        <v>12</v>
      </c>
    </row>
    <row r="121" ht="33.75" spans="1:11">
      <c r="A121" s="34">
        <v>120</v>
      </c>
      <c r="B121" s="34" t="s">
        <v>144</v>
      </c>
      <c r="C121" s="29" t="str">
        <f>VLOOKUP(B121,教育部大学名单!$B$1:$D$2920,3,FALSE)</f>
        <v>河北省</v>
      </c>
      <c r="D121" s="34" t="s">
        <v>98</v>
      </c>
      <c r="E121" s="34" t="s">
        <v>116</v>
      </c>
      <c r="F121" s="36" t="str">
        <f>IFERROR(VLOOKUP(B121,'985'!$B$2:$D$40,3,FALSE),"")</f>
        <v/>
      </c>
      <c r="G121" s="32" t="str">
        <f>IFERROR(VLOOKUP(B121,'211'!$B$2:$D$116,3,FALSE),"")</f>
        <v/>
      </c>
      <c r="H121" s="32" t="str">
        <f>IFERROR(VLOOKUP(B121,双一流!$B$2:$D$148,3,FALSE),"")</f>
        <v/>
      </c>
      <c r="I121" s="32">
        <f>IFERROR(VLOOKUP(B121,汇总!$B$2:$I$2921,8,FALSE),"")</f>
        <v>0</v>
      </c>
      <c r="J121" s="34" t="s">
        <v>11</v>
      </c>
      <c r="K121" s="35" t="s">
        <v>12</v>
      </c>
    </row>
    <row r="122" ht="33.75" spans="1:11">
      <c r="A122" s="29">
        <v>121</v>
      </c>
      <c r="B122" s="29" t="s">
        <v>145</v>
      </c>
      <c r="C122" s="29" t="str">
        <f>VLOOKUP(B122,教育部大学名单!$B$1:$D$2920,3,FALSE)</f>
        <v>河北省</v>
      </c>
      <c r="D122" s="29" t="s">
        <v>98</v>
      </c>
      <c r="E122" s="29" t="s">
        <v>103</v>
      </c>
      <c r="F122" s="36" t="str">
        <f>IFERROR(VLOOKUP(B122,'985'!$B$2:$D$40,3,FALSE),"")</f>
        <v/>
      </c>
      <c r="G122" s="32" t="str">
        <f>IFERROR(VLOOKUP(B122,'211'!$B$2:$D$116,3,FALSE),"")</f>
        <v/>
      </c>
      <c r="H122" s="32" t="str">
        <f>IFERROR(VLOOKUP(B122,双一流!$B$2:$D$148,3,FALSE),"")</f>
        <v/>
      </c>
      <c r="I122" s="32">
        <f>IFERROR(VLOOKUP(B122,汇总!$B$2:$I$2921,8,FALSE),"")</f>
        <v>0</v>
      </c>
      <c r="J122" s="29" t="s">
        <v>11</v>
      </c>
      <c r="K122" s="33" t="s">
        <v>12</v>
      </c>
    </row>
    <row r="123" ht="17.25" spans="1:11">
      <c r="A123" s="34">
        <v>122</v>
      </c>
      <c r="B123" s="34" t="s">
        <v>146</v>
      </c>
      <c r="C123" s="29" t="str">
        <f>VLOOKUP(B123,教育部大学名单!$B$1:$D$2920,3,FALSE)</f>
        <v>河北省</v>
      </c>
      <c r="D123" s="34" t="s">
        <v>98</v>
      </c>
      <c r="E123" s="34" t="s">
        <v>109</v>
      </c>
      <c r="F123" s="36" t="str">
        <f>IFERROR(VLOOKUP(B123,'985'!$B$2:$D$40,3,FALSE),"")</f>
        <v/>
      </c>
      <c r="G123" s="32" t="str">
        <f>IFERROR(VLOOKUP(B123,'211'!$B$2:$D$116,3,FALSE),"")</f>
        <v/>
      </c>
      <c r="H123" s="32" t="str">
        <f>IFERROR(VLOOKUP(B123,双一流!$B$2:$D$148,3,FALSE),"")</f>
        <v/>
      </c>
      <c r="I123" s="32">
        <f>IFERROR(VLOOKUP(B123,汇总!$B$2:$I$2921,8,FALSE),"")</f>
        <v>0</v>
      </c>
      <c r="J123" s="34" t="s">
        <v>11</v>
      </c>
      <c r="K123" s="35" t="s">
        <v>12</v>
      </c>
    </row>
    <row r="124" ht="33.75" spans="1:11">
      <c r="A124" s="29">
        <v>123</v>
      </c>
      <c r="B124" s="29" t="s">
        <v>147</v>
      </c>
      <c r="C124" s="29" t="str">
        <f>VLOOKUP(B124,教育部大学名单!$B$1:$D$2920,3,FALSE)</f>
        <v>河北省</v>
      </c>
      <c r="D124" s="29" t="s">
        <v>98</v>
      </c>
      <c r="E124" s="29" t="s">
        <v>132</v>
      </c>
      <c r="F124" s="36" t="str">
        <f>IFERROR(VLOOKUP(B124,'985'!$B$2:$D$40,3,FALSE),"")</f>
        <v/>
      </c>
      <c r="G124" s="32" t="str">
        <f>IFERROR(VLOOKUP(B124,'211'!$B$2:$D$116,3,FALSE),"")</f>
        <v/>
      </c>
      <c r="H124" s="32" t="str">
        <f>IFERROR(VLOOKUP(B124,双一流!$B$2:$D$148,3,FALSE),"")</f>
        <v/>
      </c>
      <c r="I124" s="32">
        <f>IFERROR(VLOOKUP(B124,汇总!$B$2:$I$2921,8,FALSE),"")</f>
        <v>0</v>
      </c>
      <c r="J124" s="29" t="s">
        <v>11</v>
      </c>
      <c r="K124" s="33" t="s">
        <v>12</v>
      </c>
    </row>
    <row r="125" ht="33.75" spans="1:11">
      <c r="A125" s="34">
        <v>124</v>
      </c>
      <c r="B125" s="34" t="s">
        <v>148</v>
      </c>
      <c r="C125" s="29" t="str">
        <f>VLOOKUP(B125,教育部大学名单!$B$1:$D$2920,3,FALSE)</f>
        <v>河北省</v>
      </c>
      <c r="D125" s="34" t="s">
        <v>98</v>
      </c>
      <c r="E125" s="34" t="s">
        <v>106</v>
      </c>
      <c r="F125" s="36" t="str">
        <f>IFERROR(VLOOKUP(B125,'985'!$B$2:$D$40,3,FALSE),"")</f>
        <v/>
      </c>
      <c r="G125" s="32" t="str">
        <f>IFERROR(VLOOKUP(B125,'211'!$B$2:$D$116,3,FALSE),"")</f>
        <v/>
      </c>
      <c r="H125" s="32" t="str">
        <f>IFERROR(VLOOKUP(B125,双一流!$B$2:$D$148,3,FALSE),"")</f>
        <v/>
      </c>
      <c r="I125" s="32">
        <f>IFERROR(VLOOKUP(B125,汇总!$B$2:$I$2921,8,FALSE),"")</f>
        <v>0</v>
      </c>
      <c r="J125" s="34" t="s">
        <v>11</v>
      </c>
      <c r="K125" s="35" t="s">
        <v>12</v>
      </c>
    </row>
    <row r="126" ht="17.25" spans="1:11">
      <c r="A126" s="29">
        <v>125</v>
      </c>
      <c r="B126" s="29" t="s">
        <v>149</v>
      </c>
      <c r="C126" s="29" t="str">
        <f>VLOOKUP(B126,教育部大学名单!$B$1:$D$2920,3,FALSE)</f>
        <v>河北省</v>
      </c>
      <c r="D126" s="29" t="s">
        <v>98</v>
      </c>
      <c r="E126" s="29" t="s">
        <v>128</v>
      </c>
      <c r="F126" s="36" t="str">
        <f>IFERROR(VLOOKUP(B126,'985'!$B$2:$D$40,3,FALSE),"")</f>
        <v/>
      </c>
      <c r="G126" s="32" t="str">
        <f>IFERROR(VLOOKUP(B126,'211'!$B$2:$D$116,3,FALSE),"")</f>
        <v/>
      </c>
      <c r="H126" s="32" t="str">
        <f>IFERROR(VLOOKUP(B126,双一流!$B$2:$D$148,3,FALSE),"")</f>
        <v/>
      </c>
      <c r="I126" s="32">
        <f>IFERROR(VLOOKUP(B126,汇总!$B$2:$I$2921,8,FALSE),"")</f>
        <v>0</v>
      </c>
      <c r="J126" s="29" t="s">
        <v>11</v>
      </c>
      <c r="K126" s="33" t="s">
        <v>12</v>
      </c>
    </row>
    <row r="127" ht="17.25" spans="1:11">
      <c r="A127" s="34">
        <v>126</v>
      </c>
      <c r="B127" s="34" t="s">
        <v>150</v>
      </c>
      <c r="C127" s="29" t="str">
        <f>VLOOKUP(B127,教育部大学名单!$B$1:$D$2920,3,FALSE)</f>
        <v>山西省</v>
      </c>
      <c r="D127" s="34" t="s">
        <v>151</v>
      </c>
      <c r="E127" s="34" t="s">
        <v>152</v>
      </c>
      <c r="F127" s="36" t="str">
        <f>IFERROR(VLOOKUP(B127,'985'!$B$2:$D$40,3,FALSE),"")</f>
        <v/>
      </c>
      <c r="G127" s="32" t="str">
        <f>IFERROR(VLOOKUP(B127,'211'!$B$2:$D$116,3,FALSE),"")</f>
        <v/>
      </c>
      <c r="H127" s="32" t="str">
        <f>IFERROR(VLOOKUP(B127,双一流!$B$2:$D$148,3,FALSE),"")</f>
        <v>双一流</v>
      </c>
      <c r="I127" s="32" t="str">
        <f>IFERROR(VLOOKUP(B127,汇总!$B$2:$I$2921,8,FALSE),"")</f>
        <v>综合</v>
      </c>
      <c r="J127" s="34" t="s">
        <v>11</v>
      </c>
      <c r="K127" s="35" t="s">
        <v>12</v>
      </c>
    </row>
    <row r="128" ht="33.75" spans="1:11">
      <c r="A128" s="29">
        <v>127</v>
      </c>
      <c r="B128" s="29" t="s">
        <v>153</v>
      </c>
      <c r="C128" s="29" t="str">
        <f>VLOOKUP(B128,教育部大学名单!$B$1:$D$2920,3,FALSE)</f>
        <v>山西省</v>
      </c>
      <c r="D128" s="29" t="s">
        <v>151</v>
      </c>
      <c r="E128" s="29" t="s">
        <v>152</v>
      </c>
      <c r="F128" s="36" t="str">
        <f>IFERROR(VLOOKUP(B128,'985'!$B$2:$D$40,3,FALSE),"")</f>
        <v/>
      </c>
      <c r="G128" s="32" t="str">
        <f>IFERROR(VLOOKUP(B128,'211'!$B$2:$D$116,3,FALSE),"")</f>
        <v/>
      </c>
      <c r="H128" s="32" t="str">
        <f>IFERROR(VLOOKUP(B128,双一流!$B$2:$D$148,3,FALSE),"")</f>
        <v/>
      </c>
      <c r="I128" s="32" t="str">
        <f>IFERROR(VLOOKUP(B128,汇总!$B$2:$I$2921,8,FALSE),"")</f>
        <v>理工</v>
      </c>
      <c r="J128" s="29" t="s">
        <v>11</v>
      </c>
      <c r="K128" s="33" t="s">
        <v>12</v>
      </c>
    </row>
    <row r="129" ht="17.25" spans="1:11">
      <c r="A129" s="34">
        <v>128</v>
      </c>
      <c r="B129" s="34" t="s">
        <v>154</v>
      </c>
      <c r="C129" s="29" t="str">
        <f>VLOOKUP(B129,教育部大学名单!$B$1:$D$2920,3,FALSE)</f>
        <v>山西省</v>
      </c>
      <c r="D129" s="34" t="s">
        <v>151</v>
      </c>
      <c r="E129" s="34" t="s">
        <v>152</v>
      </c>
      <c r="F129" s="36" t="str">
        <f>IFERROR(VLOOKUP(B129,'985'!$B$2:$D$40,3,FALSE),"")</f>
        <v/>
      </c>
      <c r="G129" s="32" t="str">
        <f>IFERROR(VLOOKUP(B129,'211'!$B$2:$D$116,3,FALSE),"")</f>
        <v/>
      </c>
      <c r="H129" s="32" t="str">
        <f>IFERROR(VLOOKUP(B129,双一流!$B$2:$D$148,3,FALSE),"")</f>
        <v/>
      </c>
      <c r="I129" s="32" t="str">
        <f>IFERROR(VLOOKUP(B129,汇总!$B$2:$I$2921,8,FALSE),"")</f>
        <v>理工</v>
      </c>
      <c r="J129" s="34" t="s">
        <v>11</v>
      </c>
      <c r="K129" s="35" t="s">
        <v>12</v>
      </c>
    </row>
    <row r="130" ht="33.75" spans="1:11">
      <c r="A130" s="29">
        <v>129</v>
      </c>
      <c r="B130" s="29" t="s">
        <v>155</v>
      </c>
      <c r="C130" s="29" t="str">
        <f>VLOOKUP(B130,教育部大学名单!$B$1:$D$2920,3,FALSE)</f>
        <v>山西省</v>
      </c>
      <c r="D130" s="29" t="s">
        <v>151</v>
      </c>
      <c r="E130" s="29" t="s">
        <v>152</v>
      </c>
      <c r="F130" s="36" t="str">
        <f>IFERROR(VLOOKUP(B130,'985'!$B$2:$D$40,3,FALSE),"")</f>
        <v/>
      </c>
      <c r="G130" s="31">
        <f>IFERROR(VLOOKUP(B130,'211'!$B$2:$D$116,3,FALSE),"")</f>
        <v>211</v>
      </c>
      <c r="H130" s="32" t="str">
        <f>IFERROR(VLOOKUP(B130,双一流!$B$2:$D$148,3,FALSE),"")</f>
        <v>双一流</v>
      </c>
      <c r="I130" s="32" t="str">
        <f>IFERROR(VLOOKUP(B130,汇总!$B$2:$I$2921,8,FALSE),"")</f>
        <v>理工</v>
      </c>
      <c r="J130" s="29" t="s">
        <v>11</v>
      </c>
      <c r="K130" s="33" t="s">
        <v>12</v>
      </c>
    </row>
    <row r="131" ht="33.75" spans="1:11">
      <c r="A131" s="34">
        <v>130</v>
      </c>
      <c r="B131" s="34" t="s">
        <v>156</v>
      </c>
      <c r="C131" s="29" t="str">
        <f>VLOOKUP(B131,教育部大学名单!$B$1:$D$2920,3,FALSE)</f>
        <v>山西省</v>
      </c>
      <c r="D131" s="34" t="s">
        <v>151</v>
      </c>
      <c r="E131" s="34" t="s">
        <v>157</v>
      </c>
      <c r="F131" s="36" t="str">
        <f>IFERROR(VLOOKUP(B131,'985'!$B$2:$D$40,3,FALSE),"")</f>
        <v/>
      </c>
      <c r="G131" s="32" t="str">
        <f>IFERROR(VLOOKUP(B131,'211'!$B$2:$D$116,3,FALSE),"")</f>
        <v/>
      </c>
      <c r="H131" s="32" t="str">
        <f>IFERROR(VLOOKUP(B131,双一流!$B$2:$D$148,3,FALSE),"")</f>
        <v/>
      </c>
      <c r="I131" s="32" t="str">
        <f>IFERROR(VLOOKUP(B131,汇总!$B$2:$I$2921,8,FALSE),"")</f>
        <v>农林</v>
      </c>
      <c r="J131" s="34" t="s">
        <v>11</v>
      </c>
      <c r="K131" s="35" t="s">
        <v>12</v>
      </c>
    </row>
    <row r="132" ht="33.75" spans="1:11">
      <c r="A132" s="29">
        <v>131</v>
      </c>
      <c r="B132" s="29" t="s">
        <v>158</v>
      </c>
      <c r="C132" s="29" t="str">
        <f>VLOOKUP(B132,教育部大学名单!$B$1:$D$2920,3,FALSE)</f>
        <v>山西省</v>
      </c>
      <c r="D132" s="29" t="s">
        <v>151</v>
      </c>
      <c r="E132" s="29" t="s">
        <v>152</v>
      </c>
      <c r="F132" s="36" t="str">
        <f>IFERROR(VLOOKUP(B132,'985'!$B$2:$D$40,3,FALSE),"")</f>
        <v/>
      </c>
      <c r="G132" s="32" t="str">
        <f>IFERROR(VLOOKUP(B132,'211'!$B$2:$D$116,3,FALSE),"")</f>
        <v/>
      </c>
      <c r="H132" s="32" t="str">
        <f>IFERROR(VLOOKUP(B132,双一流!$B$2:$D$148,3,FALSE),"")</f>
        <v/>
      </c>
      <c r="I132" s="32" t="str">
        <f>IFERROR(VLOOKUP(B132,汇总!$B$2:$I$2921,8,FALSE),"")</f>
        <v>医药</v>
      </c>
      <c r="J132" s="29" t="s">
        <v>11</v>
      </c>
      <c r="K132" s="33" t="s">
        <v>12</v>
      </c>
    </row>
    <row r="133" ht="17.25" spans="1:11">
      <c r="A133" s="34">
        <v>132</v>
      </c>
      <c r="B133" s="34" t="s">
        <v>159</v>
      </c>
      <c r="C133" s="29" t="str">
        <f>VLOOKUP(B133,教育部大学名单!$B$1:$D$2920,3,FALSE)</f>
        <v>山西省</v>
      </c>
      <c r="D133" s="34" t="s">
        <v>151</v>
      </c>
      <c r="E133" s="34" t="s">
        <v>160</v>
      </c>
      <c r="F133" s="36" t="str">
        <f>IFERROR(VLOOKUP(B133,'985'!$B$2:$D$40,3,FALSE),"")</f>
        <v/>
      </c>
      <c r="G133" s="32" t="str">
        <f>IFERROR(VLOOKUP(B133,'211'!$B$2:$D$116,3,FALSE),"")</f>
        <v/>
      </c>
      <c r="H133" s="32" t="str">
        <f>IFERROR(VLOOKUP(B133,双一流!$B$2:$D$148,3,FALSE),"")</f>
        <v/>
      </c>
      <c r="I133" s="32">
        <f>IFERROR(VLOOKUP(B133,汇总!$B$2:$I$2921,8,FALSE),"")</f>
        <v>0</v>
      </c>
      <c r="J133" s="34" t="s">
        <v>11</v>
      </c>
      <c r="K133" s="35" t="s">
        <v>12</v>
      </c>
    </row>
    <row r="134" ht="33.75" spans="1:11">
      <c r="A134" s="29">
        <v>133</v>
      </c>
      <c r="B134" s="29" t="s">
        <v>161</v>
      </c>
      <c r="C134" s="29" t="str">
        <f>VLOOKUP(B134,教育部大学名单!$B$1:$D$2920,3,FALSE)</f>
        <v>山西省</v>
      </c>
      <c r="D134" s="29" t="s">
        <v>151</v>
      </c>
      <c r="E134" s="29" t="s">
        <v>152</v>
      </c>
      <c r="F134" s="36" t="str">
        <f>IFERROR(VLOOKUP(B134,'985'!$B$2:$D$40,3,FALSE),"")</f>
        <v/>
      </c>
      <c r="G134" s="32" t="str">
        <f>IFERROR(VLOOKUP(B134,'211'!$B$2:$D$116,3,FALSE),"")</f>
        <v/>
      </c>
      <c r="H134" s="32" t="str">
        <f>IFERROR(VLOOKUP(B134,双一流!$B$2:$D$148,3,FALSE),"")</f>
        <v/>
      </c>
      <c r="I134" s="32" t="str">
        <f>IFERROR(VLOOKUP(B134,汇总!$B$2:$I$2921,8,FALSE),"")</f>
        <v>师范</v>
      </c>
      <c r="J134" s="29" t="s">
        <v>11</v>
      </c>
      <c r="K134" s="33" t="s">
        <v>12</v>
      </c>
    </row>
    <row r="135" ht="33.75" spans="1:11">
      <c r="A135" s="34">
        <v>134</v>
      </c>
      <c r="B135" s="34" t="s">
        <v>162</v>
      </c>
      <c r="C135" s="29" t="str">
        <f>VLOOKUP(B135,教育部大学名单!$B$1:$D$2920,3,FALSE)</f>
        <v>山西省</v>
      </c>
      <c r="D135" s="34" t="s">
        <v>151</v>
      </c>
      <c r="E135" s="34" t="s">
        <v>152</v>
      </c>
      <c r="F135" s="36" t="str">
        <f>IFERROR(VLOOKUP(B135,'985'!$B$2:$D$40,3,FALSE),"")</f>
        <v/>
      </c>
      <c r="G135" s="32" t="str">
        <f>IFERROR(VLOOKUP(B135,'211'!$B$2:$D$116,3,FALSE),"")</f>
        <v/>
      </c>
      <c r="H135" s="32" t="str">
        <f>IFERROR(VLOOKUP(B135,双一流!$B$2:$D$148,3,FALSE),"")</f>
        <v/>
      </c>
      <c r="I135" s="32">
        <f>IFERROR(VLOOKUP(B135,汇总!$B$2:$I$2921,8,FALSE),"")</f>
        <v>0</v>
      </c>
      <c r="J135" s="34" t="s">
        <v>11</v>
      </c>
      <c r="K135" s="35" t="s">
        <v>12</v>
      </c>
    </row>
    <row r="136" ht="33.75" spans="1:11">
      <c r="A136" s="29">
        <v>135</v>
      </c>
      <c r="B136" s="29" t="s">
        <v>163</v>
      </c>
      <c r="C136" s="29" t="str">
        <f>VLOOKUP(B136,教育部大学名单!$B$1:$D$2920,3,FALSE)</f>
        <v>山西省</v>
      </c>
      <c r="D136" s="29" t="s">
        <v>151</v>
      </c>
      <c r="E136" s="29" t="s">
        <v>164</v>
      </c>
      <c r="F136" s="36" t="str">
        <f>IFERROR(VLOOKUP(B136,'985'!$B$2:$D$40,3,FALSE),"")</f>
        <v/>
      </c>
      <c r="G136" s="32" t="str">
        <f>IFERROR(VLOOKUP(B136,'211'!$B$2:$D$116,3,FALSE),"")</f>
        <v/>
      </c>
      <c r="H136" s="32" t="str">
        <f>IFERROR(VLOOKUP(B136,双一流!$B$2:$D$148,3,FALSE),"")</f>
        <v/>
      </c>
      <c r="I136" s="32">
        <f>IFERROR(VLOOKUP(B136,汇总!$B$2:$I$2921,8,FALSE),"")</f>
        <v>0</v>
      </c>
      <c r="J136" s="29" t="s">
        <v>11</v>
      </c>
      <c r="K136" s="33" t="s">
        <v>12</v>
      </c>
    </row>
    <row r="137" ht="17.25" spans="1:11">
      <c r="A137" s="34">
        <v>136</v>
      </c>
      <c r="B137" s="34" t="s">
        <v>165</v>
      </c>
      <c r="C137" s="29" t="str">
        <f>VLOOKUP(B137,教育部大学名单!$B$1:$D$2920,3,FALSE)</f>
        <v>山西省</v>
      </c>
      <c r="D137" s="34" t="s">
        <v>151</v>
      </c>
      <c r="E137" s="34" t="s">
        <v>157</v>
      </c>
      <c r="F137" s="36" t="str">
        <f>IFERROR(VLOOKUP(B137,'985'!$B$2:$D$40,3,FALSE),"")</f>
        <v/>
      </c>
      <c r="G137" s="32" t="str">
        <f>IFERROR(VLOOKUP(B137,'211'!$B$2:$D$116,3,FALSE),"")</f>
        <v/>
      </c>
      <c r="H137" s="32" t="str">
        <f>IFERROR(VLOOKUP(B137,双一流!$B$2:$D$148,3,FALSE),"")</f>
        <v/>
      </c>
      <c r="I137" s="32">
        <f>IFERROR(VLOOKUP(B137,汇总!$B$2:$I$2921,8,FALSE),"")</f>
        <v>0</v>
      </c>
      <c r="J137" s="34" t="s">
        <v>11</v>
      </c>
      <c r="K137" s="35" t="s">
        <v>12</v>
      </c>
    </row>
    <row r="138" ht="17.25" spans="1:11">
      <c r="A138" s="29">
        <v>137</v>
      </c>
      <c r="B138" s="29" t="s">
        <v>166</v>
      </c>
      <c r="C138" s="29" t="str">
        <f>VLOOKUP(B138,教育部大学名单!$B$1:$D$2920,3,FALSE)</f>
        <v>山西省</v>
      </c>
      <c r="D138" s="29" t="s">
        <v>151</v>
      </c>
      <c r="E138" s="29" t="s">
        <v>160</v>
      </c>
      <c r="F138" s="36" t="str">
        <f>IFERROR(VLOOKUP(B138,'985'!$B$2:$D$40,3,FALSE),"")</f>
        <v/>
      </c>
      <c r="G138" s="32" t="str">
        <f>IFERROR(VLOOKUP(B138,'211'!$B$2:$D$116,3,FALSE),"")</f>
        <v/>
      </c>
      <c r="H138" s="32" t="str">
        <f>IFERROR(VLOOKUP(B138,双一流!$B$2:$D$148,3,FALSE),"")</f>
        <v/>
      </c>
      <c r="I138" s="32">
        <f>IFERROR(VLOOKUP(B138,汇总!$B$2:$I$2921,8,FALSE),"")</f>
        <v>0</v>
      </c>
      <c r="J138" s="29" t="s">
        <v>11</v>
      </c>
      <c r="K138" s="33" t="s">
        <v>12</v>
      </c>
    </row>
    <row r="139" ht="17.25" spans="1:11">
      <c r="A139" s="34">
        <v>138</v>
      </c>
      <c r="B139" s="34" t="s">
        <v>167</v>
      </c>
      <c r="C139" s="29" t="str">
        <f>VLOOKUP(B139,教育部大学名单!$B$1:$D$2920,3,FALSE)</f>
        <v>山西省</v>
      </c>
      <c r="D139" s="34" t="s">
        <v>151</v>
      </c>
      <c r="E139" s="34" t="s">
        <v>168</v>
      </c>
      <c r="F139" s="36" t="str">
        <f>IFERROR(VLOOKUP(B139,'985'!$B$2:$D$40,3,FALSE),"")</f>
        <v/>
      </c>
      <c r="G139" s="32" t="str">
        <f>IFERROR(VLOOKUP(B139,'211'!$B$2:$D$116,3,FALSE),"")</f>
        <v/>
      </c>
      <c r="H139" s="32" t="str">
        <f>IFERROR(VLOOKUP(B139,双一流!$B$2:$D$148,3,FALSE),"")</f>
        <v/>
      </c>
      <c r="I139" s="32">
        <f>IFERROR(VLOOKUP(B139,汇总!$B$2:$I$2921,8,FALSE),"")</f>
        <v>0</v>
      </c>
      <c r="J139" s="34" t="s">
        <v>11</v>
      </c>
      <c r="K139" s="35" t="s">
        <v>12</v>
      </c>
    </row>
    <row r="140" ht="33.75" spans="1:11">
      <c r="A140" s="29">
        <v>139</v>
      </c>
      <c r="B140" s="29" t="s">
        <v>169</v>
      </c>
      <c r="C140" s="29" t="str">
        <f>VLOOKUP(B140,教育部大学名单!$B$1:$D$2920,3,FALSE)</f>
        <v>山西省</v>
      </c>
      <c r="D140" s="29" t="s">
        <v>151</v>
      </c>
      <c r="E140" s="29" t="s">
        <v>170</v>
      </c>
      <c r="F140" s="36" t="str">
        <f>IFERROR(VLOOKUP(B140,'985'!$B$2:$D$40,3,FALSE),"")</f>
        <v/>
      </c>
      <c r="G140" s="32" t="str">
        <f>IFERROR(VLOOKUP(B140,'211'!$B$2:$D$116,3,FALSE),"")</f>
        <v/>
      </c>
      <c r="H140" s="32" t="str">
        <f>IFERROR(VLOOKUP(B140,双一流!$B$2:$D$148,3,FALSE),"")</f>
        <v/>
      </c>
      <c r="I140" s="32">
        <f>IFERROR(VLOOKUP(B140,汇总!$B$2:$I$2921,8,FALSE),"")</f>
        <v>0</v>
      </c>
      <c r="J140" s="29" t="s">
        <v>11</v>
      </c>
      <c r="K140" s="33" t="s">
        <v>12</v>
      </c>
    </row>
    <row r="141" ht="33.75" spans="1:11">
      <c r="A141" s="34">
        <v>140</v>
      </c>
      <c r="B141" s="34" t="s">
        <v>171</v>
      </c>
      <c r="C141" s="29" t="str">
        <f>VLOOKUP(B141,教育部大学名单!$B$1:$D$2920,3,FALSE)</f>
        <v>山西省</v>
      </c>
      <c r="D141" s="34" t="s">
        <v>151</v>
      </c>
      <c r="E141" s="34" t="s">
        <v>152</v>
      </c>
      <c r="F141" s="36" t="str">
        <f>IFERROR(VLOOKUP(B141,'985'!$B$2:$D$40,3,FALSE),"")</f>
        <v/>
      </c>
      <c r="G141" s="32" t="str">
        <f>IFERROR(VLOOKUP(B141,'211'!$B$2:$D$116,3,FALSE),"")</f>
        <v/>
      </c>
      <c r="H141" s="32" t="str">
        <f>IFERROR(VLOOKUP(B141,双一流!$B$2:$D$148,3,FALSE),"")</f>
        <v/>
      </c>
      <c r="I141" s="32" t="str">
        <f>IFERROR(VLOOKUP(B141,汇总!$B$2:$I$2921,8,FALSE),"")</f>
        <v>财经</v>
      </c>
      <c r="J141" s="34" t="s">
        <v>11</v>
      </c>
      <c r="K141" s="35" t="s">
        <v>12</v>
      </c>
    </row>
    <row r="142" ht="33.75" spans="1:11">
      <c r="A142" s="29">
        <v>141</v>
      </c>
      <c r="B142" s="29" t="s">
        <v>172</v>
      </c>
      <c r="C142" s="29" t="str">
        <f>VLOOKUP(B142,教育部大学名单!$B$1:$D$2920,3,FALSE)</f>
        <v>山西省</v>
      </c>
      <c r="D142" s="29" t="s">
        <v>151</v>
      </c>
      <c r="E142" s="29" t="s">
        <v>152</v>
      </c>
      <c r="F142" s="36" t="str">
        <f>IFERROR(VLOOKUP(B142,'985'!$B$2:$D$40,3,FALSE),"")</f>
        <v/>
      </c>
      <c r="G142" s="32" t="str">
        <f>IFERROR(VLOOKUP(B142,'211'!$B$2:$D$116,3,FALSE),"")</f>
        <v/>
      </c>
      <c r="H142" s="32" t="str">
        <f>IFERROR(VLOOKUP(B142,双一流!$B$2:$D$148,3,FALSE),"")</f>
        <v/>
      </c>
      <c r="I142" s="32">
        <f>IFERROR(VLOOKUP(B142,汇总!$B$2:$I$2921,8,FALSE),"")</f>
        <v>0</v>
      </c>
      <c r="J142" s="29" t="s">
        <v>11</v>
      </c>
      <c r="K142" s="33" t="s">
        <v>12</v>
      </c>
    </row>
    <row r="143" ht="17.25" spans="1:11">
      <c r="A143" s="34">
        <v>142</v>
      </c>
      <c r="B143" s="34" t="s">
        <v>173</v>
      </c>
      <c r="C143" s="29" t="str">
        <f>VLOOKUP(B143,教育部大学名单!$B$1:$D$2920,3,FALSE)</f>
        <v>山西省</v>
      </c>
      <c r="D143" s="34" t="s">
        <v>151</v>
      </c>
      <c r="E143" s="34" t="s">
        <v>174</v>
      </c>
      <c r="F143" s="36" t="str">
        <f>IFERROR(VLOOKUP(B143,'985'!$B$2:$D$40,3,FALSE),"")</f>
        <v/>
      </c>
      <c r="G143" s="32" t="str">
        <f>IFERROR(VLOOKUP(B143,'211'!$B$2:$D$116,3,FALSE),"")</f>
        <v/>
      </c>
      <c r="H143" s="32" t="str">
        <f>IFERROR(VLOOKUP(B143,双一流!$B$2:$D$148,3,FALSE),"")</f>
        <v/>
      </c>
      <c r="I143" s="32">
        <f>IFERROR(VLOOKUP(B143,汇总!$B$2:$I$2921,8,FALSE),"")</f>
        <v>0</v>
      </c>
      <c r="J143" s="34" t="s">
        <v>11</v>
      </c>
      <c r="K143" s="35" t="s">
        <v>12</v>
      </c>
    </row>
    <row r="144" ht="17.25" spans="1:11">
      <c r="A144" s="29">
        <v>143</v>
      </c>
      <c r="B144" s="29" t="s">
        <v>175</v>
      </c>
      <c r="C144" s="29" t="str">
        <f>VLOOKUP(B144,教育部大学名单!$B$1:$D$2920,3,FALSE)</f>
        <v>山西省</v>
      </c>
      <c r="D144" s="29" t="s">
        <v>151</v>
      </c>
      <c r="E144" s="29" t="s">
        <v>152</v>
      </c>
      <c r="F144" s="36" t="str">
        <f>IFERROR(VLOOKUP(B144,'985'!$B$2:$D$40,3,FALSE),"")</f>
        <v/>
      </c>
      <c r="G144" s="32" t="str">
        <f>IFERROR(VLOOKUP(B144,'211'!$B$2:$D$116,3,FALSE),"")</f>
        <v/>
      </c>
      <c r="H144" s="32" t="str">
        <f>IFERROR(VLOOKUP(B144,双一流!$B$2:$D$148,3,FALSE),"")</f>
        <v/>
      </c>
      <c r="I144" s="32">
        <f>IFERROR(VLOOKUP(B144,汇总!$B$2:$I$2921,8,FALSE),"")</f>
        <v>0</v>
      </c>
      <c r="J144" s="29" t="s">
        <v>11</v>
      </c>
      <c r="K144" s="33" t="s">
        <v>12</v>
      </c>
    </row>
    <row r="145" ht="33.75" spans="1:11">
      <c r="A145" s="34">
        <v>144</v>
      </c>
      <c r="B145" s="34" t="s">
        <v>176</v>
      </c>
      <c r="C145" s="29" t="str">
        <f>VLOOKUP(B145,教育部大学名单!$B$1:$D$2920,3,FALSE)</f>
        <v>山西省</v>
      </c>
      <c r="D145" s="34" t="s">
        <v>151</v>
      </c>
      <c r="E145" s="34" t="s">
        <v>152</v>
      </c>
      <c r="F145" s="36" t="str">
        <f>IFERROR(VLOOKUP(B145,'985'!$B$2:$D$40,3,FALSE),"")</f>
        <v/>
      </c>
      <c r="G145" s="32" t="str">
        <f>IFERROR(VLOOKUP(B145,'211'!$B$2:$D$116,3,FALSE),"")</f>
        <v/>
      </c>
      <c r="H145" s="32" t="str">
        <f>IFERROR(VLOOKUP(B145,双一流!$B$2:$D$148,3,FALSE),"")</f>
        <v/>
      </c>
      <c r="I145" s="32">
        <f>IFERROR(VLOOKUP(B145,汇总!$B$2:$I$2921,8,FALSE),"")</f>
        <v>0</v>
      </c>
      <c r="J145" s="34" t="s">
        <v>11</v>
      </c>
      <c r="K145" s="35" t="s">
        <v>12</v>
      </c>
    </row>
    <row r="146" ht="33.75" spans="1:11">
      <c r="A146" s="29">
        <v>145</v>
      </c>
      <c r="B146" s="29" t="s">
        <v>177</v>
      </c>
      <c r="C146" s="29" t="str">
        <f>VLOOKUP(B146,教育部大学名单!$B$1:$D$2920,3,FALSE)</f>
        <v>山西省</v>
      </c>
      <c r="D146" s="29" t="s">
        <v>151</v>
      </c>
      <c r="E146" s="29" t="s">
        <v>152</v>
      </c>
      <c r="F146" s="36" t="str">
        <f>IFERROR(VLOOKUP(B146,'985'!$B$2:$D$40,3,FALSE),"")</f>
        <v/>
      </c>
      <c r="G146" s="32" t="str">
        <f>IFERROR(VLOOKUP(B146,'211'!$B$2:$D$116,3,FALSE),"")</f>
        <v/>
      </c>
      <c r="H146" s="32" t="str">
        <f>IFERROR(VLOOKUP(B146,双一流!$B$2:$D$148,3,FALSE),"")</f>
        <v/>
      </c>
      <c r="I146" s="32">
        <f>IFERROR(VLOOKUP(B146,汇总!$B$2:$I$2921,8,FALSE),"")</f>
        <v>0</v>
      </c>
      <c r="J146" s="29" t="s">
        <v>11</v>
      </c>
      <c r="K146" s="33" t="s">
        <v>12</v>
      </c>
    </row>
    <row r="147" ht="17.25" spans="1:11">
      <c r="A147" s="34">
        <v>146</v>
      </c>
      <c r="B147" s="34" t="s">
        <v>178</v>
      </c>
      <c r="C147" s="29" t="str">
        <f>VLOOKUP(B147,教育部大学名单!$B$1:$D$2920,3,FALSE)</f>
        <v>山西省</v>
      </c>
      <c r="D147" s="34" t="s">
        <v>151</v>
      </c>
      <c r="E147" s="34" t="s">
        <v>179</v>
      </c>
      <c r="F147" s="36" t="str">
        <f>IFERROR(VLOOKUP(B147,'985'!$B$2:$D$40,3,FALSE),"")</f>
        <v/>
      </c>
      <c r="G147" s="32" t="str">
        <f>IFERROR(VLOOKUP(B147,'211'!$B$2:$D$116,3,FALSE),"")</f>
        <v/>
      </c>
      <c r="H147" s="32" t="str">
        <f>IFERROR(VLOOKUP(B147,双一流!$B$2:$D$148,3,FALSE),"")</f>
        <v/>
      </c>
      <c r="I147" s="32">
        <f>IFERROR(VLOOKUP(B147,汇总!$B$2:$I$2921,8,FALSE),"")</f>
        <v>0</v>
      </c>
      <c r="J147" s="34" t="s">
        <v>11</v>
      </c>
      <c r="K147" s="35" t="s">
        <v>12</v>
      </c>
    </row>
    <row r="148" ht="33.75" spans="1:11">
      <c r="A148" s="29">
        <v>147</v>
      </c>
      <c r="B148" s="29" t="s">
        <v>180</v>
      </c>
      <c r="C148" s="29" t="str">
        <f>VLOOKUP(B148,教育部大学名单!$B$1:$D$2920,3,FALSE)</f>
        <v>山西省</v>
      </c>
      <c r="D148" s="29" t="s">
        <v>151</v>
      </c>
      <c r="E148" s="29" t="s">
        <v>181</v>
      </c>
      <c r="F148" s="36" t="str">
        <f>IFERROR(VLOOKUP(B148,'985'!$B$2:$D$40,3,FALSE),"")</f>
        <v/>
      </c>
      <c r="G148" s="32" t="str">
        <f>IFERROR(VLOOKUP(B148,'211'!$B$2:$D$116,3,FALSE),"")</f>
        <v/>
      </c>
      <c r="H148" s="32" t="str">
        <f>IFERROR(VLOOKUP(B148,双一流!$B$2:$D$148,3,FALSE),"")</f>
        <v/>
      </c>
      <c r="I148" s="32">
        <f>IFERROR(VLOOKUP(B148,汇总!$B$2:$I$2921,8,FALSE),"")</f>
        <v>0</v>
      </c>
      <c r="J148" s="29" t="s">
        <v>11</v>
      </c>
      <c r="K148" s="33" t="s">
        <v>12</v>
      </c>
    </row>
    <row r="149" ht="33.75" spans="1:11">
      <c r="A149" s="34">
        <v>148</v>
      </c>
      <c r="B149" s="34" t="s">
        <v>182</v>
      </c>
      <c r="C149" s="29" t="str">
        <f>VLOOKUP(B149,教育部大学名单!$B$1:$D$2920,3,FALSE)</f>
        <v>山西省</v>
      </c>
      <c r="D149" s="34" t="s">
        <v>151</v>
      </c>
      <c r="E149" s="34" t="s">
        <v>183</v>
      </c>
      <c r="F149" s="36" t="str">
        <f>IFERROR(VLOOKUP(B149,'985'!$B$2:$D$40,3,FALSE),"")</f>
        <v/>
      </c>
      <c r="G149" s="32" t="str">
        <f>IFERROR(VLOOKUP(B149,'211'!$B$2:$D$116,3,FALSE),"")</f>
        <v/>
      </c>
      <c r="H149" s="32" t="str">
        <f>IFERROR(VLOOKUP(B149,双一流!$B$2:$D$148,3,FALSE),"")</f>
        <v/>
      </c>
      <c r="I149" s="32">
        <f>IFERROR(VLOOKUP(B149,汇总!$B$2:$I$2921,8,FALSE),"")</f>
        <v>0</v>
      </c>
      <c r="J149" s="34" t="s">
        <v>11</v>
      </c>
      <c r="K149" s="35" t="s">
        <v>12</v>
      </c>
    </row>
    <row r="150" ht="33.75" spans="1:11">
      <c r="A150" s="29">
        <v>149</v>
      </c>
      <c r="B150" s="29" t="s">
        <v>184</v>
      </c>
      <c r="C150" s="29" t="str">
        <f>VLOOKUP(B150,教育部大学名单!$B$1:$D$2920,3,FALSE)</f>
        <v>山西省</v>
      </c>
      <c r="D150" s="29" t="s">
        <v>151</v>
      </c>
      <c r="E150" s="29" t="s">
        <v>152</v>
      </c>
      <c r="F150" s="36" t="str">
        <f>IFERROR(VLOOKUP(B150,'985'!$B$2:$D$40,3,FALSE),"")</f>
        <v/>
      </c>
      <c r="G150" s="32" t="str">
        <f>IFERROR(VLOOKUP(B150,'211'!$B$2:$D$116,3,FALSE),"")</f>
        <v/>
      </c>
      <c r="H150" s="32" t="str">
        <f>IFERROR(VLOOKUP(B150,双一流!$B$2:$D$148,3,FALSE),"")</f>
        <v/>
      </c>
      <c r="I150" s="32">
        <f>IFERROR(VLOOKUP(B150,汇总!$B$2:$I$2921,8,FALSE),"")</f>
        <v>0</v>
      </c>
      <c r="J150" s="29" t="s">
        <v>11</v>
      </c>
      <c r="K150" s="33" t="s">
        <v>12</v>
      </c>
    </row>
    <row r="151" ht="33.75" spans="1:11">
      <c r="A151" s="34">
        <v>150</v>
      </c>
      <c r="B151" s="34" t="s">
        <v>185</v>
      </c>
      <c r="C151" s="29" t="str">
        <f>VLOOKUP(B151,教育部大学名单!$B$1:$D$2920,3,FALSE)</f>
        <v>山西省</v>
      </c>
      <c r="D151" s="34" t="s">
        <v>151</v>
      </c>
      <c r="E151" s="34" t="s">
        <v>152</v>
      </c>
      <c r="F151" s="36" t="str">
        <f>IFERROR(VLOOKUP(B151,'985'!$B$2:$D$40,3,FALSE),"")</f>
        <v/>
      </c>
      <c r="G151" s="32" t="str">
        <f>IFERROR(VLOOKUP(B151,'211'!$B$2:$D$116,3,FALSE),"")</f>
        <v/>
      </c>
      <c r="H151" s="32" t="str">
        <f>IFERROR(VLOOKUP(B151,双一流!$B$2:$D$148,3,FALSE),"")</f>
        <v/>
      </c>
      <c r="I151" s="32">
        <f>IFERROR(VLOOKUP(B151,汇总!$B$2:$I$2921,8,FALSE),"")</f>
        <v>0</v>
      </c>
      <c r="J151" s="34" t="s">
        <v>11</v>
      </c>
      <c r="K151" s="35" t="s">
        <v>12</v>
      </c>
    </row>
    <row r="152" ht="33.75" spans="1:11">
      <c r="A152" s="29">
        <v>151</v>
      </c>
      <c r="B152" s="29" t="s">
        <v>186</v>
      </c>
      <c r="C152" s="29" t="str">
        <f>VLOOKUP(B152,教育部大学名单!$B$1:$D$2920,3,FALSE)</f>
        <v>山西省</v>
      </c>
      <c r="D152" s="29" t="s">
        <v>151</v>
      </c>
      <c r="E152" s="29" t="s">
        <v>187</v>
      </c>
      <c r="F152" s="36" t="str">
        <f>IFERROR(VLOOKUP(B152,'985'!$B$2:$D$40,3,FALSE),"")</f>
        <v/>
      </c>
      <c r="G152" s="32" t="str">
        <f>IFERROR(VLOOKUP(B152,'211'!$B$2:$D$116,3,FALSE),"")</f>
        <v/>
      </c>
      <c r="H152" s="32" t="str">
        <f>IFERROR(VLOOKUP(B152,双一流!$B$2:$D$148,3,FALSE),"")</f>
        <v/>
      </c>
      <c r="I152" s="32">
        <f>IFERROR(VLOOKUP(B152,汇总!$B$2:$I$2921,8,FALSE),"")</f>
        <v>0</v>
      </c>
      <c r="J152" s="29" t="s">
        <v>11</v>
      </c>
      <c r="K152" s="33" t="s">
        <v>12</v>
      </c>
    </row>
    <row r="153" ht="33.75" spans="1:11">
      <c r="A153" s="34">
        <v>152</v>
      </c>
      <c r="B153" s="34" t="s">
        <v>188</v>
      </c>
      <c r="C153" s="29" t="str">
        <f>VLOOKUP(B153,教育部大学名单!$B$1:$D$2920,3,FALSE)</f>
        <v>山西省</v>
      </c>
      <c r="D153" s="34" t="s">
        <v>151</v>
      </c>
      <c r="E153" s="34" t="s">
        <v>157</v>
      </c>
      <c r="F153" s="36" t="str">
        <f>IFERROR(VLOOKUP(B153,'985'!$B$2:$D$40,3,FALSE),"")</f>
        <v/>
      </c>
      <c r="G153" s="32" t="str">
        <f>IFERROR(VLOOKUP(B153,'211'!$B$2:$D$116,3,FALSE),"")</f>
        <v/>
      </c>
      <c r="H153" s="32" t="str">
        <f>IFERROR(VLOOKUP(B153,双一流!$B$2:$D$148,3,FALSE),"")</f>
        <v/>
      </c>
      <c r="I153" s="32">
        <f>IFERROR(VLOOKUP(B153,汇总!$B$2:$I$2921,8,FALSE),"")</f>
        <v>0</v>
      </c>
      <c r="J153" s="34" t="s">
        <v>11</v>
      </c>
      <c r="K153" s="35" t="s">
        <v>12</v>
      </c>
    </row>
    <row r="154" ht="33.75" spans="1:11">
      <c r="A154" s="29">
        <v>153</v>
      </c>
      <c r="B154" s="29" t="s">
        <v>189</v>
      </c>
      <c r="C154" s="29" t="str">
        <f>VLOOKUP(B154,教育部大学名单!$B$1:$D$2920,3,FALSE)</f>
        <v>山西省</v>
      </c>
      <c r="D154" s="29" t="s">
        <v>151</v>
      </c>
      <c r="E154" s="29" t="s">
        <v>152</v>
      </c>
      <c r="F154" s="36" t="str">
        <f>IFERROR(VLOOKUP(B154,'985'!$B$2:$D$40,3,FALSE),"")</f>
        <v/>
      </c>
      <c r="G154" s="32" t="str">
        <f>IFERROR(VLOOKUP(B154,'211'!$B$2:$D$116,3,FALSE),"")</f>
        <v/>
      </c>
      <c r="H154" s="32" t="str">
        <f>IFERROR(VLOOKUP(B154,双一流!$B$2:$D$148,3,FALSE),"")</f>
        <v/>
      </c>
      <c r="I154" s="32" t="str">
        <f>IFERROR(VLOOKUP(B154,汇总!$B$2:$I$2921,8,FALSE),"")</f>
        <v/>
      </c>
      <c r="J154" s="29" t="s">
        <v>11</v>
      </c>
      <c r="K154" s="33" t="s">
        <v>12</v>
      </c>
    </row>
    <row r="155" ht="33.75" spans="1:11">
      <c r="A155" s="34">
        <v>154</v>
      </c>
      <c r="B155" s="34" t="s">
        <v>190</v>
      </c>
      <c r="C155" s="29" t="str">
        <f>VLOOKUP(B155,教育部大学名单!$B$1:$D$2920,3,FALSE)</f>
        <v>内蒙古自治区</v>
      </c>
      <c r="D155" s="34" t="s">
        <v>191</v>
      </c>
      <c r="E155" s="34" t="s">
        <v>192</v>
      </c>
      <c r="F155" s="36" t="str">
        <f>IFERROR(VLOOKUP(B155,'985'!$B$2:$D$40,3,FALSE),"")</f>
        <v/>
      </c>
      <c r="G155" s="31">
        <f>IFERROR(VLOOKUP(B155,'211'!$B$2:$D$116,3,FALSE),"")</f>
        <v>211</v>
      </c>
      <c r="H155" s="32" t="str">
        <f>IFERROR(VLOOKUP(B155,双一流!$B$2:$D$148,3,FALSE),"")</f>
        <v>双一流</v>
      </c>
      <c r="I155" s="32" t="str">
        <f>IFERROR(VLOOKUP(B155,汇总!$B$2:$I$2921,8,FALSE),"")</f>
        <v>综合</v>
      </c>
      <c r="J155" s="34" t="s">
        <v>11</v>
      </c>
      <c r="K155" s="35" t="s">
        <v>12</v>
      </c>
    </row>
    <row r="156" ht="33.75" spans="1:11">
      <c r="A156" s="29">
        <v>155</v>
      </c>
      <c r="B156" s="29" t="s">
        <v>193</v>
      </c>
      <c r="C156" s="29" t="str">
        <f>VLOOKUP(B156,教育部大学名单!$B$1:$D$2920,3,FALSE)</f>
        <v>内蒙古自治区</v>
      </c>
      <c r="D156" s="29" t="s">
        <v>191</v>
      </c>
      <c r="E156" s="29" t="s">
        <v>194</v>
      </c>
      <c r="F156" s="36" t="str">
        <f>IFERROR(VLOOKUP(B156,'985'!$B$2:$D$40,3,FALSE),"")</f>
        <v/>
      </c>
      <c r="G156" s="32" t="str">
        <f>IFERROR(VLOOKUP(B156,'211'!$B$2:$D$116,3,FALSE),"")</f>
        <v/>
      </c>
      <c r="H156" s="32" t="str">
        <f>IFERROR(VLOOKUP(B156,双一流!$B$2:$D$148,3,FALSE),"")</f>
        <v/>
      </c>
      <c r="I156" s="32" t="str">
        <f>IFERROR(VLOOKUP(B156,汇总!$B$2:$I$2921,8,FALSE),"")</f>
        <v>综合</v>
      </c>
      <c r="J156" s="29" t="s">
        <v>11</v>
      </c>
      <c r="K156" s="33" t="s">
        <v>12</v>
      </c>
    </row>
    <row r="157" ht="33.75" spans="1:11">
      <c r="A157" s="34">
        <v>156</v>
      </c>
      <c r="B157" s="34" t="s">
        <v>195</v>
      </c>
      <c r="C157" s="29" t="str">
        <f>VLOOKUP(B157,教育部大学名单!$B$1:$D$2920,3,FALSE)</f>
        <v>内蒙古自治区</v>
      </c>
      <c r="D157" s="34" t="s">
        <v>191</v>
      </c>
      <c r="E157" s="34" t="s">
        <v>192</v>
      </c>
      <c r="F157" s="36" t="str">
        <f>IFERROR(VLOOKUP(B157,'985'!$B$2:$D$40,3,FALSE),"")</f>
        <v/>
      </c>
      <c r="G157" s="32" t="str">
        <f>IFERROR(VLOOKUP(B157,'211'!$B$2:$D$116,3,FALSE),"")</f>
        <v/>
      </c>
      <c r="H157" s="32" t="str">
        <f>IFERROR(VLOOKUP(B157,双一流!$B$2:$D$148,3,FALSE),"")</f>
        <v/>
      </c>
      <c r="I157" s="32" t="str">
        <f>IFERROR(VLOOKUP(B157,汇总!$B$2:$I$2921,8,FALSE),"")</f>
        <v>理工</v>
      </c>
      <c r="J157" s="34" t="s">
        <v>11</v>
      </c>
      <c r="K157" s="35" t="s">
        <v>12</v>
      </c>
    </row>
    <row r="158" ht="33.75" spans="1:11">
      <c r="A158" s="29">
        <v>157</v>
      </c>
      <c r="B158" s="29" t="s">
        <v>196</v>
      </c>
      <c r="C158" s="29" t="str">
        <f>VLOOKUP(B158,教育部大学名单!$B$1:$D$2920,3,FALSE)</f>
        <v>内蒙古自治区</v>
      </c>
      <c r="D158" s="29" t="s">
        <v>191</v>
      </c>
      <c r="E158" s="29" t="s">
        <v>192</v>
      </c>
      <c r="F158" s="36" t="str">
        <f>IFERROR(VLOOKUP(B158,'985'!$B$2:$D$40,3,FALSE),"")</f>
        <v/>
      </c>
      <c r="G158" s="32" t="str">
        <f>IFERROR(VLOOKUP(B158,'211'!$B$2:$D$116,3,FALSE),"")</f>
        <v/>
      </c>
      <c r="H158" s="32" t="str">
        <f>IFERROR(VLOOKUP(B158,双一流!$B$2:$D$148,3,FALSE),"")</f>
        <v/>
      </c>
      <c r="I158" s="32" t="str">
        <f>IFERROR(VLOOKUP(B158,汇总!$B$2:$I$2921,8,FALSE),"")</f>
        <v>农林</v>
      </c>
      <c r="J158" s="29" t="s">
        <v>11</v>
      </c>
      <c r="K158" s="33" t="s">
        <v>12</v>
      </c>
    </row>
    <row r="159" ht="33.75" spans="1:11">
      <c r="A159" s="34">
        <v>158</v>
      </c>
      <c r="B159" s="34" t="s">
        <v>197</v>
      </c>
      <c r="C159" s="29" t="str">
        <f>VLOOKUP(B159,教育部大学名单!$B$1:$D$2920,3,FALSE)</f>
        <v>内蒙古自治区</v>
      </c>
      <c r="D159" s="34" t="s">
        <v>191</v>
      </c>
      <c r="E159" s="34" t="s">
        <v>192</v>
      </c>
      <c r="F159" s="36" t="str">
        <f>IFERROR(VLOOKUP(B159,'985'!$B$2:$D$40,3,FALSE),"")</f>
        <v/>
      </c>
      <c r="G159" s="32" t="str">
        <f>IFERROR(VLOOKUP(B159,'211'!$B$2:$D$116,3,FALSE),"")</f>
        <v/>
      </c>
      <c r="H159" s="32" t="str">
        <f>IFERROR(VLOOKUP(B159,双一流!$B$2:$D$148,3,FALSE),"")</f>
        <v/>
      </c>
      <c r="I159" s="32">
        <f>IFERROR(VLOOKUP(B159,汇总!$B$2:$I$2921,8,FALSE),"")</f>
        <v>0</v>
      </c>
      <c r="J159" s="34" t="s">
        <v>11</v>
      </c>
      <c r="K159" s="35" t="s">
        <v>12</v>
      </c>
    </row>
    <row r="160" ht="33.75" spans="1:11">
      <c r="A160" s="29">
        <v>159</v>
      </c>
      <c r="B160" s="29" t="s">
        <v>198</v>
      </c>
      <c r="C160" s="29" t="str">
        <f>VLOOKUP(B160,教育部大学名单!$B$1:$D$2920,3,FALSE)</f>
        <v>内蒙古自治区</v>
      </c>
      <c r="D160" s="29" t="s">
        <v>191</v>
      </c>
      <c r="E160" s="29" t="s">
        <v>192</v>
      </c>
      <c r="F160" s="36" t="str">
        <f>IFERROR(VLOOKUP(B160,'985'!$B$2:$D$40,3,FALSE),"")</f>
        <v/>
      </c>
      <c r="G160" s="32" t="str">
        <f>IFERROR(VLOOKUP(B160,'211'!$B$2:$D$116,3,FALSE),"")</f>
        <v/>
      </c>
      <c r="H160" s="32" t="str">
        <f>IFERROR(VLOOKUP(B160,双一流!$B$2:$D$148,3,FALSE),"")</f>
        <v/>
      </c>
      <c r="I160" s="32" t="str">
        <f>IFERROR(VLOOKUP(B160,汇总!$B$2:$I$2921,8,FALSE),"")</f>
        <v>师范</v>
      </c>
      <c r="J160" s="29" t="s">
        <v>11</v>
      </c>
      <c r="K160" s="33" t="s">
        <v>12</v>
      </c>
    </row>
    <row r="161" ht="33.75" spans="1:11">
      <c r="A161" s="34">
        <v>160</v>
      </c>
      <c r="B161" s="34" t="s">
        <v>199</v>
      </c>
      <c r="C161" s="29" t="str">
        <f>VLOOKUP(B161,教育部大学名单!$B$1:$D$2920,3,FALSE)</f>
        <v>内蒙古自治区</v>
      </c>
      <c r="D161" s="34" t="s">
        <v>191</v>
      </c>
      <c r="E161" s="34" t="s">
        <v>200</v>
      </c>
      <c r="F161" s="36" t="str">
        <f>IFERROR(VLOOKUP(B161,'985'!$B$2:$D$40,3,FALSE),"")</f>
        <v/>
      </c>
      <c r="G161" s="32" t="str">
        <f>IFERROR(VLOOKUP(B161,'211'!$B$2:$D$116,3,FALSE),"")</f>
        <v/>
      </c>
      <c r="H161" s="32" t="str">
        <f>IFERROR(VLOOKUP(B161,双一流!$B$2:$D$148,3,FALSE),"")</f>
        <v/>
      </c>
      <c r="I161" s="32">
        <f>IFERROR(VLOOKUP(B161,汇总!$B$2:$I$2921,8,FALSE),"")</f>
        <v>0</v>
      </c>
      <c r="J161" s="34" t="s">
        <v>11</v>
      </c>
      <c r="K161" s="35" t="s">
        <v>12</v>
      </c>
    </row>
    <row r="162" ht="17.25" spans="1:11">
      <c r="A162" s="29">
        <v>161</v>
      </c>
      <c r="B162" s="29" t="s">
        <v>201</v>
      </c>
      <c r="C162" s="29" t="e">
        <f>VLOOKUP(B162,教育部大学名单!$B$1:$D$2920,3,FALSE)</f>
        <v>#N/A</v>
      </c>
      <c r="D162" s="29" t="s">
        <v>191</v>
      </c>
      <c r="E162" s="29" t="s">
        <v>202</v>
      </c>
      <c r="F162" s="36" t="str">
        <f>IFERROR(VLOOKUP(B162,'985'!$B$2:$D$40,3,FALSE),"")</f>
        <v/>
      </c>
      <c r="G162" s="32" t="str">
        <f>IFERROR(VLOOKUP(B162,'211'!$B$2:$D$116,3,FALSE),"")</f>
        <v/>
      </c>
      <c r="H162" s="32" t="str">
        <f>IFERROR(VLOOKUP(B162,双一流!$B$2:$D$148,3,FALSE),"")</f>
        <v/>
      </c>
      <c r="I162" s="32" t="str">
        <f>IFERROR(VLOOKUP(B162,汇总!$B$2:$I$2921,8,FALSE),"")</f>
        <v/>
      </c>
      <c r="J162" s="29" t="s">
        <v>11</v>
      </c>
      <c r="K162" s="33" t="s">
        <v>12</v>
      </c>
    </row>
    <row r="163" ht="33.75" spans="1:11">
      <c r="A163" s="34">
        <v>162</v>
      </c>
      <c r="B163" s="34" t="s">
        <v>203</v>
      </c>
      <c r="C163" s="29" t="str">
        <f>VLOOKUP(B163,教育部大学名单!$B$1:$D$2920,3,FALSE)</f>
        <v>内蒙古自治区</v>
      </c>
      <c r="D163" s="34" t="s">
        <v>191</v>
      </c>
      <c r="E163" s="34" t="s">
        <v>192</v>
      </c>
      <c r="F163" s="36" t="str">
        <f>IFERROR(VLOOKUP(B163,'985'!$B$2:$D$40,3,FALSE),"")</f>
        <v/>
      </c>
      <c r="G163" s="32" t="str">
        <f>IFERROR(VLOOKUP(B163,'211'!$B$2:$D$116,3,FALSE),"")</f>
        <v/>
      </c>
      <c r="H163" s="32" t="str">
        <f>IFERROR(VLOOKUP(B163,双一流!$B$2:$D$148,3,FALSE),"")</f>
        <v/>
      </c>
      <c r="I163" s="32">
        <f>IFERROR(VLOOKUP(B163,汇总!$B$2:$I$2921,8,FALSE),"")</f>
        <v>0</v>
      </c>
      <c r="J163" s="34" t="s">
        <v>11</v>
      </c>
      <c r="K163" s="35" t="s">
        <v>12</v>
      </c>
    </row>
    <row r="164" ht="33.75" spans="1:11">
      <c r="A164" s="29">
        <v>163</v>
      </c>
      <c r="B164" s="29" t="s">
        <v>204</v>
      </c>
      <c r="C164" s="29" t="str">
        <f>VLOOKUP(B164,教育部大学名单!$B$1:$D$2920,3,FALSE)</f>
        <v>内蒙古自治区</v>
      </c>
      <c r="D164" s="29" t="s">
        <v>191</v>
      </c>
      <c r="E164" s="29" t="s">
        <v>205</v>
      </c>
      <c r="F164" s="36" t="str">
        <f>IFERROR(VLOOKUP(B164,'985'!$B$2:$D$40,3,FALSE),"")</f>
        <v/>
      </c>
      <c r="G164" s="32" t="str">
        <f>IFERROR(VLOOKUP(B164,'211'!$B$2:$D$116,3,FALSE),"")</f>
        <v/>
      </c>
      <c r="H164" s="32" t="str">
        <f>IFERROR(VLOOKUP(B164,双一流!$B$2:$D$148,3,FALSE),"")</f>
        <v/>
      </c>
      <c r="I164" s="32">
        <f>IFERROR(VLOOKUP(B164,汇总!$B$2:$I$2921,8,FALSE),"")</f>
        <v>0</v>
      </c>
      <c r="J164" s="29" t="s">
        <v>11</v>
      </c>
      <c r="K164" s="33" t="s">
        <v>12</v>
      </c>
    </row>
    <row r="165" ht="33.75" spans="1:11">
      <c r="A165" s="34">
        <v>164</v>
      </c>
      <c r="B165" s="34" t="s">
        <v>206</v>
      </c>
      <c r="C165" s="29" t="str">
        <f>VLOOKUP(B165,教育部大学名单!$B$1:$D$2920,3,FALSE)</f>
        <v>内蒙古自治区</v>
      </c>
      <c r="D165" s="34" t="s">
        <v>191</v>
      </c>
      <c r="E165" s="34" t="s">
        <v>207</v>
      </c>
      <c r="F165" s="36" t="str">
        <f>IFERROR(VLOOKUP(B165,'985'!$B$2:$D$40,3,FALSE),"")</f>
        <v/>
      </c>
      <c r="G165" s="32" t="str">
        <f>IFERROR(VLOOKUP(B165,'211'!$B$2:$D$116,3,FALSE),"")</f>
        <v/>
      </c>
      <c r="H165" s="32" t="str">
        <f>IFERROR(VLOOKUP(B165,双一流!$B$2:$D$148,3,FALSE),"")</f>
        <v/>
      </c>
      <c r="I165" s="32">
        <f>IFERROR(VLOOKUP(B165,汇总!$B$2:$I$2921,8,FALSE),"")</f>
        <v>0</v>
      </c>
      <c r="J165" s="34" t="s">
        <v>11</v>
      </c>
      <c r="K165" s="35" t="s">
        <v>12</v>
      </c>
    </row>
    <row r="166" ht="33.75" spans="1:11">
      <c r="A166" s="29">
        <v>165</v>
      </c>
      <c r="B166" s="29" t="s">
        <v>208</v>
      </c>
      <c r="C166" s="29" t="str">
        <f>VLOOKUP(B166,教育部大学名单!$B$1:$D$2920,3,FALSE)</f>
        <v>内蒙古自治区</v>
      </c>
      <c r="D166" s="29" t="s">
        <v>191</v>
      </c>
      <c r="E166" s="29" t="s">
        <v>209</v>
      </c>
      <c r="F166" s="36" t="str">
        <f>IFERROR(VLOOKUP(B166,'985'!$B$2:$D$40,3,FALSE),"")</f>
        <v/>
      </c>
      <c r="G166" s="32" t="str">
        <f>IFERROR(VLOOKUP(B166,'211'!$B$2:$D$116,3,FALSE),"")</f>
        <v/>
      </c>
      <c r="H166" s="32" t="str">
        <f>IFERROR(VLOOKUP(B166,双一流!$B$2:$D$148,3,FALSE),"")</f>
        <v/>
      </c>
      <c r="I166" s="32">
        <f>IFERROR(VLOOKUP(B166,汇总!$B$2:$I$2921,8,FALSE),"")</f>
        <v>0</v>
      </c>
      <c r="J166" s="29" t="s">
        <v>11</v>
      </c>
      <c r="K166" s="33" t="s">
        <v>12</v>
      </c>
    </row>
    <row r="167" ht="33.75" spans="1:11">
      <c r="A167" s="34">
        <v>166</v>
      </c>
      <c r="B167" s="34" t="s">
        <v>210</v>
      </c>
      <c r="C167" s="29" t="str">
        <f>VLOOKUP(B167,教育部大学名单!$B$1:$D$2920,3,FALSE)</f>
        <v>内蒙古自治区</v>
      </c>
      <c r="D167" s="34" t="s">
        <v>191</v>
      </c>
      <c r="E167" s="34" t="s">
        <v>192</v>
      </c>
      <c r="F167" s="36" t="str">
        <f>IFERROR(VLOOKUP(B167,'985'!$B$2:$D$40,3,FALSE),"")</f>
        <v/>
      </c>
      <c r="G167" s="32" t="str">
        <f>IFERROR(VLOOKUP(B167,'211'!$B$2:$D$116,3,FALSE),"")</f>
        <v/>
      </c>
      <c r="H167" s="32" t="str">
        <f>IFERROR(VLOOKUP(B167,双一流!$B$2:$D$148,3,FALSE),"")</f>
        <v/>
      </c>
      <c r="I167" s="32">
        <f>IFERROR(VLOOKUP(B167,汇总!$B$2:$I$2921,8,FALSE),"")</f>
        <v>0</v>
      </c>
      <c r="J167" s="34" t="s">
        <v>11</v>
      </c>
      <c r="K167" s="35" t="s">
        <v>12</v>
      </c>
    </row>
    <row r="168" ht="33.75" spans="1:11">
      <c r="A168" s="29">
        <v>167</v>
      </c>
      <c r="B168" s="29" t="s">
        <v>211</v>
      </c>
      <c r="C168" s="29" t="str">
        <f>VLOOKUP(B168,教育部大学名单!$B$1:$D$2920,3,FALSE)</f>
        <v>内蒙古自治区</v>
      </c>
      <c r="D168" s="29" t="s">
        <v>191</v>
      </c>
      <c r="E168" s="29" t="s">
        <v>192</v>
      </c>
      <c r="F168" s="36" t="str">
        <f>IFERROR(VLOOKUP(B168,'985'!$B$2:$D$40,3,FALSE),"")</f>
        <v/>
      </c>
      <c r="G168" s="32" t="str">
        <f>IFERROR(VLOOKUP(B168,'211'!$B$2:$D$116,3,FALSE),"")</f>
        <v/>
      </c>
      <c r="H168" s="32" t="str">
        <f>IFERROR(VLOOKUP(B168,双一流!$B$2:$D$148,3,FALSE),"")</f>
        <v/>
      </c>
      <c r="I168" s="32">
        <f>IFERROR(VLOOKUP(B168,汇总!$B$2:$I$2921,8,FALSE),"")</f>
        <v>0</v>
      </c>
      <c r="J168" s="29" t="s">
        <v>11</v>
      </c>
      <c r="K168" s="33" t="s">
        <v>12</v>
      </c>
    </row>
    <row r="169" ht="33.75" spans="1:11">
      <c r="A169" s="34">
        <v>168</v>
      </c>
      <c r="B169" s="34" t="s">
        <v>212</v>
      </c>
      <c r="C169" s="29" t="str">
        <f>VLOOKUP(B169,教育部大学名单!$B$1:$D$2920,3,FALSE)</f>
        <v>内蒙古自治区</v>
      </c>
      <c r="D169" s="34" t="s">
        <v>191</v>
      </c>
      <c r="E169" s="34" t="s">
        <v>213</v>
      </c>
      <c r="F169" s="36" t="str">
        <f>IFERROR(VLOOKUP(B169,'985'!$B$2:$D$40,3,FALSE),"")</f>
        <v/>
      </c>
      <c r="G169" s="32" t="str">
        <f>IFERROR(VLOOKUP(B169,'211'!$B$2:$D$116,3,FALSE),"")</f>
        <v/>
      </c>
      <c r="H169" s="32" t="str">
        <f>IFERROR(VLOOKUP(B169,双一流!$B$2:$D$148,3,FALSE),"")</f>
        <v/>
      </c>
      <c r="I169" s="32">
        <f>IFERROR(VLOOKUP(B169,汇总!$B$2:$I$2921,8,FALSE),"")</f>
        <v>0</v>
      </c>
      <c r="J169" s="34" t="s">
        <v>11</v>
      </c>
      <c r="K169" s="35" t="s">
        <v>12</v>
      </c>
    </row>
    <row r="170" ht="50.25" spans="1:11">
      <c r="A170" s="29">
        <v>169</v>
      </c>
      <c r="B170" s="29" t="s">
        <v>214</v>
      </c>
      <c r="C170" s="29" t="str">
        <f>VLOOKUP(B170,教育部大学名单!$B$1:$D$2920,3,FALSE)</f>
        <v>内蒙古自治区</v>
      </c>
      <c r="D170" s="29" t="s">
        <v>191</v>
      </c>
      <c r="E170" s="29" t="s">
        <v>192</v>
      </c>
      <c r="F170" s="36" t="str">
        <f>IFERROR(VLOOKUP(B170,'985'!$B$2:$D$40,3,FALSE),"")</f>
        <v/>
      </c>
      <c r="G170" s="32" t="str">
        <f>IFERROR(VLOOKUP(B170,'211'!$B$2:$D$116,3,FALSE),"")</f>
        <v/>
      </c>
      <c r="H170" s="32" t="str">
        <f>IFERROR(VLOOKUP(B170,双一流!$B$2:$D$148,3,FALSE),"")</f>
        <v/>
      </c>
      <c r="I170" s="32" t="str">
        <f>IFERROR(VLOOKUP(B170,汇总!$B$2:$I$2921,8,FALSE),"")</f>
        <v/>
      </c>
      <c r="J170" s="29" t="s">
        <v>11</v>
      </c>
      <c r="K170" s="33" t="s">
        <v>12</v>
      </c>
    </row>
    <row r="171" ht="33.75" spans="1:11">
      <c r="A171" s="34">
        <v>170</v>
      </c>
      <c r="B171" s="34" t="s">
        <v>215</v>
      </c>
      <c r="C171" s="29" t="str">
        <f>VLOOKUP(B171,教育部大学名单!$B$1:$D$2920,3,FALSE)</f>
        <v>内蒙古自治区</v>
      </c>
      <c r="D171" s="34" t="s">
        <v>191</v>
      </c>
      <c r="E171" s="34" t="s">
        <v>216</v>
      </c>
      <c r="F171" s="36" t="str">
        <f>IFERROR(VLOOKUP(B171,'985'!$B$2:$D$40,3,FALSE),"")</f>
        <v/>
      </c>
      <c r="G171" s="32" t="str">
        <f>IFERROR(VLOOKUP(B171,'211'!$B$2:$D$116,3,FALSE),"")</f>
        <v/>
      </c>
      <c r="H171" s="32" t="str">
        <f>IFERROR(VLOOKUP(B171,双一流!$B$2:$D$148,3,FALSE),"")</f>
        <v/>
      </c>
      <c r="I171" s="32" t="str">
        <f>IFERROR(VLOOKUP(B171,汇总!$B$2:$I$2921,8,FALSE),"")</f>
        <v/>
      </c>
      <c r="J171" s="34" t="s">
        <v>11</v>
      </c>
      <c r="K171" s="35" t="s">
        <v>12</v>
      </c>
    </row>
    <row r="172" ht="33.75" spans="1:11">
      <c r="A172" s="29">
        <v>171</v>
      </c>
      <c r="B172" s="29" t="s">
        <v>217</v>
      </c>
      <c r="C172" s="29" t="str">
        <f>VLOOKUP(B172,教育部大学名单!$B$1:$D$2920,3,FALSE)</f>
        <v>内蒙古自治区</v>
      </c>
      <c r="D172" s="29" t="s">
        <v>191</v>
      </c>
      <c r="E172" s="29" t="s">
        <v>192</v>
      </c>
      <c r="F172" s="36" t="str">
        <f>IFERROR(VLOOKUP(B172,'985'!$B$2:$D$40,3,FALSE),"")</f>
        <v/>
      </c>
      <c r="G172" s="32" t="str">
        <f>IFERROR(VLOOKUP(B172,'211'!$B$2:$D$116,3,FALSE),"")</f>
        <v/>
      </c>
      <c r="H172" s="32" t="str">
        <f>IFERROR(VLOOKUP(B172,双一流!$B$2:$D$148,3,FALSE),"")</f>
        <v/>
      </c>
      <c r="I172" s="32" t="str">
        <f>IFERROR(VLOOKUP(B172,汇总!$B$2:$I$2921,8,FALSE),"")</f>
        <v/>
      </c>
      <c r="J172" s="29" t="s">
        <v>11</v>
      </c>
      <c r="K172" s="33" t="s">
        <v>12</v>
      </c>
    </row>
    <row r="173" ht="33.75" spans="1:11">
      <c r="A173" s="34">
        <v>172</v>
      </c>
      <c r="B173" s="34" t="s">
        <v>218</v>
      </c>
      <c r="C173" s="29" t="str">
        <f>VLOOKUP(B173,教育部大学名单!$B$1:$D$2920,3,FALSE)</f>
        <v>内蒙古自治区</v>
      </c>
      <c r="D173" s="34" t="s">
        <v>191</v>
      </c>
      <c r="E173" s="34" t="s">
        <v>192</v>
      </c>
      <c r="F173" s="36" t="str">
        <f>IFERROR(VLOOKUP(B173,'985'!$B$2:$D$40,3,FALSE),"")</f>
        <v/>
      </c>
      <c r="G173" s="32" t="str">
        <f>IFERROR(VLOOKUP(B173,'211'!$B$2:$D$116,3,FALSE),"")</f>
        <v/>
      </c>
      <c r="H173" s="32" t="str">
        <f>IFERROR(VLOOKUP(B173,双一流!$B$2:$D$148,3,FALSE),"")</f>
        <v/>
      </c>
      <c r="I173" s="32" t="str">
        <f>IFERROR(VLOOKUP(B173,汇总!$B$2:$I$2921,8,FALSE),"")</f>
        <v/>
      </c>
      <c r="J173" s="34" t="s">
        <v>11</v>
      </c>
      <c r="K173" s="35" t="s">
        <v>12</v>
      </c>
    </row>
    <row r="174" ht="17.25" spans="1:11">
      <c r="A174" s="29">
        <v>173</v>
      </c>
      <c r="B174" s="29" t="s">
        <v>219</v>
      </c>
      <c r="C174" s="29" t="str">
        <f>VLOOKUP(B174,教育部大学名单!$B$1:$D$2920,3,FALSE)</f>
        <v>辽宁省</v>
      </c>
      <c r="D174" s="29" t="s">
        <v>220</v>
      </c>
      <c r="E174" s="29" t="s">
        <v>221</v>
      </c>
      <c r="F174" s="36" t="str">
        <f>IFERROR(VLOOKUP(B174,'985'!$B$2:$D$40,3,FALSE),"")</f>
        <v/>
      </c>
      <c r="G174" s="31">
        <f>IFERROR(VLOOKUP(B174,'211'!$B$2:$D$116,3,FALSE),"")</f>
        <v>211</v>
      </c>
      <c r="H174" s="32" t="str">
        <f>IFERROR(VLOOKUP(B174,双一流!$B$2:$D$148,3,FALSE),"")</f>
        <v>双一流</v>
      </c>
      <c r="I174" s="32" t="str">
        <f>IFERROR(VLOOKUP(B174,汇总!$B$2:$I$2921,8,FALSE),"")</f>
        <v>综合</v>
      </c>
      <c r="J174" s="29" t="s">
        <v>11</v>
      </c>
      <c r="K174" s="33" t="s">
        <v>12</v>
      </c>
    </row>
    <row r="175" ht="33.75" spans="1:11">
      <c r="A175" s="34">
        <v>174</v>
      </c>
      <c r="B175" s="34" t="s">
        <v>222</v>
      </c>
      <c r="C175" s="29" t="str">
        <f>VLOOKUP(B175,教育部大学名单!$B$1:$D$2920,3,FALSE)</f>
        <v>教育部</v>
      </c>
      <c r="D175" s="34" t="s">
        <v>220</v>
      </c>
      <c r="E175" s="34" t="s">
        <v>223</v>
      </c>
      <c r="F175" s="30">
        <f>IFERROR(VLOOKUP(B175,'985'!$B$2:$D$40,3,FALSE),"")</f>
        <v>985</v>
      </c>
      <c r="G175" s="31">
        <f>IFERROR(VLOOKUP(B175,'211'!$B$2:$D$116,3,FALSE),"")</f>
        <v>211</v>
      </c>
      <c r="H175" s="32" t="str">
        <f>IFERROR(VLOOKUP(B175,双一流!$B$2:$D$148,3,FALSE),"")</f>
        <v>双一流</v>
      </c>
      <c r="I175" s="32" t="str">
        <f>IFERROR(VLOOKUP(B175,汇总!$B$2:$I$2921,8,FALSE),"")</f>
        <v>理工</v>
      </c>
      <c r="J175" s="34" t="s">
        <v>11</v>
      </c>
      <c r="K175" s="35" t="s">
        <v>12</v>
      </c>
    </row>
    <row r="176" ht="33.75" spans="1:11">
      <c r="A176" s="29">
        <v>175</v>
      </c>
      <c r="B176" s="29" t="s">
        <v>224</v>
      </c>
      <c r="C176" s="29" t="str">
        <f>VLOOKUP(B176,教育部大学名单!$B$1:$D$2920,3,FALSE)</f>
        <v>辽宁省</v>
      </c>
      <c r="D176" s="29" t="s">
        <v>220</v>
      </c>
      <c r="E176" s="29" t="s">
        <v>221</v>
      </c>
      <c r="F176" s="36" t="str">
        <f>IFERROR(VLOOKUP(B176,'985'!$B$2:$D$40,3,FALSE),"")</f>
        <v/>
      </c>
      <c r="G176" s="32" t="str">
        <f>IFERROR(VLOOKUP(B176,'211'!$B$2:$D$116,3,FALSE),"")</f>
        <v/>
      </c>
      <c r="H176" s="32" t="str">
        <f>IFERROR(VLOOKUP(B176,双一流!$B$2:$D$148,3,FALSE),"")</f>
        <v/>
      </c>
      <c r="I176" s="32" t="str">
        <f>IFERROR(VLOOKUP(B176,汇总!$B$2:$I$2921,8,FALSE),"")</f>
        <v>理工</v>
      </c>
      <c r="J176" s="29" t="s">
        <v>11</v>
      </c>
      <c r="K176" s="33" t="s">
        <v>12</v>
      </c>
    </row>
    <row r="177" ht="33.75" spans="1:11">
      <c r="A177" s="34">
        <v>176</v>
      </c>
      <c r="B177" s="34" t="s">
        <v>225</v>
      </c>
      <c r="C177" s="29" t="str">
        <f>VLOOKUP(B177,教育部大学名单!$B$1:$D$2920,3,FALSE)</f>
        <v>辽宁省</v>
      </c>
      <c r="D177" s="34" t="s">
        <v>220</v>
      </c>
      <c r="E177" s="34" t="s">
        <v>221</v>
      </c>
      <c r="F177" s="36" t="str">
        <f>IFERROR(VLOOKUP(B177,'985'!$B$2:$D$40,3,FALSE),"")</f>
        <v/>
      </c>
      <c r="G177" s="32" t="str">
        <f>IFERROR(VLOOKUP(B177,'211'!$B$2:$D$116,3,FALSE),"")</f>
        <v/>
      </c>
      <c r="H177" s="32" t="str">
        <f>IFERROR(VLOOKUP(B177,双一流!$B$2:$D$148,3,FALSE),"")</f>
        <v/>
      </c>
      <c r="I177" s="32" t="str">
        <f>IFERROR(VLOOKUP(B177,汇总!$B$2:$I$2921,8,FALSE),"")</f>
        <v>理工</v>
      </c>
      <c r="J177" s="34" t="s">
        <v>11</v>
      </c>
      <c r="K177" s="35" t="s">
        <v>12</v>
      </c>
    </row>
    <row r="178" ht="33.75" spans="1:11">
      <c r="A178" s="29">
        <v>177</v>
      </c>
      <c r="B178" s="29" t="s">
        <v>226</v>
      </c>
      <c r="C178" s="29" t="str">
        <f>VLOOKUP(B178,教育部大学名单!$B$1:$D$2920,3,FALSE)</f>
        <v>辽宁省</v>
      </c>
      <c r="D178" s="29" t="s">
        <v>220</v>
      </c>
      <c r="E178" s="29" t="s">
        <v>221</v>
      </c>
      <c r="F178" s="36" t="str">
        <f>IFERROR(VLOOKUP(B178,'985'!$B$2:$D$40,3,FALSE),"")</f>
        <v/>
      </c>
      <c r="G178" s="32" t="str">
        <f>IFERROR(VLOOKUP(B178,'211'!$B$2:$D$116,3,FALSE),"")</f>
        <v/>
      </c>
      <c r="H178" s="32" t="str">
        <f>IFERROR(VLOOKUP(B178,双一流!$B$2:$D$148,3,FALSE),"")</f>
        <v/>
      </c>
      <c r="I178" s="32" t="str">
        <f>IFERROR(VLOOKUP(B178,汇总!$B$2:$I$2921,8,FALSE),"")</f>
        <v>理工</v>
      </c>
      <c r="J178" s="29" t="s">
        <v>11</v>
      </c>
      <c r="K178" s="33" t="s">
        <v>12</v>
      </c>
    </row>
    <row r="179" ht="17.25" spans="1:11">
      <c r="A179" s="34">
        <v>178</v>
      </c>
      <c r="B179" s="34" t="s">
        <v>227</v>
      </c>
      <c r="C179" s="29" t="str">
        <f>VLOOKUP(B179,教育部大学名单!$B$1:$D$2920,3,FALSE)</f>
        <v>教育部</v>
      </c>
      <c r="D179" s="34" t="s">
        <v>220</v>
      </c>
      <c r="E179" s="34" t="s">
        <v>221</v>
      </c>
      <c r="F179" s="30">
        <f>IFERROR(VLOOKUP(B179,'985'!$B$2:$D$40,3,FALSE),"")</f>
        <v>985</v>
      </c>
      <c r="G179" s="31">
        <f>IFERROR(VLOOKUP(B179,'211'!$B$2:$D$116,3,FALSE),"")</f>
        <v>211</v>
      </c>
      <c r="H179" s="32" t="str">
        <f>IFERROR(VLOOKUP(B179,双一流!$B$2:$D$148,3,FALSE),"")</f>
        <v>双一流</v>
      </c>
      <c r="I179" s="32" t="str">
        <f>IFERROR(VLOOKUP(B179,汇总!$B$2:$I$2921,8,FALSE),"")</f>
        <v>理工</v>
      </c>
      <c r="J179" s="34" t="s">
        <v>11</v>
      </c>
      <c r="K179" s="35" t="s">
        <v>12</v>
      </c>
    </row>
    <row r="180" ht="33.75" spans="1:11">
      <c r="A180" s="29">
        <v>179</v>
      </c>
      <c r="B180" s="29" t="s">
        <v>228</v>
      </c>
      <c r="C180" s="29" t="str">
        <f>VLOOKUP(B180,教育部大学名单!$B$1:$D$2920,3,FALSE)</f>
        <v>辽宁省</v>
      </c>
      <c r="D180" s="29" t="s">
        <v>220</v>
      </c>
      <c r="E180" s="29" t="s">
        <v>229</v>
      </c>
      <c r="F180" s="36" t="str">
        <f>IFERROR(VLOOKUP(B180,'985'!$B$2:$D$40,3,FALSE),"")</f>
        <v/>
      </c>
      <c r="G180" s="32" t="str">
        <f>IFERROR(VLOOKUP(B180,'211'!$B$2:$D$116,3,FALSE),"")</f>
        <v/>
      </c>
      <c r="H180" s="32" t="str">
        <f>IFERROR(VLOOKUP(B180,双一流!$B$2:$D$148,3,FALSE),"")</f>
        <v/>
      </c>
      <c r="I180" s="32" t="str">
        <f>IFERROR(VLOOKUP(B180,汇总!$B$2:$I$2921,8,FALSE),"")</f>
        <v>理工</v>
      </c>
      <c r="J180" s="29" t="s">
        <v>11</v>
      </c>
      <c r="K180" s="33" t="s">
        <v>12</v>
      </c>
    </row>
    <row r="181" ht="33.75" spans="1:11">
      <c r="A181" s="34">
        <v>180</v>
      </c>
      <c r="B181" s="34" t="s">
        <v>230</v>
      </c>
      <c r="C181" s="29" t="str">
        <f>VLOOKUP(B181,教育部大学名单!$B$1:$D$2920,3,FALSE)</f>
        <v>辽宁省</v>
      </c>
      <c r="D181" s="34" t="s">
        <v>220</v>
      </c>
      <c r="E181" s="34" t="s">
        <v>231</v>
      </c>
      <c r="F181" s="36" t="str">
        <f>IFERROR(VLOOKUP(B181,'985'!$B$2:$D$40,3,FALSE),"")</f>
        <v/>
      </c>
      <c r="G181" s="32" t="str">
        <f>IFERROR(VLOOKUP(B181,'211'!$B$2:$D$116,3,FALSE),"")</f>
        <v/>
      </c>
      <c r="H181" s="32" t="str">
        <f>IFERROR(VLOOKUP(B181,双一流!$B$2:$D$148,3,FALSE),"")</f>
        <v/>
      </c>
      <c r="I181" s="32" t="str">
        <f>IFERROR(VLOOKUP(B181,汇总!$B$2:$I$2921,8,FALSE),"")</f>
        <v>理工</v>
      </c>
      <c r="J181" s="34" t="s">
        <v>11</v>
      </c>
      <c r="K181" s="35" t="s">
        <v>12</v>
      </c>
    </row>
    <row r="182" ht="33.75" spans="1:11">
      <c r="A182" s="29">
        <v>181</v>
      </c>
      <c r="B182" s="29" t="s">
        <v>232</v>
      </c>
      <c r="C182" s="29" t="str">
        <f>VLOOKUP(B182,教育部大学名单!$B$1:$D$2920,3,FALSE)</f>
        <v>辽宁省</v>
      </c>
      <c r="D182" s="29" t="s">
        <v>220</v>
      </c>
      <c r="E182" s="29" t="s">
        <v>233</v>
      </c>
      <c r="F182" s="36" t="str">
        <f>IFERROR(VLOOKUP(B182,'985'!$B$2:$D$40,3,FALSE),"")</f>
        <v/>
      </c>
      <c r="G182" s="32" t="str">
        <f>IFERROR(VLOOKUP(B182,'211'!$B$2:$D$116,3,FALSE),"")</f>
        <v/>
      </c>
      <c r="H182" s="32" t="str">
        <f>IFERROR(VLOOKUP(B182,双一流!$B$2:$D$148,3,FALSE),"")</f>
        <v/>
      </c>
      <c r="I182" s="32" t="str">
        <f>IFERROR(VLOOKUP(B182,汇总!$B$2:$I$2921,8,FALSE),"")</f>
        <v>理工</v>
      </c>
      <c r="J182" s="29" t="s">
        <v>11</v>
      </c>
      <c r="K182" s="33" t="s">
        <v>12</v>
      </c>
    </row>
    <row r="183" ht="33.75" spans="1:11">
      <c r="A183" s="34">
        <v>182</v>
      </c>
      <c r="B183" s="34" t="s">
        <v>234</v>
      </c>
      <c r="C183" s="29" t="str">
        <f>VLOOKUP(B183,教育部大学名单!$B$1:$D$2920,3,FALSE)</f>
        <v>辽宁省</v>
      </c>
      <c r="D183" s="34" t="s">
        <v>220</v>
      </c>
      <c r="E183" s="34" t="s">
        <v>221</v>
      </c>
      <c r="F183" s="36" t="str">
        <f>IFERROR(VLOOKUP(B183,'985'!$B$2:$D$40,3,FALSE),"")</f>
        <v/>
      </c>
      <c r="G183" s="32" t="str">
        <f>IFERROR(VLOOKUP(B183,'211'!$B$2:$D$116,3,FALSE),"")</f>
        <v/>
      </c>
      <c r="H183" s="32" t="str">
        <f>IFERROR(VLOOKUP(B183,双一流!$B$2:$D$148,3,FALSE),"")</f>
        <v/>
      </c>
      <c r="I183" s="32" t="str">
        <f>IFERROR(VLOOKUP(B183,汇总!$B$2:$I$2921,8,FALSE),"")</f>
        <v>理工</v>
      </c>
      <c r="J183" s="34" t="s">
        <v>11</v>
      </c>
      <c r="K183" s="35" t="s">
        <v>12</v>
      </c>
    </row>
    <row r="184" ht="33.75" spans="1:11">
      <c r="A184" s="29">
        <v>183</v>
      </c>
      <c r="B184" s="29" t="s">
        <v>235</v>
      </c>
      <c r="C184" s="29" t="str">
        <f>VLOOKUP(B184,教育部大学名单!$B$1:$D$2920,3,FALSE)</f>
        <v>辽宁省</v>
      </c>
      <c r="D184" s="29" t="s">
        <v>220</v>
      </c>
      <c r="E184" s="29" t="s">
        <v>223</v>
      </c>
      <c r="F184" s="36" t="str">
        <f>IFERROR(VLOOKUP(B184,'985'!$B$2:$D$40,3,FALSE),"")</f>
        <v/>
      </c>
      <c r="G184" s="32" t="str">
        <f>IFERROR(VLOOKUP(B184,'211'!$B$2:$D$116,3,FALSE),"")</f>
        <v/>
      </c>
      <c r="H184" s="32" t="str">
        <f>IFERROR(VLOOKUP(B184,双一流!$B$2:$D$148,3,FALSE),"")</f>
        <v/>
      </c>
      <c r="I184" s="32" t="str">
        <f>IFERROR(VLOOKUP(B184,汇总!$B$2:$I$2921,8,FALSE),"")</f>
        <v>理工</v>
      </c>
      <c r="J184" s="29" t="s">
        <v>11</v>
      </c>
      <c r="K184" s="33" t="s">
        <v>12</v>
      </c>
    </row>
    <row r="185" ht="33.75" spans="1:11">
      <c r="A185" s="34">
        <v>184</v>
      </c>
      <c r="B185" s="34" t="s">
        <v>236</v>
      </c>
      <c r="C185" s="29" t="str">
        <f>VLOOKUP(B185,教育部大学名单!$B$1:$D$2920,3,FALSE)</f>
        <v>交通运输部</v>
      </c>
      <c r="D185" s="34" t="s">
        <v>220</v>
      </c>
      <c r="E185" s="34" t="s">
        <v>223</v>
      </c>
      <c r="F185" s="36" t="str">
        <f>IFERROR(VLOOKUP(B185,'985'!$B$2:$D$40,3,FALSE),"")</f>
        <v/>
      </c>
      <c r="G185" s="31">
        <f>IFERROR(VLOOKUP(B185,'211'!$B$2:$D$116,3,FALSE),"")</f>
        <v>211</v>
      </c>
      <c r="H185" s="32" t="str">
        <f>IFERROR(VLOOKUP(B185,双一流!$B$2:$D$148,3,FALSE),"")</f>
        <v>双一流</v>
      </c>
      <c r="I185" s="32" t="str">
        <f>IFERROR(VLOOKUP(B185,汇总!$B$2:$I$2921,8,FALSE),"")</f>
        <v>理工</v>
      </c>
      <c r="J185" s="34" t="s">
        <v>11</v>
      </c>
      <c r="K185" s="35" t="s">
        <v>12</v>
      </c>
    </row>
    <row r="186" ht="33.75" spans="1:11">
      <c r="A186" s="29">
        <v>185</v>
      </c>
      <c r="B186" s="29" t="s">
        <v>237</v>
      </c>
      <c r="C186" s="29" t="str">
        <f>VLOOKUP(B186,教育部大学名单!$B$1:$D$2920,3,FALSE)</f>
        <v>辽宁省</v>
      </c>
      <c r="D186" s="29" t="s">
        <v>220</v>
      </c>
      <c r="E186" s="29" t="s">
        <v>223</v>
      </c>
      <c r="F186" s="36" t="str">
        <f>IFERROR(VLOOKUP(B186,'985'!$B$2:$D$40,3,FALSE),"")</f>
        <v/>
      </c>
      <c r="G186" s="32" t="str">
        <f>IFERROR(VLOOKUP(B186,'211'!$B$2:$D$116,3,FALSE),"")</f>
        <v/>
      </c>
      <c r="H186" s="32" t="str">
        <f>IFERROR(VLOOKUP(B186,双一流!$B$2:$D$148,3,FALSE),"")</f>
        <v/>
      </c>
      <c r="I186" s="32" t="str">
        <f>IFERROR(VLOOKUP(B186,汇总!$B$2:$I$2921,8,FALSE),"")</f>
        <v>理工</v>
      </c>
      <c r="J186" s="29" t="s">
        <v>11</v>
      </c>
      <c r="K186" s="33" t="s">
        <v>12</v>
      </c>
    </row>
    <row r="187" ht="33.75" spans="1:11">
      <c r="A187" s="34">
        <v>186</v>
      </c>
      <c r="B187" s="34" t="s">
        <v>238</v>
      </c>
      <c r="C187" s="29" t="str">
        <f>VLOOKUP(B187,教育部大学名单!$B$1:$D$2920,3,FALSE)</f>
        <v>辽宁省</v>
      </c>
      <c r="D187" s="34" t="s">
        <v>220</v>
      </c>
      <c r="E187" s="34" t="s">
        <v>221</v>
      </c>
      <c r="F187" s="36" t="str">
        <f>IFERROR(VLOOKUP(B187,'985'!$B$2:$D$40,3,FALSE),"")</f>
        <v/>
      </c>
      <c r="G187" s="32" t="str">
        <f>IFERROR(VLOOKUP(B187,'211'!$B$2:$D$116,3,FALSE),"")</f>
        <v/>
      </c>
      <c r="H187" s="32" t="str">
        <f>IFERROR(VLOOKUP(B187,双一流!$B$2:$D$148,3,FALSE),"")</f>
        <v/>
      </c>
      <c r="I187" s="32" t="str">
        <f>IFERROR(VLOOKUP(B187,汇总!$B$2:$I$2921,8,FALSE),"")</f>
        <v>理工</v>
      </c>
      <c r="J187" s="34" t="s">
        <v>11</v>
      </c>
      <c r="K187" s="35" t="s">
        <v>12</v>
      </c>
    </row>
    <row r="188" ht="33.75" spans="1:11">
      <c r="A188" s="29">
        <v>187</v>
      </c>
      <c r="B188" s="29" t="s">
        <v>239</v>
      </c>
      <c r="C188" s="29" t="str">
        <f>VLOOKUP(B188,教育部大学名单!$B$1:$D$2920,3,FALSE)</f>
        <v>辽宁省</v>
      </c>
      <c r="D188" s="29" t="s">
        <v>220</v>
      </c>
      <c r="E188" s="29" t="s">
        <v>240</v>
      </c>
      <c r="F188" s="36" t="str">
        <f>IFERROR(VLOOKUP(B188,'985'!$B$2:$D$40,3,FALSE),"")</f>
        <v/>
      </c>
      <c r="G188" s="32" t="str">
        <f>IFERROR(VLOOKUP(B188,'211'!$B$2:$D$116,3,FALSE),"")</f>
        <v/>
      </c>
      <c r="H188" s="32" t="str">
        <f>IFERROR(VLOOKUP(B188,双一流!$B$2:$D$148,3,FALSE),"")</f>
        <v/>
      </c>
      <c r="I188" s="32">
        <f>IFERROR(VLOOKUP(B188,汇总!$B$2:$I$2921,8,FALSE),"")</f>
        <v>0</v>
      </c>
      <c r="J188" s="29" t="s">
        <v>11</v>
      </c>
      <c r="K188" s="33" t="s">
        <v>12</v>
      </c>
    </row>
    <row r="189" ht="33.75" spans="1:11">
      <c r="A189" s="34">
        <v>188</v>
      </c>
      <c r="B189" s="34" t="s">
        <v>241</v>
      </c>
      <c r="C189" s="29" t="str">
        <f>VLOOKUP(B189,教育部大学名单!$B$1:$D$2920,3,FALSE)</f>
        <v>辽宁省</v>
      </c>
      <c r="D189" s="34" t="s">
        <v>220</v>
      </c>
      <c r="E189" s="34" t="s">
        <v>221</v>
      </c>
      <c r="F189" s="36" t="str">
        <f>IFERROR(VLOOKUP(B189,'985'!$B$2:$D$40,3,FALSE),"")</f>
        <v/>
      </c>
      <c r="G189" s="32" t="str">
        <f>IFERROR(VLOOKUP(B189,'211'!$B$2:$D$116,3,FALSE),"")</f>
        <v/>
      </c>
      <c r="H189" s="32" t="str">
        <f>IFERROR(VLOOKUP(B189,双一流!$B$2:$D$148,3,FALSE),"")</f>
        <v/>
      </c>
      <c r="I189" s="32" t="str">
        <f>IFERROR(VLOOKUP(B189,汇总!$B$2:$I$2921,8,FALSE),"")</f>
        <v>农林</v>
      </c>
      <c r="J189" s="34" t="s">
        <v>11</v>
      </c>
      <c r="K189" s="35" t="s">
        <v>12</v>
      </c>
    </row>
    <row r="190" ht="33.75" spans="1:11">
      <c r="A190" s="29">
        <v>189</v>
      </c>
      <c r="B190" s="29" t="s">
        <v>242</v>
      </c>
      <c r="C190" s="29" t="str">
        <f>VLOOKUP(B190,教育部大学名单!$B$1:$D$2920,3,FALSE)</f>
        <v>辽宁省</v>
      </c>
      <c r="D190" s="29" t="s">
        <v>220</v>
      </c>
      <c r="E190" s="29" t="s">
        <v>223</v>
      </c>
      <c r="F190" s="36" t="str">
        <f>IFERROR(VLOOKUP(B190,'985'!$B$2:$D$40,3,FALSE),"")</f>
        <v/>
      </c>
      <c r="G190" s="32" t="str">
        <f>IFERROR(VLOOKUP(B190,'211'!$B$2:$D$116,3,FALSE),"")</f>
        <v/>
      </c>
      <c r="H190" s="32" t="str">
        <f>IFERROR(VLOOKUP(B190,双一流!$B$2:$D$148,3,FALSE),"")</f>
        <v/>
      </c>
      <c r="I190" s="32" t="str">
        <f>IFERROR(VLOOKUP(B190,汇总!$B$2:$I$2921,8,FALSE),"")</f>
        <v>农林</v>
      </c>
      <c r="J190" s="29" t="s">
        <v>11</v>
      </c>
      <c r="K190" s="33" t="s">
        <v>12</v>
      </c>
    </row>
    <row r="191" ht="33.75" spans="1:11">
      <c r="A191" s="34">
        <v>190</v>
      </c>
      <c r="B191" s="34" t="s">
        <v>243</v>
      </c>
      <c r="C191" s="29" t="str">
        <f>VLOOKUP(B191,教育部大学名单!$B$1:$D$2920,3,FALSE)</f>
        <v>辽宁省</v>
      </c>
      <c r="D191" s="34" t="s">
        <v>220</v>
      </c>
      <c r="E191" s="34" t="s">
        <v>221</v>
      </c>
      <c r="F191" s="36" t="str">
        <f>IFERROR(VLOOKUP(B191,'985'!$B$2:$D$40,3,FALSE),"")</f>
        <v/>
      </c>
      <c r="G191" s="32" t="str">
        <f>IFERROR(VLOOKUP(B191,'211'!$B$2:$D$116,3,FALSE),"")</f>
        <v/>
      </c>
      <c r="H191" s="32" t="str">
        <f>IFERROR(VLOOKUP(B191,双一流!$B$2:$D$148,3,FALSE),"")</f>
        <v/>
      </c>
      <c r="I191" s="32" t="str">
        <f>IFERROR(VLOOKUP(B191,汇总!$B$2:$I$2921,8,FALSE),"")</f>
        <v>医药</v>
      </c>
      <c r="J191" s="34" t="s">
        <v>11</v>
      </c>
      <c r="K191" s="35" t="s">
        <v>12</v>
      </c>
    </row>
    <row r="192" ht="33.75" spans="1:11">
      <c r="A192" s="29">
        <v>191</v>
      </c>
      <c r="B192" s="29" t="s">
        <v>244</v>
      </c>
      <c r="C192" s="29" t="str">
        <f>VLOOKUP(B192,教育部大学名单!$B$1:$D$2920,3,FALSE)</f>
        <v>辽宁省</v>
      </c>
      <c r="D192" s="29" t="s">
        <v>220</v>
      </c>
      <c r="E192" s="29" t="s">
        <v>240</v>
      </c>
      <c r="F192" s="36" t="str">
        <f>IFERROR(VLOOKUP(B192,'985'!$B$2:$D$40,3,FALSE),"")</f>
        <v/>
      </c>
      <c r="G192" s="32" t="str">
        <f>IFERROR(VLOOKUP(B192,'211'!$B$2:$D$116,3,FALSE),"")</f>
        <v/>
      </c>
      <c r="H192" s="32" t="str">
        <f>IFERROR(VLOOKUP(B192,双一流!$B$2:$D$148,3,FALSE),"")</f>
        <v/>
      </c>
      <c r="I192" s="32">
        <f>IFERROR(VLOOKUP(B192,汇总!$B$2:$I$2921,8,FALSE),"")</f>
        <v>0</v>
      </c>
      <c r="J192" s="29" t="s">
        <v>11</v>
      </c>
      <c r="K192" s="33" t="s">
        <v>12</v>
      </c>
    </row>
    <row r="193" ht="33.75" spans="1:11">
      <c r="A193" s="34">
        <v>192</v>
      </c>
      <c r="B193" s="34" t="s">
        <v>245</v>
      </c>
      <c r="C193" s="29" t="str">
        <f>VLOOKUP(B193,教育部大学名单!$B$1:$D$2920,3,FALSE)</f>
        <v>辽宁省</v>
      </c>
      <c r="D193" s="34" t="s">
        <v>220</v>
      </c>
      <c r="E193" s="34" t="s">
        <v>223</v>
      </c>
      <c r="F193" s="36" t="str">
        <f>IFERROR(VLOOKUP(B193,'985'!$B$2:$D$40,3,FALSE),"")</f>
        <v/>
      </c>
      <c r="G193" s="32" t="str">
        <f>IFERROR(VLOOKUP(B193,'211'!$B$2:$D$116,3,FALSE),"")</f>
        <v/>
      </c>
      <c r="H193" s="32" t="str">
        <f>IFERROR(VLOOKUP(B193,双一流!$B$2:$D$148,3,FALSE),"")</f>
        <v/>
      </c>
      <c r="I193" s="32" t="str">
        <f>IFERROR(VLOOKUP(B193,汇总!$B$2:$I$2921,8,FALSE),"")</f>
        <v>医药</v>
      </c>
      <c r="J193" s="34" t="s">
        <v>11</v>
      </c>
      <c r="K193" s="35" t="s">
        <v>12</v>
      </c>
    </row>
    <row r="194" ht="33.75" spans="1:11">
      <c r="A194" s="29">
        <v>193</v>
      </c>
      <c r="B194" s="29" t="s">
        <v>246</v>
      </c>
      <c r="C194" s="29" t="str">
        <f>VLOOKUP(B194,教育部大学名单!$B$1:$D$2920,3,FALSE)</f>
        <v>辽宁省</v>
      </c>
      <c r="D194" s="29" t="s">
        <v>220</v>
      </c>
      <c r="E194" s="29" t="s">
        <v>221</v>
      </c>
      <c r="F194" s="36" t="str">
        <f>IFERROR(VLOOKUP(B194,'985'!$B$2:$D$40,3,FALSE),"")</f>
        <v/>
      </c>
      <c r="G194" s="32" t="str">
        <f>IFERROR(VLOOKUP(B194,'211'!$B$2:$D$116,3,FALSE),"")</f>
        <v/>
      </c>
      <c r="H194" s="32" t="str">
        <f>IFERROR(VLOOKUP(B194,双一流!$B$2:$D$148,3,FALSE),"")</f>
        <v/>
      </c>
      <c r="I194" s="32" t="str">
        <f>IFERROR(VLOOKUP(B194,汇总!$B$2:$I$2921,8,FALSE),"")</f>
        <v>医药</v>
      </c>
      <c r="J194" s="29" t="s">
        <v>11</v>
      </c>
      <c r="K194" s="33" t="s">
        <v>12</v>
      </c>
    </row>
    <row r="195" ht="33.75" spans="1:11">
      <c r="A195" s="34">
        <v>194</v>
      </c>
      <c r="B195" s="34" t="s">
        <v>247</v>
      </c>
      <c r="C195" s="29" t="str">
        <f>VLOOKUP(B195,教育部大学名单!$B$1:$D$2920,3,FALSE)</f>
        <v>辽宁省</v>
      </c>
      <c r="D195" s="34" t="s">
        <v>220</v>
      </c>
      <c r="E195" s="34" t="s">
        <v>221</v>
      </c>
      <c r="F195" s="36" t="str">
        <f>IFERROR(VLOOKUP(B195,'985'!$B$2:$D$40,3,FALSE),"")</f>
        <v/>
      </c>
      <c r="G195" s="32" t="str">
        <f>IFERROR(VLOOKUP(B195,'211'!$B$2:$D$116,3,FALSE),"")</f>
        <v/>
      </c>
      <c r="H195" s="32" t="str">
        <f>IFERROR(VLOOKUP(B195,双一流!$B$2:$D$148,3,FALSE),"")</f>
        <v/>
      </c>
      <c r="I195" s="32" t="str">
        <f>IFERROR(VLOOKUP(B195,汇总!$B$2:$I$2921,8,FALSE),"")</f>
        <v>医药</v>
      </c>
      <c r="J195" s="34" t="s">
        <v>11</v>
      </c>
      <c r="K195" s="35" t="s">
        <v>12</v>
      </c>
    </row>
    <row r="196" ht="17.25" spans="1:11">
      <c r="A196" s="29">
        <v>195</v>
      </c>
      <c r="B196" s="29" t="s">
        <v>248</v>
      </c>
      <c r="C196" s="29" t="str">
        <f>VLOOKUP(B196,教育部大学名单!$B$1:$D$2920,3,FALSE)</f>
        <v>辽宁省</v>
      </c>
      <c r="D196" s="29" t="s">
        <v>220</v>
      </c>
      <c r="E196" s="29" t="s">
        <v>221</v>
      </c>
      <c r="F196" s="36" t="str">
        <f>IFERROR(VLOOKUP(B196,'985'!$B$2:$D$40,3,FALSE),"")</f>
        <v/>
      </c>
      <c r="G196" s="32" t="str">
        <f>IFERROR(VLOOKUP(B196,'211'!$B$2:$D$116,3,FALSE),"")</f>
        <v/>
      </c>
      <c r="H196" s="32" t="str">
        <f>IFERROR(VLOOKUP(B196,双一流!$B$2:$D$148,3,FALSE),"")</f>
        <v/>
      </c>
      <c r="I196" s="32">
        <f>IFERROR(VLOOKUP(B196,汇总!$B$2:$I$2921,8,FALSE),"")</f>
        <v>0</v>
      </c>
      <c r="J196" s="29" t="s">
        <v>11</v>
      </c>
      <c r="K196" s="33" t="s">
        <v>12</v>
      </c>
    </row>
    <row r="197" ht="33.75" spans="1:11">
      <c r="A197" s="34">
        <v>196</v>
      </c>
      <c r="B197" s="34" t="s">
        <v>249</v>
      </c>
      <c r="C197" s="29" t="str">
        <f>VLOOKUP(B197,教育部大学名单!$B$1:$D$2920,3,FALSE)</f>
        <v>辽宁省</v>
      </c>
      <c r="D197" s="34" t="s">
        <v>220</v>
      </c>
      <c r="E197" s="34" t="s">
        <v>223</v>
      </c>
      <c r="F197" s="36" t="str">
        <f>IFERROR(VLOOKUP(B197,'985'!$B$2:$D$40,3,FALSE),"")</f>
        <v/>
      </c>
      <c r="G197" s="32" t="str">
        <f>IFERROR(VLOOKUP(B197,'211'!$B$2:$D$116,3,FALSE),"")</f>
        <v/>
      </c>
      <c r="H197" s="32" t="str">
        <f>IFERROR(VLOOKUP(B197,双一流!$B$2:$D$148,3,FALSE),"")</f>
        <v/>
      </c>
      <c r="I197" s="32" t="str">
        <f>IFERROR(VLOOKUP(B197,汇总!$B$2:$I$2921,8,FALSE),"")</f>
        <v>师范</v>
      </c>
      <c r="J197" s="34" t="s">
        <v>11</v>
      </c>
      <c r="K197" s="35" t="s">
        <v>12</v>
      </c>
    </row>
    <row r="198" ht="33.75" spans="1:11">
      <c r="A198" s="29">
        <v>197</v>
      </c>
      <c r="B198" s="29" t="s">
        <v>250</v>
      </c>
      <c r="C198" s="29" t="str">
        <f>VLOOKUP(B198,教育部大学名单!$B$1:$D$2920,3,FALSE)</f>
        <v>辽宁省</v>
      </c>
      <c r="D198" s="29" t="s">
        <v>220</v>
      </c>
      <c r="E198" s="29" t="s">
        <v>221</v>
      </c>
      <c r="F198" s="36" t="str">
        <f>IFERROR(VLOOKUP(B198,'985'!$B$2:$D$40,3,FALSE),"")</f>
        <v/>
      </c>
      <c r="G198" s="32" t="str">
        <f>IFERROR(VLOOKUP(B198,'211'!$B$2:$D$116,3,FALSE),"")</f>
        <v/>
      </c>
      <c r="H198" s="32" t="str">
        <f>IFERROR(VLOOKUP(B198,双一流!$B$2:$D$148,3,FALSE),"")</f>
        <v/>
      </c>
      <c r="I198" s="32" t="str">
        <f>IFERROR(VLOOKUP(B198,汇总!$B$2:$I$2921,8,FALSE),"")</f>
        <v>师范</v>
      </c>
      <c r="J198" s="29" t="s">
        <v>11</v>
      </c>
      <c r="K198" s="33" t="s">
        <v>12</v>
      </c>
    </row>
    <row r="199" ht="17.25" spans="1:11">
      <c r="A199" s="34">
        <v>198</v>
      </c>
      <c r="B199" s="34" t="s">
        <v>251</v>
      </c>
      <c r="C199" s="29" t="str">
        <f>VLOOKUP(B199,教育部大学名单!$B$1:$D$2920,3,FALSE)</f>
        <v>辽宁省</v>
      </c>
      <c r="D199" s="34" t="s">
        <v>220</v>
      </c>
      <c r="E199" s="34" t="s">
        <v>240</v>
      </c>
      <c r="F199" s="36" t="str">
        <f>IFERROR(VLOOKUP(B199,'985'!$B$2:$D$40,3,FALSE),"")</f>
        <v/>
      </c>
      <c r="G199" s="32" t="str">
        <f>IFERROR(VLOOKUP(B199,'211'!$B$2:$D$116,3,FALSE),"")</f>
        <v/>
      </c>
      <c r="H199" s="32" t="str">
        <f>IFERROR(VLOOKUP(B199,双一流!$B$2:$D$148,3,FALSE),"")</f>
        <v/>
      </c>
      <c r="I199" s="32" t="str">
        <f>IFERROR(VLOOKUP(B199,汇总!$B$2:$I$2921,8,FALSE),"")</f>
        <v>综合</v>
      </c>
      <c r="J199" s="34" t="s">
        <v>11</v>
      </c>
      <c r="K199" s="35" t="s">
        <v>12</v>
      </c>
    </row>
    <row r="200" ht="33.75" spans="1:11">
      <c r="A200" s="29">
        <v>199</v>
      </c>
      <c r="B200" s="29" t="s">
        <v>252</v>
      </c>
      <c r="C200" s="29" t="str">
        <f>VLOOKUP(B200,教育部大学名单!$B$1:$D$2920,3,FALSE)</f>
        <v>辽宁省</v>
      </c>
      <c r="D200" s="29" t="s">
        <v>220</v>
      </c>
      <c r="E200" s="29" t="s">
        <v>229</v>
      </c>
      <c r="F200" s="36" t="str">
        <f>IFERROR(VLOOKUP(B200,'985'!$B$2:$D$40,3,FALSE),"")</f>
        <v/>
      </c>
      <c r="G200" s="32" t="str">
        <f>IFERROR(VLOOKUP(B200,'211'!$B$2:$D$116,3,FALSE),"")</f>
        <v/>
      </c>
      <c r="H200" s="32" t="str">
        <f>IFERROR(VLOOKUP(B200,双一流!$B$2:$D$148,3,FALSE),"")</f>
        <v/>
      </c>
      <c r="I200" s="32">
        <f>IFERROR(VLOOKUP(B200,汇总!$B$2:$I$2921,8,FALSE),"")</f>
        <v>0</v>
      </c>
      <c r="J200" s="29" t="s">
        <v>11</v>
      </c>
      <c r="K200" s="33" t="s">
        <v>12</v>
      </c>
    </row>
    <row r="201" ht="33.75" spans="1:11">
      <c r="A201" s="34">
        <v>200</v>
      </c>
      <c r="B201" s="34" t="s">
        <v>253</v>
      </c>
      <c r="C201" s="29" t="str">
        <f>VLOOKUP(B201,教育部大学名单!$B$1:$D$2920,3,FALSE)</f>
        <v>辽宁省</v>
      </c>
      <c r="D201" s="34" t="s">
        <v>220</v>
      </c>
      <c r="E201" s="34" t="s">
        <v>223</v>
      </c>
      <c r="F201" s="36" t="str">
        <f>IFERROR(VLOOKUP(B201,'985'!$B$2:$D$40,3,FALSE),"")</f>
        <v/>
      </c>
      <c r="G201" s="32" t="str">
        <f>IFERROR(VLOOKUP(B201,'211'!$B$2:$D$116,3,FALSE),"")</f>
        <v/>
      </c>
      <c r="H201" s="32" t="str">
        <f>IFERROR(VLOOKUP(B201,双一流!$B$2:$D$148,3,FALSE),"")</f>
        <v/>
      </c>
      <c r="I201" s="32" t="str">
        <f>IFERROR(VLOOKUP(B201,汇总!$B$2:$I$2921,8,FALSE),"")</f>
        <v>语言</v>
      </c>
      <c r="J201" s="34" t="s">
        <v>11</v>
      </c>
      <c r="K201" s="35" t="s">
        <v>12</v>
      </c>
    </row>
    <row r="202" ht="33.75" spans="1:11">
      <c r="A202" s="29">
        <v>201</v>
      </c>
      <c r="B202" s="29" t="s">
        <v>254</v>
      </c>
      <c r="C202" s="29" t="str">
        <f>VLOOKUP(B202,教育部大学名单!$B$1:$D$2920,3,FALSE)</f>
        <v>辽宁省</v>
      </c>
      <c r="D202" s="29" t="s">
        <v>220</v>
      </c>
      <c r="E202" s="29" t="s">
        <v>223</v>
      </c>
      <c r="F202" s="36" t="str">
        <f>IFERROR(VLOOKUP(B202,'985'!$B$2:$D$40,3,FALSE),"")</f>
        <v/>
      </c>
      <c r="G202" s="32" t="str">
        <f>IFERROR(VLOOKUP(B202,'211'!$B$2:$D$116,3,FALSE),"")</f>
        <v/>
      </c>
      <c r="H202" s="32" t="str">
        <f>IFERROR(VLOOKUP(B202,双一流!$B$2:$D$148,3,FALSE),"")</f>
        <v/>
      </c>
      <c r="I202" s="32" t="str">
        <f>IFERROR(VLOOKUP(B202,汇总!$B$2:$I$2921,8,FALSE),"")</f>
        <v>财经</v>
      </c>
      <c r="J202" s="29" t="s">
        <v>11</v>
      </c>
      <c r="K202" s="33" t="s">
        <v>12</v>
      </c>
    </row>
    <row r="203" ht="33.75" spans="1:11">
      <c r="A203" s="34">
        <v>202</v>
      </c>
      <c r="B203" s="34" t="s">
        <v>255</v>
      </c>
      <c r="C203" s="29" t="str">
        <f>VLOOKUP(B203,教育部大学名单!$B$1:$D$2920,3,FALSE)</f>
        <v>公安部</v>
      </c>
      <c r="D203" s="34" t="s">
        <v>220</v>
      </c>
      <c r="E203" s="34" t="s">
        <v>221</v>
      </c>
      <c r="F203" s="36" t="str">
        <f>IFERROR(VLOOKUP(B203,'985'!$B$2:$D$40,3,FALSE),"")</f>
        <v/>
      </c>
      <c r="G203" s="32" t="str">
        <f>IFERROR(VLOOKUP(B203,'211'!$B$2:$D$116,3,FALSE),"")</f>
        <v/>
      </c>
      <c r="H203" s="32" t="str">
        <f>IFERROR(VLOOKUP(B203,双一流!$B$2:$D$148,3,FALSE),"")</f>
        <v/>
      </c>
      <c r="I203" s="32" t="str">
        <f>IFERROR(VLOOKUP(B203,汇总!$B$2:$I$2921,8,FALSE),"")</f>
        <v>政法</v>
      </c>
      <c r="J203" s="34" t="s">
        <v>11</v>
      </c>
      <c r="K203" s="35" t="s">
        <v>12</v>
      </c>
    </row>
    <row r="204" ht="33.75" spans="1:11">
      <c r="A204" s="29">
        <v>203</v>
      </c>
      <c r="B204" s="29" t="s">
        <v>256</v>
      </c>
      <c r="C204" s="29" t="str">
        <f>VLOOKUP(B204,教育部大学名单!$B$1:$D$2920,3,FALSE)</f>
        <v>辽宁省</v>
      </c>
      <c r="D204" s="29" t="s">
        <v>220</v>
      </c>
      <c r="E204" s="29" t="s">
        <v>221</v>
      </c>
      <c r="F204" s="36" t="str">
        <f>IFERROR(VLOOKUP(B204,'985'!$B$2:$D$40,3,FALSE),"")</f>
        <v/>
      </c>
      <c r="G204" s="32" t="str">
        <f>IFERROR(VLOOKUP(B204,'211'!$B$2:$D$116,3,FALSE),"")</f>
        <v/>
      </c>
      <c r="H204" s="32" t="str">
        <f>IFERROR(VLOOKUP(B204,双一流!$B$2:$D$148,3,FALSE),"")</f>
        <v/>
      </c>
      <c r="I204" s="32">
        <f>IFERROR(VLOOKUP(B204,汇总!$B$2:$I$2921,8,FALSE),"")</f>
        <v>0</v>
      </c>
      <c r="J204" s="29" t="s">
        <v>11</v>
      </c>
      <c r="K204" s="33" t="s">
        <v>12</v>
      </c>
    </row>
    <row r="205" ht="33.75" spans="1:11">
      <c r="A205" s="34">
        <v>204</v>
      </c>
      <c r="B205" s="34" t="s">
        <v>257</v>
      </c>
      <c r="C205" s="29" t="str">
        <f>VLOOKUP(B205,教育部大学名单!$B$1:$D$2920,3,FALSE)</f>
        <v>辽宁省</v>
      </c>
      <c r="D205" s="34" t="s">
        <v>220</v>
      </c>
      <c r="E205" s="34" t="s">
        <v>221</v>
      </c>
      <c r="F205" s="36" t="str">
        <f>IFERROR(VLOOKUP(B205,'985'!$B$2:$D$40,3,FALSE),"")</f>
        <v/>
      </c>
      <c r="G205" s="32" t="str">
        <f>IFERROR(VLOOKUP(B205,'211'!$B$2:$D$116,3,FALSE),"")</f>
        <v/>
      </c>
      <c r="H205" s="32" t="str">
        <f>IFERROR(VLOOKUP(B205,双一流!$B$2:$D$148,3,FALSE),"")</f>
        <v/>
      </c>
      <c r="I205" s="32">
        <f>IFERROR(VLOOKUP(B205,汇总!$B$2:$I$2921,8,FALSE),"")</f>
        <v>0</v>
      </c>
      <c r="J205" s="34" t="s">
        <v>11</v>
      </c>
      <c r="K205" s="35" t="s">
        <v>12</v>
      </c>
    </row>
    <row r="206" ht="33.75" spans="1:11">
      <c r="A206" s="29">
        <v>205</v>
      </c>
      <c r="B206" s="29" t="s">
        <v>258</v>
      </c>
      <c r="C206" s="29" t="str">
        <f>VLOOKUP(B206,教育部大学名单!$B$1:$D$2920,3,FALSE)</f>
        <v>辽宁省</v>
      </c>
      <c r="D206" s="29" t="s">
        <v>220</v>
      </c>
      <c r="E206" s="29" t="s">
        <v>221</v>
      </c>
      <c r="F206" s="36" t="str">
        <f>IFERROR(VLOOKUP(B206,'985'!$B$2:$D$40,3,FALSE),"")</f>
        <v/>
      </c>
      <c r="G206" s="32" t="str">
        <f>IFERROR(VLOOKUP(B206,'211'!$B$2:$D$116,3,FALSE),"")</f>
        <v/>
      </c>
      <c r="H206" s="32" t="str">
        <f>IFERROR(VLOOKUP(B206,双一流!$B$2:$D$148,3,FALSE),"")</f>
        <v/>
      </c>
      <c r="I206" s="32">
        <f>IFERROR(VLOOKUP(B206,汇总!$B$2:$I$2921,8,FALSE),"")</f>
        <v>0</v>
      </c>
      <c r="J206" s="29" t="s">
        <v>11</v>
      </c>
      <c r="K206" s="33" t="s">
        <v>12</v>
      </c>
    </row>
    <row r="207" ht="17.25" spans="1:11">
      <c r="A207" s="34">
        <v>206</v>
      </c>
      <c r="B207" s="34" t="s">
        <v>259</v>
      </c>
      <c r="C207" s="29" t="str">
        <f>VLOOKUP(B207,教育部大学名单!$B$1:$D$2920,3,FALSE)</f>
        <v>辽宁省</v>
      </c>
      <c r="D207" s="34" t="s">
        <v>220</v>
      </c>
      <c r="E207" s="34" t="s">
        <v>221</v>
      </c>
      <c r="F207" s="36" t="str">
        <f>IFERROR(VLOOKUP(B207,'985'!$B$2:$D$40,3,FALSE),"")</f>
        <v/>
      </c>
      <c r="G207" s="32" t="str">
        <f>IFERROR(VLOOKUP(B207,'211'!$B$2:$D$116,3,FALSE),"")</f>
        <v/>
      </c>
      <c r="H207" s="32" t="str">
        <f>IFERROR(VLOOKUP(B207,双一流!$B$2:$D$148,3,FALSE),"")</f>
        <v/>
      </c>
      <c r="I207" s="32">
        <f>IFERROR(VLOOKUP(B207,汇总!$B$2:$I$2921,8,FALSE),"")</f>
        <v>0</v>
      </c>
      <c r="J207" s="34" t="s">
        <v>11</v>
      </c>
      <c r="K207" s="35" t="s">
        <v>12</v>
      </c>
    </row>
    <row r="208" ht="17.25" spans="1:11">
      <c r="A208" s="29">
        <v>207</v>
      </c>
      <c r="B208" s="29" t="s">
        <v>260</v>
      </c>
      <c r="C208" s="29" t="str">
        <f>VLOOKUP(B208,教育部大学名单!$B$1:$D$2920,3,FALSE)</f>
        <v>辽宁省</v>
      </c>
      <c r="D208" s="29" t="s">
        <v>220</v>
      </c>
      <c r="E208" s="29" t="s">
        <v>223</v>
      </c>
      <c r="F208" s="36" t="str">
        <f>IFERROR(VLOOKUP(B208,'985'!$B$2:$D$40,3,FALSE),"")</f>
        <v/>
      </c>
      <c r="G208" s="32" t="str">
        <f>IFERROR(VLOOKUP(B208,'211'!$B$2:$D$116,3,FALSE),"")</f>
        <v/>
      </c>
      <c r="H208" s="32" t="str">
        <f>IFERROR(VLOOKUP(B208,双一流!$B$2:$D$148,3,FALSE),"")</f>
        <v/>
      </c>
      <c r="I208" s="32" t="str">
        <f>IFERROR(VLOOKUP(B208,汇总!$B$2:$I$2921,8,FALSE),"")</f>
        <v>综合</v>
      </c>
      <c r="J208" s="29" t="s">
        <v>11</v>
      </c>
      <c r="K208" s="33" t="s">
        <v>12</v>
      </c>
    </row>
    <row r="209" ht="33.75" spans="1:11">
      <c r="A209" s="34">
        <v>208</v>
      </c>
      <c r="B209" s="34" t="s">
        <v>261</v>
      </c>
      <c r="C209" s="29" t="str">
        <f>VLOOKUP(B209,教育部大学名单!$B$1:$D$2920,3,FALSE)</f>
        <v>辽宁省</v>
      </c>
      <c r="D209" s="34" t="s">
        <v>220</v>
      </c>
      <c r="E209" s="34" t="s">
        <v>262</v>
      </c>
      <c r="F209" s="36" t="str">
        <f>IFERROR(VLOOKUP(B209,'985'!$B$2:$D$40,3,FALSE),"")</f>
        <v/>
      </c>
      <c r="G209" s="32" t="str">
        <f>IFERROR(VLOOKUP(B209,'211'!$B$2:$D$116,3,FALSE),"")</f>
        <v/>
      </c>
      <c r="H209" s="32" t="str">
        <f>IFERROR(VLOOKUP(B209,双一流!$B$2:$D$148,3,FALSE),"")</f>
        <v/>
      </c>
      <c r="I209" s="32">
        <f>IFERROR(VLOOKUP(B209,汇总!$B$2:$I$2921,8,FALSE),"")</f>
        <v>0</v>
      </c>
      <c r="J209" s="34" t="s">
        <v>11</v>
      </c>
      <c r="K209" s="35" t="s">
        <v>12</v>
      </c>
    </row>
    <row r="210" ht="33.75" spans="1:11">
      <c r="A210" s="29">
        <v>209</v>
      </c>
      <c r="B210" s="29" t="s">
        <v>263</v>
      </c>
      <c r="C210" s="29" t="str">
        <f>VLOOKUP(B210,教育部大学名单!$B$1:$D$2920,3,FALSE)</f>
        <v>辽宁省</v>
      </c>
      <c r="D210" s="29" t="s">
        <v>220</v>
      </c>
      <c r="E210" s="29" t="s">
        <v>223</v>
      </c>
      <c r="F210" s="36" t="str">
        <f>IFERROR(VLOOKUP(B210,'985'!$B$2:$D$40,3,FALSE),"")</f>
        <v/>
      </c>
      <c r="G210" s="32" t="str">
        <f>IFERROR(VLOOKUP(B210,'211'!$B$2:$D$116,3,FALSE),"")</f>
        <v/>
      </c>
      <c r="H210" s="32" t="str">
        <f>IFERROR(VLOOKUP(B210,双一流!$B$2:$D$148,3,FALSE),"")</f>
        <v/>
      </c>
      <c r="I210" s="32">
        <f>IFERROR(VLOOKUP(B210,汇总!$B$2:$I$2921,8,FALSE),"")</f>
        <v>0</v>
      </c>
      <c r="J210" s="29" t="s">
        <v>11</v>
      </c>
      <c r="K210" s="33" t="s">
        <v>12</v>
      </c>
    </row>
    <row r="211" ht="33.75" spans="1:11">
      <c r="A211" s="34">
        <v>210</v>
      </c>
      <c r="B211" s="34" t="s">
        <v>264</v>
      </c>
      <c r="C211" s="29" t="str">
        <f>VLOOKUP(B211,教育部大学名单!$B$1:$D$2920,3,FALSE)</f>
        <v>辽宁省</v>
      </c>
      <c r="D211" s="34" t="s">
        <v>220</v>
      </c>
      <c r="E211" s="34" t="s">
        <v>221</v>
      </c>
      <c r="F211" s="36" t="str">
        <f>IFERROR(VLOOKUP(B211,'985'!$B$2:$D$40,3,FALSE),"")</f>
        <v/>
      </c>
      <c r="G211" s="32" t="str">
        <f>IFERROR(VLOOKUP(B211,'211'!$B$2:$D$116,3,FALSE),"")</f>
        <v/>
      </c>
      <c r="H211" s="32" t="str">
        <f>IFERROR(VLOOKUP(B211,双一流!$B$2:$D$148,3,FALSE),"")</f>
        <v/>
      </c>
      <c r="I211" s="32">
        <f>IFERROR(VLOOKUP(B211,汇总!$B$2:$I$2921,8,FALSE),"")</f>
        <v>0</v>
      </c>
      <c r="J211" s="34" t="s">
        <v>11</v>
      </c>
      <c r="K211" s="35" t="s">
        <v>12</v>
      </c>
    </row>
    <row r="212" ht="17.25" spans="1:11">
      <c r="A212" s="29">
        <v>211</v>
      </c>
      <c r="B212" s="29" t="s">
        <v>265</v>
      </c>
      <c r="C212" s="29" t="str">
        <f>VLOOKUP(B212,教育部大学名单!$B$1:$D$2920,3,FALSE)</f>
        <v>辽宁省</v>
      </c>
      <c r="D212" s="29" t="s">
        <v>220</v>
      </c>
      <c r="E212" s="29" t="s">
        <v>266</v>
      </c>
      <c r="F212" s="36" t="str">
        <f>IFERROR(VLOOKUP(B212,'985'!$B$2:$D$40,3,FALSE),"")</f>
        <v/>
      </c>
      <c r="G212" s="32" t="str">
        <f>IFERROR(VLOOKUP(B212,'211'!$B$2:$D$116,3,FALSE),"")</f>
        <v/>
      </c>
      <c r="H212" s="32" t="str">
        <f>IFERROR(VLOOKUP(B212,双一流!$B$2:$D$148,3,FALSE),"")</f>
        <v/>
      </c>
      <c r="I212" s="32">
        <f>IFERROR(VLOOKUP(B212,汇总!$B$2:$I$2921,8,FALSE),"")</f>
        <v>0</v>
      </c>
      <c r="J212" s="29" t="s">
        <v>11</v>
      </c>
      <c r="K212" s="33" t="s">
        <v>12</v>
      </c>
    </row>
    <row r="213" ht="33.75" spans="1:11">
      <c r="A213" s="34">
        <v>212</v>
      </c>
      <c r="B213" s="34" t="s">
        <v>267</v>
      </c>
      <c r="C213" s="29" t="str">
        <f>VLOOKUP(B213,教育部大学名单!$B$1:$D$2920,3,FALSE)</f>
        <v>国家民委</v>
      </c>
      <c r="D213" s="34" t="s">
        <v>220</v>
      </c>
      <c r="E213" s="34" t="s">
        <v>223</v>
      </c>
      <c r="F213" s="36" t="str">
        <f>IFERROR(VLOOKUP(B213,'985'!$B$2:$D$40,3,FALSE),"")</f>
        <v/>
      </c>
      <c r="G213" s="32" t="str">
        <f>IFERROR(VLOOKUP(B213,'211'!$B$2:$D$116,3,FALSE),"")</f>
        <v/>
      </c>
      <c r="H213" s="32" t="str">
        <f>IFERROR(VLOOKUP(B213,双一流!$B$2:$D$148,3,FALSE),"")</f>
        <v/>
      </c>
      <c r="I213" s="32">
        <f>IFERROR(VLOOKUP(B213,汇总!$B$2:$I$2921,8,FALSE),"")</f>
        <v>0</v>
      </c>
      <c r="J213" s="34" t="s">
        <v>11</v>
      </c>
      <c r="K213" s="35" t="s">
        <v>12</v>
      </c>
    </row>
    <row r="214" ht="33.75" spans="1:11">
      <c r="A214" s="29">
        <v>213</v>
      </c>
      <c r="B214" s="29" t="s">
        <v>268</v>
      </c>
      <c r="C214" s="29" t="str">
        <f>VLOOKUP(B214,教育部大学名单!$B$1:$D$2920,3,FALSE)</f>
        <v>辽宁省</v>
      </c>
      <c r="D214" s="29" t="s">
        <v>220</v>
      </c>
      <c r="E214" s="29" t="s">
        <v>269</v>
      </c>
      <c r="F214" s="36" t="str">
        <f>IFERROR(VLOOKUP(B214,'985'!$B$2:$D$40,3,FALSE),"")</f>
        <v/>
      </c>
      <c r="G214" s="32" t="str">
        <f>IFERROR(VLOOKUP(B214,'211'!$B$2:$D$116,3,FALSE),"")</f>
        <v/>
      </c>
      <c r="H214" s="32" t="str">
        <f>IFERROR(VLOOKUP(B214,双一流!$B$2:$D$148,3,FALSE),"")</f>
        <v/>
      </c>
      <c r="I214" s="32">
        <f>IFERROR(VLOOKUP(B214,汇总!$B$2:$I$2921,8,FALSE),"")</f>
        <v>0</v>
      </c>
      <c r="J214" s="29" t="s">
        <v>11</v>
      </c>
      <c r="K214" s="33" t="s">
        <v>12</v>
      </c>
    </row>
    <row r="215" ht="33.75" spans="1:11">
      <c r="A215" s="34">
        <v>214</v>
      </c>
      <c r="B215" s="34" t="s">
        <v>270</v>
      </c>
      <c r="C215" s="29" t="str">
        <f>VLOOKUP(B215,教育部大学名单!$B$1:$D$2920,3,FALSE)</f>
        <v>辽宁省</v>
      </c>
      <c r="D215" s="34" t="s">
        <v>220</v>
      </c>
      <c r="E215" s="34" t="s">
        <v>271</v>
      </c>
      <c r="F215" s="36" t="str">
        <f>IFERROR(VLOOKUP(B215,'985'!$B$2:$D$40,3,FALSE),"")</f>
        <v/>
      </c>
      <c r="G215" s="32" t="str">
        <f>IFERROR(VLOOKUP(B215,'211'!$B$2:$D$116,3,FALSE),"")</f>
        <v/>
      </c>
      <c r="H215" s="32" t="str">
        <f>IFERROR(VLOOKUP(B215,双一流!$B$2:$D$148,3,FALSE),"")</f>
        <v/>
      </c>
      <c r="I215" s="32">
        <f>IFERROR(VLOOKUP(B215,汇总!$B$2:$I$2921,8,FALSE),"")</f>
        <v>0</v>
      </c>
      <c r="J215" s="34" t="s">
        <v>11</v>
      </c>
      <c r="K215" s="35" t="s">
        <v>12</v>
      </c>
    </row>
    <row r="216" ht="17.25" spans="1:11">
      <c r="A216" s="29">
        <v>215</v>
      </c>
      <c r="B216" s="29" t="s">
        <v>272</v>
      </c>
      <c r="C216" s="29" t="str">
        <f>VLOOKUP(B216,教育部大学名单!$B$1:$D$2920,3,FALSE)</f>
        <v>教育部</v>
      </c>
      <c r="D216" s="29" t="s">
        <v>273</v>
      </c>
      <c r="E216" s="29" t="s">
        <v>274</v>
      </c>
      <c r="F216" s="30">
        <f>IFERROR(VLOOKUP(B216,'985'!$B$2:$D$40,3,FALSE),"")</f>
        <v>985</v>
      </c>
      <c r="G216" s="31">
        <f>IFERROR(VLOOKUP(B216,'211'!$B$2:$D$116,3,FALSE),"")</f>
        <v>211</v>
      </c>
      <c r="H216" s="32" t="str">
        <f>IFERROR(VLOOKUP(B216,双一流!$B$2:$D$148,3,FALSE),"")</f>
        <v>双一流</v>
      </c>
      <c r="I216" s="32" t="str">
        <f>IFERROR(VLOOKUP(B216,汇总!$B$2:$I$2921,8,FALSE),"")</f>
        <v>综合</v>
      </c>
      <c r="J216" s="29" t="s">
        <v>11</v>
      </c>
      <c r="K216" s="33" t="s">
        <v>12</v>
      </c>
    </row>
    <row r="217" ht="17.25" spans="1:11">
      <c r="A217" s="34">
        <v>216</v>
      </c>
      <c r="B217" s="34" t="s">
        <v>275</v>
      </c>
      <c r="C217" s="29" t="str">
        <f>VLOOKUP(B217,教育部大学名单!$B$1:$D$2920,3,FALSE)</f>
        <v>吉林省</v>
      </c>
      <c r="D217" s="34" t="s">
        <v>273</v>
      </c>
      <c r="E217" s="34" t="s">
        <v>276</v>
      </c>
      <c r="F217" s="36" t="str">
        <f>IFERROR(VLOOKUP(B217,'985'!$B$2:$D$40,3,FALSE),"")</f>
        <v/>
      </c>
      <c r="G217" s="31">
        <f>IFERROR(VLOOKUP(B217,'211'!$B$2:$D$116,3,FALSE),"")</f>
        <v>211</v>
      </c>
      <c r="H217" s="32" t="str">
        <f>IFERROR(VLOOKUP(B217,双一流!$B$2:$D$148,3,FALSE),"")</f>
        <v>双一流</v>
      </c>
      <c r="I217" s="32" t="str">
        <f>IFERROR(VLOOKUP(B217,汇总!$B$2:$I$2921,8,FALSE),"")</f>
        <v>综合</v>
      </c>
      <c r="J217" s="34" t="s">
        <v>11</v>
      </c>
      <c r="K217" s="35" t="s">
        <v>12</v>
      </c>
    </row>
    <row r="218" ht="33.75" spans="1:11">
      <c r="A218" s="29">
        <v>217</v>
      </c>
      <c r="B218" s="29" t="s">
        <v>277</v>
      </c>
      <c r="C218" s="29" t="str">
        <f>VLOOKUP(B218,教育部大学名单!$B$1:$D$2920,3,FALSE)</f>
        <v>吉林省</v>
      </c>
      <c r="D218" s="29" t="s">
        <v>273</v>
      </c>
      <c r="E218" s="29" t="s">
        <v>274</v>
      </c>
      <c r="F218" s="36" t="str">
        <f>IFERROR(VLOOKUP(B218,'985'!$B$2:$D$40,3,FALSE),"")</f>
        <v/>
      </c>
      <c r="G218" s="32" t="str">
        <f>IFERROR(VLOOKUP(B218,'211'!$B$2:$D$116,3,FALSE),"")</f>
        <v/>
      </c>
      <c r="H218" s="32" t="str">
        <f>IFERROR(VLOOKUP(B218,双一流!$B$2:$D$148,3,FALSE),"")</f>
        <v/>
      </c>
      <c r="I218" s="32" t="str">
        <f>IFERROR(VLOOKUP(B218,汇总!$B$2:$I$2921,8,FALSE),"")</f>
        <v>理工</v>
      </c>
      <c r="J218" s="29" t="s">
        <v>11</v>
      </c>
      <c r="K218" s="33" t="s">
        <v>12</v>
      </c>
    </row>
    <row r="219" ht="33.75" spans="1:11">
      <c r="A219" s="34">
        <v>218</v>
      </c>
      <c r="B219" s="34" t="s">
        <v>278</v>
      </c>
      <c r="C219" s="29" t="str">
        <f>VLOOKUP(B219,教育部大学名单!$B$1:$D$2920,3,FALSE)</f>
        <v>吉林省</v>
      </c>
      <c r="D219" s="34" t="s">
        <v>273</v>
      </c>
      <c r="E219" s="34" t="s">
        <v>279</v>
      </c>
      <c r="F219" s="36" t="str">
        <f>IFERROR(VLOOKUP(B219,'985'!$B$2:$D$40,3,FALSE),"")</f>
        <v/>
      </c>
      <c r="G219" s="32" t="str">
        <f>IFERROR(VLOOKUP(B219,'211'!$B$2:$D$116,3,FALSE),"")</f>
        <v/>
      </c>
      <c r="H219" s="32" t="str">
        <f>IFERROR(VLOOKUP(B219,双一流!$B$2:$D$148,3,FALSE),"")</f>
        <v/>
      </c>
      <c r="I219" s="32" t="str">
        <f>IFERROR(VLOOKUP(B219,汇总!$B$2:$I$2921,8,FALSE),"")</f>
        <v>理工</v>
      </c>
      <c r="J219" s="34" t="s">
        <v>11</v>
      </c>
      <c r="K219" s="35" t="s">
        <v>12</v>
      </c>
    </row>
    <row r="220" ht="33.75" spans="1:11">
      <c r="A220" s="29">
        <v>219</v>
      </c>
      <c r="B220" s="29" t="s">
        <v>280</v>
      </c>
      <c r="C220" s="29" t="str">
        <f>VLOOKUP(B220,教育部大学名单!$B$1:$D$2920,3,FALSE)</f>
        <v>吉林省</v>
      </c>
      <c r="D220" s="29" t="s">
        <v>273</v>
      </c>
      <c r="E220" s="29" t="s">
        <v>274</v>
      </c>
      <c r="F220" s="36" t="str">
        <f>IFERROR(VLOOKUP(B220,'985'!$B$2:$D$40,3,FALSE),"")</f>
        <v/>
      </c>
      <c r="G220" s="32" t="str">
        <f>IFERROR(VLOOKUP(B220,'211'!$B$2:$D$116,3,FALSE),"")</f>
        <v/>
      </c>
      <c r="H220" s="32" t="str">
        <f>IFERROR(VLOOKUP(B220,双一流!$B$2:$D$148,3,FALSE),"")</f>
        <v/>
      </c>
      <c r="I220" s="32" t="str">
        <f>IFERROR(VLOOKUP(B220,汇总!$B$2:$I$2921,8,FALSE),"")</f>
        <v>理工</v>
      </c>
      <c r="J220" s="29" t="s">
        <v>11</v>
      </c>
      <c r="K220" s="33" t="s">
        <v>12</v>
      </c>
    </row>
    <row r="221" ht="33.75" spans="1:11">
      <c r="A221" s="34">
        <v>220</v>
      </c>
      <c r="B221" s="34" t="s">
        <v>281</v>
      </c>
      <c r="C221" s="29" t="str">
        <f>VLOOKUP(B221,教育部大学名单!$B$1:$D$2920,3,FALSE)</f>
        <v>吉林省</v>
      </c>
      <c r="D221" s="34" t="s">
        <v>273</v>
      </c>
      <c r="E221" s="34" t="s">
        <v>274</v>
      </c>
      <c r="F221" s="36" t="str">
        <f>IFERROR(VLOOKUP(B221,'985'!$B$2:$D$40,3,FALSE),"")</f>
        <v/>
      </c>
      <c r="G221" s="32" t="str">
        <f>IFERROR(VLOOKUP(B221,'211'!$B$2:$D$116,3,FALSE),"")</f>
        <v/>
      </c>
      <c r="H221" s="32" t="str">
        <f>IFERROR(VLOOKUP(B221,双一流!$B$2:$D$148,3,FALSE),"")</f>
        <v/>
      </c>
      <c r="I221" s="32">
        <f>IFERROR(VLOOKUP(B221,汇总!$B$2:$I$2921,8,FALSE),"")</f>
        <v>0</v>
      </c>
      <c r="J221" s="34" t="s">
        <v>11</v>
      </c>
      <c r="K221" s="35" t="s">
        <v>12</v>
      </c>
    </row>
    <row r="222" ht="33.75" spans="1:11">
      <c r="A222" s="29">
        <v>221</v>
      </c>
      <c r="B222" s="29" t="s">
        <v>282</v>
      </c>
      <c r="C222" s="29" t="str">
        <f>VLOOKUP(B222,教育部大学名单!$B$1:$D$2920,3,FALSE)</f>
        <v>吉林省</v>
      </c>
      <c r="D222" s="29" t="s">
        <v>273</v>
      </c>
      <c r="E222" s="29" t="s">
        <v>279</v>
      </c>
      <c r="F222" s="36" t="str">
        <f>IFERROR(VLOOKUP(B222,'985'!$B$2:$D$40,3,FALSE),"")</f>
        <v/>
      </c>
      <c r="G222" s="32" t="str">
        <f>IFERROR(VLOOKUP(B222,'211'!$B$2:$D$116,3,FALSE),"")</f>
        <v/>
      </c>
      <c r="H222" s="32" t="str">
        <f>IFERROR(VLOOKUP(B222,双一流!$B$2:$D$148,3,FALSE),"")</f>
        <v/>
      </c>
      <c r="I222" s="32" t="str">
        <f>IFERROR(VLOOKUP(B222,汇总!$B$2:$I$2921,8,FALSE),"")</f>
        <v/>
      </c>
      <c r="J222" s="29" t="s">
        <v>11</v>
      </c>
      <c r="K222" s="33" t="s">
        <v>12</v>
      </c>
    </row>
    <row r="223" ht="33.75" spans="1:11">
      <c r="A223" s="34">
        <v>222</v>
      </c>
      <c r="B223" s="34" t="s">
        <v>283</v>
      </c>
      <c r="C223" s="29" t="str">
        <f>VLOOKUP(B223,教育部大学名单!$B$1:$D$2920,3,FALSE)</f>
        <v>吉林省</v>
      </c>
      <c r="D223" s="34" t="s">
        <v>273</v>
      </c>
      <c r="E223" s="34" t="s">
        <v>274</v>
      </c>
      <c r="F223" s="36" t="str">
        <f>IFERROR(VLOOKUP(B223,'985'!$B$2:$D$40,3,FALSE),"")</f>
        <v/>
      </c>
      <c r="G223" s="32" t="str">
        <f>IFERROR(VLOOKUP(B223,'211'!$B$2:$D$116,3,FALSE),"")</f>
        <v/>
      </c>
      <c r="H223" s="32" t="str">
        <f>IFERROR(VLOOKUP(B223,双一流!$B$2:$D$148,3,FALSE),"")</f>
        <v/>
      </c>
      <c r="I223" s="32" t="str">
        <f>IFERROR(VLOOKUP(B223,汇总!$B$2:$I$2921,8,FALSE),"")</f>
        <v>农林</v>
      </c>
      <c r="J223" s="34" t="s">
        <v>11</v>
      </c>
      <c r="K223" s="35" t="s">
        <v>12</v>
      </c>
    </row>
    <row r="224" ht="33.75" spans="1:11">
      <c r="A224" s="29">
        <v>223</v>
      </c>
      <c r="B224" s="29" t="s">
        <v>284</v>
      </c>
      <c r="C224" s="29" t="str">
        <f>VLOOKUP(B224,教育部大学名单!$B$1:$D$2920,3,FALSE)</f>
        <v>吉林省</v>
      </c>
      <c r="D224" s="29" t="s">
        <v>273</v>
      </c>
      <c r="E224" s="29" t="s">
        <v>274</v>
      </c>
      <c r="F224" s="36" t="str">
        <f>IFERROR(VLOOKUP(B224,'985'!$B$2:$D$40,3,FALSE),"")</f>
        <v/>
      </c>
      <c r="G224" s="32" t="str">
        <f>IFERROR(VLOOKUP(B224,'211'!$B$2:$D$116,3,FALSE),"")</f>
        <v/>
      </c>
      <c r="H224" s="32" t="str">
        <f>IFERROR(VLOOKUP(B224,双一流!$B$2:$D$148,3,FALSE),"")</f>
        <v/>
      </c>
      <c r="I224" s="32" t="str">
        <f>IFERROR(VLOOKUP(B224,汇总!$B$2:$I$2921,8,FALSE),"")</f>
        <v>医药</v>
      </c>
      <c r="J224" s="29" t="s">
        <v>11</v>
      </c>
      <c r="K224" s="33" t="s">
        <v>12</v>
      </c>
    </row>
    <row r="225" ht="33.75" spans="1:11">
      <c r="A225" s="34">
        <v>224</v>
      </c>
      <c r="B225" s="34" t="s">
        <v>285</v>
      </c>
      <c r="C225" s="29" t="str">
        <f>VLOOKUP(B225,教育部大学名单!$B$1:$D$2920,3,FALSE)</f>
        <v>教育部</v>
      </c>
      <c r="D225" s="34" t="s">
        <v>273</v>
      </c>
      <c r="E225" s="34" t="s">
        <v>274</v>
      </c>
      <c r="F225" s="36" t="str">
        <f>IFERROR(VLOOKUP(B225,'985'!$B$2:$D$40,3,FALSE),"")</f>
        <v/>
      </c>
      <c r="G225" s="31">
        <f>IFERROR(VLOOKUP(B225,'211'!$B$2:$D$116,3,FALSE),"")</f>
        <v>211</v>
      </c>
      <c r="H225" s="32" t="str">
        <f>IFERROR(VLOOKUP(B225,双一流!$B$2:$D$148,3,FALSE),"")</f>
        <v>双一流</v>
      </c>
      <c r="I225" s="32" t="str">
        <f>IFERROR(VLOOKUP(B225,汇总!$B$2:$I$2921,8,FALSE),"")</f>
        <v>师范</v>
      </c>
      <c r="J225" s="34" t="s">
        <v>11</v>
      </c>
      <c r="K225" s="35" t="s">
        <v>12</v>
      </c>
    </row>
    <row r="226" ht="17.25" spans="1:11">
      <c r="A226" s="29">
        <v>225</v>
      </c>
      <c r="B226" s="29" t="s">
        <v>286</v>
      </c>
      <c r="C226" s="29" t="str">
        <f>VLOOKUP(B226,教育部大学名单!$B$1:$D$2920,3,FALSE)</f>
        <v>吉林省</v>
      </c>
      <c r="D226" s="29" t="s">
        <v>273</v>
      </c>
      <c r="E226" s="29" t="s">
        <v>279</v>
      </c>
      <c r="F226" s="36" t="str">
        <f>IFERROR(VLOOKUP(B226,'985'!$B$2:$D$40,3,FALSE),"")</f>
        <v/>
      </c>
      <c r="G226" s="32" t="str">
        <f>IFERROR(VLOOKUP(B226,'211'!$B$2:$D$116,3,FALSE),"")</f>
        <v/>
      </c>
      <c r="H226" s="32" t="str">
        <f>IFERROR(VLOOKUP(B226,双一流!$B$2:$D$148,3,FALSE),"")</f>
        <v/>
      </c>
      <c r="I226" s="32" t="str">
        <f>IFERROR(VLOOKUP(B226,汇总!$B$2:$I$2921,8,FALSE),"")</f>
        <v>综合</v>
      </c>
      <c r="J226" s="29" t="s">
        <v>11</v>
      </c>
      <c r="K226" s="33" t="s">
        <v>12</v>
      </c>
    </row>
    <row r="227" ht="33.75" spans="1:11">
      <c r="A227" s="34">
        <v>226</v>
      </c>
      <c r="B227" s="34" t="s">
        <v>287</v>
      </c>
      <c r="C227" s="29" t="str">
        <f>VLOOKUP(B227,教育部大学名单!$B$1:$D$2920,3,FALSE)</f>
        <v>吉林省</v>
      </c>
      <c r="D227" s="34" t="s">
        <v>273</v>
      </c>
      <c r="E227" s="34" t="s">
        <v>288</v>
      </c>
      <c r="F227" s="36" t="str">
        <f>IFERROR(VLOOKUP(B227,'985'!$B$2:$D$40,3,FALSE),"")</f>
        <v/>
      </c>
      <c r="G227" s="32" t="str">
        <f>IFERROR(VLOOKUP(B227,'211'!$B$2:$D$116,3,FALSE),"")</f>
        <v/>
      </c>
      <c r="H227" s="32" t="str">
        <f>IFERROR(VLOOKUP(B227,双一流!$B$2:$D$148,3,FALSE),"")</f>
        <v/>
      </c>
      <c r="I227" s="32">
        <f>IFERROR(VLOOKUP(B227,汇总!$B$2:$I$2921,8,FALSE),"")</f>
        <v>0</v>
      </c>
      <c r="J227" s="34" t="s">
        <v>11</v>
      </c>
      <c r="K227" s="35" t="s">
        <v>12</v>
      </c>
    </row>
    <row r="228" ht="33.75" spans="1:11">
      <c r="A228" s="29">
        <v>227</v>
      </c>
      <c r="B228" s="29" t="s">
        <v>289</v>
      </c>
      <c r="C228" s="29" t="str">
        <f>VLOOKUP(B228,教育部大学名单!$B$1:$D$2920,3,FALSE)</f>
        <v>吉林省</v>
      </c>
      <c r="D228" s="29" t="s">
        <v>273</v>
      </c>
      <c r="E228" s="29" t="s">
        <v>290</v>
      </c>
      <c r="F228" s="36" t="str">
        <f>IFERROR(VLOOKUP(B228,'985'!$B$2:$D$40,3,FALSE),"")</f>
        <v/>
      </c>
      <c r="G228" s="32" t="str">
        <f>IFERROR(VLOOKUP(B228,'211'!$B$2:$D$116,3,FALSE),"")</f>
        <v/>
      </c>
      <c r="H228" s="32" t="str">
        <f>IFERROR(VLOOKUP(B228,双一流!$B$2:$D$148,3,FALSE),"")</f>
        <v/>
      </c>
      <c r="I228" s="32" t="str">
        <f>IFERROR(VLOOKUP(B228,汇总!$B$2:$I$2921,8,FALSE),"")</f>
        <v>师范</v>
      </c>
      <c r="J228" s="29" t="s">
        <v>11</v>
      </c>
      <c r="K228" s="33" t="s">
        <v>12</v>
      </c>
    </row>
    <row r="229" ht="33.75" spans="1:11">
      <c r="A229" s="34">
        <v>228</v>
      </c>
      <c r="B229" s="34" t="s">
        <v>291</v>
      </c>
      <c r="C229" s="29" t="str">
        <f>VLOOKUP(B229,教育部大学名单!$B$1:$D$2920,3,FALSE)</f>
        <v>吉林省</v>
      </c>
      <c r="D229" s="34" t="s">
        <v>273</v>
      </c>
      <c r="E229" s="34" t="s">
        <v>274</v>
      </c>
      <c r="F229" s="36" t="str">
        <f>IFERROR(VLOOKUP(B229,'985'!$B$2:$D$40,3,FALSE),"")</f>
        <v/>
      </c>
      <c r="G229" s="32" t="str">
        <f>IFERROR(VLOOKUP(B229,'211'!$B$2:$D$116,3,FALSE),"")</f>
        <v/>
      </c>
      <c r="H229" s="32" t="str">
        <f>IFERROR(VLOOKUP(B229,双一流!$B$2:$D$148,3,FALSE),"")</f>
        <v/>
      </c>
      <c r="I229" s="32">
        <f>IFERROR(VLOOKUP(B229,汇总!$B$2:$I$2921,8,FALSE),"")</f>
        <v>0</v>
      </c>
      <c r="J229" s="34" t="s">
        <v>11</v>
      </c>
      <c r="K229" s="35" t="s">
        <v>12</v>
      </c>
    </row>
    <row r="230" ht="33.75" spans="1:11">
      <c r="A230" s="29">
        <v>229</v>
      </c>
      <c r="B230" s="29" t="s">
        <v>292</v>
      </c>
      <c r="C230" s="29" t="str">
        <f>VLOOKUP(B230,教育部大学名单!$B$1:$D$2920,3,FALSE)</f>
        <v>吉林省</v>
      </c>
      <c r="D230" s="29" t="s">
        <v>273</v>
      </c>
      <c r="E230" s="29" t="s">
        <v>274</v>
      </c>
      <c r="F230" s="36" t="str">
        <f>IFERROR(VLOOKUP(B230,'985'!$B$2:$D$40,3,FALSE),"")</f>
        <v/>
      </c>
      <c r="G230" s="32" t="str">
        <f>IFERROR(VLOOKUP(B230,'211'!$B$2:$D$116,3,FALSE),"")</f>
        <v/>
      </c>
      <c r="H230" s="32" t="str">
        <f>IFERROR(VLOOKUP(B230,双一流!$B$2:$D$148,3,FALSE),"")</f>
        <v/>
      </c>
      <c r="I230" s="32">
        <f>IFERROR(VLOOKUP(B230,汇总!$B$2:$I$2921,8,FALSE),"")</f>
        <v>0</v>
      </c>
      <c r="J230" s="29" t="s">
        <v>11</v>
      </c>
      <c r="K230" s="33" t="s">
        <v>12</v>
      </c>
    </row>
    <row r="231" ht="33.75" spans="1:11">
      <c r="A231" s="34">
        <v>230</v>
      </c>
      <c r="B231" s="34" t="s">
        <v>293</v>
      </c>
      <c r="C231" s="29" t="str">
        <f>VLOOKUP(B231,教育部大学名单!$B$1:$D$2920,3,FALSE)</f>
        <v>吉林省</v>
      </c>
      <c r="D231" s="34" t="s">
        <v>273</v>
      </c>
      <c r="E231" s="34" t="s">
        <v>294</v>
      </c>
      <c r="F231" s="36" t="str">
        <f>IFERROR(VLOOKUP(B231,'985'!$B$2:$D$40,3,FALSE),"")</f>
        <v/>
      </c>
      <c r="G231" s="32" t="str">
        <f>IFERROR(VLOOKUP(B231,'211'!$B$2:$D$116,3,FALSE),"")</f>
        <v/>
      </c>
      <c r="H231" s="32" t="str">
        <f>IFERROR(VLOOKUP(B231,双一流!$B$2:$D$148,3,FALSE),"")</f>
        <v/>
      </c>
      <c r="I231" s="32">
        <f>IFERROR(VLOOKUP(B231,汇总!$B$2:$I$2921,8,FALSE),"")</f>
        <v>0</v>
      </c>
      <c r="J231" s="34" t="s">
        <v>11</v>
      </c>
      <c r="K231" s="35" t="s">
        <v>12</v>
      </c>
    </row>
    <row r="232" ht="33.75" spans="1:11">
      <c r="A232" s="29">
        <v>231</v>
      </c>
      <c r="B232" s="29" t="s">
        <v>295</v>
      </c>
      <c r="C232" s="29" t="str">
        <f>VLOOKUP(B232,教育部大学名单!$B$1:$D$2920,3,FALSE)</f>
        <v>吉林省</v>
      </c>
      <c r="D232" s="29" t="s">
        <v>273</v>
      </c>
      <c r="E232" s="29" t="s">
        <v>274</v>
      </c>
      <c r="F232" s="36" t="str">
        <f>IFERROR(VLOOKUP(B232,'985'!$B$2:$D$40,3,FALSE),"")</f>
        <v/>
      </c>
      <c r="G232" s="32" t="str">
        <f>IFERROR(VLOOKUP(B232,'211'!$B$2:$D$116,3,FALSE),"")</f>
        <v/>
      </c>
      <c r="H232" s="32" t="str">
        <f>IFERROR(VLOOKUP(B232,双一流!$B$2:$D$148,3,FALSE),"")</f>
        <v/>
      </c>
      <c r="I232" s="32" t="str">
        <f>IFERROR(VLOOKUP(B232,汇总!$B$2:$I$2921,8,FALSE),"")</f>
        <v>财经</v>
      </c>
      <c r="J232" s="29" t="s">
        <v>11</v>
      </c>
      <c r="K232" s="33" t="s">
        <v>12</v>
      </c>
    </row>
    <row r="233" ht="33.75" spans="1:11">
      <c r="A233" s="34">
        <v>232</v>
      </c>
      <c r="B233" s="34" t="s">
        <v>296</v>
      </c>
      <c r="C233" s="29" t="str">
        <f>VLOOKUP(B233,教育部大学名单!$B$1:$D$2920,3,FALSE)</f>
        <v>吉林省</v>
      </c>
      <c r="D233" s="34" t="s">
        <v>273</v>
      </c>
      <c r="E233" s="34" t="s">
        <v>274</v>
      </c>
      <c r="F233" s="36" t="str">
        <f>IFERROR(VLOOKUP(B233,'985'!$B$2:$D$40,3,FALSE),"")</f>
        <v/>
      </c>
      <c r="G233" s="32" t="str">
        <f>IFERROR(VLOOKUP(B233,'211'!$B$2:$D$116,3,FALSE),"")</f>
        <v/>
      </c>
      <c r="H233" s="32" t="str">
        <f>IFERROR(VLOOKUP(B233,双一流!$B$2:$D$148,3,FALSE),"")</f>
        <v/>
      </c>
      <c r="I233" s="32">
        <f>IFERROR(VLOOKUP(B233,汇总!$B$2:$I$2921,8,FALSE),"")</f>
        <v>0</v>
      </c>
      <c r="J233" s="34" t="s">
        <v>11</v>
      </c>
      <c r="K233" s="35" t="s">
        <v>12</v>
      </c>
    </row>
    <row r="234" ht="33.75" spans="1:11">
      <c r="A234" s="29">
        <v>233</v>
      </c>
      <c r="B234" s="29" t="s">
        <v>297</v>
      </c>
      <c r="C234" s="29" t="str">
        <f>VLOOKUP(B234,教育部大学名单!$B$1:$D$2920,3,FALSE)</f>
        <v>吉林省</v>
      </c>
      <c r="D234" s="29" t="s">
        <v>273</v>
      </c>
      <c r="E234" s="29" t="s">
        <v>274</v>
      </c>
      <c r="F234" s="36" t="str">
        <f>IFERROR(VLOOKUP(B234,'985'!$B$2:$D$40,3,FALSE),"")</f>
        <v/>
      </c>
      <c r="G234" s="32" t="str">
        <f>IFERROR(VLOOKUP(B234,'211'!$B$2:$D$116,3,FALSE),"")</f>
        <v/>
      </c>
      <c r="H234" s="32" t="str">
        <f>IFERROR(VLOOKUP(B234,双一流!$B$2:$D$148,3,FALSE),"")</f>
        <v/>
      </c>
      <c r="I234" s="32">
        <f>IFERROR(VLOOKUP(B234,汇总!$B$2:$I$2921,8,FALSE),"")</f>
        <v>0</v>
      </c>
      <c r="J234" s="29" t="s">
        <v>11</v>
      </c>
      <c r="K234" s="33" t="s">
        <v>12</v>
      </c>
    </row>
    <row r="235" ht="33.75" spans="1:11">
      <c r="A235" s="34">
        <v>234</v>
      </c>
      <c r="B235" s="34" t="s">
        <v>298</v>
      </c>
      <c r="C235" s="29" t="str">
        <f>VLOOKUP(B235,教育部大学名单!$B$1:$D$2920,3,FALSE)</f>
        <v>吉林省</v>
      </c>
      <c r="D235" s="34" t="s">
        <v>273</v>
      </c>
      <c r="E235" s="34" t="s">
        <v>274</v>
      </c>
      <c r="F235" s="36" t="str">
        <f>IFERROR(VLOOKUP(B235,'985'!$B$2:$D$40,3,FALSE),"")</f>
        <v/>
      </c>
      <c r="G235" s="32" t="str">
        <f>IFERROR(VLOOKUP(B235,'211'!$B$2:$D$116,3,FALSE),"")</f>
        <v/>
      </c>
      <c r="H235" s="32" t="str">
        <f>IFERROR(VLOOKUP(B235,双一流!$B$2:$D$148,3,FALSE),"")</f>
        <v/>
      </c>
      <c r="I235" s="32">
        <f>IFERROR(VLOOKUP(B235,汇总!$B$2:$I$2921,8,FALSE),"")</f>
        <v>0</v>
      </c>
      <c r="J235" s="34" t="s">
        <v>11</v>
      </c>
      <c r="K235" s="35" t="s">
        <v>12</v>
      </c>
    </row>
    <row r="236" ht="33.75" spans="1:11">
      <c r="A236" s="29">
        <v>235</v>
      </c>
      <c r="B236" s="29" t="s">
        <v>299</v>
      </c>
      <c r="C236" s="29" t="str">
        <f>VLOOKUP(B236,教育部大学名单!$B$1:$D$2920,3,FALSE)</f>
        <v>吉林省</v>
      </c>
      <c r="D236" s="29" t="s">
        <v>273</v>
      </c>
      <c r="E236" s="29" t="s">
        <v>274</v>
      </c>
      <c r="F236" s="36" t="str">
        <f>IFERROR(VLOOKUP(B236,'985'!$B$2:$D$40,3,FALSE),"")</f>
        <v/>
      </c>
      <c r="G236" s="32" t="str">
        <f>IFERROR(VLOOKUP(B236,'211'!$B$2:$D$116,3,FALSE),"")</f>
        <v/>
      </c>
      <c r="H236" s="32" t="str">
        <f>IFERROR(VLOOKUP(B236,双一流!$B$2:$D$148,3,FALSE),"")</f>
        <v/>
      </c>
      <c r="I236" s="32">
        <f>IFERROR(VLOOKUP(B236,汇总!$B$2:$I$2921,8,FALSE),"")</f>
        <v>0</v>
      </c>
      <c r="J236" s="29" t="s">
        <v>11</v>
      </c>
      <c r="K236" s="33" t="s">
        <v>12</v>
      </c>
    </row>
    <row r="237" ht="33.75" spans="1:11">
      <c r="A237" s="34">
        <v>236</v>
      </c>
      <c r="B237" s="34" t="s">
        <v>300</v>
      </c>
      <c r="C237" s="29" t="str">
        <f>VLOOKUP(B237,教育部大学名单!$B$1:$D$2920,3,FALSE)</f>
        <v>吉林省</v>
      </c>
      <c r="D237" s="34" t="s">
        <v>273</v>
      </c>
      <c r="E237" s="34" t="s">
        <v>279</v>
      </c>
      <c r="F237" s="36" t="str">
        <f>IFERROR(VLOOKUP(B237,'985'!$B$2:$D$40,3,FALSE),"")</f>
        <v/>
      </c>
      <c r="G237" s="32" t="str">
        <f>IFERROR(VLOOKUP(B237,'211'!$B$2:$D$116,3,FALSE),"")</f>
        <v/>
      </c>
      <c r="H237" s="32" t="str">
        <f>IFERROR(VLOOKUP(B237,双一流!$B$2:$D$148,3,FALSE),"")</f>
        <v/>
      </c>
      <c r="I237" s="32">
        <f>IFERROR(VLOOKUP(B237,汇总!$B$2:$I$2921,8,FALSE),"")</f>
        <v>0</v>
      </c>
      <c r="J237" s="34" t="s">
        <v>11</v>
      </c>
      <c r="K237" s="35" t="s">
        <v>12</v>
      </c>
    </row>
    <row r="238" ht="33.75" spans="1:11">
      <c r="A238" s="29">
        <v>237</v>
      </c>
      <c r="B238" s="29" t="s">
        <v>301</v>
      </c>
      <c r="C238" s="29" t="str">
        <f>VLOOKUP(B238,教育部大学名单!$B$1:$D$2920,3,FALSE)</f>
        <v>吉林省</v>
      </c>
      <c r="D238" s="29" t="s">
        <v>273</v>
      </c>
      <c r="E238" s="29" t="s">
        <v>274</v>
      </c>
      <c r="F238" s="36" t="str">
        <f>IFERROR(VLOOKUP(B238,'985'!$B$2:$D$40,3,FALSE),"")</f>
        <v/>
      </c>
      <c r="G238" s="32" t="str">
        <f>IFERROR(VLOOKUP(B238,'211'!$B$2:$D$116,3,FALSE),"")</f>
        <v/>
      </c>
      <c r="H238" s="32" t="str">
        <f>IFERROR(VLOOKUP(B238,双一流!$B$2:$D$148,3,FALSE),"")</f>
        <v/>
      </c>
      <c r="I238" s="32">
        <f>IFERROR(VLOOKUP(B238,汇总!$B$2:$I$2921,8,FALSE),"")</f>
        <v>0</v>
      </c>
      <c r="J238" s="29" t="s">
        <v>11</v>
      </c>
      <c r="K238" s="33" t="s">
        <v>12</v>
      </c>
    </row>
    <row r="239" ht="17.25" spans="1:11">
      <c r="A239" s="34">
        <v>238</v>
      </c>
      <c r="B239" s="34" t="s">
        <v>302</v>
      </c>
      <c r="C239" s="29" t="str">
        <f>VLOOKUP(B239,教育部大学名单!$B$1:$D$2920,3,FALSE)</f>
        <v>吉林省</v>
      </c>
      <c r="D239" s="34" t="s">
        <v>273</v>
      </c>
      <c r="E239" s="34" t="s">
        <v>274</v>
      </c>
      <c r="F239" s="36" t="str">
        <f>IFERROR(VLOOKUP(B239,'985'!$B$2:$D$40,3,FALSE),"")</f>
        <v/>
      </c>
      <c r="G239" s="32" t="str">
        <f>IFERROR(VLOOKUP(B239,'211'!$B$2:$D$116,3,FALSE),"")</f>
        <v/>
      </c>
      <c r="H239" s="32" t="str">
        <f>IFERROR(VLOOKUP(B239,双一流!$B$2:$D$148,3,FALSE),"")</f>
        <v/>
      </c>
      <c r="I239" s="32">
        <f>IFERROR(VLOOKUP(B239,汇总!$B$2:$I$2921,8,FALSE),"")</f>
        <v>0</v>
      </c>
      <c r="J239" s="34" t="s">
        <v>11</v>
      </c>
      <c r="K239" s="35" t="s">
        <v>12</v>
      </c>
    </row>
    <row r="240" ht="33.75" spans="1:11">
      <c r="A240" s="29">
        <v>239</v>
      </c>
      <c r="B240" s="29" t="s">
        <v>303</v>
      </c>
      <c r="C240" s="29" t="str">
        <f>VLOOKUP(B240,教育部大学名单!$B$1:$D$2920,3,FALSE)</f>
        <v>吉林省</v>
      </c>
      <c r="D240" s="29" t="s">
        <v>273</v>
      </c>
      <c r="E240" s="29" t="s">
        <v>279</v>
      </c>
      <c r="F240" s="36" t="str">
        <f>IFERROR(VLOOKUP(B240,'985'!$B$2:$D$40,3,FALSE),"")</f>
        <v/>
      </c>
      <c r="G240" s="32" t="str">
        <f>IFERROR(VLOOKUP(B240,'211'!$B$2:$D$116,3,FALSE),"")</f>
        <v/>
      </c>
      <c r="H240" s="32" t="str">
        <f>IFERROR(VLOOKUP(B240,双一流!$B$2:$D$148,3,FALSE),"")</f>
        <v/>
      </c>
      <c r="I240" s="32">
        <f>IFERROR(VLOOKUP(B240,汇总!$B$2:$I$2921,8,FALSE),"")</f>
        <v>0</v>
      </c>
      <c r="J240" s="29" t="s">
        <v>11</v>
      </c>
      <c r="K240" s="33" t="s">
        <v>12</v>
      </c>
    </row>
    <row r="241" ht="33.75" spans="1:11">
      <c r="A241" s="34">
        <v>240</v>
      </c>
      <c r="B241" s="34" t="s">
        <v>304</v>
      </c>
      <c r="C241" s="29" t="str">
        <f>VLOOKUP(B241,教育部大学名单!$B$1:$D$2920,3,FALSE)</f>
        <v>吉林省</v>
      </c>
      <c r="D241" s="34" t="s">
        <v>273</v>
      </c>
      <c r="E241" s="34" t="s">
        <v>274</v>
      </c>
      <c r="F241" s="36" t="str">
        <f>IFERROR(VLOOKUP(B241,'985'!$B$2:$D$40,3,FALSE),"")</f>
        <v/>
      </c>
      <c r="G241" s="32" t="str">
        <f>IFERROR(VLOOKUP(B241,'211'!$B$2:$D$116,3,FALSE),"")</f>
        <v/>
      </c>
      <c r="H241" s="32" t="str">
        <f>IFERROR(VLOOKUP(B241,双一流!$B$2:$D$148,3,FALSE),"")</f>
        <v/>
      </c>
      <c r="I241" s="32">
        <f>IFERROR(VLOOKUP(B241,汇总!$B$2:$I$2921,8,FALSE),"")</f>
        <v>0</v>
      </c>
      <c r="J241" s="34" t="s">
        <v>11</v>
      </c>
      <c r="K241" s="35" t="s">
        <v>12</v>
      </c>
    </row>
    <row r="242" ht="33.75" spans="1:11">
      <c r="A242" s="29">
        <v>241</v>
      </c>
      <c r="B242" s="29" t="s">
        <v>305</v>
      </c>
      <c r="C242" s="29" t="str">
        <f>VLOOKUP(B242,教育部大学名单!$B$1:$D$2920,3,FALSE)</f>
        <v>吉林省</v>
      </c>
      <c r="D242" s="29" t="s">
        <v>273</v>
      </c>
      <c r="E242" s="29" t="s">
        <v>274</v>
      </c>
      <c r="F242" s="36" t="str">
        <f>IFERROR(VLOOKUP(B242,'985'!$B$2:$D$40,3,FALSE),"")</f>
        <v/>
      </c>
      <c r="G242" s="32" t="str">
        <f>IFERROR(VLOOKUP(B242,'211'!$B$2:$D$116,3,FALSE),"")</f>
        <v/>
      </c>
      <c r="H242" s="32" t="str">
        <f>IFERROR(VLOOKUP(B242,双一流!$B$2:$D$148,3,FALSE),"")</f>
        <v/>
      </c>
      <c r="I242" s="32" t="str">
        <f>IFERROR(VLOOKUP(B242,汇总!$B$2:$I$2921,8,FALSE),"")</f>
        <v/>
      </c>
      <c r="J242" s="29" t="s">
        <v>11</v>
      </c>
      <c r="K242" s="33" t="s">
        <v>12</v>
      </c>
    </row>
    <row r="243" ht="33.75" spans="1:11">
      <c r="A243" s="34">
        <v>242</v>
      </c>
      <c r="B243" s="34" t="s">
        <v>306</v>
      </c>
      <c r="C243" s="29" t="str">
        <f>VLOOKUP(B243,教育部大学名单!$B$1:$D$2920,3,FALSE)</f>
        <v>吉林省</v>
      </c>
      <c r="D243" s="34" t="s">
        <v>273</v>
      </c>
      <c r="E243" s="34" t="s">
        <v>279</v>
      </c>
      <c r="F243" s="36" t="str">
        <f>IFERROR(VLOOKUP(B243,'985'!$B$2:$D$40,3,FALSE),"")</f>
        <v/>
      </c>
      <c r="G243" s="32" t="str">
        <f>IFERROR(VLOOKUP(B243,'211'!$B$2:$D$116,3,FALSE),"")</f>
        <v/>
      </c>
      <c r="H243" s="32" t="str">
        <f>IFERROR(VLOOKUP(B243,双一流!$B$2:$D$148,3,FALSE),"")</f>
        <v/>
      </c>
      <c r="I243" s="32" t="str">
        <f>IFERROR(VLOOKUP(B243,汇总!$B$2:$I$2921,8,FALSE),"")</f>
        <v/>
      </c>
      <c r="J243" s="34" t="s">
        <v>11</v>
      </c>
      <c r="K243" s="35" t="s">
        <v>12</v>
      </c>
    </row>
    <row r="244" ht="17.25" spans="1:11">
      <c r="A244" s="29">
        <v>243</v>
      </c>
      <c r="B244" s="29" t="s">
        <v>307</v>
      </c>
      <c r="C244" s="29" t="str">
        <f>VLOOKUP(B244,教育部大学名单!$B$1:$D$2920,3,FALSE)</f>
        <v>黑龙江省</v>
      </c>
      <c r="D244" s="29" t="s">
        <v>308</v>
      </c>
      <c r="E244" s="29" t="s">
        <v>309</v>
      </c>
      <c r="F244" s="36" t="str">
        <f>IFERROR(VLOOKUP(B244,'985'!$B$2:$D$40,3,FALSE),"")</f>
        <v/>
      </c>
      <c r="G244" s="32" t="str">
        <f>IFERROR(VLOOKUP(B244,'211'!$B$2:$D$116,3,FALSE),"")</f>
        <v/>
      </c>
      <c r="H244" s="32" t="str">
        <f>IFERROR(VLOOKUP(B244,双一流!$B$2:$D$148,3,FALSE),"")</f>
        <v/>
      </c>
      <c r="I244" s="32" t="str">
        <f>IFERROR(VLOOKUP(B244,汇总!$B$2:$I$2921,8,FALSE),"")</f>
        <v>综合</v>
      </c>
      <c r="J244" s="29" t="s">
        <v>11</v>
      </c>
      <c r="K244" s="33" t="s">
        <v>12</v>
      </c>
    </row>
    <row r="245" ht="33.75" spans="1:11">
      <c r="A245" s="34">
        <v>244</v>
      </c>
      <c r="B245" s="34" t="s">
        <v>310</v>
      </c>
      <c r="C245" s="29" t="str">
        <f>VLOOKUP(B245,教育部大学名单!$B$1:$D$2920,3,FALSE)</f>
        <v>工业和信息化部</v>
      </c>
      <c r="D245" s="34" t="s">
        <v>308</v>
      </c>
      <c r="E245" s="34" t="s">
        <v>309</v>
      </c>
      <c r="F245" s="30">
        <f>IFERROR(VLOOKUP(B245,'985'!$B$2:$D$40,3,FALSE),"")</f>
        <v>985</v>
      </c>
      <c r="G245" s="31">
        <f>IFERROR(VLOOKUP(B245,'211'!$B$2:$D$116,3,FALSE),"")</f>
        <v>211</v>
      </c>
      <c r="H245" s="32" t="str">
        <f>IFERROR(VLOOKUP(B245,双一流!$B$2:$D$148,3,FALSE),"")</f>
        <v>双一流</v>
      </c>
      <c r="I245" s="32" t="str">
        <f>IFERROR(VLOOKUP(B245,汇总!$B$2:$I$2921,8,FALSE),"")</f>
        <v>理工</v>
      </c>
      <c r="J245" s="34" t="s">
        <v>11</v>
      </c>
      <c r="K245" s="35" t="s">
        <v>12</v>
      </c>
    </row>
    <row r="246" ht="33.75" spans="1:11">
      <c r="A246" s="29">
        <v>245</v>
      </c>
      <c r="B246" s="29" t="s">
        <v>311</v>
      </c>
      <c r="C246" s="29" t="str">
        <f>VLOOKUP(B246,教育部大学名单!$B$1:$D$2920,3,FALSE)</f>
        <v>黑龙江省</v>
      </c>
      <c r="D246" s="29" t="s">
        <v>308</v>
      </c>
      <c r="E246" s="29" t="s">
        <v>309</v>
      </c>
      <c r="F246" s="36" t="str">
        <f>IFERROR(VLOOKUP(B246,'985'!$B$2:$D$40,3,FALSE),"")</f>
        <v/>
      </c>
      <c r="G246" s="32" t="str">
        <f>IFERROR(VLOOKUP(B246,'211'!$B$2:$D$116,3,FALSE),"")</f>
        <v/>
      </c>
      <c r="H246" s="32" t="str">
        <f>IFERROR(VLOOKUP(B246,双一流!$B$2:$D$148,3,FALSE),"")</f>
        <v/>
      </c>
      <c r="I246" s="32" t="str">
        <f>IFERROR(VLOOKUP(B246,汇总!$B$2:$I$2921,8,FALSE),"")</f>
        <v>理工</v>
      </c>
      <c r="J246" s="29" t="s">
        <v>11</v>
      </c>
      <c r="K246" s="33" t="s">
        <v>12</v>
      </c>
    </row>
    <row r="247" ht="33.75" spans="1:11">
      <c r="A247" s="34">
        <v>246</v>
      </c>
      <c r="B247" s="34" t="s">
        <v>312</v>
      </c>
      <c r="C247" s="29" t="str">
        <f>VLOOKUP(B247,教育部大学名单!$B$1:$D$2920,3,FALSE)</f>
        <v>工业和信息化部</v>
      </c>
      <c r="D247" s="34" t="s">
        <v>308</v>
      </c>
      <c r="E247" s="34" t="s">
        <v>309</v>
      </c>
      <c r="F247" s="36" t="str">
        <f>IFERROR(VLOOKUP(B247,'985'!$B$2:$D$40,3,FALSE),"")</f>
        <v/>
      </c>
      <c r="G247" s="31">
        <f>IFERROR(VLOOKUP(B247,'211'!$B$2:$D$116,3,FALSE),"")</f>
        <v>211</v>
      </c>
      <c r="H247" s="32" t="str">
        <f>IFERROR(VLOOKUP(B247,双一流!$B$2:$D$148,3,FALSE),"")</f>
        <v>双一流</v>
      </c>
      <c r="I247" s="32" t="str">
        <f>IFERROR(VLOOKUP(B247,汇总!$B$2:$I$2921,8,FALSE),"")</f>
        <v>理工</v>
      </c>
      <c r="J247" s="34" t="s">
        <v>11</v>
      </c>
      <c r="K247" s="35" t="s">
        <v>12</v>
      </c>
    </row>
    <row r="248" ht="33.75" spans="1:11">
      <c r="A248" s="29">
        <v>247</v>
      </c>
      <c r="B248" s="29" t="s">
        <v>313</v>
      </c>
      <c r="C248" s="29" t="str">
        <f>VLOOKUP(B248,教育部大学名单!$B$1:$D$2920,3,FALSE)</f>
        <v>黑龙江省</v>
      </c>
      <c r="D248" s="29" t="s">
        <v>308</v>
      </c>
      <c r="E248" s="29" t="s">
        <v>309</v>
      </c>
      <c r="F248" s="36" t="str">
        <f>IFERROR(VLOOKUP(B248,'985'!$B$2:$D$40,3,FALSE),"")</f>
        <v/>
      </c>
      <c r="G248" s="32" t="str">
        <f>IFERROR(VLOOKUP(B248,'211'!$B$2:$D$116,3,FALSE),"")</f>
        <v/>
      </c>
      <c r="H248" s="32" t="str">
        <f>IFERROR(VLOOKUP(B248,双一流!$B$2:$D$148,3,FALSE),"")</f>
        <v/>
      </c>
      <c r="I248" s="32">
        <f>IFERROR(VLOOKUP(B248,汇总!$B$2:$I$2921,8,FALSE),"")</f>
        <v>0</v>
      </c>
      <c r="J248" s="29" t="s">
        <v>11</v>
      </c>
      <c r="K248" s="33" t="s">
        <v>12</v>
      </c>
    </row>
    <row r="249" ht="33.75" spans="1:11">
      <c r="A249" s="34">
        <v>248</v>
      </c>
      <c r="B249" s="34" t="s">
        <v>314</v>
      </c>
      <c r="C249" s="29" t="str">
        <f>VLOOKUP(B249,教育部大学名单!$B$1:$D$2920,3,FALSE)</f>
        <v>黑龙江省</v>
      </c>
      <c r="D249" s="34" t="s">
        <v>308</v>
      </c>
      <c r="E249" s="34" t="s">
        <v>315</v>
      </c>
      <c r="F249" s="36" t="str">
        <f>IFERROR(VLOOKUP(B249,'985'!$B$2:$D$40,3,FALSE),"")</f>
        <v/>
      </c>
      <c r="G249" s="32" t="str">
        <f>IFERROR(VLOOKUP(B249,'211'!$B$2:$D$116,3,FALSE),"")</f>
        <v/>
      </c>
      <c r="H249" s="32" t="str">
        <f>IFERROR(VLOOKUP(B249,双一流!$B$2:$D$148,3,FALSE),"")</f>
        <v/>
      </c>
      <c r="I249" s="32" t="str">
        <f>IFERROR(VLOOKUP(B249,汇总!$B$2:$I$2921,8,FALSE),"")</f>
        <v>理工</v>
      </c>
      <c r="J249" s="34" t="s">
        <v>11</v>
      </c>
      <c r="K249" s="35" t="s">
        <v>12</v>
      </c>
    </row>
    <row r="250" ht="17.25" spans="1:11">
      <c r="A250" s="29">
        <v>249</v>
      </c>
      <c r="B250" s="29" t="s">
        <v>316</v>
      </c>
      <c r="C250" s="29" t="str">
        <f>VLOOKUP(B250,教育部大学名单!$B$1:$D$2920,3,FALSE)</f>
        <v>黑龙江省</v>
      </c>
      <c r="D250" s="29" t="s">
        <v>308</v>
      </c>
      <c r="E250" s="29" t="s">
        <v>317</v>
      </c>
      <c r="F250" s="36" t="str">
        <f>IFERROR(VLOOKUP(B250,'985'!$B$2:$D$40,3,FALSE),"")</f>
        <v/>
      </c>
      <c r="G250" s="32" t="str">
        <f>IFERROR(VLOOKUP(B250,'211'!$B$2:$D$116,3,FALSE),"")</f>
        <v/>
      </c>
      <c r="H250" s="32" t="str">
        <f>IFERROR(VLOOKUP(B250,双一流!$B$2:$D$148,3,FALSE),"")</f>
        <v/>
      </c>
      <c r="I250" s="32">
        <f>IFERROR(VLOOKUP(B250,汇总!$B$2:$I$2921,8,FALSE),"")</f>
        <v>0</v>
      </c>
      <c r="J250" s="29" t="s">
        <v>11</v>
      </c>
      <c r="K250" s="33" t="s">
        <v>12</v>
      </c>
    </row>
    <row r="251" ht="33.75" spans="1:11">
      <c r="A251" s="34">
        <v>250</v>
      </c>
      <c r="B251" s="34" t="s">
        <v>318</v>
      </c>
      <c r="C251" s="29" t="str">
        <f>VLOOKUP(B251,教育部大学名单!$B$1:$D$2920,3,FALSE)</f>
        <v>黑龙江省</v>
      </c>
      <c r="D251" s="34" t="s">
        <v>308</v>
      </c>
      <c r="E251" s="34" t="s">
        <v>315</v>
      </c>
      <c r="F251" s="36" t="str">
        <f>IFERROR(VLOOKUP(B251,'985'!$B$2:$D$40,3,FALSE),"")</f>
        <v/>
      </c>
      <c r="G251" s="32" t="str">
        <f>IFERROR(VLOOKUP(B251,'211'!$B$2:$D$116,3,FALSE),"")</f>
        <v/>
      </c>
      <c r="H251" s="32" t="str">
        <f>IFERROR(VLOOKUP(B251,双一流!$B$2:$D$148,3,FALSE),"")</f>
        <v/>
      </c>
      <c r="I251" s="32" t="str">
        <f>IFERROR(VLOOKUP(B251,汇总!$B$2:$I$2921,8,FALSE),"")</f>
        <v>农林</v>
      </c>
      <c r="J251" s="34" t="s">
        <v>11</v>
      </c>
      <c r="K251" s="35" t="s">
        <v>12</v>
      </c>
    </row>
    <row r="252" ht="33.75" spans="1:11">
      <c r="A252" s="29">
        <v>251</v>
      </c>
      <c r="B252" s="29" t="s">
        <v>319</v>
      </c>
      <c r="C252" s="29" t="str">
        <f>VLOOKUP(B252,教育部大学名单!$B$1:$D$2920,3,FALSE)</f>
        <v>黑龙江省</v>
      </c>
      <c r="D252" s="29" t="s">
        <v>308</v>
      </c>
      <c r="E252" s="29" t="s">
        <v>309</v>
      </c>
      <c r="F252" s="36" t="str">
        <f>IFERROR(VLOOKUP(B252,'985'!$B$2:$D$40,3,FALSE),"")</f>
        <v/>
      </c>
      <c r="G252" s="31">
        <f>IFERROR(VLOOKUP(B252,'211'!$B$2:$D$116,3,FALSE),"")</f>
        <v>211</v>
      </c>
      <c r="H252" s="32" t="str">
        <f>IFERROR(VLOOKUP(B252,双一流!$B$2:$D$148,3,FALSE),"")</f>
        <v>双一流</v>
      </c>
      <c r="I252" s="32" t="str">
        <f>IFERROR(VLOOKUP(B252,汇总!$B$2:$I$2921,8,FALSE),"")</f>
        <v>农林</v>
      </c>
      <c r="J252" s="29" t="s">
        <v>11</v>
      </c>
      <c r="K252" s="33" t="s">
        <v>12</v>
      </c>
    </row>
    <row r="253" ht="33.75" spans="1:11">
      <c r="A253" s="34">
        <v>252</v>
      </c>
      <c r="B253" s="34" t="s">
        <v>320</v>
      </c>
      <c r="C253" s="29" t="str">
        <f>VLOOKUP(B253,教育部大学名单!$B$1:$D$2920,3,FALSE)</f>
        <v>教育部</v>
      </c>
      <c r="D253" s="34" t="s">
        <v>308</v>
      </c>
      <c r="E253" s="34" t="s">
        <v>309</v>
      </c>
      <c r="F253" s="36" t="str">
        <f>IFERROR(VLOOKUP(B253,'985'!$B$2:$D$40,3,FALSE),"")</f>
        <v/>
      </c>
      <c r="G253" s="31">
        <f>IFERROR(VLOOKUP(B253,'211'!$B$2:$D$116,3,FALSE),"")</f>
        <v>211</v>
      </c>
      <c r="H253" s="32" t="str">
        <f>IFERROR(VLOOKUP(B253,双一流!$B$2:$D$148,3,FALSE),"")</f>
        <v>双一流</v>
      </c>
      <c r="I253" s="32" t="str">
        <f>IFERROR(VLOOKUP(B253,汇总!$B$2:$I$2921,8,FALSE),"")</f>
        <v>农林</v>
      </c>
      <c r="J253" s="34" t="s">
        <v>11</v>
      </c>
      <c r="K253" s="35" t="s">
        <v>12</v>
      </c>
    </row>
    <row r="254" ht="33.75" spans="1:11">
      <c r="A254" s="29">
        <v>253</v>
      </c>
      <c r="B254" s="29" t="s">
        <v>321</v>
      </c>
      <c r="C254" s="29" t="str">
        <f>VLOOKUP(B254,教育部大学名单!$B$1:$D$2920,3,FALSE)</f>
        <v>黑龙江省</v>
      </c>
      <c r="D254" s="29" t="s">
        <v>308</v>
      </c>
      <c r="E254" s="29" t="s">
        <v>309</v>
      </c>
      <c r="F254" s="36" t="str">
        <f>IFERROR(VLOOKUP(B254,'985'!$B$2:$D$40,3,FALSE),"")</f>
        <v/>
      </c>
      <c r="G254" s="32" t="str">
        <f>IFERROR(VLOOKUP(B254,'211'!$B$2:$D$116,3,FALSE),"")</f>
        <v/>
      </c>
      <c r="H254" s="32" t="str">
        <f>IFERROR(VLOOKUP(B254,双一流!$B$2:$D$148,3,FALSE),"")</f>
        <v/>
      </c>
      <c r="I254" s="32" t="str">
        <f>IFERROR(VLOOKUP(B254,汇总!$B$2:$I$2921,8,FALSE),"")</f>
        <v>医药</v>
      </c>
      <c r="J254" s="29" t="s">
        <v>11</v>
      </c>
      <c r="K254" s="33" t="s">
        <v>12</v>
      </c>
    </row>
    <row r="255" ht="33.75" spans="1:11">
      <c r="A255" s="34">
        <v>254</v>
      </c>
      <c r="B255" s="34" t="s">
        <v>322</v>
      </c>
      <c r="C255" s="29" t="str">
        <f>VLOOKUP(B255,教育部大学名单!$B$1:$D$2920,3,FALSE)</f>
        <v>黑龙江省</v>
      </c>
      <c r="D255" s="34" t="s">
        <v>308</v>
      </c>
      <c r="E255" s="34" t="s">
        <v>309</v>
      </c>
      <c r="F255" s="36" t="str">
        <f>IFERROR(VLOOKUP(B255,'985'!$B$2:$D$40,3,FALSE),"")</f>
        <v/>
      </c>
      <c r="G255" s="32" t="str">
        <f>IFERROR(VLOOKUP(B255,'211'!$B$2:$D$116,3,FALSE),"")</f>
        <v/>
      </c>
      <c r="H255" s="32" t="str">
        <f>IFERROR(VLOOKUP(B255,双一流!$B$2:$D$148,3,FALSE),"")</f>
        <v/>
      </c>
      <c r="I255" s="32" t="str">
        <f>IFERROR(VLOOKUP(B255,汇总!$B$2:$I$2921,8,FALSE),"")</f>
        <v>医药</v>
      </c>
      <c r="J255" s="34" t="s">
        <v>11</v>
      </c>
      <c r="K255" s="35" t="s">
        <v>12</v>
      </c>
    </row>
    <row r="256" ht="33.75" spans="1:11">
      <c r="A256" s="29">
        <v>255</v>
      </c>
      <c r="B256" s="29" t="s">
        <v>323</v>
      </c>
      <c r="C256" s="29" t="str">
        <f>VLOOKUP(B256,教育部大学名单!$B$1:$D$2920,3,FALSE)</f>
        <v>黑龙江省</v>
      </c>
      <c r="D256" s="29" t="s">
        <v>308</v>
      </c>
      <c r="E256" s="29" t="s">
        <v>324</v>
      </c>
      <c r="F256" s="36" t="str">
        <f>IFERROR(VLOOKUP(B256,'985'!$B$2:$D$40,3,FALSE),"")</f>
        <v/>
      </c>
      <c r="G256" s="32" t="str">
        <f>IFERROR(VLOOKUP(B256,'211'!$B$2:$D$116,3,FALSE),"")</f>
        <v/>
      </c>
      <c r="H256" s="32" t="str">
        <f>IFERROR(VLOOKUP(B256,双一流!$B$2:$D$148,3,FALSE),"")</f>
        <v/>
      </c>
      <c r="I256" s="32">
        <f>IFERROR(VLOOKUP(B256,汇总!$B$2:$I$2921,8,FALSE),"")</f>
        <v>0</v>
      </c>
      <c r="J256" s="29" t="s">
        <v>11</v>
      </c>
      <c r="K256" s="33" t="s">
        <v>12</v>
      </c>
    </row>
    <row r="257" ht="33.75" spans="1:11">
      <c r="A257" s="34">
        <v>256</v>
      </c>
      <c r="B257" s="34" t="s">
        <v>325</v>
      </c>
      <c r="C257" s="29" t="str">
        <f>VLOOKUP(B257,教育部大学名单!$B$1:$D$2920,3,FALSE)</f>
        <v>黑龙江省</v>
      </c>
      <c r="D257" s="34" t="s">
        <v>308</v>
      </c>
      <c r="E257" s="34" t="s">
        <v>309</v>
      </c>
      <c r="F257" s="36" t="str">
        <f>IFERROR(VLOOKUP(B257,'985'!$B$2:$D$40,3,FALSE),"")</f>
        <v/>
      </c>
      <c r="G257" s="32" t="str">
        <f>IFERROR(VLOOKUP(B257,'211'!$B$2:$D$116,3,FALSE),"")</f>
        <v/>
      </c>
      <c r="H257" s="32" t="str">
        <f>IFERROR(VLOOKUP(B257,双一流!$B$2:$D$148,3,FALSE),"")</f>
        <v/>
      </c>
      <c r="I257" s="32" t="str">
        <f>IFERROR(VLOOKUP(B257,汇总!$B$2:$I$2921,8,FALSE),"")</f>
        <v>师范</v>
      </c>
      <c r="J257" s="34" t="s">
        <v>11</v>
      </c>
      <c r="K257" s="35" t="s">
        <v>12</v>
      </c>
    </row>
    <row r="258" ht="33.75" spans="1:11">
      <c r="A258" s="29">
        <v>257</v>
      </c>
      <c r="B258" s="29" t="s">
        <v>326</v>
      </c>
      <c r="C258" s="29" t="str">
        <f>VLOOKUP(B258,教育部大学名单!$B$1:$D$2920,3,FALSE)</f>
        <v>黑龙江省</v>
      </c>
      <c r="D258" s="29" t="s">
        <v>308</v>
      </c>
      <c r="E258" s="29" t="s">
        <v>327</v>
      </c>
      <c r="F258" s="36" t="str">
        <f>IFERROR(VLOOKUP(B258,'985'!$B$2:$D$40,3,FALSE),"")</f>
        <v/>
      </c>
      <c r="G258" s="32" t="str">
        <f>IFERROR(VLOOKUP(B258,'211'!$B$2:$D$116,3,FALSE),"")</f>
        <v/>
      </c>
      <c r="H258" s="32" t="str">
        <f>IFERROR(VLOOKUP(B258,双一流!$B$2:$D$148,3,FALSE),"")</f>
        <v/>
      </c>
      <c r="I258" s="32" t="str">
        <f>IFERROR(VLOOKUP(B258,汇总!$B$2:$I$2921,8,FALSE),"")</f>
        <v>综合</v>
      </c>
      <c r="J258" s="29" t="s">
        <v>11</v>
      </c>
      <c r="K258" s="33" t="s">
        <v>12</v>
      </c>
    </row>
    <row r="259" ht="33.75" spans="1:11">
      <c r="A259" s="34">
        <v>258</v>
      </c>
      <c r="B259" s="34" t="s">
        <v>328</v>
      </c>
      <c r="C259" s="29" t="str">
        <f>VLOOKUP(B259,教育部大学名单!$B$1:$D$2920,3,FALSE)</f>
        <v>黑龙江省</v>
      </c>
      <c r="D259" s="34" t="s">
        <v>308</v>
      </c>
      <c r="E259" s="34" t="s">
        <v>324</v>
      </c>
      <c r="F259" s="36" t="str">
        <f>IFERROR(VLOOKUP(B259,'985'!$B$2:$D$40,3,FALSE),"")</f>
        <v/>
      </c>
      <c r="G259" s="32" t="str">
        <f>IFERROR(VLOOKUP(B259,'211'!$B$2:$D$116,3,FALSE),"")</f>
        <v/>
      </c>
      <c r="H259" s="32" t="str">
        <f>IFERROR(VLOOKUP(B259,双一流!$B$2:$D$148,3,FALSE),"")</f>
        <v/>
      </c>
      <c r="I259" s="32">
        <f>IFERROR(VLOOKUP(B259,汇总!$B$2:$I$2921,8,FALSE),"")</f>
        <v>0</v>
      </c>
      <c r="J259" s="34" t="s">
        <v>11</v>
      </c>
      <c r="K259" s="35" t="s">
        <v>12</v>
      </c>
    </row>
    <row r="260" ht="17.25" spans="1:11">
      <c r="A260" s="29">
        <v>259</v>
      </c>
      <c r="B260" s="29" t="s">
        <v>329</v>
      </c>
      <c r="C260" s="29" t="str">
        <f>VLOOKUP(B260,教育部大学名单!$B$1:$D$2920,3,FALSE)</f>
        <v>黑龙江省</v>
      </c>
      <c r="D260" s="29" t="s">
        <v>308</v>
      </c>
      <c r="E260" s="29" t="s">
        <v>309</v>
      </c>
      <c r="F260" s="36" t="str">
        <f>IFERROR(VLOOKUP(B260,'985'!$B$2:$D$40,3,FALSE),"")</f>
        <v/>
      </c>
      <c r="G260" s="32" t="str">
        <f>IFERROR(VLOOKUP(B260,'211'!$B$2:$D$116,3,FALSE),"")</f>
        <v/>
      </c>
      <c r="H260" s="32" t="str">
        <f>IFERROR(VLOOKUP(B260,双一流!$B$2:$D$148,3,FALSE),"")</f>
        <v/>
      </c>
      <c r="I260" s="32">
        <f>IFERROR(VLOOKUP(B260,汇总!$B$2:$I$2921,8,FALSE),"")</f>
        <v>0</v>
      </c>
      <c r="J260" s="29" t="s">
        <v>11</v>
      </c>
      <c r="K260" s="33" t="s">
        <v>12</v>
      </c>
    </row>
    <row r="261" ht="33.75" spans="1:11">
      <c r="A261" s="34">
        <v>260</v>
      </c>
      <c r="B261" s="34" t="s">
        <v>330</v>
      </c>
      <c r="C261" s="29" t="str">
        <f>VLOOKUP(B261,教育部大学名单!$B$1:$D$2920,3,FALSE)</f>
        <v>黑龙江省</v>
      </c>
      <c r="D261" s="34" t="s">
        <v>308</v>
      </c>
      <c r="E261" s="34" t="s">
        <v>315</v>
      </c>
      <c r="F261" s="36" t="str">
        <f>IFERROR(VLOOKUP(B261,'985'!$B$2:$D$40,3,FALSE),"")</f>
        <v/>
      </c>
      <c r="G261" s="32" t="str">
        <f>IFERROR(VLOOKUP(B261,'211'!$B$2:$D$116,3,FALSE),"")</f>
        <v/>
      </c>
      <c r="H261" s="32" t="str">
        <f>IFERROR(VLOOKUP(B261,双一流!$B$2:$D$148,3,FALSE),"")</f>
        <v/>
      </c>
      <c r="I261" s="32">
        <f>IFERROR(VLOOKUP(B261,汇总!$B$2:$I$2921,8,FALSE),"")</f>
        <v>0</v>
      </c>
      <c r="J261" s="34" t="s">
        <v>11</v>
      </c>
      <c r="K261" s="35" t="s">
        <v>12</v>
      </c>
    </row>
    <row r="262" ht="17.25" spans="1:11">
      <c r="A262" s="29">
        <v>261</v>
      </c>
      <c r="B262" s="29" t="s">
        <v>331</v>
      </c>
      <c r="C262" s="29" t="str">
        <f>VLOOKUP(B262,教育部大学名单!$B$1:$D$2920,3,FALSE)</f>
        <v>黑龙江省</v>
      </c>
      <c r="D262" s="29" t="s">
        <v>308</v>
      </c>
      <c r="E262" s="29" t="s">
        <v>332</v>
      </c>
      <c r="F262" s="36" t="str">
        <f>IFERROR(VLOOKUP(B262,'985'!$B$2:$D$40,3,FALSE),"")</f>
        <v/>
      </c>
      <c r="G262" s="32" t="str">
        <f>IFERROR(VLOOKUP(B262,'211'!$B$2:$D$116,3,FALSE),"")</f>
        <v/>
      </c>
      <c r="H262" s="32" t="str">
        <f>IFERROR(VLOOKUP(B262,双一流!$B$2:$D$148,3,FALSE),"")</f>
        <v/>
      </c>
      <c r="I262" s="32">
        <f>IFERROR(VLOOKUP(B262,汇总!$B$2:$I$2921,8,FALSE),"")</f>
        <v>0</v>
      </c>
      <c r="J262" s="29" t="s">
        <v>11</v>
      </c>
      <c r="K262" s="33" t="s">
        <v>12</v>
      </c>
    </row>
    <row r="263" ht="33.75" spans="1:11">
      <c r="A263" s="34">
        <v>262</v>
      </c>
      <c r="B263" s="34" t="s">
        <v>333</v>
      </c>
      <c r="C263" s="29" t="str">
        <f>VLOOKUP(B263,教育部大学名单!$B$1:$D$2920,3,FALSE)</f>
        <v>黑龙江省</v>
      </c>
      <c r="D263" s="34" t="s">
        <v>308</v>
      </c>
      <c r="E263" s="34" t="s">
        <v>309</v>
      </c>
      <c r="F263" s="36" t="str">
        <f>IFERROR(VLOOKUP(B263,'985'!$B$2:$D$40,3,FALSE),"")</f>
        <v/>
      </c>
      <c r="G263" s="32" t="str">
        <f>IFERROR(VLOOKUP(B263,'211'!$B$2:$D$116,3,FALSE),"")</f>
        <v/>
      </c>
      <c r="H263" s="32" t="str">
        <f>IFERROR(VLOOKUP(B263,双一流!$B$2:$D$148,3,FALSE),"")</f>
        <v/>
      </c>
      <c r="I263" s="32" t="str">
        <f>IFERROR(VLOOKUP(B263,汇总!$B$2:$I$2921,8,FALSE),"")</f>
        <v>财经</v>
      </c>
      <c r="J263" s="34" t="s">
        <v>11</v>
      </c>
      <c r="K263" s="35" t="s">
        <v>12</v>
      </c>
    </row>
    <row r="264" ht="33.75" spans="1:11">
      <c r="A264" s="29">
        <v>263</v>
      </c>
      <c r="B264" s="29" t="s">
        <v>334</v>
      </c>
      <c r="C264" s="29" t="str">
        <f>VLOOKUP(B264,教育部大学名单!$B$1:$D$2920,3,FALSE)</f>
        <v>黑龙江省</v>
      </c>
      <c r="D264" s="29" t="s">
        <v>308</v>
      </c>
      <c r="E264" s="29" t="s">
        <v>309</v>
      </c>
      <c r="F264" s="36" t="str">
        <f>IFERROR(VLOOKUP(B264,'985'!$B$2:$D$40,3,FALSE),"")</f>
        <v/>
      </c>
      <c r="G264" s="32" t="str">
        <f>IFERROR(VLOOKUP(B264,'211'!$B$2:$D$116,3,FALSE),"")</f>
        <v/>
      </c>
      <c r="H264" s="32" t="str">
        <f>IFERROR(VLOOKUP(B264,双一流!$B$2:$D$148,3,FALSE),"")</f>
        <v/>
      </c>
      <c r="I264" s="32">
        <f>IFERROR(VLOOKUP(B264,汇总!$B$2:$I$2921,8,FALSE),"")</f>
        <v>0</v>
      </c>
      <c r="J264" s="29" t="s">
        <v>11</v>
      </c>
      <c r="K264" s="33" t="s">
        <v>12</v>
      </c>
    </row>
    <row r="265" ht="33.75" spans="1:11">
      <c r="A265" s="34">
        <v>264</v>
      </c>
      <c r="B265" s="34" t="s">
        <v>335</v>
      </c>
      <c r="C265" s="29" t="str">
        <f>VLOOKUP(B265,教育部大学名单!$B$1:$D$2920,3,FALSE)</f>
        <v>黑龙江省</v>
      </c>
      <c r="D265" s="34" t="s">
        <v>308</v>
      </c>
      <c r="E265" s="34" t="s">
        <v>309</v>
      </c>
      <c r="F265" s="36" t="str">
        <f>IFERROR(VLOOKUP(B265,'985'!$B$2:$D$40,3,FALSE),"")</f>
        <v/>
      </c>
      <c r="G265" s="32" t="str">
        <f>IFERROR(VLOOKUP(B265,'211'!$B$2:$D$116,3,FALSE),"")</f>
        <v/>
      </c>
      <c r="H265" s="32" t="str">
        <f>IFERROR(VLOOKUP(B265,双一流!$B$2:$D$148,3,FALSE),"")</f>
        <v/>
      </c>
      <c r="I265" s="32">
        <f>IFERROR(VLOOKUP(B265,汇总!$B$2:$I$2921,8,FALSE),"")</f>
        <v>0</v>
      </c>
      <c r="J265" s="34" t="s">
        <v>11</v>
      </c>
      <c r="K265" s="35" t="s">
        <v>12</v>
      </c>
    </row>
    <row r="266" ht="33.75" spans="1:11">
      <c r="A266" s="29">
        <v>265</v>
      </c>
      <c r="B266" s="29" t="s">
        <v>336</v>
      </c>
      <c r="C266" s="29" t="str">
        <f>VLOOKUP(B266,教育部大学名单!$B$1:$D$2920,3,FALSE)</f>
        <v>黑龙江省</v>
      </c>
      <c r="D266" s="29" t="s">
        <v>308</v>
      </c>
      <c r="E266" s="29" t="s">
        <v>327</v>
      </c>
      <c r="F266" s="36" t="str">
        <f>IFERROR(VLOOKUP(B266,'985'!$B$2:$D$40,3,FALSE),"")</f>
        <v/>
      </c>
      <c r="G266" s="32" t="str">
        <f>IFERROR(VLOOKUP(B266,'211'!$B$2:$D$116,3,FALSE),"")</f>
        <v/>
      </c>
      <c r="H266" s="32" t="str">
        <f>IFERROR(VLOOKUP(B266,双一流!$B$2:$D$148,3,FALSE),"")</f>
        <v/>
      </c>
      <c r="I266" s="32">
        <f>IFERROR(VLOOKUP(B266,汇总!$B$2:$I$2921,8,FALSE),"")</f>
        <v>0</v>
      </c>
      <c r="J266" s="29" t="s">
        <v>11</v>
      </c>
      <c r="K266" s="33" t="s">
        <v>12</v>
      </c>
    </row>
    <row r="267" ht="33.75" spans="1:11">
      <c r="A267" s="34">
        <v>266</v>
      </c>
      <c r="B267" s="34" t="s">
        <v>337</v>
      </c>
      <c r="C267" s="29" t="str">
        <f>VLOOKUP(B267,教育部大学名单!$B$1:$D$2920,3,FALSE)</f>
        <v>黑龙江省</v>
      </c>
      <c r="D267" s="34" t="s">
        <v>308</v>
      </c>
      <c r="E267" s="34" t="s">
        <v>338</v>
      </c>
      <c r="F267" s="36" t="str">
        <f>IFERROR(VLOOKUP(B267,'985'!$B$2:$D$40,3,FALSE),"")</f>
        <v/>
      </c>
      <c r="G267" s="32" t="str">
        <f>IFERROR(VLOOKUP(B267,'211'!$B$2:$D$116,3,FALSE),"")</f>
        <v/>
      </c>
      <c r="H267" s="32" t="str">
        <f>IFERROR(VLOOKUP(B267,双一流!$B$2:$D$148,3,FALSE),"")</f>
        <v/>
      </c>
      <c r="I267" s="32">
        <f>IFERROR(VLOOKUP(B267,汇总!$B$2:$I$2921,8,FALSE),"")</f>
        <v>0</v>
      </c>
      <c r="J267" s="34" t="s">
        <v>11</v>
      </c>
      <c r="K267" s="35" t="s">
        <v>12</v>
      </c>
    </row>
    <row r="268" ht="33.75" spans="1:11">
      <c r="A268" s="29">
        <v>267</v>
      </c>
      <c r="B268" s="29" t="s">
        <v>339</v>
      </c>
      <c r="C268" s="29" t="str">
        <f>VLOOKUP(B268,教育部大学名单!$B$1:$D$2920,3,FALSE)</f>
        <v>黑龙江省</v>
      </c>
      <c r="D268" s="29" t="s">
        <v>308</v>
      </c>
      <c r="E268" s="29" t="s">
        <v>309</v>
      </c>
      <c r="F268" s="36" t="str">
        <f>IFERROR(VLOOKUP(B268,'985'!$B$2:$D$40,3,FALSE),"")</f>
        <v/>
      </c>
      <c r="G268" s="32" t="str">
        <f>IFERROR(VLOOKUP(B268,'211'!$B$2:$D$116,3,FALSE),"")</f>
        <v/>
      </c>
      <c r="H268" s="32" t="str">
        <f>IFERROR(VLOOKUP(B268,双一流!$B$2:$D$148,3,FALSE),"")</f>
        <v/>
      </c>
      <c r="I268" s="32">
        <f>IFERROR(VLOOKUP(B268,汇总!$B$2:$I$2921,8,FALSE),"")</f>
        <v>0</v>
      </c>
      <c r="J268" s="29" t="s">
        <v>11</v>
      </c>
      <c r="K268" s="33" t="s">
        <v>12</v>
      </c>
    </row>
    <row r="269" ht="17.25" spans="1:11">
      <c r="A269" s="34">
        <v>268</v>
      </c>
      <c r="B269" s="34" t="s">
        <v>340</v>
      </c>
      <c r="C269" s="29" t="str">
        <f>VLOOKUP(B269,教育部大学名单!$B$1:$D$2920,3,FALSE)</f>
        <v>黑龙江省</v>
      </c>
      <c r="D269" s="34" t="s">
        <v>308</v>
      </c>
      <c r="E269" s="34" t="s">
        <v>341</v>
      </c>
      <c r="F269" s="36" t="str">
        <f>IFERROR(VLOOKUP(B269,'985'!$B$2:$D$40,3,FALSE),"")</f>
        <v/>
      </c>
      <c r="G269" s="32" t="str">
        <f>IFERROR(VLOOKUP(B269,'211'!$B$2:$D$116,3,FALSE),"")</f>
        <v/>
      </c>
      <c r="H269" s="32" t="str">
        <f>IFERROR(VLOOKUP(B269,双一流!$B$2:$D$148,3,FALSE),"")</f>
        <v/>
      </c>
      <c r="I269" s="32">
        <f>IFERROR(VLOOKUP(B269,汇总!$B$2:$I$2921,8,FALSE),"")</f>
        <v>0</v>
      </c>
      <c r="J269" s="34" t="s">
        <v>11</v>
      </c>
      <c r="K269" s="35" t="s">
        <v>12</v>
      </c>
    </row>
    <row r="270" ht="33.75" spans="1:11">
      <c r="A270" s="29">
        <v>269</v>
      </c>
      <c r="B270" s="29" t="s">
        <v>342</v>
      </c>
      <c r="C270" s="29" t="str">
        <f>VLOOKUP(B270,教育部大学名单!$B$1:$D$2920,3,FALSE)</f>
        <v>黑龙江省</v>
      </c>
      <c r="D270" s="29" t="s">
        <v>308</v>
      </c>
      <c r="E270" s="29" t="s">
        <v>309</v>
      </c>
      <c r="F270" s="36" t="str">
        <f>IFERROR(VLOOKUP(B270,'985'!$B$2:$D$40,3,FALSE),"")</f>
        <v/>
      </c>
      <c r="G270" s="32" t="str">
        <f>IFERROR(VLOOKUP(B270,'211'!$B$2:$D$116,3,FALSE),"")</f>
        <v/>
      </c>
      <c r="H270" s="32" t="str">
        <f>IFERROR(VLOOKUP(B270,双一流!$B$2:$D$148,3,FALSE),"")</f>
        <v/>
      </c>
      <c r="I270" s="32">
        <f>IFERROR(VLOOKUP(B270,汇总!$B$2:$I$2921,8,FALSE),"")</f>
        <v>0</v>
      </c>
      <c r="J270" s="29" t="s">
        <v>11</v>
      </c>
      <c r="K270" s="33" t="s">
        <v>12</v>
      </c>
    </row>
    <row r="271" ht="50.25" spans="1:11">
      <c r="A271" s="34">
        <v>270</v>
      </c>
      <c r="B271" s="34" t="s">
        <v>343</v>
      </c>
      <c r="C271" s="29" t="e">
        <f>VLOOKUP(B271,教育部大学名单!$B$1:$D$2920,3,FALSE)</f>
        <v>#N/A</v>
      </c>
      <c r="D271" s="34" t="s">
        <v>308</v>
      </c>
      <c r="E271" s="34" t="s">
        <v>309</v>
      </c>
      <c r="F271" s="36" t="str">
        <f>IFERROR(VLOOKUP(B271,'985'!$B$2:$D$40,3,FALSE),"")</f>
        <v/>
      </c>
      <c r="G271" s="32" t="str">
        <f>IFERROR(VLOOKUP(B271,'211'!$B$2:$D$116,3,FALSE),"")</f>
        <v/>
      </c>
      <c r="H271" s="32" t="str">
        <f>IFERROR(VLOOKUP(B271,双一流!$B$2:$D$148,3,FALSE),"")</f>
        <v/>
      </c>
      <c r="I271" s="32" t="str">
        <f>IFERROR(VLOOKUP(B271,汇总!$B$2:$I$2921,8,FALSE),"")</f>
        <v/>
      </c>
      <c r="J271" s="34" t="s">
        <v>11</v>
      </c>
      <c r="K271" s="35" t="s">
        <v>12</v>
      </c>
    </row>
    <row r="272" ht="50.25" spans="1:11">
      <c r="A272" s="29">
        <v>271</v>
      </c>
      <c r="B272" s="29" t="s">
        <v>344</v>
      </c>
      <c r="C272" s="29" t="e">
        <f>VLOOKUP(B272,教育部大学名单!$B$1:$D$2920,3,FALSE)</f>
        <v>#N/A</v>
      </c>
      <c r="D272" s="29" t="s">
        <v>308</v>
      </c>
      <c r="E272" s="29" t="s">
        <v>309</v>
      </c>
      <c r="F272" s="36" t="str">
        <f>IFERROR(VLOOKUP(B272,'985'!$B$2:$D$40,3,FALSE),"")</f>
        <v/>
      </c>
      <c r="G272" s="32" t="str">
        <f>IFERROR(VLOOKUP(B272,'211'!$B$2:$D$116,3,FALSE),"")</f>
        <v/>
      </c>
      <c r="H272" s="32" t="str">
        <f>IFERROR(VLOOKUP(B272,双一流!$B$2:$D$148,3,FALSE),"")</f>
        <v/>
      </c>
      <c r="I272" s="32" t="str">
        <f>IFERROR(VLOOKUP(B272,汇总!$B$2:$I$2921,8,FALSE),"")</f>
        <v/>
      </c>
      <c r="J272" s="29" t="s">
        <v>11</v>
      </c>
      <c r="K272" s="33" t="s">
        <v>12</v>
      </c>
    </row>
    <row r="273" ht="33.75" spans="1:11">
      <c r="A273" s="34">
        <v>272</v>
      </c>
      <c r="B273" s="34" t="s">
        <v>345</v>
      </c>
      <c r="C273" s="29" t="str">
        <f>VLOOKUP(B273,教育部大学名单!$B$1:$D$2920,3,FALSE)</f>
        <v>黑龙江省</v>
      </c>
      <c r="D273" s="34" t="s">
        <v>308</v>
      </c>
      <c r="E273" s="34" t="s">
        <v>309</v>
      </c>
      <c r="F273" s="36" t="str">
        <f>IFERROR(VLOOKUP(B273,'985'!$B$2:$D$40,3,FALSE),"")</f>
        <v/>
      </c>
      <c r="G273" s="32" t="str">
        <f>IFERROR(VLOOKUP(B273,'211'!$B$2:$D$116,3,FALSE),"")</f>
        <v/>
      </c>
      <c r="H273" s="32" t="str">
        <f>IFERROR(VLOOKUP(B273,双一流!$B$2:$D$148,3,FALSE),"")</f>
        <v/>
      </c>
      <c r="I273" s="32">
        <f>IFERROR(VLOOKUP(B273,汇总!$B$2:$I$2921,8,FALSE),"")</f>
        <v>0</v>
      </c>
      <c r="J273" s="34" t="s">
        <v>11</v>
      </c>
      <c r="K273" s="35" t="s">
        <v>12</v>
      </c>
    </row>
    <row r="274" ht="17.25" spans="1:11">
      <c r="A274" s="29">
        <v>273</v>
      </c>
      <c r="B274" s="29" t="s">
        <v>346</v>
      </c>
      <c r="C274" s="29" t="str">
        <f>VLOOKUP(B274,教育部大学名单!$B$1:$D$2920,3,FALSE)</f>
        <v>教育部</v>
      </c>
      <c r="D274" s="29" t="s">
        <v>347</v>
      </c>
      <c r="E274" s="29" t="s">
        <v>347</v>
      </c>
      <c r="F274" s="30">
        <f>IFERROR(VLOOKUP(B274,'985'!$B$2:$D$40,3,FALSE),"")</f>
        <v>985</v>
      </c>
      <c r="G274" s="31">
        <f>IFERROR(VLOOKUP(B274,'211'!$B$2:$D$116,3,FALSE),"")</f>
        <v>211</v>
      </c>
      <c r="H274" s="32" t="str">
        <f>IFERROR(VLOOKUP(B274,双一流!$B$2:$D$148,3,FALSE),"")</f>
        <v>双一流</v>
      </c>
      <c r="I274" s="32" t="str">
        <f>IFERROR(VLOOKUP(B274,汇总!$B$2:$I$2921,8,FALSE),"")</f>
        <v>综合</v>
      </c>
      <c r="J274" s="29" t="s">
        <v>11</v>
      </c>
      <c r="K274" s="33" t="s">
        <v>12</v>
      </c>
    </row>
    <row r="275" ht="17.25" spans="1:11">
      <c r="A275" s="34">
        <v>274</v>
      </c>
      <c r="B275" s="34" t="s">
        <v>348</v>
      </c>
      <c r="C275" s="29" t="str">
        <f>VLOOKUP(B275,教育部大学名单!$B$1:$D$2920,3,FALSE)</f>
        <v>教育部</v>
      </c>
      <c r="D275" s="34" t="s">
        <v>347</v>
      </c>
      <c r="E275" s="34" t="s">
        <v>347</v>
      </c>
      <c r="F275" s="30">
        <f>IFERROR(VLOOKUP(B275,'985'!$B$2:$D$40,3,FALSE),"")</f>
        <v>985</v>
      </c>
      <c r="G275" s="31">
        <f>IFERROR(VLOOKUP(B275,'211'!$B$2:$D$116,3,FALSE),"")</f>
        <v>211</v>
      </c>
      <c r="H275" s="32" t="str">
        <f>IFERROR(VLOOKUP(B275,双一流!$B$2:$D$148,3,FALSE),"")</f>
        <v>双一流</v>
      </c>
      <c r="I275" s="32" t="str">
        <f>IFERROR(VLOOKUP(B275,汇总!$B$2:$I$2921,8,FALSE),"")</f>
        <v>理工</v>
      </c>
      <c r="J275" s="34" t="s">
        <v>11</v>
      </c>
      <c r="K275" s="35" t="s">
        <v>12</v>
      </c>
    </row>
    <row r="276" ht="33.75" spans="1:11">
      <c r="A276" s="29">
        <v>275</v>
      </c>
      <c r="B276" s="29" t="s">
        <v>349</v>
      </c>
      <c r="C276" s="29" t="str">
        <f>VLOOKUP(B276,教育部大学名单!$B$1:$D$2920,3,FALSE)</f>
        <v>教育部</v>
      </c>
      <c r="D276" s="29" t="s">
        <v>347</v>
      </c>
      <c r="E276" s="29" t="s">
        <v>347</v>
      </c>
      <c r="F276" s="30">
        <f>IFERROR(VLOOKUP(B276,'985'!$B$2:$D$40,3,FALSE),"")</f>
        <v>985</v>
      </c>
      <c r="G276" s="31">
        <f>IFERROR(VLOOKUP(B276,'211'!$B$2:$D$116,3,FALSE),"")</f>
        <v>211</v>
      </c>
      <c r="H276" s="32" t="str">
        <f>IFERROR(VLOOKUP(B276,双一流!$B$2:$D$148,3,FALSE),"")</f>
        <v>双一流</v>
      </c>
      <c r="I276" s="32" t="str">
        <f>IFERROR(VLOOKUP(B276,汇总!$B$2:$I$2921,8,FALSE),"")</f>
        <v>综合</v>
      </c>
      <c r="J276" s="29" t="s">
        <v>11</v>
      </c>
      <c r="K276" s="33" t="s">
        <v>12</v>
      </c>
    </row>
    <row r="277" ht="33.75" spans="1:11">
      <c r="A277" s="34">
        <v>276</v>
      </c>
      <c r="B277" s="34" t="s">
        <v>350</v>
      </c>
      <c r="C277" s="29" t="str">
        <f>VLOOKUP(B277,教育部大学名单!$B$1:$D$2920,3,FALSE)</f>
        <v>教育部</v>
      </c>
      <c r="D277" s="34" t="s">
        <v>347</v>
      </c>
      <c r="E277" s="34" t="s">
        <v>347</v>
      </c>
      <c r="F277" s="36" t="str">
        <f>IFERROR(VLOOKUP(B277,'985'!$B$2:$D$40,3,FALSE),"")</f>
        <v/>
      </c>
      <c r="G277" s="31">
        <f>IFERROR(VLOOKUP(B277,'211'!$B$2:$D$116,3,FALSE),"")</f>
        <v>211</v>
      </c>
      <c r="H277" s="32" t="str">
        <f>IFERROR(VLOOKUP(B277,双一流!$B$2:$D$148,3,FALSE),"")</f>
        <v>双一流</v>
      </c>
      <c r="I277" s="32" t="str">
        <f>IFERROR(VLOOKUP(B277,汇总!$B$2:$I$2921,8,FALSE),"")</f>
        <v>理工</v>
      </c>
      <c r="J277" s="34" t="s">
        <v>11</v>
      </c>
      <c r="K277" s="35" t="s">
        <v>12</v>
      </c>
    </row>
    <row r="278" ht="33.75" spans="1:11">
      <c r="A278" s="29">
        <v>277</v>
      </c>
      <c r="B278" s="29" t="s">
        <v>351</v>
      </c>
      <c r="C278" s="29" t="str">
        <f>VLOOKUP(B278,教育部大学名单!$B$1:$D$2920,3,FALSE)</f>
        <v>上海市</v>
      </c>
      <c r="D278" s="29" t="s">
        <v>347</v>
      </c>
      <c r="E278" s="29" t="s">
        <v>347</v>
      </c>
      <c r="F278" s="36" t="str">
        <f>IFERROR(VLOOKUP(B278,'985'!$B$2:$D$40,3,FALSE),"")</f>
        <v/>
      </c>
      <c r="G278" s="32" t="str">
        <f>IFERROR(VLOOKUP(B278,'211'!$B$2:$D$116,3,FALSE),"")</f>
        <v/>
      </c>
      <c r="H278" s="32" t="str">
        <f>IFERROR(VLOOKUP(B278,双一流!$B$2:$D$148,3,FALSE),"")</f>
        <v/>
      </c>
      <c r="I278" s="32" t="str">
        <f>IFERROR(VLOOKUP(B278,汇总!$B$2:$I$2921,8,FALSE),"")</f>
        <v>理工</v>
      </c>
      <c r="J278" s="29" t="s">
        <v>11</v>
      </c>
      <c r="K278" s="33" t="s">
        <v>12</v>
      </c>
    </row>
    <row r="279" ht="33.75" spans="1:11">
      <c r="A279" s="34">
        <v>278</v>
      </c>
      <c r="B279" s="34" t="s">
        <v>352</v>
      </c>
      <c r="C279" s="29" t="str">
        <f>VLOOKUP(B279,教育部大学名单!$B$1:$D$2920,3,FALSE)</f>
        <v>上海市</v>
      </c>
      <c r="D279" s="34" t="s">
        <v>347</v>
      </c>
      <c r="E279" s="34" t="s">
        <v>347</v>
      </c>
      <c r="F279" s="36" t="str">
        <f>IFERROR(VLOOKUP(B279,'985'!$B$2:$D$40,3,FALSE),"")</f>
        <v/>
      </c>
      <c r="G279" s="32" t="str">
        <f>IFERROR(VLOOKUP(B279,'211'!$B$2:$D$116,3,FALSE),"")</f>
        <v/>
      </c>
      <c r="H279" s="32" t="str">
        <f>IFERROR(VLOOKUP(B279,双一流!$B$2:$D$148,3,FALSE),"")</f>
        <v/>
      </c>
      <c r="I279" s="32" t="str">
        <f>IFERROR(VLOOKUP(B279,汇总!$B$2:$I$2921,8,FALSE),"")</f>
        <v>理工</v>
      </c>
      <c r="J279" s="34" t="s">
        <v>11</v>
      </c>
      <c r="K279" s="35" t="s">
        <v>12</v>
      </c>
    </row>
    <row r="280" ht="17.25" spans="1:11">
      <c r="A280" s="29">
        <v>279</v>
      </c>
      <c r="B280" s="29" t="s">
        <v>353</v>
      </c>
      <c r="C280" s="29" t="str">
        <f>VLOOKUP(B280,教育部大学名单!$B$1:$D$2920,3,FALSE)</f>
        <v>教育部</v>
      </c>
      <c r="D280" s="29" t="s">
        <v>347</v>
      </c>
      <c r="E280" s="29" t="s">
        <v>347</v>
      </c>
      <c r="F280" s="36" t="str">
        <f>IFERROR(VLOOKUP(B280,'985'!$B$2:$D$40,3,FALSE),"")</f>
        <v/>
      </c>
      <c r="G280" s="31">
        <f>IFERROR(VLOOKUP(B280,'211'!$B$2:$D$116,3,FALSE),"")</f>
        <v>211</v>
      </c>
      <c r="H280" s="32" t="str">
        <f>IFERROR(VLOOKUP(B280,双一流!$B$2:$D$148,3,FALSE),"")</f>
        <v>双一流</v>
      </c>
      <c r="I280" s="32" t="str">
        <f>IFERROR(VLOOKUP(B280,汇总!$B$2:$I$2921,8,FALSE),"")</f>
        <v>理工</v>
      </c>
      <c r="J280" s="29" t="s">
        <v>11</v>
      </c>
      <c r="K280" s="33" t="s">
        <v>12</v>
      </c>
    </row>
    <row r="281" ht="33.75" spans="1:11">
      <c r="A281" s="34">
        <v>280</v>
      </c>
      <c r="B281" s="34" t="s">
        <v>354</v>
      </c>
      <c r="C281" s="29" t="str">
        <f>VLOOKUP(B281,教育部大学名单!$B$1:$D$2920,3,FALSE)</f>
        <v>上海市</v>
      </c>
      <c r="D281" s="34" t="s">
        <v>347</v>
      </c>
      <c r="E281" s="34" t="s">
        <v>347</v>
      </c>
      <c r="F281" s="36" t="str">
        <f>IFERROR(VLOOKUP(B281,'985'!$B$2:$D$40,3,FALSE),"")</f>
        <v/>
      </c>
      <c r="G281" s="32" t="str">
        <f>IFERROR(VLOOKUP(B281,'211'!$B$2:$D$116,3,FALSE),"")</f>
        <v/>
      </c>
      <c r="H281" s="32" t="str">
        <f>IFERROR(VLOOKUP(B281,双一流!$B$2:$D$148,3,FALSE),"")</f>
        <v/>
      </c>
      <c r="I281" s="32" t="str">
        <f>IFERROR(VLOOKUP(B281,汇总!$B$2:$I$2921,8,FALSE),"")</f>
        <v>理工</v>
      </c>
      <c r="J281" s="34" t="s">
        <v>11</v>
      </c>
      <c r="K281" s="35" t="s">
        <v>12</v>
      </c>
    </row>
    <row r="282" ht="33.75" spans="1:11">
      <c r="A282" s="29">
        <v>281</v>
      </c>
      <c r="B282" s="29" t="s">
        <v>355</v>
      </c>
      <c r="C282" s="29" t="str">
        <f>VLOOKUP(B282,教育部大学名单!$B$1:$D$2920,3,FALSE)</f>
        <v>上海市</v>
      </c>
      <c r="D282" s="29" t="s">
        <v>347</v>
      </c>
      <c r="E282" s="29" t="s">
        <v>347</v>
      </c>
      <c r="F282" s="36" t="str">
        <f>IFERROR(VLOOKUP(B282,'985'!$B$2:$D$40,3,FALSE),"")</f>
        <v/>
      </c>
      <c r="G282" s="32" t="str">
        <f>IFERROR(VLOOKUP(B282,'211'!$B$2:$D$116,3,FALSE),"")</f>
        <v/>
      </c>
      <c r="H282" s="32" t="str">
        <f>IFERROR(VLOOKUP(B282,双一流!$B$2:$D$148,3,FALSE),"")</f>
        <v/>
      </c>
      <c r="I282" s="32">
        <f>IFERROR(VLOOKUP(B282,汇总!$B$2:$I$2921,8,FALSE),"")</f>
        <v>0</v>
      </c>
      <c r="J282" s="29" t="s">
        <v>11</v>
      </c>
      <c r="K282" s="33" t="s">
        <v>12</v>
      </c>
    </row>
    <row r="283" ht="33.75" spans="1:11">
      <c r="A283" s="34">
        <v>282</v>
      </c>
      <c r="B283" s="34" t="s">
        <v>356</v>
      </c>
      <c r="C283" s="29" t="str">
        <f>VLOOKUP(B283,教育部大学名单!$B$1:$D$2920,3,FALSE)</f>
        <v>上海市</v>
      </c>
      <c r="D283" s="34" t="s">
        <v>347</v>
      </c>
      <c r="E283" s="34" t="s">
        <v>347</v>
      </c>
      <c r="F283" s="36" t="str">
        <f>IFERROR(VLOOKUP(B283,'985'!$B$2:$D$40,3,FALSE),"")</f>
        <v/>
      </c>
      <c r="G283" s="32" t="str">
        <f>IFERROR(VLOOKUP(B283,'211'!$B$2:$D$116,3,FALSE),"")</f>
        <v/>
      </c>
      <c r="H283" s="32" t="str">
        <f>IFERROR(VLOOKUP(B283,双一流!$B$2:$D$148,3,FALSE),"")</f>
        <v/>
      </c>
      <c r="I283" s="32">
        <f>IFERROR(VLOOKUP(B283,汇总!$B$2:$I$2921,8,FALSE),"")</f>
        <v>0</v>
      </c>
      <c r="J283" s="34" t="s">
        <v>11</v>
      </c>
      <c r="K283" s="35" t="s">
        <v>12</v>
      </c>
    </row>
    <row r="284" ht="33.75" spans="1:11">
      <c r="A284" s="29">
        <v>283</v>
      </c>
      <c r="B284" s="29" t="s">
        <v>357</v>
      </c>
      <c r="C284" s="29" t="str">
        <f>VLOOKUP(B284,教育部大学名单!$B$1:$D$2920,3,FALSE)</f>
        <v>上海市</v>
      </c>
      <c r="D284" s="29" t="s">
        <v>347</v>
      </c>
      <c r="E284" s="29" t="s">
        <v>347</v>
      </c>
      <c r="F284" s="36" t="str">
        <f>IFERROR(VLOOKUP(B284,'985'!$B$2:$D$40,3,FALSE),"")</f>
        <v/>
      </c>
      <c r="G284" s="32" t="str">
        <f>IFERROR(VLOOKUP(B284,'211'!$B$2:$D$116,3,FALSE),"")</f>
        <v/>
      </c>
      <c r="H284" s="32" t="str">
        <f>IFERROR(VLOOKUP(B284,双一流!$B$2:$D$148,3,FALSE),"")</f>
        <v>双一流</v>
      </c>
      <c r="I284" s="32" t="str">
        <f>IFERROR(VLOOKUP(B284,汇总!$B$2:$I$2921,8,FALSE),"")</f>
        <v>农林</v>
      </c>
      <c r="J284" s="29" t="s">
        <v>11</v>
      </c>
      <c r="K284" s="33" t="s">
        <v>12</v>
      </c>
    </row>
    <row r="285" ht="33.75" spans="1:11">
      <c r="A285" s="34">
        <v>284</v>
      </c>
      <c r="B285" s="34" t="s">
        <v>358</v>
      </c>
      <c r="C285" s="29" t="str">
        <f>VLOOKUP(B285,教育部大学名单!$B$1:$D$2920,3,FALSE)</f>
        <v>上海市</v>
      </c>
      <c r="D285" s="34" t="s">
        <v>347</v>
      </c>
      <c r="E285" s="34" t="s">
        <v>347</v>
      </c>
      <c r="F285" s="36" t="str">
        <f>IFERROR(VLOOKUP(B285,'985'!$B$2:$D$40,3,FALSE),"")</f>
        <v/>
      </c>
      <c r="G285" s="32" t="str">
        <f>IFERROR(VLOOKUP(B285,'211'!$B$2:$D$116,3,FALSE),"")</f>
        <v/>
      </c>
      <c r="H285" s="32" t="str">
        <f>IFERROR(VLOOKUP(B285,双一流!$B$2:$D$148,3,FALSE),"")</f>
        <v>双一流</v>
      </c>
      <c r="I285" s="32" t="str">
        <f>IFERROR(VLOOKUP(B285,汇总!$B$2:$I$2921,8,FALSE),"")</f>
        <v>医药</v>
      </c>
      <c r="J285" s="34" t="s">
        <v>11</v>
      </c>
      <c r="K285" s="35" t="s">
        <v>12</v>
      </c>
    </row>
    <row r="286" ht="33.75" spans="1:11">
      <c r="A286" s="29">
        <v>285</v>
      </c>
      <c r="B286" s="29" t="s">
        <v>359</v>
      </c>
      <c r="C286" s="29" t="str">
        <f>VLOOKUP(B286,教育部大学名单!$B$1:$D$2920,3,FALSE)</f>
        <v>教育部</v>
      </c>
      <c r="D286" s="29" t="s">
        <v>347</v>
      </c>
      <c r="E286" s="29" t="s">
        <v>347</v>
      </c>
      <c r="F286" s="30">
        <f>IFERROR(VLOOKUP(B286,'985'!$B$2:$D$40,3,FALSE),"")</f>
        <v>985</v>
      </c>
      <c r="G286" s="31">
        <f>IFERROR(VLOOKUP(B286,'211'!$B$2:$D$116,3,FALSE),"")</f>
        <v>211</v>
      </c>
      <c r="H286" s="32" t="str">
        <f>IFERROR(VLOOKUP(B286,双一流!$B$2:$D$148,3,FALSE),"")</f>
        <v>双一流</v>
      </c>
      <c r="I286" s="32" t="str">
        <f>IFERROR(VLOOKUP(B286,汇总!$B$2:$I$2921,8,FALSE),"")</f>
        <v>师范</v>
      </c>
      <c r="J286" s="29" t="s">
        <v>11</v>
      </c>
      <c r="K286" s="33" t="s">
        <v>12</v>
      </c>
    </row>
    <row r="287" ht="33.75" spans="1:11">
      <c r="A287" s="34">
        <v>286</v>
      </c>
      <c r="B287" s="34" t="s">
        <v>360</v>
      </c>
      <c r="C287" s="29" t="str">
        <f>VLOOKUP(B287,教育部大学名单!$B$1:$D$2920,3,FALSE)</f>
        <v>上海市</v>
      </c>
      <c r="D287" s="34" t="s">
        <v>347</v>
      </c>
      <c r="E287" s="34" t="s">
        <v>347</v>
      </c>
      <c r="F287" s="36" t="str">
        <f>IFERROR(VLOOKUP(B287,'985'!$B$2:$D$40,3,FALSE),"")</f>
        <v/>
      </c>
      <c r="G287" s="32" t="str">
        <f>IFERROR(VLOOKUP(B287,'211'!$B$2:$D$116,3,FALSE),"")</f>
        <v/>
      </c>
      <c r="H287" s="32" t="str">
        <f>IFERROR(VLOOKUP(B287,双一流!$B$2:$D$148,3,FALSE),"")</f>
        <v/>
      </c>
      <c r="I287" s="32" t="str">
        <f>IFERROR(VLOOKUP(B287,汇总!$B$2:$I$2921,8,FALSE),"")</f>
        <v>师范</v>
      </c>
      <c r="J287" s="34" t="s">
        <v>11</v>
      </c>
      <c r="K287" s="35" t="s">
        <v>12</v>
      </c>
    </row>
    <row r="288" ht="33.75" spans="1:11">
      <c r="A288" s="29">
        <v>287</v>
      </c>
      <c r="B288" s="29" t="s">
        <v>361</v>
      </c>
      <c r="C288" s="29" t="str">
        <f>VLOOKUP(B288,教育部大学名单!$B$1:$D$2920,3,FALSE)</f>
        <v>教育部</v>
      </c>
      <c r="D288" s="29" t="s">
        <v>347</v>
      </c>
      <c r="E288" s="29" t="s">
        <v>347</v>
      </c>
      <c r="F288" s="36" t="str">
        <f>IFERROR(VLOOKUP(B288,'985'!$B$2:$D$40,3,FALSE),"")</f>
        <v/>
      </c>
      <c r="G288" s="31">
        <f>IFERROR(VLOOKUP(B288,'211'!$B$2:$D$116,3,FALSE),"")</f>
        <v>211</v>
      </c>
      <c r="H288" s="32" t="str">
        <f>IFERROR(VLOOKUP(B288,双一流!$B$2:$D$148,3,FALSE),"")</f>
        <v>双一流</v>
      </c>
      <c r="I288" s="32" t="str">
        <f>IFERROR(VLOOKUP(B288,汇总!$B$2:$I$2921,8,FALSE),"")</f>
        <v>语言</v>
      </c>
      <c r="J288" s="29" t="s">
        <v>11</v>
      </c>
      <c r="K288" s="33" t="s">
        <v>12</v>
      </c>
    </row>
    <row r="289" ht="33.75" spans="1:11">
      <c r="A289" s="34">
        <v>288</v>
      </c>
      <c r="B289" s="34" t="s">
        <v>362</v>
      </c>
      <c r="C289" s="29" t="str">
        <f>VLOOKUP(B289,教育部大学名单!$B$1:$D$2920,3,FALSE)</f>
        <v>教育部</v>
      </c>
      <c r="D289" s="34" t="s">
        <v>347</v>
      </c>
      <c r="E289" s="34" t="s">
        <v>347</v>
      </c>
      <c r="F289" s="36" t="str">
        <f>IFERROR(VLOOKUP(B289,'985'!$B$2:$D$40,3,FALSE),"")</f>
        <v/>
      </c>
      <c r="G289" s="31">
        <f>IFERROR(VLOOKUP(B289,'211'!$B$2:$D$116,3,FALSE),"")</f>
        <v>211</v>
      </c>
      <c r="H289" s="32" t="str">
        <f>IFERROR(VLOOKUP(B289,双一流!$B$2:$D$148,3,FALSE),"")</f>
        <v>双一流</v>
      </c>
      <c r="I289" s="32" t="str">
        <f>IFERROR(VLOOKUP(B289,汇总!$B$2:$I$2921,8,FALSE),"")</f>
        <v>财经</v>
      </c>
      <c r="J289" s="34" t="s">
        <v>11</v>
      </c>
      <c r="K289" s="35" t="s">
        <v>12</v>
      </c>
    </row>
    <row r="290" ht="33.75" spans="1:11">
      <c r="A290" s="29">
        <v>289</v>
      </c>
      <c r="B290" s="29" t="s">
        <v>363</v>
      </c>
      <c r="C290" s="29" t="str">
        <f>VLOOKUP(B290,教育部大学名单!$B$1:$D$2920,3,FALSE)</f>
        <v>上海市</v>
      </c>
      <c r="D290" s="29" t="s">
        <v>347</v>
      </c>
      <c r="E290" s="29" t="s">
        <v>347</v>
      </c>
      <c r="F290" s="36" t="str">
        <f>IFERROR(VLOOKUP(B290,'985'!$B$2:$D$40,3,FALSE),"")</f>
        <v/>
      </c>
      <c r="G290" s="32" t="str">
        <f>IFERROR(VLOOKUP(B290,'211'!$B$2:$D$116,3,FALSE),"")</f>
        <v/>
      </c>
      <c r="H290" s="32" t="str">
        <f>IFERROR(VLOOKUP(B290,双一流!$B$2:$D$148,3,FALSE),"")</f>
        <v/>
      </c>
      <c r="I290" s="32" t="str">
        <f>IFERROR(VLOOKUP(B290,汇总!$B$2:$I$2921,8,FALSE),"")</f>
        <v>财经</v>
      </c>
      <c r="J290" s="29" t="s">
        <v>11</v>
      </c>
      <c r="K290" s="33" t="s">
        <v>12</v>
      </c>
    </row>
    <row r="291" ht="33.75" spans="1:11">
      <c r="A291" s="34">
        <v>290</v>
      </c>
      <c r="B291" s="34" t="s">
        <v>364</v>
      </c>
      <c r="C291" s="29" t="str">
        <f>VLOOKUP(B291,教育部大学名单!$B$1:$D$2920,3,FALSE)</f>
        <v>海关总署</v>
      </c>
      <c r="D291" s="34" t="s">
        <v>347</v>
      </c>
      <c r="E291" s="34" t="s">
        <v>347</v>
      </c>
      <c r="F291" s="36" t="str">
        <f>IFERROR(VLOOKUP(B291,'985'!$B$2:$D$40,3,FALSE),"")</f>
        <v/>
      </c>
      <c r="G291" s="32" t="str">
        <f>IFERROR(VLOOKUP(B291,'211'!$B$2:$D$116,3,FALSE),"")</f>
        <v/>
      </c>
      <c r="H291" s="32" t="str">
        <f>IFERROR(VLOOKUP(B291,双一流!$B$2:$D$148,3,FALSE),"")</f>
        <v/>
      </c>
      <c r="I291" s="32">
        <f>IFERROR(VLOOKUP(B291,汇总!$B$2:$I$2921,8,FALSE),"")</f>
        <v>0</v>
      </c>
      <c r="J291" s="34" t="s">
        <v>11</v>
      </c>
      <c r="K291" s="35" t="s">
        <v>12</v>
      </c>
    </row>
    <row r="292" ht="33.75" spans="1:11">
      <c r="A292" s="29">
        <v>291</v>
      </c>
      <c r="B292" s="29" t="s">
        <v>365</v>
      </c>
      <c r="C292" s="29" t="str">
        <f>VLOOKUP(B292,教育部大学名单!$B$1:$D$2920,3,FALSE)</f>
        <v>上海市</v>
      </c>
      <c r="D292" s="29" t="s">
        <v>347</v>
      </c>
      <c r="E292" s="29" t="s">
        <v>347</v>
      </c>
      <c r="F292" s="36" t="str">
        <f>IFERROR(VLOOKUP(B292,'985'!$B$2:$D$40,3,FALSE),"")</f>
        <v/>
      </c>
      <c r="G292" s="32" t="str">
        <f>IFERROR(VLOOKUP(B292,'211'!$B$2:$D$116,3,FALSE),"")</f>
        <v/>
      </c>
      <c r="H292" s="32" t="str">
        <f>IFERROR(VLOOKUP(B292,双一流!$B$2:$D$148,3,FALSE),"")</f>
        <v/>
      </c>
      <c r="I292" s="32" t="str">
        <f>IFERROR(VLOOKUP(B292,汇总!$B$2:$I$2921,8,FALSE),"")</f>
        <v>政法</v>
      </c>
      <c r="J292" s="29" t="s">
        <v>11</v>
      </c>
      <c r="K292" s="33" t="s">
        <v>12</v>
      </c>
    </row>
    <row r="293" ht="33.75" spans="1:11">
      <c r="A293" s="34">
        <v>292</v>
      </c>
      <c r="B293" s="34" t="s">
        <v>366</v>
      </c>
      <c r="C293" s="29" t="str">
        <f>VLOOKUP(B293,教育部大学名单!$B$1:$D$2920,3,FALSE)</f>
        <v>上海市</v>
      </c>
      <c r="D293" s="34" t="s">
        <v>347</v>
      </c>
      <c r="E293" s="34" t="s">
        <v>347</v>
      </c>
      <c r="F293" s="36" t="str">
        <f>IFERROR(VLOOKUP(B293,'985'!$B$2:$D$40,3,FALSE),"")</f>
        <v/>
      </c>
      <c r="G293" s="32" t="str">
        <f>IFERROR(VLOOKUP(B293,'211'!$B$2:$D$116,3,FALSE),"")</f>
        <v/>
      </c>
      <c r="H293" s="32" t="str">
        <f>IFERROR(VLOOKUP(B293,双一流!$B$2:$D$148,3,FALSE),"")</f>
        <v/>
      </c>
      <c r="I293" s="32" t="str">
        <f>IFERROR(VLOOKUP(B293,汇总!$B$2:$I$2921,8,FALSE),"")</f>
        <v>体育</v>
      </c>
      <c r="J293" s="34" t="s">
        <v>11</v>
      </c>
      <c r="K293" s="35" t="s">
        <v>12</v>
      </c>
    </row>
    <row r="294" ht="33.75" spans="1:11">
      <c r="A294" s="29">
        <v>293</v>
      </c>
      <c r="B294" s="29" t="s">
        <v>367</v>
      </c>
      <c r="C294" s="29" t="str">
        <f>VLOOKUP(B294,教育部大学名单!$B$1:$D$2920,3,FALSE)</f>
        <v>上海市</v>
      </c>
      <c r="D294" s="29" t="s">
        <v>347</v>
      </c>
      <c r="E294" s="29" t="s">
        <v>347</v>
      </c>
      <c r="F294" s="36" t="str">
        <f>IFERROR(VLOOKUP(B294,'985'!$B$2:$D$40,3,FALSE),"")</f>
        <v/>
      </c>
      <c r="G294" s="32" t="str">
        <f>IFERROR(VLOOKUP(B294,'211'!$B$2:$D$116,3,FALSE),"")</f>
        <v/>
      </c>
      <c r="H294" s="32" t="str">
        <f>IFERROR(VLOOKUP(B294,双一流!$B$2:$D$148,3,FALSE),"")</f>
        <v>双一流</v>
      </c>
      <c r="I294" s="32" t="str">
        <f>IFERROR(VLOOKUP(B294,汇总!$B$2:$I$2921,8,FALSE),"")</f>
        <v>艺术</v>
      </c>
      <c r="J294" s="29" t="s">
        <v>11</v>
      </c>
      <c r="K294" s="33" t="s">
        <v>12</v>
      </c>
    </row>
    <row r="295" ht="33.75" spans="1:11">
      <c r="A295" s="34">
        <v>294</v>
      </c>
      <c r="B295" s="34" t="s">
        <v>368</v>
      </c>
      <c r="C295" s="29" t="str">
        <f>VLOOKUP(B295,教育部大学名单!$B$1:$D$2920,3,FALSE)</f>
        <v>上海市</v>
      </c>
      <c r="D295" s="34" t="s">
        <v>347</v>
      </c>
      <c r="E295" s="34" t="s">
        <v>347</v>
      </c>
      <c r="F295" s="36" t="str">
        <f>IFERROR(VLOOKUP(B295,'985'!$B$2:$D$40,3,FALSE),"")</f>
        <v/>
      </c>
      <c r="G295" s="32" t="str">
        <f>IFERROR(VLOOKUP(B295,'211'!$B$2:$D$116,3,FALSE),"")</f>
        <v/>
      </c>
      <c r="H295" s="32" t="str">
        <f>IFERROR(VLOOKUP(B295,双一流!$B$2:$D$148,3,FALSE),"")</f>
        <v/>
      </c>
      <c r="I295" s="32" t="str">
        <f>IFERROR(VLOOKUP(B295,汇总!$B$2:$I$2921,8,FALSE),"")</f>
        <v>艺术</v>
      </c>
      <c r="J295" s="34" t="s">
        <v>11</v>
      </c>
      <c r="K295" s="35" t="s">
        <v>12</v>
      </c>
    </row>
    <row r="296" ht="17.25" spans="1:11">
      <c r="A296" s="29">
        <v>295</v>
      </c>
      <c r="B296" s="29" t="s">
        <v>369</v>
      </c>
      <c r="C296" s="29" t="str">
        <f>VLOOKUP(B296,教育部大学名单!$B$1:$D$2920,3,FALSE)</f>
        <v>上海市</v>
      </c>
      <c r="D296" s="29" t="s">
        <v>347</v>
      </c>
      <c r="E296" s="29" t="s">
        <v>347</v>
      </c>
      <c r="F296" s="36" t="str">
        <f>IFERROR(VLOOKUP(B296,'985'!$B$2:$D$40,3,FALSE),"")</f>
        <v/>
      </c>
      <c r="G296" s="31">
        <f>IFERROR(VLOOKUP(B296,'211'!$B$2:$D$116,3,FALSE),"")</f>
        <v>211</v>
      </c>
      <c r="H296" s="32" t="str">
        <f>IFERROR(VLOOKUP(B296,双一流!$B$2:$D$148,3,FALSE),"")</f>
        <v>双一流</v>
      </c>
      <c r="I296" s="32" t="str">
        <f>IFERROR(VLOOKUP(B296,汇总!$B$2:$I$2921,8,FALSE),"")</f>
        <v>综合</v>
      </c>
      <c r="J296" s="29" t="s">
        <v>11</v>
      </c>
      <c r="K296" s="33" t="s">
        <v>12</v>
      </c>
    </row>
    <row r="297" ht="33.75" spans="1:11">
      <c r="A297" s="34">
        <v>296</v>
      </c>
      <c r="B297" s="34" t="s">
        <v>370</v>
      </c>
      <c r="C297" s="29" t="str">
        <f>VLOOKUP(B297,教育部大学名单!$B$1:$D$2920,3,FALSE)</f>
        <v>上海市</v>
      </c>
      <c r="D297" s="34" t="s">
        <v>347</v>
      </c>
      <c r="E297" s="34" t="s">
        <v>347</v>
      </c>
      <c r="F297" s="36" t="str">
        <f>IFERROR(VLOOKUP(B297,'985'!$B$2:$D$40,3,FALSE),"")</f>
        <v/>
      </c>
      <c r="G297" s="32" t="str">
        <f>IFERROR(VLOOKUP(B297,'211'!$B$2:$D$116,3,FALSE),"")</f>
        <v/>
      </c>
      <c r="H297" s="32" t="str">
        <f>IFERROR(VLOOKUP(B297,双一流!$B$2:$D$148,3,FALSE),"")</f>
        <v/>
      </c>
      <c r="I297" s="32">
        <f>IFERROR(VLOOKUP(B297,汇总!$B$2:$I$2921,8,FALSE),"")</f>
        <v>0</v>
      </c>
      <c r="J297" s="34" t="s">
        <v>11</v>
      </c>
      <c r="K297" s="35" t="s">
        <v>12</v>
      </c>
    </row>
    <row r="298" ht="33.75" spans="1:11">
      <c r="A298" s="29">
        <v>297</v>
      </c>
      <c r="B298" s="29" t="s">
        <v>371</v>
      </c>
      <c r="C298" s="29" t="str">
        <f>VLOOKUP(B298,教育部大学名单!$B$1:$D$2920,3,FALSE)</f>
        <v>上海市</v>
      </c>
      <c r="D298" s="29" t="s">
        <v>347</v>
      </c>
      <c r="E298" s="29" t="s">
        <v>347</v>
      </c>
      <c r="F298" s="36" t="str">
        <f>IFERROR(VLOOKUP(B298,'985'!$B$2:$D$40,3,FALSE),"")</f>
        <v/>
      </c>
      <c r="G298" s="32" t="str">
        <f>IFERROR(VLOOKUP(B298,'211'!$B$2:$D$116,3,FALSE),"")</f>
        <v/>
      </c>
      <c r="H298" s="32" t="str">
        <f>IFERROR(VLOOKUP(B298,双一流!$B$2:$D$148,3,FALSE),"")</f>
        <v/>
      </c>
      <c r="I298" s="32" t="str">
        <f>IFERROR(VLOOKUP(B298,汇总!$B$2:$I$2921,8,FALSE),"")</f>
        <v>理工</v>
      </c>
      <c r="J298" s="29" t="s">
        <v>11</v>
      </c>
      <c r="K298" s="33" t="s">
        <v>12</v>
      </c>
    </row>
    <row r="299" ht="33.75" spans="1:11">
      <c r="A299" s="34">
        <v>298</v>
      </c>
      <c r="B299" s="34" t="s">
        <v>372</v>
      </c>
      <c r="C299" s="29" t="str">
        <f>VLOOKUP(B299,教育部大学名单!$B$1:$D$2920,3,FALSE)</f>
        <v>上海市</v>
      </c>
      <c r="D299" s="34" t="s">
        <v>347</v>
      </c>
      <c r="E299" s="34" t="s">
        <v>347</v>
      </c>
      <c r="F299" s="36" t="str">
        <f>IFERROR(VLOOKUP(B299,'985'!$B$2:$D$40,3,FALSE),"")</f>
        <v/>
      </c>
      <c r="G299" s="32" t="str">
        <f>IFERROR(VLOOKUP(B299,'211'!$B$2:$D$116,3,FALSE),"")</f>
        <v/>
      </c>
      <c r="H299" s="32" t="str">
        <f>IFERROR(VLOOKUP(B299,双一流!$B$2:$D$148,3,FALSE),"")</f>
        <v/>
      </c>
      <c r="I299" s="32">
        <f>IFERROR(VLOOKUP(B299,汇总!$B$2:$I$2921,8,FALSE),"")</f>
        <v>0</v>
      </c>
      <c r="J299" s="34" t="s">
        <v>11</v>
      </c>
      <c r="K299" s="35" t="s">
        <v>12</v>
      </c>
    </row>
    <row r="300" ht="33.75" spans="1:11">
      <c r="A300" s="29">
        <v>299</v>
      </c>
      <c r="B300" s="29" t="s">
        <v>373</v>
      </c>
      <c r="C300" s="29" t="str">
        <f>VLOOKUP(B300,教育部大学名单!$B$1:$D$2920,3,FALSE)</f>
        <v>上海市</v>
      </c>
      <c r="D300" s="29" t="s">
        <v>347</v>
      </c>
      <c r="E300" s="29" t="s">
        <v>347</v>
      </c>
      <c r="F300" s="36" t="str">
        <f>IFERROR(VLOOKUP(B300,'985'!$B$2:$D$40,3,FALSE),"")</f>
        <v/>
      </c>
      <c r="G300" s="32" t="str">
        <f>IFERROR(VLOOKUP(B300,'211'!$B$2:$D$116,3,FALSE),"")</f>
        <v/>
      </c>
      <c r="H300" s="32" t="str">
        <f>IFERROR(VLOOKUP(B300,双一流!$B$2:$D$148,3,FALSE),"")</f>
        <v/>
      </c>
      <c r="I300" s="32">
        <f>IFERROR(VLOOKUP(B300,汇总!$B$2:$I$2921,8,FALSE),"")</f>
        <v>0</v>
      </c>
      <c r="J300" s="29" t="s">
        <v>11</v>
      </c>
      <c r="K300" s="33" t="s">
        <v>12</v>
      </c>
    </row>
    <row r="301" ht="33.75" spans="1:11">
      <c r="A301" s="34">
        <v>300</v>
      </c>
      <c r="B301" s="34" t="s">
        <v>374</v>
      </c>
      <c r="C301" s="29" t="str">
        <f>VLOOKUP(B301,教育部大学名单!$B$1:$D$2920,3,FALSE)</f>
        <v>上海市</v>
      </c>
      <c r="D301" s="34" t="s">
        <v>347</v>
      </c>
      <c r="E301" s="34" t="s">
        <v>347</v>
      </c>
      <c r="F301" s="36" t="str">
        <f>IFERROR(VLOOKUP(B301,'985'!$B$2:$D$40,3,FALSE),"")</f>
        <v/>
      </c>
      <c r="G301" s="32" t="str">
        <f>IFERROR(VLOOKUP(B301,'211'!$B$2:$D$116,3,FALSE),"")</f>
        <v/>
      </c>
      <c r="H301" s="32" t="str">
        <f>IFERROR(VLOOKUP(B301,双一流!$B$2:$D$148,3,FALSE),"")</f>
        <v/>
      </c>
      <c r="I301" s="32">
        <f>IFERROR(VLOOKUP(B301,汇总!$B$2:$I$2921,8,FALSE),"")</f>
        <v>0</v>
      </c>
      <c r="J301" s="34" t="s">
        <v>11</v>
      </c>
      <c r="K301" s="35" t="s">
        <v>12</v>
      </c>
    </row>
    <row r="302" ht="33.75" spans="1:11">
      <c r="A302" s="29">
        <v>301</v>
      </c>
      <c r="B302" s="29" t="s">
        <v>375</v>
      </c>
      <c r="C302" s="29" t="str">
        <f>VLOOKUP(B302,教育部大学名单!$B$1:$D$2920,3,FALSE)</f>
        <v>上海市</v>
      </c>
      <c r="D302" s="29" t="s">
        <v>347</v>
      </c>
      <c r="E302" s="29" t="s">
        <v>347</v>
      </c>
      <c r="F302" s="36" t="str">
        <f>IFERROR(VLOOKUP(B302,'985'!$B$2:$D$40,3,FALSE),"")</f>
        <v/>
      </c>
      <c r="G302" s="32" t="str">
        <f>IFERROR(VLOOKUP(B302,'211'!$B$2:$D$116,3,FALSE),"")</f>
        <v/>
      </c>
      <c r="H302" s="32" t="str">
        <f>IFERROR(VLOOKUP(B302,双一流!$B$2:$D$148,3,FALSE),"")</f>
        <v/>
      </c>
      <c r="I302" s="32">
        <f>IFERROR(VLOOKUP(B302,汇总!$B$2:$I$2921,8,FALSE),"")</f>
        <v>0</v>
      </c>
      <c r="J302" s="29" t="s">
        <v>11</v>
      </c>
      <c r="K302" s="33" t="s">
        <v>12</v>
      </c>
    </row>
    <row r="303" ht="17.25" spans="1:11">
      <c r="A303" s="34">
        <v>302</v>
      </c>
      <c r="B303" s="34" t="s">
        <v>376</v>
      </c>
      <c r="C303" s="29" t="str">
        <f>VLOOKUP(B303,教育部大学名单!$B$1:$D$2920,3,FALSE)</f>
        <v>上海市</v>
      </c>
      <c r="D303" s="34" t="s">
        <v>347</v>
      </c>
      <c r="E303" s="34" t="s">
        <v>347</v>
      </c>
      <c r="F303" s="36" t="str">
        <f>IFERROR(VLOOKUP(B303,'985'!$B$2:$D$40,3,FALSE),"")</f>
        <v/>
      </c>
      <c r="G303" s="32" t="str">
        <f>IFERROR(VLOOKUP(B303,'211'!$B$2:$D$116,3,FALSE),"")</f>
        <v/>
      </c>
      <c r="H303" s="32" t="str">
        <f>IFERROR(VLOOKUP(B303,双一流!$B$2:$D$148,3,FALSE),"")</f>
        <v/>
      </c>
      <c r="I303" s="32">
        <f>IFERROR(VLOOKUP(B303,汇总!$B$2:$I$2921,8,FALSE),"")</f>
        <v>0</v>
      </c>
      <c r="J303" s="34" t="s">
        <v>11</v>
      </c>
      <c r="K303" s="35" t="s">
        <v>12</v>
      </c>
    </row>
    <row r="304" ht="33.75" spans="1:11">
      <c r="A304" s="29">
        <v>303</v>
      </c>
      <c r="B304" s="29" t="s">
        <v>377</v>
      </c>
      <c r="C304" s="29" t="str">
        <f>VLOOKUP(B304,教育部大学名单!$B$1:$D$2920,3,FALSE)</f>
        <v>上海市 中国科学院</v>
      </c>
      <c r="D304" s="29" t="s">
        <v>347</v>
      </c>
      <c r="E304" s="29" t="s">
        <v>347</v>
      </c>
      <c r="F304" s="36" t="str">
        <f>IFERROR(VLOOKUP(B304,'985'!$B$2:$D$40,3,FALSE),"")</f>
        <v/>
      </c>
      <c r="G304" s="32" t="str">
        <f>IFERROR(VLOOKUP(B304,'211'!$B$2:$D$116,3,FALSE),"")</f>
        <v/>
      </c>
      <c r="H304" s="32" t="str">
        <f>IFERROR(VLOOKUP(B304,双一流!$B$2:$D$148,3,FALSE),"")</f>
        <v>双一流</v>
      </c>
      <c r="I304" s="32" t="str">
        <f>IFERROR(VLOOKUP(B304,汇总!$B$2:$I$2921,8,FALSE),"")</f>
        <v>理工</v>
      </c>
      <c r="J304" s="29" t="s">
        <v>11</v>
      </c>
      <c r="K304" s="33" t="s">
        <v>12</v>
      </c>
    </row>
    <row r="305" ht="17.25" spans="1:11">
      <c r="A305" s="34">
        <v>304</v>
      </c>
      <c r="B305" s="34" t="s">
        <v>378</v>
      </c>
      <c r="C305" s="29" t="str">
        <f>VLOOKUP(B305,教育部大学名单!$B$1:$D$2920,3,FALSE)</f>
        <v>教育部</v>
      </c>
      <c r="D305" s="34" t="s">
        <v>379</v>
      </c>
      <c r="E305" s="34" t="s">
        <v>380</v>
      </c>
      <c r="F305" s="30">
        <f>IFERROR(VLOOKUP(B305,'985'!$B$2:$D$40,3,FALSE),"")</f>
        <v>985</v>
      </c>
      <c r="G305" s="31">
        <f>IFERROR(VLOOKUP(B305,'211'!$B$2:$D$116,3,FALSE),"")</f>
        <v>211</v>
      </c>
      <c r="H305" s="32" t="str">
        <f>IFERROR(VLOOKUP(B305,双一流!$B$2:$D$148,3,FALSE),"")</f>
        <v>双一流</v>
      </c>
      <c r="I305" s="32" t="str">
        <f>IFERROR(VLOOKUP(B305,汇总!$B$2:$I$2921,8,FALSE),"")</f>
        <v>综合</v>
      </c>
      <c r="J305" s="34" t="s">
        <v>11</v>
      </c>
      <c r="K305" s="35" t="s">
        <v>12</v>
      </c>
    </row>
    <row r="306" ht="17.25" spans="1:11">
      <c r="A306" s="29">
        <v>305</v>
      </c>
      <c r="B306" s="29" t="s">
        <v>381</v>
      </c>
      <c r="C306" s="29" t="str">
        <f>VLOOKUP(B306,教育部大学名单!$B$1:$D$2920,3,FALSE)</f>
        <v>江苏省</v>
      </c>
      <c r="D306" s="29" t="s">
        <v>379</v>
      </c>
      <c r="E306" s="29" t="s">
        <v>382</v>
      </c>
      <c r="F306" s="36" t="str">
        <f>IFERROR(VLOOKUP(B306,'985'!$B$2:$D$40,3,FALSE),"")</f>
        <v/>
      </c>
      <c r="G306" s="31">
        <f>IFERROR(VLOOKUP(B306,'211'!$B$2:$D$116,3,FALSE),"")</f>
        <v>211</v>
      </c>
      <c r="H306" s="32" t="str">
        <f>IFERROR(VLOOKUP(B306,双一流!$B$2:$D$148,3,FALSE),"")</f>
        <v>双一流</v>
      </c>
      <c r="I306" s="32" t="str">
        <f>IFERROR(VLOOKUP(B306,汇总!$B$2:$I$2921,8,FALSE),"")</f>
        <v>综合</v>
      </c>
      <c r="J306" s="29" t="s">
        <v>11</v>
      </c>
      <c r="K306" s="33" t="s">
        <v>12</v>
      </c>
    </row>
    <row r="307" ht="17.25" spans="1:11">
      <c r="A307" s="34">
        <v>306</v>
      </c>
      <c r="B307" s="34" t="s">
        <v>383</v>
      </c>
      <c r="C307" s="29" t="str">
        <f>VLOOKUP(B307,教育部大学名单!$B$1:$D$2920,3,FALSE)</f>
        <v>教育部</v>
      </c>
      <c r="D307" s="34" t="s">
        <v>379</v>
      </c>
      <c r="E307" s="34" t="s">
        <v>380</v>
      </c>
      <c r="F307" s="30">
        <f>IFERROR(VLOOKUP(B307,'985'!$B$2:$D$40,3,FALSE),"")</f>
        <v>985</v>
      </c>
      <c r="G307" s="31">
        <f>IFERROR(VLOOKUP(B307,'211'!$B$2:$D$116,3,FALSE),"")</f>
        <v>211</v>
      </c>
      <c r="H307" s="32" t="str">
        <f>IFERROR(VLOOKUP(B307,双一流!$B$2:$D$148,3,FALSE),"")</f>
        <v>双一流</v>
      </c>
      <c r="I307" s="32" t="str">
        <f>IFERROR(VLOOKUP(B307,汇总!$B$2:$I$2921,8,FALSE),"")</f>
        <v>综合</v>
      </c>
      <c r="J307" s="34" t="s">
        <v>11</v>
      </c>
      <c r="K307" s="35" t="s">
        <v>12</v>
      </c>
    </row>
    <row r="308" ht="33.75" spans="1:11">
      <c r="A308" s="29">
        <v>307</v>
      </c>
      <c r="B308" s="29" t="s">
        <v>384</v>
      </c>
      <c r="C308" s="29" t="str">
        <f>VLOOKUP(B308,教育部大学名单!$B$1:$D$2920,3,FALSE)</f>
        <v>工业和信息化部</v>
      </c>
      <c r="D308" s="29" t="s">
        <v>379</v>
      </c>
      <c r="E308" s="29" t="s">
        <v>380</v>
      </c>
      <c r="F308" s="36" t="str">
        <f>IFERROR(VLOOKUP(B308,'985'!$B$2:$D$40,3,FALSE),"")</f>
        <v/>
      </c>
      <c r="G308" s="31">
        <f>IFERROR(VLOOKUP(B308,'211'!$B$2:$D$116,3,FALSE),"")</f>
        <v>211</v>
      </c>
      <c r="H308" s="32" t="str">
        <f>IFERROR(VLOOKUP(B308,双一流!$B$2:$D$148,3,FALSE),"")</f>
        <v>双一流</v>
      </c>
      <c r="I308" s="32" t="str">
        <f>IFERROR(VLOOKUP(B308,汇总!$B$2:$I$2921,8,FALSE),"")</f>
        <v>理工</v>
      </c>
      <c r="J308" s="29" t="s">
        <v>11</v>
      </c>
      <c r="K308" s="33" t="s">
        <v>12</v>
      </c>
    </row>
    <row r="309" ht="33.75" spans="1:11">
      <c r="A309" s="34">
        <v>308</v>
      </c>
      <c r="B309" s="34" t="s">
        <v>385</v>
      </c>
      <c r="C309" s="29" t="str">
        <f>VLOOKUP(B309,教育部大学名单!$B$1:$D$2920,3,FALSE)</f>
        <v>工业和信息化部</v>
      </c>
      <c r="D309" s="34" t="s">
        <v>379</v>
      </c>
      <c r="E309" s="34" t="s">
        <v>380</v>
      </c>
      <c r="F309" s="36" t="str">
        <f>IFERROR(VLOOKUP(B309,'985'!$B$2:$D$40,3,FALSE),"")</f>
        <v/>
      </c>
      <c r="G309" s="31">
        <f>IFERROR(VLOOKUP(B309,'211'!$B$2:$D$116,3,FALSE),"")</f>
        <v>211</v>
      </c>
      <c r="H309" s="32" t="str">
        <f>IFERROR(VLOOKUP(B309,双一流!$B$2:$D$148,3,FALSE),"")</f>
        <v>双一流</v>
      </c>
      <c r="I309" s="32" t="str">
        <f>IFERROR(VLOOKUP(B309,汇总!$B$2:$I$2921,8,FALSE),"")</f>
        <v>理工</v>
      </c>
      <c r="J309" s="34" t="s">
        <v>11</v>
      </c>
      <c r="K309" s="35" t="s">
        <v>12</v>
      </c>
    </row>
    <row r="310" ht="33.75" spans="1:11">
      <c r="A310" s="29">
        <v>309</v>
      </c>
      <c r="B310" s="29" t="s">
        <v>386</v>
      </c>
      <c r="C310" s="29" t="str">
        <f>VLOOKUP(B310,教育部大学名单!$B$1:$D$2920,3,FALSE)</f>
        <v>江苏省</v>
      </c>
      <c r="D310" s="29" t="s">
        <v>379</v>
      </c>
      <c r="E310" s="29" t="s">
        <v>387</v>
      </c>
      <c r="F310" s="36" t="str">
        <f>IFERROR(VLOOKUP(B310,'985'!$B$2:$D$40,3,FALSE),"")</f>
        <v/>
      </c>
      <c r="G310" s="32" t="str">
        <f>IFERROR(VLOOKUP(B310,'211'!$B$2:$D$116,3,FALSE),"")</f>
        <v/>
      </c>
      <c r="H310" s="32" t="str">
        <f>IFERROR(VLOOKUP(B310,双一流!$B$2:$D$148,3,FALSE),"")</f>
        <v/>
      </c>
      <c r="I310" s="32" t="str">
        <f>IFERROR(VLOOKUP(B310,汇总!$B$2:$I$2921,8,FALSE),"")</f>
        <v>理工</v>
      </c>
      <c r="J310" s="29" t="s">
        <v>11</v>
      </c>
      <c r="K310" s="33" t="s">
        <v>12</v>
      </c>
    </row>
    <row r="311" ht="33.75" spans="1:11">
      <c r="A311" s="34">
        <v>310</v>
      </c>
      <c r="B311" s="34" t="s">
        <v>388</v>
      </c>
      <c r="C311" s="29" t="str">
        <f>VLOOKUP(B311,教育部大学名单!$B$1:$D$2920,3,FALSE)</f>
        <v>教育部</v>
      </c>
      <c r="D311" s="34" t="s">
        <v>379</v>
      </c>
      <c r="E311" s="34" t="s">
        <v>389</v>
      </c>
      <c r="F311" s="36" t="str">
        <f>IFERROR(VLOOKUP(B311,'985'!$B$2:$D$40,3,FALSE),"")</f>
        <v/>
      </c>
      <c r="G311" s="31">
        <f>IFERROR(VLOOKUP(B311,'211'!$B$2:$D$116,3,FALSE),"")</f>
        <v>211</v>
      </c>
      <c r="H311" s="32" t="str">
        <f>IFERROR(VLOOKUP(B311,双一流!$B$2:$D$148,3,FALSE),"")</f>
        <v>双一流</v>
      </c>
      <c r="I311" s="32" t="str">
        <f>IFERROR(VLOOKUP(B311,汇总!$B$2:$I$2921,8,FALSE),"")</f>
        <v>理工</v>
      </c>
      <c r="J311" s="34" t="s">
        <v>11</v>
      </c>
      <c r="K311" s="35" t="s">
        <v>12</v>
      </c>
    </row>
    <row r="312" ht="33.75" spans="1:11">
      <c r="A312" s="29">
        <v>311</v>
      </c>
      <c r="B312" s="29" t="s">
        <v>390</v>
      </c>
      <c r="C312" s="29" t="str">
        <f>VLOOKUP(B312,教育部大学名单!$B$1:$D$2920,3,FALSE)</f>
        <v>江苏省</v>
      </c>
      <c r="D312" s="29" t="s">
        <v>379</v>
      </c>
      <c r="E312" s="29" t="s">
        <v>380</v>
      </c>
      <c r="F312" s="36" t="str">
        <f>IFERROR(VLOOKUP(B312,'985'!$B$2:$D$40,3,FALSE),"")</f>
        <v/>
      </c>
      <c r="G312" s="32" t="str">
        <f>IFERROR(VLOOKUP(B312,'211'!$B$2:$D$116,3,FALSE),"")</f>
        <v/>
      </c>
      <c r="H312" s="32" t="str">
        <f>IFERROR(VLOOKUP(B312,双一流!$B$2:$D$148,3,FALSE),"")</f>
        <v/>
      </c>
      <c r="I312" s="32" t="str">
        <f>IFERROR(VLOOKUP(B312,汇总!$B$2:$I$2921,8,FALSE),"")</f>
        <v>理工</v>
      </c>
      <c r="J312" s="29" t="s">
        <v>11</v>
      </c>
      <c r="K312" s="33" t="s">
        <v>12</v>
      </c>
    </row>
    <row r="313" ht="17.25" spans="1:11">
      <c r="A313" s="34">
        <v>312</v>
      </c>
      <c r="B313" s="34" t="s">
        <v>391</v>
      </c>
      <c r="C313" s="29" t="str">
        <f>VLOOKUP(B313,教育部大学名单!$B$1:$D$2920,3,FALSE)</f>
        <v>江苏省</v>
      </c>
      <c r="D313" s="34" t="s">
        <v>379</v>
      </c>
      <c r="E313" s="34" t="s">
        <v>392</v>
      </c>
      <c r="F313" s="36" t="str">
        <f>IFERROR(VLOOKUP(B313,'985'!$B$2:$D$40,3,FALSE),"")</f>
        <v/>
      </c>
      <c r="G313" s="32" t="str">
        <f>IFERROR(VLOOKUP(B313,'211'!$B$2:$D$116,3,FALSE),"")</f>
        <v/>
      </c>
      <c r="H313" s="32" t="str">
        <f>IFERROR(VLOOKUP(B313,双一流!$B$2:$D$148,3,FALSE),"")</f>
        <v/>
      </c>
      <c r="I313" s="32" t="str">
        <f>IFERROR(VLOOKUP(B313,汇总!$B$2:$I$2921,8,FALSE),"")</f>
        <v>理工</v>
      </c>
      <c r="J313" s="34" t="s">
        <v>11</v>
      </c>
      <c r="K313" s="35" t="s">
        <v>12</v>
      </c>
    </row>
    <row r="314" ht="33.75" spans="1:11">
      <c r="A314" s="29">
        <v>313</v>
      </c>
      <c r="B314" s="29" t="s">
        <v>393</v>
      </c>
      <c r="C314" s="29" t="str">
        <f>VLOOKUP(B314,教育部大学名单!$B$1:$D$2920,3,FALSE)</f>
        <v>江苏省</v>
      </c>
      <c r="D314" s="29" t="s">
        <v>379</v>
      </c>
      <c r="E314" s="29" t="s">
        <v>380</v>
      </c>
      <c r="F314" s="36" t="str">
        <f>IFERROR(VLOOKUP(B314,'985'!$B$2:$D$40,3,FALSE),"")</f>
        <v/>
      </c>
      <c r="G314" s="32" t="str">
        <f>IFERROR(VLOOKUP(B314,'211'!$B$2:$D$116,3,FALSE),"")</f>
        <v/>
      </c>
      <c r="H314" s="32" t="str">
        <f>IFERROR(VLOOKUP(B314,双一流!$B$2:$D$148,3,FALSE),"")</f>
        <v>双一流</v>
      </c>
      <c r="I314" s="32" t="str">
        <f>IFERROR(VLOOKUP(B314,汇总!$B$2:$I$2921,8,FALSE),"")</f>
        <v>理工</v>
      </c>
      <c r="J314" s="29" t="s">
        <v>11</v>
      </c>
      <c r="K314" s="33" t="s">
        <v>12</v>
      </c>
    </row>
    <row r="315" ht="17.25" spans="1:11">
      <c r="A315" s="34">
        <v>314</v>
      </c>
      <c r="B315" s="34" t="s">
        <v>394</v>
      </c>
      <c r="C315" s="29" t="str">
        <f>VLOOKUP(B315,教育部大学名单!$B$1:$D$2920,3,FALSE)</f>
        <v>教育部</v>
      </c>
      <c r="D315" s="34" t="s">
        <v>379</v>
      </c>
      <c r="E315" s="34" t="s">
        <v>380</v>
      </c>
      <c r="F315" s="36" t="str">
        <f>IFERROR(VLOOKUP(B315,'985'!$B$2:$D$40,3,FALSE),"")</f>
        <v/>
      </c>
      <c r="G315" s="31">
        <f>IFERROR(VLOOKUP(B315,'211'!$B$2:$D$116,3,FALSE),"")</f>
        <v>211</v>
      </c>
      <c r="H315" s="32" t="str">
        <f>IFERROR(VLOOKUP(B315,双一流!$B$2:$D$148,3,FALSE),"")</f>
        <v>双一流</v>
      </c>
      <c r="I315" s="32" t="str">
        <f>IFERROR(VLOOKUP(B315,汇总!$B$2:$I$2921,8,FALSE),"")</f>
        <v>理工</v>
      </c>
      <c r="J315" s="34" t="s">
        <v>11</v>
      </c>
      <c r="K315" s="35" t="s">
        <v>12</v>
      </c>
    </row>
    <row r="316" ht="17.25" spans="1:11">
      <c r="A316" s="29">
        <v>315</v>
      </c>
      <c r="B316" s="29" t="s">
        <v>395</v>
      </c>
      <c r="C316" s="29" t="str">
        <f>VLOOKUP(B316,教育部大学名单!$B$1:$D$2920,3,FALSE)</f>
        <v>教育部</v>
      </c>
      <c r="D316" s="29" t="s">
        <v>379</v>
      </c>
      <c r="E316" s="29" t="s">
        <v>396</v>
      </c>
      <c r="F316" s="36" t="str">
        <f>IFERROR(VLOOKUP(B316,'985'!$B$2:$D$40,3,FALSE),"")</f>
        <v/>
      </c>
      <c r="G316" s="31">
        <f>IFERROR(VLOOKUP(B316,'211'!$B$2:$D$116,3,FALSE),"")</f>
        <v>211</v>
      </c>
      <c r="H316" s="32" t="str">
        <f>IFERROR(VLOOKUP(B316,双一流!$B$2:$D$148,3,FALSE),"")</f>
        <v>双一流</v>
      </c>
      <c r="I316" s="32" t="str">
        <f>IFERROR(VLOOKUP(B316,汇总!$B$2:$I$2921,8,FALSE),"")</f>
        <v>综合</v>
      </c>
      <c r="J316" s="29" t="s">
        <v>11</v>
      </c>
      <c r="K316" s="33" t="s">
        <v>12</v>
      </c>
    </row>
    <row r="317" ht="33.75" spans="1:11">
      <c r="A317" s="34">
        <v>316</v>
      </c>
      <c r="B317" s="34" t="s">
        <v>397</v>
      </c>
      <c r="C317" s="29" t="str">
        <f>VLOOKUP(B317,教育部大学名单!$B$1:$D$2920,3,FALSE)</f>
        <v>江苏省</v>
      </c>
      <c r="D317" s="34" t="s">
        <v>379</v>
      </c>
      <c r="E317" s="34" t="s">
        <v>380</v>
      </c>
      <c r="F317" s="36" t="str">
        <f>IFERROR(VLOOKUP(B317,'985'!$B$2:$D$40,3,FALSE),"")</f>
        <v/>
      </c>
      <c r="G317" s="32" t="str">
        <f>IFERROR(VLOOKUP(B317,'211'!$B$2:$D$116,3,FALSE),"")</f>
        <v/>
      </c>
      <c r="H317" s="32" t="str">
        <f>IFERROR(VLOOKUP(B317,双一流!$B$2:$D$148,3,FALSE),"")</f>
        <v>双一流</v>
      </c>
      <c r="I317" s="32" t="str">
        <f>IFERROR(VLOOKUP(B317,汇总!$B$2:$I$2921,8,FALSE),"")</f>
        <v>农林</v>
      </c>
      <c r="J317" s="34" t="s">
        <v>11</v>
      </c>
      <c r="K317" s="35" t="s">
        <v>12</v>
      </c>
    </row>
    <row r="318" ht="17.25" spans="1:11">
      <c r="A318" s="29">
        <v>317</v>
      </c>
      <c r="B318" s="29" t="s">
        <v>398</v>
      </c>
      <c r="C318" s="29" t="str">
        <f>VLOOKUP(B318,教育部大学名单!$B$1:$D$2920,3,FALSE)</f>
        <v>江苏省</v>
      </c>
      <c r="D318" s="29" t="s">
        <v>379</v>
      </c>
      <c r="E318" s="29" t="s">
        <v>387</v>
      </c>
      <c r="F318" s="36" t="str">
        <f>IFERROR(VLOOKUP(B318,'985'!$B$2:$D$40,3,FALSE),"")</f>
        <v/>
      </c>
      <c r="G318" s="32" t="str">
        <f>IFERROR(VLOOKUP(B318,'211'!$B$2:$D$116,3,FALSE),"")</f>
        <v/>
      </c>
      <c r="H318" s="32" t="str">
        <f>IFERROR(VLOOKUP(B318,双一流!$B$2:$D$148,3,FALSE),"")</f>
        <v/>
      </c>
      <c r="I318" s="32" t="str">
        <f>IFERROR(VLOOKUP(B318,汇总!$B$2:$I$2921,8,FALSE),"")</f>
        <v>综合</v>
      </c>
      <c r="J318" s="29" t="s">
        <v>11</v>
      </c>
      <c r="K318" s="33" t="s">
        <v>12</v>
      </c>
    </row>
    <row r="319" ht="33.75" spans="1:11">
      <c r="A319" s="34">
        <v>318</v>
      </c>
      <c r="B319" s="34" t="s">
        <v>399</v>
      </c>
      <c r="C319" s="29" t="str">
        <f>VLOOKUP(B319,教育部大学名单!$B$1:$D$2920,3,FALSE)</f>
        <v>江苏省</v>
      </c>
      <c r="D319" s="34" t="s">
        <v>379</v>
      </c>
      <c r="E319" s="34" t="s">
        <v>380</v>
      </c>
      <c r="F319" s="36" t="str">
        <f>IFERROR(VLOOKUP(B319,'985'!$B$2:$D$40,3,FALSE),"")</f>
        <v/>
      </c>
      <c r="G319" s="32" t="str">
        <f>IFERROR(VLOOKUP(B319,'211'!$B$2:$D$116,3,FALSE),"")</f>
        <v/>
      </c>
      <c r="H319" s="32" t="str">
        <f>IFERROR(VLOOKUP(B319,双一流!$B$2:$D$148,3,FALSE),"")</f>
        <v>双一流</v>
      </c>
      <c r="I319" s="32" t="str">
        <f>IFERROR(VLOOKUP(B319,汇总!$B$2:$I$2921,8,FALSE),"")</f>
        <v>综合</v>
      </c>
      <c r="J319" s="34" t="s">
        <v>11</v>
      </c>
      <c r="K319" s="35" t="s">
        <v>12</v>
      </c>
    </row>
    <row r="320" ht="17.25" spans="1:11">
      <c r="A320" s="29">
        <v>319</v>
      </c>
      <c r="B320" s="29" t="s">
        <v>400</v>
      </c>
      <c r="C320" s="29" t="str">
        <f>VLOOKUP(B320,教育部大学名单!$B$1:$D$2920,3,FALSE)</f>
        <v>江苏省</v>
      </c>
      <c r="D320" s="29" t="s">
        <v>379</v>
      </c>
      <c r="E320" s="29" t="s">
        <v>401</v>
      </c>
      <c r="F320" s="36" t="str">
        <f>IFERROR(VLOOKUP(B320,'985'!$B$2:$D$40,3,FALSE),"")</f>
        <v/>
      </c>
      <c r="G320" s="32" t="str">
        <f>IFERROR(VLOOKUP(B320,'211'!$B$2:$D$116,3,FALSE),"")</f>
        <v/>
      </c>
      <c r="H320" s="32" t="str">
        <f>IFERROR(VLOOKUP(B320,双一流!$B$2:$D$148,3,FALSE),"")</f>
        <v/>
      </c>
      <c r="I320" s="32" t="str">
        <f>IFERROR(VLOOKUP(B320,汇总!$B$2:$I$2921,8,FALSE),"")</f>
        <v>综合</v>
      </c>
      <c r="J320" s="29" t="s">
        <v>11</v>
      </c>
      <c r="K320" s="33" t="s">
        <v>12</v>
      </c>
    </row>
    <row r="321" ht="17.25" spans="1:11">
      <c r="A321" s="34">
        <v>320</v>
      </c>
      <c r="B321" s="34" t="s">
        <v>402</v>
      </c>
      <c r="C321" s="29" t="str">
        <f>VLOOKUP(B321,教育部大学名单!$B$1:$D$2920,3,FALSE)</f>
        <v>江苏省</v>
      </c>
      <c r="D321" s="34" t="s">
        <v>379</v>
      </c>
      <c r="E321" s="34" t="s">
        <v>403</v>
      </c>
      <c r="F321" s="36" t="str">
        <f>IFERROR(VLOOKUP(B321,'985'!$B$2:$D$40,3,FALSE),"")</f>
        <v/>
      </c>
      <c r="G321" s="32" t="str">
        <f>IFERROR(VLOOKUP(B321,'211'!$B$2:$D$116,3,FALSE),"")</f>
        <v/>
      </c>
      <c r="H321" s="32" t="str">
        <f>IFERROR(VLOOKUP(B321,双一流!$B$2:$D$148,3,FALSE),"")</f>
        <v/>
      </c>
      <c r="I321" s="32">
        <f>IFERROR(VLOOKUP(B321,汇总!$B$2:$I$2921,8,FALSE),"")</f>
        <v>0</v>
      </c>
      <c r="J321" s="34" t="s">
        <v>11</v>
      </c>
      <c r="K321" s="35" t="s">
        <v>12</v>
      </c>
    </row>
    <row r="322" ht="33.75" spans="1:11">
      <c r="A322" s="29">
        <v>321</v>
      </c>
      <c r="B322" s="29" t="s">
        <v>404</v>
      </c>
      <c r="C322" s="29" t="str">
        <f>VLOOKUP(B322,教育部大学名单!$B$1:$D$2920,3,FALSE)</f>
        <v>教育部</v>
      </c>
      <c r="D322" s="29" t="s">
        <v>379</v>
      </c>
      <c r="E322" s="29" t="s">
        <v>380</v>
      </c>
      <c r="F322" s="36" t="str">
        <f>IFERROR(VLOOKUP(B322,'985'!$B$2:$D$40,3,FALSE),"")</f>
        <v/>
      </c>
      <c r="G322" s="31">
        <f>IFERROR(VLOOKUP(B322,'211'!$B$2:$D$116,3,FALSE),"")</f>
        <v>211</v>
      </c>
      <c r="H322" s="32" t="str">
        <f>IFERROR(VLOOKUP(B322,双一流!$B$2:$D$148,3,FALSE),"")</f>
        <v>双一流</v>
      </c>
      <c r="I322" s="32" t="str">
        <f>IFERROR(VLOOKUP(B322,汇总!$B$2:$I$2921,8,FALSE),"")</f>
        <v>农林</v>
      </c>
      <c r="J322" s="29" t="s">
        <v>11</v>
      </c>
      <c r="K322" s="33" t="s">
        <v>12</v>
      </c>
    </row>
    <row r="323" ht="33.75" spans="1:11">
      <c r="A323" s="34">
        <v>322</v>
      </c>
      <c r="B323" s="34" t="s">
        <v>405</v>
      </c>
      <c r="C323" s="29" t="str">
        <f>VLOOKUP(B323,教育部大学名单!$B$1:$D$2920,3,FALSE)</f>
        <v>江苏省</v>
      </c>
      <c r="D323" s="34" t="s">
        <v>379</v>
      </c>
      <c r="E323" s="34" t="s">
        <v>380</v>
      </c>
      <c r="F323" s="36" t="str">
        <f>IFERROR(VLOOKUP(B323,'985'!$B$2:$D$40,3,FALSE),"")</f>
        <v/>
      </c>
      <c r="G323" s="32" t="str">
        <f>IFERROR(VLOOKUP(B323,'211'!$B$2:$D$116,3,FALSE),"")</f>
        <v/>
      </c>
      <c r="H323" s="32" t="str">
        <f>IFERROR(VLOOKUP(B323,双一流!$B$2:$D$148,3,FALSE),"")</f>
        <v>双一流</v>
      </c>
      <c r="I323" s="32" t="str">
        <f>IFERROR(VLOOKUP(B323,汇总!$B$2:$I$2921,8,FALSE),"")</f>
        <v>医药</v>
      </c>
      <c r="J323" s="34" t="s">
        <v>11</v>
      </c>
      <c r="K323" s="35" t="s">
        <v>12</v>
      </c>
    </row>
    <row r="324" ht="33.75" spans="1:11">
      <c r="A324" s="29">
        <v>323</v>
      </c>
      <c r="B324" s="29" t="s">
        <v>406</v>
      </c>
      <c r="C324" s="29" t="str">
        <f>VLOOKUP(B324,教育部大学名单!$B$1:$D$2920,3,FALSE)</f>
        <v>江苏省</v>
      </c>
      <c r="D324" s="29" t="s">
        <v>379</v>
      </c>
      <c r="E324" s="29" t="s">
        <v>389</v>
      </c>
      <c r="F324" s="36" t="str">
        <f>IFERROR(VLOOKUP(B324,'985'!$B$2:$D$40,3,FALSE),"")</f>
        <v/>
      </c>
      <c r="G324" s="32" t="str">
        <f>IFERROR(VLOOKUP(B324,'211'!$B$2:$D$116,3,FALSE),"")</f>
        <v/>
      </c>
      <c r="H324" s="32" t="str">
        <f>IFERROR(VLOOKUP(B324,双一流!$B$2:$D$148,3,FALSE),"")</f>
        <v/>
      </c>
      <c r="I324" s="32" t="str">
        <f>IFERROR(VLOOKUP(B324,汇总!$B$2:$I$2921,8,FALSE),"")</f>
        <v>医药</v>
      </c>
      <c r="J324" s="29" t="s">
        <v>11</v>
      </c>
      <c r="K324" s="33" t="s">
        <v>12</v>
      </c>
    </row>
    <row r="325" ht="33.75" spans="1:11">
      <c r="A325" s="34">
        <v>324</v>
      </c>
      <c r="B325" s="34" t="s">
        <v>407</v>
      </c>
      <c r="C325" s="29" t="str">
        <f>VLOOKUP(B325,教育部大学名单!$B$1:$D$2920,3,FALSE)</f>
        <v>江苏省</v>
      </c>
      <c r="D325" s="34" t="s">
        <v>379</v>
      </c>
      <c r="E325" s="34" t="s">
        <v>380</v>
      </c>
      <c r="F325" s="36" t="str">
        <f>IFERROR(VLOOKUP(B325,'985'!$B$2:$D$40,3,FALSE),"")</f>
        <v/>
      </c>
      <c r="G325" s="32" t="str">
        <f>IFERROR(VLOOKUP(B325,'211'!$B$2:$D$116,3,FALSE),"")</f>
        <v/>
      </c>
      <c r="H325" s="32" t="str">
        <f>IFERROR(VLOOKUP(B325,双一流!$B$2:$D$148,3,FALSE),"")</f>
        <v>双一流</v>
      </c>
      <c r="I325" s="32" t="str">
        <f>IFERROR(VLOOKUP(B325,汇总!$B$2:$I$2921,8,FALSE),"")</f>
        <v>医药</v>
      </c>
      <c r="J325" s="34" t="s">
        <v>11</v>
      </c>
      <c r="K325" s="35" t="s">
        <v>12</v>
      </c>
    </row>
    <row r="326" ht="33.75" spans="1:11">
      <c r="A326" s="29">
        <v>325</v>
      </c>
      <c r="B326" s="29" t="s">
        <v>408</v>
      </c>
      <c r="C326" s="29" t="str">
        <f>VLOOKUP(B326,教育部大学名单!$B$1:$D$2920,3,FALSE)</f>
        <v>教育部</v>
      </c>
      <c r="D326" s="29" t="s">
        <v>379</v>
      </c>
      <c r="E326" s="29" t="s">
        <v>380</v>
      </c>
      <c r="F326" s="36" t="str">
        <f>IFERROR(VLOOKUP(B326,'985'!$B$2:$D$40,3,FALSE),"")</f>
        <v/>
      </c>
      <c r="G326" s="31">
        <f>IFERROR(VLOOKUP(B326,'211'!$B$2:$D$116,3,FALSE),"")</f>
        <v>211</v>
      </c>
      <c r="H326" s="32" t="str">
        <f>IFERROR(VLOOKUP(B326,双一流!$B$2:$D$148,3,FALSE),"")</f>
        <v>双一流</v>
      </c>
      <c r="I326" s="32" t="str">
        <f>IFERROR(VLOOKUP(B326,汇总!$B$2:$I$2921,8,FALSE),"")</f>
        <v>医药</v>
      </c>
      <c r="J326" s="29" t="s">
        <v>11</v>
      </c>
      <c r="K326" s="33" t="s">
        <v>12</v>
      </c>
    </row>
    <row r="327" ht="33.75" spans="1:11">
      <c r="A327" s="34">
        <v>326</v>
      </c>
      <c r="B327" s="34" t="s">
        <v>409</v>
      </c>
      <c r="C327" s="29" t="str">
        <f>VLOOKUP(B327,教育部大学名单!$B$1:$D$2920,3,FALSE)</f>
        <v>江苏省</v>
      </c>
      <c r="D327" s="34" t="s">
        <v>379</v>
      </c>
      <c r="E327" s="34" t="s">
        <v>380</v>
      </c>
      <c r="F327" s="36" t="str">
        <f>IFERROR(VLOOKUP(B327,'985'!$B$2:$D$40,3,FALSE),"")</f>
        <v/>
      </c>
      <c r="G327" s="31">
        <f>IFERROR(VLOOKUP(B327,'211'!$B$2:$D$116,3,FALSE),"")</f>
        <v>211</v>
      </c>
      <c r="H327" s="32" t="str">
        <f>IFERROR(VLOOKUP(B327,双一流!$B$2:$D$148,3,FALSE),"")</f>
        <v>双一流</v>
      </c>
      <c r="I327" s="32" t="str">
        <f>IFERROR(VLOOKUP(B327,汇总!$B$2:$I$2921,8,FALSE),"")</f>
        <v>师范</v>
      </c>
      <c r="J327" s="34" t="s">
        <v>11</v>
      </c>
      <c r="K327" s="35" t="s">
        <v>12</v>
      </c>
    </row>
    <row r="328" ht="33.75" spans="1:11">
      <c r="A328" s="29">
        <v>327</v>
      </c>
      <c r="B328" s="29" t="s">
        <v>410</v>
      </c>
      <c r="C328" s="29" t="str">
        <f>VLOOKUP(B328,教育部大学名单!$B$1:$D$2920,3,FALSE)</f>
        <v>江苏省</v>
      </c>
      <c r="D328" s="29" t="s">
        <v>379</v>
      </c>
      <c r="E328" s="29" t="s">
        <v>389</v>
      </c>
      <c r="F328" s="36" t="str">
        <f>IFERROR(VLOOKUP(B328,'985'!$B$2:$D$40,3,FALSE),"")</f>
        <v/>
      </c>
      <c r="G328" s="32" t="str">
        <f>IFERROR(VLOOKUP(B328,'211'!$B$2:$D$116,3,FALSE),"")</f>
        <v/>
      </c>
      <c r="H328" s="32" t="str">
        <f>IFERROR(VLOOKUP(B328,双一流!$B$2:$D$148,3,FALSE),"")</f>
        <v/>
      </c>
      <c r="I328" s="32" t="str">
        <f>IFERROR(VLOOKUP(B328,汇总!$B$2:$I$2921,8,FALSE),"")</f>
        <v>师范</v>
      </c>
      <c r="J328" s="29" t="s">
        <v>11</v>
      </c>
      <c r="K328" s="33" t="s">
        <v>12</v>
      </c>
    </row>
    <row r="329" ht="33.75" spans="1:11">
      <c r="A329" s="34">
        <v>328</v>
      </c>
      <c r="B329" s="34" t="s">
        <v>411</v>
      </c>
      <c r="C329" s="29" t="str">
        <f>VLOOKUP(B329,教育部大学名单!$B$1:$D$2920,3,FALSE)</f>
        <v>江苏省</v>
      </c>
      <c r="D329" s="34" t="s">
        <v>379</v>
      </c>
      <c r="E329" s="34" t="s">
        <v>412</v>
      </c>
      <c r="F329" s="36" t="str">
        <f>IFERROR(VLOOKUP(B329,'985'!$B$2:$D$40,3,FALSE),"")</f>
        <v/>
      </c>
      <c r="G329" s="32" t="str">
        <f>IFERROR(VLOOKUP(B329,'211'!$B$2:$D$116,3,FALSE),"")</f>
        <v/>
      </c>
      <c r="H329" s="32" t="str">
        <f>IFERROR(VLOOKUP(B329,双一流!$B$2:$D$148,3,FALSE),"")</f>
        <v/>
      </c>
      <c r="I329" s="32">
        <f>IFERROR(VLOOKUP(B329,汇总!$B$2:$I$2921,8,FALSE),"")</f>
        <v>0</v>
      </c>
      <c r="J329" s="34" t="s">
        <v>11</v>
      </c>
      <c r="K329" s="35" t="s">
        <v>12</v>
      </c>
    </row>
    <row r="330" ht="33.75" spans="1:11">
      <c r="A330" s="29">
        <v>329</v>
      </c>
      <c r="B330" s="29" t="s">
        <v>413</v>
      </c>
      <c r="C330" s="29" t="str">
        <f>VLOOKUP(B330,教育部大学名单!$B$1:$D$2920,3,FALSE)</f>
        <v>江苏省</v>
      </c>
      <c r="D330" s="29" t="s">
        <v>379</v>
      </c>
      <c r="E330" s="29" t="s">
        <v>403</v>
      </c>
      <c r="F330" s="36" t="str">
        <f>IFERROR(VLOOKUP(B330,'985'!$B$2:$D$40,3,FALSE),"")</f>
        <v/>
      </c>
      <c r="G330" s="32" t="str">
        <f>IFERROR(VLOOKUP(B330,'211'!$B$2:$D$116,3,FALSE),"")</f>
        <v/>
      </c>
      <c r="H330" s="32" t="str">
        <f>IFERROR(VLOOKUP(B330,双一流!$B$2:$D$148,3,FALSE),"")</f>
        <v/>
      </c>
      <c r="I330" s="32">
        <f>IFERROR(VLOOKUP(B330,汇总!$B$2:$I$2921,8,FALSE),"")</f>
        <v>0</v>
      </c>
      <c r="J330" s="29" t="s">
        <v>11</v>
      </c>
      <c r="K330" s="33" t="s">
        <v>12</v>
      </c>
    </row>
    <row r="331" ht="33.75" spans="1:11">
      <c r="A331" s="34">
        <v>330</v>
      </c>
      <c r="B331" s="34" t="s">
        <v>414</v>
      </c>
      <c r="C331" s="29" t="str">
        <f>VLOOKUP(B331,教育部大学名单!$B$1:$D$2920,3,FALSE)</f>
        <v>江苏省</v>
      </c>
      <c r="D331" s="34" t="s">
        <v>379</v>
      </c>
      <c r="E331" s="34" t="s">
        <v>380</v>
      </c>
      <c r="F331" s="36" t="str">
        <f>IFERROR(VLOOKUP(B331,'985'!$B$2:$D$40,3,FALSE),"")</f>
        <v/>
      </c>
      <c r="G331" s="32" t="str">
        <f>IFERROR(VLOOKUP(B331,'211'!$B$2:$D$116,3,FALSE),"")</f>
        <v/>
      </c>
      <c r="H331" s="32" t="str">
        <f>IFERROR(VLOOKUP(B331,双一流!$B$2:$D$148,3,FALSE),"")</f>
        <v/>
      </c>
      <c r="I331" s="32" t="str">
        <f>IFERROR(VLOOKUP(B331,汇总!$B$2:$I$2921,8,FALSE),"")</f>
        <v>财经</v>
      </c>
      <c r="J331" s="34" t="s">
        <v>11</v>
      </c>
      <c r="K331" s="35" t="s">
        <v>12</v>
      </c>
    </row>
    <row r="332" ht="33.75" spans="1:11">
      <c r="A332" s="29">
        <v>331</v>
      </c>
      <c r="B332" s="29" t="s">
        <v>415</v>
      </c>
      <c r="C332" s="29" t="str">
        <f>VLOOKUP(B332,教育部大学名单!$B$1:$D$2920,3,FALSE)</f>
        <v>江苏省</v>
      </c>
      <c r="D332" s="29" t="s">
        <v>379</v>
      </c>
      <c r="E332" s="29" t="s">
        <v>380</v>
      </c>
      <c r="F332" s="36" t="str">
        <f>IFERROR(VLOOKUP(B332,'985'!$B$2:$D$40,3,FALSE),"")</f>
        <v/>
      </c>
      <c r="G332" s="32" t="str">
        <f>IFERROR(VLOOKUP(B332,'211'!$B$2:$D$116,3,FALSE),"")</f>
        <v/>
      </c>
      <c r="H332" s="32" t="str">
        <f>IFERROR(VLOOKUP(B332,双一流!$B$2:$D$148,3,FALSE),"")</f>
        <v/>
      </c>
      <c r="I332" s="32">
        <f>IFERROR(VLOOKUP(B332,汇总!$B$2:$I$2921,8,FALSE),"")</f>
        <v>0</v>
      </c>
      <c r="J332" s="29" t="s">
        <v>11</v>
      </c>
      <c r="K332" s="33" t="s">
        <v>12</v>
      </c>
    </row>
    <row r="333" ht="33.75" spans="1:11">
      <c r="A333" s="34">
        <v>332</v>
      </c>
      <c r="B333" s="34" t="s">
        <v>416</v>
      </c>
      <c r="C333" s="29" t="str">
        <f>VLOOKUP(B333,教育部大学名单!$B$1:$D$2920,3,FALSE)</f>
        <v>江苏省</v>
      </c>
      <c r="D333" s="34" t="s">
        <v>379</v>
      </c>
      <c r="E333" s="34" t="s">
        <v>380</v>
      </c>
      <c r="F333" s="36" t="str">
        <f>IFERROR(VLOOKUP(B333,'985'!$B$2:$D$40,3,FALSE),"")</f>
        <v/>
      </c>
      <c r="G333" s="32" t="str">
        <f>IFERROR(VLOOKUP(B333,'211'!$B$2:$D$116,3,FALSE),"")</f>
        <v/>
      </c>
      <c r="H333" s="32" t="str">
        <f>IFERROR(VLOOKUP(B333,双一流!$B$2:$D$148,3,FALSE),"")</f>
        <v/>
      </c>
      <c r="I333" s="32">
        <f>IFERROR(VLOOKUP(B333,汇总!$B$2:$I$2921,8,FALSE),"")</f>
        <v>0</v>
      </c>
      <c r="J333" s="34" t="s">
        <v>11</v>
      </c>
      <c r="K333" s="35" t="s">
        <v>12</v>
      </c>
    </row>
    <row r="334" ht="33.75" spans="1:11">
      <c r="A334" s="29">
        <v>333</v>
      </c>
      <c r="B334" s="29" t="s">
        <v>417</v>
      </c>
      <c r="C334" s="29" t="str">
        <f>VLOOKUP(B334,教育部大学名单!$B$1:$D$2920,3,FALSE)</f>
        <v>江苏省</v>
      </c>
      <c r="D334" s="29" t="s">
        <v>379</v>
      </c>
      <c r="E334" s="29" t="s">
        <v>380</v>
      </c>
      <c r="F334" s="36" t="str">
        <f>IFERROR(VLOOKUP(B334,'985'!$B$2:$D$40,3,FALSE),"")</f>
        <v/>
      </c>
      <c r="G334" s="32" t="str">
        <f>IFERROR(VLOOKUP(B334,'211'!$B$2:$D$116,3,FALSE),"")</f>
        <v/>
      </c>
      <c r="H334" s="32" t="str">
        <f>IFERROR(VLOOKUP(B334,双一流!$B$2:$D$148,3,FALSE),"")</f>
        <v/>
      </c>
      <c r="I334" s="32" t="str">
        <f>IFERROR(VLOOKUP(B334,汇总!$B$2:$I$2921,8,FALSE),"")</f>
        <v>艺术</v>
      </c>
      <c r="J334" s="29" t="s">
        <v>11</v>
      </c>
      <c r="K334" s="33" t="s">
        <v>12</v>
      </c>
    </row>
    <row r="335" ht="33.75" spans="1:11">
      <c r="A335" s="34">
        <v>334</v>
      </c>
      <c r="B335" s="34" t="s">
        <v>418</v>
      </c>
      <c r="C335" s="29" t="str">
        <f>VLOOKUP(B335,教育部大学名单!$B$1:$D$2920,3,FALSE)</f>
        <v>江苏省</v>
      </c>
      <c r="D335" s="34" t="s">
        <v>379</v>
      </c>
      <c r="E335" s="34" t="s">
        <v>382</v>
      </c>
      <c r="F335" s="36" t="str">
        <f>IFERROR(VLOOKUP(B335,'985'!$B$2:$D$40,3,FALSE),"")</f>
        <v/>
      </c>
      <c r="G335" s="32" t="str">
        <f>IFERROR(VLOOKUP(B335,'211'!$B$2:$D$116,3,FALSE),"")</f>
        <v/>
      </c>
      <c r="H335" s="32" t="str">
        <f>IFERROR(VLOOKUP(B335,双一流!$B$2:$D$148,3,FALSE),"")</f>
        <v/>
      </c>
      <c r="I335" s="32" t="str">
        <f>IFERROR(VLOOKUP(B335,汇总!$B$2:$I$2921,8,FALSE),"")</f>
        <v>理工</v>
      </c>
      <c r="J335" s="34" t="s">
        <v>11</v>
      </c>
      <c r="K335" s="35" t="s">
        <v>12</v>
      </c>
    </row>
    <row r="336" ht="17.25" spans="1:11">
      <c r="A336" s="29">
        <v>335</v>
      </c>
      <c r="B336" s="29" t="s">
        <v>419</v>
      </c>
      <c r="C336" s="29" t="str">
        <f>VLOOKUP(B336,教育部大学名单!$B$1:$D$2920,3,FALSE)</f>
        <v>江苏省</v>
      </c>
      <c r="D336" s="29" t="s">
        <v>379</v>
      </c>
      <c r="E336" s="29" t="s">
        <v>382</v>
      </c>
      <c r="F336" s="36" t="str">
        <f>IFERROR(VLOOKUP(B336,'985'!$B$2:$D$40,3,FALSE),"")</f>
        <v/>
      </c>
      <c r="G336" s="32" t="str">
        <f>IFERROR(VLOOKUP(B336,'211'!$B$2:$D$116,3,FALSE),"")</f>
        <v/>
      </c>
      <c r="H336" s="32" t="str">
        <f>IFERROR(VLOOKUP(B336,双一流!$B$2:$D$148,3,FALSE),"")</f>
        <v/>
      </c>
      <c r="I336" s="32" t="str">
        <f>IFERROR(VLOOKUP(B336,汇总!$B$2:$I$2921,8,FALSE),"")</f>
        <v/>
      </c>
      <c r="J336" s="29" t="s">
        <v>11</v>
      </c>
      <c r="K336" s="33" t="s">
        <v>12</v>
      </c>
    </row>
    <row r="337" ht="33.75" spans="1:11">
      <c r="A337" s="34">
        <v>336</v>
      </c>
      <c r="B337" s="34" t="s">
        <v>420</v>
      </c>
      <c r="C337" s="29" t="str">
        <f>VLOOKUP(B337,教育部大学名单!$B$1:$D$2920,3,FALSE)</f>
        <v>江苏省</v>
      </c>
      <c r="D337" s="34" t="s">
        <v>379</v>
      </c>
      <c r="E337" s="34" t="s">
        <v>380</v>
      </c>
      <c r="F337" s="36" t="str">
        <f>IFERROR(VLOOKUP(B337,'985'!$B$2:$D$40,3,FALSE),"")</f>
        <v/>
      </c>
      <c r="G337" s="32" t="str">
        <f>IFERROR(VLOOKUP(B337,'211'!$B$2:$D$116,3,FALSE),"")</f>
        <v/>
      </c>
      <c r="H337" s="32" t="str">
        <f>IFERROR(VLOOKUP(B337,双一流!$B$2:$D$148,3,FALSE),"")</f>
        <v/>
      </c>
      <c r="I337" s="32">
        <f>IFERROR(VLOOKUP(B337,汇总!$B$2:$I$2921,8,FALSE),"")</f>
        <v>0</v>
      </c>
      <c r="J337" s="34" t="s">
        <v>11</v>
      </c>
      <c r="K337" s="35" t="s">
        <v>12</v>
      </c>
    </row>
    <row r="338" ht="17.25" spans="1:11">
      <c r="A338" s="29">
        <v>337</v>
      </c>
      <c r="B338" s="29" t="s">
        <v>421</v>
      </c>
      <c r="C338" s="29" t="e">
        <f>VLOOKUP(B338,教育部大学名单!$B$1:$D$2920,3,FALSE)</f>
        <v>#N/A</v>
      </c>
      <c r="D338" s="29" t="s">
        <v>379</v>
      </c>
      <c r="E338" s="29" t="s">
        <v>412</v>
      </c>
      <c r="F338" s="36" t="str">
        <f>IFERROR(VLOOKUP(B338,'985'!$B$2:$D$40,3,FALSE),"")</f>
        <v/>
      </c>
      <c r="G338" s="32" t="str">
        <f>IFERROR(VLOOKUP(B338,'211'!$B$2:$D$116,3,FALSE),"")</f>
        <v/>
      </c>
      <c r="H338" s="32" t="str">
        <f>IFERROR(VLOOKUP(B338,双一流!$B$2:$D$148,3,FALSE),"")</f>
        <v/>
      </c>
      <c r="I338" s="32" t="str">
        <f>IFERROR(VLOOKUP(B338,汇总!$B$2:$I$2921,8,FALSE),"")</f>
        <v/>
      </c>
      <c r="J338" s="29" t="s">
        <v>11</v>
      </c>
      <c r="K338" s="33" t="s">
        <v>12</v>
      </c>
    </row>
    <row r="339" ht="17.25" spans="1:11">
      <c r="A339" s="34">
        <v>338</v>
      </c>
      <c r="B339" s="34" t="s">
        <v>422</v>
      </c>
      <c r="C339" s="29" t="str">
        <f>VLOOKUP(B339,教育部大学名单!$B$1:$D$2920,3,FALSE)</f>
        <v>江苏省</v>
      </c>
      <c r="D339" s="34" t="s">
        <v>379</v>
      </c>
      <c r="E339" s="34" t="s">
        <v>392</v>
      </c>
      <c r="F339" s="36" t="str">
        <f>IFERROR(VLOOKUP(B339,'985'!$B$2:$D$40,3,FALSE),"")</f>
        <v/>
      </c>
      <c r="G339" s="32" t="str">
        <f>IFERROR(VLOOKUP(B339,'211'!$B$2:$D$116,3,FALSE),"")</f>
        <v/>
      </c>
      <c r="H339" s="32" t="str">
        <f>IFERROR(VLOOKUP(B339,双一流!$B$2:$D$148,3,FALSE),"")</f>
        <v/>
      </c>
      <c r="I339" s="32">
        <f>IFERROR(VLOOKUP(B339,汇总!$B$2:$I$2921,8,FALSE),"")</f>
        <v>0</v>
      </c>
      <c r="J339" s="34" t="s">
        <v>11</v>
      </c>
      <c r="K339" s="35" t="s">
        <v>12</v>
      </c>
    </row>
    <row r="340" ht="17.25" spans="1:11">
      <c r="A340" s="29">
        <v>339</v>
      </c>
      <c r="B340" s="29" t="s">
        <v>423</v>
      </c>
      <c r="C340" s="29" t="str">
        <f>VLOOKUP(B340,教育部大学名单!$B$1:$D$2920,3,FALSE)</f>
        <v>江苏省</v>
      </c>
      <c r="D340" s="29" t="s">
        <v>379</v>
      </c>
      <c r="E340" s="29" t="s">
        <v>424</v>
      </c>
      <c r="F340" s="36" t="str">
        <f>IFERROR(VLOOKUP(B340,'985'!$B$2:$D$40,3,FALSE),"")</f>
        <v/>
      </c>
      <c r="G340" s="32" t="str">
        <f>IFERROR(VLOOKUP(B340,'211'!$B$2:$D$116,3,FALSE),"")</f>
        <v/>
      </c>
      <c r="H340" s="32" t="str">
        <f>IFERROR(VLOOKUP(B340,双一流!$B$2:$D$148,3,FALSE),"")</f>
        <v/>
      </c>
      <c r="I340" s="32" t="str">
        <f>IFERROR(VLOOKUP(B340,汇总!$B$2:$I$2921,8,FALSE),"")</f>
        <v>综合</v>
      </c>
      <c r="J340" s="29" t="s">
        <v>11</v>
      </c>
      <c r="K340" s="33" t="s">
        <v>12</v>
      </c>
    </row>
    <row r="341" ht="33.75" spans="1:11">
      <c r="A341" s="34">
        <v>340</v>
      </c>
      <c r="B341" s="34" t="s">
        <v>425</v>
      </c>
      <c r="C341" s="29" t="str">
        <f>VLOOKUP(B341,教育部大学名单!$B$1:$D$2920,3,FALSE)</f>
        <v>江苏省</v>
      </c>
      <c r="D341" s="34" t="s">
        <v>379</v>
      </c>
      <c r="E341" s="34" t="s">
        <v>380</v>
      </c>
      <c r="F341" s="36" t="str">
        <f>IFERROR(VLOOKUP(B341,'985'!$B$2:$D$40,3,FALSE),"")</f>
        <v/>
      </c>
      <c r="G341" s="32" t="str">
        <f>IFERROR(VLOOKUP(B341,'211'!$B$2:$D$116,3,FALSE),"")</f>
        <v/>
      </c>
      <c r="H341" s="32" t="str">
        <f>IFERROR(VLOOKUP(B341,双一流!$B$2:$D$148,3,FALSE),"")</f>
        <v/>
      </c>
      <c r="I341" s="32" t="str">
        <f>IFERROR(VLOOKUP(B341,汇总!$B$2:$I$2921,8,FALSE),"")</f>
        <v>理工</v>
      </c>
      <c r="J341" s="34" t="s">
        <v>11</v>
      </c>
      <c r="K341" s="35" t="s">
        <v>12</v>
      </c>
    </row>
    <row r="342" ht="33.75" spans="1:11">
      <c r="A342" s="29">
        <v>341</v>
      </c>
      <c r="B342" s="29" t="s">
        <v>426</v>
      </c>
      <c r="C342" s="29" t="str">
        <f>VLOOKUP(B342,教育部大学名单!$B$1:$D$2920,3,FALSE)</f>
        <v>江苏省</v>
      </c>
      <c r="D342" s="29" t="s">
        <v>379</v>
      </c>
      <c r="E342" s="29" t="s">
        <v>380</v>
      </c>
      <c r="F342" s="36" t="str">
        <f>IFERROR(VLOOKUP(B342,'985'!$B$2:$D$40,3,FALSE),"")</f>
        <v/>
      </c>
      <c r="G342" s="32" t="str">
        <f>IFERROR(VLOOKUP(B342,'211'!$B$2:$D$116,3,FALSE),"")</f>
        <v/>
      </c>
      <c r="H342" s="32" t="str">
        <f>IFERROR(VLOOKUP(B342,双一流!$B$2:$D$148,3,FALSE),"")</f>
        <v/>
      </c>
      <c r="I342" s="32" t="str">
        <f>IFERROR(VLOOKUP(B342,汇总!$B$2:$I$2921,8,FALSE),"")</f>
        <v>财经</v>
      </c>
      <c r="J342" s="29" t="s">
        <v>11</v>
      </c>
      <c r="K342" s="33" t="s">
        <v>12</v>
      </c>
    </row>
    <row r="343" ht="33.75" spans="1:11">
      <c r="A343" s="34">
        <v>342</v>
      </c>
      <c r="B343" s="34" t="s">
        <v>427</v>
      </c>
      <c r="C343" s="29" t="str">
        <f>VLOOKUP(B343,教育部大学名单!$B$1:$D$2920,3,FALSE)</f>
        <v>江苏省</v>
      </c>
      <c r="D343" s="34" t="s">
        <v>379</v>
      </c>
      <c r="E343" s="34" t="s">
        <v>380</v>
      </c>
      <c r="F343" s="36" t="str">
        <f>IFERROR(VLOOKUP(B343,'985'!$B$2:$D$40,3,FALSE),"")</f>
        <v/>
      </c>
      <c r="G343" s="32" t="str">
        <f>IFERROR(VLOOKUP(B343,'211'!$B$2:$D$116,3,FALSE),"")</f>
        <v/>
      </c>
      <c r="H343" s="32" t="str">
        <f>IFERROR(VLOOKUP(B343,双一流!$B$2:$D$148,3,FALSE),"")</f>
        <v/>
      </c>
      <c r="I343" s="32">
        <f>IFERROR(VLOOKUP(B343,汇总!$B$2:$I$2921,8,FALSE),"")</f>
        <v>0</v>
      </c>
      <c r="J343" s="34" t="s">
        <v>11</v>
      </c>
      <c r="K343" s="35" t="s">
        <v>12</v>
      </c>
    </row>
    <row r="344" ht="33.75" spans="1:11">
      <c r="A344" s="29">
        <v>343</v>
      </c>
      <c r="B344" s="29" t="s">
        <v>428</v>
      </c>
      <c r="C344" s="29" t="str">
        <f>VLOOKUP(B344,教育部大学名单!$B$1:$D$2920,3,FALSE)</f>
        <v>江苏省</v>
      </c>
      <c r="D344" s="29" t="s">
        <v>379</v>
      </c>
      <c r="E344" s="29" t="s">
        <v>392</v>
      </c>
      <c r="F344" s="36" t="str">
        <f>IFERROR(VLOOKUP(B344,'985'!$B$2:$D$40,3,FALSE),"")</f>
        <v/>
      </c>
      <c r="G344" s="32" t="str">
        <f>IFERROR(VLOOKUP(B344,'211'!$B$2:$D$116,3,FALSE),"")</f>
        <v/>
      </c>
      <c r="H344" s="32" t="str">
        <f>IFERROR(VLOOKUP(B344,双一流!$B$2:$D$148,3,FALSE),"")</f>
        <v/>
      </c>
      <c r="I344" s="32">
        <f>IFERROR(VLOOKUP(B344,汇总!$B$2:$I$2921,8,FALSE),"")</f>
        <v>0</v>
      </c>
      <c r="J344" s="29" t="s">
        <v>11</v>
      </c>
      <c r="K344" s="33" t="s">
        <v>12</v>
      </c>
    </row>
    <row r="345" ht="33.75" spans="1:11">
      <c r="A345" s="34">
        <v>344</v>
      </c>
      <c r="B345" s="34" t="s">
        <v>429</v>
      </c>
      <c r="C345" s="29" t="str">
        <f>VLOOKUP(B345,教育部大学名单!$B$1:$D$2920,3,FALSE)</f>
        <v>江苏省</v>
      </c>
      <c r="D345" s="34" t="s">
        <v>379</v>
      </c>
      <c r="E345" s="34" t="s">
        <v>430</v>
      </c>
      <c r="F345" s="36" t="str">
        <f>IFERROR(VLOOKUP(B345,'985'!$B$2:$D$40,3,FALSE),"")</f>
        <v/>
      </c>
      <c r="G345" s="32" t="str">
        <f>IFERROR(VLOOKUP(B345,'211'!$B$2:$D$116,3,FALSE),"")</f>
        <v/>
      </c>
      <c r="H345" s="32" t="str">
        <f>IFERROR(VLOOKUP(B345,双一流!$B$2:$D$148,3,FALSE),"")</f>
        <v/>
      </c>
      <c r="I345" s="32">
        <f>IFERROR(VLOOKUP(B345,汇总!$B$2:$I$2921,8,FALSE),"")</f>
        <v>0</v>
      </c>
      <c r="J345" s="34" t="s">
        <v>11</v>
      </c>
      <c r="K345" s="35" t="s">
        <v>12</v>
      </c>
    </row>
    <row r="346" ht="33.75" spans="1:11">
      <c r="A346" s="29">
        <v>345</v>
      </c>
      <c r="B346" s="29" t="s">
        <v>431</v>
      </c>
      <c r="C346" s="29" t="str">
        <f>VLOOKUP(B346,教育部大学名单!$B$1:$D$2920,3,FALSE)</f>
        <v>江苏省</v>
      </c>
      <c r="D346" s="29" t="s">
        <v>379</v>
      </c>
      <c r="E346" s="29" t="s">
        <v>389</v>
      </c>
      <c r="F346" s="36" t="str">
        <f>IFERROR(VLOOKUP(B346,'985'!$B$2:$D$40,3,FALSE),"")</f>
        <v/>
      </c>
      <c r="G346" s="32" t="str">
        <f>IFERROR(VLOOKUP(B346,'211'!$B$2:$D$116,3,FALSE),"")</f>
        <v/>
      </c>
      <c r="H346" s="32" t="str">
        <f>IFERROR(VLOOKUP(B346,双一流!$B$2:$D$148,3,FALSE),"")</f>
        <v/>
      </c>
      <c r="I346" s="32">
        <f>IFERROR(VLOOKUP(B346,汇总!$B$2:$I$2921,8,FALSE),"")</f>
        <v>0</v>
      </c>
      <c r="J346" s="29" t="s">
        <v>11</v>
      </c>
      <c r="K346" s="33" t="s">
        <v>12</v>
      </c>
    </row>
    <row r="347" ht="33.75" spans="1:11">
      <c r="A347" s="34">
        <v>346</v>
      </c>
      <c r="B347" s="34" t="s">
        <v>432</v>
      </c>
      <c r="C347" s="29" t="str">
        <f>VLOOKUP(B347,教育部大学名单!$B$1:$D$2920,3,FALSE)</f>
        <v>江苏省</v>
      </c>
      <c r="D347" s="34" t="s">
        <v>379</v>
      </c>
      <c r="E347" s="34" t="s">
        <v>380</v>
      </c>
      <c r="F347" s="36" t="str">
        <f>IFERROR(VLOOKUP(B347,'985'!$B$2:$D$40,3,FALSE),"")</f>
        <v/>
      </c>
      <c r="G347" s="32" t="str">
        <f>IFERROR(VLOOKUP(B347,'211'!$B$2:$D$116,3,FALSE),"")</f>
        <v/>
      </c>
      <c r="H347" s="32" t="str">
        <f>IFERROR(VLOOKUP(B347,双一流!$B$2:$D$148,3,FALSE),"")</f>
        <v/>
      </c>
      <c r="I347" s="32">
        <f>IFERROR(VLOOKUP(B347,汇总!$B$2:$I$2921,8,FALSE),"")</f>
        <v>0</v>
      </c>
      <c r="J347" s="34" t="s">
        <v>11</v>
      </c>
      <c r="K347" s="35" t="s">
        <v>12</v>
      </c>
    </row>
    <row r="348" ht="33.75" spans="1:11">
      <c r="A348" s="29">
        <v>347</v>
      </c>
      <c r="B348" s="29" t="s">
        <v>433</v>
      </c>
      <c r="C348" s="29" t="str">
        <f>VLOOKUP(B348,教育部大学名单!$B$1:$D$2920,3,FALSE)</f>
        <v>公安部</v>
      </c>
      <c r="D348" s="29" t="s">
        <v>379</v>
      </c>
      <c r="E348" s="29" t="s">
        <v>380</v>
      </c>
      <c r="F348" s="36" t="str">
        <f>IFERROR(VLOOKUP(B348,'985'!$B$2:$D$40,3,FALSE),"")</f>
        <v/>
      </c>
      <c r="G348" s="32" t="str">
        <f>IFERROR(VLOOKUP(B348,'211'!$B$2:$D$116,3,FALSE),"")</f>
        <v/>
      </c>
      <c r="H348" s="32" t="str">
        <f>IFERROR(VLOOKUP(B348,双一流!$B$2:$D$148,3,FALSE),"")</f>
        <v/>
      </c>
      <c r="I348" s="32">
        <f>IFERROR(VLOOKUP(B348,汇总!$B$2:$I$2921,8,FALSE),"")</f>
        <v>0</v>
      </c>
      <c r="J348" s="29" t="s">
        <v>11</v>
      </c>
      <c r="K348" s="33" t="s">
        <v>12</v>
      </c>
    </row>
    <row r="349" ht="17.25" spans="1:11">
      <c r="A349" s="34">
        <v>348</v>
      </c>
      <c r="B349" s="34" t="s">
        <v>434</v>
      </c>
      <c r="C349" s="29" t="str">
        <f>VLOOKUP(B349,教育部大学名单!$B$1:$D$2920,3,FALSE)</f>
        <v>江苏省</v>
      </c>
      <c r="D349" s="34" t="s">
        <v>379</v>
      </c>
      <c r="E349" s="34" t="s">
        <v>435</v>
      </c>
      <c r="F349" s="36" t="str">
        <f>IFERROR(VLOOKUP(B349,'985'!$B$2:$D$40,3,FALSE),"")</f>
        <v/>
      </c>
      <c r="G349" s="32" t="str">
        <f>IFERROR(VLOOKUP(B349,'211'!$B$2:$D$116,3,FALSE),"")</f>
        <v/>
      </c>
      <c r="H349" s="32" t="str">
        <f>IFERROR(VLOOKUP(B349,双一流!$B$2:$D$148,3,FALSE),"")</f>
        <v/>
      </c>
      <c r="I349" s="32">
        <f>IFERROR(VLOOKUP(B349,汇总!$B$2:$I$2921,8,FALSE),"")</f>
        <v>0</v>
      </c>
      <c r="J349" s="34" t="s">
        <v>11</v>
      </c>
      <c r="K349" s="35" t="s">
        <v>12</v>
      </c>
    </row>
    <row r="350" ht="33.75" spans="1:11">
      <c r="A350" s="29">
        <v>349</v>
      </c>
      <c r="B350" s="29" t="s">
        <v>436</v>
      </c>
      <c r="C350" s="29" t="str">
        <f>VLOOKUP(B350,教育部大学名单!$B$1:$D$2920,3,FALSE)</f>
        <v>江苏省</v>
      </c>
      <c r="D350" s="29" t="s">
        <v>379</v>
      </c>
      <c r="E350" s="29" t="s">
        <v>380</v>
      </c>
      <c r="F350" s="36" t="str">
        <f>IFERROR(VLOOKUP(B350,'985'!$B$2:$D$40,3,FALSE),"")</f>
        <v/>
      </c>
      <c r="G350" s="32" t="str">
        <f>IFERROR(VLOOKUP(B350,'211'!$B$2:$D$116,3,FALSE),"")</f>
        <v/>
      </c>
      <c r="H350" s="32" t="str">
        <f>IFERROR(VLOOKUP(B350,双一流!$B$2:$D$148,3,FALSE),"")</f>
        <v/>
      </c>
      <c r="I350" s="32">
        <f>IFERROR(VLOOKUP(B350,汇总!$B$2:$I$2921,8,FALSE),"")</f>
        <v>0</v>
      </c>
      <c r="J350" s="29" t="s">
        <v>11</v>
      </c>
      <c r="K350" s="33" t="s">
        <v>12</v>
      </c>
    </row>
    <row r="351" ht="17.25" spans="1:11">
      <c r="A351" s="34">
        <v>350</v>
      </c>
      <c r="B351" s="34" t="s">
        <v>437</v>
      </c>
      <c r="C351" s="29" t="str">
        <f>VLOOKUP(B351,教育部大学名单!$B$1:$D$2920,3,FALSE)</f>
        <v>江苏省</v>
      </c>
      <c r="D351" s="34" t="s">
        <v>379</v>
      </c>
      <c r="E351" s="34" t="s">
        <v>396</v>
      </c>
      <c r="F351" s="36" t="str">
        <f>IFERROR(VLOOKUP(B351,'985'!$B$2:$D$40,3,FALSE),"")</f>
        <v/>
      </c>
      <c r="G351" s="32" t="str">
        <f>IFERROR(VLOOKUP(B351,'211'!$B$2:$D$116,3,FALSE),"")</f>
        <v/>
      </c>
      <c r="H351" s="32" t="str">
        <f>IFERROR(VLOOKUP(B351,双一流!$B$2:$D$148,3,FALSE),"")</f>
        <v/>
      </c>
      <c r="I351" s="32">
        <f>IFERROR(VLOOKUP(B351,汇总!$B$2:$I$2921,8,FALSE),"")</f>
        <v>0</v>
      </c>
      <c r="J351" s="34" t="s">
        <v>11</v>
      </c>
      <c r="K351" s="35" t="s">
        <v>12</v>
      </c>
    </row>
    <row r="352" ht="33.75" spans="1:11">
      <c r="A352" s="29">
        <v>351</v>
      </c>
      <c r="B352" s="29" t="s">
        <v>438</v>
      </c>
      <c r="C352" s="29" t="str">
        <f>VLOOKUP(B352,教育部大学名单!$B$1:$D$2920,3,FALSE)</f>
        <v>江苏省</v>
      </c>
      <c r="D352" s="29" t="s">
        <v>379</v>
      </c>
      <c r="E352" s="29" t="s">
        <v>382</v>
      </c>
      <c r="F352" s="36" t="str">
        <f>IFERROR(VLOOKUP(B352,'985'!$B$2:$D$40,3,FALSE),"")</f>
        <v/>
      </c>
      <c r="G352" s="32" t="str">
        <f>IFERROR(VLOOKUP(B352,'211'!$B$2:$D$116,3,FALSE),"")</f>
        <v/>
      </c>
      <c r="H352" s="32" t="str">
        <f>IFERROR(VLOOKUP(B352,双一流!$B$2:$D$148,3,FALSE),"")</f>
        <v/>
      </c>
      <c r="I352" s="32">
        <f>IFERROR(VLOOKUP(B352,汇总!$B$2:$I$2921,8,FALSE),"")</f>
        <v>0</v>
      </c>
      <c r="J352" s="29" t="s">
        <v>11</v>
      </c>
      <c r="K352" s="33" t="s">
        <v>12</v>
      </c>
    </row>
    <row r="353" ht="17.25" spans="1:11">
      <c r="A353" s="34">
        <v>352</v>
      </c>
      <c r="B353" s="34" t="s">
        <v>439</v>
      </c>
      <c r="C353" s="29" t="str">
        <f>VLOOKUP(B353,教育部大学名单!$B$1:$D$2920,3,FALSE)</f>
        <v>江苏省</v>
      </c>
      <c r="D353" s="34" t="s">
        <v>379</v>
      </c>
      <c r="E353" s="34" t="s">
        <v>440</v>
      </c>
      <c r="F353" s="36" t="str">
        <f>IFERROR(VLOOKUP(B353,'985'!$B$2:$D$40,3,FALSE),"")</f>
        <v/>
      </c>
      <c r="G353" s="32" t="str">
        <f>IFERROR(VLOOKUP(B353,'211'!$B$2:$D$116,3,FALSE),"")</f>
        <v/>
      </c>
      <c r="H353" s="32" t="str">
        <f>IFERROR(VLOOKUP(B353,双一流!$B$2:$D$148,3,FALSE),"")</f>
        <v/>
      </c>
      <c r="I353" s="32">
        <f>IFERROR(VLOOKUP(B353,汇总!$B$2:$I$2921,8,FALSE),"")</f>
        <v>0</v>
      </c>
      <c r="J353" s="34" t="s">
        <v>11</v>
      </c>
      <c r="K353" s="35" t="s">
        <v>12</v>
      </c>
    </row>
    <row r="354" ht="33.75" spans="1:11">
      <c r="A354" s="29">
        <v>353</v>
      </c>
      <c r="B354" s="29" t="s">
        <v>441</v>
      </c>
      <c r="C354" s="29" t="str">
        <f>VLOOKUP(B354,教育部大学名单!$B$1:$D$2920,3,FALSE)</f>
        <v>江苏省</v>
      </c>
      <c r="D354" s="29" t="s">
        <v>379</v>
      </c>
      <c r="E354" s="29" t="s">
        <v>380</v>
      </c>
      <c r="F354" s="36" t="str">
        <f>IFERROR(VLOOKUP(B354,'985'!$B$2:$D$40,3,FALSE),"")</f>
        <v/>
      </c>
      <c r="G354" s="32" t="str">
        <f>IFERROR(VLOOKUP(B354,'211'!$B$2:$D$116,3,FALSE),"")</f>
        <v/>
      </c>
      <c r="H354" s="32" t="str">
        <f>IFERROR(VLOOKUP(B354,双一流!$B$2:$D$148,3,FALSE),"")</f>
        <v/>
      </c>
      <c r="I354" s="32">
        <f>IFERROR(VLOOKUP(B354,汇总!$B$2:$I$2921,8,FALSE),"")</f>
        <v>0</v>
      </c>
      <c r="J354" s="29" t="s">
        <v>11</v>
      </c>
      <c r="K354" s="33" t="s">
        <v>12</v>
      </c>
    </row>
    <row r="355" ht="33.75" spans="1:11">
      <c r="A355" s="34">
        <v>354</v>
      </c>
      <c r="B355" s="34" t="s">
        <v>442</v>
      </c>
      <c r="C355" s="29" t="str">
        <f>VLOOKUP(B355,教育部大学名单!$B$1:$D$2920,3,FALSE)</f>
        <v>江苏省</v>
      </c>
      <c r="D355" s="34" t="s">
        <v>379</v>
      </c>
      <c r="E355" s="34" t="s">
        <v>396</v>
      </c>
      <c r="F355" s="36" t="str">
        <f>IFERROR(VLOOKUP(B355,'985'!$B$2:$D$40,3,FALSE),"")</f>
        <v/>
      </c>
      <c r="G355" s="32" t="str">
        <f>IFERROR(VLOOKUP(B355,'211'!$B$2:$D$116,3,FALSE),"")</f>
        <v/>
      </c>
      <c r="H355" s="32" t="str">
        <f>IFERROR(VLOOKUP(B355,双一流!$B$2:$D$148,3,FALSE),"")</f>
        <v/>
      </c>
      <c r="I355" s="32" t="str">
        <f>IFERROR(VLOOKUP(B355,汇总!$B$2:$I$2921,8,FALSE),"")</f>
        <v/>
      </c>
      <c r="J355" s="34" t="s">
        <v>11</v>
      </c>
      <c r="K355" s="35" t="s">
        <v>12</v>
      </c>
    </row>
    <row r="356" ht="33.75" spans="1:11">
      <c r="A356" s="29">
        <v>355</v>
      </c>
      <c r="B356" s="29" t="s">
        <v>443</v>
      </c>
      <c r="C356" s="29" t="e">
        <f>VLOOKUP(B356,教育部大学名单!$B$1:$D$2920,3,FALSE)</f>
        <v>#N/A</v>
      </c>
      <c r="D356" s="29" t="s">
        <v>379</v>
      </c>
      <c r="E356" s="29" t="s">
        <v>389</v>
      </c>
      <c r="F356" s="36" t="str">
        <f>IFERROR(VLOOKUP(B356,'985'!$B$2:$D$40,3,FALSE),"")</f>
        <v/>
      </c>
      <c r="G356" s="32" t="str">
        <f>IFERROR(VLOOKUP(B356,'211'!$B$2:$D$116,3,FALSE),"")</f>
        <v/>
      </c>
      <c r="H356" s="32" t="str">
        <f>IFERROR(VLOOKUP(B356,双一流!$B$2:$D$148,3,FALSE),"")</f>
        <v/>
      </c>
      <c r="I356" s="32" t="str">
        <f>IFERROR(VLOOKUP(B356,汇总!$B$2:$I$2921,8,FALSE),"")</f>
        <v/>
      </c>
      <c r="J356" s="29" t="s">
        <v>11</v>
      </c>
      <c r="K356" s="33" t="s">
        <v>12</v>
      </c>
    </row>
    <row r="357" ht="33.75" spans="1:11">
      <c r="A357" s="34">
        <v>356</v>
      </c>
      <c r="B357" s="34" t="s">
        <v>444</v>
      </c>
      <c r="C357" s="29" t="str">
        <f>VLOOKUP(B357,教育部大学名单!$B$1:$D$2920,3,FALSE)</f>
        <v>江苏省</v>
      </c>
      <c r="D357" s="34" t="s">
        <v>379</v>
      </c>
      <c r="E357" s="34" t="s">
        <v>382</v>
      </c>
      <c r="F357" s="36" t="str">
        <f>IFERROR(VLOOKUP(B357,'985'!$B$2:$D$40,3,FALSE),"")</f>
        <v/>
      </c>
      <c r="G357" s="32" t="str">
        <f>IFERROR(VLOOKUP(B357,'211'!$B$2:$D$116,3,FALSE),"")</f>
        <v/>
      </c>
      <c r="H357" s="32" t="str">
        <f>IFERROR(VLOOKUP(B357,双一流!$B$2:$D$148,3,FALSE),"")</f>
        <v/>
      </c>
      <c r="I357" s="32" t="str">
        <f>IFERROR(VLOOKUP(B357,汇总!$B$2:$I$2921,8,FALSE),"")</f>
        <v/>
      </c>
      <c r="J357" s="34" t="s">
        <v>11</v>
      </c>
      <c r="K357" s="35" t="s">
        <v>12</v>
      </c>
    </row>
    <row r="358" ht="33.75" spans="1:11">
      <c r="A358" s="29">
        <v>357</v>
      </c>
      <c r="B358" s="29" t="s">
        <v>445</v>
      </c>
      <c r="C358" s="29" t="str">
        <f>VLOOKUP(B358,教育部大学名单!$B$1:$D$2920,3,FALSE)</f>
        <v>江苏省</v>
      </c>
      <c r="D358" s="29" t="s">
        <v>379</v>
      </c>
      <c r="E358" s="29" t="s">
        <v>424</v>
      </c>
      <c r="F358" s="36" t="str">
        <f>IFERROR(VLOOKUP(B358,'985'!$B$2:$D$40,3,FALSE),"")</f>
        <v/>
      </c>
      <c r="G358" s="32" t="str">
        <f>IFERROR(VLOOKUP(B358,'211'!$B$2:$D$116,3,FALSE),"")</f>
        <v/>
      </c>
      <c r="H358" s="32" t="str">
        <f>IFERROR(VLOOKUP(B358,双一流!$B$2:$D$148,3,FALSE),"")</f>
        <v/>
      </c>
      <c r="I358" s="32" t="str">
        <f>IFERROR(VLOOKUP(B358,汇总!$B$2:$I$2921,8,FALSE),"")</f>
        <v/>
      </c>
      <c r="J358" s="29" t="s">
        <v>11</v>
      </c>
      <c r="K358" s="33" t="s">
        <v>12</v>
      </c>
    </row>
    <row r="359" ht="33.75" spans="1:11">
      <c r="A359" s="34">
        <v>358</v>
      </c>
      <c r="B359" s="34" t="s">
        <v>446</v>
      </c>
      <c r="C359" s="29" t="str">
        <f>VLOOKUP(B359,教育部大学名单!$B$1:$D$2920,3,FALSE)</f>
        <v>江苏省</v>
      </c>
      <c r="D359" s="34" t="s">
        <v>379</v>
      </c>
      <c r="E359" s="34" t="s">
        <v>430</v>
      </c>
      <c r="F359" s="36" t="str">
        <f>IFERROR(VLOOKUP(B359,'985'!$B$2:$D$40,3,FALSE),"")</f>
        <v/>
      </c>
      <c r="G359" s="32" t="str">
        <f>IFERROR(VLOOKUP(B359,'211'!$B$2:$D$116,3,FALSE),"")</f>
        <v/>
      </c>
      <c r="H359" s="32" t="str">
        <f>IFERROR(VLOOKUP(B359,双一流!$B$2:$D$148,3,FALSE),"")</f>
        <v/>
      </c>
      <c r="I359" s="32" t="str">
        <f>IFERROR(VLOOKUP(B359,汇总!$B$2:$I$2921,8,FALSE),"")</f>
        <v/>
      </c>
      <c r="J359" s="34" t="s">
        <v>11</v>
      </c>
      <c r="K359" s="35" t="s">
        <v>12</v>
      </c>
    </row>
    <row r="360" ht="17.25" spans="1:11">
      <c r="A360" s="29">
        <v>359</v>
      </c>
      <c r="B360" s="29" t="s">
        <v>447</v>
      </c>
      <c r="C360" s="29" t="str">
        <f>VLOOKUP(B360,教育部大学名单!$B$1:$D$2920,3,FALSE)</f>
        <v>教育部</v>
      </c>
      <c r="D360" s="29" t="s">
        <v>448</v>
      </c>
      <c r="E360" s="29" t="s">
        <v>449</v>
      </c>
      <c r="F360" s="30">
        <f>IFERROR(VLOOKUP(B360,'985'!$B$2:$D$40,3,FALSE),"")</f>
        <v>985</v>
      </c>
      <c r="G360" s="31">
        <f>IFERROR(VLOOKUP(B360,'211'!$B$2:$D$116,3,FALSE),"")</f>
        <v>211</v>
      </c>
      <c r="H360" s="32" t="str">
        <f>IFERROR(VLOOKUP(B360,双一流!$B$2:$D$148,3,FALSE),"")</f>
        <v>双一流</v>
      </c>
      <c r="I360" s="32" t="str">
        <f>IFERROR(VLOOKUP(B360,汇总!$B$2:$I$2921,8,FALSE),"")</f>
        <v>综合</v>
      </c>
      <c r="J360" s="29" t="s">
        <v>11</v>
      </c>
      <c r="K360" s="33" t="s">
        <v>12</v>
      </c>
    </row>
    <row r="361" ht="33.75" spans="1:11">
      <c r="A361" s="34">
        <v>360</v>
      </c>
      <c r="B361" s="34" t="s">
        <v>450</v>
      </c>
      <c r="C361" s="29" t="str">
        <f>VLOOKUP(B361,教育部大学名单!$B$1:$D$2920,3,FALSE)</f>
        <v>浙江省</v>
      </c>
      <c r="D361" s="34" t="s">
        <v>448</v>
      </c>
      <c r="E361" s="34" t="s">
        <v>449</v>
      </c>
      <c r="F361" s="36" t="str">
        <f>IFERROR(VLOOKUP(B361,'985'!$B$2:$D$40,3,FALSE),"")</f>
        <v/>
      </c>
      <c r="G361" s="32" t="str">
        <f>IFERROR(VLOOKUP(B361,'211'!$B$2:$D$116,3,FALSE),"")</f>
        <v/>
      </c>
      <c r="H361" s="32" t="str">
        <f>IFERROR(VLOOKUP(B361,双一流!$B$2:$D$148,3,FALSE),"")</f>
        <v/>
      </c>
      <c r="I361" s="32" t="str">
        <f>IFERROR(VLOOKUP(B361,汇总!$B$2:$I$2921,8,FALSE),"")</f>
        <v>理工</v>
      </c>
      <c r="J361" s="34" t="s">
        <v>11</v>
      </c>
      <c r="K361" s="35" t="s">
        <v>12</v>
      </c>
    </row>
    <row r="362" ht="33.75" spans="1:11">
      <c r="A362" s="29">
        <v>361</v>
      </c>
      <c r="B362" s="29" t="s">
        <v>451</v>
      </c>
      <c r="C362" s="29" t="str">
        <f>VLOOKUP(B362,教育部大学名单!$B$1:$D$2920,3,FALSE)</f>
        <v>浙江省</v>
      </c>
      <c r="D362" s="29" t="s">
        <v>448</v>
      </c>
      <c r="E362" s="29" t="s">
        <v>449</v>
      </c>
      <c r="F362" s="36" t="str">
        <f>IFERROR(VLOOKUP(B362,'985'!$B$2:$D$40,3,FALSE),"")</f>
        <v/>
      </c>
      <c r="G362" s="32" t="str">
        <f>IFERROR(VLOOKUP(B362,'211'!$B$2:$D$116,3,FALSE),"")</f>
        <v/>
      </c>
      <c r="H362" s="32" t="str">
        <f>IFERROR(VLOOKUP(B362,双一流!$B$2:$D$148,3,FALSE),"")</f>
        <v/>
      </c>
      <c r="I362" s="32" t="str">
        <f>IFERROR(VLOOKUP(B362,汇总!$B$2:$I$2921,8,FALSE),"")</f>
        <v>理工</v>
      </c>
      <c r="J362" s="29" t="s">
        <v>11</v>
      </c>
      <c r="K362" s="33" t="s">
        <v>12</v>
      </c>
    </row>
    <row r="363" ht="33.75" spans="1:11">
      <c r="A363" s="34">
        <v>362</v>
      </c>
      <c r="B363" s="34" t="s">
        <v>452</v>
      </c>
      <c r="C363" s="29" t="str">
        <f>VLOOKUP(B363,教育部大学名单!$B$1:$D$2920,3,FALSE)</f>
        <v>浙江省</v>
      </c>
      <c r="D363" s="34" t="s">
        <v>448</v>
      </c>
      <c r="E363" s="34" t="s">
        <v>449</v>
      </c>
      <c r="F363" s="36" t="str">
        <f>IFERROR(VLOOKUP(B363,'985'!$B$2:$D$40,3,FALSE),"")</f>
        <v/>
      </c>
      <c r="G363" s="32" t="str">
        <f>IFERROR(VLOOKUP(B363,'211'!$B$2:$D$116,3,FALSE),"")</f>
        <v/>
      </c>
      <c r="H363" s="32" t="str">
        <f>IFERROR(VLOOKUP(B363,双一流!$B$2:$D$148,3,FALSE),"")</f>
        <v/>
      </c>
      <c r="I363" s="32" t="str">
        <f>IFERROR(VLOOKUP(B363,汇总!$B$2:$I$2921,8,FALSE),"")</f>
        <v>理工</v>
      </c>
      <c r="J363" s="34" t="s">
        <v>11</v>
      </c>
      <c r="K363" s="35" t="s">
        <v>12</v>
      </c>
    </row>
    <row r="364" ht="33.75" spans="1:11">
      <c r="A364" s="29">
        <v>363</v>
      </c>
      <c r="B364" s="29" t="s">
        <v>453</v>
      </c>
      <c r="C364" s="29" t="str">
        <f>VLOOKUP(B364,教育部大学名单!$B$1:$D$2920,3,FALSE)</f>
        <v>浙江省</v>
      </c>
      <c r="D364" s="29" t="s">
        <v>448</v>
      </c>
      <c r="E364" s="29" t="s">
        <v>454</v>
      </c>
      <c r="F364" s="36" t="str">
        <f>IFERROR(VLOOKUP(B364,'985'!$B$2:$D$40,3,FALSE),"")</f>
        <v/>
      </c>
      <c r="G364" s="32" t="str">
        <f>IFERROR(VLOOKUP(B364,'211'!$B$2:$D$116,3,FALSE),"")</f>
        <v/>
      </c>
      <c r="H364" s="32" t="str">
        <f>IFERROR(VLOOKUP(B364,双一流!$B$2:$D$148,3,FALSE),"")</f>
        <v/>
      </c>
      <c r="I364" s="32" t="str">
        <f>IFERROR(VLOOKUP(B364,汇总!$B$2:$I$2921,8,FALSE),"")</f>
        <v>农林</v>
      </c>
      <c r="J364" s="29" t="s">
        <v>11</v>
      </c>
      <c r="K364" s="33" t="s">
        <v>12</v>
      </c>
    </row>
    <row r="365" ht="33.75" spans="1:11">
      <c r="A365" s="34">
        <v>364</v>
      </c>
      <c r="B365" s="34" t="s">
        <v>455</v>
      </c>
      <c r="C365" s="29" t="str">
        <f>VLOOKUP(B365,教育部大学名单!$B$1:$D$2920,3,FALSE)</f>
        <v>浙江省</v>
      </c>
      <c r="D365" s="34" t="s">
        <v>448</v>
      </c>
      <c r="E365" s="34" t="s">
        <v>449</v>
      </c>
      <c r="F365" s="36" t="str">
        <f>IFERROR(VLOOKUP(B365,'985'!$B$2:$D$40,3,FALSE),"")</f>
        <v/>
      </c>
      <c r="G365" s="32" t="str">
        <f>IFERROR(VLOOKUP(B365,'211'!$B$2:$D$116,3,FALSE),"")</f>
        <v/>
      </c>
      <c r="H365" s="32" t="str">
        <f>IFERROR(VLOOKUP(B365,双一流!$B$2:$D$148,3,FALSE),"")</f>
        <v/>
      </c>
      <c r="I365" s="32" t="str">
        <f>IFERROR(VLOOKUP(B365,汇总!$B$2:$I$2921,8,FALSE),"")</f>
        <v>农林</v>
      </c>
      <c r="J365" s="34" t="s">
        <v>11</v>
      </c>
      <c r="K365" s="35" t="s">
        <v>12</v>
      </c>
    </row>
    <row r="366" ht="33.75" spans="1:11">
      <c r="A366" s="29">
        <v>365</v>
      </c>
      <c r="B366" s="29" t="s">
        <v>456</v>
      </c>
      <c r="C366" s="29" t="str">
        <f>VLOOKUP(B366,教育部大学名单!$B$1:$D$2920,3,FALSE)</f>
        <v>浙江省</v>
      </c>
      <c r="D366" s="29" t="s">
        <v>448</v>
      </c>
      <c r="E366" s="29" t="s">
        <v>457</v>
      </c>
      <c r="F366" s="36" t="str">
        <f>IFERROR(VLOOKUP(B366,'985'!$B$2:$D$40,3,FALSE),"")</f>
        <v/>
      </c>
      <c r="G366" s="32" t="str">
        <f>IFERROR(VLOOKUP(B366,'211'!$B$2:$D$116,3,FALSE),"")</f>
        <v/>
      </c>
      <c r="H366" s="32" t="str">
        <f>IFERROR(VLOOKUP(B366,双一流!$B$2:$D$148,3,FALSE),"")</f>
        <v/>
      </c>
      <c r="I366" s="32" t="str">
        <f>IFERROR(VLOOKUP(B366,汇总!$B$2:$I$2921,8,FALSE),"")</f>
        <v>医药</v>
      </c>
      <c r="J366" s="29" t="s">
        <v>11</v>
      </c>
      <c r="K366" s="33" t="s">
        <v>12</v>
      </c>
    </row>
    <row r="367" ht="33.75" spans="1:11">
      <c r="A367" s="34">
        <v>366</v>
      </c>
      <c r="B367" s="34" t="s">
        <v>458</v>
      </c>
      <c r="C367" s="29" t="str">
        <f>VLOOKUP(B367,教育部大学名单!$B$1:$D$2920,3,FALSE)</f>
        <v>浙江省</v>
      </c>
      <c r="D367" s="34" t="s">
        <v>448</v>
      </c>
      <c r="E367" s="34" t="s">
        <v>449</v>
      </c>
      <c r="F367" s="36" t="str">
        <f>IFERROR(VLOOKUP(B367,'985'!$B$2:$D$40,3,FALSE),"")</f>
        <v/>
      </c>
      <c r="G367" s="32" t="str">
        <f>IFERROR(VLOOKUP(B367,'211'!$B$2:$D$116,3,FALSE),"")</f>
        <v/>
      </c>
      <c r="H367" s="32" t="str">
        <f>IFERROR(VLOOKUP(B367,双一流!$B$2:$D$148,3,FALSE),"")</f>
        <v/>
      </c>
      <c r="I367" s="32" t="str">
        <f>IFERROR(VLOOKUP(B367,汇总!$B$2:$I$2921,8,FALSE),"")</f>
        <v>医药</v>
      </c>
      <c r="J367" s="34" t="s">
        <v>11</v>
      </c>
      <c r="K367" s="35" t="s">
        <v>12</v>
      </c>
    </row>
    <row r="368" ht="33.75" spans="1:11">
      <c r="A368" s="29">
        <v>367</v>
      </c>
      <c r="B368" s="29" t="s">
        <v>459</v>
      </c>
      <c r="C368" s="29" t="str">
        <f>VLOOKUP(B368,教育部大学名单!$B$1:$D$2920,3,FALSE)</f>
        <v>浙江省</v>
      </c>
      <c r="D368" s="29" t="s">
        <v>448</v>
      </c>
      <c r="E368" s="29" t="s">
        <v>460</v>
      </c>
      <c r="F368" s="36" t="str">
        <f>IFERROR(VLOOKUP(B368,'985'!$B$2:$D$40,3,FALSE),"")</f>
        <v/>
      </c>
      <c r="G368" s="32" t="str">
        <f>IFERROR(VLOOKUP(B368,'211'!$B$2:$D$116,3,FALSE),"")</f>
        <v/>
      </c>
      <c r="H368" s="32" t="str">
        <f>IFERROR(VLOOKUP(B368,双一流!$B$2:$D$148,3,FALSE),"")</f>
        <v/>
      </c>
      <c r="I368" s="32" t="str">
        <f>IFERROR(VLOOKUP(B368,汇总!$B$2:$I$2921,8,FALSE),"")</f>
        <v>师范</v>
      </c>
      <c r="J368" s="29" t="s">
        <v>11</v>
      </c>
      <c r="K368" s="33" t="s">
        <v>12</v>
      </c>
    </row>
    <row r="369" ht="33.75" spans="1:11">
      <c r="A369" s="34">
        <v>368</v>
      </c>
      <c r="B369" s="34" t="s">
        <v>461</v>
      </c>
      <c r="C369" s="29" t="str">
        <f>VLOOKUP(B369,教育部大学名单!$B$1:$D$2920,3,FALSE)</f>
        <v>浙江省</v>
      </c>
      <c r="D369" s="34" t="s">
        <v>448</v>
      </c>
      <c r="E369" s="34" t="s">
        <v>449</v>
      </c>
      <c r="F369" s="36" t="str">
        <f>IFERROR(VLOOKUP(B369,'985'!$B$2:$D$40,3,FALSE),"")</f>
        <v/>
      </c>
      <c r="G369" s="32" t="str">
        <f>IFERROR(VLOOKUP(B369,'211'!$B$2:$D$116,3,FALSE),"")</f>
        <v/>
      </c>
      <c r="H369" s="32" t="str">
        <f>IFERROR(VLOOKUP(B369,双一流!$B$2:$D$148,3,FALSE),"")</f>
        <v/>
      </c>
      <c r="I369" s="32" t="str">
        <f>IFERROR(VLOOKUP(B369,汇总!$B$2:$I$2921,8,FALSE),"")</f>
        <v>师范</v>
      </c>
      <c r="J369" s="34" t="s">
        <v>11</v>
      </c>
      <c r="K369" s="35" t="s">
        <v>12</v>
      </c>
    </row>
    <row r="370" ht="33.75" spans="1:11">
      <c r="A370" s="29">
        <v>369</v>
      </c>
      <c r="B370" s="29" t="s">
        <v>462</v>
      </c>
      <c r="C370" s="29" t="e">
        <f>VLOOKUP(B370,教育部大学名单!$B$1:$D$2920,3,FALSE)</f>
        <v>#N/A</v>
      </c>
      <c r="D370" s="29" t="s">
        <v>448</v>
      </c>
      <c r="E370" s="29" t="s">
        <v>463</v>
      </c>
      <c r="F370" s="36" t="str">
        <f>IFERROR(VLOOKUP(B370,'985'!$B$2:$D$40,3,FALSE),"")</f>
        <v/>
      </c>
      <c r="G370" s="32" t="str">
        <f>IFERROR(VLOOKUP(B370,'211'!$B$2:$D$116,3,FALSE),"")</f>
        <v/>
      </c>
      <c r="H370" s="32" t="str">
        <f>IFERROR(VLOOKUP(B370,双一流!$B$2:$D$148,3,FALSE),"")</f>
        <v/>
      </c>
      <c r="I370" s="32" t="str">
        <f>IFERROR(VLOOKUP(B370,汇总!$B$2:$I$2921,8,FALSE),"")</f>
        <v/>
      </c>
      <c r="J370" s="29" t="s">
        <v>11</v>
      </c>
      <c r="K370" s="33" t="s">
        <v>12</v>
      </c>
    </row>
    <row r="371" ht="17.25" spans="1:11">
      <c r="A371" s="34">
        <v>370</v>
      </c>
      <c r="B371" s="34" t="s">
        <v>464</v>
      </c>
      <c r="C371" s="29" t="e">
        <f>VLOOKUP(B371,教育部大学名单!$B$1:$D$2920,3,FALSE)</f>
        <v>#N/A</v>
      </c>
      <c r="D371" s="34" t="s">
        <v>448</v>
      </c>
      <c r="E371" s="34" t="s">
        <v>465</v>
      </c>
      <c r="F371" s="36" t="str">
        <f>IFERROR(VLOOKUP(B371,'985'!$B$2:$D$40,3,FALSE),"")</f>
        <v/>
      </c>
      <c r="G371" s="32" t="str">
        <f>IFERROR(VLOOKUP(B371,'211'!$B$2:$D$116,3,FALSE),"")</f>
        <v/>
      </c>
      <c r="H371" s="32" t="str">
        <f>IFERROR(VLOOKUP(B371,双一流!$B$2:$D$148,3,FALSE),"")</f>
        <v/>
      </c>
      <c r="I371" s="32" t="str">
        <f>IFERROR(VLOOKUP(B371,汇总!$B$2:$I$2921,8,FALSE),"")</f>
        <v/>
      </c>
      <c r="J371" s="34" t="s">
        <v>11</v>
      </c>
      <c r="K371" s="35" t="s">
        <v>12</v>
      </c>
    </row>
    <row r="372" ht="17.25" spans="1:11">
      <c r="A372" s="29">
        <v>371</v>
      </c>
      <c r="B372" s="29" t="s">
        <v>466</v>
      </c>
      <c r="C372" s="29" t="str">
        <f>VLOOKUP(B372,教育部大学名单!$B$1:$D$2920,3,FALSE)</f>
        <v>浙江省</v>
      </c>
      <c r="D372" s="29" t="s">
        <v>448</v>
      </c>
      <c r="E372" s="29" t="s">
        <v>467</v>
      </c>
      <c r="F372" s="36" t="str">
        <f>IFERROR(VLOOKUP(B372,'985'!$B$2:$D$40,3,FALSE),"")</f>
        <v/>
      </c>
      <c r="G372" s="32" t="str">
        <f>IFERROR(VLOOKUP(B372,'211'!$B$2:$D$116,3,FALSE),"")</f>
        <v/>
      </c>
      <c r="H372" s="32" t="str">
        <f>IFERROR(VLOOKUP(B372,双一流!$B$2:$D$148,3,FALSE),"")</f>
        <v/>
      </c>
      <c r="I372" s="32">
        <f>IFERROR(VLOOKUP(B372,汇总!$B$2:$I$2921,8,FALSE),"")</f>
        <v>0</v>
      </c>
      <c r="J372" s="29" t="s">
        <v>11</v>
      </c>
      <c r="K372" s="33" t="s">
        <v>12</v>
      </c>
    </row>
    <row r="373" ht="17.25" spans="1:11">
      <c r="A373" s="34">
        <v>372</v>
      </c>
      <c r="B373" s="34" t="s">
        <v>468</v>
      </c>
      <c r="C373" s="29" t="str">
        <f>VLOOKUP(B373,教育部大学名单!$B$1:$D$2920,3,FALSE)</f>
        <v>浙江省</v>
      </c>
      <c r="D373" s="34" t="s">
        <v>448</v>
      </c>
      <c r="E373" s="34" t="s">
        <v>457</v>
      </c>
      <c r="F373" s="36" t="str">
        <f>IFERROR(VLOOKUP(B373,'985'!$B$2:$D$40,3,FALSE),"")</f>
        <v/>
      </c>
      <c r="G373" s="32" t="str">
        <f>IFERROR(VLOOKUP(B373,'211'!$B$2:$D$116,3,FALSE),"")</f>
        <v/>
      </c>
      <c r="H373" s="32" t="str">
        <f>IFERROR(VLOOKUP(B373,双一流!$B$2:$D$148,3,FALSE),"")</f>
        <v/>
      </c>
      <c r="I373" s="32" t="str">
        <f>IFERROR(VLOOKUP(B373,汇总!$B$2:$I$2921,8,FALSE),"")</f>
        <v>综合</v>
      </c>
      <c r="J373" s="34" t="s">
        <v>11</v>
      </c>
      <c r="K373" s="35" t="s">
        <v>12</v>
      </c>
    </row>
    <row r="374" ht="17.25" spans="1:11">
      <c r="A374" s="29">
        <v>373</v>
      </c>
      <c r="B374" s="29" t="s">
        <v>469</v>
      </c>
      <c r="C374" s="29" t="str">
        <f>VLOOKUP(B374,教育部大学名单!$B$1:$D$2920,3,FALSE)</f>
        <v>浙江省</v>
      </c>
      <c r="D374" s="29" t="s">
        <v>448</v>
      </c>
      <c r="E374" s="29" t="s">
        <v>470</v>
      </c>
      <c r="F374" s="36" t="str">
        <f>IFERROR(VLOOKUP(B374,'985'!$B$2:$D$40,3,FALSE),"")</f>
        <v/>
      </c>
      <c r="G374" s="32" t="str">
        <f>IFERROR(VLOOKUP(B374,'211'!$B$2:$D$116,3,FALSE),"")</f>
        <v/>
      </c>
      <c r="H374" s="32" t="str">
        <f>IFERROR(VLOOKUP(B374,双一流!$B$2:$D$148,3,FALSE),"")</f>
        <v/>
      </c>
      <c r="I374" s="32">
        <f>IFERROR(VLOOKUP(B374,汇总!$B$2:$I$2921,8,FALSE),"")</f>
        <v>0</v>
      </c>
      <c r="J374" s="29" t="s">
        <v>11</v>
      </c>
      <c r="K374" s="33" t="s">
        <v>12</v>
      </c>
    </row>
    <row r="375" ht="33.75" spans="1:11">
      <c r="A375" s="34">
        <v>374</v>
      </c>
      <c r="B375" s="34" t="s">
        <v>471</v>
      </c>
      <c r="C375" s="29" t="str">
        <f>VLOOKUP(B375,教育部大学名单!$B$1:$D$2920,3,FALSE)</f>
        <v>浙江省</v>
      </c>
      <c r="D375" s="34" t="s">
        <v>448</v>
      </c>
      <c r="E375" s="34" t="s">
        <v>449</v>
      </c>
      <c r="F375" s="36" t="str">
        <f>IFERROR(VLOOKUP(B375,'985'!$B$2:$D$40,3,FALSE),"")</f>
        <v/>
      </c>
      <c r="G375" s="32" t="str">
        <f>IFERROR(VLOOKUP(B375,'211'!$B$2:$D$116,3,FALSE),"")</f>
        <v/>
      </c>
      <c r="H375" s="32" t="str">
        <f>IFERROR(VLOOKUP(B375,双一流!$B$2:$D$148,3,FALSE),"")</f>
        <v/>
      </c>
      <c r="I375" s="32" t="str">
        <f>IFERROR(VLOOKUP(B375,汇总!$B$2:$I$2921,8,FALSE),"")</f>
        <v>财经</v>
      </c>
      <c r="J375" s="34" t="s">
        <v>11</v>
      </c>
      <c r="K375" s="35" t="s">
        <v>12</v>
      </c>
    </row>
    <row r="376" ht="17.25" spans="1:11">
      <c r="A376" s="29">
        <v>375</v>
      </c>
      <c r="B376" s="29" t="s">
        <v>472</v>
      </c>
      <c r="C376" s="29" t="str">
        <f>VLOOKUP(B376,教育部大学名单!$B$1:$D$2920,3,FALSE)</f>
        <v>浙江省</v>
      </c>
      <c r="D376" s="29" t="s">
        <v>448</v>
      </c>
      <c r="E376" s="29" t="s">
        <v>473</v>
      </c>
      <c r="F376" s="36" t="str">
        <f>IFERROR(VLOOKUP(B376,'985'!$B$2:$D$40,3,FALSE),"")</f>
        <v/>
      </c>
      <c r="G376" s="32" t="str">
        <f>IFERROR(VLOOKUP(B376,'211'!$B$2:$D$116,3,FALSE),"")</f>
        <v/>
      </c>
      <c r="H376" s="32" t="str">
        <f>IFERROR(VLOOKUP(B376,双一流!$B$2:$D$148,3,FALSE),"")</f>
        <v/>
      </c>
      <c r="I376" s="32">
        <f>IFERROR(VLOOKUP(B376,汇总!$B$2:$I$2921,8,FALSE),"")</f>
        <v>0</v>
      </c>
      <c r="J376" s="29" t="s">
        <v>11</v>
      </c>
      <c r="K376" s="33" t="s">
        <v>12</v>
      </c>
    </row>
    <row r="377" ht="33.75" spans="1:11">
      <c r="A377" s="34">
        <v>376</v>
      </c>
      <c r="B377" s="34" t="s">
        <v>474</v>
      </c>
      <c r="C377" s="29" t="str">
        <f>VLOOKUP(B377,教育部大学名单!$B$1:$D$2920,3,FALSE)</f>
        <v>浙江省</v>
      </c>
      <c r="D377" s="34" t="s">
        <v>448</v>
      </c>
      <c r="E377" s="34" t="s">
        <v>449</v>
      </c>
      <c r="F377" s="36" t="str">
        <f>IFERROR(VLOOKUP(B377,'985'!$B$2:$D$40,3,FALSE),"")</f>
        <v/>
      </c>
      <c r="G377" s="32" t="str">
        <f>IFERROR(VLOOKUP(B377,'211'!$B$2:$D$116,3,FALSE),"")</f>
        <v/>
      </c>
      <c r="H377" s="32" t="str">
        <f>IFERROR(VLOOKUP(B377,双一流!$B$2:$D$148,3,FALSE),"")</f>
        <v>双一流</v>
      </c>
      <c r="I377" s="32" t="str">
        <f>IFERROR(VLOOKUP(B377,汇总!$B$2:$I$2921,8,FALSE),"")</f>
        <v>艺术</v>
      </c>
      <c r="J377" s="34" t="s">
        <v>11</v>
      </c>
      <c r="K377" s="35" t="s">
        <v>12</v>
      </c>
    </row>
    <row r="378" ht="33.75" spans="1:11">
      <c r="A378" s="29">
        <v>377</v>
      </c>
      <c r="B378" s="29" t="s">
        <v>475</v>
      </c>
      <c r="C378" s="29" t="str">
        <f>VLOOKUP(B378,教育部大学名单!$B$1:$D$2920,3,FALSE)</f>
        <v>浙江省</v>
      </c>
      <c r="D378" s="29" t="s">
        <v>448</v>
      </c>
      <c r="E378" s="29" t="s">
        <v>449</v>
      </c>
      <c r="F378" s="36" t="str">
        <f>IFERROR(VLOOKUP(B378,'985'!$B$2:$D$40,3,FALSE),"")</f>
        <v/>
      </c>
      <c r="G378" s="32" t="str">
        <f>IFERROR(VLOOKUP(B378,'211'!$B$2:$D$116,3,FALSE),"")</f>
        <v/>
      </c>
      <c r="H378" s="32" t="str">
        <f>IFERROR(VLOOKUP(B378,双一流!$B$2:$D$148,3,FALSE),"")</f>
        <v/>
      </c>
      <c r="I378" s="32" t="str">
        <f>IFERROR(VLOOKUP(B378,汇总!$B$2:$I$2921,8,FALSE),"")</f>
        <v>理工</v>
      </c>
      <c r="J378" s="29" t="s">
        <v>11</v>
      </c>
      <c r="K378" s="33" t="s">
        <v>12</v>
      </c>
    </row>
    <row r="379" ht="33.75" spans="1:11">
      <c r="A379" s="34">
        <v>378</v>
      </c>
      <c r="B379" s="34" t="s">
        <v>476</v>
      </c>
      <c r="C379" s="29" t="str">
        <f>VLOOKUP(B379,教育部大学名单!$B$1:$D$2920,3,FALSE)</f>
        <v>浙江省</v>
      </c>
      <c r="D379" s="34" t="s">
        <v>448</v>
      </c>
      <c r="E379" s="34" t="s">
        <v>477</v>
      </c>
      <c r="F379" s="36" t="str">
        <f>IFERROR(VLOOKUP(B379,'985'!$B$2:$D$40,3,FALSE),"")</f>
        <v/>
      </c>
      <c r="G379" s="32" t="str">
        <f>IFERROR(VLOOKUP(B379,'211'!$B$2:$D$116,3,FALSE),"")</f>
        <v/>
      </c>
      <c r="H379" s="32" t="str">
        <f>IFERROR(VLOOKUP(B379,双一流!$B$2:$D$148,3,FALSE),"")</f>
        <v/>
      </c>
      <c r="I379" s="32">
        <f>IFERROR(VLOOKUP(B379,汇总!$B$2:$I$2921,8,FALSE),"")</f>
        <v>0</v>
      </c>
      <c r="J379" s="34" t="s">
        <v>11</v>
      </c>
      <c r="K379" s="35" t="s">
        <v>12</v>
      </c>
    </row>
    <row r="380" ht="33.75" spans="1:11">
      <c r="A380" s="29">
        <v>379</v>
      </c>
      <c r="B380" s="29" t="s">
        <v>478</v>
      </c>
      <c r="C380" s="29" t="str">
        <f>VLOOKUP(B380,教育部大学名单!$B$1:$D$2920,3,FALSE)</f>
        <v>浙江省</v>
      </c>
      <c r="D380" s="29" t="s">
        <v>448</v>
      </c>
      <c r="E380" s="29" t="s">
        <v>449</v>
      </c>
      <c r="F380" s="36" t="str">
        <f>IFERROR(VLOOKUP(B380,'985'!$B$2:$D$40,3,FALSE),"")</f>
        <v/>
      </c>
      <c r="G380" s="32" t="str">
        <f>IFERROR(VLOOKUP(B380,'211'!$B$2:$D$116,3,FALSE),"")</f>
        <v/>
      </c>
      <c r="H380" s="32" t="str">
        <f>IFERROR(VLOOKUP(B380,双一流!$B$2:$D$148,3,FALSE),"")</f>
        <v/>
      </c>
      <c r="I380" s="32">
        <f>IFERROR(VLOOKUP(B380,汇总!$B$2:$I$2921,8,FALSE),"")</f>
        <v>0</v>
      </c>
      <c r="J380" s="29" t="s">
        <v>11</v>
      </c>
      <c r="K380" s="33" t="s">
        <v>12</v>
      </c>
    </row>
    <row r="381" ht="33.75" spans="1:11">
      <c r="A381" s="34">
        <v>380</v>
      </c>
      <c r="B381" s="34" t="s">
        <v>479</v>
      </c>
      <c r="C381" s="29" t="str">
        <f>VLOOKUP(B381,教育部大学名单!$B$1:$D$2920,3,FALSE)</f>
        <v>浙江省</v>
      </c>
      <c r="D381" s="34" t="s">
        <v>448</v>
      </c>
      <c r="E381" s="34" t="s">
        <v>477</v>
      </c>
      <c r="F381" s="36" t="str">
        <f>IFERROR(VLOOKUP(B381,'985'!$B$2:$D$40,3,FALSE),"")</f>
        <v/>
      </c>
      <c r="G381" s="32" t="str">
        <f>IFERROR(VLOOKUP(B381,'211'!$B$2:$D$116,3,FALSE),"")</f>
        <v/>
      </c>
      <c r="H381" s="32" t="str">
        <f>IFERROR(VLOOKUP(B381,双一流!$B$2:$D$148,3,FALSE),"")</f>
        <v/>
      </c>
      <c r="I381" s="32">
        <f>IFERROR(VLOOKUP(B381,汇总!$B$2:$I$2921,8,FALSE),"")</f>
        <v>0</v>
      </c>
      <c r="J381" s="34" t="s">
        <v>11</v>
      </c>
      <c r="K381" s="35" t="s">
        <v>12</v>
      </c>
    </row>
    <row r="382" ht="33.75" spans="1:11">
      <c r="A382" s="29">
        <v>381</v>
      </c>
      <c r="B382" s="29" t="s">
        <v>480</v>
      </c>
      <c r="C382" s="29" t="str">
        <f>VLOOKUP(B382,教育部大学名单!$B$1:$D$2920,3,FALSE)</f>
        <v>浙江省</v>
      </c>
      <c r="D382" s="29" t="s">
        <v>448</v>
      </c>
      <c r="E382" s="29" t="s">
        <v>449</v>
      </c>
      <c r="F382" s="36" t="str">
        <f>IFERROR(VLOOKUP(B382,'985'!$B$2:$D$40,3,FALSE),"")</f>
        <v/>
      </c>
      <c r="G382" s="32" t="str">
        <f>IFERROR(VLOOKUP(B382,'211'!$B$2:$D$116,3,FALSE),"")</f>
        <v/>
      </c>
      <c r="H382" s="32" t="str">
        <f>IFERROR(VLOOKUP(B382,双一流!$B$2:$D$148,3,FALSE),"")</f>
        <v/>
      </c>
      <c r="I382" s="32">
        <f>IFERROR(VLOOKUP(B382,汇总!$B$2:$I$2921,8,FALSE),"")</f>
        <v>0</v>
      </c>
      <c r="J382" s="29" t="s">
        <v>11</v>
      </c>
      <c r="K382" s="33" t="s">
        <v>12</v>
      </c>
    </row>
    <row r="383" ht="33.75" spans="1:11">
      <c r="A383" s="34">
        <v>382</v>
      </c>
      <c r="B383" s="34" t="s">
        <v>481</v>
      </c>
      <c r="C383" s="29" t="str">
        <f>VLOOKUP(B383,教育部大学名单!$B$1:$D$2920,3,FALSE)</f>
        <v>浙江省</v>
      </c>
      <c r="D383" s="34" t="s">
        <v>448</v>
      </c>
      <c r="E383" s="34" t="s">
        <v>449</v>
      </c>
      <c r="F383" s="36" t="str">
        <f>IFERROR(VLOOKUP(B383,'985'!$B$2:$D$40,3,FALSE),"")</f>
        <v/>
      </c>
      <c r="G383" s="32" t="str">
        <f>IFERROR(VLOOKUP(B383,'211'!$B$2:$D$116,3,FALSE),"")</f>
        <v/>
      </c>
      <c r="H383" s="32" t="str">
        <f>IFERROR(VLOOKUP(B383,双一流!$B$2:$D$148,3,FALSE),"")</f>
        <v/>
      </c>
      <c r="I383" s="32" t="str">
        <f>IFERROR(VLOOKUP(B383,汇总!$B$2:$I$2921,8,FALSE),"")</f>
        <v>财经</v>
      </c>
      <c r="J383" s="34" t="s">
        <v>11</v>
      </c>
      <c r="K383" s="35" t="s">
        <v>12</v>
      </c>
    </row>
    <row r="384" ht="33.75" spans="1:11">
      <c r="A384" s="29">
        <v>383</v>
      </c>
      <c r="B384" s="29" t="s">
        <v>482</v>
      </c>
      <c r="C384" s="29" t="str">
        <f>VLOOKUP(B384,教育部大学名单!$B$1:$D$2920,3,FALSE)</f>
        <v>浙江省</v>
      </c>
      <c r="D384" s="29" t="s">
        <v>448</v>
      </c>
      <c r="E384" s="29" t="s">
        <v>449</v>
      </c>
      <c r="F384" s="36" t="str">
        <f>IFERROR(VLOOKUP(B384,'985'!$B$2:$D$40,3,FALSE),"")</f>
        <v/>
      </c>
      <c r="G384" s="32" t="str">
        <f>IFERROR(VLOOKUP(B384,'211'!$B$2:$D$116,3,FALSE),"")</f>
        <v/>
      </c>
      <c r="H384" s="32" t="str">
        <f>IFERROR(VLOOKUP(B384,双一流!$B$2:$D$148,3,FALSE),"")</f>
        <v/>
      </c>
      <c r="I384" s="32">
        <f>IFERROR(VLOOKUP(B384,汇总!$B$2:$I$2921,8,FALSE),"")</f>
        <v>0</v>
      </c>
      <c r="J384" s="29" t="s">
        <v>11</v>
      </c>
      <c r="K384" s="33" t="s">
        <v>12</v>
      </c>
    </row>
    <row r="385" ht="17.25" spans="1:11">
      <c r="A385" s="34">
        <v>384</v>
      </c>
      <c r="B385" s="34" t="s">
        <v>483</v>
      </c>
      <c r="C385" s="29" t="str">
        <f>VLOOKUP(B385,教育部大学名单!$B$1:$D$2920,3,FALSE)</f>
        <v>浙江省</v>
      </c>
      <c r="D385" s="34" t="s">
        <v>448</v>
      </c>
      <c r="E385" s="34" t="s">
        <v>484</v>
      </c>
      <c r="F385" s="36" t="str">
        <f>IFERROR(VLOOKUP(B385,'985'!$B$2:$D$40,3,FALSE),"")</f>
        <v/>
      </c>
      <c r="G385" s="32" t="str">
        <f>IFERROR(VLOOKUP(B385,'211'!$B$2:$D$116,3,FALSE),"")</f>
        <v/>
      </c>
      <c r="H385" s="32" t="str">
        <f>IFERROR(VLOOKUP(B385,双一流!$B$2:$D$148,3,FALSE),"")</f>
        <v/>
      </c>
      <c r="I385" s="32">
        <f>IFERROR(VLOOKUP(B385,汇总!$B$2:$I$2921,8,FALSE),"")</f>
        <v>0</v>
      </c>
      <c r="J385" s="34" t="s">
        <v>11</v>
      </c>
      <c r="K385" s="35" t="s">
        <v>12</v>
      </c>
    </row>
    <row r="386" ht="17.25" spans="1:11">
      <c r="A386" s="29">
        <v>385</v>
      </c>
      <c r="B386" s="29" t="s">
        <v>485</v>
      </c>
      <c r="C386" s="29" t="str">
        <f>VLOOKUP(B386,教育部大学名单!$B$1:$D$2920,3,FALSE)</f>
        <v>浙江省</v>
      </c>
      <c r="D386" s="29" t="s">
        <v>448</v>
      </c>
      <c r="E386" s="29" t="s">
        <v>477</v>
      </c>
      <c r="F386" s="36" t="str">
        <f>IFERROR(VLOOKUP(B386,'985'!$B$2:$D$40,3,FALSE),"")</f>
        <v/>
      </c>
      <c r="G386" s="32" t="str">
        <f>IFERROR(VLOOKUP(B386,'211'!$B$2:$D$116,3,FALSE),"")</f>
        <v/>
      </c>
      <c r="H386" s="32" t="str">
        <f>IFERROR(VLOOKUP(B386,双一流!$B$2:$D$148,3,FALSE),"")</f>
        <v>双一流</v>
      </c>
      <c r="I386" s="32" t="str">
        <f>IFERROR(VLOOKUP(B386,汇总!$B$2:$I$2921,8,FALSE),"")</f>
        <v>综合</v>
      </c>
      <c r="J386" s="29" t="s">
        <v>11</v>
      </c>
      <c r="K386" s="33" t="s">
        <v>12</v>
      </c>
    </row>
    <row r="387" ht="33.75" spans="1:11">
      <c r="A387" s="34">
        <v>386</v>
      </c>
      <c r="B387" s="34" t="s">
        <v>486</v>
      </c>
      <c r="C387" s="29" t="str">
        <f>VLOOKUP(B387,教育部大学名单!$B$1:$D$2920,3,FALSE)</f>
        <v>浙江省</v>
      </c>
      <c r="D387" s="34" t="s">
        <v>448</v>
      </c>
      <c r="E387" s="34" t="s">
        <v>449</v>
      </c>
      <c r="F387" s="36" t="str">
        <f>IFERROR(VLOOKUP(B387,'985'!$B$2:$D$40,3,FALSE),"")</f>
        <v/>
      </c>
      <c r="G387" s="32" t="str">
        <f>IFERROR(VLOOKUP(B387,'211'!$B$2:$D$116,3,FALSE),"")</f>
        <v/>
      </c>
      <c r="H387" s="32" t="str">
        <f>IFERROR(VLOOKUP(B387,双一流!$B$2:$D$148,3,FALSE),"")</f>
        <v/>
      </c>
      <c r="I387" s="32">
        <f>IFERROR(VLOOKUP(B387,汇总!$B$2:$I$2921,8,FALSE),"")</f>
        <v>0</v>
      </c>
      <c r="J387" s="34" t="s">
        <v>11</v>
      </c>
      <c r="K387" s="35" t="s">
        <v>12</v>
      </c>
    </row>
    <row r="388" ht="33.75" spans="1:11">
      <c r="A388" s="29">
        <v>387</v>
      </c>
      <c r="B388" s="29" t="s">
        <v>487</v>
      </c>
      <c r="C388" s="29" t="str">
        <f>VLOOKUP(B388,教育部大学名单!$B$1:$D$2920,3,FALSE)</f>
        <v>浙江省</v>
      </c>
      <c r="D388" s="29" t="s">
        <v>448</v>
      </c>
      <c r="E388" s="29" t="s">
        <v>449</v>
      </c>
      <c r="F388" s="36" t="str">
        <f>IFERROR(VLOOKUP(B388,'985'!$B$2:$D$40,3,FALSE),"")</f>
        <v/>
      </c>
      <c r="G388" s="32" t="str">
        <f>IFERROR(VLOOKUP(B388,'211'!$B$2:$D$116,3,FALSE),"")</f>
        <v/>
      </c>
      <c r="H388" s="32" t="str">
        <f>IFERROR(VLOOKUP(B388,双一流!$B$2:$D$148,3,FALSE),"")</f>
        <v/>
      </c>
      <c r="I388" s="32">
        <f>IFERROR(VLOOKUP(B388,汇总!$B$2:$I$2921,8,FALSE),"")</f>
        <v>0</v>
      </c>
      <c r="J388" s="29" t="s">
        <v>11</v>
      </c>
      <c r="K388" s="33" t="s">
        <v>12</v>
      </c>
    </row>
    <row r="389" ht="33.75" spans="1:11">
      <c r="A389" s="34">
        <v>388</v>
      </c>
      <c r="B389" s="34" t="s">
        <v>488</v>
      </c>
      <c r="C389" s="29" t="str">
        <f>VLOOKUP(B389,教育部大学名单!$B$1:$D$2920,3,FALSE)</f>
        <v>浙江省</v>
      </c>
      <c r="D389" s="34" t="s">
        <v>448</v>
      </c>
      <c r="E389" s="34" t="s">
        <v>477</v>
      </c>
      <c r="F389" s="36" t="str">
        <f>IFERROR(VLOOKUP(B389,'985'!$B$2:$D$40,3,FALSE),"")</f>
        <v/>
      </c>
      <c r="G389" s="32" t="str">
        <f>IFERROR(VLOOKUP(B389,'211'!$B$2:$D$116,3,FALSE),"")</f>
        <v/>
      </c>
      <c r="H389" s="32" t="str">
        <f>IFERROR(VLOOKUP(B389,双一流!$B$2:$D$148,3,FALSE),"")</f>
        <v/>
      </c>
      <c r="I389" s="32">
        <f>IFERROR(VLOOKUP(B389,汇总!$B$2:$I$2921,8,FALSE),"")</f>
        <v>0</v>
      </c>
      <c r="J389" s="34" t="s">
        <v>11</v>
      </c>
      <c r="K389" s="35" t="s">
        <v>12</v>
      </c>
    </row>
    <row r="390" ht="17.25" spans="1:11">
      <c r="A390" s="29">
        <v>389</v>
      </c>
      <c r="B390" s="29" t="s">
        <v>489</v>
      </c>
      <c r="C390" s="29" t="str">
        <f>VLOOKUP(B390,教育部大学名单!$B$1:$D$2920,3,FALSE)</f>
        <v>浙江省</v>
      </c>
      <c r="D390" s="29" t="s">
        <v>448</v>
      </c>
      <c r="E390" s="29" t="s">
        <v>449</v>
      </c>
      <c r="F390" s="36" t="str">
        <f>IFERROR(VLOOKUP(B390,'985'!$B$2:$D$40,3,FALSE),"")</f>
        <v/>
      </c>
      <c r="G390" s="32" t="str">
        <f>IFERROR(VLOOKUP(B390,'211'!$B$2:$D$116,3,FALSE),"")</f>
        <v/>
      </c>
      <c r="H390" s="32" t="str">
        <f>IFERROR(VLOOKUP(B390,双一流!$B$2:$D$148,3,FALSE),"")</f>
        <v/>
      </c>
      <c r="I390" s="32">
        <f>IFERROR(VLOOKUP(B390,汇总!$B$2:$I$2921,8,FALSE),"")</f>
        <v>0</v>
      </c>
      <c r="J390" s="29" t="s">
        <v>11</v>
      </c>
      <c r="K390" s="33" t="s">
        <v>12</v>
      </c>
    </row>
    <row r="391" ht="17.25" spans="1:11">
      <c r="A391" s="34">
        <v>390</v>
      </c>
      <c r="B391" s="34" t="s">
        <v>490</v>
      </c>
      <c r="C391" s="29" t="str">
        <f>VLOOKUP(B391,教育部大学名单!$B$1:$D$2920,3,FALSE)</f>
        <v>浙江省</v>
      </c>
      <c r="D391" s="34" t="s">
        <v>448</v>
      </c>
      <c r="E391" s="34" t="s">
        <v>463</v>
      </c>
      <c r="F391" s="36" t="str">
        <f>IFERROR(VLOOKUP(B391,'985'!$B$2:$D$40,3,FALSE),"")</f>
        <v/>
      </c>
      <c r="G391" s="32" t="str">
        <f>IFERROR(VLOOKUP(B391,'211'!$B$2:$D$116,3,FALSE),"")</f>
        <v/>
      </c>
      <c r="H391" s="32" t="str">
        <f>IFERROR(VLOOKUP(B391,双一流!$B$2:$D$148,3,FALSE),"")</f>
        <v/>
      </c>
      <c r="I391" s="32">
        <f>IFERROR(VLOOKUP(B391,汇总!$B$2:$I$2921,8,FALSE),"")</f>
        <v>0</v>
      </c>
      <c r="J391" s="34" t="s">
        <v>11</v>
      </c>
      <c r="K391" s="35" t="s">
        <v>12</v>
      </c>
    </row>
    <row r="392" ht="33.75" spans="1:11">
      <c r="A392" s="29">
        <v>391</v>
      </c>
      <c r="B392" s="29" t="s">
        <v>491</v>
      </c>
      <c r="C392" s="29" t="str">
        <f>VLOOKUP(B392,教育部大学名单!$B$1:$D$2920,3,FALSE)</f>
        <v>浙江省</v>
      </c>
      <c r="D392" s="29" t="s">
        <v>448</v>
      </c>
      <c r="E392" s="29" t="s">
        <v>465</v>
      </c>
      <c r="F392" s="36" t="str">
        <f>IFERROR(VLOOKUP(B392,'985'!$B$2:$D$40,3,FALSE),"")</f>
        <v/>
      </c>
      <c r="G392" s="32" t="str">
        <f>IFERROR(VLOOKUP(B392,'211'!$B$2:$D$116,3,FALSE),"")</f>
        <v/>
      </c>
      <c r="H392" s="32" t="str">
        <f>IFERROR(VLOOKUP(B392,双一流!$B$2:$D$148,3,FALSE),"")</f>
        <v/>
      </c>
      <c r="I392" s="32" t="str">
        <f>IFERROR(VLOOKUP(B392,汇总!$B$2:$I$2921,8,FALSE),"")</f>
        <v/>
      </c>
      <c r="J392" s="29" t="s">
        <v>11</v>
      </c>
      <c r="K392" s="33" t="s">
        <v>12</v>
      </c>
    </row>
    <row r="393" ht="33.75" spans="1:11">
      <c r="A393" s="34">
        <v>392</v>
      </c>
      <c r="B393" s="34" t="s">
        <v>492</v>
      </c>
      <c r="C393" s="29" t="str">
        <f>VLOOKUP(B393,教育部大学名单!$B$1:$D$2920,3,FALSE)</f>
        <v>浙江省</v>
      </c>
      <c r="D393" s="34" t="s">
        <v>448</v>
      </c>
      <c r="E393" s="34" t="s">
        <v>457</v>
      </c>
      <c r="F393" s="36" t="str">
        <f>IFERROR(VLOOKUP(B393,'985'!$B$2:$D$40,3,FALSE),"")</f>
        <v/>
      </c>
      <c r="G393" s="32" t="str">
        <f>IFERROR(VLOOKUP(B393,'211'!$B$2:$D$116,3,FALSE),"")</f>
        <v/>
      </c>
      <c r="H393" s="32" t="str">
        <f>IFERROR(VLOOKUP(B393,双一流!$B$2:$D$148,3,FALSE),"")</f>
        <v/>
      </c>
      <c r="I393" s="32">
        <f>IFERROR(VLOOKUP(B393,汇总!$B$2:$I$2921,8,FALSE),"")</f>
        <v>0</v>
      </c>
      <c r="J393" s="34" t="s">
        <v>11</v>
      </c>
      <c r="K393" s="35" t="s">
        <v>12</v>
      </c>
    </row>
    <row r="394" ht="33.75" spans="1:11">
      <c r="A394" s="29">
        <v>393</v>
      </c>
      <c r="B394" s="29" t="s">
        <v>493</v>
      </c>
      <c r="C394" s="29" t="str">
        <f>VLOOKUP(B394,教育部大学名单!$B$1:$D$2920,3,FALSE)</f>
        <v>浙江省</v>
      </c>
      <c r="D394" s="29" t="s">
        <v>448</v>
      </c>
      <c r="E394" s="29" t="s">
        <v>473</v>
      </c>
      <c r="F394" s="36" t="str">
        <f>IFERROR(VLOOKUP(B394,'985'!$B$2:$D$40,3,FALSE),"")</f>
        <v/>
      </c>
      <c r="G394" s="32" t="str">
        <f>IFERROR(VLOOKUP(B394,'211'!$B$2:$D$116,3,FALSE),"")</f>
        <v/>
      </c>
      <c r="H394" s="32" t="str">
        <f>IFERROR(VLOOKUP(B394,双一流!$B$2:$D$148,3,FALSE),"")</f>
        <v/>
      </c>
      <c r="I394" s="32">
        <f>IFERROR(VLOOKUP(B394,汇总!$B$2:$I$2921,8,FALSE),"")</f>
        <v>0</v>
      </c>
      <c r="J394" s="29" t="s">
        <v>11</v>
      </c>
      <c r="K394" s="33" t="s">
        <v>12</v>
      </c>
    </row>
    <row r="395" ht="33.75" spans="1:11">
      <c r="A395" s="34">
        <v>394</v>
      </c>
      <c r="B395" s="34" t="s">
        <v>494</v>
      </c>
      <c r="C395" s="29" t="str">
        <f>VLOOKUP(B395,教育部大学名单!$B$1:$D$2920,3,FALSE)</f>
        <v>浙江省</v>
      </c>
      <c r="D395" s="34" t="s">
        <v>448</v>
      </c>
      <c r="E395" s="34" t="s">
        <v>449</v>
      </c>
      <c r="F395" s="36" t="str">
        <f>IFERROR(VLOOKUP(B395,'985'!$B$2:$D$40,3,FALSE),"")</f>
        <v/>
      </c>
      <c r="G395" s="32" t="str">
        <f>IFERROR(VLOOKUP(B395,'211'!$B$2:$D$116,3,FALSE),"")</f>
        <v/>
      </c>
      <c r="H395" s="32" t="str">
        <f>IFERROR(VLOOKUP(B395,双一流!$B$2:$D$148,3,FALSE),"")</f>
        <v/>
      </c>
      <c r="I395" s="32">
        <f>IFERROR(VLOOKUP(B395,汇总!$B$2:$I$2921,8,FALSE),"")</f>
        <v>0</v>
      </c>
      <c r="J395" s="34" t="s">
        <v>11</v>
      </c>
      <c r="K395" s="35" t="s">
        <v>12</v>
      </c>
    </row>
    <row r="396" ht="33.75" spans="1:11">
      <c r="A396" s="29">
        <v>395</v>
      </c>
      <c r="B396" s="29" t="s">
        <v>495</v>
      </c>
      <c r="C396" s="29" t="str">
        <f>VLOOKUP(B396,教育部大学名单!$B$1:$D$2920,3,FALSE)</f>
        <v>浙江省</v>
      </c>
      <c r="D396" s="29" t="s">
        <v>448</v>
      </c>
      <c r="E396" s="29" t="s">
        <v>449</v>
      </c>
      <c r="F396" s="36" t="str">
        <f>IFERROR(VLOOKUP(B396,'985'!$B$2:$D$40,3,FALSE),"")</f>
        <v/>
      </c>
      <c r="G396" s="32" t="str">
        <f>IFERROR(VLOOKUP(B396,'211'!$B$2:$D$116,3,FALSE),"")</f>
        <v/>
      </c>
      <c r="H396" s="32" t="str">
        <f>IFERROR(VLOOKUP(B396,双一流!$B$2:$D$148,3,FALSE),"")</f>
        <v/>
      </c>
      <c r="I396" s="32">
        <f>IFERROR(VLOOKUP(B396,汇总!$B$2:$I$2921,8,FALSE),"")</f>
        <v>0</v>
      </c>
      <c r="J396" s="29" t="s">
        <v>11</v>
      </c>
      <c r="K396" s="33" t="s">
        <v>12</v>
      </c>
    </row>
    <row r="397" ht="33.75" spans="1:11">
      <c r="A397" s="34">
        <v>396</v>
      </c>
      <c r="B397" s="34" t="s">
        <v>496</v>
      </c>
      <c r="C397" s="29" t="str">
        <f>VLOOKUP(B397,教育部大学名单!$B$1:$D$2920,3,FALSE)</f>
        <v>浙江省</v>
      </c>
      <c r="D397" s="34" t="s">
        <v>448</v>
      </c>
      <c r="E397" s="34" t="s">
        <v>477</v>
      </c>
      <c r="F397" s="36" t="str">
        <f>IFERROR(VLOOKUP(B397,'985'!$B$2:$D$40,3,FALSE),"")</f>
        <v/>
      </c>
      <c r="G397" s="32" t="str">
        <f>IFERROR(VLOOKUP(B397,'211'!$B$2:$D$116,3,FALSE),"")</f>
        <v/>
      </c>
      <c r="H397" s="32" t="str">
        <f>IFERROR(VLOOKUP(B397,双一流!$B$2:$D$148,3,FALSE),"")</f>
        <v/>
      </c>
      <c r="I397" s="32">
        <f>IFERROR(VLOOKUP(B397,汇总!$B$2:$I$2921,8,FALSE),"")</f>
        <v>0</v>
      </c>
      <c r="J397" s="34" t="s">
        <v>11</v>
      </c>
      <c r="K397" s="35" t="s">
        <v>12</v>
      </c>
    </row>
    <row r="398" ht="33.75" spans="1:11">
      <c r="A398" s="29">
        <v>397</v>
      </c>
      <c r="B398" s="29" t="s">
        <v>497</v>
      </c>
      <c r="C398" s="29" t="str">
        <f>VLOOKUP(B398,教育部大学名单!$B$1:$D$2920,3,FALSE)</f>
        <v>浙江省</v>
      </c>
      <c r="D398" s="29" t="s">
        <v>448</v>
      </c>
      <c r="E398" s="29" t="s">
        <v>477</v>
      </c>
      <c r="F398" s="36" t="str">
        <f>IFERROR(VLOOKUP(B398,'985'!$B$2:$D$40,3,FALSE),"")</f>
        <v/>
      </c>
      <c r="G398" s="32" t="str">
        <f>IFERROR(VLOOKUP(B398,'211'!$B$2:$D$116,3,FALSE),"")</f>
        <v/>
      </c>
      <c r="H398" s="32" t="str">
        <f>IFERROR(VLOOKUP(B398,双一流!$B$2:$D$148,3,FALSE),"")</f>
        <v/>
      </c>
      <c r="I398" s="32" t="str">
        <f>IFERROR(VLOOKUP(B398,汇总!$B$2:$I$2921,8,FALSE),"")</f>
        <v/>
      </c>
      <c r="J398" s="29" t="s">
        <v>11</v>
      </c>
      <c r="K398" s="33" t="s">
        <v>12</v>
      </c>
    </row>
    <row r="399" ht="33.75" spans="1:11">
      <c r="A399" s="34">
        <v>398</v>
      </c>
      <c r="B399" s="34" t="s">
        <v>498</v>
      </c>
      <c r="C399" s="29" t="str">
        <f>VLOOKUP(B399,教育部大学名单!$B$1:$D$2920,3,FALSE)</f>
        <v>浙江省</v>
      </c>
      <c r="D399" s="34" t="s">
        <v>448</v>
      </c>
      <c r="E399" s="34" t="s">
        <v>460</v>
      </c>
      <c r="F399" s="36" t="str">
        <f>IFERROR(VLOOKUP(B399,'985'!$B$2:$D$40,3,FALSE),"")</f>
        <v/>
      </c>
      <c r="G399" s="32" t="str">
        <f>IFERROR(VLOOKUP(B399,'211'!$B$2:$D$116,3,FALSE),"")</f>
        <v/>
      </c>
      <c r="H399" s="32" t="str">
        <f>IFERROR(VLOOKUP(B399,双一流!$B$2:$D$148,3,FALSE),"")</f>
        <v/>
      </c>
      <c r="I399" s="32">
        <f>IFERROR(VLOOKUP(B399,汇总!$B$2:$I$2921,8,FALSE),"")</f>
        <v>0</v>
      </c>
      <c r="J399" s="34" t="s">
        <v>11</v>
      </c>
      <c r="K399" s="35" t="s">
        <v>12</v>
      </c>
    </row>
    <row r="400" ht="33.75" spans="1:11">
      <c r="A400" s="29">
        <v>399</v>
      </c>
      <c r="B400" s="29" t="s">
        <v>499</v>
      </c>
      <c r="C400" s="29" t="str">
        <f>VLOOKUP(B400,教育部大学名单!$B$1:$D$2920,3,FALSE)</f>
        <v>浙江省</v>
      </c>
      <c r="D400" s="29" t="s">
        <v>448</v>
      </c>
      <c r="E400" s="29" t="s">
        <v>449</v>
      </c>
      <c r="F400" s="36" t="str">
        <f>IFERROR(VLOOKUP(B400,'985'!$B$2:$D$40,3,FALSE),"")</f>
        <v/>
      </c>
      <c r="G400" s="32" t="str">
        <f>IFERROR(VLOOKUP(B400,'211'!$B$2:$D$116,3,FALSE),"")</f>
        <v/>
      </c>
      <c r="H400" s="32" t="str">
        <f>IFERROR(VLOOKUP(B400,双一流!$B$2:$D$148,3,FALSE),"")</f>
        <v/>
      </c>
      <c r="I400" s="32">
        <f>IFERROR(VLOOKUP(B400,汇总!$B$2:$I$2921,8,FALSE),"")</f>
        <v>0</v>
      </c>
      <c r="J400" s="29" t="s">
        <v>11</v>
      </c>
      <c r="K400" s="33" t="s">
        <v>12</v>
      </c>
    </row>
    <row r="401" ht="33.75" spans="1:11">
      <c r="A401" s="34">
        <v>400</v>
      </c>
      <c r="B401" s="34" t="s">
        <v>500</v>
      </c>
      <c r="C401" s="29" t="str">
        <f>VLOOKUP(B401,教育部大学名单!$B$1:$D$2920,3,FALSE)</f>
        <v>浙江省</v>
      </c>
      <c r="D401" s="34" t="s">
        <v>448</v>
      </c>
      <c r="E401" s="34" t="s">
        <v>449</v>
      </c>
      <c r="F401" s="36" t="str">
        <f>IFERROR(VLOOKUP(B401,'985'!$B$2:$D$40,3,FALSE),"")</f>
        <v/>
      </c>
      <c r="G401" s="32" t="str">
        <f>IFERROR(VLOOKUP(B401,'211'!$B$2:$D$116,3,FALSE),"")</f>
        <v/>
      </c>
      <c r="H401" s="32" t="str">
        <f>IFERROR(VLOOKUP(B401,双一流!$B$2:$D$148,3,FALSE),"")</f>
        <v/>
      </c>
      <c r="I401" s="32" t="str">
        <f>IFERROR(VLOOKUP(B401,汇总!$B$2:$I$2921,8,FALSE),"")</f>
        <v/>
      </c>
      <c r="J401" s="34" t="s">
        <v>11</v>
      </c>
      <c r="K401" s="35" t="s">
        <v>12</v>
      </c>
    </row>
    <row r="402" ht="17.25" spans="1:11">
      <c r="A402" s="29">
        <v>401</v>
      </c>
      <c r="B402" s="29" t="s">
        <v>501</v>
      </c>
      <c r="C402" s="29" t="str">
        <f>VLOOKUP(B402,教育部大学名单!$B$1:$D$2920,3,FALSE)</f>
        <v>安徽省</v>
      </c>
      <c r="D402" s="29" t="s">
        <v>502</v>
      </c>
      <c r="E402" s="29" t="s">
        <v>503</v>
      </c>
      <c r="F402" s="36" t="str">
        <f>IFERROR(VLOOKUP(B402,'985'!$B$2:$D$40,3,FALSE),"")</f>
        <v/>
      </c>
      <c r="G402" s="31">
        <f>IFERROR(VLOOKUP(B402,'211'!$B$2:$D$116,3,FALSE),"")</f>
        <v>211</v>
      </c>
      <c r="H402" s="32" t="str">
        <f>IFERROR(VLOOKUP(B402,双一流!$B$2:$D$148,3,FALSE),"")</f>
        <v>双一流</v>
      </c>
      <c r="I402" s="32" t="str">
        <f>IFERROR(VLOOKUP(B402,汇总!$B$2:$I$2921,8,FALSE),"")</f>
        <v>综合</v>
      </c>
      <c r="J402" s="29" t="s">
        <v>11</v>
      </c>
      <c r="K402" s="33" t="s">
        <v>12</v>
      </c>
    </row>
    <row r="403" ht="33.75" spans="1:11">
      <c r="A403" s="34">
        <v>402</v>
      </c>
      <c r="B403" s="34" t="s">
        <v>504</v>
      </c>
      <c r="C403" s="29" t="str">
        <f>VLOOKUP(B403,教育部大学名单!$B$1:$D$2920,3,FALSE)</f>
        <v>中国科学院</v>
      </c>
      <c r="D403" s="34" t="s">
        <v>502</v>
      </c>
      <c r="E403" s="34" t="s">
        <v>503</v>
      </c>
      <c r="F403" s="30">
        <f>IFERROR(VLOOKUP(B403,'985'!$B$2:$D$40,3,FALSE),"")</f>
        <v>985</v>
      </c>
      <c r="G403" s="31">
        <f>IFERROR(VLOOKUP(B403,'211'!$B$2:$D$116,3,FALSE),"")</f>
        <v>211</v>
      </c>
      <c r="H403" s="32" t="str">
        <f>IFERROR(VLOOKUP(B403,双一流!$B$2:$D$148,3,FALSE),"")</f>
        <v>双一流</v>
      </c>
      <c r="I403" s="32" t="str">
        <f>IFERROR(VLOOKUP(B403,汇总!$B$2:$I$2921,8,FALSE),"")</f>
        <v>理工</v>
      </c>
      <c r="J403" s="34" t="s">
        <v>11</v>
      </c>
      <c r="K403" s="35" t="s">
        <v>12</v>
      </c>
    </row>
    <row r="404" ht="33.75" spans="1:11">
      <c r="A404" s="29">
        <v>403</v>
      </c>
      <c r="B404" s="29" t="s">
        <v>505</v>
      </c>
      <c r="C404" s="29" t="str">
        <f>VLOOKUP(B404,教育部大学名单!$B$1:$D$2920,3,FALSE)</f>
        <v>教育部</v>
      </c>
      <c r="D404" s="29" t="s">
        <v>502</v>
      </c>
      <c r="E404" s="29" t="s">
        <v>503</v>
      </c>
      <c r="F404" s="36" t="str">
        <f>IFERROR(VLOOKUP(B404,'985'!$B$2:$D$40,3,FALSE),"")</f>
        <v/>
      </c>
      <c r="G404" s="31">
        <f>IFERROR(VLOOKUP(B404,'211'!$B$2:$D$116,3,FALSE),"")</f>
        <v>211</v>
      </c>
      <c r="H404" s="32" t="str">
        <f>IFERROR(VLOOKUP(B404,双一流!$B$2:$D$148,3,FALSE),"")</f>
        <v>双一流</v>
      </c>
      <c r="I404" s="32" t="str">
        <f>IFERROR(VLOOKUP(B404,汇总!$B$2:$I$2921,8,FALSE),"")</f>
        <v>理工</v>
      </c>
      <c r="J404" s="29" t="s">
        <v>11</v>
      </c>
      <c r="K404" s="33" t="s">
        <v>12</v>
      </c>
    </row>
    <row r="405" ht="33.75" spans="1:11">
      <c r="A405" s="34">
        <v>404</v>
      </c>
      <c r="B405" s="34" t="s">
        <v>506</v>
      </c>
      <c r="C405" s="29" t="str">
        <f>VLOOKUP(B405,教育部大学名单!$B$1:$D$2920,3,FALSE)</f>
        <v>安徽省</v>
      </c>
      <c r="D405" s="34" t="s">
        <v>502</v>
      </c>
      <c r="E405" s="34" t="s">
        <v>507</v>
      </c>
      <c r="F405" s="36" t="str">
        <f>IFERROR(VLOOKUP(B405,'985'!$B$2:$D$40,3,FALSE),"")</f>
        <v/>
      </c>
      <c r="G405" s="32" t="str">
        <f>IFERROR(VLOOKUP(B405,'211'!$B$2:$D$116,3,FALSE),"")</f>
        <v/>
      </c>
      <c r="H405" s="32" t="str">
        <f>IFERROR(VLOOKUP(B405,双一流!$B$2:$D$148,3,FALSE),"")</f>
        <v/>
      </c>
      <c r="I405" s="32" t="str">
        <f>IFERROR(VLOOKUP(B405,汇总!$B$2:$I$2921,8,FALSE),"")</f>
        <v>理工</v>
      </c>
      <c r="J405" s="34" t="s">
        <v>11</v>
      </c>
      <c r="K405" s="35" t="s">
        <v>12</v>
      </c>
    </row>
    <row r="406" ht="33.75" spans="1:11">
      <c r="A406" s="29">
        <v>405</v>
      </c>
      <c r="B406" s="29" t="s">
        <v>508</v>
      </c>
      <c r="C406" s="29" t="str">
        <f>VLOOKUP(B406,教育部大学名单!$B$1:$D$2920,3,FALSE)</f>
        <v>安徽省</v>
      </c>
      <c r="D406" s="29" t="s">
        <v>502</v>
      </c>
      <c r="E406" s="29" t="s">
        <v>509</v>
      </c>
      <c r="F406" s="36" t="str">
        <f>IFERROR(VLOOKUP(B406,'985'!$B$2:$D$40,3,FALSE),"")</f>
        <v/>
      </c>
      <c r="G406" s="32" t="str">
        <f>IFERROR(VLOOKUP(B406,'211'!$B$2:$D$116,3,FALSE),"")</f>
        <v/>
      </c>
      <c r="H406" s="32" t="str">
        <f>IFERROR(VLOOKUP(B406,双一流!$B$2:$D$148,3,FALSE),"")</f>
        <v/>
      </c>
      <c r="I406" s="32" t="str">
        <f>IFERROR(VLOOKUP(B406,汇总!$B$2:$I$2921,8,FALSE),"")</f>
        <v>理工</v>
      </c>
      <c r="J406" s="29" t="s">
        <v>11</v>
      </c>
      <c r="K406" s="33" t="s">
        <v>12</v>
      </c>
    </row>
    <row r="407" ht="33.75" spans="1:11">
      <c r="A407" s="34">
        <v>406</v>
      </c>
      <c r="B407" s="34" t="s">
        <v>510</v>
      </c>
      <c r="C407" s="29" t="str">
        <f>VLOOKUP(B407,教育部大学名单!$B$1:$D$2920,3,FALSE)</f>
        <v>安徽省</v>
      </c>
      <c r="D407" s="34" t="s">
        <v>502</v>
      </c>
      <c r="E407" s="34" t="s">
        <v>511</v>
      </c>
      <c r="F407" s="36" t="str">
        <f>IFERROR(VLOOKUP(B407,'985'!$B$2:$D$40,3,FALSE),"")</f>
        <v/>
      </c>
      <c r="G407" s="32" t="str">
        <f>IFERROR(VLOOKUP(B407,'211'!$B$2:$D$116,3,FALSE),"")</f>
        <v/>
      </c>
      <c r="H407" s="32" t="str">
        <f>IFERROR(VLOOKUP(B407,双一流!$B$2:$D$148,3,FALSE),"")</f>
        <v/>
      </c>
      <c r="I407" s="32" t="str">
        <f>IFERROR(VLOOKUP(B407,汇总!$B$2:$I$2921,8,FALSE),"")</f>
        <v>理工</v>
      </c>
      <c r="J407" s="34" t="s">
        <v>11</v>
      </c>
      <c r="K407" s="35" t="s">
        <v>12</v>
      </c>
    </row>
    <row r="408" ht="33.75" spans="1:11">
      <c r="A408" s="29">
        <v>407</v>
      </c>
      <c r="B408" s="29" t="s">
        <v>512</v>
      </c>
      <c r="C408" s="29" t="str">
        <f>VLOOKUP(B408,教育部大学名单!$B$1:$D$2920,3,FALSE)</f>
        <v>安徽省</v>
      </c>
      <c r="D408" s="29" t="s">
        <v>502</v>
      </c>
      <c r="E408" s="29" t="s">
        <v>503</v>
      </c>
      <c r="F408" s="36" t="str">
        <f>IFERROR(VLOOKUP(B408,'985'!$B$2:$D$40,3,FALSE),"")</f>
        <v/>
      </c>
      <c r="G408" s="32" t="str">
        <f>IFERROR(VLOOKUP(B408,'211'!$B$2:$D$116,3,FALSE),"")</f>
        <v/>
      </c>
      <c r="H408" s="32" t="str">
        <f>IFERROR(VLOOKUP(B408,双一流!$B$2:$D$148,3,FALSE),"")</f>
        <v/>
      </c>
      <c r="I408" s="32" t="str">
        <f>IFERROR(VLOOKUP(B408,汇总!$B$2:$I$2921,8,FALSE),"")</f>
        <v>农林</v>
      </c>
      <c r="J408" s="29" t="s">
        <v>11</v>
      </c>
      <c r="K408" s="33" t="s">
        <v>12</v>
      </c>
    </row>
    <row r="409" ht="33.75" spans="1:11">
      <c r="A409" s="34">
        <v>408</v>
      </c>
      <c r="B409" s="34" t="s">
        <v>513</v>
      </c>
      <c r="C409" s="29" t="str">
        <f>VLOOKUP(B409,教育部大学名单!$B$1:$D$2920,3,FALSE)</f>
        <v>安徽省</v>
      </c>
      <c r="D409" s="34" t="s">
        <v>502</v>
      </c>
      <c r="E409" s="34" t="s">
        <v>503</v>
      </c>
      <c r="F409" s="36" t="str">
        <f>IFERROR(VLOOKUP(B409,'985'!$B$2:$D$40,3,FALSE),"")</f>
        <v/>
      </c>
      <c r="G409" s="32" t="str">
        <f>IFERROR(VLOOKUP(B409,'211'!$B$2:$D$116,3,FALSE),"")</f>
        <v/>
      </c>
      <c r="H409" s="32" t="str">
        <f>IFERROR(VLOOKUP(B409,双一流!$B$2:$D$148,3,FALSE),"")</f>
        <v/>
      </c>
      <c r="I409" s="32" t="str">
        <f>IFERROR(VLOOKUP(B409,汇总!$B$2:$I$2921,8,FALSE),"")</f>
        <v>医药</v>
      </c>
      <c r="J409" s="34" t="s">
        <v>11</v>
      </c>
      <c r="K409" s="35" t="s">
        <v>12</v>
      </c>
    </row>
    <row r="410" ht="33.75" spans="1:11">
      <c r="A410" s="29">
        <v>409</v>
      </c>
      <c r="B410" s="29" t="s">
        <v>514</v>
      </c>
      <c r="C410" s="29" t="str">
        <f>VLOOKUP(B410,教育部大学名单!$B$1:$D$2920,3,FALSE)</f>
        <v>安徽省</v>
      </c>
      <c r="D410" s="29" t="s">
        <v>502</v>
      </c>
      <c r="E410" s="29" t="s">
        <v>515</v>
      </c>
      <c r="F410" s="36" t="str">
        <f>IFERROR(VLOOKUP(B410,'985'!$B$2:$D$40,3,FALSE),"")</f>
        <v/>
      </c>
      <c r="G410" s="32" t="str">
        <f>IFERROR(VLOOKUP(B410,'211'!$B$2:$D$116,3,FALSE),"")</f>
        <v/>
      </c>
      <c r="H410" s="32" t="str">
        <f>IFERROR(VLOOKUP(B410,双一流!$B$2:$D$148,3,FALSE),"")</f>
        <v/>
      </c>
      <c r="I410" s="32" t="str">
        <f>IFERROR(VLOOKUP(B410,汇总!$B$2:$I$2921,8,FALSE),"")</f>
        <v>医药</v>
      </c>
      <c r="J410" s="29" t="s">
        <v>11</v>
      </c>
      <c r="K410" s="33" t="s">
        <v>12</v>
      </c>
    </row>
    <row r="411" ht="33.75" spans="1:11">
      <c r="A411" s="34">
        <v>410</v>
      </c>
      <c r="B411" s="34" t="s">
        <v>516</v>
      </c>
      <c r="C411" s="29" t="e">
        <f>VLOOKUP(B411,教育部大学名单!$B$1:$D$2920,3,FALSE)</f>
        <v>#N/A</v>
      </c>
      <c r="D411" s="34" t="s">
        <v>502</v>
      </c>
      <c r="E411" s="34" t="s">
        <v>511</v>
      </c>
      <c r="F411" s="36" t="str">
        <f>IFERROR(VLOOKUP(B411,'985'!$B$2:$D$40,3,FALSE),"")</f>
        <v/>
      </c>
      <c r="G411" s="32" t="str">
        <f>IFERROR(VLOOKUP(B411,'211'!$B$2:$D$116,3,FALSE),"")</f>
        <v/>
      </c>
      <c r="H411" s="32" t="str">
        <f>IFERROR(VLOOKUP(B411,双一流!$B$2:$D$148,3,FALSE),"")</f>
        <v/>
      </c>
      <c r="I411" s="32" t="str">
        <f>IFERROR(VLOOKUP(B411,汇总!$B$2:$I$2921,8,FALSE),"")</f>
        <v/>
      </c>
      <c r="J411" s="34" t="s">
        <v>11</v>
      </c>
      <c r="K411" s="35" t="s">
        <v>12</v>
      </c>
    </row>
    <row r="412" ht="33.75" spans="1:11">
      <c r="A412" s="29">
        <v>411</v>
      </c>
      <c r="B412" s="29" t="s">
        <v>517</v>
      </c>
      <c r="C412" s="29" t="str">
        <f>VLOOKUP(B412,教育部大学名单!$B$1:$D$2920,3,FALSE)</f>
        <v>安徽省</v>
      </c>
      <c r="D412" s="29" t="s">
        <v>502</v>
      </c>
      <c r="E412" s="29" t="s">
        <v>503</v>
      </c>
      <c r="F412" s="36" t="str">
        <f>IFERROR(VLOOKUP(B412,'985'!$B$2:$D$40,3,FALSE),"")</f>
        <v/>
      </c>
      <c r="G412" s="32" t="str">
        <f>IFERROR(VLOOKUP(B412,'211'!$B$2:$D$116,3,FALSE),"")</f>
        <v/>
      </c>
      <c r="H412" s="32" t="str">
        <f>IFERROR(VLOOKUP(B412,双一流!$B$2:$D$148,3,FALSE),"")</f>
        <v/>
      </c>
      <c r="I412" s="32" t="str">
        <f>IFERROR(VLOOKUP(B412,汇总!$B$2:$I$2921,8,FALSE),"")</f>
        <v>医药</v>
      </c>
      <c r="J412" s="29" t="s">
        <v>11</v>
      </c>
      <c r="K412" s="33" t="s">
        <v>12</v>
      </c>
    </row>
    <row r="413" ht="33.75" spans="1:11">
      <c r="A413" s="34">
        <v>412</v>
      </c>
      <c r="B413" s="34" t="s">
        <v>518</v>
      </c>
      <c r="C413" s="29" t="str">
        <f>VLOOKUP(B413,教育部大学名单!$B$1:$D$2920,3,FALSE)</f>
        <v>安徽省</v>
      </c>
      <c r="D413" s="34" t="s">
        <v>502</v>
      </c>
      <c r="E413" s="34" t="s">
        <v>511</v>
      </c>
      <c r="F413" s="36" t="str">
        <f>IFERROR(VLOOKUP(B413,'985'!$B$2:$D$40,3,FALSE),"")</f>
        <v/>
      </c>
      <c r="G413" s="32" t="str">
        <f>IFERROR(VLOOKUP(B413,'211'!$B$2:$D$116,3,FALSE),"")</f>
        <v/>
      </c>
      <c r="H413" s="32" t="str">
        <f>IFERROR(VLOOKUP(B413,双一流!$B$2:$D$148,3,FALSE),"")</f>
        <v/>
      </c>
      <c r="I413" s="32" t="str">
        <f>IFERROR(VLOOKUP(B413,汇总!$B$2:$I$2921,8,FALSE),"")</f>
        <v>师范</v>
      </c>
      <c r="J413" s="34" t="s">
        <v>11</v>
      </c>
      <c r="K413" s="35" t="s">
        <v>12</v>
      </c>
    </row>
    <row r="414" ht="33.75" spans="1:11">
      <c r="A414" s="29">
        <v>413</v>
      </c>
      <c r="B414" s="29" t="s">
        <v>519</v>
      </c>
      <c r="C414" s="29" t="str">
        <f>VLOOKUP(B414,教育部大学名单!$B$1:$D$2920,3,FALSE)</f>
        <v>安徽省</v>
      </c>
      <c r="D414" s="29" t="s">
        <v>502</v>
      </c>
      <c r="E414" s="29" t="s">
        <v>520</v>
      </c>
      <c r="F414" s="36" t="str">
        <f>IFERROR(VLOOKUP(B414,'985'!$B$2:$D$40,3,FALSE),"")</f>
        <v/>
      </c>
      <c r="G414" s="32" t="str">
        <f>IFERROR(VLOOKUP(B414,'211'!$B$2:$D$116,3,FALSE),"")</f>
        <v/>
      </c>
      <c r="H414" s="32" t="str">
        <f>IFERROR(VLOOKUP(B414,双一流!$B$2:$D$148,3,FALSE),"")</f>
        <v/>
      </c>
      <c r="I414" s="32">
        <f>IFERROR(VLOOKUP(B414,汇总!$B$2:$I$2921,8,FALSE),"")</f>
        <v>0</v>
      </c>
      <c r="J414" s="29" t="s">
        <v>11</v>
      </c>
      <c r="K414" s="33" t="s">
        <v>12</v>
      </c>
    </row>
    <row r="415" ht="33.75" spans="1:11">
      <c r="A415" s="34">
        <v>414</v>
      </c>
      <c r="B415" s="34" t="s">
        <v>521</v>
      </c>
      <c r="C415" s="29" t="str">
        <f>VLOOKUP(B415,教育部大学名单!$B$1:$D$2920,3,FALSE)</f>
        <v>安徽省</v>
      </c>
      <c r="D415" s="34" t="s">
        <v>502</v>
      </c>
      <c r="E415" s="34" t="s">
        <v>522</v>
      </c>
      <c r="F415" s="36" t="str">
        <f>IFERROR(VLOOKUP(B415,'985'!$B$2:$D$40,3,FALSE),"")</f>
        <v/>
      </c>
      <c r="G415" s="32" t="str">
        <f>IFERROR(VLOOKUP(B415,'211'!$B$2:$D$116,3,FALSE),"")</f>
        <v/>
      </c>
      <c r="H415" s="32" t="str">
        <f>IFERROR(VLOOKUP(B415,双一流!$B$2:$D$148,3,FALSE),"")</f>
        <v/>
      </c>
      <c r="I415" s="32">
        <f>IFERROR(VLOOKUP(B415,汇总!$B$2:$I$2921,8,FALSE),"")</f>
        <v>0</v>
      </c>
      <c r="J415" s="34" t="s">
        <v>11</v>
      </c>
      <c r="K415" s="35" t="s">
        <v>12</v>
      </c>
    </row>
    <row r="416" ht="33.75" spans="1:11">
      <c r="A416" s="29">
        <v>415</v>
      </c>
      <c r="B416" s="29" t="s">
        <v>523</v>
      </c>
      <c r="C416" s="29" t="str">
        <f>VLOOKUP(B416,教育部大学名单!$B$1:$D$2920,3,FALSE)</f>
        <v>安徽省</v>
      </c>
      <c r="D416" s="29" t="s">
        <v>502</v>
      </c>
      <c r="E416" s="29" t="s">
        <v>524</v>
      </c>
      <c r="F416" s="36" t="str">
        <f>IFERROR(VLOOKUP(B416,'985'!$B$2:$D$40,3,FALSE),"")</f>
        <v/>
      </c>
      <c r="G416" s="32" t="str">
        <f>IFERROR(VLOOKUP(B416,'211'!$B$2:$D$116,3,FALSE),"")</f>
        <v/>
      </c>
      <c r="H416" s="32" t="str">
        <f>IFERROR(VLOOKUP(B416,双一流!$B$2:$D$148,3,FALSE),"")</f>
        <v/>
      </c>
      <c r="I416" s="32">
        <f>IFERROR(VLOOKUP(B416,汇总!$B$2:$I$2921,8,FALSE),"")</f>
        <v>0</v>
      </c>
      <c r="J416" s="29" t="s">
        <v>11</v>
      </c>
      <c r="K416" s="33" t="s">
        <v>12</v>
      </c>
    </row>
    <row r="417" ht="17.25" spans="1:11">
      <c r="A417" s="34">
        <v>416</v>
      </c>
      <c r="B417" s="34" t="s">
        <v>525</v>
      </c>
      <c r="C417" s="29" t="str">
        <f>VLOOKUP(B417,教育部大学名单!$B$1:$D$2920,3,FALSE)</f>
        <v>安徽省</v>
      </c>
      <c r="D417" s="34" t="s">
        <v>502</v>
      </c>
      <c r="E417" s="34" t="s">
        <v>526</v>
      </c>
      <c r="F417" s="36" t="str">
        <f>IFERROR(VLOOKUP(B417,'985'!$B$2:$D$40,3,FALSE),"")</f>
        <v/>
      </c>
      <c r="G417" s="32" t="str">
        <f>IFERROR(VLOOKUP(B417,'211'!$B$2:$D$116,3,FALSE),"")</f>
        <v/>
      </c>
      <c r="H417" s="32" t="str">
        <f>IFERROR(VLOOKUP(B417,双一流!$B$2:$D$148,3,FALSE),"")</f>
        <v/>
      </c>
      <c r="I417" s="32">
        <f>IFERROR(VLOOKUP(B417,汇总!$B$2:$I$2921,8,FALSE),"")</f>
        <v>0</v>
      </c>
      <c r="J417" s="34" t="s">
        <v>11</v>
      </c>
      <c r="K417" s="35" t="s">
        <v>12</v>
      </c>
    </row>
    <row r="418" ht="17.25" spans="1:11">
      <c r="A418" s="29">
        <v>417</v>
      </c>
      <c r="B418" s="29" t="s">
        <v>527</v>
      </c>
      <c r="C418" s="29" t="str">
        <f>VLOOKUP(B418,教育部大学名单!$B$1:$D$2920,3,FALSE)</f>
        <v>安徽省</v>
      </c>
      <c r="D418" s="29" t="s">
        <v>502</v>
      </c>
      <c r="E418" s="29" t="s">
        <v>528</v>
      </c>
      <c r="F418" s="36" t="str">
        <f>IFERROR(VLOOKUP(B418,'985'!$B$2:$D$40,3,FALSE),"")</f>
        <v/>
      </c>
      <c r="G418" s="32" t="str">
        <f>IFERROR(VLOOKUP(B418,'211'!$B$2:$D$116,3,FALSE),"")</f>
        <v/>
      </c>
      <c r="H418" s="32" t="str">
        <f>IFERROR(VLOOKUP(B418,双一流!$B$2:$D$148,3,FALSE),"")</f>
        <v/>
      </c>
      <c r="I418" s="32">
        <f>IFERROR(VLOOKUP(B418,汇总!$B$2:$I$2921,8,FALSE),"")</f>
        <v>0</v>
      </c>
      <c r="J418" s="29" t="s">
        <v>11</v>
      </c>
      <c r="K418" s="33" t="s">
        <v>12</v>
      </c>
    </row>
    <row r="419" ht="17.25" spans="1:11">
      <c r="A419" s="34">
        <v>418</v>
      </c>
      <c r="B419" s="34" t="s">
        <v>529</v>
      </c>
      <c r="C419" s="29" t="str">
        <f>VLOOKUP(B419,教育部大学名单!$B$1:$D$2920,3,FALSE)</f>
        <v>安徽省</v>
      </c>
      <c r="D419" s="34" t="s">
        <v>502</v>
      </c>
      <c r="E419" s="34" t="s">
        <v>530</v>
      </c>
      <c r="F419" s="36" t="str">
        <f>IFERROR(VLOOKUP(B419,'985'!$B$2:$D$40,3,FALSE),"")</f>
        <v/>
      </c>
      <c r="G419" s="32" t="str">
        <f>IFERROR(VLOOKUP(B419,'211'!$B$2:$D$116,3,FALSE),"")</f>
        <v/>
      </c>
      <c r="H419" s="32" t="str">
        <f>IFERROR(VLOOKUP(B419,双一流!$B$2:$D$148,3,FALSE),"")</f>
        <v/>
      </c>
      <c r="I419" s="32">
        <f>IFERROR(VLOOKUP(B419,汇总!$B$2:$I$2921,8,FALSE),"")</f>
        <v>0</v>
      </c>
      <c r="J419" s="34" t="s">
        <v>11</v>
      </c>
      <c r="K419" s="35" t="s">
        <v>12</v>
      </c>
    </row>
    <row r="420" ht="33.75" spans="1:11">
      <c r="A420" s="29">
        <v>419</v>
      </c>
      <c r="B420" s="29" t="s">
        <v>531</v>
      </c>
      <c r="C420" s="29" t="str">
        <f>VLOOKUP(B420,教育部大学名单!$B$1:$D$2920,3,FALSE)</f>
        <v>安徽省</v>
      </c>
      <c r="D420" s="29" t="s">
        <v>502</v>
      </c>
      <c r="E420" s="29" t="s">
        <v>515</v>
      </c>
      <c r="F420" s="36" t="str">
        <f>IFERROR(VLOOKUP(B420,'985'!$B$2:$D$40,3,FALSE),"")</f>
        <v/>
      </c>
      <c r="G420" s="32" t="str">
        <f>IFERROR(VLOOKUP(B420,'211'!$B$2:$D$116,3,FALSE),"")</f>
        <v/>
      </c>
      <c r="H420" s="32" t="str">
        <f>IFERROR(VLOOKUP(B420,双一流!$B$2:$D$148,3,FALSE),"")</f>
        <v/>
      </c>
      <c r="I420" s="32" t="str">
        <f>IFERROR(VLOOKUP(B420,汇总!$B$2:$I$2921,8,FALSE),"")</f>
        <v>财经</v>
      </c>
      <c r="J420" s="29" t="s">
        <v>11</v>
      </c>
      <c r="K420" s="33" t="s">
        <v>12</v>
      </c>
    </row>
    <row r="421" ht="17.25" spans="1:11">
      <c r="A421" s="34">
        <v>420</v>
      </c>
      <c r="B421" s="34" t="s">
        <v>532</v>
      </c>
      <c r="C421" s="29" t="str">
        <f>VLOOKUP(B421,教育部大学名单!$B$1:$D$2920,3,FALSE)</f>
        <v>安徽省</v>
      </c>
      <c r="D421" s="34" t="s">
        <v>502</v>
      </c>
      <c r="E421" s="34" t="s">
        <v>533</v>
      </c>
      <c r="F421" s="36" t="str">
        <f>IFERROR(VLOOKUP(B421,'985'!$B$2:$D$40,3,FALSE),"")</f>
        <v/>
      </c>
      <c r="G421" s="32" t="str">
        <f>IFERROR(VLOOKUP(B421,'211'!$B$2:$D$116,3,FALSE),"")</f>
        <v/>
      </c>
      <c r="H421" s="32" t="str">
        <f>IFERROR(VLOOKUP(B421,双一流!$B$2:$D$148,3,FALSE),"")</f>
        <v/>
      </c>
      <c r="I421" s="32">
        <f>IFERROR(VLOOKUP(B421,汇总!$B$2:$I$2921,8,FALSE),"")</f>
        <v>0</v>
      </c>
      <c r="J421" s="34" t="s">
        <v>11</v>
      </c>
      <c r="K421" s="35" t="s">
        <v>12</v>
      </c>
    </row>
    <row r="422" ht="17.25" spans="1:11">
      <c r="A422" s="29">
        <v>421</v>
      </c>
      <c r="B422" s="29" t="s">
        <v>534</v>
      </c>
      <c r="C422" s="29" t="str">
        <f>VLOOKUP(B422,教育部大学名单!$B$1:$D$2920,3,FALSE)</f>
        <v>安徽省</v>
      </c>
      <c r="D422" s="29" t="s">
        <v>502</v>
      </c>
      <c r="E422" s="29" t="s">
        <v>503</v>
      </c>
      <c r="F422" s="36" t="str">
        <f>IFERROR(VLOOKUP(B422,'985'!$B$2:$D$40,3,FALSE),"")</f>
        <v/>
      </c>
      <c r="G422" s="32" t="str">
        <f>IFERROR(VLOOKUP(B422,'211'!$B$2:$D$116,3,FALSE),"")</f>
        <v/>
      </c>
      <c r="H422" s="32" t="str">
        <f>IFERROR(VLOOKUP(B422,双一流!$B$2:$D$148,3,FALSE),"")</f>
        <v/>
      </c>
      <c r="I422" s="32">
        <f>IFERROR(VLOOKUP(B422,汇总!$B$2:$I$2921,8,FALSE),"")</f>
        <v>0</v>
      </c>
      <c r="J422" s="29" t="s">
        <v>11</v>
      </c>
      <c r="K422" s="33" t="s">
        <v>12</v>
      </c>
    </row>
    <row r="423" ht="33.75" spans="1:11">
      <c r="A423" s="34">
        <v>422</v>
      </c>
      <c r="B423" s="34" t="s">
        <v>535</v>
      </c>
      <c r="C423" s="29" t="str">
        <f>VLOOKUP(B423,教育部大学名单!$B$1:$D$2920,3,FALSE)</f>
        <v>安徽省</v>
      </c>
      <c r="D423" s="34" t="s">
        <v>502</v>
      </c>
      <c r="E423" s="34" t="s">
        <v>509</v>
      </c>
      <c r="F423" s="36" t="str">
        <f>IFERROR(VLOOKUP(B423,'985'!$B$2:$D$40,3,FALSE),"")</f>
        <v/>
      </c>
      <c r="G423" s="32" t="str">
        <f>IFERROR(VLOOKUP(B423,'211'!$B$2:$D$116,3,FALSE),"")</f>
        <v/>
      </c>
      <c r="H423" s="32" t="str">
        <f>IFERROR(VLOOKUP(B423,双一流!$B$2:$D$148,3,FALSE),"")</f>
        <v/>
      </c>
      <c r="I423" s="32">
        <f>IFERROR(VLOOKUP(B423,汇总!$B$2:$I$2921,8,FALSE),"")</f>
        <v>0</v>
      </c>
      <c r="J423" s="34" t="s">
        <v>11</v>
      </c>
      <c r="K423" s="35" t="s">
        <v>12</v>
      </c>
    </row>
    <row r="424" ht="17.25" spans="1:11">
      <c r="A424" s="29">
        <v>423</v>
      </c>
      <c r="B424" s="29" t="s">
        <v>536</v>
      </c>
      <c r="C424" s="29" t="str">
        <f>VLOOKUP(B424,教育部大学名单!$B$1:$D$2920,3,FALSE)</f>
        <v>安徽省</v>
      </c>
      <c r="D424" s="29" t="s">
        <v>502</v>
      </c>
      <c r="E424" s="29" t="s">
        <v>537</v>
      </c>
      <c r="F424" s="36" t="str">
        <f>IFERROR(VLOOKUP(B424,'985'!$B$2:$D$40,3,FALSE),"")</f>
        <v/>
      </c>
      <c r="G424" s="32" t="str">
        <f>IFERROR(VLOOKUP(B424,'211'!$B$2:$D$116,3,FALSE),"")</f>
        <v/>
      </c>
      <c r="H424" s="32" t="str">
        <f>IFERROR(VLOOKUP(B424,双一流!$B$2:$D$148,3,FALSE),"")</f>
        <v/>
      </c>
      <c r="I424" s="32">
        <f>IFERROR(VLOOKUP(B424,汇总!$B$2:$I$2921,8,FALSE),"")</f>
        <v>0</v>
      </c>
      <c r="J424" s="29" t="s">
        <v>11</v>
      </c>
      <c r="K424" s="33" t="s">
        <v>12</v>
      </c>
    </row>
    <row r="425" ht="33.75" spans="1:11">
      <c r="A425" s="34">
        <v>424</v>
      </c>
      <c r="B425" s="34" t="s">
        <v>538</v>
      </c>
      <c r="C425" s="29" t="str">
        <f>VLOOKUP(B425,教育部大学名单!$B$1:$D$2920,3,FALSE)</f>
        <v>安徽省</v>
      </c>
      <c r="D425" s="34" t="s">
        <v>502</v>
      </c>
      <c r="E425" s="34" t="s">
        <v>503</v>
      </c>
      <c r="F425" s="36" t="str">
        <f>IFERROR(VLOOKUP(B425,'985'!$B$2:$D$40,3,FALSE),"")</f>
        <v/>
      </c>
      <c r="G425" s="32" t="str">
        <f>IFERROR(VLOOKUP(B425,'211'!$B$2:$D$116,3,FALSE),"")</f>
        <v/>
      </c>
      <c r="H425" s="32" t="str">
        <f>IFERROR(VLOOKUP(B425,双一流!$B$2:$D$148,3,FALSE),"")</f>
        <v/>
      </c>
      <c r="I425" s="32" t="str">
        <f>IFERROR(VLOOKUP(B425,汇总!$B$2:$I$2921,8,FALSE),"")</f>
        <v>理工</v>
      </c>
      <c r="J425" s="34" t="s">
        <v>11</v>
      </c>
      <c r="K425" s="35" t="s">
        <v>12</v>
      </c>
    </row>
    <row r="426" ht="33.75" spans="1:11">
      <c r="A426" s="29">
        <v>425</v>
      </c>
      <c r="B426" s="29" t="s">
        <v>539</v>
      </c>
      <c r="C426" s="29" t="e">
        <f>VLOOKUP(B426,教育部大学名单!$B$1:$D$2920,3,FALSE)</f>
        <v>#N/A</v>
      </c>
      <c r="D426" s="29" t="s">
        <v>502</v>
      </c>
      <c r="E426" s="29" t="s">
        <v>530</v>
      </c>
      <c r="F426" s="36" t="str">
        <f>IFERROR(VLOOKUP(B426,'985'!$B$2:$D$40,3,FALSE),"")</f>
        <v/>
      </c>
      <c r="G426" s="32" t="str">
        <f>IFERROR(VLOOKUP(B426,'211'!$B$2:$D$116,3,FALSE),"")</f>
        <v/>
      </c>
      <c r="H426" s="32" t="str">
        <f>IFERROR(VLOOKUP(B426,双一流!$B$2:$D$148,3,FALSE),"")</f>
        <v/>
      </c>
      <c r="I426" s="32" t="str">
        <f>IFERROR(VLOOKUP(B426,汇总!$B$2:$I$2921,8,FALSE),"")</f>
        <v/>
      </c>
      <c r="J426" s="29" t="s">
        <v>11</v>
      </c>
      <c r="K426" s="33" t="s">
        <v>12</v>
      </c>
    </row>
    <row r="427" ht="17.25" spans="1:11">
      <c r="A427" s="34">
        <v>426</v>
      </c>
      <c r="B427" s="34" t="s">
        <v>540</v>
      </c>
      <c r="C427" s="29" t="str">
        <f>VLOOKUP(B427,教育部大学名单!$B$1:$D$2920,3,FALSE)</f>
        <v>安徽省</v>
      </c>
      <c r="D427" s="34" t="s">
        <v>502</v>
      </c>
      <c r="E427" s="34" t="s">
        <v>503</v>
      </c>
      <c r="F427" s="36" t="str">
        <f>IFERROR(VLOOKUP(B427,'985'!$B$2:$D$40,3,FALSE),"")</f>
        <v/>
      </c>
      <c r="G427" s="32" t="str">
        <f>IFERROR(VLOOKUP(B427,'211'!$B$2:$D$116,3,FALSE),"")</f>
        <v/>
      </c>
      <c r="H427" s="32" t="str">
        <f>IFERROR(VLOOKUP(B427,双一流!$B$2:$D$148,3,FALSE),"")</f>
        <v/>
      </c>
      <c r="I427" s="32">
        <f>IFERROR(VLOOKUP(B427,汇总!$B$2:$I$2921,8,FALSE),"")</f>
        <v>0</v>
      </c>
      <c r="J427" s="34" t="s">
        <v>11</v>
      </c>
      <c r="K427" s="35" t="s">
        <v>12</v>
      </c>
    </row>
    <row r="428" ht="17.25" spans="1:11">
      <c r="A428" s="29">
        <v>427</v>
      </c>
      <c r="B428" s="29" t="s">
        <v>541</v>
      </c>
      <c r="C428" s="29" t="str">
        <f>VLOOKUP(B428,教育部大学名单!$B$1:$D$2920,3,FALSE)</f>
        <v>安徽省</v>
      </c>
      <c r="D428" s="29" t="s">
        <v>502</v>
      </c>
      <c r="E428" s="29" t="s">
        <v>515</v>
      </c>
      <c r="F428" s="36" t="str">
        <f>IFERROR(VLOOKUP(B428,'985'!$B$2:$D$40,3,FALSE),"")</f>
        <v/>
      </c>
      <c r="G428" s="32" t="str">
        <f>IFERROR(VLOOKUP(B428,'211'!$B$2:$D$116,3,FALSE),"")</f>
        <v/>
      </c>
      <c r="H428" s="32" t="str">
        <f>IFERROR(VLOOKUP(B428,双一流!$B$2:$D$148,3,FALSE),"")</f>
        <v/>
      </c>
      <c r="I428" s="32">
        <f>IFERROR(VLOOKUP(B428,汇总!$B$2:$I$2921,8,FALSE),"")</f>
        <v>0</v>
      </c>
      <c r="J428" s="29" t="s">
        <v>11</v>
      </c>
      <c r="K428" s="33" t="s">
        <v>12</v>
      </c>
    </row>
    <row r="429" ht="17.25" spans="1:11">
      <c r="A429" s="34">
        <v>428</v>
      </c>
      <c r="B429" s="34" t="s">
        <v>542</v>
      </c>
      <c r="C429" s="29" t="str">
        <f>VLOOKUP(B429,教育部大学名单!$B$1:$D$2920,3,FALSE)</f>
        <v>安徽省</v>
      </c>
      <c r="D429" s="34" t="s">
        <v>502</v>
      </c>
      <c r="E429" s="34" t="s">
        <v>543</v>
      </c>
      <c r="F429" s="36" t="str">
        <f>IFERROR(VLOOKUP(B429,'985'!$B$2:$D$40,3,FALSE),"")</f>
        <v/>
      </c>
      <c r="G429" s="32" t="str">
        <f>IFERROR(VLOOKUP(B429,'211'!$B$2:$D$116,3,FALSE),"")</f>
        <v/>
      </c>
      <c r="H429" s="32" t="str">
        <f>IFERROR(VLOOKUP(B429,双一流!$B$2:$D$148,3,FALSE),"")</f>
        <v/>
      </c>
      <c r="I429" s="32">
        <f>IFERROR(VLOOKUP(B429,汇总!$B$2:$I$2921,8,FALSE),"")</f>
        <v>0</v>
      </c>
      <c r="J429" s="34" t="s">
        <v>11</v>
      </c>
      <c r="K429" s="35" t="s">
        <v>12</v>
      </c>
    </row>
    <row r="430" ht="17.25" spans="1:11">
      <c r="A430" s="29">
        <v>429</v>
      </c>
      <c r="B430" s="29" t="s">
        <v>544</v>
      </c>
      <c r="C430" s="29" t="str">
        <f>VLOOKUP(B430,教育部大学名单!$B$1:$D$2920,3,FALSE)</f>
        <v>安徽省</v>
      </c>
      <c r="D430" s="29" t="s">
        <v>502</v>
      </c>
      <c r="E430" s="29" t="s">
        <v>545</v>
      </c>
      <c r="F430" s="36" t="str">
        <f>IFERROR(VLOOKUP(B430,'985'!$B$2:$D$40,3,FALSE),"")</f>
        <v/>
      </c>
      <c r="G430" s="32" t="str">
        <f>IFERROR(VLOOKUP(B430,'211'!$B$2:$D$116,3,FALSE),"")</f>
        <v/>
      </c>
      <c r="H430" s="32" t="str">
        <f>IFERROR(VLOOKUP(B430,双一流!$B$2:$D$148,3,FALSE),"")</f>
        <v/>
      </c>
      <c r="I430" s="32">
        <f>IFERROR(VLOOKUP(B430,汇总!$B$2:$I$2921,8,FALSE),"")</f>
        <v>0</v>
      </c>
      <c r="J430" s="29" t="s">
        <v>11</v>
      </c>
      <c r="K430" s="33" t="s">
        <v>12</v>
      </c>
    </row>
    <row r="431" ht="33.75" spans="1:11">
      <c r="A431" s="34">
        <v>430</v>
      </c>
      <c r="B431" s="34" t="s">
        <v>546</v>
      </c>
      <c r="C431" s="29" t="str">
        <f>VLOOKUP(B431,教育部大学名单!$B$1:$D$2920,3,FALSE)</f>
        <v>安徽省</v>
      </c>
      <c r="D431" s="34" t="s">
        <v>502</v>
      </c>
      <c r="E431" s="34" t="s">
        <v>503</v>
      </c>
      <c r="F431" s="36" t="str">
        <f>IFERROR(VLOOKUP(B431,'985'!$B$2:$D$40,3,FALSE),"")</f>
        <v/>
      </c>
      <c r="G431" s="32" t="str">
        <f>IFERROR(VLOOKUP(B431,'211'!$B$2:$D$116,3,FALSE),"")</f>
        <v/>
      </c>
      <c r="H431" s="32" t="str">
        <f>IFERROR(VLOOKUP(B431,双一流!$B$2:$D$148,3,FALSE),"")</f>
        <v/>
      </c>
      <c r="I431" s="32">
        <f>IFERROR(VLOOKUP(B431,汇总!$B$2:$I$2921,8,FALSE),"")</f>
        <v>0</v>
      </c>
      <c r="J431" s="34" t="s">
        <v>11</v>
      </c>
      <c r="K431" s="35" t="s">
        <v>12</v>
      </c>
    </row>
    <row r="432" ht="33.75" spans="1:11">
      <c r="A432" s="29">
        <v>431</v>
      </c>
      <c r="B432" s="29" t="s">
        <v>547</v>
      </c>
      <c r="C432" s="29" t="str">
        <f>VLOOKUP(B432,教育部大学名单!$B$1:$D$2920,3,FALSE)</f>
        <v>安徽省</v>
      </c>
      <c r="D432" s="29" t="s">
        <v>502</v>
      </c>
      <c r="E432" s="29" t="s">
        <v>503</v>
      </c>
      <c r="F432" s="36" t="str">
        <f>IFERROR(VLOOKUP(B432,'985'!$B$2:$D$40,3,FALSE),"")</f>
        <v/>
      </c>
      <c r="G432" s="32" t="str">
        <f>IFERROR(VLOOKUP(B432,'211'!$B$2:$D$116,3,FALSE),"")</f>
        <v/>
      </c>
      <c r="H432" s="32" t="str">
        <f>IFERROR(VLOOKUP(B432,双一流!$B$2:$D$148,3,FALSE),"")</f>
        <v/>
      </c>
      <c r="I432" s="32">
        <f>IFERROR(VLOOKUP(B432,汇总!$B$2:$I$2921,8,FALSE),"")</f>
        <v>0</v>
      </c>
      <c r="J432" s="29" t="s">
        <v>11</v>
      </c>
      <c r="K432" s="33" t="s">
        <v>12</v>
      </c>
    </row>
    <row r="433" ht="33.75" spans="1:11">
      <c r="A433" s="34">
        <v>432</v>
      </c>
      <c r="B433" s="34" t="s">
        <v>548</v>
      </c>
      <c r="C433" s="29" t="str">
        <f>VLOOKUP(B433,教育部大学名单!$B$1:$D$2920,3,FALSE)</f>
        <v>安徽省</v>
      </c>
      <c r="D433" s="34" t="s">
        <v>502</v>
      </c>
      <c r="E433" s="34" t="s">
        <v>503</v>
      </c>
      <c r="F433" s="36" t="str">
        <f>IFERROR(VLOOKUP(B433,'985'!$B$2:$D$40,3,FALSE),"")</f>
        <v/>
      </c>
      <c r="G433" s="32" t="str">
        <f>IFERROR(VLOOKUP(B433,'211'!$B$2:$D$116,3,FALSE),"")</f>
        <v/>
      </c>
      <c r="H433" s="32" t="str">
        <f>IFERROR(VLOOKUP(B433,双一流!$B$2:$D$148,3,FALSE),"")</f>
        <v/>
      </c>
      <c r="I433" s="32">
        <f>IFERROR(VLOOKUP(B433,汇总!$B$2:$I$2921,8,FALSE),"")</f>
        <v>0</v>
      </c>
      <c r="J433" s="34" t="s">
        <v>11</v>
      </c>
      <c r="K433" s="35" t="s">
        <v>12</v>
      </c>
    </row>
    <row r="434" ht="33.75" spans="1:11">
      <c r="A434" s="29">
        <v>433</v>
      </c>
      <c r="B434" s="29" t="s">
        <v>549</v>
      </c>
      <c r="C434" s="29" t="str">
        <f>VLOOKUP(B434,教育部大学名单!$B$1:$D$2920,3,FALSE)</f>
        <v>安徽省</v>
      </c>
      <c r="D434" s="29" t="s">
        <v>502</v>
      </c>
      <c r="E434" s="29" t="s">
        <v>503</v>
      </c>
      <c r="F434" s="36" t="str">
        <f>IFERROR(VLOOKUP(B434,'985'!$B$2:$D$40,3,FALSE),"")</f>
        <v/>
      </c>
      <c r="G434" s="32" t="str">
        <f>IFERROR(VLOOKUP(B434,'211'!$B$2:$D$116,3,FALSE),"")</f>
        <v/>
      </c>
      <c r="H434" s="32" t="str">
        <f>IFERROR(VLOOKUP(B434,双一流!$B$2:$D$148,3,FALSE),"")</f>
        <v/>
      </c>
      <c r="I434" s="32" t="str">
        <f>IFERROR(VLOOKUP(B434,汇总!$B$2:$I$2921,8,FALSE),"")</f>
        <v/>
      </c>
      <c r="J434" s="29" t="s">
        <v>11</v>
      </c>
      <c r="K434" s="33" t="s">
        <v>12</v>
      </c>
    </row>
    <row r="435" ht="33.75" spans="1:11">
      <c r="A435" s="34">
        <v>434</v>
      </c>
      <c r="B435" s="34" t="s">
        <v>550</v>
      </c>
      <c r="C435" s="29" t="str">
        <f>VLOOKUP(B435,教育部大学名单!$B$1:$D$2920,3,FALSE)</f>
        <v>安徽省</v>
      </c>
      <c r="D435" s="34" t="s">
        <v>502</v>
      </c>
      <c r="E435" s="34" t="s">
        <v>511</v>
      </c>
      <c r="F435" s="36" t="str">
        <f>IFERROR(VLOOKUP(B435,'985'!$B$2:$D$40,3,FALSE),"")</f>
        <v/>
      </c>
      <c r="G435" s="32" t="str">
        <f>IFERROR(VLOOKUP(B435,'211'!$B$2:$D$116,3,FALSE),"")</f>
        <v/>
      </c>
      <c r="H435" s="32" t="str">
        <f>IFERROR(VLOOKUP(B435,双一流!$B$2:$D$148,3,FALSE),"")</f>
        <v/>
      </c>
      <c r="I435" s="32" t="str">
        <f>IFERROR(VLOOKUP(B435,汇总!$B$2:$I$2921,8,FALSE),"")</f>
        <v/>
      </c>
      <c r="J435" s="34" t="s">
        <v>11</v>
      </c>
      <c r="K435" s="35" t="s">
        <v>12</v>
      </c>
    </row>
    <row r="436" ht="33.75" spans="1:11">
      <c r="A436" s="29">
        <v>435</v>
      </c>
      <c r="B436" s="29" t="s">
        <v>551</v>
      </c>
      <c r="C436" s="29" t="str">
        <f>VLOOKUP(B436,教育部大学名单!$B$1:$D$2920,3,FALSE)</f>
        <v>安徽省</v>
      </c>
      <c r="D436" s="29" t="s">
        <v>502</v>
      </c>
      <c r="E436" s="29" t="s">
        <v>503</v>
      </c>
      <c r="F436" s="36" t="str">
        <f>IFERROR(VLOOKUP(B436,'985'!$B$2:$D$40,3,FALSE),"")</f>
        <v/>
      </c>
      <c r="G436" s="32" t="str">
        <f>IFERROR(VLOOKUP(B436,'211'!$B$2:$D$116,3,FALSE),"")</f>
        <v/>
      </c>
      <c r="H436" s="32" t="str">
        <f>IFERROR(VLOOKUP(B436,双一流!$B$2:$D$148,3,FALSE),"")</f>
        <v/>
      </c>
      <c r="I436" s="32" t="str">
        <f>IFERROR(VLOOKUP(B436,汇总!$B$2:$I$2921,8,FALSE),"")</f>
        <v/>
      </c>
      <c r="J436" s="29" t="s">
        <v>11</v>
      </c>
      <c r="K436" s="33" t="s">
        <v>12</v>
      </c>
    </row>
    <row r="437" ht="17.25" spans="1:11">
      <c r="A437" s="34">
        <v>436</v>
      </c>
      <c r="B437" s="34" t="s">
        <v>552</v>
      </c>
      <c r="C437" s="29" t="str">
        <f>VLOOKUP(B437,教育部大学名单!$B$1:$D$2920,3,FALSE)</f>
        <v>教育部</v>
      </c>
      <c r="D437" s="34" t="s">
        <v>553</v>
      </c>
      <c r="E437" s="34" t="s">
        <v>554</v>
      </c>
      <c r="F437" s="30">
        <f>IFERROR(VLOOKUP(B437,'985'!$B$2:$D$40,3,FALSE),"")</f>
        <v>985</v>
      </c>
      <c r="G437" s="31">
        <f>IFERROR(VLOOKUP(B437,'211'!$B$2:$D$116,3,FALSE),"")</f>
        <v>211</v>
      </c>
      <c r="H437" s="32" t="str">
        <f>IFERROR(VLOOKUP(B437,双一流!$B$2:$D$148,3,FALSE),"")</f>
        <v>双一流</v>
      </c>
      <c r="I437" s="32" t="str">
        <f>IFERROR(VLOOKUP(B437,汇总!$B$2:$I$2921,8,FALSE),"")</f>
        <v>综合</v>
      </c>
      <c r="J437" s="34" t="s">
        <v>11</v>
      </c>
      <c r="K437" s="35" t="s">
        <v>12</v>
      </c>
    </row>
    <row r="438" ht="17.25" spans="1:11">
      <c r="A438" s="29">
        <v>437</v>
      </c>
      <c r="B438" s="29" t="s">
        <v>555</v>
      </c>
      <c r="C438" s="29" t="str">
        <f>VLOOKUP(B438,教育部大学名单!$B$1:$D$2920,3,FALSE)</f>
        <v>中央统战部</v>
      </c>
      <c r="D438" s="29" t="s">
        <v>553</v>
      </c>
      <c r="E438" s="29" t="s">
        <v>556</v>
      </c>
      <c r="F438" s="36" t="str">
        <f>IFERROR(VLOOKUP(B438,'985'!$B$2:$D$40,3,FALSE),"")</f>
        <v/>
      </c>
      <c r="G438" s="32" t="str">
        <f>IFERROR(VLOOKUP(B438,'211'!$B$2:$D$116,3,FALSE),"")</f>
        <v/>
      </c>
      <c r="H438" s="32" t="str">
        <f>IFERROR(VLOOKUP(B438,双一流!$B$2:$D$148,3,FALSE),"")</f>
        <v/>
      </c>
      <c r="I438" s="32" t="str">
        <f>IFERROR(VLOOKUP(B438,汇总!$B$2:$I$2921,8,FALSE),"")</f>
        <v>综合</v>
      </c>
      <c r="J438" s="29" t="s">
        <v>11</v>
      </c>
      <c r="K438" s="33" t="s">
        <v>12</v>
      </c>
    </row>
    <row r="439" ht="17.25" spans="1:11">
      <c r="A439" s="34">
        <v>438</v>
      </c>
      <c r="B439" s="34" t="s">
        <v>557</v>
      </c>
      <c r="C439" s="29" t="str">
        <f>VLOOKUP(B439,教育部大学名单!$B$1:$D$2920,3,FALSE)</f>
        <v>福建省</v>
      </c>
      <c r="D439" s="34" t="s">
        <v>553</v>
      </c>
      <c r="E439" s="34" t="s">
        <v>558</v>
      </c>
      <c r="F439" s="36" t="str">
        <f>IFERROR(VLOOKUP(B439,'985'!$B$2:$D$40,3,FALSE),"")</f>
        <v/>
      </c>
      <c r="G439" s="31">
        <f>IFERROR(VLOOKUP(B439,'211'!$B$2:$D$116,3,FALSE),"")</f>
        <v>211</v>
      </c>
      <c r="H439" s="32" t="str">
        <f>IFERROR(VLOOKUP(B439,双一流!$B$2:$D$148,3,FALSE),"")</f>
        <v>双一流</v>
      </c>
      <c r="I439" s="32" t="str">
        <f>IFERROR(VLOOKUP(B439,汇总!$B$2:$I$2921,8,FALSE),"")</f>
        <v>理工</v>
      </c>
      <c r="J439" s="34" t="s">
        <v>11</v>
      </c>
      <c r="K439" s="35" t="s">
        <v>12</v>
      </c>
    </row>
    <row r="440" ht="33.75" spans="1:11">
      <c r="A440" s="29">
        <v>439</v>
      </c>
      <c r="B440" s="29" t="s">
        <v>559</v>
      </c>
      <c r="C440" s="29" t="str">
        <f>VLOOKUP(B440,教育部大学名单!$B$1:$D$2920,3,FALSE)</f>
        <v>福建省</v>
      </c>
      <c r="D440" s="29" t="s">
        <v>553</v>
      </c>
      <c r="E440" s="29" t="s">
        <v>558</v>
      </c>
      <c r="F440" s="36" t="str">
        <f>IFERROR(VLOOKUP(B440,'985'!$B$2:$D$40,3,FALSE),"")</f>
        <v/>
      </c>
      <c r="G440" s="32" t="str">
        <f>IFERROR(VLOOKUP(B440,'211'!$B$2:$D$116,3,FALSE),"")</f>
        <v/>
      </c>
      <c r="H440" s="32" t="str">
        <f>IFERROR(VLOOKUP(B440,双一流!$B$2:$D$148,3,FALSE),"")</f>
        <v/>
      </c>
      <c r="I440" s="32">
        <f>IFERROR(VLOOKUP(B440,汇总!$B$2:$I$2921,8,FALSE),"")</f>
        <v>0</v>
      </c>
      <c r="J440" s="29" t="s">
        <v>11</v>
      </c>
      <c r="K440" s="33" t="s">
        <v>12</v>
      </c>
    </row>
    <row r="441" ht="33.75" spans="1:11">
      <c r="A441" s="34">
        <v>440</v>
      </c>
      <c r="B441" s="34" t="s">
        <v>560</v>
      </c>
      <c r="C441" s="29" t="str">
        <f>VLOOKUP(B441,教育部大学名单!$B$1:$D$2920,3,FALSE)</f>
        <v>福建省</v>
      </c>
      <c r="D441" s="34" t="s">
        <v>553</v>
      </c>
      <c r="E441" s="34" t="s">
        <v>558</v>
      </c>
      <c r="F441" s="36" t="str">
        <f>IFERROR(VLOOKUP(B441,'985'!$B$2:$D$40,3,FALSE),"")</f>
        <v/>
      </c>
      <c r="G441" s="32" t="str">
        <f>IFERROR(VLOOKUP(B441,'211'!$B$2:$D$116,3,FALSE),"")</f>
        <v/>
      </c>
      <c r="H441" s="32" t="str">
        <f>IFERROR(VLOOKUP(B441,双一流!$B$2:$D$148,3,FALSE),"")</f>
        <v/>
      </c>
      <c r="I441" s="32" t="str">
        <f>IFERROR(VLOOKUP(B441,汇总!$B$2:$I$2921,8,FALSE),"")</f>
        <v>农林</v>
      </c>
      <c r="J441" s="34" t="s">
        <v>11</v>
      </c>
      <c r="K441" s="35" t="s">
        <v>12</v>
      </c>
    </row>
    <row r="442" ht="17.25" spans="1:11">
      <c r="A442" s="29">
        <v>441</v>
      </c>
      <c r="B442" s="29" t="s">
        <v>561</v>
      </c>
      <c r="C442" s="29" t="str">
        <f>VLOOKUP(B442,教育部大学名单!$B$1:$D$2920,3,FALSE)</f>
        <v>福建省</v>
      </c>
      <c r="D442" s="29" t="s">
        <v>553</v>
      </c>
      <c r="E442" s="29" t="s">
        <v>554</v>
      </c>
      <c r="F442" s="36" t="str">
        <f>IFERROR(VLOOKUP(B442,'985'!$B$2:$D$40,3,FALSE),"")</f>
        <v/>
      </c>
      <c r="G442" s="32" t="str">
        <f>IFERROR(VLOOKUP(B442,'211'!$B$2:$D$116,3,FALSE),"")</f>
        <v/>
      </c>
      <c r="H442" s="32" t="str">
        <f>IFERROR(VLOOKUP(B442,双一流!$B$2:$D$148,3,FALSE),"")</f>
        <v/>
      </c>
      <c r="I442" s="32" t="str">
        <f>IFERROR(VLOOKUP(B442,汇总!$B$2:$I$2921,8,FALSE),"")</f>
        <v>综合</v>
      </c>
      <c r="J442" s="29" t="s">
        <v>11</v>
      </c>
      <c r="K442" s="33" t="s">
        <v>12</v>
      </c>
    </row>
    <row r="443" ht="33.75" spans="1:11">
      <c r="A443" s="34">
        <v>442</v>
      </c>
      <c r="B443" s="34" t="s">
        <v>562</v>
      </c>
      <c r="C443" s="29" t="str">
        <f>VLOOKUP(B443,教育部大学名单!$B$1:$D$2920,3,FALSE)</f>
        <v>福建省</v>
      </c>
      <c r="D443" s="34" t="s">
        <v>553</v>
      </c>
      <c r="E443" s="34" t="s">
        <v>558</v>
      </c>
      <c r="F443" s="36" t="str">
        <f>IFERROR(VLOOKUP(B443,'985'!$B$2:$D$40,3,FALSE),"")</f>
        <v/>
      </c>
      <c r="G443" s="32" t="str">
        <f>IFERROR(VLOOKUP(B443,'211'!$B$2:$D$116,3,FALSE),"")</f>
        <v/>
      </c>
      <c r="H443" s="32" t="str">
        <f>IFERROR(VLOOKUP(B443,双一流!$B$2:$D$148,3,FALSE),"")</f>
        <v/>
      </c>
      <c r="I443" s="32" t="str">
        <f>IFERROR(VLOOKUP(B443,汇总!$B$2:$I$2921,8,FALSE),"")</f>
        <v>医药</v>
      </c>
      <c r="J443" s="34" t="s">
        <v>11</v>
      </c>
      <c r="K443" s="35" t="s">
        <v>12</v>
      </c>
    </row>
    <row r="444" ht="33.75" spans="1:11">
      <c r="A444" s="29">
        <v>443</v>
      </c>
      <c r="B444" s="29" t="s">
        <v>563</v>
      </c>
      <c r="C444" s="29" t="str">
        <f>VLOOKUP(B444,教育部大学名单!$B$1:$D$2920,3,FALSE)</f>
        <v>福建省</v>
      </c>
      <c r="D444" s="29" t="s">
        <v>553</v>
      </c>
      <c r="E444" s="29" t="s">
        <v>558</v>
      </c>
      <c r="F444" s="36" t="str">
        <f>IFERROR(VLOOKUP(B444,'985'!$B$2:$D$40,3,FALSE),"")</f>
        <v/>
      </c>
      <c r="G444" s="32" t="str">
        <f>IFERROR(VLOOKUP(B444,'211'!$B$2:$D$116,3,FALSE),"")</f>
        <v/>
      </c>
      <c r="H444" s="32" t="str">
        <f>IFERROR(VLOOKUP(B444,双一流!$B$2:$D$148,3,FALSE),"")</f>
        <v/>
      </c>
      <c r="I444" s="32" t="str">
        <f>IFERROR(VLOOKUP(B444,汇总!$B$2:$I$2921,8,FALSE),"")</f>
        <v>医药</v>
      </c>
      <c r="J444" s="29" t="s">
        <v>11</v>
      </c>
      <c r="K444" s="33" t="s">
        <v>12</v>
      </c>
    </row>
    <row r="445" ht="33.75" spans="1:11">
      <c r="A445" s="34">
        <v>444</v>
      </c>
      <c r="B445" s="34" t="s">
        <v>564</v>
      </c>
      <c r="C445" s="29" t="str">
        <f>VLOOKUP(B445,教育部大学名单!$B$1:$D$2920,3,FALSE)</f>
        <v>福建省</v>
      </c>
      <c r="D445" s="34" t="s">
        <v>553</v>
      </c>
      <c r="E445" s="34" t="s">
        <v>558</v>
      </c>
      <c r="F445" s="36" t="str">
        <f>IFERROR(VLOOKUP(B445,'985'!$B$2:$D$40,3,FALSE),"")</f>
        <v/>
      </c>
      <c r="G445" s="32" t="str">
        <f>IFERROR(VLOOKUP(B445,'211'!$B$2:$D$116,3,FALSE),"")</f>
        <v/>
      </c>
      <c r="H445" s="32" t="str">
        <f>IFERROR(VLOOKUP(B445,双一流!$B$2:$D$148,3,FALSE),"")</f>
        <v/>
      </c>
      <c r="I445" s="32" t="str">
        <f>IFERROR(VLOOKUP(B445,汇总!$B$2:$I$2921,8,FALSE),"")</f>
        <v>师范</v>
      </c>
      <c r="J445" s="34" t="s">
        <v>11</v>
      </c>
      <c r="K445" s="35" t="s">
        <v>12</v>
      </c>
    </row>
    <row r="446" ht="17.25" spans="1:11">
      <c r="A446" s="29">
        <v>445</v>
      </c>
      <c r="B446" s="29" t="s">
        <v>565</v>
      </c>
      <c r="C446" s="29" t="e">
        <f>VLOOKUP(B446,教育部大学名单!$B$1:$D$2920,3,FALSE)</f>
        <v>#N/A</v>
      </c>
      <c r="D446" s="29" t="s">
        <v>553</v>
      </c>
      <c r="E446" s="29" t="s">
        <v>558</v>
      </c>
      <c r="F446" s="36" t="str">
        <f>IFERROR(VLOOKUP(B446,'985'!$B$2:$D$40,3,FALSE),"")</f>
        <v/>
      </c>
      <c r="G446" s="32" t="str">
        <f>IFERROR(VLOOKUP(B446,'211'!$B$2:$D$116,3,FALSE),"")</f>
        <v/>
      </c>
      <c r="H446" s="32" t="str">
        <f>IFERROR(VLOOKUP(B446,双一流!$B$2:$D$148,3,FALSE),"")</f>
        <v/>
      </c>
      <c r="I446" s="32" t="str">
        <f>IFERROR(VLOOKUP(B446,汇总!$B$2:$I$2921,8,FALSE),"")</f>
        <v/>
      </c>
      <c r="J446" s="29" t="s">
        <v>11</v>
      </c>
      <c r="K446" s="33" t="s">
        <v>12</v>
      </c>
    </row>
    <row r="447" ht="17.25" spans="1:11">
      <c r="A447" s="34">
        <v>446</v>
      </c>
      <c r="B447" s="34" t="s">
        <v>566</v>
      </c>
      <c r="C447" s="29" t="str">
        <f>VLOOKUP(B447,教育部大学名单!$B$1:$D$2920,3,FALSE)</f>
        <v>福建省</v>
      </c>
      <c r="D447" s="34" t="s">
        <v>553</v>
      </c>
      <c r="E447" s="34" t="s">
        <v>567</v>
      </c>
      <c r="F447" s="36" t="str">
        <f>IFERROR(VLOOKUP(B447,'985'!$B$2:$D$40,3,FALSE),"")</f>
        <v/>
      </c>
      <c r="G447" s="32" t="str">
        <f>IFERROR(VLOOKUP(B447,'211'!$B$2:$D$116,3,FALSE),"")</f>
        <v/>
      </c>
      <c r="H447" s="32" t="str">
        <f>IFERROR(VLOOKUP(B447,双一流!$B$2:$D$148,3,FALSE),"")</f>
        <v/>
      </c>
      <c r="I447" s="32">
        <f>IFERROR(VLOOKUP(B447,汇总!$B$2:$I$2921,8,FALSE),"")</f>
        <v>0</v>
      </c>
      <c r="J447" s="34" t="s">
        <v>11</v>
      </c>
      <c r="K447" s="35" t="s">
        <v>12</v>
      </c>
    </row>
    <row r="448" ht="33.75" spans="1:11">
      <c r="A448" s="29">
        <v>447</v>
      </c>
      <c r="B448" s="29" t="s">
        <v>568</v>
      </c>
      <c r="C448" s="29" t="str">
        <f>VLOOKUP(B448,教育部大学名单!$B$1:$D$2920,3,FALSE)</f>
        <v>福建省</v>
      </c>
      <c r="D448" s="29" t="s">
        <v>553</v>
      </c>
      <c r="E448" s="29" t="s">
        <v>569</v>
      </c>
      <c r="F448" s="36" t="str">
        <f>IFERROR(VLOOKUP(B448,'985'!$B$2:$D$40,3,FALSE),"")</f>
        <v/>
      </c>
      <c r="G448" s="32" t="str">
        <f>IFERROR(VLOOKUP(B448,'211'!$B$2:$D$116,3,FALSE),"")</f>
        <v/>
      </c>
      <c r="H448" s="32" t="str">
        <f>IFERROR(VLOOKUP(B448,双一流!$B$2:$D$148,3,FALSE),"")</f>
        <v/>
      </c>
      <c r="I448" s="32">
        <f>IFERROR(VLOOKUP(B448,汇总!$B$2:$I$2921,8,FALSE),"")</f>
        <v>0</v>
      </c>
      <c r="J448" s="29" t="s">
        <v>11</v>
      </c>
      <c r="K448" s="33" t="s">
        <v>12</v>
      </c>
    </row>
    <row r="449" ht="33.75" spans="1:11">
      <c r="A449" s="34">
        <v>448</v>
      </c>
      <c r="B449" s="34" t="s">
        <v>570</v>
      </c>
      <c r="C449" s="29" t="str">
        <f>VLOOKUP(B449,教育部大学名单!$B$1:$D$2920,3,FALSE)</f>
        <v>福建省</v>
      </c>
      <c r="D449" s="34" t="s">
        <v>553</v>
      </c>
      <c r="E449" s="34" t="s">
        <v>556</v>
      </c>
      <c r="F449" s="36" t="str">
        <f>IFERROR(VLOOKUP(B449,'985'!$B$2:$D$40,3,FALSE),"")</f>
        <v/>
      </c>
      <c r="G449" s="32" t="str">
        <f>IFERROR(VLOOKUP(B449,'211'!$B$2:$D$116,3,FALSE),"")</f>
        <v/>
      </c>
      <c r="H449" s="32" t="str">
        <f>IFERROR(VLOOKUP(B449,双一流!$B$2:$D$148,3,FALSE),"")</f>
        <v/>
      </c>
      <c r="I449" s="32">
        <f>IFERROR(VLOOKUP(B449,汇总!$B$2:$I$2921,8,FALSE),"")</f>
        <v>0</v>
      </c>
      <c r="J449" s="34" t="s">
        <v>11</v>
      </c>
      <c r="K449" s="35" t="s">
        <v>12</v>
      </c>
    </row>
    <row r="450" ht="33.75" spans="1:11">
      <c r="A450" s="29">
        <v>449</v>
      </c>
      <c r="B450" s="29" t="s">
        <v>571</v>
      </c>
      <c r="C450" s="29" t="str">
        <f>VLOOKUP(B450,教育部大学名单!$B$1:$D$2920,3,FALSE)</f>
        <v>福建省</v>
      </c>
      <c r="D450" s="29" t="s">
        <v>553</v>
      </c>
      <c r="E450" s="29" t="s">
        <v>572</v>
      </c>
      <c r="F450" s="36" t="str">
        <f>IFERROR(VLOOKUP(B450,'985'!$B$2:$D$40,3,FALSE),"")</f>
        <v/>
      </c>
      <c r="G450" s="32" t="str">
        <f>IFERROR(VLOOKUP(B450,'211'!$B$2:$D$116,3,FALSE),"")</f>
        <v/>
      </c>
      <c r="H450" s="32" t="str">
        <f>IFERROR(VLOOKUP(B450,双一流!$B$2:$D$148,3,FALSE),"")</f>
        <v/>
      </c>
      <c r="I450" s="32">
        <f>IFERROR(VLOOKUP(B450,汇总!$B$2:$I$2921,8,FALSE),"")</f>
        <v>0</v>
      </c>
      <c r="J450" s="29" t="s">
        <v>11</v>
      </c>
      <c r="K450" s="33" t="s">
        <v>12</v>
      </c>
    </row>
    <row r="451" ht="33.75" spans="1:11">
      <c r="A451" s="34">
        <v>450</v>
      </c>
      <c r="B451" s="34" t="s">
        <v>573</v>
      </c>
      <c r="C451" s="29" t="str">
        <f>VLOOKUP(B451,教育部大学名单!$B$1:$D$2920,3,FALSE)</f>
        <v>福建省</v>
      </c>
      <c r="D451" s="34" t="s">
        <v>553</v>
      </c>
      <c r="E451" s="34" t="s">
        <v>554</v>
      </c>
      <c r="F451" s="36" t="str">
        <f>IFERROR(VLOOKUP(B451,'985'!$B$2:$D$40,3,FALSE),"")</f>
        <v/>
      </c>
      <c r="G451" s="32" t="str">
        <f>IFERROR(VLOOKUP(B451,'211'!$B$2:$D$116,3,FALSE),"")</f>
        <v/>
      </c>
      <c r="H451" s="32" t="str">
        <f>IFERROR(VLOOKUP(B451,双一流!$B$2:$D$148,3,FALSE),"")</f>
        <v/>
      </c>
      <c r="I451" s="32">
        <f>IFERROR(VLOOKUP(B451,汇总!$B$2:$I$2921,8,FALSE),"")</f>
        <v>0</v>
      </c>
      <c r="J451" s="34" t="s">
        <v>11</v>
      </c>
      <c r="K451" s="35" t="s">
        <v>12</v>
      </c>
    </row>
    <row r="452" ht="17.25" spans="1:11">
      <c r="A452" s="29">
        <v>451</v>
      </c>
      <c r="B452" s="29" t="s">
        <v>574</v>
      </c>
      <c r="C452" s="29" t="str">
        <f>VLOOKUP(B452,教育部大学名单!$B$1:$D$2920,3,FALSE)</f>
        <v>福建省</v>
      </c>
      <c r="D452" s="29" t="s">
        <v>553</v>
      </c>
      <c r="E452" s="29" t="s">
        <v>575</v>
      </c>
      <c r="F452" s="36" t="str">
        <f>IFERROR(VLOOKUP(B452,'985'!$B$2:$D$40,3,FALSE),"")</f>
        <v/>
      </c>
      <c r="G452" s="32" t="str">
        <f>IFERROR(VLOOKUP(B452,'211'!$B$2:$D$116,3,FALSE),"")</f>
        <v/>
      </c>
      <c r="H452" s="32" t="str">
        <f>IFERROR(VLOOKUP(B452,双一流!$B$2:$D$148,3,FALSE),"")</f>
        <v/>
      </c>
      <c r="I452" s="32">
        <f>IFERROR(VLOOKUP(B452,汇总!$B$2:$I$2921,8,FALSE),"")</f>
        <v>0</v>
      </c>
      <c r="J452" s="29" t="s">
        <v>11</v>
      </c>
      <c r="K452" s="33" t="s">
        <v>12</v>
      </c>
    </row>
    <row r="453" ht="17.25" spans="1:11">
      <c r="A453" s="34">
        <v>452</v>
      </c>
      <c r="B453" s="34" t="s">
        <v>576</v>
      </c>
      <c r="C453" s="29" t="str">
        <f>VLOOKUP(B453,教育部大学名单!$B$1:$D$2920,3,FALSE)</f>
        <v>福建省</v>
      </c>
      <c r="D453" s="34" t="s">
        <v>553</v>
      </c>
      <c r="E453" s="34" t="s">
        <v>577</v>
      </c>
      <c r="F453" s="36" t="str">
        <f>IFERROR(VLOOKUP(B453,'985'!$B$2:$D$40,3,FALSE),"")</f>
        <v/>
      </c>
      <c r="G453" s="32" t="str">
        <f>IFERROR(VLOOKUP(B453,'211'!$B$2:$D$116,3,FALSE),"")</f>
        <v/>
      </c>
      <c r="H453" s="32" t="str">
        <f>IFERROR(VLOOKUP(B453,双一流!$B$2:$D$148,3,FALSE),"")</f>
        <v/>
      </c>
      <c r="I453" s="32">
        <f>IFERROR(VLOOKUP(B453,汇总!$B$2:$I$2921,8,FALSE),"")</f>
        <v>0</v>
      </c>
      <c r="J453" s="34" t="s">
        <v>11</v>
      </c>
      <c r="K453" s="35" t="s">
        <v>12</v>
      </c>
    </row>
    <row r="454" ht="17.25" spans="1:11">
      <c r="A454" s="29">
        <v>453</v>
      </c>
      <c r="B454" s="29" t="s">
        <v>578</v>
      </c>
      <c r="C454" s="29" t="str">
        <f>VLOOKUP(B454,教育部大学名单!$B$1:$D$2920,3,FALSE)</f>
        <v>福建省</v>
      </c>
      <c r="D454" s="29" t="s">
        <v>553</v>
      </c>
      <c r="E454" s="29" t="s">
        <v>558</v>
      </c>
      <c r="F454" s="36" t="str">
        <f>IFERROR(VLOOKUP(B454,'985'!$B$2:$D$40,3,FALSE),"")</f>
        <v/>
      </c>
      <c r="G454" s="32" t="str">
        <f>IFERROR(VLOOKUP(B454,'211'!$B$2:$D$116,3,FALSE),"")</f>
        <v/>
      </c>
      <c r="H454" s="32" t="str">
        <f>IFERROR(VLOOKUP(B454,双一流!$B$2:$D$148,3,FALSE),"")</f>
        <v/>
      </c>
      <c r="I454" s="32">
        <f>IFERROR(VLOOKUP(B454,汇总!$B$2:$I$2921,8,FALSE),"")</f>
        <v>0</v>
      </c>
      <c r="J454" s="29" t="s">
        <v>11</v>
      </c>
      <c r="K454" s="33" t="s">
        <v>12</v>
      </c>
    </row>
    <row r="455" ht="33.75" spans="1:11">
      <c r="A455" s="34">
        <v>454</v>
      </c>
      <c r="B455" s="34" t="s">
        <v>579</v>
      </c>
      <c r="C455" s="29" t="str">
        <f>VLOOKUP(B455,教育部大学名单!$B$1:$D$2920,3,FALSE)</f>
        <v>福建省</v>
      </c>
      <c r="D455" s="34" t="s">
        <v>553</v>
      </c>
      <c r="E455" s="34" t="s">
        <v>558</v>
      </c>
      <c r="F455" s="36" t="str">
        <f>IFERROR(VLOOKUP(B455,'985'!$B$2:$D$40,3,FALSE),"")</f>
        <v/>
      </c>
      <c r="G455" s="32" t="str">
        <f>IFERROR(VLOOKUP(B455,'211'!$B$2:$D$116,3,FALSE),"")</f>
        <v/>
      </c>
      <c r="H455" s="32" t="str">
        <f>IFERROR(VLOOKUP(B455,双一流!$B$2:$D$148,3,FALSE),"")</f>
        <v/>
      </c>
      <c r="I455" s="32">
        <f>IFERROR(VLOOKUP(B455,汇总!$B$2:$I$2921,8,FALSE),"")</f>
        <v>0</v>
      </c>
      <c r="J455" s="34" t="s">
        <v>11</v>
      </c>
      <c r="K455" s="35" t="s">
        <v>12</v>
      </c>
    </row>
    <row r="456" ht="17.25" spans="1:11">
      <c r="A456" s="29">
        <v>455</v>
      </c>
      <c r="B456" s="29" t="s">
        <v>580</v>
      </c>
      <c r="C456" s="29" t="str">
        <f>VLOOKUP(B456,教育部大学名单!$B$1:$D$2920,3,FALSE)</f>
        <v>福建省</v>
      </c>
      <c r="D456" s="29" t="s">
        <v>553</v>
      </c>
      <c r="E456" s="29" t="s">
        <v>581</v>
      </c>
      <c r="F456" s="36" t="str">
        <f>IFERROR(VLOOKUP(B456,'985'!$B$2:$D$40,3,FALSE),"")</f>
        <v/>
      </c>
      <c r="G456" s="32" t="str">
        <f>IFERROR(VLOOKUP(B456,'211'!$B$2:$D$116,3,FALSE),"")</f>
        <v/>
      </c>
      <c r="H456" s="32" t="str">
        <f>IFERROR(VLOOKUP(B456,双一流!$B$2:$D$148,3,FALSE),"")</f>
        <v/>
      </c>
      <c r="I456" s="32">
        <f>IFERROR(VLOOKUP(B456,汇总!$B$2:$I$2921,8,FALSE),"")</f>
        <v>0</v>
      </c>
      <c r="J456" s="29" t="s">
        <v>11</v>
      </c>
      <c r="K456" s="33" t="s">
        <v>12</v>
      </c>
    </row>
    <row r="457" ht="17.25" spans="1:11">
      <c r="A457" s="34">
        <v>456</v>
      </c>
      <c r="B457" s="34" t="s">
        <v>582</v>
      </c>
      <c r="C457" s="29" t="str">
        <f>VLOOKUP(B457,教育部大学名单!$B$1:$D$2920,3,FALSE)</f>
        <v>福建省</v>
      </c>
      <c r="D457" s="34" t="s">
        <v>553</v>
      </c>
      <c r="E457" s="34" t="s">
        <v>554</v>
      </c>
      <c r="F457" s="36" t="str">
        <f>IFERROR(VLOOKUP(B457,'985'!$B$2:$D$40,3,FALSE),"")</f>
        <v/>
      </c>
      <c r="G457" s="32" t="str">
        <f>IFERROR(VLOOKUP(B457,'211'!$B$2:$D$116,3,FALSE),"")</f>
        <v/>
      </c>
      <c r="H457" s="32" t="str">
        <f>IFERROR(VLOOKUP(B457,双一流!$B$2:$D$148,3,FALSE),"")</f>
        <v/>
      </c>
      <c r="I457" s="32">
        <f>IFERROR(VLOOKUP(B457,汇总!$B$2:$I$2921,8,FALSE),"")</f>
        <v>0</v>
      </c>
      <c r="J457" s="34" t="s">
        <v>11</v>
      </c>
      <c r="K457" s="35" t="s">
        <v>12</v>
      </c>
    </row>
    <row r="458" ht="33.75" spans="1:11">
      <c r="A458" s="29">
        <v>457</v>
      </c>
      <c r="B458" s="29" t="s">
        <v>583</v>
      </c>
      <c r="C458" s="29" t="str">
        <f>VLOOKUP(B458,教育部大学名单!$B$1:$D$2920,3,FALSE)</f>
        <v>福建省</v>
      </c>
      <c r="D458" s="29" t="s">
        <v>553</v>
      </c>
      <c r="E458" s="29" t="s">
        <v>558</v>
      </c>
      <c r="F458" s="36" t="str">
        <f>IFERROR(VLOOKUP(B458,'985'!$B$2:$D$40,3,FALSE),"")</f>
        <v/>
      </c>
      <c r="G458" s="32" t="str">
        <f>IFERROR(VLOOKUP(B458,'211'!$B$2:$D$116,3,FALSE),"")</f>
        <v/>
      </c>
      <c r="H458" s="32" t="str">
        <f>IFERROR(VLOOKUP(B458,双一流!$B$2:$D$148,3,FALSE),"")</f>
        <v/>
      </c>
      <c r="I458" s="32">
        <f>IFERROR(VLOOKUP(B458,汇总!$B$2:$I$2921,8,FALSE),"")</f>
        <v>0</v>
      </c>
      <c r="J458" s="29" t="s">
        <v>11</v>
      </c>
      <c r="K458" s="33" t="s">
        <v>12</v>
      </c>
    </row>
    <row r="459" ht="33.75" spans="1:11">
      <c r="A459" s="34">
        <v>458</v>
      </c>
      <c r="B459" s="34" t="s">
        <v>584</v>
      </c>
      <c r="C459" s="29" t="str">
        <f>VLOOKUP(B459,教育部大学名单!$B$1:$D$2920,3,FALSE)</f>
        <v>福建省</v>
      </c>
      <c r="D459" s="34" t="s">
        <v>553</v>
      </c>
      <c r="E459" s="34" t="s">
        <v>558</v>
      </c>
      <c r="F459" s="36" t="str">
        <f>IFERROR(VLOOKUP(B459,'985'!$B$2:$D$40,3,FALSE),"")</f>
        <v/>
      </c>
      <c r="G459" s="32" t="str">
        <f>IFERROR(VLOOKUP(B459,'211'!$B$2:$D$116,3,FALSE),"")</f>
        <v/>
      </c>
      <c r="H459" s="32" t="str">
        <f>IFERROR(VLOOKUP(B459,双一流!$B$2:$D$148,3,FALSE),"")</f>
        <v/>
      </c>
      <c r="I459" s="32">
        <f>IFERROR(VLOOKUP(B459,汇总!$B$2:$I$2921,8,FALSE),"")</f>
        <v>0</v>
      </c>
      <c r="J459" s="34" t="s">
        <v>11</v>
      </c>
      <c r="K459" s="35" t="s">
        <v>12</v>
      </c>
    </row>
    <row r="460" ht="33.75" spans="1:11">
      <c r="A460" s="29">
        <v>459</v>
      </c>
      <c r="B460" s="29" t="s">
        <v>585</v>
      </c>
      <c r="C460" s="29" t="str">
        <f>VLOOKUP(B460,教育部大学名单!$B$1:$D$2920,3,FALSE)</f>
        <v>福建省</v>
      </c>
      <c r="D460" s="29" t="s">
        <v>553</v>
      </c>
      <c r="E460" s="29" t="s">
        <v>556</v>
      </c>
      <c r="F460" s="36" t="str">
        <f>IFERROR(VLOOKUP(B460,'985'!$B$2:$D$40,3,FALSE),"")</f>
        <v/>
      </c>
      <c r="G460" s="32" t="str">
        <f>IFERROR(VLOOKUP(B460,'211'!$B$2:$D$116,3,FALSE),"")</f>
        <v/>
      </c>
      <c r="H460" s="32" t="str">
        <f>IFERROR(VLOOKUP(B460,双一流!$B$2:$D$148,3,FALSE),"")</f>
        <v/>
      </c>
      <c r="I460" s="32" t="str">
        <f>IFERROR(VLOOKUP(B460,汇总!$B$2:$I$2921,8,FALSE),"")</f>
        <v>综合</v>
      </c>
      <c r="J460" s="29" t="s">
        <v>11</v>
      </c>
      <c r="K460" s="33" t="s">
        <v>12</v>
      </c>
    </row>
    <row r="461" ht="17.25" spans="1:11">
      <c r="A461" s="34">
        <v>460</v>
      </c>
      <c r="B461" s="34" t="s">
        <v>586</v>
      </c>
      <c r="C461" s="29" t="str">
        <f>VLOOKUP(B461,教育部大学名单!$B$1:$D$2920,3,FALSE)</f>
        <v>江西省</v>
      </c>
      <c r="D461" s="34" t="s">
        <v>587</v>
      </c>
      <c r="E461" s="34" t="s">
        <v>588</v>
      </c>
      <c r="F461" s="36" t="str">
        <f>IFERROR(VLOOKUP(B461,'985'!$B$2:$D$40,3,FALSE),"")</f>
        <v/>
      </c>
      <c r="G461" s="31">
        <f>IFERROR(VLOOKUP(B461,'211'!$B$2:$D$116,3,FALSE),"")</f>
        <v>211</v>
      </c>
      <c r="H461" s="32" t="str">
        <f>IFERROR(VLOOKUP(B461,双一流!$B$2:$D$148,3,FALSE),"")</f>
        <v>双一流</v>
      </c>
      <c r="I461" s="32" t="str">
        <f>IFERROR(VLOOKUP(B461,汇总!$B$2:$I$2921,8,FALSE),"")</f>
        <v>综合</v>
      </c>
      <c r="J461" s="34" t="s">
        <v>11</v>
      </c>
      <c r="K461" s="35" t="s">
        <v>12</v>
      </c>
    </row>
    <row r="462" ht="33.75" spans="1:11">
      <c r="A462" s="29">
        <v>461</v>
      </c>
      <c r="B462" s="29" t="s">
        <v>589</v>
      </c>
      <c r="C462" s="29" t="str">
        <f>VLOOKUP(B462,教育部大学名单!$B$1:$D$2920,3,FALSE)</f>
        <v>江西省</v>
      </c>
      <c r="D462" s="29" t="s">
        <v>587</v>
      </c>
      <c r="E462" s="29" t="s">
        <v>588</v>
      </c>
      <c r="F462" s="36" t="str">
        <f>IFERROR(VLOOKUP(B462,'985'!$B$2:$D$40,3,FALSE),"")</f>
        <v/>
      </c>
      <c r="G462" s="32" t="str">
        <f>IFERROR(VLOOKUP(B462,'211'!$B$2:$D$116,3,FALSE),"")</f>
        <v/>
      </c>
      <c r="H462" s="32" t="str">
        <f>IFERROR(VLOOKUP(B462,双一流!$B$2:$D$148,3,FALSE),"")</f>
        <v/>
      </c>
      <c r="I462" s="32" t="str">
        <f>IFERROR(VLOOKUP(B462,汇总!$B$2:$I$2921,8,FALSE),"")</f>
        <v>理工</v>
      </c>
      <c r="J462" s="29" t="s">
        <v>11</v>
      </c>
      <c r="K462" s="33" t="s">
        <v>12</v>
      </c>
    </row>
    <row r="463" ht="33.75" spans="1:11">
      <c r="A463" s="34">
        <v>462</v>
      </c>
      <c r="B463" s="34" t="s">
        <v>590</v>
      </c>
      <c r="C463" s="29" t="str">
        <f>VLOOKUP(B463,教育部大学名单!$B$1:$D$2920,3,FALSE)</f>
        <v>江西省</v>
      </c>
      <c r="D463" s="34" t="s">
        <v>587</v>
      </c>
      <c r="E463" s="34" t="s">
        <v>591</v>
      </c>
      <c r="F463" s="36" t="str">
        <f>IFERROR(VLOOKUP(B463,'985'!$B$2:$D$40,3,FALSE),"")</f>
        <v/>
      </c>
      <c r="G463" s="32" t="str">
        <f>IFERROR(VLOOKUP(B463,'211'!$B$2:$D$116,3,FALSE),"")</f>
        <v/>
      </c>
      <c r="H463" s="32" t="str">
        <f>IFERROR(VLOOKUP(B463,双一流!$B$2:$D$148,3,FALSE),"")</f>
        <v/>
      </c>
      <c r="I463" s="32" t="str">
        <f>IFERROR(VLOOKUP(B463,汇总!$B$2:$I$2921,8,FALSE),"")</f>
        <v>理工</v>
      </c>
      <c r="J463" s="34" t="s">
        <v>11</v>
      </c>
      <c r="K463" s="35" t="s">
        <v>12</v>
      </c>
    </row>
    <row r="464" ht="33.75" spans="1:11">
      <c r="A464" s="29">
        <v>463</v>
      </c>
      <c r="B464" s="29" t="s">
        <v>592</v>
      </c>
      <c r="C464" s="29" t="str">
        <f>VLOOKUP(B464,教育部大学名单!$B$1:$D$2920,3,FALSE)</f>
        <v>江西省</v>
      </c>
      <c r="D464" s="29" t="s">
        <v>587</v>
      </c>
      <c r="E464" s="29" t="s">
        <v>588</v>
      </c>
      <c r="F464" s="36" t="str">
        <f>IFERROR(VLOOKUP(B464,'985'!$B$2:$D$40,3,FALSE),"")</f>
        <v/>
      </c>
      <c r="G464" s="32" t="str">
        <f>IFERROR(VLOOKUP(B464,'211'!$B$2:$D$116,3,FALSE),"")</f>
        <v/>
      </c>
      <c r="H464" s="32" t="str">
        <f>IFERROR(VLOOKUP(B464,双一流!$B$2:$D$148,3,FALSE),"")</f>
        <v/>
      </c>
      <c r="I464" s="32" t="str">
        <f>IFERROR(VLOOKUP(B464,汇总!$B$2:$I$2921,8,FALSE),"")</f>
        <v>理工</v>
      </c>
      <c r="J464" s="29" t="s">
        <v>11</v>
      </c>
      <c r="K464" s="33" t="s">
        <v>12</v>
      </c>
    </row>
    <row r="465" ht="33.75" spans="1:11">
      <c r="A465" s="34">
        <v>464</v>
      </c>
      <c r="B465" s="34" t="s">
        <v>593</v>
      </c>
      <c r="C465" s="29" t="str">
        <f>VLOOKUP(B465,教育部大学名单!$B$1:$D$2920,3,FALSE)</f>
        <v>江西省</v>
      </c>
      <c r="D465" s="34" t="s">
        <v>587</v>
      </c>
      <c r="E465" s="34" t="s">
        <v>594</v>
      </c>
      <c r="F465" s="36" t="str">
        <f>IFERROR(VLOOKUP(B465,'985'!$B$2:$D$40,3,FALSE),"")</f>
        <v/>
      </c>
      <c r="G465" s="32" t="str">
        <f>IFERROR(VLOOKUP(B465,'211'!$B$2:$D$116,3,FALSE),"")</f>
        <v/>
      </c>
      <c r="H465" s="32" t="str">
        <f>IFERROR(VLOOKUP(B465,双一流!$B$2:$D$148,3,FALSE),"")</f>
        <v/>
      </c>
      <c r="I465" s="32" t="str">
        <f>IFERROR(VLOOKUP(B465,汇总!$B$2:$I$2921,8,FALSE),"")</f>
        <v>理工</v>
      </c>
      <c r="J465" s="34" t="s">
        <v>11</v>
      </c>
      <c r="K465" s="35" t="s">
        <v>12</v>
      </c>
    </row>
    <row r="466" ht="33.75" spans="1:11">
      <c r="A466" s="29">
        <v>465</v>
      </c>
      <c r="B466" s="29" t="s">
        <v>595</v>
      </c>
      <c r="C466" s="29" t="str">
        <f>VLOOKUP(B466,教育部大学名单!$B$1:$D$2920,3,FALSE)</f>
        <v>江西省</v>
      </c>
      <c r="D466" s="29" t="s">
        <v>587</v>
      </c>
      <c r="E466" s="29" t="s">
        <v>596</v>
      </c>
      <c r="F466" s="36" t="str">
        <f>IFERROR(VLOOKUP(B466,'985'!$B$2:$D$40,3,FALSE),"")</f>
        <v/>
      </c>
      <c r="G466" s="32" t="str">
        <f>IFERROR(VLOOKUP(B466,'211'!$B$2:$D$116,3,FALSE),"")</f>
        <v/>
      </c>
      <c r="H466" s="32" t="str">
        <f>IFERROR(VLOOKUP(B466,双一流!$B$2:$D$148,3,FALSE),"")</f>
        <v/>
      </c>
      <c r="I466" s="32" t="str">
        <f>IFERROR(VLOOKUP(B466,汇总!$B$2:$I$2921,8,FALSE),"")</f>
        <v>理工</v>
      </c>
      <c r="J466" s="29" t="s">
        <v>11</v>
      </c>
      <c r="K466" s="33" t="s">
        <v>12</v>
      </c>
    </row>
    <row r="467" ht="33.75" spans="1:11">
      <c r="A467" s="34">
        <v>466</v>
      </c>
      <c r="B467" s="34" t="s">
        <v>597</v>
      </c>
      <c r="C467" s="29" t="str">
        <f>VLOOKUP(B467,教育部大学名单!$B$1:$D$2920,3,FALSE)</f>
        <v>江西省</v>
      </c>
      <c r="D467" s="34" t="s">
        <v>587</v>
      </c>
      <c r="E467" s="34" t="s">
        <v>588</v>
      </c>
      <c r="F467" s="36" t="str">
        <f>IFERROR(VLOOKUP(B467,'985'!$B$2:$D$40,3,FALSE),"")</f>
        <v/>
      </c>
      <c r="G467" s="32" t="str">
        <f>IFERROR(VLOOKUP(B467,'211'!$B$2:$D$116,3,FALSE),"")</f>
        <v/>
      </c>
      <c r="H467" s="32" t="str">
        <f>IFERROR(VLOOKUP(B467,双一流!$B$2:$D$148,3,FALSE),"")</f>
        <v/>
      </c>
      <c r="I467" s="32" t="str">
        <f>IFERROR(VLOOKUP(B467,汇总!$B$2:$I$2921,8,FALSE),"")</f>
        <v>农林</v>
      </c>
      <c r="J467" s="34" t="s">
        <v>11</v>
      </c>
      <c r="K467" s="35" t="s">
        <v>12</v>
      </c>
    </row>
    <row r="468" ht="33.75" spans="1:11">
      <c r="A468" s="29">
        <v>467</v>
      </c>
      <c r="B468" s="29" t="s">
        <v>598</v>
      </c>
      <c r="C468" s="29" t="str">
        <f>VLOOKUP(B468,教育部大学名单!$B$1:$D$2920,3,FALSE)</f>
        <v>江西省</v>
      </c>
      <c r="D468" s="29" t="s">
        <v>587</v>
      </c>
      <c r="E468" s="29" t="s">
        <v>588</v>
      </c>
      <c r="F468" s="36" t="str">
        <f>IFERROR(VLOOKUP(B468,'985'!$B$2:$D$40,3,FALSE),"")</f>
        <v/>
      </c>
      <c r="G468" s="32" t="str">
        <f>IFERROR(VLOOKUP(B468,'211'!$B$2:$D$116,3,FALSE),"")</f>
        <v/>
      </c>
      <c r="H468" s="32" t="str">
        <f>IFERROR(VLOOKUP(B468,双一流!$B$2:$D$148,3,FALSE),"")</f>
        <v/>
      </c>
      <c r="I468" s="32" t="str">
        <f>IFERROR(VLOOKUP(B468,汇总!$B$2:$I$2921,8,FALSE),"")</f>
        <v>医药</v>
      </c>
      <c r="J468" s="29" t="s">
        <v>11</v>
      </c>
      <c r="K468" s="33" t="s">
        <v>12</v>
      </c>
    </row>
    <row r="469" ht="33.75" spans="1:11">
      <c r="A469" s="34">
        <v>468</v>
      </c>
      <c r="B469" s="34" t="s">
        <v>599</v>
      </c>
      <c r="C469" s="29" t="str">
        <f>VLOOKUP(B469,教育部大学名单!$B$1:$D$2920,3,FALSE)</f>
        <v>江西省</v>
      </c>
      <c r="D469" s="34" t="s">
        <v>587</v>
      </c>
      <c r="E469" s="34" t="s">
        <v>594</v>
      </c>
      <c r="F469" s="36" t="str">
        <f>IFERROR(VLOOKUP(B469,'985'!$B$2:$D$40,3,FALSE),"")</f>
        <v/>
      </c>
      <c r="G469" s="32" t="str">
        <f>IFERROR(VLOOKUP(B469,'211'!$B$2:$D$116,3,FALSE),"")</f>
        <v/>
      </c>
      <c r="H469" s="32" t="str">
        <f>IFERROR(VLOOKUP(B469,双一流!$B$2:$D$148,3,FALSE),"")</f>
        <v/>
      </c>
      <c r="I469" s="32">
        <f>IFERROR(VLOOKUP(B469,汇总!$B$2:$I$2921,8,FALSE),"")</f>
        <v>0</v>
      </c>
      <c r="J469" s="34" t="s">
        <v>11</v>
      </c>
      <c r="K469" s="35" t="s">
        <v>12</v>
      </c>
    </row>
    <row r="470" ht="33.75" spans="1:11">
      <c r="A470" s="29">
        <v>469</v>
      </c>
      <c r="B470" s="29" t="s">
        <v>600</v>
      </c>
      <c r="C470" s="29" t="str">
        <f>VLOOKUP(B470,教育部大学名单!$B$1:$D$2920,3,FALSE)</f>
        <v>江西省</v>
      </c>
      <c r="D470" s="29" t="s">
        <v>587</v>
      </c>
      <c r="E470" s="29" t="s">
        <v>588</v>
      </c>
      <c r="F470" s="36" t="str">
        <f>IFERROR(VLOOKUP(B470,'985'!$B$2:$D$40,3,FALSE),"")</f>
        <v/>
      </c>
      <c r="G470" s="32" t="str">
        <f>IFERROR(VLOOKUP(B470,'211'!$B$2:$D$116,3,FALSE),"")</f>
        <v/>
      </c>
      <c r="H470" s="32" t="str">
        <f>IFERROR(VLOOKUP(B470,双一流!$B$2:$D$148,3,FALSE),"")</f>
        <v/>
      </c>
      <c r="I470" s="32" t="str">
        <f>IFERROR(VLOOKUP(B470,汇总!$B$2:$I$2921,8,FALSE),"")</f>
        <v>师范</v>
      </c>
      <c r="J470" s="29" t="s">
        <v>11</v>
      </c>
      <c r="K470" s="33" t="s">
        <v>12</v>
      </c>
    </row>
    <row r="471" ht="33.75" spans="1:11">
      <c r="A471" s="34">
        <v>470</v>
      </c>
      <c r="B471" s="34" t="s">
        <v>601</v>
      </c>
      <c r="C471" s="29" t="str">
        <f>VLOOKUP(B471,教育部大学名单!$B$1:$D$2920,3,FALSE)</f>
        <v>江西省</v>
      </c>
      <c r="D471" s="34" t="s">
        <v>587</v>
      </c>
      <c r="E471" s="34" t="s">
        <v>602</v>
      </c>
      <c r="F471" s="36" t="str">
        <f>IFERROR(VLOOKUP(B471,'985'!$B$2:$D$40,3,FALSE),"")</f>
        <v/>
      </c>
      <c r="G471" s="32" t="str">
        <f>IFERROR(VLOOKUP(B471,'211'!$B$2:$D$116,3,FALSE),"")</f>
        <v/>
      </c>
      <c r="H471" s="32" t="str">
        <f>IFERROR(VLOOKUP(B471,双一流!$B$2:$D$148,3,FALSE),"")</f>
        <v/>
      </c>
      <c r="I471" s="32">
        <f>IFERROR(VLOOKUP(B471,汇总!$B$2:$I$2921,8,FALSE),"")</f>
        <v>0</v>
      </c>
      <c r="J471" s="34" t="s">
        <v>11</v>
      </c>
      <c r="K471" s="35" t="s">
        <v>12</v>
      </c>
    </row>
    <row r="472" ht="17.25" spans="1:11">
      <c r="A472" s="29">
        <v>471</v>
      </c>
      <c r="B472" s="29" t="s">
        <v>603</v>
      </c>
      <c r="C472" s="29" t="str">
        <f>VLOOKUP(B472,教育部大学名单!$B$1:$D$2920,3,FALSE)</f>
        <v>江西省</v>
      </c>
      <c r="D472" s="29" t="s">
        <v>587</v>
      </c>
      <c r="E472" s="29" t="s">
        <v>604</v>
      </c>
      <c r="F472" s="36" t="str">
        <f>IFERROR(VLOOKUP(B472,'985'!$B$2:$D$40,3,FALSE),"")</f>
        <v/>
      </c>
      <c r="G472" s="32" t="str">
        <f>IFERROR(VLOOKUP(B472,'211'!$B$2:$D$116,3,FALSE),"")</f>
        <v/>
      </c>
      <c r="H472" s="32" t="str">
        <f>IFERROR(VLOOKUP(B472,双一流!$B$2:$D$148,3,FALSE),"")</f>
        <v/>
      </c>
      <c r="I472" s="32">
        <f>IFERROR(VLOOKUP(B472,汇总!$B$2:$I$2921,8,FALSE),"")</f>
        <v>0</v>
      </c>
      <c r="J472" s="29" t="s">
        <v>11</v>
      </c>
      <c r="K472" s="33" t="s">
        <v>12</v>
      </c>
    </row>
    <row r="473" ht="33.75" spans="1:11">
      <c r="A473" s="34">
        <v>472</v>
      </c>
      <c r="B473" s="34" t="s">
        <v>605</v>
      </c>
      <c r="C473" s="29" t="str">
        <f>VLOOKUP(B473,教育部大学名单!$B$1:$D$2920,3,FALSE)</f>
        <v>江西省</v>
      </c>
      <c r="D473" s="34" t="s">
        <v>587</v>
      </c>
      <c r="E473" s="34" t="s">
        <v>594</v>
      </c>
      <c r="F473" s="36" t="str">
        <f>IFERROR(VLOOKUP(B473,'985'!$B$2:$D$40,3,FALSE),"")</f>
        <v/>
      </c>
      <c r="G473" s="32" t="str">
        <f>IFERROR(VLOOKUP(B473,'211'!$B$2:$D$116,3,FALSE),"")</f>
        <v/>
      </c>
      <c r="H473" s="32" t="str">
        <f>IFERROR(VLOOKUP(B473,双一流!$B$2:$D$148,3,FALSE),"")</f>
        <v/>
      </c>
      <c r="I473" s="32">
        <f>IFERROR(VLOOKUP(B473,汇总!$B$2:$I$2921,8,FALSE),"")</f>
        <v>0</v>
      </c>
      <c r="J473" s="34" t="s">
        <v>11</v>
      </c>
      <c r="K473" s="35" t="s">
        <v>12</v>
      </c>
    </row>
    <row r="474" ht="17.25" spans="1:11">
      <c r="A474" s="29">
        <v>473</v>
      </c>
      <c r="B474" s="29" t="s">
        <v>606</v>
      </c>
      <c r="C474" s="29" t="str">
        <f>VLOOKUP(B474,教育部大学名单!$B$1:$D$2920,3,FALSE)</f>
        <v>江西省</v>
      </c>
      <c r="D474" s="29" t="s">
        <v>587</v>
      </c>
      <c r="E474" s="29" t="s">
        <v>607</v>
      </c>
      <c r="F474" s="36" t="str">
        <f>IFERROR(VLOOKUP(B474,'985'!$B$2:$D$40,3,FALSE),"")</f>
        <v/>
      </c>
      <c r="G474" s="32" t="str">
        <f>IFERROR(VLOOKUP(B474,'211'!$B$2:$D$116,3,FALSE),"")</f>
        <v/>
      </c>
      <c r="H474" s="32" t="str">
        <f>IFERROR(VLOOKUP(B474,双一流!$B$2:$D$148,3,FALSE),"")</f>
        <v/>
      </c>
      <c r="I474" s="32">
        <f>IFERROR(VLOOKUP(B474,汇总!$B$2:$I$2921,8,FALSE),"")</f>
        <v>0</v>
      </c>
      <c r="J474" s="29" t="s">
        <v>11</v>
      </c>
      <c r="K474" s="33" t="s">
        <v>12</v>
      </c>
    </row>
    <row r="475" ht="33.75" spans="1:11">
      <c r="A475" s="34">
        <v>474</v>
      </c>
      <c r="B475" s="34" t="s">
        <v>608</v>
      </c>
      <c r="C475" s="29" t="str">
        <f>VLOOKUP(B475,教育部大学名单!$B$1:$D$2920,3,FALSE)</f>
        <v>江西省</v>
      </c>
      <c r="D475" s="34" t="s">
        <v>587</v>
      </c>
      <c r="E475" s="34" t="s">
        <v>588</v>
      </c>
      <c r="F475" s="36" t="str">
        <f>IFERROR(VLOOKUP(B475,'985'!$B$2:$D$40,3,FALSE),"")</f>
        <v/>
      </c>
      <c r="G475" s="32" t="str">
        <f>IFERROR(VLOOKUP(B475,'211'!$B$2:$D$116,3,FALSE),"")</f>
        <v/>
      </c>
      <c r="H475" s="32" t="str">
        <f>IFERROR(VLOOKUP(B475,双一流!$B$2:$D$148,3,FALSE),"")</f>
        <v/>
      </c>
      <c r="I475" s="32" t="str">
        <f>IFERROR(VLOOKUP(B475,汇总!$B$2:$I$2921,8,FALSE),"")</f>
        <v>财经</v>
      </c>
      <c r="J475" s="34" t="s">
        <v>11</v>
      </c>
      <c r="K475" s="35" t="s">
        <v>12</v>
      </c>
    </row>
    <row r="476" ht="17.25" spans="1:11">
      <c r="A476" s="29">
        <v>475</v>
      </c>
      <c r="B476" s="29" t="s">
        <v>609</v>
      </c>
      <c r="C476" s="29" t="str">
        <f>VLOOKUP(B476,教育部大学名单!$B$1:$D$2920,3,FALSE)</f>
        <v>江西省</v>
      </c>
      <c r="D476" s="29" t="s">
        <v>587</v>
      </c>
      <c r="E476" s="29" t="s">
        <v>596</v>
      </c>
      <c r="F476" s="36" t="str">
        <f>IFERROR(VLOOKUP(B476,'985'!$B$2:$D$40,3,FALSE),"")</f>
        <v/>
      </c>
      <c r="G476" s="32" t="str">
        <f>IFERROR(VLOOKUP(B476,'211'!$B$2:$D$116,3,FALSE),"")</f>
        <v/>
      </c>
      <c r="H476" s="32" t="str">
        <f>IFERROR(VLOOKUP(B476,双一流!$B$2:$D$148,3,FALSE),"")</f>
        <v/>
      </c>
      <c r="I476" s="32">
        <f>IFERROR(VLOOKUP(B476,汇总!$B$2:$I$2921,8,FALSE),"")</f>
        <v>0</v>
      </c>
      <c r="J476" s="29" t="s">
        <v>11</v>
      </c>
      <c r="K476" s="33" t="s">
        <v>12</v>
      </c>
    </row>
    <row r="477" ht="17.25" spans="1:11">
      <c r="A477" s="34">
        <v>476</v>
      </c>
      <c r="B477" s="34" t="s">
        <v>610</v>
      </c>
      <c r="C477" s="29" t="str">
        <f>VLOOKUP(B477,教育部大学名单!$B$1:$D$2920,3,FALSE)</f>
        <v>江西省</v>
      </c>
      <c r="D477" s="34" t="s">
        <v>587</v>
      </c>
      <c r="E477" s="34" t="s">
        <v>611</v>
      </c>
      <c r="F477" s="36" t="str">
        <f>IFERROR(VLOOKUP(B477,'985'!$B$2:$D$40,3,FALSE),"")</f>
        <v/>
      </c>
      <c r="G477" s="32" t="str">
        <f>IFERROR(VLOOKUP(B477,'211'!$B$2:$D$116,3,FALSE),"")</f>
        <v/>
      </c>
      <c r="H477" s="32" t="str">
        <f>IFERROR(VLOOKUP(B477,双一流!$B$2:$D$148,3,FALSE),"")</f>
        <v/>
      </c>
      <c r="I477" s="32">
        <f>IFERROR(VLOOKUP(B477,汇总!$B$2:$I$2921,8,FALSE),"")</f>
        <v>0</v>
      </c>
      <c r="J477" s="34" t="s">
        <v>11</v>
      </c>
      <c r="K477" s="35" t="s">
        <v>12</v>
      </c>
    </row>
    <row r="478" ht="33.75" spans="1:11">
      <c r="A478" s="29">
        <v>477</v>
      </c>
      <c r="B478" s="29" t="s">
        <v>612</v>
      </c>
      <c r="C478" s="29" t="str">
        <f>VLOOKUP(B478,教育部大学名单!$B$1:$D$2920,3,FALSE)</f>
        <v>江西省</v>
      </c>
      <c r="D478" s="29" t="s">
        <v>587</v>
      </c>
      <c r="E478" s="29" t="s">
        <v>588</v>
      </c>
      <c r="F478" s="36" t="str">
        <f>IFERROR(VLOOKUP(B478,'985'!$B$2:$D$40,3,FALSE),"")</f>
        <v/>
      </c>
      <c r="G478" s="32" t="str">
        <f>IFERROR(VLOOKUP(B478,'211'!$B$2:$D$116,3,FALSE),"")</f>
        <v/>
      </c>
      <c r="H478" s="32" t="str">
        <f>IFERROR(VLOOKUP(B478,双一流!$B$2:$D$148,3,FALSE),"")</f>
        <v/>
      </c>
      <c r="I478" s="32">
        <f>IFERROR(VLOOKUP(B478,汇总!$B$2:$I$2921,8,FALSE),"")</f>
        <v>0</v>
      </c>
      <c r="J478" s="29" t="s">
        <v>11</v>
      </c>
      <c r="K478" s="33" t="s">
        <v>12</v>
      </c>
    </row>
    <row r="479" ht="33.75" spans="1:11">
      <c r="A479" s="34">
        <v>478</v>
      </c>
      <c r="B479" s="34" t="s">
        <v>613</v>
      </c>
      <c r="C479" s="29" t="str">
        <f>VLOOKUP(B479,教育部大学名单!$B$1:$D$2920,3,FALSE)</f>
        <v>江西省</v>
      </c>
      <c r="D479" s="34" t="s">
        <v>587</v>
      </c>
      <c r="E479" s="34" t="s">
        <v>588</v>
      </c>
      <c r="F479" s="36" t="str">
        <f>IFERROR(VLOOKUP(B479,'985'!$B$2:$D$40,3,FALSE),"")</f>
        <v/>
      </c>
      <c r="G479" s="32" t="str">
        <f>IFERROR(VLOOKUP(B479,'211'!$B$2:$D$116,3,FALSE),"")</f>
        <v/>
      </c>
      <c r="H479" s="32" t="str">
        <f>IFERROR(VLOOKUP(B479,双一流!$B$2:$D$148,3,FALSE),"")</f>
        <v/>
      </c>
      <c r="I479" s="32" t="str">
        <f>IFERROR(VLOOKUP(B479,汇总!$B$2:$I$2921,8,FALSE),"")</f>
        <v/>
      </c>
      <c r="J479" s="34" t="s">
        <v>11</v>
      </c>
      <c r="K479" s="35" t="s">
        <v>12</v>
      </c>
    </row>
    <row r="480" ht="33.75" spans="1:11">
      <c r="A480" s="29">
        <v>479</v>
      </c>
      <c r="B480" s="29" t="s">
        <v>614</v>
      </c>
      <c r="C480" s="29" t="str">
        <f>VLOOKUP(B480,教育部大学名单!$B$1:$D$2920,3,FALSE)</f>
        <v>江西省</v>
      </c>
      <c r="D480" s="29" t="s">
        <v>587</v>
      </c>
      <c r="E480" s="29" t="s">
        <v>588</v>
      </c>
      <c r="F480" s="36" t="str">
        <f>IFERROR(VLOOKUP(B480,'985'!$B$2:$D$40,3,FALSE),"")</f>
        <v/>
      </c>
      <c r="G480" s="32" t="str">
        <f>IFERROR(VLOOKUP(B480,'211'!$B$2:$D$116,3,FALSE),"")</f>
        <v/>
      </c>
      <c r="H480" s="32" t="str">
        <f>IFERROR(VLOOKUP(B480,双一流!$B$2:$D$148,3,FALSE),"")</f>
        <v/>
      </c>
      <c r="I480" s="32">
        <f>IFERROR(VLOOKUP(B480,汇总!$B$2:$I$2921,8,FALSE),"")</f>
        <v>0</v>
      </c>
      <c r="J480" s="29" t="s">
        <v>11</v>
      </c>
      <c r="K480" s="33" t="s">
        <v>12</v>
      </c>
    </row>
    <row r="481" ht="17.25" spans="1:11">
      <c r="A481" s="34">
        <v>480</v>
      </c>
      <c r="B481" s="34" t="s">
        <v>615</v>
      </c>
      <c r="C481" s="29" t="str">
        <f>VLOOKUP(B481,教育部大学名单!$B$1:$D$2920,3,FALSE)</f>
        <v>江西省</v>
      </c>
      <c r="D481" s="34" t="s">
        <v>587</v>
      </c>
      <c r="E481" s="34" t="s">
        <v>616</v>
      </c>
      <c r="F481" s="36" t="str">
        <f>IFERROR(VLOOKUP(B481,'985'!$B$2:$D$40,3,FALSE),"")</f>
        <v/>
      </c>
      <c r="G481" s="32" t="str">
        <f>IFERROR(VLOOKUP(B481,'211'!$B$2:$D$116,3,FALSE),"")</f>
        <v/>
      </c>
      <c r="H481" s="32" t="str">
        <f>IFERROR(VLOOKUP(B481,双一流!$B$2:$D$148,3,FALSE),"")</f>
        <v/>
      </c>
      <c r="I481" s="32">
        <f>IFERROR(VLOOKUP(B481,汇总!$B$2:$I$2921,8,FALSE),"")</f>
        <v>0</v>
      </c>
      <c r="J481" s="34" t="s">
        <v>11</v>
      </c>
      <c r="K481" s="35" t="s">
        <v>12</v>
      </c>
    </row>
    <row r="482" ht="17.25" spans="1:11">
      <c r="A482" s="29">
        <v>481</v>
      </c>
      <c r="B482" s="29" t="s">
        <v>617</v>
      </c>
      <c r="C482" s="29" t="str">
        <f>VLOOKUP(B482,教育部大学名单!$B$1:$D$2920,3,FALSE)</f>
        <v>江西省</v>
      </c>
      <c r="D482" s="29" t="s">
        <v>587</v>
      </c>
      <c r="E482" s="29" t="s">
        <v>618</v>
      </c>
      <c r="F482" s="36" t="str">
        <f>IFERROR(VLOOKUP(B482,'985'!$B$2:$D$40,3,FALSE),"")</f>
        <v/>
      </c>
      <c r="G482" s="32" t="str">
        <f>IFERROR(VLOOKUP(B482,'211'!$B$2:$D$116,3,FALSE),"")</f>
        <v/>
      </c>
      <c r="H482" s="32" t="str">
        <f>IFERROR(VLOOKUP(B482,双一流!$B$2:$D$148,3,FALSE),"")</f>
        <v/>
      </c>
      <c r="I482" s="32">
        <f>IFERROR(VLOOKUP(B482,汇总!$B$2:$I$2921,8,FALSE),"")</f>
        <v>0</v>
      </c>
      <c r="J482" s="29" t="s">
        <v>11</v>
      </c>
      <c r="K482" s="33" t="s">
        <v>12</v>
      </c>
    </row>
    <row r="483" ht="17.25" spans="1:11">
      <c r="A483" s="34">
        <v>482</v>
      </c>
      <c r="B483" s="34" t="s">
        <v>619</v>
      </c>
      <c r="C483" s="29" t="str">
        <f>VLOOKUP(B483,教育部大学名单!$B$1:$D$2920,3,FALSE)</f>
        <v>江西省</v>
      </c>
      <c r="D483" s="34" t="s">
        <v>587</v>
      </c>
      <c r="E483" s="34" t="s">
        <v>591</v>
      </c>
      <c r="F483" s="36" t="str">
        <f>IFERROR(VLOOKUP(B483,'985'!$B$2:$D$40,3,FALSE),"")</f>
        <v/>
      </c>
      <c r="G483" s="32" t="str">
        <f>IFERROR(VLOOKUP(B483,'211'!$B$2:$D$116,3,FALSE),"")</f>
        <v/>
      </c>
      <c r="H483" s="32" t="str">
        <f>IFERROR(VLOOKUP(B483,双一流!$B$2:$D$148,3,FALSE),"")</f>
        <v/>
      </c>
      <c r="I483" s="32">
        <f>IFERROR(VLOOKUP(B483,汇总!$B$2:$I$2921,8,FALSE),"")</f>
        <v>0</v>
      </c>
      <c r="J483" s="34" t="s">
        <v>11</v>
      </c>
      <c r="K483" s="35" t="s">
        <v>12</v>
      </c>
    </row>
    <row r="484" ht="33.75" spans="1:11">
      <c r="A484" s="29">
        <v>483</v>
      </c>
      <c r="B484" s="29" t="s">
        <v>620</v>
      </c>
      <c r="C484" s="29" t="str">
        <f>VLOOKUP(B484,教育部大学名单!$B$1:$D$2920,3,FALSE)</f>
        <v>江西省</v>
      </c>
      <c r="D484" s="29" t="s">
        <v>587</v>
      </c>
      <c r="E484" s="29" t="s">
        <v>594</v>
      </c>
      <c r="F484" s="36" t="str">
        <f>IFERROR(VLOOKUP(B484,'985'!$B$2:$D$40,3,FALSE),"")</f>
        <v/>
      </c>
      <c r="G484" s="32" t="str">
        <f>IFERROR(VLOOKUP(B484,'211'!$B$2:$D$116,3,FALSE),"")</f>
        <v/>
      </c>
      <c r="H484" s="32" t="str">
        <f>IFERROR(VLOOKUP(B484,双一流!$B$2:$D$148,3,FALSE),"")</f>
        <v/>
      </c>
      <c r="I484" s="32">
        <f>IFERROR(VLOOKUP(B484,汇总!$B$2:$I$2921,8,FALSE),"")</f>
        <v>0</v>
      </c>
      <c r="J484" s="29" t="s">
        <v>11</v>
      </c>
      <c r="K484" s="33" t="s">
        <v>12</v>
      </c>
    </row>
    <row r="485" ht="17.25" spans="1:11">
      <c r="A485" s="34">
        <v>484</v>
      </c>
      <c r="B485" s="34" t="s">
        <v>621</v>
      </c>
      <c r="C485" s="29" t="str">
        <f>VLOOKUP(B485,教育部大学名单!$B$1:$D$2920,3,FALSE)</f>
        <v>江西省</v>
      </c>
      <c r="D485" s="34" t="s">
        <v>587</v>
      </c>
      <c r="E485" s="34" t="s">
        <v>588</v>
      </c>
      <c r="F485" s="36" t="str">
        <f>IFERROR(VLOOKUP(B485,'985'!$B$2:$D$40,3,FALSE),"")</f>
        <v/>
      </c>
      <c r="G485" s="32" t="str">
        <f>IFERROR(VLOOKUP(B485,'211'!$B$2:$D$116,3,FALSE),"")</f>
        <v/>
      </c>
      <c r="H485" s="32" t="str">
        <f>IFERROR(VLOOKUP(B485,双一流!$B$2:$D$148,3,FALSE),"")</f>
        <v/>
      </c>
      <c r="I485" s="32">
        <f>IFERROR(VLOOKUP(B485,汇总!$B$2:$I$2921,8,FALSE),"")</f>
        <v>0</v>
      </c>
      <c r="J485" s="34" t="s">
        <v>11</v>
      </c>
      <c r="K485" s="35" t="s">
        <v>12</v>
      </c>
    </row>
    <row r="486" ht="33.75" spans="1:11">
      <c r="A486" s="29">
        <v>485</v>
      </c>
      <c r="B486" s="29" t="s">
        <v>622</v>
      </c>
      <c r="C486" s="29" t="str">
        <f>VLOOKUP(B486,教育部大学名单!$B$1:$D$2920,3,FALSE)</f>
        <v>江西省</v>
      </c>
      <c r="D486" s="29" t="s">
        <v>587</v>
      </c>
      <c r="E486" s="29" t="s">
        <v>588</v>
      </c>
      <c r="F486" s="36" t="str">
        <f>IFERROR(VLOOKUP(B486,'985'!$B$2:$D$40,3,FALSE),"")</f>
        <v/>
      </c>
      <c r="G486" s="32" t="str">
        <f>IFERROR(VLOOKUP(B486,'211'!$B$2:$D$116,3,FALSE),"")</f>
        <v/>
      </c>
      <c r="H486" s="32" t="str">
        <f>IFERROR(VLOOKUP(B486,双一流!$B$2:$D$148,3,FALSE),"")</f>
        <v/>
      </c>
      <c r="I486" s="32">
        <f>IFERROR(VLOOKUP(B486,汇总!$B$2:$I$2921,8,FALSE),"")</f>
        <v>0</v>
      </c>
      <c r="J486" s="29" t="s">
        <v>11</v>
      </c>
      <c r="K486" s="33" t="s">
        <v>12</v>
      </c>
    </row>
    <row r="487" ht="33.75" spans="1:11">
      <c r="A487" s="34">
        <v>486</v>
      </c>
      <c r="B487" s="34" t="s">
        <v>623</v>
      </c>
      <c r="C487" s="29" t="str">
        <f>VLOOKUP(B487,教育部大学名单!$B$1:$D$2920,3,FALSE)</f>
        <v>江西省</v>
      </c>
      <c r="D487" s="34" t="s">
        <v>587</v>
      </c>
      <c r="E487" s="34" t="s">
        <v>588</v>
      </c>
      <c r="F487" s="36" t="str">
        <f>IFERROR(VLOOKUP(B487,'985'!$B$2:$D$40,3,FALSE),"")</f>
        <v/>
      </c>
      <c r="G487" s="32" t="str">
        <f>IFERROR(VLOOKUP(B487,'211'!$B$2:$D$116,3,FALSE),"")</f>
        <v/>
      </c>
      <c r="H487" s="32" t="str">
        <f>IFERROR(VLOOKUP(B487,双一流!$B$2:$D$148,3,FALSE),"")</f>
        <v/>
      </c>
      <c r="I487" s="32">
        <f>IFERROR(VLOOKUP(B487,汇总!$B$2:$I$2921,8,FALSE),"")</f>
        <v>0</v>
      </c>
      <c r="J487" s="34" t="s">
        <v>11</v>
      </c>
      <c r="K487" s="35" t="s">
        <v>12</v>
      </c>
    </row>
    <row r="488" ht="33.75" spans="1:11">
      <c r="A488" s="29">
        <v>487</v>
      </c>
      <c r="B488" s="29" t="s">
        <v>624</v>
      </c>
      <c r="C488" s="29" t="str">
        <f>VLOOKUP(B488,教育部大学名单!$B$1:$D$2920,3,FALSE)</f>
        <v>江西省</v>
      </c>
      <c r="D488" s="29" t="s">
        <v>587</v>
      </c>
      <c r="E488" s="29" t="s">
        <v>618</v>
      </c>
      <c r="F488" s="36" t="str">
        <f>IFERROR(VLOOKUP(B488,'985'!$B$2:$D$40,3,FALSE),"")</f>
        <v/>
      </c>
      <c r="G488" s="32" t="str">
        <f>IFERROR(VLOOKUP(B488,'211'!$B$2:$D$116,3,FALSE),"")</f>
        <v/>
      </c>
      <c r="H488" s="32" t="str">
        <f>IFERROR(VLOOKUP(B488,双一流!$B$2:$D$148,3,FALSE),"")</f>
        <v/>
      </c>
      <c r="I488" s="32">
        <f>IFERROR(VLOOKUP(B488,汇总!$B$2:$I$2921,8,FALSE),"")</f>
        <v>0</v>
      </c>
      <c r="J488" s="29" t="s">
        <v>11</v>
      </c>
      <c r="K488" s="33" t="s">
        <v>12</v>
      </c>
    </row>
    <row r="489" ht="33.75" spans="1:11">
      <c r="A489" s="34">
        <v>488</v>
      </c>
      <c r="B489" s="34" t="s">
        <v>625</v>
      </c>
      <c r="C489" s="29" t="str">
        <f>VLOOKUP(B489,教育部大学名单!$B$1:$D$2920,3,FALSE)</f>
        <v>江西省</v>
      </c>
      <c r="D489" s="34" t="s">
        <v>587</v>
      </c>
      <c r="E489" s="34" t="s">
        <v>591</v>
      </c>
      <c r="F489" s="36" t="str">
        <f>IFERROR(VLOOKUP(B489,'985'!$B$2:$D$40,3,FALSE),"")</f>
        <v/>
      </c>
      <c r="G489" s="32" t="str">
        <f>IFERROR(VLOOKUP(B489,'211'!$B$2:$D$116,3,FALSE),"")</f>
        <v/>
      </c>
      <c r="H489" s="32" t="str">
        <f>IFERROR(VLOOKUP(B489,双一流!$B$2:$D$148,3,FALSE),"")</f>
        <v/>
      </c>
      <c r="I489" s="32" t="str">
        <f>IFERROR(VLOOKUP(B489,汇总!$B$2:$I$2921,8,FALSE),"")</f>
        <v/>
      </c>
      <c r="J489" s="34" t="s">
        <v>11</v>
      </c>
      <c r="K489" s="35" t="s">
        <v>12</v>
      </c>
    </row>
    <row r="490" ht="33.75" spans="1:11">
      <c r="A490" s="29">
        <v>489</v>
      </c>
      <c r="B490" s="29" t="s">
        <v>626</v>
      </c>
      <c r="C490" s="29" t="str">
        <f>VLOOKUP(B490,教育部大学名单!$B$1:$D$2920,3,FALSE)</f>
        <v>江西省</v>
      </c>
      <c r="D490" s="29" t="s">
        <v>587</v>
      </c>
      <c r="E490" s="29" t="s">
        <v>588</v>
      </c>
      <c r="F490" s="36" t="str">
        <f>IFERROR(VLOOKUP(B490,'985'!$B$2:$D$40,3,FALSE),"")</f>
        <v/>
      </c>
      <c r="G490" s="32" t="str">
        <f>IFERROR(VLOOKUP(B490,'211'!$B$2:$D$116,3,FALSE),"")</f>
        <v/>
      </c>
      <c r="H490" s="32" t="str">
        <f>IFERROR(VLOOKUP(B490,双一流!$B$2:$D$148,3,FALSE),"")</f>
        <v/>
      </c>
      <c r="I490" s="32">
        <f>IFERROR(VLOOKUP(B490,汇总!$B$2:$I$2921,8,FALSE),"")</f>
        <v>0</v>
      </c>
      <c r="J490" s="29" t="s">
        <v>11</v>
      </c>
      <c r="K490" s="33" t="s">
        <v>12</v>
      </c>
    </row>
    <row r="491" ht="17.25" spans="1:11">
      <c r="A491" s="34">
        <v>490</v>
      </c>
      <c r="B491" s="34" t="s">
        <v>627</v>
      </c>
      <c r="C491" s="29" t="str">
        <f>VLOOKUP(B491,教育部大学名单!$B$1:$D$2920,3,FALSE)</f>
        <v>教育部</v>
      </c>
      <c r="D491" s="34" t="s">
        <v>628</v>
      </c>
      <c r="E491" s="34" t="s">
        <v>629</v>
      </c>
      <c r="F491" s="30">
        <f>IFERROR(VLOOKUP(B491,'985'!$B$2:$D$40,3,FALSE),"")</f>
        <v>985</v>
      </c>
      <c r="G491" s="31">
        <f>IFERROR(VLOOKUP(B491,'211'!$B$2:$D$116,3,FALSE),"")</f>
        <v>211</v>
      </c>
      <c r="H491" s="32" t="str">
        <f>IFERROR(VLOOKUP(B491,双一流!$B$2:$D$148,3,FALSE),"")</f>
        <v>双一流</v>
      </c>
      <c r="I491" s="32" t="str">
        <f>IFERROR(VLOOKUP(B491,汇总!$B$2:$I$2921,8,FALSE),"")</f>
        <v>综合</v>
      </c>
      <c r="J491" s="34" t="s">
        <v>11</v>
      </c>
      <c r="K491" s="35" t="s">
        <v>12</v>
      </c>
    </row>
    <row r="492" ht="33.75" spans="1:11">
      <c r="A492" s="29">
        <v>491</v>
      </c>
      <c r="B492" s="29" t="s">
        <v>630</v>
      </c>
      <c r="C492" s="29" t="str">
        <f>VLOOKUP(B492,教育部大学名单!$B$1:$D$2920,3,FALSE)</f>
        <v>教育部</v>
      </c>
      <c r="D492" s="29" t="s">
        <v>628</v>
      </c>
      <c r="E492" s="29" t="s">
        <v>631</v>
      </c>
      <c r="F492" s="30">
        <f>IFERROR(VLOOKUP(B492,'985'!$B$2:$D$40,3,FALSE),"")</f>
        <v>985</v>
      </c>
      <c r="G492" s="31">
        <f>IFERROR(VLOOKUP(B492,'211'!$B$2:$D$116,3,FALSE),"")</f>
        <v>211</v>
      </c>
      <c r="H492" s="32" t="str">
        <f>IFERROR(VLOOKUP(B492,双一流!$B$2:$D$148,3,FALSE),"")</f>
        <v>双一流</v>
      </c>
      <c r="I492" s="32" t="str">
        <f>IFERROR(VLOOKUP(B492,汇总!$B$2:$I$2921,8,FALSE),"")</f>
        <v>综合</v>
      </c>
      <c r="J492" s="29" t="s">
        <v>11</v>
      </c>
      <c r="K492" s="33" t="s">
        <v>12</v>
      </c>
    </row>
    <row r="493" ht="33.75" spans="1:11">
      <c r="A493" s="34">
        <v>492</v>
      </c>
      <c r="B493" s="34" t="s">
        <v>632</v>
      </c>
      <c r="C493" s="29" t="str">
        <f>VLOOKUP(B493,教育部大学名单!$B$1:$D$2920,3,FALSE)</f>
        <v>山东省</v>
      </c>
      <c r="D493" s="34" t="s">
        <v>628</v>
      </c>
      <c r="E493" s="34" t="s">
        <v>631</v>
      </c>
      <c r="F493" s="36" t="str">
        <f>IFERROR(VLOOKUP(B493,'985'!$B$2:$D$40,3,FALSE),"")</f>
        <v/>
      </c>
      <c r="G493" s="32" t="str">
        <f>IFERROR(VLOOKUP(B493,'211'!$B$2:$D$116,3,FALSE),"")</f>
        <v/>
      </c>
      <c r="H493" s="32" t="str">
        <f>IFERROR(VLOOKUP(B493,双一流!$B$2:$D$148,3,FALSE),"")</f>
        <v/>
      </c>
      <c r="I493" s="32" t="str">
        <f>IFERROR(VLOOKUP(B493,汇总!$B$2:$I$2921,8,FALSE),"")</f>
        <v>综合</v>
      </c>
      <c r="J493" s="34" t="s">
        <v>11</v>
      </c>
      <c r="K493" s="35" t="s">
        <v>12</v>
      </c>
    </row>
    <row r="494" ht="33.75" spans="1:11">
      <c r="A494" s="29">
        <v>493</v>
      </c>
      <c r="B494" s="29" t="s">
        <v>633</v>
      </c>
      <c r="C494" s="29" t="str">
        <f>VLOOKUP(B494,教育部大学名单!$B$1:$D$2920,3,FALSE)</f>
        <v>教育部</v>
      </c>
      <c r="D494" s="29" t="s">
        <v>628</v>
      </c>
      <c r="E494" s="29" t="s">
        <v>631</v>
      </c>
      <c r="F494" s="36" t="str">
        <f>IFERROR(VLOOKUP(B494,'985'!$B$2:$D$40,3,FALSE),"")</f>
        <v/>
      </c>
      <c r="G494" s="31">
        <f>IFERROR(VLOOKUP(B494,'211'!$B$2:$D$116,3,FALSE),"")</f>
        <v>211</v>
      </c>
      <c r="H494" s="32" t="str">
        <f>IFERROR(VLOOKUP(B494,双一流!$B$2:$D$148,3,FALSE),"")</f>
        <v>双一流</v>
      </c>
      <c r="I494" s="32" t="str">
        <f>IFERROR(VLOOKUP(B494,汇总!$B$2:$I$2921,8,FALSE),"")</f>
        <v>理工</v>
      </c>
      <c r="J494" s="29" t="s">
        <v>11</v>
      </c>
      <c r="K494" s="33" t="s">
        <v>12</v>
      </c>
    </row>
    <row r="495" ht="33.75" spans="1:11">
      <c r="A495" s="34">
        <v>494</v>
      </c>
      <c r="B495" s="34" t="s">
        <v>634</v>
      </c>
      <c r="C495" s="29" t="str">
        <f>VLOOKUP(B495,教育部大学名单!$B$1:$D$2920,3,FALSE)</f>
        <v>山东省</v>
      </c>
      <c r="D495" s="34" t="s">
        <v>628</v>
      </c>
      <c r="E495" s="34" t="s">
        <v>631</v>
      </c>
      <c r="F495" s="36" t="str">
        <f>IFERROR(VLOOKUP(B495,'985'!$B$2:$D$40,3,FALSE),"")</f>
        <v/>
      </c>
      <c r="G495" s="32" t="str">
        <f>IFERROR(VLOOKUP(B495,'211'!$B$2:$D$116,3,FALSE),"")</f>
        <v/>
      </c>
      <c r="H495" s="32" t="str">
        <f>IFERROR(VLOOKUP(B495,双一流!$B$2:$D$148,3,FALSE),"")</f>
        <v/>
      </c>
      <c r="I495" s="32" t="str">
        <f>IFERROR(VLOOKUP(B495,汇总!$B$2:$I$2921,8,FALSE),"")</f>
        <v>理工</v>
      </c>
      <c r="J495" s="34" t="s">
        <v>11</v>
      </c>
      <c r="K495" s="35" t="s">
        <v>12</v>
      </c>
    </row>
    <row r="496" ht="17.25" spans="1:11">
      <c r="A496" s="29">
        <v>495</v>
      </c>
      <c r="B496" s="29" t="s">
        <v>635</v>
      </c>
      <c r="C496" s="29" t="str">
        <f>VLOOKUP(B496,教育部大学名单!$B$1:$D$2920,3,FALSE)</f>
        <v>山东省</v>
      </c>
      <c r="D496" s="29" t="s">
        <v>628</v>
      </c>
      <c r="E496" s="29" t="s">
        <v>629</v>
      </c>
      <c r="F496" s="36" t="str">
        <f>IFERROR(VLOOKUP(B496,'985'!$B$2:$D$40,3,FALSE),"")</f>
        <v/>
      </c>
      <c r="G496" s="32" t="str">
        <f>IFERROR(VLOOKUP(B496,'211'!$B$2:$D$116,3,FALSE),"")</f>
        <v/>
      </c>
      <c r="H496" s="32" t="str">
        <f>IFERROR(VLOOKUP(B496,双一流!$B$2:$D$148,3,FALSE),"")</f>
        <v/>
      </c>
      <c r="I496" s="32" t="str">
        <f>IFERROR(VLOOKUP(B496,汇总!$B$2:$I$2921,8,FALSE),"")</f>
        <v>综合</v>
      </c>
      <c r="J496" s="29" t="s">
        <v>11</v>
      </c>
      <c r="K496" s="33" t="s">
        <v>12</v>
      </c>
    </row>
    <row r="497" ht="33.75" spans="1:11">
      <c r="A497" s="34">
        <v>496</v>
      </c>
      <c r="B497" s="34" t="s">
        <v>636</v>
      </c>
      <c r="C497" s="29" t="str">
        <f>VLOOKUP(B497,教育部大学名单!$B$1:$D$2920,3,FALSE)</f>
        <v>山东省</v>
      </c>
      <c r="D497" s="34" t="s">
        <v>628</v>
      </c>
      <c r="E497" s="34" t="s">
        <v>631</v>
      </c>
      <c r="F497" s="36" t="str">
        <f>IFERROR(VLOOKUP(B497,'985'!$B$2:$D$40,3,FALSE),"")</f>
        <v/>
      </c>
      <c r="G497" s="32" t="str">
        <f>IFERROR(VLOOKUP(B497,'211'!$B$2:$D$116,3,FALSE),"")</f>
        <v/>
      </c>
      <c r="H497" s="32" t="str">
        <f>IFERROR(VLOOKUP(B497,双一流!$B$2:$D$148,3,FALSE),"")</f>
        <v/>
      </c>
      <c r="I497" s="32" t="str">
        <f>IFERROR(VLOOKUP(B497,汇总!$B$2:$I$2921,8,FALSE),"")</f>
        <v>理工</v>
      </c>
      <c r="J497" s="34" t="s">
        <v>11</v>
      </c>
      <c r="K497" s="35" t="s">
        <v>12</v>
      </c>
    </row>
    <row r="498" ht="33.75" spans="1:11">
      <c r="A498" s="29">
        <v>497</v>
      </c>
      <c r="B498" s="29" t="s">
        <v>637</v>
      </c>
      <c r="C498" s="29" t="str">
        <f>VLOOKUP(B498,教育部大学名单!$B$1:$D$2920,3,FALSE)</f>
        <v>山东省</v>
      </c>
      <c r="D498" s="29" t="s">
        <v>628</v>
      </c>
      <c r="E498" s="29" t="s">
        <v>629</v>
      </c>
      <c r="F498" s="36" t="str">
        <f>IFERROR(VLOOKUP(B498,'985'!$B$2:$D$40,3,FALSE),"")</f>
        <v/>
      </c>
      <c r="G498" s="32" t="str">
        <f>IFERROR(VLOOKUP(B498,'211'!$B$2:$D$116,3,FALSE),"")</f>
        <v/>
      </c>
      <c r="H498" s="32" t="str">
        <f>IFERROR(VLOOKUP(B498,双一流!$B$2:$D$148,3,FALSE),"")</f>
        <v/>
      </c>
      <c r="I498" s="32" t="str">
        <f>IFERROR(VLOOKUP(B498,汇总!$B$2:$I$2921,8,FALSE),"")</f>
        <v>理工</v>
      </c>
      <c r="J498" s="29" t="s">
        <v>11</v>
      </c>
      <c r="K498" s="33" t="s">
        <v>12</v>
      </c>
    </row>
    <row r="499" ht="33.75" spans="1:11">
      <c r="A499" s="34">
        <v>498</v>
      </c>
      <c r="B499" s="34" t="s">
        <v>638</v>
      </c>
      <c r="C499" s="29" t="str">
        <f>VLOOKUP(B499,教育部大学名单!$B$1:$D$2920,3,FALSE)</f>
        <v>山东省</v>
      </c>
      <c r="D499" s="34" t="s">
        <v>628</v>
      </c>
      <c r="E499" s="34" t="s">
        <v>629</v>
      </c>
      <c r="F499" s="36" t="str">
        <f>IFERROR(VLOOKUP(B499,'985'!$B$2:$D$40,3,FALSE),"")</f>
        <v/>
      </c>
      <c r="G499" s="32" t="str">
        <f>IFERROR(VLOOKUP(B499,'211'!$B$2:$D$116,3,FALSE),"")</f>
        <v/>
      </c>
      <c r="H499" s="32" t="str">
        <f>IFERROR(VLOOKUP(B499,双一流!$B$2:$D$148,3,FALSE),"")</f>
        <v/>
      </c>
      <c r="I499" s="32" t="str">
        <f>IFERROR(VLOOKUP(B499,汇总!$B$2:$I$2921,8,FALSE),"")</f>
        <v>理工</v>
      </c>
      <c r="J499" s="34" t="s">
        <v>11</v>
      </c>
      <c r="K499" s="35" t="s">
        <v>12</v>
      </c>
    </row>
    <row r="500" ht="33.75" spans="1:11">
      <c r="A500" s="29">
        <v>499</v>
      </c>
      <c r="B500" s="29" t="s">
        <v>639</v>
      </c>
      <c r="C500" s="29" t="str">
        <f>VLOOKUP(B500,教育部大学名单!$B$1:$D$2920,3,FALSE)</f>
        <v>山东省</v>
      </c>
      <c r="D500" s="29" t="s">
        <v>628</v>
      </c>
      <c r="E500" s="29" t="s">
        <v>640</v>
      </c>
      <c r="F500" s="36" t="str">
        <f>IFERROR(VLOOKUP(B500,'985'!$B$2:$D$40,3,FALSE),"")</f>
        <v/>
      </c>
      <c r="G500" s="32" t="str">
        <f>IFERROR(VLOOKUP(B500,'211'!$B$2:$D$116,3,FALSE),"")</f>
        <v/>
      </c>
      <c r="H500" s="32" t="str">
        <f>IFERROR(VLOOKUP(B500,双一流!$B$2:$D$148,3,FALSE),"")</f>
        <v/>
      </c>
      <c r="I500" s="32" t="str">
        <f>IFERROR(VLOOKUP(B500,汇总!$B$2:$I$2921,8,FALSE),"")</f>
        <v>理工</v>
      </c>
      <c r="J500" s="29" t="s">
        <v>11</v>
      </c>
      <c r="K500" s="33" t="s">
        <v>12</v>
      </c>
    </row>
    <row r="501" ht="33.75" spans="1:11">
      <c r="A501" s="34">
        <v>500</v>
      </c>
      <c r="B501" s="34" t="s">
        <v>641</v>
      </c>
      <c r="C501" s="29" t="str">
        <f>VLOOKUP(B501,教育部大学名单!$B$1:$D$2920,3,FALSE)</f>
        <v>山东省</v>
      </c>
      <c r="D501" s="34" t="s">
        <v>628</v>
      </c>
      <c r="E501" s="34" t="s">
        <v>642</v>
      </c>
      <c r="F501" s="36" t="str">
        <f>IFERROR(VLOOKUP(B501,'985'!$B$2:$D$40,3,FALSE),"")</f>
        <v/>
      </c>
      <c r="G501" s="32" t="str">
        <f>IFERROR(VLOOKUP(B501,'211'!$B$2:$D$116,3,FALSE),"")</f>
        <v/>
      </c>
      <c r="H501" s="32" t="str">
        <f>IFERROR(VLOOKUP(B501,双一流!$B$2:$D$148,3,FALSE),"")</f>
        <v/>
      </c>
      <c r="I501" s="32" t="str">
        <f>IFERROR(VLOOKUP(B501,汇总!$B$2:$I$2921,8,FALSE),"")</f>
        <v>农林</v>
      </c>
      <c r="J501" s="34" t="s">
        <v>11</v>
      </c>
      <c r="K501" s="35" t="s">
        <v>12</v>
      </c>
    </row>
    <row r="502" ht="33.75" spans="1:11">
      <c r="A502" s="29">
        <v>501</v>
      </c>
      <c r="B502" s="29" t="s">
        <v>643</v>
      </c>
      <c r="C502" s="29" t="str">
        <f>VLOOKUP(B502,教育部大学名单!$B$1:$D$2920,3,FALSE)</f>
        <v>山东省</v>
      </c>
      <c r="D502" s="29" t="s">
        <v>628</v>
      </c>
      <c r="E502" s="29" t="s">
        <v>631</v>
      </c>
      <c r="F502" s="36" t="str">
        <f>IFERROR(VLOOKUP(B502,'985'!$B$2:$D$40,3,FALSE),"")</f>
        <v/>
      </c>
      <c r="G502" s="32" t="str">
        <f>IFERROR(VLOOKUP(B502,'211'!$B$2:$D$116,3,FALSE),"")</f>
        <v/>
      </c>
      <c r="H502" s="32" t="str">
        <f>IFERROR(VLOOKUP(B502,双一流!$B$2:$D$148,3,FALSE),"")</f>
        <v/>
      </c>
      <c r="I502" s="32" t="str">
        <f>IFERROR(VLOOKUP(B502,汇总!$B$2:$I$2921,8,FALSE),"")</f>
        <v>农林</v>
      </c>
      <c r="J502" s="29" t="s">
        <v>11</v>
      </c>
      <c r="K502" s="33" t="s">
        <v>12</v>
      </c>
    </row>
    <row r="503" ht="33.75" spans="1:11">
      <c r="A503" s="34">
        <v>502</v>
      </c>
      <c r="B503" s="34" t="s">
        <v>644</v>
      </c>
      <c r="C503" s="29" t="str">
        <f>VLOOKUP(B503,教育部大学名单!$B$1:$D$2920,3,FALSE)</f>
        <v>山东省</v>
      </c>
      <c r="D503" s="34" t="s">
        <v>628</v>
      </c>
      <c r="E503" s="34" t="s">
        <v>645</v>
      </c>
      <c r="F503" s="36" t="str">
        <f>IFERROR(VLOOKUP(B503,'985'!$B$2:$D$40,3,FALSE),"")</f>
        <v/>
      </c>
      <c r="G503" s="32" t="str">
        <f>IFERROR(VLOOKUP(B503,'211'!$B$2:$D$116,3,FALSE),"")</f>
        <v/>
      </c>
      <c r="H503" s="32" t="str">
        <f>IFERROR(VLOOKUP(B503,双一流!$B$2:$D$148,3,FALSE),"")</f>
        <v/>
      </c>
      <c r="I503" s="32" t="str">
        <f>IFERROR(VLOOKUP(B503,汇总!$B$2:$I$2921,8,FALSE),"")</f>
        <v>医药</v>
      </c>
      <c r="J503" s="34" t="s">
        <v>11</v>
      </c>
      <c r="K503" s="35" t="s">
        <v>12</v>
      </c>
    </row>
    <row r="504" ht="33.75" spans="1:11">
      <c r="A504" s="29">
        <v>503</v>
      </c>
      <c r="B504" s="29" t="s">
        <v>646</v>
      </c>
      <c r="C504" s="29" t="str">
        <f>VLOOKUP(B504,教育部大学名单!$B$1:$D$2920,3,FALSE)</f>
        <v>山东省</v>
      </c>
      <c r="D504" s="29" t="s">
        <v>628</v>
      </c>
      <c r="E504" s="29" t="s">
        <v>629</v>
      </c>
      <c r="F504" s="36" t="str">
        <f>IFERROR(VLOOKUP(B504,'985'!$B$2:$D$40,3,FALSE),"")</f>
        <v/>
      </c>
      <c r="G504" s="32" t="str">
        <f>IFERROR(VLOOKUP(B504,'211'!$B$2:$D$116,3,FALSE),"")</f>
        <v/>
      </c>
      <c r="H504" s="32" t="str">
        <f>IFERROR(VLOOKUP(B504,双一流!$B$2:$D$148,3,FALSE),"")</f>
        <v/>
      </c>
      <c r="I504" s="32" t="str">
        <f>IFERROR(VLOOKUP(B504,汇总!$B$2:$I$2921,8,FALSE),"")</f>
        <v>医药</v>
      </c>
      <c r="J504" s="29" t="s">
        <v>11</v>
      </c>
      <c r="K504" s="33" t="s">
        <v>12</v>
      </c>
    </row>
    <row r="505" ht="33.75" spans="1:11">
      <c r="A505" s="34">
        <v>504</v>
      </c>
      <c r="B505" s="34" t="s">
        <v>647</v>
      </c>
      <c r="C505" s="29" t="e">
        <f>VLOOKUP(B505,教育部大学名单!$B$1:$D$2920,3,FALSE)</f>
        <v>#N/A</v>
      </c>
      <c r="D505" s="34" t="s">
        <v>628</v>
      </c>
      <c r="E505" s="34" t="s">
        <v>648</v>
      </c>
      <c r="F505" s="36" t="str">
        <f>IFERROR(VLOOKUP(B505,'985'!$B$2:$D$40,3,FALSE),"")</f>
        <v/>
      </c>
      <c r="G505" s="32" t="str">
        <f>IFERROR(VLOOKUP(B505,'211'!$B$2:$D$116,3,FALSE),"")</f>
        <v/>
      </c>
      <c r="H505" s="32" t="str">
        <f>IFERROR(VLOOKUP(B505,双一流!$B$2:$D$148,3,FALSE),"")</f>
        <v/>
      </c>
      <c r="I505" s="32" t="str">
        <f>IFERROR(VLOOKUP(B505,汇总!$B$2:$I$2921,8,FALSE),"")</f>
        <v/>
      </c>
      <c r="J505" s="34" t="s">
        <v>11</v>
      </c>
      <c r="K505" s="35" t="s">
        <v>12</v>
      </c>
    </row>
    <row r="506" ht="33.75" spans="1:11">
      <c r="A506" s="29">
        <v>505</v>
      </c>
      <c r="B506" s="29" t="s">
        <v>649</v>
      </c>
      <c r="C506" s="29" t="str">
        <f>VLOOKUP(B506,教育部大学名单!$B$1:$D$2920,3,FALSE)</f>
        <v>山东省</v>
      </c>
      <c r="D506" s="29" t="s">
        <v>628</v>
      </c>
      <c r="E506" s="29" t="s">
        <v>629</v>
      </c>
      <c r="F506" s="36" t="str">
        <f>IFERROR(VLOOKUP(B506,'985'!$B$2:$D$40,3,FALSE),"")</f>
        <v/>
      </c>
      <c r="G506" s="32" t="str">
        <f>IFERROR(VLOOKUP(B506,'211'!$B$2:$D$116,3,FALSE),"")</f>
        <v/>
      </c>
      <c r="H506" s="32" t="str">
        <f>IFERROR(VLOOKUP(B506,双一流!$B$2:$D$148,3,FALSE),"")</f>
        <v/>
      </c>
      <c r="I506" s="32" t="str">
        <f>IFERROR(VLOOKUP(B506,汇总!$B$2:$I$2921,8,FALSE),"")</f>
        <v>医药</v>
      </c>
      <c r="J506" s="29" t="s">
        <v>11</v>
      </c>
      <c r="K506" s="33" t="s">
        <v>12</v>
      </c>
    </row>
    <row r="507" ht="17.25" spans="1:11">
      <c r="A507" s="34">
        <v>506</v>
      </c>
      <c r="B507" s="34" t="s">
        <v>650</v>
      </c>
      <c r="C507" s="29" t="str">
        <f>VLOOKUP(B507,教育部大学名单!$B$1:$D$2920,3,FALSE)</f>
        <v>山东省</v>
      </c>
      <c r="D507" s="34" t="s">
        <v>628</v>
      </c>
      <c r="E507" s="34" t="s">
        <v>651</v>
      </c>
      <c r="F507" s="36" t="str">
        <f>IFERROR(VLOOKUP(B507,'985'!$B$2:$D$40,3,FALSE),"")</f>
        <v/>
      </c>
      <c r="G507" s="32" t="str">
        <f>IFERROR(VLOOKUP(B507,'211'!$B$2:$D$116,3,FALSE),"")</f>
        <v/>
      </c>
      <c r="H507" s="32" t="str">
        <f>IFERROR(VLOOKUP(B507,双一流!$B$2:$D$148,3,FALSE),"")</f>
        <v/>
      </c>
      <c r="I507" s="32">
        <f>IFERROR(VLOOKUP(B507,汇总!$B$2:$I$2921,8,FALSE),"")</f>
        <v>0</v>
      </c>
      <c r="J507" s="34" t="s">
        <v>11</v>
      </c>
      <c r="K507" s="35" t="s">
        <v>12</v>
      </c>
    </row>
    <row r="508" ht="33.75" spans="1:11">
      <c r="A508" s="29">
        <v>507</v>
      </c>
      <c r="B508" s="29" t="s">
        <v>652</v>
      </c>
      <c r="C508" s="29" t="str">
        <f>VLOOKUP(B508,教育部大学名单!$B$1:$D$2920,3,FALSE)</f>
        <v>山东省</v>
      </c>
      <c r="D508" s="29" t="s">
        <v>628</v>
      </c>
      <c r="E508" s="29" t="s">
        <v>629</v>
      </c>
      <c r="F508" s="36" t="str">
        <f>IFERROR(VLOOKUP(B508,'985'!$B$2:$D$40,3,FALSE),"")</f>
        <v/>
      </c>
      <c r="G508" s="32" t="str">
        <f>IFERROR(VLOOKUP(B508,'211'!$B$2:$D$116,3,FALSE),"")</f>
        <v/>
      </c>
      <c r="H508" s="32" t="str">
        <f>IFERROR(VLOOKUP(B508,双一流!$B$2:$D$148,3,FALSE),"")</f>
        <v/>
      </c>
      <c r="I508" s="32" t="str">
        <f>IFERROR(VLOOKUP(B508,汇总!$B$2:$I$2921,8,FALSE),"")</f>
        <v>师范</v>
      </c>
      <c r="J508" s="29" t="s">
        <v>11</v>
      </c>
      <c r="K508" s="33" t="s">
        <v>12</v>
      </c>
    </row>
    <row r="509" ht="33.75" spans="1:11">
      <c r="A509" s="34">
        <v>508</v>
      </c>
      <c r="B509" s="34" t="s">
        <v>653</v>
      </c>
      <c r="C509" s="29" t="str">
        <f>VLOOKUP(B509,教育部大学名单!$B$1:$D$2920,3,FALSE)</f>
        <v>山东省</v>
      </c>
      <c r="D509" s="34" t="s">
        <v>628</v>
      </c>
      <c r="E509" s="34" t="s">
        <v>651</v>
      </c>
      <c r="F509" s="36" t="str">
        <f>IFERROR(VLOOKUP(B509,'985'!$B$2:$D$40,3,FALSE),"")</f>
        <v/>
      </c>
      <c r="G509" s="32" t="str">
        <f>IFERROR(VLOOKUP(B509,'211'!$B$2:$D$116,3,FALSE),"")</f>
        <v/>
      </c>
      <c r="H509" s="32" t="str">
        <f>IFERROR(VLOOKUP(B509,双一流!$B$2:$D$148,3,FALSE),"")</f>
        <v/>
      </c>
      <c r="I509" s="32" t="str">
        <f>IFERROR(VLOOKUP(B509,汇总!$B$2:$I$2921,8,FALSE),"")</f>
        <v>师范</v>
      </c>
      <c r="J509" s="34" t="s">
        <v>11</v>
      </c>
      <c r="K509" s="35" t="s">
        <v>12</v>
      </c>
    </row>
    <row r="510" ht="17.25" spans="1:11">
      <c r="A510" s="29">
        <v>509</v>
      </c>
      <c r="B510" s="29" t="s">
        <v>654</v>
      </c>
      <c r="C510" s="29" t="str">
        <f>VLOOKUP(B510,教育部大学名单!$B$1:$D$2920,3,FALSE)</f>
        <v>山东省</v>
      </c>
      <c r="D510" s="29" t="s">
        <v>628</v>
      </c>
      <c r="E510" s="29" t="s">
        <v>655</v>
      </c>
      <c r="F510" s="36" t="str">
        <f>IFERROR(VLOOKUP(B510,'985'!$B$2:$D$40,3,FALSE),"")</f>
        <v/>
      </c>
      <c r="G510" s="32" t="str">
        <f>IFERROR(VLOOKUP(B510,'211'!$B$2:$D$116,3,FALSE),"")</f>
        <v/>
      </c>
      <c r="H510" s="32" t="str">
        <f>IFERROR(VLOOKUP(B510,双一流!$B$2:$D$148,3,FALSE),"")</f>
        <v/>
      </c>
      <c r="I510" s="32" t="str">
        <f>IFERROR(VLOOKUP(B510,汇总!$B$2:$I$2921,8,FALSE),"")</f>
        <v>综合</v>
      </c>
      <c r="J510" s="29" t="s">
        <v>11</v>
      </c>
      <c r="K510" s="33" t="s">
        <v>12</v>
      </c>
    </row>
    <row r="511" ht="17.25" spans="1:11">
      <c r="A511" s="34">
        <v>510</v>
      </c>
      <c r="B511" s="34" t="s">
        <v>656</v>
      </c>
      <c r="C511" s="29" t="str">
        <f>VLOOKUP(B511,教育部大学名单!$B$1:$D$2920,3,FALSE)</f>
        <v>山东省</v>
      </c>
      <c r="D511" s="34" t="s">
        <v>628</v>
      </c>
      <c r="E511" s="34" t="s">
        <v>657</v>
      </c>
      <c r="F511" s="36" t="str">
        <f>IFERROR(VLOOKUP(B511,'985'!$B$2:$D$40,3,FALSE),"")</f>
        <v/>
      </c>
      <c r="G511" s="32" t="str">
        <f>IFERROR(VLOOKUP(B511,'211'!$B$2:$D$116,3,FALSE),"")</f>
        <v/>
      </c>
      <c r="H511" s="32" t="str">
        <f>IFERROR(VLOOKUP(B511,双一流!$B$2:$D$148,3,FALSE),"")</f>
        <v/>
      </c>
      <c r="I511" s="32">
        <f>IFERROR(VLOOKUP(B511,汇总!$B$2:$I$2921,8,FALSE),"")</f>
        <v>0</v>
      </c>
      <c r="J511" s="34" t="s">
        <v>11</v>
      </c>
      <c r="K511" s="35" t="s">
        <v>12</v>
      </c>
    </row>
    <row r="512" ht="33.75" spans="1:11">
      <c r="A512" s="29">
        <v>511</v>
      </c>
      <c r="B512" s="29" t="s">
        <v>658</v>
      </c>
      <c r="C512" s="29" t="str">
        <f>VLOOKUP(B512,教育部大学名单!$B$1:$D$2920,3,FALSE)</f>
        <v>山东省</v>
      </c>
      <c r="D512" s="29" t="s">
        <v>628</v>
      </c>
      <c r="E512" s="29" t="s">
        <v>648</v>
      </c>
      <c r="F512" s="36" t="str">
        <f>IFERROR(VLOOKUP(B512,'985'!$B$2:$D$40,3,FALSE),"")</f>
        <v/>
      </c>
      <c r="G512" s="32" t="str">
        <f>IFERROR(VLOOKUP(B512,'211'!$B$2:$D$116,3,FALSE),"")</f>
        <v/>
      </c>
      <c r="H512" s="32" t="str">
        <f>IFERROR(VLOOKUP(B512,双一流!$B$2:$D$148,3,FALSE),"")</f>
        <v/>
      </c>
      <c r="I512" s="32">
        <f>IFERROR(VLOOKUP(B512,汇总!$B$2:$I$2921,8,FALSE),"")</f>
        <v>0</v>
      </c>
      <c r="J512" s="29" t="s">
        <v>11</v>
      </c>
      <c r="K512" s="33" t="s">
        <v>12</v>
      </c>
    </row>
    <row r="513" ht="17.25" spans="1:11">
      <c r="A513" s="34">
        <v>512</v>
      </c>
      <c r="B513" s="34" t="s">
        <v>659</v>
      </c>
      <c r="C513" s="29" t="str">
        <f>VLOOKUP(B513,教育部大学名单!$B$1:$D$2920,3,FALSE)</f>
        <v>山东省</v>
      </c>
      <c r="D513" s="34" t="s">
        <v>628</v>
      </c>
      <c r="E513" s="34" t="s">
        <v>660</v>
      </c>
      <c r="F513" s="36" t="str">
        <f>IFERROR(VLOOKUP(B513,'985'!$B$2:$D$40,3,FALSE),"")</f>
        <v/>
      </c>
      <c r="G513" s="32" t="str">
        <f>IFERROR(VLOOKUP(B513,'211'!$B$2:$D$116,3,FALSE),"")</f>
        <v/>
      </c>
      <c r="H513" s="32" t="str">
        <f>IFERROR(VLOOKUP(B513,双一流!$B$2:$D$148,3,FALSE),"")</f>
        <v/>
      </c>
      <c r="I513" s="32" t="str">
        <f>IFERROR(VLOOKUP(B513,汇总!$B$2:$I$2921,8,FALSE),"")</f>
        <v>综合</v>
      </c>
      <c r="J513" s="34" t="s">
        <v>11</v>
      </c>
      <c r="K513" s="35" t="s">
        <v>12</v>
      </c>
    </row>
    <row r="514" ht="17.25" spans="1:11">
      <c r="A514" s="29">
        <v>513</v>
      </c>
      <c r="B514" s="29" t="s">
        <v>661</v>
      </c>
      <c r="C514" s="29" t="str">
        <f>VLOOKUP(B514,教育部大学名单!$B$1:$D$2920,3,FALSE)</f>
        <v>山东省</v>
      </c>
      <c r="D514" s="29" t="s">
        <v>628</v>
      </c>
      <c r="E514" s="29" t="s">
        <v>662</v>
      </c>
      <c r="F514" s="36" t="str">
        <f>IFERROR(VLOOKUP(B514,'985'!$B$2:$D$40,3,FALSE),"")</f>
        <v/>
      </c>
      <c r="G514" s="32" t="str">
        <f>IFERROR(VLOOKUP(B514,'211'!$B$2:$D$116,3,FALSE),"")</f>
        <v/>
      </c>
      <c r="H514" s="32" t="str">
        <f>IFERROR(VLOOKUP(B514,双一流!$B$2:$D$148,3,FALSE),"")</f>
        <v/>
      </c>
      <c r="I514" s="32">
        <f>IFERROR(VLOOKUP(B514,汇总!$B$2:$I$2921,8,FALSE),"")</f>
        <v>0</v>
      </c>
      <c r="J514" s="29" t="s">
        <v>11</v>
      </c>
      <c r="K514" s="33" t="s">
        <v>12</v>
      </c>
    </row>
    <row r="515" ht="17.25" spans="1:11">
      <c r="A515" s="34">
        <v>514</v>
      </c>
      <c r="B515" s="34" t="s">
        <v>663</v>
      </c>
      <c r="C515" s="29" t="str">
        <f>VLOOKUP(B515,教育部大学名单!$B$1:$D$2920,3,FALSE)</f>
        <v>山东省</v>
      </c>
      <c r="D515" s="34" t="s">
        <v>628</v>
      </c>
      <c r="E515" s="34" t="s">
        <v>642</v>
      </c>
      <c r="F515" s="36" t="str">
        <f>IFERROR(VLOOKUP(B515,'985'!$B$2:$D$40,3,FALSE),"")</f>
        <v/>
      </c>
      <c r="G515" s="32" t="str">
        <f>IFERROR(VLOOKUP(B515,'211'!$B$2:$D$116,3,FALSE),"")</f>
        <v/>
      </c>
      <c r="H515" s="32" t="str">
        <f>IFERROR(VLOOKUP(B515,双一流!$B$2:$D$148,3,FALSE),"")</f>
        <v/>
      </c>
      <c r="I515" s="32">
        <f>IFERROR(VLOOKUP(B515,汇总!$B$2:$I$2921,8,FALSE),"")</f>
        <v>0</v>
      </c>
      <c r="J515" s="34" t="s">
        <v>11</v>
      </c>
      <c r="K515" s="35" t="s">
        <v>12</v>
      </c>
    </row>
    <row r="516" ht="17.25" spans="1:11">
      <c r="A516" s="29">
        <v>515</v>
      </c>
      <c r="B516" s="29" t="s">
        <v>664</v>
      </c>
      <c r="C516" s="29" t="str">
        <f>VLOOKUP(B516,教育部大学名单!$B$1:$D$2920,3,FALSE)</f>
        <v>山东省</v>
      </c>
      <c r="D516" s="29" t="s">
        <v>628</v>
      </c>
      <c r="E516" s="29" t="s">
        <v>651</v>
      </c>
      <c r="F516" s="36" t="str">
        <f>IFERROR(VLOOKUP(B516,'985'!$B$2:$D$40,3,FALSE),"")</f>
        <v/>
      </c>
      <c r="G516" s="32" t="str">
        <f>IFERROR(VLOOKUP(B516,'211'!$B$2:$D$116,3,FALSE),"")</f>
        <v/>
      </c>
      <c r="H516" s="32" t="str">
        <f>IFERROR(VLOOKUP(B516,双一流!$B$2:$D$148,3,FALSE),"")</f>
        <v/>
      </c>
      <c r="I516" s="32">
        <f>IFERROR(VLOOKUP(B516,汇总!$B$2:$I$2921,8,FALSE),"")</f>
        <v>0</v>
      </c>
      <c r="J516" s="29" t="s">
        <v>11</v>
      </c>
      <c r="K516" s="33" t="s">
        <v>12</v>
      </c>
    </row>
    <row r="517" ht="17.25" spans="1:11">
      <c r="A517" s="34">
        <v>516</v>
      </c>
      <c r="B517" s="34" t="s">
        <v>665</v>
      </c>
      <c r="C517" s="29" t="str">
        <f>VLOOKUP(B517,教育部大学名单!$B$1:$D$2920,3,FALSE)</f>
        <v>山东省</v>
      </c>
      <c r="D517" s="34" t="s">
        <v>628</v>
      </c>
      <c r="E517" s="34" t="s">
        <v>666</v>
      </c>
      <c r="F517" s="36" t="str">
        <f>IFERROR(VLOOKUP(B517,'985'!$B$2:$D$40,3,FALSE),"")</f>
        <v/>
      </c>
      <c r="G517" s="32" t="str">
        <f>IFERROR(VLOOKUP(B517,'211'!$B$2:$D$116,3,FALSE),"")</f>
        <v/>
      </c>
      <c r="H517" s="32" t="str">
        <f>IFERROR(VLOOKUP(B517,双一流!$B$2:$D$148,3,FALSE),"")</f>
        <v/>
      </c>
      <c r="I517" s="32">
        <f>IFERROR(VLOOKUP(B517,汇总!$B$2:$I$2921,8,FALSE),"")</f>
        <v>0</v>
      </c>
      <c r="J517" s="34" t="s">
        <v>11</v>
      </c>
      <c r="K517" s="35" t="s">
        <v>12</v>
      </c>
    </row>
    <row r="518" ht="33.75" spans="1:11">
      <c r="A518" s="29">
        <v>517</v>
      </c>
      <c r="B518" s="29" t="s">
        <v>667</v>
      </c>
      <c r="C518" s="29" t="str">
        <f>VLOOKUP(B518,教育部大学名单!$B$1:$D$2920,3,FALSE)</f>
        <v>山东省</v>
      </c>
      <c r="D518" s="29" t="s">
        <v>628</v>
      </c>
      <c r="E518" s="29" t="s">
        <v>629</v>
      </c>
      <c r="F518" s="36" t="str">
        <f>IFERROR(VLOOKUP(B518,'985'!$B$2:$D$40,3,FALSE),"")</f>
        <v/>
      </c>
      <c r="G518" s="32" t="str">
        <f>IFERROR(VLOOKUP(B518,'211'!$B$2:$D$116,3,FALSE),"")</f>
        <v/>
      </c>
      <c r="H518" s="32" t="str">
        <f>IFERROR(VLOOKUP(B518,双一流!$B$2:$D$148,3,FALSE),"")</f>
        <v/>
      </c>
      <c r="I518" s="32" t="str">
        <f>IFERROR(VLOOKUP(B518,汇总!$B$2:$I$2921,8,FALSE),"")</f>
        <v>财经</v>
      </c>
      <c r="J518" s="29" t="s">
        <v>11</v>
      </c>
      <c r="K518" s="33" t="s">
        <v>12</v>
      </c>
    </row>
    <row r="519" ht="33.75" spans="1:11">
      <c r="A519" s="34">
        <v>518</v>
      </c>
      <c r="B519" s="34" t="s">
        <v>668</v>
      </c>
      <c r="C519" s="29" t="str">
        <f>VLOOKUP(B519,教育部大学名单!$B$1:$D$2920,3,FALSE)</f>
        <v>山东省</v>
      </c>
      <c r="D519" s="34" t="s">
        <v>628</v>
      </c>
      <c r="E519" s="34" t="s">
        <v>629</v>
      </c>
      <c r="F519" s="36" t="str">
        <f>IFERROR(VLOOKUP(B519,'985'!$B$2:$D$40,3,FALSE),"")</f>
        <v/>
      </c>
      <c r="G519" s="32" t="str">
        <f>IFERROR(VLOOKUP(B519,'211'!$B$2:$D$116,3,FALSE),"")</f>
        <v/>
      </c>
      <c r="H519" s="32" t="str">
        <f>IFERROR(VLOOKUP(B519,双一流!$B$2:$D$148,3,FALSE),"")</f>
        <v/>
      </c>
      <c r="I519" s="32">
        <f>IFERROR(VLOOKUP(B519,汇总!$B$2:$I$2921,8,FALSE),"")</f>
        <v>0</v>
      </c>
      <c r="J519" s="34" t="s">
        <v>11</v>
      </c>
      <c r="K519" s="35" t="s">
        <v>12</v>
      </c>
    </row>
    <row r="520" ht="33.75" spans="1:11">
      <c r="A520" s="29">
        <v>519</v>
      </c>
      <c r="B520" s="29" t="s">
        <v>669</v>
      </c>
      <c r="C520" s="29" t="str">
        <f>VLOOKUP(B520,教育部大学名单!$B$1:$D$2920,3,FALSE)</f>
        <v>山东省</v>
      </c>
      <c r="D520" s="29" t="s">
        <v>628</v>
      </c>
      <c r="E520" s="29" t="s">
        <v>629</v>
      </c>
      <c r="F520" s="36" t="str">
        <f>IFERROR(VLOOKUP(B520,'985'!$B$2:$D$40,3,FALSE),"")</f>
        <v/>
      </c>
      <c r="G520" s="32" t="str">
        <f>IFERROR(VLOOKUP(B520,'211'!$B$2:$D$116,3,FALSE),"")</f>
        <v/>
      </c>
      <c r="H520" s="32" t="str">
        <f>IFERROR(VLOOKUP(B520,双一流!$B$2:$D$148,3,FALSE),"")</f>
        <v/>
      </c>
      <c r="I520" s="32">
        <f>IFERROR(VLOOKUP(B520,汇总!$B$2:$I$2921,8,FALSE),"")</f>
        <v>0</v>
      </c>
      <c r="J520" s="29" t="s">
        <v>11</v>
      </c>
      <c r="K520" s="33" t="s">
        <v>12</v>
      </c>
    </row>
    <row r="521" ht="17.25" spans="1:11">
      <c r="A521" s="34">
        <v>520</v>
      </c>
      <c r="B521" s="34" t="s">
        <v>670</v>
      </c>
      <c r="C521" s="29" t="str">
        <f>VLOOKUP(B521,教育部大学名单!$B$1:$D$2920,3,FALSE)</f>
        <v>山东省</v>
      </c>
      <c r="D521" s="34" t="s">
        <v>628</v>
      </c>
      <c r="E521" s="34" t="s">
        <v>671</v>
      </c>
      <c r="F521" s="36" t="str">
        <f>IFERROR(VLOOKUP(B521,'985'!$B$2:$D$40,3,FALSE),"")</f>
        <v/>
      </c>
      <c r="G521" s="32" t="str">
        <f>IFERROR(VLOOKUP(B521,'211'!$B$2:$D$116,3,FALSE),"")</f>
        <v/>
      </c>
      <c r="H521" s="32" t="str">
        <f>IFERROR(VLOOKUP(B521,双一流!$B$2:$D$148,3,FALSE),"")</f>
        <v/>
      </c>
      <c r="I521" s="32">
        <f>IFERROR(VLOOKUP(B521,汇总!$B$2:$I$2921,8,FALSE),"")</f>
        <v>0</v>
      </c>
      <c r="J521" s="34" t="s">
        <v>11</v>
      </c>
      <c r="K521" s="35" t="s">
        <v>12</v>
      </c>
    </row>
    <row r="522" ht="33.75" spans="1:11">
      <c r="A522" s="29">
        <v>521</v>
      </c>
      <c r="B522" s="29" t="s">
        <v>672</v>
      </c>
      <c r="C522" s="29" t="str">
        <f>VLOOKUP(B522,教育部大学名单!$B$1:$D$2920,3,FALSE)</f>
        <v>山东省</v>
      </c>
      <c r="D522" s="29" t="s">
        <v>628</v>
      </c>
      <c r="E522" s="29" t="s">
        <v>629</v>
      </c>
      <c r="F522" s="36" t="str">
        <f>IFERROR(VLOOKUP(B522,'985'!$B$2:$D$40,3,FALSE),"")</f>
        <v/>
      </c>
      <c r="G522" s="32" t="str">
        <f>IFERROR(VLOOKUP(B522,'211'!$B$2:$D$116,3,FALSE),"")</f>
        <v/>
      </c>
      <c r="H522" s="32" t="str">
        <f>IFERROR(VLOOKUP(B522,双一流!$B$2:$D$148,3,FALSE),"")</f>
        <v/>
      </c>
      <c r="I522" s="32">
        <f>IFERROR(VLOOKUP(B522,汇总!$B$2:$I$2921,8,FALSE),"")</f>
        <v>0</v>
      </c>
      <c r="J522" s="29" t="s">
        <v>11</v>
      </c>
      <c r="K522" s="33" t="s">
        <v>12</v>
      </c>
    </row>
    <row r="523" ht="17.25" spans="1:11">
      <c r="A523" s="34">
        <v>522</v>
      </c>
      <c r="B523" s="34" t="s">
        <v>673</v>
      </c>
      <c r="C523" s="29" t="str">
        <f>VLOOKUP(B523,教育部大学名单!$B$1:$D$2920,3,FALSE)</f>
        <v>山东省</v>
      </c>
      <c r="D523" s="34" t="s">
        <v>628</v>
      </c>
      <c r="E523" s="34" t="s">
        <v>631</v>
      </c>
      <c r="F523" s="36" t="str">
        <f>IFERROR(VLOOKUP(B523,'985'!$B$2:$D$40,3,FALSE),"")</f>
        <v/>
      </c>
      <c r="G523" s="32" t="str">
        <f>IFERROR(VLOOKUP(B523,'211'!$B$2:$D$116,3,FALSE),"")</f>
        <v/>
      </c>
      <c r="H523" s="32" t="str">
        <f>IFERROR(VLOOKUP(B523,双一流!$B$2:$D$148,3,FALSE),"")</f>
        <v/>
      </c>
      <c r="I523" s="32" t="str">
        <f>IFERROR(VLOOKUP(B523,汇总!$B$2:$I$2921,8,FALSE),"")</f>
        <v>综合</v>
      </c>
      <c r="J523" s="34" t="s">
        <v>11</v>
      </c>
      <c r="K523" s="35" t="s">
        <v>12</v>
      </c>
    </row>
    <row r="524" ht="17.25" spans="1:11">
      <c r="A524" s="29">
        <v>523</v>
      </c>
      <c r="B524" s="29" t="s">
        <v>674</v>
      </c>
      <c r="C524" s="29" t="str">
        <f>VLOOKUP(B524,教育部大学名单!$B$1:$D$2920,3,FALSE)</f>
        <v>山东省</v>
      </c>
      <c r="D524" s="29" t="s">
        <v>628</v>
      </c>
      <c r="E524" s="29" t="s">
        <v>660</v>
      </c>
      <c r="F524" s="36" t="str">
        <f>IFERROR(VLOOKUP(B524,'985'!$B$2:$D$40,3,FALSE),"")</f>
        <v/>
      </c>
      <c r="G524" s="32" t="str">
        <f>IFERROR(VLOOKUP(B524,'211'!$B$2:$D$116,3,FALSE),"")</f>
        <v/>
      </c>
      <c r="H524" s="32" t="str">
        <f>IFERROR(VLOOKUP(B524,双一流!$B$2:$D$148,3,FALSE),"")</f>
        <v/>
      </c>
      <c r="I524" s="32" t="str">
        <f>IFERROR(VLOOKUP(B524,汇总!$B$2:$I$2921,8,FALSE),"")</f>
        <v>综合</v>
      </c>
      <c r="J524" s="29" t="s">
        <v>11</v>
      </c>
      <c r="K524" s="33" t="s">
        <v>12</v>
      </c>
    </row>
    <row r="525" ht="17.25" spans="1:11">
      <c r="A525" s="34">
        <v>524</v>
      </c>
      <c r="B525" s="34" t="s">
        <v>675</v>
      </c>
      <c r="C525" s="29" t="str">
        <f>VLOOKUP(B525,教育部大学名单!$B$1:$D$2920,3,FALSE)</f>
        <v>山东省</v>
      </c>
      <c r="D525" s="34" t="s">
        <v>628</v>
      </c>
      <c r="E525" s="34" t="s">
        <v>645</v>
      </c>
      <c r="F525" s="36" t="str">
        <f>IFERROR(VLOOKUP(B525,'985'!$B$2:$D$40,3,FALSE),"")</f>
        <v/>
      </c>
      <c r="G525" s="32" t="str">
        <f>IFERROR(VLOOKUP(B525,'211'!$B$2:$D$116,3,FALSE),"")</f>
        <v/>
      </c>
      <c r="H525" s="32" t="str">
        <f>IFERROR(VLOOKUP(B525,双一流!$B$2:$D$148,3,FALSE),"")</f>
        <v/>
      </c>
      <c r="I525" s="32">
        <f>IFERROR(VLOOKUP(B525,汇总!$B$2:$I$2921,8,FALSE),"")</f>
        <v>0</v>
      </c>
      <c r="J525" s="34" t="s">
        <v>11</v>
      </c>
      <c r="K525" s="35" t="s">
        <v>12</v>
      </c>
    </row>
    <row r="526" ht="33.75" spans="1:11">
      <c r="A526" s="29">
        <v>525</v>
      </c>
      <c r="B526" s="29" t="s">
        <v>676</v>
      </c>
      <c r="C526" s="29" t="str">
        <f>VLOOKUP(B526,教育部大学名单!$B$1:$D$2920,3,FALSE)</f>
        <v>山东省</v>
      </c>
      <c r="D526" s="29" t="s">
        <v>628</v>
      </c>
      <c r="E526" s="29" t="s">
        <v>629</v>
      </c>
      <c r="F526" s="36" t="str">
        <f>IFERROR(VLOOKUP(B526,'985'!$B$2:$D$40,3,FALSE),"")</f>
        <v/>
      </c>
      <c r="G526" s="32" t="str">
        <f>IFERROR(VLOOKUP(B526,'211'!$B$2:$D$116,3,FALSE),"")</f>
        <v/>
      </c>
      <c r="H526" s="32" t="str">
        <f>IFERROR(VLOOKUP(B526,双一流!$B$2:$D$148,3,FALSE),"")</f>
        <v/>
      </c>
      <c r="I526" s="32">
        <f>IFERROR(VLOOKUP(B526,汇总!$B$2:$I$2921,8,FALSE),"")</f>
        <v>0</v>
      </c>
      <c r="J526" s="29" t="s">
        <v>11</v>
      </c>
      <c r="K526" s="33" t="s">
        <v>12</v>
      </c>
    </row>
    <row r="527" ht="33.75" spans="1:11">
      <c r="A527" s="34">
        <v>526</v>
      </c>
      <c r="B527" s="34" t="s">
        <v>677</v>
      </c>
      <c r="C527" s="29" t="str">
        <f>VLOOKUP(B527,教育部大学名单!$B$1:$D$2920,3,FALSE)</f>
        <v>山东省</v>
      </c>
      <c r="D527" s="34" t="s">
        <v>628</v>
      </c>
      <c r="E527" s="34" t="s">
        <v>629</v>
      </c>
      <c r="F527" s="36" t="str">
        <f>IFERROR(VLOOKUP(B527,'985'!$B$2:$D$40,3,FALSE),"")</f>
        <v/>
      </c>
      <c r="G527" s="32" t="str">
        <f>IFERROR(VLOOKUP(B527,'211'!$B$2:$D$116,3,FALSE),"")</f>
        <v/>
      </c>
      <c r="H527" s="32" t="str">
        <f>IFERROR(VLOOKUP(B527,双一流!$B$2:$D$148,3,FALSE),"")</f>
        <v/>
      </c>
      <c r="I527" s="32">
        <f>IFERROR(VLOOKUP(B527,汇总!$B$2:$I$2921,8,FALSE),"")</f>
        <v>0</v>
      </c>
      <c r="J527" s="34" t="s">
        <v>11</v>
      </c>
      <c r="K527" s="35" t="s">
        <v>12</v>
      </c>
    </row>
    <row r="528" ht="33.75" spans="1:11">
      <c r="A528" s="29">
        <v>527</v>
      </c>
      <c r="B528" s="29" t="s">
        <v>678</v>
      </c>
      <c r="C528" s="29" t="str">
        <f>VLOOKUP(B528,教育部大学名单!$B$1:$D$2920,3,FALSE)</f>
        <v>山东省</v>
      </c>
      <c r="D528" s="29" t="s">
        <v>628</v>
      </c>
      <c r="E528" s="29" t="s">
        <v>660</v>
      </c>
      <c r="F528" s="36" t="str">
        <f>IFERROR(VLOOKUP(B528,'985'!$B$2:$D$40,3,FALSE),"")</f>
        <v/>
      </c>
      <c r="G528" s="32" t="str">
        <f>IFERROR(VLOOKUP(B528,'211'!$B$2:$D$116,3,FALSE),"")</f>
        <v/>
      </c>
      <c r="H528" s="32" t="str">
        <f>IFERROR(VLOOKUP(B528,双一流!$B$2:$D$148,3,FALSE),"")</f>
        <v/>
      </c>
      <c r="I528" s="32">
        <f>IFERROR(VLOOKUP(B528,汇总!$B$2:$I$2921,8,FALSE),"")</f>
        <v>0</v>
      </c>
      <c r="J528" s="29" t="s">
        <v>11</v>
      </c>
      <c r="K528" s="33" t="s">
        <v>12</v>
      </c>
    </row>
    <row r="529" ht="33.75" spans="1:11">
      <c r="A529" s="34">
        <v>528</v>
      </c>
      <c r="B529" s="34" t="s">
        <v>679</v>
      </c>
      <c r="C529" s="29" t="str">
        <f>VLOOKUP(B529,教育部大学名单!$B$1:$D$2920,3,FALSE)</f>
        <v>山东省</v>
      </c>
      <c r="D529" s="34" t="s">
        <v>628</v>
      </c>
      <c r="E529" s="34" t="s">
        <v>629</v>
      </c>
      <c r="F529" s="36" t="str">
        <f>IFERROR(VLOOKUP(B529,'985'!$B$2:$D$40,3,FALSE),"")</f>
        <v/>
      </c>
      <c r="G529" s="32" t="str">
        <f>IFERROR(VLOOKUP(B529,'211'!$B$2:$D$116,3,FALSE),"")</f>
        <v/>
      </c>
      <c r="H529" s="32" t="str">
        <f>IFERROR(VLOOKUP(B529,双一流!$B$2:$D$148,3,FALSE),"")</f>
        <v/>
      </c>
      <c r="I529" s="32">
        <f>IFERROR(VLOOKUP(B529,汇总!$B$2:$I$2921,8,FALSE),"")</f>
        <v>0</v>
      </c>
      <c r="J529" s="34" t="s">
        <v>11</v>
      </c>
      <c r="K529" s="35" t="s">
        <v>12</v>
      </c>
    </row>
    <row r="530" ht="33.75" spans="1:11">
      <c r="A530" s="29">
        <v>529</v>
      </c>
      <c r="B530" s="29" t="s">
        <v>680</v>
      </c>
      <c r="C530" s="29" t="str">
        <f>VLOOKUP(B530,教育部大学名单!$B$1:$D$2920,3,FALSE)</f>
        <v>山东省</v>
      </c>
      <c r="D530" s="29" t="s">
        <v>628</v>
      </c>
      <c r="E530" s="29" t="s">
        <v>681</v>
      </c>
      <c r="F530" s="36" t="str">
        <f>IFERROR(VLOOKUP(B530,'985'!$B$2:$D$40,3,FALSE),"")</f>
        <v/>
      </c>
      <c r="G530" s="32" t="str">
        <f>IFERROR(VLOOKUP(B530,'211'!$B$2:$D$116,3,FALSE),"")</f>
        <v/>
      </c>
      <c r="H530" s="32" t="str">
        <f>IFERROR(VLOOKUP(B530,双一流!$B$2:$D$148,3,FALSE),"")</f>
        <v/>
      </c>
      <c r="I530" s="32">
        <f>IFERROR(VLOOKUP(B530,汇总!$B$2:$I$2921,8,FALSE),"")</f>
        <v>0</v>
      </c>
      <c r="J530" s="29" t="s">
        <v>11</v>
      </c>
      <c r="K530" s="33" t="s">
        <v>12</v>
      </c>
    </row>
    <row r="531" ht="33.75" spans="1:11">
      <c r="A531" s="34">
        <v>530</v>
      </c>
      <c r="B531" s="34" t="s">
        <v>682</v>
      </c>
      <c r="C531" s="29" t="str">
        <f>VLOOKUP(B531,教育部大学名单!$B$1:$D$2920,3,FALSE)</f>
        <v>山东省</v>
      </c>
      <c r="D531" s="34" t="s">
        <v>628</v>
      </c>
      <c r="E531" s="34" t="s">
        <v>629</v>
      </c>
      <c r="F531" s="36" t="str">
        <f>IFERROR(VLOOKUP(B531,'985'!$B$2:$D$40,3,FALSE),"")</f>
        <v/>
      </c>
      <c r="G531" s="32" t="str">
        <f>IFERROR(VLOOKUP(B531,'211'!$B$2:$D$116,3,FALSE),"")</f>
        <v/>
      </c>
      <c r="H531" s="32" t="str">
        <f>IFERROR(VLOOKUP(B531,双一流!$B$2:$D$148,3,FALSE),"")</f>
        <v/>
      </c>
      <c r="I531" s="32">
        <f>IFERROR(VLOOKUP(B531,汇总!$B$2:$I$2921,8,FALSE),"")</f>
        <v>0</v>
      </c>
      <c r="J531" s="34" t="s">
        <v>11</v>
      </c>
      <c r="K531" s="35" t="s">
        <v>12</v>
      </c>
    </row>
    <row r="532" ht="33.75" spans="1:11">
      <c r="A532" s="29">
        <v>531</v>
      </c>
      <c r="B532" s="29" t="s">
        <v>683</v>
      </c>
      <c r="C532" s="29" t="str">
        <f>VLOOKUP(B532,教育部大学名单!$B$1:$D$2920,3,FALSE)</f>
        <v>山东省</v>
      </c>
      <c r="D532" s="29" t="s">
        <v>628</v>
      </c>
      <c r="E532" s="29" t="s">
        <v>629</v>
      </c>
      <c r="F532" s="36" t="str">
        <f>IFERROR(VLOOKUP(B532,'985'!$B$2:$D$40,3,FALSE),"")</f>
        <v/>
      </c>
      <c r="G532" s="32" t="str">
        <f>IFERROR(VLOOKUP(B532,'211'!$B$2:$D$116,3,FALSE),"")</f>
        <v/>
      </c>
      <c r="H532" s="32" t="str">
        <f>IFERROR(VLOOKUP(B532,双一流!$B$2:$D$148,3,FALSE),"")</f>
        <v/>
      </c>
      <c r="I532" s="32">
        <f>IFERROR(VLOOKUP(B532,汇总!$B$2:$I$2921,8,FALSE),"")</f>
        <v>0</v>
      </c>
      <c r="J532" s="29" t="s">
        <v>11</v>
      </c>
      <c r="K532" s="33" t="s">
        <v>12</v>
      </c>
    </row>
    <row r="533" ht="33.75" spans="1:11">
      <c r="A533" s="34">
        <v>532</v>
      </c>
      <c r="B533" s="34" t="s">
        <v>684</v>
      </c>
      <c r="C533" s="29" t="str">
        <f>VLOOKUP(B533,教育部大学名单!$B$1:$D$2920,3,FALSE)</f>
        <v>山东省</v>
      </c>
      <c r="D533" s="34" t="s">
        <v>628</v>
      </c>
      <c r="E533" s="34" t="s">
        <v>629</v>
      </c>
      <c r="F533" s="36" t="str">
        <f>IFERROR(VLOOKUP(B533,'985'!$B$2:$D$40,3,FALSE),"")</f>
        <v/>
      </c>
      <c r="G533" s="32" t="str">
        <f>IFERROR(VLOOKUP(B533,'211'!$B$2:$D$116,3,FALSE),"")</f>
        <v/>
      </c>
      <c r="H533" s="32" t="str">
        <f>IFERROR(VLOOKUP(B533,双一流!$B$2:$D$148,3,FALSE),"")</f>
        <v/>
      </c>
      <c r="I533" s="32">
        <f>IFERROR(VLOOKUP(B533,汇总!$B$2:$I$2921,8,FALSE),"")</f>
        <v>0</v>
      </c>
      <c r="J533" s="34" t="s">
        <v>11</v>
      </c>
      <c r="K533" s="35" t="s">
        <v>12</v>
      </c>
    </row>
    <row r="534" ht="33.75" spans="1:11">
      <c r="A534" s="29">
        <v>533</v>
      </c>
      <c r="B534" s="29" t="s">
        <v>685</v>
      </c>
      <c r="C534" s="29" t="str">
        <f>VLOOKUP(B534,教育部大学名单!$B$1:$D$2920,3,FALSE)</f>
        <v>山东省</v>
      </c>
      <c r="D534" s="29" t="s">
        <v>628</v>
      </c>
      <c r="E534" s="29" t="s">
        <v>629</v>
      </c>
      <c r="F534" s="36" t="str">
        <f>IFERROR(VLOOKUP(B534,'985'!$B$2:$D$40,3,FALSE),"")</f>
        <v/>
      </c>
      <c r="G534" s="32" t="str">
        <f>IFERROR(VLOOKUP(B534,'211'!$B$2:$D$116,3,FALSE),"")</f>
        <v/>
      </c>
      <c r="H534" s="32" t="str">
        <f>IFERROR(VLOOKUP(B534,双一流!$B$2:$D$148,3,FALSE),"")</f>
        <v/>
      </c>
      <c r="I534" s="32">
        <f>IFERROR(VLOOKUP(B534,汇总!$B$2:$I$2921,8,FALSE),"")</f>
        <v>0</v>
      </c>
      <c r="J534" s="29" t="s">
        <v>11</v>
      </c>
      <c r="K534" s="33" t="s">
        <v>12</v>
      </c>
    </row>
    <row r="535" ht="33.75" spans="1:11">
      <c r="A535" s="34">
        <v>534</v>
      </c>
      <c r="B535" s="34" t="s">
        <v>686</v>
      </c>
      <c r="C535" s="29" t="str">
        <f>VLOOKUP(B535,教育部大学名单!$B$1:$D$2920,3,FALSE)</f>
        <v>山东省</v>
      </c>
      <c r="D535" s="34" t="s">
        <v>628</v>
      </c>
      <c r="E535" s="34" t="s">
        <v>629</v>
      </c>
      <c r="F535" s="36" t="str">
        <f>IFERROR(VLOOKUP(B535,'985'!$B$2:$D$40,3,FALSE),"")</f>
        <v/>
      </c>
      <c r="G535" s="32" t="str">
        <f>IFERROR(VLOOKUP(B535,'211'!$B$2:$D$116,3,FALSE),"")</f>
        <v/>
      </c>
      <c r="H535" s="32" t="str">
        <f>IFERROR(VLOOKUP(B535,双一流!$B$2:$D$148,3,FALSE),"")</f>
        <v/>
      </c>
      <c r="I535" s="32">
        <f>IFERROR(VLOOKUP(B535,汇总!$B$2:$I$2921,8,FALSE),"")</f>
        <v>0</v>
      </c>
      <c r="J535" s="34" t="s">
        <v>11</v>
      </c>
      <c r="K535" s="35" t="s">
        <v>12</v>
      </c>
    </row>
    <row r="536" ht="33.75" spans="1:11">
      <c r="A536" s="29">
        <v>535</v>
      </c>
      <c r="B536" s="29" t="s">
        <v>687</v>
      </c>
      <c r="C536" s="29" t="e">
        <f>VLOOKUP(B536,教育部大学名单!$B$1:$D$2920,3,FALSE)</f>
        <v>#N/A</v>
      </c>
      <c r="D536" s="29" t="s">
        <v>628</v>
      </c>
      <c r="E536" s="29" t="s">
        <v>688</v>
      </c>
      <c r="F536" s="36" t="str">
        <f>IFERROR(VLOOKUP(B536,'985'!$B$2:$D$40,3,FALSE),"")</f>
        <v/>
      </c>
      <c r="G536" s="32" t="str">
        <f>IFERROR(VLOOKUP(B536,'211'!$B$2:$D$116,3,FALSE),"")</f>
        <v/>
      </c>
      <c r="H536" s="32" t="str">
        <f>IFERROR(VLOOKUP(B536,双一流!$B$2:$D$148,3,FALSE),"")</f>
        <v/>
      </c>
      <c r="I536" s="32" t="str">
        <f>IFERROR(VLOOKUP(B536,汇总!$B$2:$I$2921,8,FALSE),"")</f>
        <v/>
      </c>
      <c r="J536" s="29" t="s">
        <v>11</v>
      </c>
      <c r="K536" s="33" t="s">
        <v>12</v>
      </c>
    </row>
    <row r="537" ht="33.75" spans="1:11">
      <c r="A537" s="34">
        <v>536</v>
      </c>
      <c r="B537" s="34" t="s">
        <v>689</v>
      </c>
      <c r="C537" s="29" t="e">
        <f>VLOOKUP(B537,教育部大学名单!$B$1:$D$2920,3,FALSE)</f>
        <v>#N/A</v>
      </c>
      <c r="D537" s="34" t="s">
        <v>628</v>
      </c>
      <c r="E537" s="34" t="s">
        <v>648</v>
      </c>
      <c r="F537" s="36" t="str">
        <f>IFERROR(VLOOKUP(B537,'985'!$B$2:$D$40,3,FALSE),"")</f>
        <v/>
      </c>
      <c r="G537" s="32" t="str">
        <f>IFERROR(VLOOKUP(B537,'211'!$B$2:$D$116,3,FALSE),"")</f>
        <v/>
      </c>
      <c r="H537" s="32" t="str">
        <f>IFERROR(VLOOKUP(B537,双一流!$B$2:$D$148,3,FALSE),"")</f>
        <v/>
      </c>
      <c r="I537" s="32" t="str">
        <f>IFERROR(VLOOKUP(B537,汇总!$B$2:$I$2921,8,FALSE),"")</f>
        <v/>
      </c>
      <c r="J537" s="34" t="s">
        <v>11</v>
      </c>
      <c r="K537" s="35" t="s">
        <v>12</v>
      </c>
    </row>
    <row r="538" ht="33.75" spans="1:11">
      <c r="A538" s="29">
        <v>537</v>
      </c>
      <c r="B538" s="29" t="s">
        <v>690</v>
      </c>
      <c r="C538" s="29" t="str">
        <f>VLOOKUP(B538,教育部大学名单!$B$1:$D$2920,3,FALSE)</f>
        <v>山东省</v>
      </c>
      <c r="D538" s="29" t="s">
        <v>628</v>
      </c>
      <c r="E538" s="29" t="s">
        <v>640</v>
      </c>
      <c r="F538" s="36" t="str">
        <f>IFERROR(VLOOKUP(B538,'985'!$B$2:$D$40,3,FALSE),"")</f>
        <v/>
      </c>
      <c r="G538" s="32" t="str">
        <f>IFERROR(VLOOKUP(B538,'211'!$B$2:$D$116,3,FALSE),"")</f>
        <v/>
      </c>
      <c r="H538" s="32" t="str">
        <f>IFERROR(VLOOKUP(B538,双一流!$B$2:$D$148,3,FALSE),"")</f>
        <v/>
      </c>
      <c r="I538" s="32" t="str">
        <f>IFERROR(VLOOKUP(B538,汇总!$B$2:$I$2921,8,FALSE),"")</f>
        <v/>
      </c>
      <c r="J538" s="29" t="s">
        <v>11</v>
      </c>
      <c r="K538" s="33" t="s">
        <v>12</v>
      </c>
    </row>
    <row r="539" ht="33.75" spans="1:11">
      <c r="A539" s="34">
        <v>538</v>
      </c>
      <c r="B539" s="34" t="s">
        <v>691</v>
      </c>
      <c r="C539" s="29" t="str">
        <f>VLOOKUP(B539,教育部大学名单!$B$1:$D$2920,3,FALSE)</f>
        <v>河南省</v>
      </c>
      <c r="D539" s="34" t="s">
        <v>692</v>
      </c>
      <c r="E539" s="34" t="s">
        <v>693</v>
      </c>
      <c r="F539" s="36" t="str">
        <f>IFERROR(VLOOKUP(B539,'985'!$B$2:$D$40,3,FALSE),"")</f>
        <v/>
      </c>
      <c r="G539" s="32" t="str">
        <f>IFERROR(VLOOKUP(B539,'211'!$B$2:$D$116,3,FALSE),"")</f>
        <v/>
      </c>
      <c r="H539" s="32" t="str">
        <f>IFERROR(VLOOKUP(B539,双一流!$B$2:$D$148,3,FALSE),"")</f>
        <v/>
      </c>
      <c r="I539" s="32" t="str">
        <f>IFERROR(VLOOKUP(B539,汇总!$B$2:$I$2921,8,FALSE),"")</f>
        <v>理工</v>
      </c>
      <c r="J539" s="34" t="s">
        <v>11</v>
      </c>
      <c r="K539" s="35" t="s">
        <v>12</v>
      </c>
    </row>
    <row r="540" ht="17.25" spans="1:11">
      <c r="A540" s="29">
        <v>539</v>
      </c>
      <c r="B540" s="29" t="s">
        <v>694</v>
      </c>
      <c r="C540" s="29" t="str">
        <f>VLOOKUP(B540,教育部大学名单!$B$1:$D$2920,3,FALSE)</f>
        <v>河南省</v>
      </c>
      <c r="D540" s="29" t="s">
        <v>692</v>
      </c>
      <c r="E540" s="29" t="s">
        <v>693</v>
      </c>
      <c r="F540" s="36" t="str">
        <f>IFERROR(VLOOKUP(B540,'985'!$B$2:$D$40,3,FALSE),"")</f>
        <v/>
      </c>
      <c r="G540" s="31">
        <f>IFERROR(VLOOKUP(B540,'211'!$B$2:$D$116,3,FALSE),"")</f>
        <v>211</v>
      </c>
      <c r="H540" s="32" t="str">
        <f>IFERROR(VLOOKUP(B540,双一流!$B$2:$D$148,3,FALSE),"")</f>
        <v>双一流</v>
      </c>
      <c r="I540" s="32" t="str">
        <f>IFERROR(VLOOKUP(B540,汇总!$B$2:$I$2921,8,FALSE),"")</f>
        <v>综合</v>
      </c>
      <c r="J540" s="29" t="s">
        <v>11</v>
      </c>
      <c r="K540" s="33" t="s">
        <v>12</v>
      </c>
    </row>
    <row r="541" ht="33.75" spans="1:11">
      <c r="A541" s="34">
        <v>540</v>
      </c>
      <c r="B541" s="34" t="s">
        <v>695</v>
      </c>
      <c r="C541" s="29" t="str">
        <f>VLOOKUP(B541,教育部大学名单!$B$1:$D$2920,3,FALSE)</f>
        <v>河南省</v>
      </c>
      <c r="D541" s="34" t="s">
        <v>692</v>
      </c>
      <c r="E541" s="34" t="s">
        <v>696</v>
      </c>
      <c r="F541" s="36" t="str">
        <f>IFERROR(VLOOKUP(B541,'985'!$B$2:$D$40,3,FALSE),"")</f>
        <v/>
      </c>
      <c r="G541" s="32" t="str">
        <f>IFERROR(VLOOKUP(B541,'211'!$B$2:$D$116,3,FALSE),"")</f>
        <v/>
      </c>
      <c r="H541" s="32" t="str">
        <f>IFERROR(VLOOKUP(B541,双一流!$B$2:$D$148,3,FALSE),"")</f>
        <v/>
      </c>
      <c r="I541" s="32" t="str">
        <f>IFERROR(VLOOKUP(B541,汇总!$B$2:$I$2921,8,FALSE),"")</f>
        <v>理工</v>
      </c>
      <c r="J541" s="34" t="s">
        <v>11</v>
      </c>
      <c r="K541" s="35" t="s">
        <v>12</v>
      </c>
    </row>
    <row r="542" ht="33.75" spans="1:11">
      <c r="A542" s="29">
        <v>541</v>
      </c>
      <c r="B542" s="29" t="s">
        <v>697</v>
      </c>
      <c r="C542" s="29" t="str">
        <f>VLOOKUP(B542,教育部大学名单!$B$1:$D$2920,3,FALSE)</f>
        <v>河南省</v>
      </c>
      <c r="D542" s="29" t="s">
        <v>692</v>
      </c>
      <c r="E542" s="29" t="s">
        <v>693</v>
      </c>
      <c r="F542" s="36" t="str">
        <f>IFERROR(VLOOKUP(B542,'985'!$B$2:$D$40,3,FALSE),"")</f>
        <v/>
      </c>
      <c r="G542" s="32" t="str">
        <f>IFERROR(VLOOKUP(B542,'211'!$B$2:$D$116,3,FALSE),"")</f>
        <v/>
      </c>
      <c r="H542" s="32" t="str">
        <f>IFERROR(VLOOKUP(B542,双一流!$B$2:$D$148,3,FALSE),"")</f>
        <v/>
      </c>
      <c r="I542" s="32" t="str">
        <f>IFERROR(VLOOKUP(B542,汇总!$B$2:$I$2921,8,FALSE),"")</f>
        <v>理工</v>
      </c>
      <c r="J542" s="29" t="s">
        <v>11</v>
      </c>
      <c r="K542" s="33" t="s">
        <v>12</v>
      </c>
    </row>
    <row r="543" ht="33.75" spans="1:11">
      <c r="A543" s="34">
        <v>542</v>
      </c>
      <c r="B543" s="34" t="s">
        <v>698</v>
      </c>
      <c r="C543" s="29" t="str">
        <f>VLOOKUP(B543,教育部大学名单!$B$1:$D$2920,3,FALSE)</f>
        <v>河南省</v>
      </c>
      <c r="D543" s="34" t="s">
        <v>692</v>
      </c>
      <c r="E543" s="34" t="s">
        <v>693</v>
      </c>
      <c r="F543" s="36" t="str">
        <f>IFERROR(VLOOKUP(B543,'985'!$B$2:$D$40,3,FALSE),"")</f>
        <v/>
      </c>
      <c r="G543" s="32" t="str">
        <f>IFERROR(VLOOKUP(B543,'211'!$B$2:$D$116,3,FALSE),"")</f>
        <v/>
      </c>
      <c r="H543" s="32" t="str">
        <f>IFERROR(VLOOKUP(B543,双一流!$B$2:$D$148,3,FALSE),"")</f>
        <v/>
      </c>
      <c r="I543" s="32" t="str">
        <f>IFERROR(VLOOKUP(B543,汇总!$B$2:$I$2921,8,FALSE),"")</f>
        <v>理工</v>
      </c>
      <c r="J543" s="34" t="s">
        <v>11</v>
      </c>
      <c r="K543" s="35" t="s">
        <v>12</v>
      </c>
    </row>
    <row r="544" ht="33.75" spans="1:11">
      <c r="A544" s="29">
        <v>543</v>
      </c>
      <c r="B544" s="29" t="s">
        <v>699</v>
      </c>
      <c r="C544" s="29" t="str">
        <f>VLOOKUP(B544,教育部大学名单!$B$1:$D$2920,3,FALSE)</f>
        <v>河南省</v>
      </c>
      <c r="D544" s="29" t="s">
        <v>692</v>
      </c>
      <c r="E544" s="29" t="s">
        <v>700</v>
      </c>
      <c r="F544" s="36" t="str">
        <f>IFERROR(VLOOKUP(B544,'985'!$B$2:$D$40,3,FALSE),"")</f>
        <v/>
      </c>
      <c r="G544" s="32" t="str">
        <f>IFERROR(VLOOKUP(B544,'211'!$B$2:$D$116,3,FALSE),"")</f>
        <v/>
      </c>
      <c r="H544" s="32" t="str">
        <f>IFERROR(VLOOKUP(B544,双一流!$B$2:$D$148,3,FALSE),"")</f>
        <v/>
      </c>
      <c r="I544" s="32" t="str">
        <f>IFERROR(VLOOKUP(B544,汇总!$B$2:$I$2921,8,FALSE),"")</f>
        <v>综合</v>
      </c>
      <c r="J544" s="29" t="s">
        <v>11</v>
      </c>
      <c r="K544" s="33" t="s">
        <v>12</v>
      </c>
    </row>
    <row r="545" ht="17.25" spans="1:11">
      <c r="A545" s="34">
        <v>544</v>
      </c>
      <c r="B545" s="34" t="s">
        <v>701</v>
      </c>
      <c r="C545" s="29" t="str">
        <f>VLOOKUP(B545,教育部大学名单!$B$1:$D$2920,3,FALSE)</f>
        <v>河南省</v>
      </c>
      <c r="D545" s="34" t="s">
        <v>692</v>
      </c>
      <c r="E545" s="34" t="s">
        <v>693</v>
      </c>
      <c r="F545" s="36" t="str">
        <f>IFERROR(VLOOKUP(B545,'985'!$B$2:$D$40,3,FALSE),"")</f>
        <v/>
      </c>
      <c r="G545" s="32" t="str">
        <f>IFERROR(VLOOKUP(B545,'211'!$B$2:$D$116,3,FALSE),"")</f>
        <v/>
      </c>
      <c r="H545" s="32" t="str">
        <f>IFERROR(VLOOKUP(B545,双一流!$B$2:$D$148,3,FALSE),"")</f>
        <v/>
      </c>
      <c r="I545" s="32">
        <f>IFERROR(VLOOKUP(B545,汇总!$B$2:$I$2921,8,FALSE),"")</f>
        <v>0</v>
      </c>
      <c r="J545" s="34" t="s">
        <v>11</v>
      </c>
      <c r="K545" s="35" t="s">
        <v>12</v>
      </c>
    </row>
    <row r="546" ht="33.75" spans="1:11">
      <c r="A546" s="29">
        <v>545</v>
      </c>
      <c r="B546" s="29" t="s">
        <v>702</v>
      </c>
      <c r="C546" s="29" t="str">
        <f>VLOOKUP(B546,教育部大学名单!$B$1:$D$2920,3,FALSE)</f>
        <v>河南省</v>
      </c>
      <c r="D546" s="29" t="s">
        <v>692</v>
      </c>
      <c r="E546" s="29" t="s">
        <v>693</v>
      </c>
      <c r="F546" s="36" t="str">
        <f>IFERROR(VLOOKUP(B546,'985'!$B$2:$D$40,3,FALSE),"")</f>
        <v/>
      </c>
      <c r="G546" s="32" t="str">
        <f>IFERROR(VLOOKUP(B546,'211'!$B$2:$D$116,3,FALSE),"")</f>
        <v/>
      </c>
      <c r="H546" s="32" t="str">
        <f>IFERROR(VLOOKUP(B546,双一流!$B$2:$D$148,3,FALSE),"")</f>
        <v/>
      </c>
      <c r="I546" s="32" t="str">
        <f>IFERROR(VLOOKUP(B546,汇总!$B$2:$I$2921,8,FALSE),"")</f>
        <v>农林</v>
      </c>
      <c r="J546" s="29" t="s">
        <v>11</v>
      </c>
      <c r="K546" s="33" t="s">
        <v>12</v>
      </c>
    </row>
    <row r="547" ht="33.75" spans="1:11">
      <c r="A547" s="34">
        <v>546</v>
      </c>
      <c r="B547" s="34" t="s">
        <v>703</v>
      </c>
      <c r="C547" s="29" t="str">
        <f>VLOOKUP(B547,教育部大学名单!$B$1:$D$2920,3,FALSE)</f>
        <v>河南省</v>
      </c>
      <c r="D547" s="34" t="s">
        <v>692</v>
      </c>
      <c r="E547" s="34" t="s">
        <v>704</v>
      </c>
      <c r="F547" s="36" t="str">
        <f>IFERROR(VLOOKUP(B547,'985'!$B$2:$D$40,3,FALSE),"")</f>
        <v/>
      </c>
      <c r="G547" s="32" t="str">
        <f>IFERROR(VLOOKUP(B547,'211'!$B$2:$D$116,3,FALSE),"")</f>
        <v/>
      </c>
      <c r="H547" s="32" t="str">
        <f>IFERROR(VLOOKUP(B547,双一流!$B$2:$D$148,3,FALSE),"")</f>
        <v/>
      </c>
      <c r="I547" s="32">
        <f>IFERROR(VLOOKUP(B547,汇总!$B$2:$I$2921,8,FALSE),"")</f>
        <v>0</v>
      </c>
      <c r="J547" s="34" t="s">
        <v>11</v>
      </c>
      <c r="K547" s="35" t="s">
        <v>12</v>
      </c>
    </row>
    <row r="548" ht="33.75" spans="1:11">
      <c r="A548" s="29">
        <v>547</v>
      </c>
      <c r="B548" s="29" t="s">
        <v>705</v>
      </c>
      <c r="C548" s="29" t="str">
        <f>VLOOKUP(B548,教育部大学名单!$B$1:$D$2920,3,FALSE)</f>
        <v>河南省</v>
      </c>
      <c r="D548" s="29" t="s">
        <v>692</v>
      </c>
      <c r="E548" s="29" t="s">
        <v>693</v>
      </c>
      <c r="F548" s="36" t="str">
        <f>IFERROR(VLOOKUP(B548,'985'!$B$2:$D$40,3,FALSE),"")</f>
        <v/>
      </c>
      <c r="G548" s="32" t="str">
        <f>IFERROR(VLOOKUP(B548,'211'!$B$2:$D$116,3,FALSE),"")</f>
        <v/>
      </c>
      <c r="H548" s="32" t="str">
        <f>IFERROR(VLOOKUP(B548,双一流!$B$2:$D$148,3,FALSE),"")</f>
        <v/>
      </c>
      <c r="I548" s="32">
        <f>IFERROR(VLOOKUP(B548,汇总!$B$2:$I$2921,8,FALSE),"")</f>
        <v>0</v>
      </c>
      <c r="J548" s="29" t="s">
        <v>11</v>
      </c>
      <c r="K548" s="33" t="s">
        <v>12</v>
      </c>
    </row>
    <row r="549" ht="33.75" spans="1:11">
      <c r="A549" s="34">
        <v>548</v>
      </c>
      <c r="B549" s="34" t="s">
        <v>706</v>
      </c>
      <c r="C549" s="29" t="str">
        <f>VLOOKUP(B549,教育部大学名单!$B$1:$D$2920,3,FALSE)</f>
        <v>河南省</v>
      </c>
      <c r="D549" s="34" t="s">
        <v>692</v>
      </c>
      <c r="E549" s="34" t="s">
        <v>693</v>
      </c>
      <c r="F549" s="36" t="str">
        <f>IFERROR(VLOOKUP(B549,'985'!$B$2:$D$40,3,FALSE),"")</f>
        <v/>
      </c>
      <c r="G549" s="32" t="str">
        <f>IFERROR(VLOOKUP(B549,'211'!$B$2:$D$116,3,FALSE),"")</f>
        <v/>
      </c>
      <c r="H549" s="32" t="str">
        <f>IFERROR(VLOOKUP(B549,双一流!$B$2:$D$148,3,FALSE),"")</f>
        <v/>
      </c>
      <c r="I549" s="32" t="str">
        <f>IFERROR(VLOOKUP(B549,汇总!$B$2:$I$2921,8,FALSE),"")</f>
        <v>医药</v>
      </c>
      <c r="J549" s="34" t="s">
        <v>11</v>
      </c>
      <c r="K549" s="35" t="s">
        <v>12</v>
      </c>
    </row>
    <row r="550" ht="33.75" spans="1:11">
      <c r="A550" s="29">
        <v>549</v>
      </c>
      <c r="B550" s="29" t="s">
        <v>707</v>
      </c>
      <c r="C550" s="29" t="str">
        <f>VLOOKUP(B550,教育部大学名单!$B$1:$D$2920,3,FALSE)</f>
        <v>河南省</v>
      </c>
      <c r="D550" s="29" t="s">
        <v>692</v>
      </c>
      <c r="E550" s="29" t="s">
        <v>704</v>
      </c>
      <c r="F550" s="36" t="str">
        <f>IFERROR(VLOOKUP(B550,'985'!$B$2:$D$40,3,FALSE),"")</f>
        <v/>
      </c>
      <c r="G550" s="32" t="str">
        <f>IFERROR(VLOOKUP(B550,'211'!$B$2:$D$116,3,FALSE),"")</f>
        <v/>
      </c>
      <c r="H550" s="32" t="str">
        <f>IFERROR(VLOOKUP(B550,双一流!$B$2:$D$148,3,FALSE),"")</f>
        <v/>
      </c>
      <c r="I550" s="32" t="str">
        <f>IFERROR(VLOOKUP(B550,汇总!$B$2:$I$2921,8,FALSE),"")</f>
        <v/>
      </c>
      <c r="J550" s="29" t="s">
        <v>11</v>
      </c>
      <c r="K550" s="33" t="s">
        <v>12</v>
      </c>
    </row>
    <row r="551" ht="17.25" spans="1:11">
      <c r="A551" s="34">
        <v>550</v>
      </c>
      <c r="B551" s="34" t="s">
        <v>708</v>
      </c>
      <c r="C551" s="29" t="str">
        <f>VLOOKUP(B551,教育部大学名单!$B$1:$D$2920,3,FALSE)</f>
        <v>河南省</v>
      </c>
      <c r="D551" s="34" t="s">
        <v>692</v>
      </c>
      <c r="E551" s="34" t="s">
        <v>709</v>
      </c>
      <c r="F551" s="36" t="str">
        <f>IFERROR(VLOOKUP(B551,'985'!$B$2:$D$40,3,FALSE),"")</f>
        <v/>
      </c>
      <c r="G551" s="32" t="str">
        <f>IFERROR(VLOOKUP(B551,'211'!$B$2:$D$116,3,FALSE),"")</f>
        <v/>
      </c>
      <c r="H551" s="32" t="str">
        <f>IFERROR(VLOOKUP(B551,双一流!$B$2:$D$148,3,FALSE),"")</f>
        <v>双一流</v>
      </c>
      <c r="I551" s="32" t="str">
        <f>IFERROR(VLOOKUP(B551,汇总!$B$2:$I$2921,8,FALSE),"")</f>
        <v>综合</v>
      </c>
      <c r="J551" s="34" t="s">
        <v>11</v>
      </c>
      <c r="K551" s="35" t="s">
        <v>12</v>
      </c>
    </row>
    <row r="552" ht="33.75" spans="1:11">
      <c r="A552" s="29">
        <v>551</v>
      </c>
      <c r="B552" s="29" t="s">
        <v>710</v>
      </c>
      <c r="C552" s="29" t="str">
        <f>VLOOKUP(B552,教育部大学名单!$B$1:$D$2920,3,FALSE)</f>
        <v>河南省</v>
      </c>
      <c r="D552" s="29" t="s">
        <v>692</v>
      </c>
      <c r="E552" s="29" t="s">
        <v>704</v>
      </c>
      <c r="F552" s="36" t="str">
        <f>IFERROR(VLOOKUP(B552,'985'!$B$2:$D$40,3,FALSE),"")</f>
        <v/>
      </c>
      <c r="G552" s="32" t="str">
        <f>IFERROR(VLOOKUP(B552,'211'!$B$2:$D$116,3,FALSE),"")</f>
        <v/>
      </c>
      <c r="H552" s="32" t="str">
        <f>IFERROR(VLOOKUP(B552,双一流!$B$2:$D$148,3,FALSE),"")</f>
        <v/>
      </c>
      <c r="I552" s="32" t="str">
        <f>IFERROR(VLOOKUP(B552,汇总!$B$2:$I$2921,8,FALSE),"")</f>
        <v>师范</v>
      </c>
      <c r="J552" s="29" t="s">
        <v>11</v>
      </c>
      <c r="K552" s="33" t="s">
        <v>12</v>
      </c>
    </row>
    <row r="553" ht="33.75" spans="1:11">
      <c r="A553" s="34">
        <v>552</v>
      </c>
      <c r="B553" s="34" t="s">
        <v>711</v>
      </c>
      <c r="C553" s="29" t="str">
        <f>VLOOKUP(B553,教育部大学名单!$B$1:$D$2920,3,FALSE)</f>
        <v>河南省</v>
      </c>
      <c r="D553" s="34" t="s">
        <v>692</v>
      </c>
      <c r="E553" s="34" t="s">
        <v>712</v>
      </c>
      <c r="F553" s="36" t="str">
        <f>IFERROR(VLOOKUP(B553,'985'!$B$2:$D$40,3,FALSE),"")</f>
        <v/>
      </c>
      <c r="G553" s="32" t="str">
        <f>IFERROR(VLOOKUP(B553,'211'!$B$2:$D$116,3,FALSE),"")</f>
        <v/>
      </c>
      <c r="H553" s="32" t="str">
        <f>IFERROR(VLOOKUP(B553,双一流!$B$2:$D$148,3,FALSE),"")</f>
        <v/>
      </c>
      <c r="I553" s="32">
        <f>IFERROR(VLOOKUP(B553,汇总!$B$2:$I$2921,8,FALSE),"")</f>
        <v>0</v>
      </c>
      <c r="J553" s="34" t="s">
        <v>11</v>
      </c>
      <c r="K553" s="35" t="s">
        <v>12</v>
      </c>
    </row>
    <row r="554" ht="33.75" spans="1:11">
      <c r="A554" s="29">
        <v>553</v>
      </c>
      <c r="B554" s="29" t="s">
        <v>713</v>
      </c>
      <c r="C554" s="29" t="str">
        <f>VLOOKUP(B554,教育部大学名单!$B$1:$D$2920,3,FALSE)</f>
        <v>河南省</v>
      </c>
      <c r="D554" s="29" t="s">
        <v>692</v>
      </c>
      <c r="E554" s="29" t="s">
        <v>714</v>
      </c>
      <c r="F554" s="36" t="str">
        <f>IFERROR(VLOOKUP(B554,'985'!$B$2:$D$40,3,FALSE),"")</f>
        <v/>
      </c>
      <c r="G554" s="32" t="str">
        <f>IFERROR(VLOOKUP(B554,'211'!$B$2:$D$116,3,FALSE),"")</f>
        <v/>
      </c>
      <c r="H554" s="32" t="str">
        <f>IFERROR(VLOOKUP(B554,双一流!$B$2:$D$148,3,FALSE),"")</f>
        <v/>
      </c>
      <c r="I554" s="32">
        <f>IFERROR(VLOOKUP(B554,汇总!$B$2:$I$2921,8,FALSE),"")</f>
        <v>0</v>
      </c>
      <c r="J554" s="29" t="s">
        <v>11</v>
      </c>
      <c r="K554" s="33" t="s">
        <v>12</v>
      </c>
    </row>
    <row r="555" ht="33.75" spans="1:11">
      <c r="A555" s="34">
        <v>554</v>
      </c>
      <c r="B555" s="34" t="s">
        <v>715</v>
      </c>
      <c r="C555" s="29" t="str">
        <f>VLOOKUP(B555,教育部大学名单!$B$1:$D$2920,3,FALSE)</f>
        <v>河南省</v>
      </c>
      <c r="D555" s="34" t="s">
        <v>692</v>
      </c>
      <c r="E555" s="34" t="s">
        <v>716</v>
      </c>
      <c r="F555" s="36" t="str">
        <f>IFERROR(VLOOKUP(B555,'985'!$B$2:$D$40,3,FALSE),"")</f>
        <v/>
      </c>
      <c r="G555" s="32" t="str">
        <f>IFERROR(VLOOKUP(B555,'211'!$B$2:$D$116,3,FALSE),"")</f>
        <v/>
      </c>
      <c r="H555" s="32" t="str">
        <f>IFERROR(VLOOKUP(B555,双一流!$B$2:$D$148,3,FALSE),"")</f>
        <v/>
      </c>
      <c r="I555" s="32">
        <f>IFERROR(VLOOKUP(B555,汇总!$B$2:$I$2921,8,FALSE),"")</f>
        <v>0</v>
      </c>
      <c r="J555" s="34" t="s">
        <v>11</v>
      </c>
      <c r="K555" s="35" t="s">
        <v>12</v>
      </c>
    </row>
    <row r="556" ht="17.25" spans="1:11">
      <c r="A556" s="29">
        <v>555</v>
      </c>
      <c r="B556" s="29" t="s">
        <v>717</v>
      </c>
      <c r="C556" s="29" t="str">
        <f>VLOOKUP(B556,教育部大学名单!$B$1:$D$2920,3,FALSE)</f>
        <v>河南省</v>
      </c>
      <c r="D556" s="29" t="s">
        <v>692</v>
      </c>
      <c r="E556" s="29" t="s">
        <v>718</v>
      </c>
      <c r="F556" s="36" t="str">
        <f>IFERROR(VLOOKUP(B556,'985'!$B$2:$D$40,3,FALSE),"")</f>
        <v/>
      </c>
      <c r="G556" s="32" t="str">
        <f>IFERROR(VLOOKUP(B556,'211'!$B$2:$D$116,3,FALSE),"")</f>
        <v/>
      </c>
      <c r="H556" s="32" t="str">
        <f>IFERROR(VLOOKUP(B556,双一流!$B$2:$D$148,3,FALSE),"")</f>
        <v/>
      </c>
      <c r="I556" s="32">
        <f>IFERROR(VLOOKUP(B556,汇总!$B$2:$I$2921,8,FALSE),"")</f>
        <v>0</v>
      </c>
      <c r="J556" s="29" t="s">
        <v>11</v>
      </c>
      <c r="K556" s="33" t="s">
        <v>12</v>
      </c>
    </row>
    <row r="557" ht="33.75" spans="1:11">
      <c r="A557" s="34">
        <v>556</v>
      </c>
      <c r="B557" s="34" t="s">
        <v>719</v>
      </c>
      <c r="C557" s="29" t="str">
        <f>VLOOKUP(B557,教育部大学名单!$B$1:$D$2920,3,FALSE)</f>
        <v>河南省</v>
      </c>
      <c r="D557" s="34" t="s">
        <v>692</v>
      </c>
      <c r="E557" s="34" t="s">
        <v>720</v>
      </c>
      <c r="F557" s="36" t="str">
        <f>IFERROR(VLOOKUP(B557,'985'!$B$2:$D$40,3,FALSE),"")</f>
        <v/>
      </c>
      <c r="G557" s="32" t="str">
        <f>IFERROR(VLOOKUP(B557,'211'!$B$2:$D$116,3,FALSE),"")</f>
        <v/>
      </c>
      <c r="H557" s="32" t="str">
        <f>IFERROR(VLOOKUP(B557,双一流!$B$2:$D$148,3,FALSE),"")</f>
        <v/>
      </c>
      <c r="I557" s="32">
        <f>IFERROR(VLOOKUP(B557,汇总!$B$2:$I$2921,8,FALSE),"")</f>
        <v>0</v>
      </c>
      <c r="J557" s="34" t="s">
        <v>11</v>
      </c>
      <c r="K557" s="35" t="s">
        <v>12</v>
      </c>
    </row>
    <row r="558" ht="33.75" spans="1:11">
      <c r="A558" s="29">
        <v>557</v>
      </c>
      <c r="B558" s="29" t="s">
        <v>721</v>
      </c>
      <c r="C558" s="29" t="str">
        <f>VLOOKUP(B558,教育部大学名单!$B$1:$D$2920,3,FALSE)</f>
        <v>河南省</v>
      </c>
      <c r="D558" s="29" t="s">
        <v>692</v>
      </c>
      <c r="E558" s="29" t="s">
        <v>700</v>
      </c>
      <c r="F558" s="36" t="str">
        <f>IFERROR(VLOOKUP(B558,'985'!$B$2:$D$40,3,FALSE),"")</f>
        <v/>
      </c>
      <c r="G558" s="32" t="str">
        <f>IFERROR(VLOOKUP(B558,'211'!$B$2:$D$116,3,FALSE),"")</f>
        <v/>
      </c>
      <c r="H558" s="32" t="str">
        <f>IFERROR(VLOOKUP(B558,双一流!$B$2:$D$148,3,FALSE),"")</f>
        <v/>
      </c>
      <c r="I558" s="32">
        <f>IFERROR(VLOOKUP(B558,汇总!$B$2:$I$2921,8,FALSE),"")</f>
        <v>0</v>
      </c>
      <c r="J558" s="29" t="s">
        <v>11</v>
      </c>
      <c r="K558" s="33" t="s">
        <v>12</v>
      </c>
    </row>
    <row r="559" ht="33.75" spans="1:11">
      <c r="A559" s="34">
        <v>558</v>
      </c>
      <c r="B559" s="34" t="s">
        <v>722</v>
      </c>
      <c r="C559" s="29" t="str">
        <f>VLOOKUP(B559,教育部大学名单!$B$1:$D$2920,3,FALSE)</f>
        <v>河南省</v>
      </c>
      <c r="D559" s="34" t="s">
        <v>692</v>
      </c>
      <c r="E559" s="34" t="s">
        <v>723</v>
      </c>
      <c r="F559" s="36" t="str">
        <f>IFERROR(VLOOKUP(B559,'985'!$B$2:$D$40,3,FALSE),"")</f>
        <v/>
      </c>
      <c r="G559" s="32" t="str">
        <f>IFERROR(VLOOKUP(B559,'211'!$B$2:$D$116,3,FALSE),"")</f>
        <v/>
      </c>
      <c r="H559" s="32" t="str">
        <f>IFERROR(VLOOKUP(B559,双一流!$B$2:$D$148,3,FALSE),"")</f>
        <v/>
      </c>
      <c r="I559" s="32">
        <f>IFERROR(VLOOKUP(B559,汇总!$B$2:$I$2921,8,FALSE),"")</f>
        <v>0</v>
      </c>
      <c r="J559" s="34" t="s">
        <v>11</v>
      </c>
      <c r="K559" s="35" t="s">
        <v>12</v>
      </c>
    </row>
    <row r="560" ht="33.75" spans="1:11">
      <c r="A560" s="29">
        <v>559</v>
      </c>
      <c r="B560" s="29" t="s">
        <v>724</v>
      </c>
      <c r="C560" s="29" t="str">
        <f>VLOOKUP(B560,教育部大学名单!$B$1:$D$2920,3,FALSE)</f>
        <v>河南省</v>
      </c>
      <c r="D560" s="29" t="s">
        <v>692</v>
      </c>
      <c r="E560" s="29" t="s">
        <v>693</v>
      </c>
      <c r="F560" s="36" t="str">
        <f>IFERROR(VLOOKUP(B560,'985'!$B$2:$D$40,3,FALSE),"")</f>
        <v/>
      </c>
      <c r="G560" s="32" t="str">
        <f>IFERROR(VLOOKUP(B560,'211'!$B$2:$D$116,3,FALSE),"")</f>
        <v/>
      </c>
      <c r="H560" s="32" t="str">
        <f>IFERROR(VLOOKUP(B560,双一流!$B$2:$D$148,3,FALSE),"")</f>
        <v/>
      </c>
      <c r="I560" s="32" t="str">
        <f>IFERROR(VLOOKUP(B560,汇总!$B$2:$I$2921,8,FALSE),"")</f>
        <v>财经</v>
      </c>
      <c r="J560" s="29" t="s">
        <v>11</v>
      </c>
      <c r="K560" s="33" t="s">
        <v>12</v>
      </c>
    </row>
    <row r="561" ht="33.75" spans="1:11">
      <c r="A561" s="34">
        <v>560</v>
      </c>
      <c r="B561" s="34" t="s">
        <v>725</v>
      </c>
      <c r="C561" s="29" t="str">
        <f>VLOOKUP(B561,教育部大学名单!$B$1:$D$2920,3,FALSE)</f>
        <v>河南省</v>
      </c>
      <c r="D561" s="34" t="s">
        <v>692</v>
      </c>
      <c r="E561" s="34" t="s">
        <v>693</v>
      </c>
      <c r="F561" s="36" t="str">
        <f>IFERROR(VLOOKUP(B561,'985'!$B$2:$D$40,3,FALSE),"")</f>
        <v/>
      </c>
      <c r="G561" s="32" t="str">
        <f>IFERROR(VLOOKUP(B561,'211'!$B$2:$D$116,3,FALSE),"")</f>
        <v/>
      </c>
      <c r="H561" s="32" t="str">
        <f>IFERROR(VLOOKUP(B561,双一流!$B$2:$D$148,3,FALSE),"")</f>
        <v/>
      </c>
      <c r="I561" s="32">
        <f>IFERROR(VLOOKUP(B561,汇总!$B$2:$I$2921,8,FALSE),"")</f>
        <v>0</v>
      </c>
      <c r="J561" s="34" t="s">
        <v>11</v>
      </c>
      <c r="K561" s="35" t="s">
        <v>12</v>
      </c>
    </row>
    <row r="562" ht="17.25" spans="1:11">
      <c r="A562" s="29">
        <v>561</v>
      </c>
      <c r="B562" s="29" t="s">
        <v>726</v>
      </c>
      <c r="C562" s="29" t="str">
        <f>VLOOKUP(B562,教育部大学名单!$B$1:$D$2920,3,FALSE)</f>
        <v>河南省</v>
      </c>
      <c r="D562" s="29" t="s">
        <v>692</v>
      </c>
      <c r="E562" s="29" t="s">
        <v>727</v>
      </c>
      <c r="F562" s="36" t="str">
        <f>IFERROR(VLOOKUP(B562,'985'!$B$2:$D$40,3,FALSE),"")</f>
        <v/>
      </c>
      <c r="G562" s="32" t="str">
        <f>IFERROR(VLOOKUP(B562,'211'!$B$2:$D$116,3,FALSE),"")</f>
        <v/>
      </c>
      <c r="H562" s="32" t="str">
        <f>IFERROR(VLOOKUP(B562,双一流!$B$2:$D$148,3,FALSE),"")</f>
        <v/>
      </c>
      <c r="I562" s="32">
        <f>IFERROR(VLOOKUP(B562,汇总!$B$2:$I$2921,8,FALSE),"")</f>
        <v>0</v>
      </c>
      <c r="J562" s="29" t="s">
        <v>11</v>
      </c>
      <c r="K562" s="33" t="s">
        <v>12</v>
      </c>
    </row>
    <row r="563" ht="17.25" spans="1:11">
      <c r="A563" s="34">
        <v>562</v>
      </c>
      <c r="B563" s="34" t="s">
        <v>728</v>
      </c>
      <c r="C563" s="29" t="str">
        <f>VLOOKUP(B563,教育部大学名单!$B$1:$D$2920,3,FALSE)</f>
        <v>河南省</v>
      </c>
      <c r="D563" s="34" t="s">
        <v>692</v>
      </c>
      <c r="E563" s="34" t="s">
        <v>729</v>
      </c>
      <c r="F563" s="36" t="str">
        <f>IFERROR(VLOOKUP(B563,'985'!$B$2:$D$40,3,FALSE),"")</f>
        <v/>
      </c>
      <c r="G563" s="32" t="str">
        <f>IFERROR(VLOOKUP(B563,'211'!$B$2:$D$116,3,FALSE),"")</f>
        <v/>
      </c>
      <c r="H563" s="32" t="str">
        <f>IFERROR(VLOOKUP(B563,双一流!$B$2:$D$148,3,FALSE),"")</f>
        <v/>
      </c>
      <c r="I563" s="32">
        <f>IFERROR(VLOOKUP(B563,汇总!$B$2:$I$2921,8,FALSE),"")</f>
        <v>0</v>
      </c>
      <c r="J563" s="34" t="s">
        <v>11</v>
      </c>
      <c r="K563" s="35" t="s">
        <v>12</v>
      </c>
    </row>
    <row r="564" ht="33.75" spans="1:11">
      <c r="A564" s="29">
        <v>563</v>
      </c>
      <c r="B564" s="29" t="s">
        <v>730</v>
      </c>
      <c r="C564" s="29" t="str">
        <f>VLOOKUP(B564,教育部大学名单!$B$1:$D$2920,3,FALSE)</f>
        <v>河南省</v>
      </c>
      <c r="D564" s="29" t="s">
        <v>692</v>
      </c>
      <c r="E564" s="29" t="s">
        <v>693</v>
      </c>
      <c r="F564" s="36" t="str">
        <f>IFERROR(VLOOKUP(B564,'985'!$B$2:$D$40,3,FALSE),"")</f>
        <v/>
      </c>
      <c r="G564" s="32" t="str">
        <f>IFERROR(VLOOKUP(B564,'211'!$B$2:$D$116,3,FALSE),"")</f>
        <v/>
      </c>
      <c r="H564" s="32" t="str">
        <f>IFERROR(VLOOKUP(B564,双一流!$B$2:$D$148,3,FALSE),"")</f>
        <v/>
      </c>
      <c r="I564" s="32">
        <f>IFERROR(VLOOKUP(B564,汇总!$B$2:$I$2921,8,FALSE),"")</f>
        <v>0</v>
      </c>
      <c r="J564" s="29" t="s">
        <v>11</v>
      </c>
      <c r="K564" s="33" t="s">
        <v>12</v>
      </c>
    </row>
    <row r="565" ht="33.75" spans="1:11">
      <c r="A565" s="34">
        <v>564</v>
      </c>
      <c r="B565" s="34" t="s">
        <v>731</v>
      </c>
      <c r="C565" s="29" t="str">
        <f>VLOOKUP(B565,教育部大学名单!$B$1:$D$2920,3,FALSE)</f>
        <v>河南省</v>
      </c>
      <c r="D565" s="34" t="s">
        <v>692</v>
      </c>
      <c r="E565" s="34" t="s">
        <v>700</v>
      </c>
      <c r="F565" s="36" t="str">
        <f>IFERROR(VLOOKUP(B565,'985'!$B$2:$D$40,3,FALSE),"")</f>
        <v/>
      </c>
      <c r="G565" s="32" t="str">
        <f>IFERROR(VLOOKUP(B565,'211'!$B$2:$D$116,3,FALSE),"")</f>
        <v/>
      </c>
      <c r="H565" s="32" t="str">
        <f>IFERROR(VLOOKUP(B565,双一流!$B$2:$D$148,3,FALSE),"")</f>
        <v/>
      </c>
      <c r="I565" s="32">
        <f>IFERROR(VLOOKUP(B565,汇总!$B$2:$I$2921,8,FALSE),"")</f>
        <v>0</v>
      </c>
      <c r="J565" s="34" t="s">
        <v>11</v>
      </c>
      <c r="K565" s="35" t="s">
        <v>12</v>
      </c>
    </row>
    <row r="566" ht="17.25" spans="1:11">
      <c r="A566" s="29">
        <v>565</v>
      </c>
      <c r="B566" s="29" t="s">
        <v>732</v>
      </c>
      <c r="C566" s="29" t="str">
        <f>VLOOKUP(B566,教育部大学名单!$B$1:$D$2920,3,FALSE)</f>
        <v>河南省</v>
      </c>
      <c r="D566" s="29" t="s">
        <v>692</v>
      </c>
      <c r="E566" s="29" t="s">
        <v>704</v>
      </c>
      <c r="F566" s="36" t="str">
        <f>IFERROR(VLOOKUP(B566,'985'!$B$2:$D$40,3,FALSE),"")</f>
        <v/>
      </c>
      <c r="G566" s="32" t="str">
        <f>IFERROR(VLOOKUP(B566,'211'!$B$2:$D$116,3,FALSE),"")</f>
        <v/>
      </c>
      <c r="H566" s="32" t="str">
        <f>IFERROR(VLOOKUP(B566,双一流!$B$2:$D$148,3,FALSE),"")</f>
        <v/>
      </c>
      <c r="I566" s="32">
        <f>IFERROR(VLOOKUP(B566,汇总!$B$2:$I$2921,8,FALSE),"")</f>
        <v>0</v>
      </c>
      <c r="J566" s="29" t="s">
        <v>11</v>
      </c>
      <c r="K566" s="33" t="s">
        <v>12</v>
      </c>
    </row>
    <row r="567" ht="33.75" spans="1:11">
      <c r="A567" s="34">
        <v>566</v>
      </c>
      <c r="B567" s="34" t="s">
        <v>733</v>
      </c>
      <c r="C567" s="29" t="str">
        <f>VLOOKUP(B567,教育部大学名单!$B$1:$D$2920,3,FALSE)</f>
        <v>河南省</v>
      </c>
      <c r="D567" s="34" t="s">
        <v>692</v>
      </c>
      <c r="E567" s="34" t="s">
        <v>712</v>
      </c>
      <c r="F567" s="36" t="str">
        <f>IFERROR(VLOOKUP(B567,'985'!$B$2:$D$40,3,FALSE),"")</f>
        <v/>
      </c>
      <c r="G567" s="32" t="str">
        <f>IFERROR(VLOOKUP(B567,'211'!$B$2:$D$116,3,FALSE),"")</f>
        <v/>
      </c>
      <c r="H567" s="32" t="str">
        <f>IFERROR(VLOOKUP(B567,双一流!$B$2:$D$148,3,FALSE),"")</f>
        <v/>
      </c>
      <c r="I567" s="32">
        <f>IFERROR(VLOOKUP(B567,汇总!$B$2:$I$2921,8,FALSE),"")</f>
        <v>0</v>
      </c>
      <c r="J567" s="34" t="s">
        <v>11</v>
      </c>
      <c r="K567" s="35" t="s">
        <v>12</v>
      </c>
    </row>
    <row r="568" ht="17.25" spans="1:11">
      <c r="A568" s="29">
        <v>567</v>
      </c>
      <c r="B568" s="29" t="s">
        <v>734</v>
      </c>
      <c r="C568" s="29" t="str">
        <f>VLOOKUP(B568,教育部大学名单!$B$1:$D$2920,3,FALSE)</f>
        <v>河南省</v>
      </c>
      <c r="D568" s="29" t="s">
        <v>692</v>
      </c>
      <c r="E568" s="29" t="s">
        <v>704</v>
      </c>
      <c r="F568" s="36" t="str">
        <f>IFERROR(VLOOKUP(B568,'985'!$B$2:$D$40,3,FALSE),"")</f>
        <v/>
      </c>
      <c r="G568" s="32" t="str">
        <f>IFERROR(VLOOKUP(B568,'211'!$B$2:$D$116,3,FALSE),"")</f>
        <v/>
      </c>
      <c r="H568" s="32" t="str">
        <f>IFERROR(VLOOKUP(B568,双一流!$B$2:$D$148,3,FALSE),"")</f>
        <v/>
      </c>
      <c r="I568" s="32">
        <f>IFERROR(VLOOKUP(B568,汇总!$B$2:$I$2921,8,FALSE),"")</f>
        <v>0</v>
      </c>
      <c r="J568" s="29" t="s">
        <v>11</v>
      </c>
      <c r="K568" s="33" t="s">
        <v>12</v>
      </c>
    </row>
    <row r="569" ht="17.25" spans="1:11">
      <c r="A569" s="34">
        <v>568</v>
      </c>
      <c r="B569" s="34" t="s">
        <v>735</v>
      </c>
      <c r="C569" s="29" t="str">
        <f>VLOOKUP(B569,教育部大学名单!$B$1:$D$2920,3,FALSE)</f>
        <v>河南省</v>
      </c>
      <c r="D569" s="34" t="s">
        <v>692</v>
      </c>
      <c r="E569" s="34" t="s">
        <v>716</v>
      </c>
      <c r="F569" s="36" t="str">
        <f>IFERROR(VLOOKUP(B569,'985'!$B$2:$D$40,3,FALSE),"")</f>
        <v/>
      </c>
      <c r="G569" s="32" t="str">
        <f>IFERROR(VLOOKUP(B569,'211'!$B$2:$D$116,3,FALSE),"")</f>
        <v/>
      </c>
      <c r="H569" s="32" t="str">
        <f>IFERROR(VLOOKUP(B569,双一流!$B$2:$D$148,3,FALSE),"")</f>
        <v/>
      </c>
      <c r="I569" s="32">
        <f>IFERROR(VLOOKUP(B569,汇总!$B$2:$I$2921,8,FALSE),"")</f>
        <v>0</v>
      </c>
      <c r="J569" s="34" t="s">
        <v>11</v>
      </c>
      <c r="K569" s="35" t="s">
        <v>12</v>
      </c>
    </row>
    <row r="570" ht="33.75" spans="1:11">
      <c r="A570" s="29">
        <v>569</v>
      </c>
      <c r="B570" s="29" t="s">
        <v>736</v>
      </c>
      <c r="C570" s="29" t="str">
        <f>VLOOKUP(B570,教育部大学名单!$B$1:$D$2920,3,FALSE)</f>
        <v>河南省</v>
      </c>
      <c r="D570" s="29" t="s">
        <v>692</v>
      </c>
      <c r="E570" s="29" t="s">
        <v>693</v>
      </c>
      <c r="F570" s="36" t="str">
        <f>IFERROR(VLOOKUP(B570,'985'!$B$2:$D$40,3,FALSE),"")</f>
        <v/>
      </c>
      <c r="G570" s="32" t="str">
        <f>IFERROR(VLOOKUP(B570,'211'!$B$2:$D$116,3,FALSE),"")</f>
        <v/>
      </c>
      <c r="H570" s="32" t="str">
        <f>IFERROR(VLOOKUP(B570,双一流!$B$2:$D$148,3,FALSE),"")</f>
        <v/>
      </c>
      <c r="I570" s="32">
        <f>IFERROR(VLOOKUP(B570,汇总!$B$2:$I$2921,8,FALSE),"")</f>
        <v>0</v>
      </c>
      <c r="J570" s="29" t="s">
        <v>11</v>
      </c>
      <c r="K570" s="33" t="s">
        <v>12</v>
      </c>
    </row>
    <row r="571" ht="33.75" spans="1:11">
      <c r="A571" s="34">
        <v>570</v>
      </c>
      <c r="B571" s="34" t="s">
        <v>737</v>
      </c>
      <c r="C571" s="29" t="str">
        <f>VLOOKUP(B571,教育部大学名单!$B$1:$D$2920,3,FALSE)</f>
        <v>河南省</v>
      </c>
      <c r="D571" s="34" t="s">
        <v>692</v>
      </c>
      <c r="E571" s="34" t="s">
        <v>693</v>
      </c>
      <c r="F571" s="36" t="str">
        <f>IFERROR(VLOOKUP(B571,'985'!$B$2:$D$40,3,FALSE),"")</f>
        <v/>
      </c>
      <c r="G571" s="32" t="str">
        <f>IFERROR(VLOOKUP(B571,'211'!$B$2:$D$116,3,FALSE),"")</f>
        <v/>
      </c>
      <c r="H571" s="32" t="str">
        <f>IFERROR(VLOOKUP(B571,双一流!$B$2:$D$148,3,FALSE),"")</f>
        <v/>
      </c>
      <c r="I571" s="32">
        <f>IFERROR(VLOOKUP(B571,汇总!$B$2:$I$2921,8,FALSE),"")</f>
        <v>0</v>
      </c>
      <c r="J571" s="34" t="s">
        <v>11</v>
      </c>
      <c r="K571" s="35" t="s">
        <v>12</v>
      </c>
    </row>
    <row r="572" ht="33.75" spans="1:11">
      <c r="A572" s="29">
        <v>571</v>
      </c>
      <c r="B572" s="29" t="s">
        <v>738</v>
      </c>
      <c r="C572" s="29" t="str">
        <f>VLOOKUP(B572,教育部大学名单!$B$1:$D$2920,3,FALSE)</f>
        <v>河南省</v>
      </c>
      <c r="D572" s="29" t="s">
        <v>692</v>
      </c>
      <c r="E572" s="29" t="s">
        <v>720</v>
      </c>
      <c r="F572" s="36" t="str">
        <f>IFERROR(VLOOKUP(B572,'985'!$B$2:$D$40,3,FALSE),"")</f>
        <v/>
      </c>
      <c r="G572" s="32" t="str">
        <f>IFERROR(VLOOKUP(B572,'211'!$B$2:$D$116,3,FALSE),"")</f>
        <v/>
      </c>
      <c r="H572" s="32" t="str">
        <f>IFERROR(VLOOKUP(B572,双一流!$B$2:$D$148,3,FALSE),"")</f>
        <v/>
      </c>
      <c r="I572" s="32">
        <f>IFERROR(VLOOKUP(B572,汇总!$B$2:$I$2921,8,FALSE),"")</f>
        <v>0</v>
      </c>
      <c r="J572" s="29" t="s">
        <v>11</v>
      </c>
      <c r="K572" s="33" t="s">
        <v>12</v>
      </c>
    </row>
    <row r="573" ht="33.75" spans="1:11">
      <c r="A573" s="34">
        <v>572</v>
      </c>
      <c r="B573" s="34" t="s">
        <v>739</v>
      </c>
      <c r="C573" s="29" t="str">
        <f>VLOOKUP(B573,教育部大学名单!$B$1:$D$2920,3,FALSE)</f>
        <v>河南省</v>
      </c>
      <c r="D573" s="34" t="s">
        <v>692</v>
      </c>
      <c r="E573" s="34" t="s">
        <v>729</v>
      </c>
      <c r="F573" s="36" t="str">
        <f>IFERROR(VLOOKUP(B573,'985'!$B$2:$D$40,3,FALSE),"")</f>
        <v/>
      </c>
      <c r="G573" s="32" t="str">
        <f>IFERROR(VLOOKUP(B573,'211'!$B$2:$D$116,3,FALSE),"")</f>
        <v/>
      </c>
      <c r="H573" s="32" t="str">
        <f>IFERROR(VLOOKUP(B573,双一流!$B$2:$D$148,3,FALSE),"")</f>
        <v/>
      </c>
      <c r="I573" s="32">
        <f>IFERROR(VLOOKUP(B573,汇总!$B$2:$I$2921,8,FALSE),"")</f>
        <v>0</v>
      </c>
      <c r="J573" s="34" t="s">
        <v>11</v>
      </c>
      <c r="K573" s="35" t="s">
        <v>12</v>
      </c>
    </row>
    <row r="574" ht="33.75" spans="1:11">
      <c r="A574" s="29">
        <v>573</v>
      </c>
      <c r="B574" s="29" t="s">
        <v>740</v>
      </c>
      <c r="C574" s="29" t="str">
        <f>VLOOKUP(B574,教育部大学名单!$B$1:$D$2920,3,FALSE)</f>
        <v>河南省</v>
      </c>
      <c r="D574" s="29" t="s">
        <v>692</v>
      </c>
      <c r="E574" s="29" t="s">
        <v>693</v>
      </c>
      <c r="F574" s="36" t="str">
        <f>IFERROR(VLOOKUP(B574,'985'!$B$2:$D$40,3,FALSE),"")</f>
        <v/>
      </c>
      <c r="G574" s="32" t="str">
        <f>IFERROR(VLOOKUP(B574,'211'!$B$2:$D$116,3,FALSE),"")</f>
        <v/>
      </c>
      <c r="H574" s="32" t="str">
        <f>IFERROR(VLOOKUP(B574,双一流!$B$2:$D$148,3,FALSE),"")</f>
        <v/>
      </c>
      <c r="I574" s="32">
        <f>IFERROR(VLOOKUP(B574,汇总!$B$2:$I$2921,8,FALSE),"")</f>
        <v>0</v>
      </c>
      <c r="J574" s="29" t="s">
        <v>11</v>
      </c>
      <c r="K574" s="33" t="s">
        <v>12</v>
      </c>
    </row>
    <row r="575" ht="33.75" spans="1:11">
      <c r="A575" s="34">
        <v>574</v>
      </c>
      <c r="B575" s="34" t="s">
        <v>741</v>
      </c>
      <c r="C575" s="29" t="str">
        <f>VLOOKUP(B575,教育部大学名单!$B$1:$D$2920,3,FALSE)</f>
        <v>公安部</v>
      </c>
      <c r="D575" s="34" t="s">
        <v>692</v>
      </c>
      <c r="E575" s="34" t="s">
        <v>693</v>
      </c>
      <c r="F575" s="36" t="str">
        <f>IFERROR(VLOOKUP(B575,'985'!$B$2:$D$40,3,FALSE),"")</f>
        <v/>
      </c>
      <c r="G575" s="32" t="str">
        <f>IFERROR(VLOOKUP(B575,'211'!$B$2:$D$116,3,FALSE),"")</f>
        <v/>
      </c>
      <c r="H575" s="32" t="str">
        <f>IFERROR(VLOOKUP(B575,双一流!$B$2:$D$148,3,FALSE),"")</f>
        <v/>
      </c>
      <c r="I575" s="32">
        <f>IFERROR(VLOOKUP(B575,汇总!$B$2:$I$2921,8,FALSE),"")</f>
        <v>0</v>
      </c>
      <c r="J575" s="34" t="s">
        <v>11</v>
      </c>
      <c r="K575" s="35" t="s">
        <v>12</v>
      </c>
    </row>
    <row r="576" ht="33.75" spans="1:11">
      <c r="A576" s="29">
        <v>575</v>
      </c>
      <c r="B576" s="29" t="s">
        <v>742</v>
      </c>
      <c r="C576" s="29" t="str">
        <f>VLOOKUP(B576,教育部大学名单!$B$1:$D$2920,3,FALSE)</f>
        <v>河南省</v>
      </c>
      <c r="D576" s="29" t="s">
        <v>692</v>
      </c>
      <c r="E576" s="29" t="s">
        <v>693</v>
      </c>
      <c r="F576" s="36" t="str">
        <f>IFERROR(VLOOKUP(B576,'985'!$B$2:$D$40,3,FALSE),"")</f>
        <v/>
      </c>
      <c r="G576" s="32" t="str">
        <f>IFERROR(VLOOKUP(B576,'211'!$B$2:$D$116,3,FALSE),"")</f>
        <v/>
      </c>
      <c r="H576" s="32" t="str">
        <f>IFERROR(VLOOKUP(B576,双一流!$B$2:$D$148,3,FALSE),"")</f>
        <v/>
      </c>
      <c r="I576" s="32">
        <f>IFERROR(VLOOKUP(B576,汇总!$B$2:$I$2921,8,FALSE),"")</f>
        <v>0</v>
      </c>
      <c r="J576" s="29" t="s">
        <v>11</v>
      </c>
      <c r="K576" s="33" t="s">
        <v>12</v>
      </c>
    </row>
    <row r="577" ht="33.75" spans="1:11">
      <c r="A577" s="34">
        <v>576</v>
      </c>
      <c r="B577" s="34" t="s">
        <v>743</v>
      </c>
      <c r="C577" s="29" t="str">
        <f>VLOOKUP(B577,教育部大学名单!$B$1:$D$2920,3,FALSE)</f>
        <v>河南省</v>
      </c>
      <c r="D577" s="34" t="s">
        <v>692</v>
      </c>
      <c r="E577" s="34" t="s">
        <v>709</v>
      </c>
      <c r="F577" s="36" t="str">
        <f>IFERROR(VLOOKUP(B577,'985'!$B$2:$D$40,3,FALSE),"")</f>
        <v/>
      </c>
      <c r="G577" s="32" t="str">
        <f>IFERROR(VLOOKUP(B577,'211'!$B$2:$D$116,3,FALSE),"")</f>
        <v/>
      </c>
      <c r="H577" s="32" t="str">
        <f>IFERROR(VLOOKUP(B577,双一流!$B$2:$D$148,3,FALSE),"")</f>
        <v/>
      </c>
      <c r="I577" s="32" t="str">
        <f>IFERROR(VLOOKUP(B577,汇总!$B$2:$I$2921,8,FALSE),"")</f>
        <v/>
      </c>
      <c r="J577" s="34" t="s">
        <v>11</v>
      </c>
      <c r="K577" s="35" t="s">
        <v>12</v>
      </c>
    </row>
    <row r="578" ht="33.75" spans="1:11">
      <c r="A578" s="29">
        <v>577</v>
      </c>
      <c r="B578" s="29" t="s">
        <v>744</v>
      </c>
      <c r="C578" s="29" t="e">
        <f>VLOOKUP(B578,教育部大学名单!$B$1:$D$2920,3,FALSE)</f>
        <v>#N/A</v>
      </c>
      <c r="D578" s="29" t="s">
        <v>692</v>
      </c>
      <c r="E578" s="29" t="s">
        <v>720</v>
      </c>
      <c r="F578" s="36" t="str">
        <f>IFERROR(VLOOKUP(B578,'985'!$B$2:$D$40,3,FALSE),"")</f>
        <v/>
      </c>
      <c r="G578" s="32" t="str">
        <f>IFERROR(VLOOKUP(B578,'211'!$B$2:$D$116,3,FALSE),"")</f>
        <v/>
      </c>
      <c r="H578" s="32" t="str">
        <f>IFERROR(VLOOKUP(B578,双一流!$B$2:$D$148,3,FALSE),"")</f>
        <v/>
      </c>
      <c r="I578" s="32" t="str">
        <f>IFERROR(VLOOKUP(B578,汇总!$B$2:$I$2921,8,FALSE),"")</f>
        <v/>
      </c>
      <c r="J578" s="29" t="s">
        <v>11</v>
      </c>
      <c r="K578" s="33" t="s">
        <v>12</v>
      </c>
    </row>
    <row r="579" ht="17.25" spans="1:11">
      <c r="A579" s="34">
        <v>578</v>
      </c>
      <c r="B579" s="34" t="s">
        <v>745</v>
      </c>
      <c r="C579" s="29" t="str">
        <f>VLOOKUP(B579,教育部大学名单!$B$1:$D$2920,3,FALSE)</f>
        <v>教育部</v>
      </c>
      <c r="D579" s="34" t="s">
        <v>746</v>
      </c>
      <c r="E579" s="34" t="s">
        <v>747</v>
      </c>
      <c r="F579" s="30">
        <f>IFERROR(VLOOKUP(B579,'985'!$B$2:$D$40,3,FALSE),"")</f>
        <v>985</v>
      </c>
      <c r="G579" s="31">
        <f>IFERROR(VLOOKUP(B579,'211'!$B$2:$D$116,3,FALSE),"")</f>
        <v>211</v>
      </c>
      <c r="H579" s="32" t="str">
        <f>IFERROR(VLOOKUP(B579,双一流!$B$2:$D$148,3,FALSE),"")</f>
        <v>双一流</v>
      </c>
      <c r="I579" s="32" t="str">
        <f>IFERROR(VLOOKUP(B579,汇总!$B$2:$I$2921,8,FALSE),"")</f>
        <v>综合</v>
      </c>
      <c r="J579" s="34" t="s">
        <v>11</v>
      </c>
      <c r="K579" s="35" t="s">
        <v>12</v>
      </c>
    </row>
    <row r="580" ht="33.75" spans="1:11">
      <c r="A580" s="29">
        <v>579</v>
      </c>
      <c r="B580" s="29" t="s">
        <v>748</v>
      </c>
      <c r="C580" s="29" t="str">
        <f>VLOOKUP(B580,教育部大学名单!$B$1:$D$2920,3,FALSE)</f>
        <v>教育部</v>
      </c>
      <c r="D580" s="29" t="s">
        <v>746</v>
      </c>
      <c r="E580" s="29" t="s">
        <v>747</v>
      </c>
      <c r="F580" s="30">
        <f>IFERROR(VLOOKUP(B580,'985'!$B$2:$D$40,3,FALSE),"")</f>
        <v>985</v>
      </c>
      <c r="G580" s="31">
        <f>IFERROR(VLOOKUP(B580,'211'!$B$2:$D$116,3,FALSE),"")</f>
        <v>211</v>
      </c>
      <c r="H580" s="32" t="str">
        <f>IFERROR(VLOOKUP(B580,双一流!$B$2:$D$148,3,FALSE),"")</f>
        <v>双一流</v>
      </c>
      <c r="I580" s="32" t="str">
        <f>IFERROR(VLOOKUP(B580,汇总!$B$2:$I$2921,8,FALSE),"")</f>
        <v>综合</v>
      </c>
      <c r="J580" s="29" t="s">
        <v>11</v>
      </c>
      <c r="K580" s="33" t="s">
        <v>12</v>
      </c>
    </row>
    <row r="581" ht="33.75" spans="1:11">
      <c r="A581" s="34">
        <v>580</v>
      </c>
      <c r="B581" s="34" t="s">
        <v>749</v>
      </c>
      <c r="C581" s="29" t="str">
        <f>VLOOKUP(B581,教育部大学名单!$B$1:$D$2920,3,FALSE)</f>
        <v>湖北省</v>
      </c>
      <c r="D581" s="34" t="s">
        <v>746</v>
      </c>
      <c r="E581" s="34" t="s">
        <v>747</v>
      </c>
      <c r="F581" s="36" t="str">
        <f>IFERROR(VLOOKUP(B581,'985'!$B$2:$D$40,3,FALSE),"")</f>
        <v/>
      </c>
      <c r="G581" s="32" t="str">
        <f>IFERROR(VLOOKUP(B581,'211'!$B$2:$D$116,3,FALSE),"")</f>
        <v/>
      </c>
      <c r="H581" s="32" t="str">
        <f>IFERROR(VLOOKUP(B581,双一流!$B$2:$D$148,3,FALSE),"")</f>
        <v/>
      </c>
      <c r="I581" s="32" t="str">
        <f>IFERROR(VLOOKUP(B581,汇总!$B$2:$I$2921,8,FALSE),"")</f>
        <v>理工</v>
      </c>
      <c r="J581" s="34" t="s">
        <v>11</v>
      </c>
      <c r="K581" s="35" t="s">
        <v>12</v>
      </c>
    </row>
    <row r="582" ht="17.25" spans="1:11">
      <c r="A582" s="29">
        <v>581</v>
      </c>
      <c r="B582" s="29" t="s">
        <v>750</v>
      </c>
      <c r="C582" s="29" t="str">
        <f>VLOOKUP(B582,教育部大学名单!$B$1:$D$2920,3,FALSE)</f>
        <v>湖北省</v>
      </c>
      <c r="D582" s="29" t="s">
        <v>746</v>
      </c>
      <c r="E582" s="29" t="s">
        <v>751</v>
      </c>
      <c r="F582" s="36" t="str">
        <f>IFERROR(VLOOKUP(B582,'985'!$B$2:$D$40,3,FALSE),"")</f>
        <v/>
      </c>
      <c r="G582" s="32" t="str">
        <f>IFERROR(VLOOKUP(B582,'211'!$B$2:$D$116,3,FALSE),"")</f>
        <v/>
      </c>
      <c r="H582" s="32" t="str">
        <f>IFERROR(VLOOKUP(B582,双一流!$B$2:$D$148,3,FALSE),"")</f>
        <v/>
      </c>
      <c r="I582" s="32" t="str">
        <f>IFERROR(VLOOKUP(B582,汇总!$B$2:$I$2921,8,FALSE),"")</f>
        <v>综合</v>
      </c>
      <c r="J582" s="29" t="s">
        <v>11</v>
      </c>
      <c r="K582" s="33" t="s">
        <v>12</v>
      </c>
    </row>
    <row r="583" ht="33.75" spans="1:11">
      <c r="A583" s="34">
        <v>582</v>
      </c>
      <c r="B583" s="34" t="s">
        <v>752</v>
      </c>
      <c r="C583" s="29" t="str">
        <f>VLOOKUP(B583,教育部大学名单!$B$1:$D$2920,3,FALSE)</f>
        <v>湖北省</v>
      </c>
      <c r="D583" s="34" t="s">
        <v>746</v>
      </c>
      <c r="E583" s="34" t="s">
        <v>747</v>
      </c>
      <c r="F583" s="36" t="str">
        <f>IFERROR(VLOOKUP(B583,'985'!$B$2:$D$40,3,FALSE),"")</f>
        <v/>
      </c>
      <c r="G583" s="32" t="str">
        <f>IFERROR(VLOOKUP(B583,'211'!$B$2:$D$116,3,FALSE),"")</f>
        <v/>
      </c>
      <c r="H583" s="32" t="str">
        <f>IFERROR(VLOOKUP(B583,双一流!$B$2:$D$148,3,FALSE),"")</f>
        <v/>
      </c>
      <c r="I583" s="32" t="str">
        <f>IFERROR(VLOOKUP(B583,汇总!$B$2:$I$2921,8,FALSE),"")</f>
        <v>理工</v>
      </c>
      <c r="J583" s="34" t="s">
        <v>11</v>
      </c>
      <c r="K583" s="35" t="s">
        <v>12</v>
      </c>
    </row>
    <row r="584" ht="33.75" spans="1:11">
      <c r="A584" s="29">
        <v>583</v>
      </c>
      <c r="B584" s="29" t="s">
        <v>753</v>
      </c>
      <c r="C584" s="29" t="str">
        <f>VLOOKUP(B584,教育部大学名单!$B$1:$D$2920,3,FALSE)</f>
        <v>教育部</v>
      </c>
      <c r="D584" s="29" t="s">
        <v>746</v>
      </c>
      <c r="E584" s="29" t="s">
        <v>747</v>
      </c>
      <c r="F584" s="36" t="str">
        <f>IFERROR(VLOOKUP(B584,'985'!$B$2:$D$40,3,FALSE),"")</f>
        <v/>
      </c>
      <c r="G584" s="31">
        <f>IFERROR(VLOOKUP(B584,'211'!$B$2:$D$116,3,FALSE),"")</f>
        <v>211</v>
      </c>
      <c r="H584" s="32" t="str">
        <f>IFERROR(VLOOKUP(B584,双一流!$B$2:$D$148,3,FALSE),"")</f>
        <v>双一流</v>
      </c>
      <c r="I584" s="32" t="str">
        <f>IFERROR(VLOOKUP(B584,汇总!$B$2:$I$2921,8,FALSE),"")</f>
        <v>理工</v>
      </c>
      <c r="J584" s="29" t="s">
        <v>11</v>
      </c>
      <c r="K584" s="33" t="s">
        <v>12</v>
      </c>
    </row>
    <row r="585" ht="33.75" spans="1:11">
      <c r="A585" s="34">
        <v>584</v>
      </c>
      <c r="B585" s="34" t="s">
        <v>754</v>
      </c>
      <c r="C585" s="29" t="str">
        <f>VLOOKUP(B585,教育部大学名单!$B$1:$D$2920,3,FALSE)</f>
        <v>湖北省</v>
      </c>
      <c r="D585" s="34" t="s">
        <v>746</v>
      </c>
      <c r="E585" s="34" t="s">
        <v>747</v>
      </c>
      <c r="F585" s="36" t="str">
        <f>IFERROR(VLOOKUP(B585,'985'!$B$2:$D$40,3,FALSE),"")</f>
        <v/>
      </c>
      <c r="G585" s="32" t="str">
        <f>IFERROR(VLOOKUP(B585,'211'!$B$2:$D$116,3,FALSE),"")</f>
        <v/>
      </c>
      <c r="H585" s="32" t="str">
        <f>IFERROR(VLOOKUP(B585,双一流!$B$2:$D$148,3,FALSE),"")</f>
        <v/>
      </c>
      <c r="I585" s="32" t="str">
        <f>IFERROR(VLOOKUP(B585,汇总!$B$2:$I$2921,8,FALSE),"")</f>
        <v>理工</v>
      </c>
      <c r="J585" s="34" t="s">
        <v>11</v>
      </c>
      <c r="K585" s="35" t="s">
        <v>12</v>
      </c>
    </row>
    <row r="586" ht="33.75" spans="1:11">
      <c r="A586" s="29">
        <v>585</v>
      </c>
      <c r="B586" s="29" t="s">
        <v>755</v>
      </c>
      <c r="C586" s="29" t="str">
        <f>VLOOKUP(B586,教育部大学名单!$B$1:$D$2920,3,FALSE)</f>
        <v>湖北省</v>
      </c>
      <c r="D586" s="29" t="s">
        <v>746</v>
      </c>
      <c r="E586" s="29" t="s">
        <v>747</v>
      </c>
      <c r="F586" s="36" t="str">
        <f>IFERROR(VLOOKUP(B586,'985'!$B$2:$D$40,3,FALSE),"")</f>
        <v/>
      </c>
      <c r="G586" s="32" t="str">
        <f>IFERROR(VLOOKUP(B586,'211'!$B$2:$D$116,3,FALSE),"")</f>
        <v/>
      </c>
      <c r="H586" s="32" t="str">
        <f>IFERROR(VLOOKUP(B586,双一流!$B$2:$D$148,3,FALSE),"")</f>
        <v/>
      </c>
      <c r="I586" s="32">
        <f>IFERROR(VLOOKUP(B586,汇总!$B$2:$I$2921,8,FALSE),"")</f>
        <v>0</v>
      </c>
      <c r="J586" s="29" t="s">
        <v>11</v>
      </c>
      <c r="K586" s="33" t="s">
        <v>12</v>
      </c>
    </row>
    <row r="587" ht="33.75" spans="1:11">
      <c r="A587" s="34">
        <v>586</v>
      </c>
      <c r="B587" s="34" t="s">
        <v>756</v>
      </c>
      <c r="C587" s="29" t="str">
        <f>VLOOKUP(B587,教育部大学名单!$B$1:$D$2920,3,FALSE)</f>
        <v>教育部</v>
      </c>
      <c r="D587" s="34" t="s">
        <v>746</v>
      </c>
      <c r="E587" s="34" t="s">
        <v>747</v>
      </c>
      <c r="F587" s="36" t="str">
        <f>IFERROR(VLOOKUP(B587,'985'!$B$2:$D$40,3,FALSE),"")</f>
        <v/>
      </c>
      <c r="G587" s="31">
        <f>IFERROR(VLOOKUP(B587,'211'!$B$2:$D$116,3,FALSE),"")</f>
        <v>211</v>
      </c>
      <c r="H587" s="32" t="str">
        <f>IFERROR(VLOOKUP(B587,双一流!$B$2:$D$148,3,FALSE),"")</f>
        <v>双一流</v>
      </c>
      <c r="I587" s="32" t="str">
        <f>IFERROR(VLOOKUP(B587,汇总!$B$2:$I$2921,8,FALSE),"")</f>
        <v>理工</v>
      </c>
      <c r="J587" s="34" t="s">
        <v>11</v>
      </c>
      <c r="K587" s="35" t="s">
        <v>12</v>
      </c>
    </row>
    <row r="588" ht="33.75" spans="1:11">
      <c r="A588" s="29">
        <v>587</v>
      </c>
      <c r="B588" s="29" t="s">
        <v>757</v>
      </c>
      <c r="C588" s="29" t="str">
        <f>VLOOKUP(B588,教育部大学名单!$B$1:$D$2920,3,FALSE)</f>
        <v>湖北省</v>
      </c>
      <c r="D588" s="29" t="s">
        <v>746</v>
      </c>
      <c r="E588" s="29" t="s">
        <v>747</v>
      </c>
      <c r="F588" s="36" t="str">
        <f>IFERROR(VLOOKUP(B588,'985'!$B$2:$D$40,3,FALSE),"")</f>
        <v/>
      </c>
      <c r="G588" s="32" t="str">
        <f>IFERROR(VLOOKUP(B588,'211'!$B$2:$D$116,3,FALSE),"")</f>
        <v/>
      </c>
      <c r="H588" s="32" t="str">
        <f>IFERROR(VLOOKUP(B588,双一流!$B$2:$D$148,3,FALSE),"")</f>
        <v/>
      </c>
      <c r="I588" s="32" t="str">
        <f>IFERROR(VLOOKUP(B588,汇总!$B$2:$I$2921,8,FALSE),"")</f>
        <v>理工</v>
      </c>
      <c r="J588" s="29" t="s">
        <v>11</v>
      </c>
      <c r="K588" s="33" t="s">
        <v>12</v>
      </c>
    </row>
    <row r="589" ht="33.75" spans="1:11">
      <c r="A589" s="34">
        <v>588</v>
      </c>
      <c r="B589" s="34" t="s">
        <v>758</v>
      </c>
      <c r="C589" s="29" t="str">
        <f>VLOOKUP(B589,教育部大学名单!$B$1:$D$2920,3,FALSE)</f>
        <v>教育部</v>
      </c>
      <c r="D589" s="34" t="s">
        <v>746</v>
      </c>
      <c r="E589" s="34" t="s">
        <v>747</v>
      </c>
      <c r="F589" s="36" t="str">
        <f>IFERROR(VLOOKUP(B589,'985'!$B$2:$D$40,3,FALSE),"")</f>
        <v/>
      </c>
      <c r="G589" s="31">
        <f>IFERROR(VLOOKUP(B589,'211'!$B$2:$D$116,3,FALSE),"")</f>
        <v>211</v>
      </c>
      <c r="H589" s="32" t="str">
        <f>IFERROR(VLOOKUP(B589,双一流!$B$2:$D$148,3,FALSE),"")</f>
        <v>双一流</v>
      </c>
      <c r="I589" s="32" t="str">
        <f>IFERROR(VLOOKUP(B589,汇总!$B$2:$I$2921,8,FALSE),"")</f>
        <v>农林</v>
      </c>
      <c r="J589" s="34" t="s">
        <v>11</v>
      </c>
      <c r="K589" s="35" t="s">
        <v>12</v>
      </c>
    </row>
    <row r="590" ht="33.75" spans="1:11">
      <c r="A590" s="29">
        <v>589</v>
      </c>
      <c r="B590" s="29" t="s">
        <v>759</v>
      </c>
      <c r="C590" s="29" t="str">
        <f>VLOOKUP(B590,教育部大学名单!$B$1:$D$2920,3,FALSE)</f>
        <v>湖北省</v>
      </c>
      <c r="D590" s="29" t="s">
        <v>746</v>
      </c>
      <c r="E590" s="29" t="s">
        <v>747</v>
      </c>
      <c r="F590" s="36" t="str">
        <f>IFERROR(VLOOKUP(B590,'985'!$B$2:$D$40,3,FALSE),"")</f>
        <v/>
      </c>
      <c r="G590" s="32" t="str">
        <f>IFERROR(VLOOKUP(B590,'211'!$B$2:$D$116,3,FALSE),"")</f>
        <v/>
      </c>
      <c r="H590" s="32" t="str">
        <f>IFERROR(VLOOKUP(B590,双一流!$B$2:$D$148,3,FALSE),"")</f>
        <v/>
      </c>
      <c r="I590" s="32" t="str">
        <f>IFERROR(VLOOKUP(B590,汇总!$B$2:$I$2921,8,FALSE),"")</f>
        <v>医药</v>
      </c>
      <c r="J590" s="29" t="s">
        <v>11</v>
      </c>
      <c r="K590" s="33" t="s">
        <v>12</v>
      </c>
    </row>
    <row r="591" ht="33.75" spans="1:11">
      <c r="A591" s="34">
        <v>590</v>
      </c>
      <c r="B591" s="34" t="s">
        <v>760</v>
      </c>
      <c r="C591" s="29" t="str">
        <f>VLOOKUP(B591,教育部大学名单!$B$1:$D$2920,3,FALSE)</f>
        <v>教育部</v>
      </c>
      <c r="D591" s="34" t="s">
        <v>746</v>
      </c>
      <c r="E591" s="34" t="s">
        <v>747</v>
      </c>
      <c r="F591" s="36" t="str">
        <f>IFERROR(VLOOKUP(B591,'985'!$B$2:$D$40,3,FALSE),"")</f>
        <v/>
      </c>
      <c r="G591" s="31">
        <f>IFERROR(VLOOKUP(B591,'211'!$B$2:$D$116,3,FALSE),"")</f>
        <v>211</v>
      </c>
      <c r="H591" s="32" t="str">
        <f>IFERROR(VLOOKUP(B591,双一流!$B$2:$D$148,3,FALSE),"")</f>
        <v>双一流</v>
      </c>
      <c r="I591" s="32" t="str">
        <f>IFERROR(VLOOKUP(B591,汇总!$B$2:$I$2921,8,FALSE),"")</f>
        <v>师范</v>
      </c>
      <c r="J591" s="34" t="s">
        <v>11</v>
      </c>
      <c r="K591" s="35" t="s">
        <v>12</v>
      </c>
    </row>
    <row r="592" ht="17.25" spans="1:11">
      <c r="A592" s="29">
        <v>591</v>
      </c>
      <c r="B592" s="29" t="s">
        <v>761</v>
      </c>
      <c r="C592" s="29" t="str">
        <f>VLOOKUP(B592,教育部大学名单!$B$1:$D$2920,3,FALSE)</f>
        <v>湖北省</v>
      </c>
      <c r="D592" s="29" t="s">
        <v>746</v>
      </c>
      <c r="E592" s="29" t="s">
        <v>747</v>
      </c>
      <c r="F592" s="36" t="str">
        <f>IFERROR(VLOOKUP(B592,'985'!$B$2:$D$40,3,FALSE),"")</f>
        <v/>
      </c>
      <c r="G592" s="32" t="str">
        <f>IFERROR(VLOOKUP(B592,'211'!$B$2:$D$116,3,FALSE),"")</f>
        <v/>
      </c>
      <c r="H592" s="32" t="str">
        <f>IFERROR(VLOOKUP(B592,双一流!$B$2:$D$148,3,FALSE),"")</f>
        <v/>
      </c>
      <c r="I592" s="32" t="str">
        <f>IFERROR(VLOOKUP(B592,汇总!$B$2:$I$2921,8,FALSE),"")</f>
        <v>综合</v>
      </c>
      <c r="J592" s="29" t="s">
        <v>11</v>
      </c>
      <c r="K592" s="33" t="s">
        <v>12</v>
      </c>
    </row>
    <row r="593" ht="33.75" spans="1:11">
      <c r="A593" s="34">
        <v>592</v>
      </c>
      <c r="B593" s="34" t="s">
        <v>762</v>
      </c>
      <c r="C593" s="29" t="str">
        <f>VLOOKUP(B593,教育部大学名单!$B$1:$D$2920,3,FALSE)</f>
        <v>湖北省</v>
      </c>
      <c r="D593" s="34" t="s">
        <v>746</v>
      </c>
      <c r="E593" s="34" t="s">
        <v>763</v>
      </c>
      <c r="F593" s="36" t="str">
        <f>IFERROR(VLOOKUP(B593,'985'!$B$2:$D$40,3,FALSE),"")</f>
        <v/>
      </c>
      <c r="G593" s="32" t="str">
        <f>IFERROR(VLOOKUP(B593,'211'!$B$2:$D$116,3,FALSE),"")</f>
        <v/>
      </c>
      <c r="H593" s="32" t="str">
        <f>IFERROR(VLOOKUP(B593,双一流!$B$2:$D$148,3,FALSE),"")</f>
        <v/>
      </c>
      <c r="I593" s="32">
        <f>IFERROR(VLOOKUP(B593,汇总!$B$2:$I$2921,8,FALSE),"")</f>
        <v>0</v>
      </c>
      <c r="J593" s="34" t="s">
        <v>11</v>
      </c>
      <c r="K593" s="35" t="s">
        <v>12</v>
      </c>
    </row>
    <row r="594" ht="33.75" spans="1:11">
      <c r="A594" s="29">
        <v>593</v>
      </c>
      <c r="B594" s="29" t="s">
        <v>764</v>
      </c>
      <c r="C594" s="29" t="str">
        <f>VLOOKUP(B594,教育部大学名单!$B$1:$D$2920,3,FALSE)</f>
        <v>湖北省</v>
      </c>
      <c r="D594" s="29" t="s">
        <v>746</v>
      </c>
      <c r="E594" s="29" t="s">
        <v>765</v>
      </c>
      <c r="F594" s="36" t="str">
        <f>IFERROR(VLOOKUP(B594,'985'!$B$2:$D$40,3,FALSE),"")</f>
        <v/>
      </c>
      <c r="G594" s="32" t="str">
        <f>IFERROR(VLOOKUP(B594,'211'!$B$2:$D$116,3,FALSE),"")</f>
        <v/>
      </c>
      <c r="H594" s="32" t="str">
        <f>IFERROR(VLOOKUP(B594,双一流!$B$2:$D$148,3,FALSE),"")</f>
        <v/>
      </c>
      <c r="I594" s="32">
        <f>IFERROR(VLOOKUP(B594,汇总!$B$2:$I$2921,8,FALSE),"")</f>
        <v>0</v>
      </c>
      <c r="J594" s="29" t="s">
        <v>11</v>
      </c>
      <c r="K594" s="33" t="s">
        <v>12</v>
      </c>
    </row>
    <row r="595" ht="33.75" spans="1:11">
      <c r="A595" s="34">
        <v>594</v>
      </c>
      <c r="B595" s="34" t="s">
        <v>766</v>
      </c>
      <c r="C595" s="29" t="str">
        <f>VLOOKUP(B595,教育部大学名单!$B$1:$D$2920,3,FALSE)</f>
        <v>湖北省</v>
      </c>
      <c r="D595" s="34" t="s">
        <v>746</v>
      </c>
      <c r="E595" s="34" t="s">
        <v>767</v>
      </c>
      <c r="F595" s="36" t="str">
        <f>IFERROR(VLOOKUP(B595,'985'!$B$2:$D$40,3,FALSE),"")</f>
        <v/>
      </c>
      <c r="G595" s="32" t="str">
        <f>IFERROR(VLOOKUP(B595,'211'!$B$2:$D$116,3,FALSE),"")</f>
        <v/>
      </c>
      <c r="H595" s="32" t="str">
        <f>IFERROR(VLOOKUP(B595,双一流!$B$2:$D$148,3,FALSE),"")</f>
        <v/>
      </c>
      <c r="I595" s="32">
        <f>IFERROR(VLOOKUP(B595,汇总!$B$2:$I$2921,8,FALSE),"")</f>
        <v>0</v>
      </c>
      <c r="J595" s="34" t="s">
        <v>11</v>
      </c>
      <c r="K595" s="35" t="s">
        <v>12</v>
      </c>
    </row>
    <row r="596" ht="33.75" spans="1:11">
      <c r="A596" s="29">
        <v>595</v>
      </c>
      <c r="B596" s="29" t="s">
        <v>768</v>
      </c>
      <c r="C596" s="29" t="str">
        <f>VLOOKUP(B596,教育部大学名单!$B$1:$D$2920,3,FALSE)</f>
        <v>湖北省</v>
      </c>
      <c r="D596" s="29" t="s">
        <v>746</v>
      </c>
      <c r="E596" s="29" t="s">
        <v>769</v>
      </c>
      <c r="F596" s="36" t="str">
        <f>IFERROR(VLOOKUP(B596,'985'!$B$2:$D$40,3,FALSE),"")</f>
        <v/>
      </c>
      <c r="G596" s="32" t="str">
        <f>IFERROR(VLOOKUP(B596,'211'!$B$2:$D$116,3,FALSE),"")</f>
        <v/>
      </c>
      <c r="H596" s="32" t="str">
        <f>IFERROR(VLOOKUP(B596,双一流!$B$2:$D$148,3,FALSE),"")</f>
        <v/>
      </c>
      <c r="I596" s="32">
        <f>IFERROR(VLOOKUP(B596,汇总!$B$2:$I$2921,8,FALSE),"")</f>
        <v>0</v>
      </c>
      <c r="J596" s="29" t="s">
        <v>11</v>
      </c>
      <c r="K596" s="33" t="s">
        <v>12</v>
      </c>
    </row>
    <row r="597" ht="33.75" spans="1:11">
      <c r="A597" s="34">
        <v>596</v>
      </c>
      <c r="B597" s="34" t="s">
        <v>770</v>
      </c>
      <c r="C597" s="29" t="str">
        <f>VLOOKUP(B597,教育部大学名单!$B$1:$D$2920,3,FALSE)</f>
        <v>湖北省</v>
      </c>
      <c r="D597" s="34" t="s">
        <v>746</v>
      </c>
      <c r="E597" s="34" t="s">
        <v>771</v>
      </c>
      <c r="F597" s="36" t="str">
        <f>IFERROR(VLOOKUP(B597,'985'!$B$2:$D$40,3,FALSE),"")</f>
        <v/>
      </c>
      <c r="G597" s="32" t="str">
        <f>IFERROR(VLOOKUP(B597,'211'!$B$2:$D$116,3,FALSE),"")</f>
        <v/>
      </c>
      <c r="H597" s="32" t="str">
        <f>IFERROR(VLOOKUP(B597,双一流!$B$2:$D$148,3,FALSE),"")</f>
        <v/>
      </c>
      <c r="I597" s="32">
        <f>IFERROR(VLOOKUP(B597,汇总!$B$2:$I$2921,8,FALSE),"")</f>
        <v>0</v>
      </c>
      <c r="J597" s="34" t="s">
        <v>11</v>
      </c>
      <c r="K597" s="35" t="s">
        <v>12</v>
      </c>
    </row>
    <row r="598" ht="33.75" spans="1:11">
      <c r="A598" s="29">
        <v>597</v>
      </c>
      <c r="B598" s="29" t="s">
        <v>772</v>
      </c>
      <c r="C598" s="29" t="str">
        <f>VLOOKUP(B598,教育部大学名单!$B$1:$D$2920,3,FALSE)</f>
        <v>教育部</v>
      </c>
      <c r="D598" s="29" t="s">
        <v>746</v>
      </c>
      <c r="E598" s="29" t="s">
        <v>747</v>
      </c>
      <c r="F598" s="36" t="str">
        <f>IFERROR(VLOOKUP(B598,'985'!$B$2:$D$40,3,FALSE),"")</f>
        <v/>
      </c>
      <c r="G598" s="31">
        <f>IFERROR(VLOOKUP(B598,'211'!$B$2:$D$116,3,FALSE),"")</f>
        <v>211</v>
      </c>
      <c r="H598" s="32" t="str">
        <f>IFERROR(VLOOKUP(B598,双一流!$B$2:$D$148,3,FALSE),"")</f>
        <v>双一流</v>
      </c>
      <c r="I598" s="32" t="str">
        <f>IFERROR(VLOOKUP(B598,汇总!$B$2:$I$2921,8,FALSE),"")</f>
        <v>财经</v>
      </c>
      <c r="J598" s="29" t="s">
        <v>11</v>
      </c>
      <c r="K598" s="33" t="s">
        <v>12</v>
      </c>
    </row>
    <row r="599" ht="33.75" spans="1:11">
      <c r="A599" s="34">
        <v>598</v>
      </c>
      <c r="B599" s="34" t="s">
        <v>773</v>
      </c>
      <c r="C599" s="29" t="str">
        <f>VLOOKUP(B599,教育部大学名单!$B$1:$D$2920,3,FALSE)</f>
        <v>湖北省</v>
      </c>
      <c r="D599" s="34" t="s">
        <v>746</v>
      </c>
      <c r="E599" s="34" t="s">
        <v>747</v>
      </c>
      <c r="F599" s="36" t="str">
        <f>IFERROR(VLOOKUP(B599,'985'!$B$2:$D$40,3,FALSE),"")</f>
        <v/>
      </c>
      <c r="G599" s="32" t="str">
        <f>IFERROR(VLOOKUP(B599,'211'!$B$2:$D$116,3,FALSE),"")</f>
        <v/>
      </c>
      <c r="H599" s="32" t="str">
        <f>IFERROR(VLOOKUP(B599,双一流!$B$2:$D$148,3,FALSE),"")</f>
        <v/>
      </c>
      <c r="I599" s="32">
        <f>IFERROR(VLOOKUP(B599,汇总!$B$2:$I$2921,8,FALSE),"")</f>
        <v>0</v>
      </c>
      <c r="J599" s="34" t="s">
        <v>11</v>
      </c>
      <c r="K599" s="35" t="s">
        <v>12</v>
      </c>
    </row>
    <row r="600" ht="33.75" spans="1:11">
      <c r="A600" s="29">
        <v>599</v>
      </c>
      <c r="B600" s="29" t="s">
        <v>774</v>
      </c>
      <c r="C600" s="29" t="str">
        <f>VLOOKUP(B600,教育部大学名单!$B$1:$D$2920,3,FALSE)</f>
        <v>湖北省</v>
      </c>
      <c r="D600" s="29" t="s">
        <v>746</v>
      </c>
      <c r="E600" s="29" t="s">
        <v>747</v>
      </c>
      <c r="F600" s="36" t="str">
        <f>IFERROR(VLOOKUP(B600,'985'!$B$2:$D$40,3,FALSE),"")</f>
        <v/>
      </c>
      <c r="G600" s="32" t="str">
        <f>IFERROR(VLOOKUP(B600,'211'!$B$2:$D$116,3,FALSE),"")</f>
        <v/>
      </c>
      <c r="H600" s="32" t="str">
        <f>IFERROR(VLOOKUP(B600,双一流!$B$2:$D$148,3,FALSE),"")</f>
        <v/>
      </c>
      <c r="I600" s="32">
        <f>IFERROR(VLOOKUP(B600,汇总!$B$2:$I$2921,8,FALSE),"")</f>
        <v>0</v>
      </c>
      <c r="J600" s="29" t="s">
        <v>11</v>
      </c>
      <c r="K600" s="33" t="s">
        <v>12</v>
      </c>
    </row>
    <row r="601" ht="33.75" spans="1:11">
      <c r="A601" s="34">
        <v>600</v>
      </c>
      <c r="B601" s="34" t="s">
        <v>775</v>
      </c>
      <c r="C601" s="29" t="str">
        <f>VLOOKUP(B601,教育部大学名单!$B$1:$D$2920,3,FALSE)</f>
        <v>国家民委</v>
      </c>
      <c r="D601" s="34" t="s">
        <v>746</v>
      </c>
      <c r="E601" s="34" t="s">
        <v>747</v>
      </c>
      <c r="F601" s="36" t="str">
        <f>IFERROR(VLOOKUP(B601,'985'!$B$2:$D$40,3,FALSE),"")</f>
        <v/>
      </c>
      <c r="G601" s="32" t="str">
        <f>IFERROR(VLOOKUP(B601,'211'!$B$2:$D$116,3,FALSE),"")</f>
        <v/>
      </c>
      <c r="H601" s="32" t="str">
        <f>IFERROR(VLOOKUP(B601,双一流!$B$2:$D$148,3,FALSE),"")</f>
        <v/>
      </c>
      <c r="I601" s="32" t="str">
        <f>IFERROR(VLOOKUP(B601,汇总!$B$2:$I$2921,8,FALSE),"")</f>
        <v>民族</v>
      </c>
      <c r="J601" s="34" t="s">
        <v>11</v>
      </c>
      <c r="K601" s="35" t="s">
        <v>12</v>
      </c>
    </row>
    <row r="602" ht="33.75" spans="1:11">
      <c r="A602" s="29">
        <v>601</v>
      </c>
      <c r="B602" s="29" t="s">
        <v>776</v>
      </c>
      <c r="C602" s="29" t="str">
        <f>VLOOKUP(B602,教育部大学名单!$B$1:$D$2920,3,FALSE)</f>
        <v>湖北省</v>
      </c>
      <c r="D602" s="29" t="s">
        <v>746</v>
      </c>
      <c r="E602" s="29" t="s">
        <v>769</v>
      </c>
      <c r="F602" s="36" t="str">
        <f>IFERROR(VLOOKUP(B602,'985'!$B$2:$D$40,3,FALSE),"")</f>
        <v/>
      </c>
      <c r="G602" s="32" t="str">
        <f>IFERROR(VLOOKUP(B602,'211'!$B$2:$D$116,3,FALSE),"")</f>
        <v/>
      </c>
      <c r="H602" s="32" t="str">
        <f>IFERROR(VLOOKUP(B602,双一流!$B$2:$D$148,3,FALSE),"")</f>
        <v/>
      </c>
      <c r="I602" s="32">
        <f>IFERROR(VLOOKUP(B602,汇总!$B$2:$I$2921,8,FALSE),"")</f>
        <v>0</v>
      </c>
      <c r="J602" s="29" t="s">
        <v>11</v>
      </c>
      <c r="K602" s="33" t="s">
        <v>12</v>
      </c>
    </row>
    <row r="603" ht="33.75" spans="1:11">
      <c r="A603" s="34">
        <v>602</v>
      </c>
      <c r="B603" s="34" t="s">
        <v>777</v>
      </c>
      <c r="C603" s="29" t="str">
        <f>VLOOKUP(B603,教育部大学名单!$B$1:$D$2920,3,FALSE)</f>
        <v>湖北省</v>
      </c>
      <c r="D603" s="34" t="s">
        <v>746</v>
      </c>
      <c r="E603" s="34" t="s">
        <v>778</v>
      </c>
      <c r="F603" s="36" t="str">
        <f>IFERROR(VLOOKUP(B603,'985'!$B$2:$D$40,3,FALSE),"")</f>
        <v/>
      </c>
      <c r="G603" s="32" t="str">
        <f>IFERROR(VLOOKUP(B603,'211'!$B$2:$D$116,3,FALSE),"")</f>
        <v/>
      </c>
      <c r="H603" s="32" t="str">
        <f>IFERROR(VLOOKUP(B603,双一流!$B$2:$D$148,3,FALSE),"")</f>
        <v/>
      </c>
      <c r="I603" s="32">
        <f>IFERROR(VLOOKUP(B603,汇总!$B$2:$I$2921,8,FALSE),"")</f>
        <v>0</v>
      </c>
      <c r="J603" s="34" t="s">
        <v>11</v>
      </c>
      <c r="K603" s="35" t="s">
        <v>12</v>
      </c>
    </row>
    <row r="604" ht="33.75" spans="1:11">
      <c r="A604" s="29">
        <v>603</v>
      </c>
      <c r="B604" s="29" t="s">
        <v>779</v>
      </c>
      <c r="C604" s="29" t="str">
        <f>VLOOKUP(B604,教育部大学名单!$B$1:$D$2920,3,FALSE)</f>
        <v>湖北省</v>
      </c>
      <c r="D604" s="29" t="s">
        <v>746</v>
      </c>
      <c r="E604" s="29" t="s">
        <v>763</v>
      </c>
      <c r="F604" s="36" t="str">
        <f>IFERROR(VLOOKUP(B604,'985'!$B$2:$D$40,3,FALSE),"")</f>
        <v/>
      </c>
      <c r="G604" s="32" t="str">
        <f>IFERROR(VLOOKUP(B604,'211'!$B$2:$D$116,3,FALSE),"")</f>
        <v/>
      </c>
      <c r="H604" s="32" t="str">
        <f>IFERROR(VLOOKUP(B604,双一流!$B$2:$D$148,3,FALSE),"")</f>
        <v/>
      </c>
      <c r="I604" s="32">
        <f>IFERROR(VLOOKUP(B604,汇总!$B$2:$I$2921,8,FALSE),"")</f>
        <v>0</v>
      </c>
      <c r="J604" s="29" t="s">
        <v>11</v>
      </c>
      <c r="K604" s="33" t="s">
        <v>12</v>
      </c>
    </row>
    <row r="605" ht="33.75" spans="1:11">
      <c r="A605" s="34">
        <v>604</v>
      </c>
      <c r="B605" s="34" t="s">
        <v>780</v>
      </c>
      <c r="C605" s="29" t="str">
        <f>VLOOKUP(B605,教育部大学名单!$B$1:$D$2920,3,FALSE)</f>
        <v>湖北省</v>
      </c>
      <c r="D605" s="34" t="s">
        <v>746</v>
      </c>
      <c r="E605" s="34" t="s">
        <v>781</v>
      </c>
      <c r="F605" s="36" t="str">
        <f>IFERROR(VLOOKUP(B605,'985'!$B$2:$D$40,3,FALSE),"")</f>
        <v/>
      </c>
      <c r="G605" s="32" t="str">
        <f>IFERROR(VLOOKUP(B605,'211'!$B$2:$D$116,3,FALSE),"")</f>
        <v/>
      </c>
      <c r="H605" s="32" t="str">
        <f>IFERROR(VLOOKUP(B605,双一流!$B$2:$D$148,3,FALSE),"")</f>
        <v/>
      </c>
      <c r="I605" s="32">
        <f>IFERROR(VLOOKUP(B605,汇总!$B$2:$I$2921,8,FALSE),"")</f>
        <v>0</v>
      </c>
      <c r="J605" s="34" t="s">
        <v>11</v>
      </c>
      <c r="K605" s="35" t="s">
        <v>12</v>
      </c>
    </row>
    <row r="606" ht="33.75" spans="1:11">
      <c r="A606" s="29">
        <v>605</v>
      </c>
      <c r="B606" s="29" t="s">
        <v>782</v>
      </c>
      <c r="C606" s="29" t="str">
        <f>VLOOKUP(B606,教育部大学名单!$B$1:$D$2920,3,FALSE)</f>
        <v>湖北省</v>
      </c>
      <c r="D606" s="29" t="s">
        <v>746</v>
      </c>
      <c r="E606" s="29" t="s">
        <v>769</v>
      </c>
      <c r="F606" s="36" t="str">
        <f>IFERROR(VLOOKUP(B606,'985'!$B$2:$D$40,3,FALSE),"")</f>
        <v/>
      </c>
      <c r="G606" s="32" t="str">
        <f>IFERROR(VLOOKUP(B606,'211'!$B$2:$D$116,3,FALSE),"")</f>
        <v/>
      </c>
      <c r="H606" s="32" t="str">
        <f>IFERROR(VLOOKUP(B606,双一流!$B$2:$D$148,3,FALSE),"")</f>
        <v/>
      </c>
      <c r="I606" s="32">
        <f>IFERROR(VLOOKUP(B606,汇总!$B$2:$I$2921,8,FALSE),"")</f>
        <v>0</v>
      </c>
      <c r="J606" s="29" t="s">
        <v>11</v>
      </c>
      <c r="K606" s="33" t="s">
        <v>12</v>
      </c>
    </row>
    <row r="607" ht="17.25" spans="1:11">
      <c r="A607" s="34">
        <v>606</v>
      </c>
      <c r="B607" s="34" t="s">
        <v>783</v>
      </c>
      <c r="C607" s="29" t="str">
        <f>VLOOKUP(B607,教育部大学名单!$B$1:$D$2920,3,FALSE)</f>
        <v>湖北省</v>
      </c>
      <c r="D607" s="34" t="s">
        <v>746</v>
      </c>
      <c r="E607" s="34" t="s">
        <v>747</v>
      </c>
      <c r="F607" s="36" t="str">
        <f>IFERROR(VLOOKUP(B607,'985'!$B$2:$D$40,3,FALSE),"")</f>
        <v/>
      </c>
      <c r="G607" s="32" t="str">
        <f>IFERROR(VLOOKUP(B607,'211'!$B$2:$D$116,3,FALSE),"")</f>
        <v/>
      </c>
      <c r="H607" s="32" t="str">
        <f>IFERROR(VLOOKUP(B607,双一流!$B$2:$D$148,3,FALSE),"")</f>
        <v/>
      </c>
      <c r="I607" s="32">
        <f>IFERROR(VLOOKUP(B607,汇总!$B$2:$I$2921,8,FALSE),"")</f>
        <v>0</v>
      </c>
      <c r="J607" s="34" t="s">
        <v>11</v>
      </c>
      <c r="K607" s="35" t="s">
        <v>12</v>
      </c>
    </row>
    <row r="608" ht="17.25" spans="1:11">
      <c r="A608" s="29">
        <v>607</v>
      </c>
      <c r="B608" s="29" t="s">
        <v>784</v>
      </c>
      <c r="C608" s="29" t="str">
        <f>VLOOKUP(B608,教育部大学名单!$B$1:$D$2920,3,FALSE)</f>
        <v>湖北省</v>
      </c>
      <c r="D608" s="29" t="s">
        <v>746</v>
      </c>
      <c r="E608" s="29" t="s">
        <v>785</v>
      </c>
      <c r="F608" s="36" t="str">
        <f>IFERROR(VLOOKUP(B608,'985'!$B$2:$D$40,3,FALSE),"")</f>
        <v/>
      </c>
      <c r="G608" s="32" t="str">
        <f>IFERROR(VLOOKUP(B608,'211'!$B$2:$D$116,3,FALSE),"")</f>
        <v/>
      </c>
      <c r="H608" s="32" t="str">
        <f>IFERROR(VLOOKUP(B608,双一流!$B$2:$D$148,3,FALSE),"")</f>
        <v/>
      </c>
      <c r="I608" s="32" t="str">
        <f>IFERROR(VLOOKUP(B608,汇总!$B$2:$I$2921,8,FALSE),"")</f>
        <v>综合</v>
      </c>
      <c r="J608" s="29" t="s">
        <v>11</v>
      </c>
      <c r="K608" s="33" t="s">
        <v>12</v>
      </c>
    </row>
    <row r="609" ht="33.75" spans="1:11">
      <c r="A609" s="34">
        <v>608</v>
      </c>
      <c r="B609" s="34" t="s">
        <v>786</v>
      </c>
      <c r="C609" s="29" t="str">
        <f>VLOOKUP(B609,教育部大学名单!$B$1:$D$2920,3,FALSE)</f>
        <v>湖北省</v>
      </c>
      <c r="D609" s="34" t="s">
        <v>746</v>
      </c>
      <c r="E609" s="34" t="s">
        <v>747</v>
      </c>
      <c r="F609" s="36" t="str">
        <f>IFERROR(VLOOKUP(B609,'985'!$B$2:$D$40,3,FALSE),"")</f>
        <v/>
      </c>
      <c r="G609" s="32" t="str">
        <f>IFERROR(VLOOKUP(B609,'211'!$B$2:$D$116,3,FALSE),"")</f>
        <v/>
      </c>
      <c r="H609" s="32" t="str">
        <f>IFERROR(VLOOKUP(B609,双一流!$B$2:$D$148,3,FALSE),"")</f>
        <v/>
      </c>
      <c r="I609" s="32">
        <f>IFERROR(VLOOKUP(B609,汇总!$B$2:$I$2921,8,FALSE),"")</f>
        <v>0</v>
      </c>
      <c r="J609" s="34" t="s">
        <v>11</v>
      </c>
      <c r="K609" s="35" t="s">
        <v>12</v>
      </c>
    </row>
    <row r="610" ht="33.75" spans="1:11">
      <c r="A610" s="29">
        <v>609</v>
      </c>
      <c r="B610" s="29" t="s">
        <v>787</v>
      </c>
      <c r="C610" s="29" t="str">
        <f>VLOOKUP(B610,教育部大学名单!$B$1:$D$2920,3,FALSE)</f>
        <v>湖北省</v>
      </c>
      <c r="D610" s="29" t="s">
        <v>746</v>
      </c>
      <c r="E610" s="29" t="s">
        <v>788</v>
      </c>
      <c r="F610" s="36" t="str">
        <f>IFERROR(VLOOKUP(B610,'985'!$B$2:$D$40,3,FALSE),"")</f>
        <v/>
      </c>
      <c r="G610" s="32" t="str">
        <f>IFERROR(VLOOKUP(B610,'211'!$B$2:$D$116,3,FALSE),"")</f>
        <v/>
      </c>
      <c r="H610" s="32" t="str">
        <f>IFERROR(VLOOKUP(B610,双一流!$B$2:$D$148,3,FALSE),"")</f>
        <v/>
      </c>
      <c r="I610" s="32">
        <f>IFERROR(VLOOKUP(B610,汇总!$B$2:$I$2921,8,FALSE),"")</f>
        <v>0</v>
      </c>
      <c r="J610" s="29" t="s">
        <v>11</v>
      </c>
      <c r="K610" s="33" t="s">
        <v>12</v>
      </c>
    </row>
    <row r="611" ht="33.75" spans="1:11">
      <c r="A611" s="34">
        <v>610</v>
      </c>
      <c r="B611" s="34" t="s">
        <v>789</v>
      </c>
      <c r="C611" s="29" t="str">
        <f>VLOOKUP(B611,教育部大学名单!$B$1:$D$2920,3,FALSE)</f>
        <v>湖北省</v>
      </c>
      <c r="D611" s="34" t="s">
        <v>746</v>
      </c>
      <c r="E611" s="34" t="s">
        <v>747</v>
      </c>
      <c r="F611" s="36" t="str">
        <f>IFERROR(VLOOKUP(B611,'985'!$B$2:$D$40,3,FALSE),"")</f>
        <v/>
      </c>
      <c r="G611" s="32" t="str">
        <f>IFERROR(VLOOKUP(B611,'211'!$B$2:$D$116,3,FALSE),"")</f>
        <v/>
      </c>
      <c r="H611" s="32" t="str">
        <f>IFERROR(VLOOKUP(B611,双一流!$B$2:$D$148,3,FALSE),"")</f>
        <v/>
      </c>
      <c r="I611" s="32">
        <f>IFERROR(VLOOKUP(B611,汇总!$B$2:$I$2921,8,FALSE),"")</f>
        <v>0</v>
      </c>
      <c r="J611" s="34" t="s">
        <v>11</v>
      </c>
      <c r="K611" s="35" t="s">
        <v>12</v>
      </c>
    </row>
    <row r="612" ht="33.75" spans="1:11">
      <c r="A612" s="29">
        <v>611</v>
      </c>
      <c r="B612" s="29" t="s">
        <v>790</v>
      </c>
      <c r="C612" s="29" t="str">
        <f>VLOOKUP(B612,教育部大学名单!$B$1:$D$2920,3,FALSE)</f>
        <v>湖北省</v>
      </c>
      <c r="D612" s="29" t="s">
        <v>746</v>
      </c>
      <c r="E612" s="29" t="s">
        <v>747</v>
      </c>
      <c r="F612" s="36" t="str">
        <f>IFERROR(VLOOKUP(B612,'985'!$B$2:$D$40,3,FALSE),"")</f>
        <v/>
      </c>
      <c r="G612" s="32" t="str">
        <f>IFERROR(VLOOKUP(B612,'211'!$B$2:$D$116,3,FALSE),"")</f>
        <v/>
      </c>
      <c r="H612" s="32" t="str">
        <f>IFERROR(VLOOKUP(B612,双一流!$B$2:$D$148,3,FALSE),"")</f>
        <v/>
      </c>
      <c r="I612" s="32">
        <f>IFERROR(VLOOKUP(B612,汇总!$B$2:$I$2921,8,FALSE),"")</f>
        <v>0</v>
      </c>
      <c r="J612" s="29" t="s">
        <v>11</v>
      </c>
      <c r="K612" s="33" t="s">
        <v>12</v>
      </c>
    </row>
    <row r="613" ht="17.25" spans="1:11">
      <c r="A613" s="34">
        <v>612</v>
      </c>
      <c r="B613" s="34" t="s">
        <v>791</v>
      </c>
      <c r="C613" s="29" t="str">
        <f>VLOOKUP(B613,教育部大学名单!$B$1:$D$2920,3,FALSE)</f>
        <v>湖北省</v>
      </c>
      <c r="D613" s="34" t="s">
        <v>746</v>
      </c>
      <c r="E613" s="34" t="s">
        <v>747</v>
      </c>
      <c r="F613" s="36" t="str">
        <f>IFERROR(VLOOKUP(B613,'985'!$B$2:$D$40,3,FALSE),"")</f>
        <v/>
      </c>
      <c r="G613" s="32" t="str">
        <f>IFERROR(VLOOKUP(B613,'211'!$B$2:$D$116,3,FALSE),"")</f>
        <v/>
      </c>
      <c r="H613" s="32" t="str">
        <f>IFERROR(VLOOKUP(B613,双一流!$B$2:$D$148,3,FALSE),"")</f>
        <v/>
      </c>
      <c r="I613" s="32">
        <f>IFERROR(VLOOKUP(B613,汇总!$B$2:$I$2921,8,FALSE),"")</f>
        <v>0</v>
      </c>
      <c r="J613" s="34" t="s">
        <v>11</v>
      </c>
      <c r="K613" s="35" t="s">
        <v>12</v>
      </c>
    </row>
    <row r="614" ht="33.75" spans="1:11">
      <c r="A614" s="29">
        <v>613</v>
      </c>
      <c r="B614" s="29" t="s">
        <v>792</v>
      </c>
      <c r="C614" s="29" t="str">
        <f>VLOOKUP(B614,教育部大学名单!$B$1:$D$2920,3,FALSE)</f>
        <v>湖北省</v>
      </c>
      <c r="D614" s="29" t="s">
        <v>746</v>
      </c>
      <c r="E614" s="29" t="s">
        <v>747</v>
      </c>
      <c r="F614" s="36" t="str">
        <f>IFERROR(VLOOKUP(B614,'985'!$B$2:$D$40,3,FALSE),"")</f>
        <v/>
      </c>
      <c r="G614" s="32" t="str">
        <f>IFERROR(VLOOKUP(B614,'211'!$B$2:$D$116,3,FALSE),"")</f>
        <v/>
      </c>
      <c r="H614" s="32" t="str">
        <f>IFERROR(VLOOKUP(B614,双一流!$B$2:$D$148,3,FALSE),"")</f>
        <v/>
      </c>
      <c r="I614" s="32">
        <f>IFERROR(VLOOKUP(B614,汇总!$B$2:$I$2921,8,FALSE),"")</f>
        <v>0</v>
      </c>
      <c r="J614" s="29" t="s">
        <v>11</v>
      </c>
      <c r="K614" s="33" t="s">
        <v>12</v>
      </c>
    </row>
    <row r="615" ht="33.75" spans="1:11">
      <c r="A615" s="34">
        <v>614</v>
      </c>
      <c r="B615" s="34" t="s">
        <v>793</v>
      </c>
      <c r="C615" s="29" t="str">
        <f>VLOOKUP(B615,教育部大学名单!$B$1:$D$2920,3,FALSE)</f>
        <v>湖北省</v>
      </c>
      <c r="D615" s="34" t="s">
        <v>746</v>
      </c>
      <c r="E615" s="34" t="s">
        <v>747</v>
      </c>
      <c r="F615" s="36" t="str">
        <f>IFERROR(VLOOKUP(B615,'985'!$B$2:$D$40,3,FALSE),"")</f>
        <v/>
      </c>
      <c r="G615" s="32" t="str">
        <f>IFERROR(VLOOKUP(B615,'211'!$B$2:$D$116,3,FALSE),"")</f>
        <v/>
      </c>
      <c r="H615" s="32" t="str">
        <f>IFERROR(VLOOKUP(B615,双一流!$B$2:$D$148,3,FALSE),"")</f>
        <v/>
      </c>
      <c r="I615" s="32" t="str">
        <f>IFERROR(VLOOKUP(B615,汇总!$B$2:$I$2921,8,FALSE),"")</f>
        <v/>
      </c>
      <c r="J615" s="34" t="s">
        <v>11</v>
      </c>
      <c r="K615" s="35" t="s">
        <v>12</v>
      </c>
    </row>
    <row r="616" ht="33.75" spans="1:11">
      <c r="A616" s="29">
        <v>615</v>
      </c>
      <c r="B616" s="29" t="s">
        <v>794</v>
      </c>
      <c r="C616" s="29" t="e">
        <f>VLOOKUP(B616,教育部大学名单!$B$1:$D$2920,3,FALSE)</f>
        <v>#N/A</v>
      </c>
      <c r="D616" s="29" t="s">
        <v>746</v>
      </c>
      <c r="E616" s="29" t="s">
        <v>765</v>
      </c>
      <c r="F616" s="36" t="str">
        <f>IFERROR(VLOOKUP(B616,'985'!$B$2:$D$40,3,FALSE),"")</f>
        <v/>
      </c>
      <c r="G616" s="32" t="str">
        <f>IFERROR(VLOOKUP(B616,'211'!$B$2:$D$116,3,FALSE),"")</f>
        <v/>
      </c>
      <c r="H616" s="32" t="str">
        <f>IFERROR(VLOOKUP(B616,双一流!$B$2:$D$148,3,FALSE),"")</f>
        <v/>
      </c>
      <c r="I616" s="32" t="str">
        <f>IFERROR(VLOOKUP(B616,汇总!$B$2:$I$2921,8,FALSE),"")</f>
        <v/>
      </c>
      <c r="J616" s="29" t="s">
        <v>11</v>
      </c>
      <c r="K616" s="33" t="s">
        <v>12</v>
      </c>
    </row>
    <row r="617" ht="33.75" spans="1:11">
      <c r="A617" s="34">
        <v>616</v>
      </c>
      <c r="B617" s="34" t="s">
        <v>795</v>
      </c>
      <c r="C617" s="29" t="e">
        <f>VLOOKUP(B617,教育部大学名单!$B$1:$D$2920,3,FALSE)</f>
        <v>#N/A</v>
      </c>
      <c r="D617" s="34" t="s">
        <v>746</v>
      </c>
      <c r="E617" s="34" t="s">
        <v>771</v>
      </c>
      <c r="F617" s="36" t="str">
        <f>IFERROR(VLOOKUP(B617,'985'!$B$2:$D$40,3,FALSE),"")</f>
        <v/>
      </c>
      <c r="G617" s="32" t="str">
        <f>IFERROR(VLOOKUP(B617,'211'!$B$2:$D$116,3,FALSE),"")</f>
        <v/>
      </c>
      <c r="H617" s="32" t="str">
        <f>IFERROR(VLOOKUP(B617,双一流!$B$2:$D$148,3,FALSE),"")</f>
        <v/>
      </c>
      <c r="I617" s="32" t="str">
        <f>IFERROR(VLOOKUP(B617,汇总!$B$2:$I$2921,8,FALSE),"")</f>
        <v/>
      </c>
      <c r="J617" s="34" t="s">
        <v>11</v>
      </c>
      <c r="K617" s="35" t="s">
        <v>12</v>
      </c>
    </row>
    <row r="618" ht="17.25" spans="1:11">
      <c r="A618" s="29">
        <v>617</v>
      </c>
      <c r="B618" s="29" t="s">
        <v>796</v>
      </c>
      <c r="C618" s="29" t="str">
        <f>VLOOKUP(B618,教育部大学名单!$B$1:$D$2920,3,FALSE)</f>
        <v>湖南省</v>
      </c>
      <c r="D618" s="29" t="s">
        <v>797</v>
      </c>
      <c r="E618" s="29" t="s">
        <v>798</v>
      </c>
      <c r="F618" s="36" t="str">
        <f>IFERROR(VLOOKUP(B618,'985'!$B$2:$D$40,3,FALSE),"")</f>
        <v/>
      </c>
      <c r="G618" s="32" t="str">
        <f>IFERROR(VLOOKUP(B618,'211'!$B$2:$D$116,3,FALSE),"")</f>
        <v/>
      </c>
      <c r="H618" s="32" t="str">
        <f>IFERROR(VLOOKUP(B618,双一流!$B$2:$D$148,3,FALSE),"")</f>
        <v>双一流</v>
      </c>
      <c r="I618" s="32" t="str">
        <f>IFERROR(VLOOKUP(B618,汇总!$B$2:$I$2921,8,FALSE),"")</f>
        <v>综合</v>
      </c>
      <c r="J618" s="29" t="s">
        <v>11</v>
      </c>
      <c r="K618" s="33" t="s">
        <v>12</v>
      </c>
    </row>
    <row r="619" ht="17.25" spans="1:11">
      <c r="A619" s="34">
        <v>618</v>
      </c>
      <c r="B619" s="34" t="s">
        <v>799</v>
      </c>
      <c r="C619" s="29" t="str">
        <f>VLOOKUP(B619,教育部大学名单!$B$1:$D$2920,3,FALSE)</f>
        <v>湖南省</v>
      </c>
      <c r="D619" s="34" t="s">
        <v>797</v>
      </c>
      <c r="E619" s="34" t="s">
        <v>800</v>
      </c>
      <c r="F619" s="36" t="str">
        <f>IFERROR(VLOOKUP(B619,'985'!$B$2:$D$40,3,FALSE),"")</f>
        <v/>
      </c>
      <c r="G619" s="32" t="str">
        <f>IFERROR(VLOOKUP(B619,'211'!$B$2:$D$116,3,FALSE),"")</f>
        <v/>
      </c>
      <c r="H619" s="32" t="str">
        <f>IFERROR(VLOOKUP(B619,双一流!$B$2:$D$148,3,FALSE),"")</f>
        <v/>
      </c>
      <c r="I619" s="32" t="str">
        <f>IFERROR(VLOOKUP(B619,汇总!$B$2:$I$2921,8,FALSE),"")</f>
        <v>综合</v>
      </c>
      <c r="J619" s="34" t="s">
        <v>11</v>
      </c>
      <c r="K619" s="35" t="s">
        <v>12</v>
      </c>
    </row>
    <row r="620" ht="17.25" spans="1:11">
      <c r="A620" s="29">
        <v>619</v>
      </c>
      <c r="B620" s="29" t="s">
        <v>801</v>
      </c>
      <c r="C620" s="29" t="str">
        <f>VLOOKUP(B620,教育部大学名单!$B$1:$D$2920,3,FALSE)</f>
        <v>教育部</v>
      </c>
      <c r="D620" s="29" t="s">
        <v>797</v>
      </c>
      <c r="E620" s="29" t="s">
        <v>802</v>
      </c>
      <c r="F620" s="30">
        <f>IFERROR(VLOOKUP(B620,'985'!$B$2:$D$40,3,FALSE),"")</f>
        <v>985</v>
      </c>
      <c r="G620" s="31">
        <f>IFERROR(VLOOKUP(B620,'211'!$B$2:$D$116,3,FALSE),"")</f>
        <v>211</v>
      </c>
      <c r="H620" s="32" t="str">
        <f>IFERROR(VLOOKUP(B620,双一流!$B$2:$D$148,3,FALSE),"")</f>
        <v>双一流</v>
      </c>
      <c r="I620" s="32" t="str">
        <f>IFERROR(VLOOKUP(B620,汇总!$B$2:$I$2921,8,FALSE),"")</f>
        <v>综合</v>
      </c>
      <c r="J620" s="29" t="s">
        <v>11</v>
      </c>
      <c r="K620" s="33" t="s">
        <v>12</v>
      </c>
    </row>
    <row r="621" ht="17.25" spans="1:11">
      <c r="A621" s="34">
        <v>620</v>
      </c>
      <c r="B621" s="34" t="s">
        <v>803</v>
      </c>
      <c r="C621" s="29" t="str">
        <f>VLOOKUP(B621,教育部大学名单!$B$1:$D$2920,3,FALSE)</f>
        <v>教育部</v>
      </c>
      <c r="D621" s="34" t="s">
        <v>797</v>
      </c>
      <c r="E621" s="34" t="s">
        <v>802</v>
      </c>
      <c r="F621" s="30">
        <f>IFERROR(VLOOKUP(B621,'985'!$B$2:$D$40,3,FALSE),"")</f>
        <v>985</v>
      </c>
      <c r="G621" s="31">
        <f>IFERROR(VLOOKUP(B621,'211'!$B$2:$D$116,3,FALSE),"")</f>
        <v>211</v>
      </c>
      <c r="H621" s="32" t="str">
        <f>IFERROR(VLOOKUP(B621,双一流!$B$2:$D$148,3,FALSE),"")</f>
        <v>双一流</v>
      </c>
      <c r="I621" s="32" t="str">
        <f>IFERROR(VLOOKUP(B621,汇总!$B$2:$I$2921,8,FALSE),"")</f>
        <v>综合</v>
      </c>
      <c r="J621" s="34" t="s">
        <v>11</v>
      </c>
      <c r="K621" s="35" t="s">
        <v>12</v>
      </c>
    </row>
    <row r="622" ht="33.75" spans="1:11">
      <c r="A622" s="29">
        <v>621</v>
      </c>
      <c r="B622" s="29" t="s">
        <v>804</v>
      </c>
      <c r="C622" s="29" t="str">
        <f>VLOOKUP(B622,教育部大学名单!$B$1:$D$2920,3,FALSE)</f>
        <v>湖南省</v>
      </c>
      <c r="D622" s="29" t="s">
        <v>797</v>
      </c>
      <c r="E622" s="29" t="s">
        <v>798</v>
      </c>
      <c r="F622" s="36" t="str">
        <f>IFERROR(VLOOKUP(B622,'985'!$B$2:$D$40,3,FALSE),"")</f>
        <v/>
      </c>
      <c r="G622" s="32" t="str">
        <f>IFERROR(VLOOKUP(B622,'211'!$B$2:$D$116,3,FALSE),"")</f>
        <v/>
      </c>
      <c r="H622" s="32" t="str">
        <f>IFERROR(VLOOKUP(B622,双一流!$B$2:$D$148,3,FALSE),"")</f>
        <v/>
      </c>
      <c r="I622" s="32" t="str">
        <f>IFERROR(VLOOKUP(B622,汇总!$B$2:$I$2921,8,FALSE),"")</f>
        <v>综合</v>
      </c>
      <c r="J622" s="29" t="s">
        <v>11</v>
      </c>
      <c r="K622" s="33" t="s">
        <v>12</v>
      </c>
    </row>
    <row r="623" ht="33.75" spans="1:11">
      <c r="A623" s="34">
        <v>622</v>
      </c>
      <c r="B623" s="34" t="s">
        <v>805</v>
      </c>
      <c r="C623" s="29" t="str">
        <f>VLOOKUP(B623,教育部大学名单!$B$1:$D$2920,3,FALSE)</f>
        <v>湖南省</v>
      </c>
      <c r="D623" s="34" t="s">
        <v>797</v>
      </c>
      <c r="E623" s="34" t="s">
        <v>802</v>
      </c>
      <c r="F623" s="36" t="str">
        <f>IFERROR(VLOOKUP(B623,'985'!$B$2:$D$40,3,FALSE),"")</f>
        <v/>
      </c>
      <c r="G623" s="32" t="str">
        <f>IFERROR(VLOOKUP(B623,'211'!$B$2:$D$116,3,FALSE),"")</f>
        <v/>
      </c>
      <c r="H623" s="32" t="str">
        <f>IFERROR(VLOOKUP(B623,双一流!$B$2:$D$148,3,FALSE),"")</f>
        <v/>
      </c>
      <c r="I623" s="32" t="str">
        <f>IFERROR(VLOOKUP(B623,汇总!$B$2:$I$2921,8,FALSE),"")</f>
        <v>理工</v>
      </c>
      <c r="J623" s="34" t="s">
        <v>11</v>
      </c>
      <c r="K623" s="35" t="s">
        <v>12</v>
      </c>
    </row>
    <row r="624" ht="33.75" spans="1:11">
      <c r="A624" s="29">
        <v>623</v>
      </c>
      <c r="B624" s="29" t="s">
        <v>806</v>
      </c>
      <c r="C624" s="29" t="str">
        <f>VLOOKUP(B624,教育部大学名单!$B$1:$D$2920,3,FALSE)</f>
        <v>湖南省</v>
      </c>
      <c r="D624" s="29" t="s">
        <v>797</v>
      </c>
      <c r="E624" s="29" t="s">
        <v>802</v>
      </c>
      <c r="F624" s="36" t="str">
        <f>IFERROR(VLOOKUP(B624,'985'!$B$2:$D$40,3,FALSE),"")</f>
        <v/>
      </c>
      <c r="G624" s="32" t="str">
        <f>IFERROR(VLOOKUP(B624,'211'!$B$2:$D$116,3,FALSE),"")</f>
        <v/>
      </c>
      <c r="H624" s="32" t="str">
        <f>IFERROR(VLOOKUP(B624,双一流!$B$2:$D$148,3,FALSE),"")</f>
        <v/>
      </c>
      <c r="I624" s="32" t="str">
        <f>IFERROR(VLOOKUP(B624,汇总!$B$2:$I$2921,8,FALSE),"")</f>
        <v>农林</v>
      </c>
      <c r="J624" s="29" t="s">
        <v>11</v>
      </c>
      <c r="K624" s="33" t="s">
        <v>12</v>
      </c>
    </row>
    <row r="625" ht="33.75" spans="1:11">
      <c r="A625" s="34">
        <v>624</v>
      </c>
      <c r="B625" s="34" t="s">
        <v>807</v>
      </c>
      <c r="C625" s="29" t="str">
        <f>VLOOKUP(B625,教育部大学名单!$B$1:$D$2920,3,FALSE)</f>
        <v>湖南省</v>
      </c>
      <c r="D625" s="34" t="s">
        <v>797</v>
      </c>
      <c r="E625" s="34" t="s">
        <v>802</v>
      </c>
      <c r="F625" s="36" t="str">
        <f>IFERROR(VLOOKUP(B625,'985'!$B$2:$D$40,3,FALSE),"")</f>
        <v/>
      </c>
      <c r="G625" s="32" t="str">
        <f>IFERROR(VLOOKUP(B625,'211'!$B$2:$D$116,3,FALSE),"")</f>
        <v/>
      </c>
      <c r="H625" s="32" t="str">
        <f>IFERROR(VLOOKUP(B625,双一流!$B$2:$D$148,3,FALSE),"")</f>
        <v/>
      </c>
      <c r="I625" s="32" t="str">
        <f>IFERROR(VLOOKUP(B625,汇总!$B$2:$I$2921,8,FALSE),"")</f>
        <v>农林</v>
      </c>
      <c r="J625" s="34" t="s">
        <v>11</v>
      </c>
      <c r="K625" s="35" t="s">
        <v>12</v>
      </c>
    </row>
    <row r="626" ht="33.75" spans="1:11">
      <c r="A626" s="29">
        <v>625</v>
      </c>
      <c r="B626" s="29" t="s">
        <v>808</v>
      </c>
      <c r="C626" s="29" t="str">
        <f>VLOOKUP(B626,教育部大学名单!$B$1:$D$2920,3,FALSE)</f>
        <v>湖南省</v>
      </c>
      <c r="D626" s="29" t="s">
        <v>797</v>
      </c>
      <c r="E626" s="29" t="s">
        <v>802</v>
      </c>
      <c r="F626" s="36" t="str">
        <f>IFERROR(VLOOKUP(B626,'985'!$B$2:$D$40,3,FALSE),"")</f>
        <v/>
      </c>
      <c r="G626" s="32" t="str">
        <f>IFERROR(VLOOKUP(B626,'211'!$B$2:$D$116,3,FALSE),"")</f>
        <v/>
      </c>
      <c r="H626" s="32" t="str">
        <f>IFERROR(VLOOKUP(B626,双一流!$B$2:$D$148,3,FALSE),"")</f>
        <v/>
      </c>
      <c r="I626" s="32" t="str">
        <f>IFERROR(VLOOKUP(B626,汇总!$B$2:$I$2921,8,FALSE),"")</f>
        <v>医药</v>
      </c>
      <c r="J626" s="29" t="s">
        <v>11</v>
      </c>
      <c r="K626" s="33" t="s">
        <v>12</v>
      </c>
    </row>
    <row r="627" ht="33.75" spans="1:11">
      <c r="A627" s="34">
        <v>626</v>
      </c>
      <c r="B627" s="34" t="s">
        <v>809</v>
      </c>
      <c r="C627" s="29" t="str">
        <f>VLOOKUP(B627,教育部大学名单!$B$1:$D$2920,3,FALSE)</f>
        <v>湖南省</v>
      </c>
      <c r="D627" s="34" t="s">
        <v>797</v>
      </c>
      <c r="E627" s="34" t="s">
        <v>802</v>
      </c>
      <c r="F627" s="36" t="str">
        <f>IFERROR(VLOOKUP(B627,'985'!$B$2:$D$40,3,FALSE),"")</f>
        <v/>
      </c>
      <c r="G627" s="31">
        <f>IFERROR(VLOOKUP(B627,'211'!$B$2:$D$116,3,FALSE),"")</f>
        <v>211</v>
      </c>
      <c r="H627" s="32" t="str">
        <f>IFERROR(VLOOKUP(B627,双一流!$B$2:$D$148,3,FALSE),"")</f>
        <v>双一流</v>
      </c>
      <c r="I627" s="32" t="str">
        <f>IFERROR(VLOOKUP(B627,汇总!$B$2:$I$2921,8,FALSE),"")</f>
        <v>师范</v>
      </c>
      <c r="J627" s="34" t="s">
        <v>11</v>
      </c>
      <c r="K627" s="35" t="s">
        <v>12</v>
      </c>
    </row>
    <row r="628" ht="33.75" spans="1:11">
      <c r="A628" s="29">
        <v>627</v>
      </c>
      <c r="B628" s="29" t="s">
        <v>810</v>
      </c>
      <c r="C628" s="29" t="e">
        <f>VLOOKUP(B628,教育部大学名单!$B$1:$D$2920,3,FALSE)</f>
        <v>#N/A</v>
      </c>
      <c r="D628" s="29" t="s">
        <v>797</v>
      </c>
      <c r="E628" s="29" t="s">
        <v>811</v>
      </c>
      <c r="F628" s="36" t="str">
        <f>IFERROR(VLOOKUP(B628,'985'!$B$2:$D$40,3,FALSE),"")</f>
        <v/>
      </c>
      <c r="G628" s="32" t="str">
        <f>IFERROR(VLOOKUP(B628,'211'!$B$2:$D$116,3,FALSE),"")</f>
        <v/>
      </c>
      <c r="H628" s="32" t="str">
        <f>IFERROR(VLOOKUP(B628,双一流!$B$2:$D$148,3,FALSE),"")</f>
        <v/>
      </c>
      <c r="I628" s="32" t="str">
        <f>IFERROR(VLOOKUP(B628,汇总!$B$2:$I$2921,8,FALSE),"")</f>
        <v/>
      </c>
      <c r="J628" s="29" t="s">
        <v>11</v>
      </c>
      <c r="K628" s="33" t="s">
        <v>12</v>
      </c>
    </row>
    <row r="629" ht="17.25" spans="1:11">
      <c r="A629" s="34">
        <v>628</v>
      </c>
      <c r="B629" s="34" t="s">
        <v>812</v>
      </c>
      <c r="C629" s="29" t="str">
        <f>VLOOKUP(B629,教育部大学名单!$B$1:$D$2920,3,FALSE)</f>
        <v>湖南省</v>
      </c>
      <c r="D629" s="34" t="s">
        <v>797</v>
      </c>
      <c r="E629" s="34" t="s">
        <v>813</v>
      </c>
      <c r="F629" s="36" t="str">
        <f>IFERROR(VLOOKUP(B629,'985'!$B$2:$D$40,3,FALSE),"")</f>
        <v/>
      </c>
      <c r="G629" s="32" t="str">
        <f>IFERROR(VLOOKUP(B629,'211'!$B$2:$D$116,3,FALSE),"")</f>
        <v/>
      </c>
      <c r="H629" s="32" t="str">
        <f>IFERROR(VLOOKUP(B629,双一流!$B$2:$D$148,3,FALSE),"")</f>
        <v/>
      </c>
      <c r="I629" s="32">
        <f>IFERROR(VLOOKUP(B629,汇总!$B$2:$I$2921,8,FALSE),"")</f>
        <v>0</v>
      </c>
      <c r="J629" s="34" t="s">
        <v>11</v>
      </c>
      <c r="K629" s="35" t="s">
        <v>12</v>
      </c>
    </row>
    <row r="630" ht="33.75" spans="1:11">
      <c r="A630" s="29">
        <v>629</v>
      </c>
      <c r="B630" s="29" t="s">
        <v>814</v>
      </c>
      <c r="C630" s="29" t="str">
        <f>VLOOKUP(B630,教育部大学名单!$B$1:$D$2920,3,FALSE)</f>
        <v>湖南省</v>
      </c>
      <c r="D630" s="29" t="s">
        <v>797</v>
      </c>
      <c r="E630" s="29" t="s">
        <v>815</v>
      </c>
      <c r="F630" s="36" t="str">
        <f>IFERROR(VLOOKUP(B630,'985'!$B$2:$D$40,3,FALSE),"")</f>
        <v/>
      </c>
      <c r="G630" s="32" t="str">
        <f>IFERROR(VLOOKUP(B630,'211'!$B$2:$D$116,3,FALSE),"")</f>
        <v/>
      </c>
      <c r="H630" s="32" t="str">
        <f>IFERROR(VLOOKUP(B630,双一流!$B$2:$D$148,3,FALSE),"")</f>
        <v/>
      </c>
      <c r="I630" s="32">
        <f>IFERROR(VLOOKUP(B630,汇总!$B$2:$I$2921,8,FALSE),"")</f>
        <v>0</v>
      </c>
      <c r="J630" s="29" t="s">
        <v>11</v>
      </c>
      <c r="K630" s="33" t="s">
        <v>12</v>
      </c>
    </row>
    <row r="631" ht="17.25" spans="1:11">
      <c r="A631" s="34">
        <v>630</v>
      </c>
      <c r="B631" s="34" t="s">
        <v>816</v>
      </c>
      <c r="C631" s="29" t="str">
        <f>VLOOKUP(B631,教育部大学名单!$B$1:$D$2920,3,FALSE)</f>
        <v>湖南省</v>
      </c>
      <c r="D631" s="34" t="s">
        <v>797</v>
      </c>
      <c r="E631" s="34" t="s">
        <v>817</v>
      </c>
      <c r="F631" s="36" t="str">
        <f>IFERROR(VLOOKUP(B631,'985'!$B$2:$D$40,3,FALSE),"")</f>
        <v/>
      </c>
      <c r="G631" s="32" t="str">
        <f>IFERROR(VLOOKUP(B631,'211'!$B$2:$D$116,3,FALSE),"")</f>
        <v/>
      </c>
      <c r="H631" s="32" t="str">
        <f>IFERROR(VLOOKUP(B631,双一流!$B$2:$D$148,3,FALSE),"")</f>
        <v/>
      </c>
      <c r="I631" s="32">
        <f>IFERROR(VLOOKUP(B631,汇总!$B$2:$I$2921,8,FALSE),"")</f>
        <v>0</v>
      </c>
      <c r="J631" s="34" t="s">
        <v>11</v>
      </c>
      <c r="K631" s="35" t="s">
        <v>12</v>
      </c>
    </row>
    <row r="632" ht="17.25" spans="1:11">
      <c r="A632" s="29">
        <v>631</v>
      </c>
      <c r="B632" s="29" t="s">
        <v>818</v>
      </c>
      <c r="C632" s="29" t="str">
        <f>VLOOKUP(B632,教育部大学名单!$B$1:$D$2920,3,FALSE)</f>
        <v>湖南省</v>
      </c>
      <c r="D632" s="29" t="s">
        <v>797</v>
      </c>
      <c r="E632" s="29" t="s">
        <v>819</v>
      </c>
      <c r="F632" s="36" t="str">
        <f>IFERROR(VLOOKUP(B632,'985'!$B$2:$D$40,3,FALSE),"")</f>
        <v/>
      </c>
      <c r="G632" s="32" t="str">
        <f>IFERROR(VLOOKUP(B632,'211'!$B$2:$D$116,3,FALSE),"")</f>
        <v/>
      </c>
      <c r="H632" s="32" t="str">
        <f>IFERROR(VLOOKUP(B632,双一流!$B$2:$D$148,3,FALSE),"")</f>
        <v/>
      </c>
      <c r="I632" s="32">
        <f>IFERROR(VLOOKUP(B632,汇总!$B$2:$I$2921,8,FALSE),"")</f>
        <v>0</v>
      </c>
      <c r="J632" s="29" t="s">
        <v>11</v>
      </c>
      <c r="K632" s="33" t="s">
        <v>12</v>
      </c>
    </row>
    <row r="633" ht="33.75" spans="1:11">
      <c r="A633" s="34">
        <v>632</v>
      </c>
      <c r="B633" s="34" t="s">
        <v>820</v>
      </c>
      <c r="C633" s="29" t="str">
        <f>VLOOKUP(B633,教育部大学名单!$B$1:$D$2920,3,FALSE)</f>
        <v>湖南省</v>
      </c>
      <c r="D633" s="34" t="s">
        <v>797</v>
      </c>
      <c r="E633" s="34" t="s">
        <v>821</v>
      </c>
      <c r="F633" s="36" t="str">
        <f>IFERROR(VLOOKUP(B633,'985'!$B$2:$D$40,3,FALSE),"")</f>
        <v/>
      </c>
      <c r="G633" s="32" t="str">
        <f>IFERROR(VLOOKUP(B633,'211'!$B$2:$D$116,3,FALSE),"")</f>
        <v/>
      </c>
      <c r="H633" s="32" t="str">
        <f>IFERROR(VLOOKUP(B633,双一流!$B$2:$D$148,3,FALSE),"")</f>
        <v/>
      </c>
      <c r="I633" s="32">
        <f>IFERROR(VLOOKUP(B633,汇总!$B$2:$I$2921,8,FALSE),"")</f>
        <v>0</v>
      </c>
      <c r="J633" s="34" t="s">
        <v>11</v>
      </c>
      <c r="K633" s="35" t="s">
        <v>12</v>
      </c>
    </row>
    <row r="634" ht="33.75" spans="1:11">
      <c r="A634" s="29">
        <v>633</v>
      </c>
      <c r="B634" s="29" t="s">
        <v>822</v>
      </c>
      <c r="C634" s="29" t="str">
        <f>VLOOKUP(B634,教育部大学名单!$B$1:$D$2920,3,FALSE)</f>
        <v>湖南省</v>
      </c>
      <c r="D634" s="29" t="s">
        <v>797</v>
      </c>
      <c r="E634" s="29" t="s">
        <v>823</v>
      </c>
      <c r="F634" s="36" t="str">
        <f>IFERROR(VLOOKUP(B634,'985'!$B$2:$D$40,3,FALSE),"")</f>
        <v/>
      </c>
      <c r="G634" s="32" t="str">
        <f>IFERROR(VLOOKUP(B634,'211'!$B$2:$D$116,3,FALSE),"")</f>
        <v/>
      </c>
      <c r="H634" s="32" t="str">
        <f>IFERROR(VLOOKUP(B634,双一流!$B$2:$D$148,3,FALSE),"")</f>
        <v/>
      </c>
      <c r="I634" s="32">
        <f>IFERROR(VLOOKUP(B634,汇总!$B$2:$I$2921,8,FALSE),"")</f>
        <v>0</v>
      </c>
      <c r="J634" s="29" t="s">
        <v>11</v>
      </c>
      <c r="K634" s="33" t="s">
        <v>12</v>
      </c>
    </row>
    <row r="635" ht="33.75" spans="1:11">
      <c r="A635" s="34">
        <v>634</v>
      </c>
      <c r="B635" s="34" t="s">
        <v>824</v>
      </c>
      <c r="C635" s="29" t="str">
        <f>VLOOKUP(B635,教育部大学名单!$B$1:$D$2920,3,FALSE)</f>
        <v>湖南省</v>
      </c>
      <c r="D635" s="34" t="s">
        <v>797</v>
      </c>
      <c r="E635" s="34" t="s">
        <v>825</v>
      </c>
      <c r="F635" s="36" t="str">
        <f>IFERROR(VLOOKUP(B635,'985'!$B$2:$D$40,3,FALSE),"")</f>
        <v/>
      </c>
      <c r="G635" s="32" t="str">
        <f>IFERROR(VLOOKUP(B635,'211'!$B$2:$D$116,3,FALSE),"")</f>
        <v/>
      </c>
      <c r="H635" s="32" t="str">
        <f>IFERROR(VLOOKUP(B635,双一流!$B$2:$D$148,3,FALSE),"")</f>
        <v/>
      </c>
      <c r="I635" s="32">
        <f>IFERROR(VLOOKUP(B635,汇总!$B$2:$I$2921,8,FALSE),"")</f>
        <v>0</v>
      </c>
      <c r="J635" s="34" t="s">
        <v>11</v>
      </c>
      <c r="K635" s="35" t="s">
        <v>12</v>
      </c>
    </row>
    <row r="636" ht="33.75" spans="1:11">
      <c r="A636" s="29">
        <v>635</v>
      </c>
      <c r="B636" s="29" t="s">
        <v>826</v>
      </c>
      <c r="C636" s="29" t="str">
        <f>VLOOKUP(B636,教育部大学名单!$B$1:$D$2920,3,FALSE)</f>
        <v>湖南省</v>
      </c>
      <c r="D636" s="29" t="s">
        <v>797</v>
      </c>
      <c r="E636" s="29" t="s">
        <v>802</v>
      </c>
      <c r="F636" s="36" t="str">
        <f>IFERROR(VLOOKUP(B636,'985'!$B$2:$D$40,3,FALSE),"")</f>
        <v/>
      </c>
      <c r="G636" s="32" t="str">
        <f>IFERROR(VLOOKUP(B636,'211'!$B$2:$D$116,3,FALSE),"")</f>
        <v/>
      </c>
      <c r="H636" s="32" t="str">
        <f>IFERROR(VLOOKUP(B636,双一流!$B$2:$D$148,3,FALSE),"")</f>
        <v/>
      </c>
      <c r="I636" s="32">
        <f>IFERROR(VLOOKUP(B636,汇总!$B$2:$I$2921,8,FALSE),"")</f>
        <v>0</v>
      </c>
      <c r="J636" s="29" t="s">
        <v>11</v>
      </c>
      <c r="K636" s="33" t="s">
        <v>12</v>
      </c>
    </row>
    <row r="637" ht="17.25" spans="1:11">
      <c r="A637" s="34">
        <v>636</v>
      </c>
      <c r="B637" s="34" t="s">
        <v>827</v>
      </c>
      <c r="C637" s="29" t="str">
        <f>VLOOKUP(B637,教育部大学名单!$B$1:$D$2920,3,FALSE)</f>
        <v>湖南省</v>
      </c>
      <c r="D637" s="34" t="s">
        <v>797</v>
      </c>
      <c r="E637" s="34" t="s">
        <v>815</v>
      </c>
      <c r="F637" s="36" t="str">
        <f>IFERROR(VLOOKUP(B637,'985'!$B$2:$D$40,3,FALSE),"")</f>
        <v/>
      </c>
      <c r="G637" s="32" t="str">
        <f>IFERROR(VLOOKUP(B637,'211'!$B$2:$D$116,3,FALSE),"")</f>
        <v/>
      </c>
      <c r="H637" s="32" t="str">
        <f>IFERROR(VLOOKUP(B637,双一流!$B$2:$D$148,3,FALSE),"")</f>
        <v/>
      </c>
      <c r="I637" s="32" t="str">
        <f>IFERROR(VLOOKUP(B637,汇总!$B$2:$I$2921,8,FALSE),"")</f>
        <v>综合</v>
      </c>
      <c r="J637" s="34" t="s">
        <v>11</v>
      </c>
      <c r="K637" s="35" t="s">
        <v>12</v>
      </c>
    </row>
    <row r="638" ht="17.25" spans="1:11">
      <c r="A638" s="29">
        <v>637</v>
      </c>
      <c r="B638" s="29" t="s">
        <v>828</v>
      </c>
      <c r="C638" s="29" t="str">
        <f>VLOOKUP(B638,教育部大学名单!$B$1:$D$2920,3,FALSE)</f>
        <v>湖南省</v>
      </c>
      <c r="D638" s="29" t="s">
        <v>797</v>
      </c>
      <c r="E638" s="29" t="s">
        <v>802</v>
      </c>
      <c r="F638" s="36" t="str">
        <f>IFERROR(VLOOKUP(B638,'985'!$B$2:$D$40,3,FALSE),"")</f>
        <v/>
      </c>
      <c r="G638" s="32" t="str">
        <f>IFERROR(VLOOKUP(B638,'211'!$B$2:$D$116,3,FALSE),"")</f>
        <v/>
      </c>
      <c r="H638" s="32" t="str">
        <f>IFERROR(VLOOKUP(B638,双一流!$B$2:$D$148,3,FALSE),"")</f>
        <v/>
      </c>
      <c r="I638" s="32">
        <f>IFERROR(VLOOKUP(B638,汇总!$B$2:$I$2921,8,FALSE),"")</f>
        <v>0</v>
      </c>
      <c r="J638" s="29" t="s">
        <v>11</v>
      </c>
      <c r="K638" s="33" t="s">
        <v>12</v>
      </c>
    </row>
    <row r="639" ht="33.75" spans="1:11">
      <c r="A639" s="34">
        <v>638</v>
      </c>
      <c r="B639" s="34" t="s">
        <v>829</v>
      </c>
      <c r="C639" s="29" t="str">
        <f>VLOOKUP(B639,教育部大学名单!$B$1:$D$2920,3,FALSE)</f>
        <v>湖南省</v>
      </c>
      <c r="D639" s="34" t="s">
        <v>797</v>
      </c>
      <c r="E639" s="34" t="s">
        <v>798</v>
      </c>
      <c r="F639" s="36" t="str">
        <f>IFERROR(VLOOKUP(B639,'985'!$B$2:$D$40,3,FALSE),"")</f>
        <v/>
      </c>
      <c r="G639" s="32" t="str">
        <f>IFERROR(VLOOKUP(B639,'211'!$B$2:$D$116,3,FALSE),"")</f>
        <v/>
      </c>
      <c r="H639" s="32" t="str">
        <f>IFERROR(VLOOKUP(B639,双一流!$B$2:$D$148,3,FALSE),"")</f>
        <v/>
      </c>
      <c r="I639" s="32">
        <f>IFERROR(VLOOKUP(B639,汇总!$B$2:$I$2921,8,FALSE),"")</f>
        <v>0</v>
      </c>
      <c r="J639" s="34" t="s">
        <v>11</v>
      </c>
      <c r="K639" s="35" t="s">
        <v>12</v>
      </c>
    </row>
    <row r="640" ht="33.75" spans="1:11">
      <c r="A640" s="29">
        <v>639</v>
      </c>
      <c r="B640" s="29" t="s">
        <v>830</v>
      </c>
      <c r="C640" s="29" t="str">
        <f>VLOOKUP(B640,教育部大学名单!$B$1:$D$2920,3,FALSE)</f>
        <v>湖南省</v>
      </c>
      <c r="D640" s="29" t="s">
        <v>797</v>
      </c>
      <c r="E640" s="29" t="s">
        <v>831</v>
      </c>
      <c r="F640" s="36" t="str">
        <f>IFERROR(VLOOKUP(B640,'985'!$B$2:$D$40,3,FALSE),"")</f>
        <v/>
      </c>
      <c r="G640" s="32" t="str">
        <f>IFERROR(VLOOKUP(B640,'211'!$B$2:$D$116,3,FALSE),"")</f>
        <v/>
      </c>
      <c r="H640" s="32" t="str">
        <f>IFERROR(VLOOKUP(B640,双一流!$B$2:$D$148,3,FALSE),"")</f>
        <v/>
      </c>
      <c r="I640" s="32">
        <f>IFERROR(VLOOKUP(B640,汇总!$B$2:$I$2921,8,FALSE),"")</f>
        <v>0</v>
      </c>
      <c r="J640" s="29" t="s">
        <v>11</v>
      </c>
      <c r="K640" s="33" t="s">
        <v>12</v>
      </c>
    </row>
    <row r="641" ht="17.25" spans="1:11">
      <c r="A641" s="34">
        <v>640</v>
      </c>
      <c r="B641" s="34" t="s">
        <v>832</v>
      </c>
      <c r="C641" s="29" t="str">
        <f>VLOOKUP(B641,教育部大学名单!$B$1:$D$2920,3,FALSE)</f>
        <v>湖南省</v>
      </c>
      <c r="D641" s="34" t="s">
        <v>797</v>
      </c>
      <c r="E641" s="34" t="s">
        <v>815</v>
      </c>
      <c r="F641" s="36" t="str">
        <f>IFERROR(VLOOKUP(B641,'985'!$B$2:$D$40,3,FALSE),"")</f>
        <v/>
      </c>
      <c r="G641" s="32" t="str">
        <f>IFERROR(VLOOKUP(B641,'211'!$B$2:$D$116,3,FALSE),"")</f>
        <v/>
      </c>
      <c r="H641" s="32" t="str">
        <f>IFERROR(VLOOKUP(B641,双一流!$B$2:$D$148,3,FALSE),"")</f>
        <v/>
      </c>
      <c r="I641" s="32">
        <f>IFERROR(VLOOKUP(B641,汇总!$B$2:$I$2921,8,FALSE),"")</f>
        <v>0</v>
      </c>
      <c r="J641" s="34" t="s">
        <v>11</v>
      </c>
      <c r="K641" s="35" t="s">
        <v>12</v>
      </c>
    </row>
    <row r="642" ht="33.75" spans="1:11">
      <c r="A642" s="29">
        <v>641</v>
      </c>
      <c r="B642" s="29" t="s">
        <v>833</v>
      </c>
      <c r="C642" s="29" t="str">
        <f>VLOOKUP(B642,教育部大学名单!$B$1:$D$2920,3,FALSE)</f>
        <v>湖南省</v>
      </c>
      <c r="D642" s="29" t="s">
        <v>797</v>
      </c>
      <c r="E642" s="29" t="s">
        <v>802</v>
      </c>
      <c r="F642" s="36" t="str">
        <f>IFERROR(VLOOKUP(B642,'985'!$B$2:$D$40,3,FALSE),"")</f>
        <v/>
      </c>
      <c r="G642" s="32" t="str">
        <f>IFERROR(VLOOKUP(B642,'211'!$B$2:$D$116,3,FALSE),"")</f>
        <v/>
      </c>
      <c r="H642" s="32" t="str">
        <f>IFERROR(VLOOKUP(B642,双一流!$B$2:$D$148,3,FALSE),"")</f>
        <v/>
      </c>
      <c r="I642" s="32">
        <f>IFERROR(VLOOKUP(B642,汇总!$B$2:$I$2921,8,FALSE),"")</f>
        <v>0</v>
      </c>
      <c r="J642" s="29" t="s">
        <v>11</v>
      </c>
      <c r="K642" s="33" t="s">
        <v>12</v>
      </c>
    </row>
    <row r="643" ht="33.75" spans="1:11">
      <c r="A643" s="34">
        <v>642</v>
      </c>
      <c r="B643" s="34" t="s">
        <v>834</v>
      </c>
      <c r="C643" s="29" t="str">
        <f>VLOOKUP(B643,教育部大学名单!$B$1:$D$2920,3,FALSE)</f>
        <v>湖南省</v>
      </c>
      <c r="D643" s="34" t="s">
        <v>797</v>
      </c>
      <c r="E643" s="34" t="s">
        <v>802</v>
      </c>
      <c r="F643" s="36" t="str">
        <f>IFERROR(VLOOKUP(B643,'985'!$B$2:$D$40,3,FALSE),"")</f>
        <v/>
      </c>
      <c r="G643" s="32" t="str">
        <f>IFERROR(VLOOKUP(B643,'211'!$B$2:$D$116,3,FALSE),"")</f>
        <v/>
      </c>
      <c r="H643" s="32" t="str">
        <f>IFERROR(VLOOKUP(B643,双一流!$B$2:$D$148,3,FALSE),"")</f>
        <v/>
      </c>
      <c r="I643" s="32">
        <f>IFERROR(VLOOKUP(B643,汇总!$B$2:$I$2921,8,FALSE),"")</f>
        <v>0</v>
      </c>
      <c r="J643" s="34" t="s">
        <v>11</v>
      </c>
      <c r="K643" s="35" t="s">
        <v>12</v>
      </c>
    </row>
    <row r="644" ht="33.75" spans="1:11">
      <c r="A644" s="29">
        <v>643</v>
      </c>
      <c r="B644" s="29" t="s">
        <v>835</v>
      </c>
      <c r="C644" s="29" t="str">
        <f>VLOOKUP(B644,教育部大学名单!$B$1:$D$2920,3,FALSE)</f>
        <v>湖南省</v>
      </c>
      <c r="D644" s="29" t="s">
        <v>797</v>
      </c>
      <c r="E644" s="29" t="s">
        <v>836</v>
      </c>
      <c r="F644" s="36" t="str">
        <f>IFERROR(VLOOKUP(B644,'985'!$B$2:$D$40,3,FALSE),"")</f>
        <v/>
      </c>
      <c r="G644" s="32" t="str">
        <f>IFERROR(VLOOKUP(B644,'211'!$B$2:$D$116,3,FALSE),"")</f>
        <v/>
      </c>
      <c r="H644" s="32" t="str">
        <f>IFERROR(VLOOKUP(B644,双一流!$B$2:$D$148,3,FALSE),"")</f>
        <v/>
      </c>
      <c r="I644" s="32" t="str">
        <f>IFERROR(VLOOKUP(B644,汇总!$B$2:$I$2921,8,FALSE),"")</f>
        <v>理工</v>
      </c>
      <c r="J644" s="29" t="s">
        <v>11</v>
      </c>
      <c r="K644" s="33" t="s">
        <v>12</v>
      </c>
    </row>
    <row r="645" ht="33.75" spans="1:11">
      <c r="A645" s="34">
        <v>644</v>
      </c>
      <c r="B645" s="34" t="s">
        <v>837</v>
      </c>
      <c r="C645" s="29" t="str">
        <f>VLOOKUP(B645,教育部大学名单!$B$1:$D$2920,3,FALSE)</f>
        <v>湖南省</v>
      </c>
      <c r="D645" s="34" t="s">
        <v>797</v>
      </c>
      <c r="E645" s="34" t="s">
        <v>802</v>
      </c>
      <c r="F645" s="36" t="str">
        <f>IFERROR(VLOOKUP(B645,'985'!$B$2:$D$40,3,FALSE),"")</f>
        <v/>
      </c>
      <c r="G645" s="32" t="str">
        <f>IFERROR(VLOOKUP(B645,'211'!$B$2:$D$116,3,FALSE),"")</f>
        <v/>
      </c>
      <c r="H645" s="32" t="str">
        <f>IFERROR(VLOOKUP(B645,双一流!$B$2:$D$148,3,FALSE),"")</f>
        <v/>
      </c>
      <c r="I645" s="32">
        <f>IFERROR(VLOOKUP(B645,汇总!$B$2:$I$2921,8,FALSE),"")</f>
        <v>0</v>
      </c>
      <c r="J645" s="34" t="s">
        <v>11</v>
      </c>
      <c r="K645" s="35" t="s">
        <v>12</v>
      </c>
    </row>
    <row r="646" ht="33.75" spans="1:11">
      <c r="A646" s="29">
        <v>645</v>
      </c>
      <c r="B646" s="29" t="s">
        <v>838</v>
      </c>
      <c r="C646" s="29" t="str">
        <f>VLOOKUP(B646,教育部大学名单!$B$1:$D$2920,3,FALSE)</f>
        <v>湖南省</v>
      </c>
      <c r="D646" s="29" t="s">
        <v>797</v>
      </c>
      <c r="E646" s="29" t="s">
        <v>802</v>
      </c>
      <c r="F646" s="36" t="str">
        <f>IFERROR(VLOOKUP(B646,'985'!$B$2:$D$40,3,FALSE),"")</f>
        <v/>
      </c>
      <c r="G646" s="32" t="str">
        <f>IFERROR(VLOOKUP(B646,'211'!$B$2:$D$116,3,FALSE),"")</f>
        <v/>
      </c>
      <c r="H646" s="32" t="str">
        <f>IFERROR(VLOOKUP(B646,双一流!$B$2:$D$148,3,FALSE),"")</f>
        <v/>
      </c>
      <c r="I646" s="32">
        <f>IFERROR(VLOOKUP(B646,汇总!$B$2:$I$2921,8,FALSE),"")</f>
        <v>0</v>
      </c>
      <c r="J646" s="29" t="s">
        <v>11</v>
      </c>
      <c r="K646" s="33" t="s">
        <v>12</v>
      </c>
    </row>
    <row r="647" ht="33.75" spans="1:11">
      <c r="A647" s="34">
        <v>646</v>
      </c>
      <c r="B647" s="34" t="s">
        <v>839</v>
      </c>
      <c r="C647" s="29" t="str">
        <f>VLOOKUP(B647,教育部大学名单!$B$1:$D$2920,3,FALSE)</f>
        <v>湖南省</v>
      </c>
      <c r="D647" s="34" t="s">
        <v>797</v>
      </c>
      <c r="E647" s="34" t="s">
        <v>819</v>
      </c>
      <c r="F647" s="36" t="str">
        <f>IFERROR(VLOOKUP(B647,'985'!$B$2:$D$40,3,FALSE),"")</f>
        <v/>
      </c>
      <c r="G647" s="32" t="str">
        <f>IFERROR(VLOOKUP(B647,'211'!$B$2:$D$116,3,FALSE),"")</f>
        <v/>
      </c>
      <c r="H647" s="32" t="str">
        <f>IFERROR(VLOOKUP(B647,双一流!$B$2:$D$148,3,FALSE),"")</f>
        <v/>
      </c>
      <c r="I647" s="32">
        <f>IFERROR(VLOOKUP(B647,汇总!$B$2:$I$2921,8,FALSE),"")</f>
        <v>0</v>
      </c>
      <c r="J647" s="34" t="s">
        <v>11</v>
      </c>
      <c r="K647" s="35" t="s">
        <v>12</v>
      </c>
    </row>
    <row r="648" ht="33.75" spans="1:11">
      <c r="A648" s="29">
        <v>647</v>
      </c>
      <c r="B648" s="29" t="s">
        <v>840</v>
      </c>
      <c r="C648" s="29" t="str">
        <f>VLOOKUP(B648,教育部大学名单!$B$1:$D$2920,3,FALSE)</f>
        <v>湖南省</v>
      </c>
      <c r="D648" s="29" t="s">
        <v>797</v>
      </c>
      <c r="E648" s="29" t="s">
        <v>802</v>
      </c>
      <c r="F648" s="36" t="str">
        <f>IFERROR(VLOOKUP(B648,'985'!$B$2:$D$40,3,FALSE),"")</f>
        <v/>
      </c>
      <c r="G648" s="32" t="str">
        <f>IFERROR(VLOOKUP(B648,'211'!$B$2:$D$116,3,FALSE),"")</f>
        <v/>
      </c>
      <c r="H648" s="32" t="str">
        <f>IFERROR(VLOOKUP(B648,双一流!$B$2:$D$148,3,FALSE),"")</f>
        <v/>
      </c>
      <c r="I648" s="32">
        <f>IFERROR(VLOOKUP(B648,汇总!$B$2:$I$2921,8,FALSE),"")</f>
        <v>0</v>
      </c>
      <c r="J648" s="29" t="s">
        <v>11</v>
      </c>
      <c r="K648" s="33" t="s">
        <v>12</v>
      </c>
    </row>
    <row r="649" ht="33.75" spans="1:11">
      <c r="A649" s="34">
        <v>648</v>
      </c>
      <c r="B649" s="34" t="s">
        <v>841</v>
      </c>
      <c r="C649" s="29" t="str">
        <f>VLOOKUP(B649,教育部大学名单!$B$1:$D$2920,3,FALSE)</f>
        <v>湖南省</v>
      </c>
      <c r="D649" s="34" t="s">
        <v>797</v>
      </c>
      <c r="E649" s="34" t="s">
        <v>802</v>
      </c>
      <c r="F649" s="36" t="str">
        <f>IFERROR(VLOOKUP(B649,'985'!$B$2:$D$40,3,FALSE),"")</f>
        <v/>
      </c>
      <c r="G649" s="32" t="str">
        <f>IFERROR(VLOOKUP(B649,'211'!$B$2:$D$116,3,FALSE),"")</f>
        <v/>
      </c>
      <c r="H649" s="32" t="str">
        <f>IFERROR(VLOOKUP(B649,双一流!$B$2:$D$148,3,FALSE),"")</f>
        <v/>
      </c>
      <c r="I649" s="32">
        <f>IFERROR(VLOOKUP(B649,汇总!$B$2:$I$2921,8,FALSE),"")</f>
        <v>0</v>
      </c>
      <c r="J649" s="34" t="s">
        <v>11</v>
      </c>
      <c r="K649" s="35" t="s">
        <v>12</v>
      </c>
    </row>
    <row r="650" ht="33.75" spans="1:11">
      <c r="A650" s="29">
        <v>649</v>
      </c>
      <c r="B650" s="29" t="s">
        <v>842</v>
      </c>
      <c r="C650" s="29" t="str">
        <f>VLOOKUP(B650,教育部大学名单!$B$1:$D$2920,3,FALSE)</f>
        <v>湖南省</v>
      </c>
      <c r="D650" s="29" t="s">
        <v>797</v>
      </c>
      <c r="E650" s="29" t="s">
        <v>836</v>
      </c>
      <c r="F650" s="36" t="str">
        <f>IFERROR(VLOOKUP(B650,'985'!$B$2:$D$40,3,FALSE),"")</f>
        <v/>
      </c>
      <c r="G650" s="32" t="str">
        <f>IFERROR(VLOOKUP(B650,'211'!$B$2:$D$116,3,FALSE),"")</f>
        <v/>
      </c>
      <c r="H650" s="32" t="str">
        <f>IFERROR(VLOOKUP(B650,双一流!$B$2:$D$148,3,FALSE),"")</f>
        <v/>
      </c>
      <c r="I650" s="32">
        <f>IFERROR(VLOOKUP(B650,汇总!$B$2:$I$2921,8,FALSE),"")</f>
        <v>0</v>
      </c>
      <c r="J650" s="29" t="s">
        <v>11</v>
      </c>
      <c r="K650" s="33" t="s">
        <v>12</v>
      </c>
    </row>
    <row r="651" ht="17.25" spans="1:11">
      <c r="A651" s="34">
        <v>650</v>
      </c>
      <c r="B651" s="34" t="s">
        <v>843</v>
      </c>
      <c r="C651" s="29" t="str">
        <f>VLOOKUP(B651,教育部大学名单!$B$1:$D$2920,3,FALSE)</f>
        <v>教育部</v>
      </c>
      <c r="D651" s="34" t="s">
        <v>844</v>
      </c>
      <c r="E651" s="34" t="s">
        <v>845</v>
      </c>
      <c r="F651" s="30">
        <f>IFERROR(VLOOKUP(B651,'985'!$B$2:$D$40,3,FALSE),"")</f>
        <v>985</v>
      </c>
      <c r="G651" s="31">
        <f>IFERROR(VLOOKUP(B651,'211'!$B$2:$D$116,3,FALSE),"")</f>
        <v>211</v>
      </c>
      <c r="H651" s="32" t="str">
        <f>IFERROR(VLOOKUP(B651,双一流!$B$2:$D$148,3,FALSE),"")</f>
        <v>双一流</v>
      </c>
      <c r="I651" s="32" t="str">
        <f>IFERROR(VLOOKUP(B651,汇总!$B$2:$I$2921,8,FALSE),"")</f>
        <v>综合</v>
      </c>
      <c r="J651" s="34" t="s">
        <v>11</v>
      </c>
      <c r="K651" s="35" t="s">
        <v>12</v>
      </c>
    </row>
    <row r="652" ht="17.25" spans="1:11">
      <c r="A652" s="29">
        <v>651</v>
      </c>
      <c r="B652" s="29" t="s">
        <v>846</v>
      </c>
      <c r="C652" s="29" t="str">
        <f>VLOOKUP(B652,教育部大学名单!$B$1:$D$2920,3,FALSE)</f>
        <v>中央统战部</v>
      </c>
      <c r="D652" s="29" t="s">
        <v>844</v>
      </c>
      <c r="E652" s="29" t="s">
        <v>845</v>
      </c>
      <c r="F652" s="36" t="str">
        <f>IFERROR(VLOOKUP(B652,'985'!$B$2:$D$40,3,FALSE),"")</f>
        <v/>
      </c>
      <c r="G652" s="31">
        <f>IFERROR(VLOOKUP(B652,'211'!$B$2:$D$116,3,FALSE),"")</f>
        <v>211</v>
      </c>
      <c r="H652" s="32" t="str">
        <f>IFERROR(VLOOKUP(B652,双一流!$B$2:$D$148,3,FALSE),"")</f>
        <v>双一流</v>
      </c>
      <c r="I652" s="32" t="str">
        <f>IFERROR(VLOOKUP(B652,汇总!$B$2:$I$2921,8,FALSE),"")</f>
        <v>综合</v>
      </c>
      <c r="J652" s="29" t="s">
        <v>11</v>
      </c>
      <c r="K652" s="33" t="s">
        <v>12</v>
      </c>
    </row>
    <row r="653" ht="17.25" spans="1:11">
      <c r="A653" s="34">
        <v>652</v>
      </c>
      <c r="B653" s="34" t="s">
        <v>847</v>
      </c>
      <c r="C653" s="29" t="str">
        <f>VLOOKUP(B653,教育部大学名单!$B$1:$D$2920,3,FALSE)</f>
        <v>广东省</v>
      </c>
      <c r="D653" s="34" t="s">
        <v>844</v>
      </c>
      <c r="E653" s="34" t="s">
        <v>848</v>
      </c>
      <c r="F653" s="36" t="str">
        <f>IFERROR(VLOOKUP(B653,'985'!$B$2:$D$40,3,FALSE),"")</f>
        <v/>
      </c>
      <c r="G653" s="32" t="str">
        <f>IFERROR(VLOOKUP(B653,'211'!$B$2:$D$116,3,FALSE),"")</f>
        <v/>
      </c>
      <c r="H653" s="32" t="str">
        <f>IFERROR(VLOOKUP(B653,双一流!$B$2:$D$148,3,FALSE),"")</f>
        <v/>
      </c>
      <c r="I653" s="32" t="str">
        <f>IFERROR(VLOOKUP(B653,汇总!$B$2:$I$2921,8,FALSE),"")</f>
        <v>综合</v>
      </c>
      <c r="J653" s="34" t="s">
        <v>11</v>
      </c>
      <c r="K653" s="35" t="s">
        <v>12</v>
      </c>
    </row>
    <row r="654" ht="33.75" spans="1:11">
      <c r="A654" s="29">
        <v>653</v>
      </c>
      <c r="B654" s="29" t="s">
        <v>849</v>
      </c>
      <c r="C654" s="29" t="str">
        <f>VLOOKUP(B654,教育部大学名单!$B$1:$D$2920,3,FALSE)</f>
        <v>教育部</v>
      </c>
      <c r="D654" s="29" t="s">
        <v>844</v>
      </c>
      <c r="E654" s="29" t="s">
        <v>845</v>
      </c>
      <c r="F654" s="30">
        <f>IFERROR(VLOOKUP(B654,'985'!$B$2:$D$40,3,FALSE),"")</f>
        <v>985</v>
      </c>
      <c r="G654" s="31">
        <f>IFERROR(VLOOKUP(B654,'211'!$B$2:$D$116,3,FALSE),"")</f>
        <v>211</v>
      </c>
      <c r="H654" s="32" t="str">
        <f>IFERROR(VLOOKUP(B654,双一流!$B$2:$D$148,3,FALSE),"")</f>
        <v>双一流</v>
      </c>
      <c r="I654" s="32" t="str">
        <f>IFERROR(VLOOKUP(B654,汇总!$B$2:$I$2921,8,FALSE),"")</f>
        <v>理工</v>
      </c>
      <c r="J654" s="29" t="s">
        <v>11</v>
      </c>
      <c r="K654" s="33" t="s">
        <v>12</v>
      </c>
    </row>
    <row r="655" ht="33.75" spans="1:11">
      <c r="A655" s="34">
        <v>654</v>
      </c>
      <c r="B655" s="34" t="s">
        <v>850</v>
      </c>
      <c r="C655" s="29" t="str">
        <f>VLOOKUP(B655,教育部大学名单!$B$1:$D$2920,3,FALSE)</f>
        <v>广东省</v>
      </c>
      <c r="D655" s="34" t="s">
        <v>844</v>
      </c>
      <c r="E655" s="34" t="s">
        <v>845</v>
      </c>
      <c r="F655" s="36" t="str">
        <f>IFERROR(VLOOKUP(B655,'985'!$B$2:$D$40,3,FALSE),"")</f>
        <v/>
      </c>
      <c r="G655" s="32" t="str">
        <f>IFERROR(VLOOKUP(B655,'211'!$B$2:$D$116,3,FALSE),"")</f>
        <v/>
      </c>
      <c r="H655" s="32" t="str">
        <f>IFERROR(VLOOKUP(B655,双一流!$B$2:$D$148,3,FALSE),"")</f>
        <v>双一流</v>
      </c>
      <c r="I655" s="32" t="str">
        <f>IFERROR(VLOOKUP(B655,汇总!$B$2:$I$2921,8,FALSE),"")</f>
        <v>农林</v>
      </c>
      <c r="J655" s="34" t="s">
        <v>11</v>
      </c>
      <c r="K655" s="35" t="s">
        <v>12</v>
      </c>
    </row>
    <row r="656" ht="33.75" spans="1:11">
      <c r="A656" s="29">
        <v>655</v>
      </c>
      <c r="B656" s="29" t="s">
        <v>851</v>
      </c>
      <c r="C656" s="29" t="str">
        <f>VLOOKUP(B656,教育部大学名单!$B$1:$D$2920,3,FALSE)</f>
        <v>广东省</v>
      </c>
      <c r="D656" s="29" t="s">
        <v>844</v>
      </c>
      <c r="E656" s="29" t="s">
        <v>852</v>
      </c>
      <c r="F656" s="36" t="str">
        <f>IFERROR(VLOOKUP(B656,'985'!$B$2:$D$40,3,FALSE),"")</f>
        <v/>
      </c>
      <c r="G656" s="32" t="str">
        <f>IFERROR(VLOOKUP(B656,'211'!$B$2:$D$116,3,FALSE),"")</f>
        <v/>
      </c>
      <c r="H656" s="32" t="str">
        <f>IFERROR(VLOOKUP(B656,双一流!$B$2:$D$148,3,FALSE),"")</f>
        <v/>
      </c>
      <c r="I656" s="32" t="str">
        <f>IFERROR(VLOOKUP(B656,汇总!$B$2:$I$2921,8,FALSE),"")</f>
        <v>农林</v>
      </c>
      <c r="J656" s="29" t="s">
        <v>11</v>
      </c>
      <c r="K656" s="33" t="s">
        <v>12</v>
      </c>
    </row>
    <row r="657" ht="33.75" spans="1:11">
      <c r="A657" s="34">
        <v>656</v>
      </c>
      <c r="B657" s="34" t="s">
        <v>853</v>
      </c>
      <c r="C657" s="29" t="str">
        <f>VLOOKUP(B657,教育部大学名单!$B$1:$D$2920,3,FALSE)</f>
        <v>广东省</v>
      </c>
      <c r="D657" s="34" t="s">
        <v>844</v>
      </c>
      <c r="E657" s="34" t="s">
        <v>845</v>
      </c>
      <c r="F657" s="36" t="str">
        <f>IFERROR(VLOOKUP(B657,'985'!$B$2:$D$40,3,FALSE),"")</f>
        <v/>
      </c>
      <c r="G657" s="32" t="str">
        <f>IFERROR(VLOOKUP(B657,'211'!$B$2:$D$116,3,FALSE),"")</f>
        <v/>
      </c>
      <c r="H657" s="32" t="str">
        <f>IFERROR(VLOOKUP(B657,双一流!$B$2:$D$148,3,FALSE),"")</f>
        <v>双一流</v>
      </c>
      <c r="I657" s="32" t="str">
        <f>IFERROR(VLOOKUP(B657,汇总!$B$2:$I$2921,8,FALSE),"")</f>
        <v>医药</v>
      </c>
      <c r="J657" s="34" t="s">
        <v>11</v>
      </c>
      <c r="K657" s="35" t="s">
        <v>12</v>
      </c>
    </row>
    <row r="658" ht="33.75" spans="1:11">
      <c r="A658" s="29">
        <v>657</v>
      </c>
      <c r="B658" s="29" t="s">
        <v>854</v>
      </c>
      <c r="C658" s="29" t="str">
        <f>VLOOKUP(B658,教育部大学名单!$B$1:$D$2920,3,FALSE)</f>
        <v>广东省</v>
      </c>
      <c r="D658" s="29" t="s">
        <v>844</v>
      </c>
      <c r="E658" s="29" t="s">
        <v>852</v>
      </c>
      <c r="F658" s="36" t="str">
        <f>IFERROR(VLOOKUP(B658,'985'!$B$2:$D$40,3,FALSE),"")</f>
        <v/>
      </c>
      <c r="G658" s="32" t="str">
        <f>IFERROR(VLOOKUP(B658,'211'!$B$2:$D$116,3,FALSE),"")</f>
        <v/>
      </c>
      <c r="H658" s="32" t="str">
        <f>IFERROR(VLOOKUP(B658,双一流!$B$2:$D$148,3,FALSE),"")</f>
        <v/>
      </c>
      <c r="I658" s="32">
        <f>IFERROR(VLOOKUP(B658,汇总!$B$2:$I$2921,8,FALSE),"")</f>
        <v>0</v>
      </c>
      <c r="J658" s="29" t="s">
        <v>11</v>
      </c>
      <c r="K658" s="33" t="s">
        <v>12</v>
      </c>
    </row>
    <row r="659" ht="33.75" spans="1:11">
      <c r="A659" s="34">
        <v>658</v>
      </c>
      <c r="B659" s="34" t="s">
        <v>855</v>
      </c>
      <c r="C659" s="29" t="str">
        <f>VLOOKUP(B659,教育部大学名单!$B$1:$D$2920,3,FALSE)</f>
        <v>广东省</v>
      </c>
      <c r="D659" s="34" t="s">
        <v>844</v>
      </c>
      <c r="E659" s="34" t="s">
        <v>845</v>
      </c>
      <c r="F659" s="36" t="str">
        <f>IFERROR(VLOOKUP(B659,'985'!$B$2:$D$40,3,FALSE),"")</f>
        <v/>
      </c>
      <c r="G659" s="32" t="str">
        <f>IFERROR(VLOOKUP(B659,'211'!$B$2:$D$116,3,FALSE),"")</f>
        <v/>
      </c>
      <c r="H659" s="32" t="str">
        <f>IFERROR(VLOOKUP(B659,双一流!$B$2:$D$148,3,FALSE),"")</f>
        <v>双一流</v>
      </c>
      <c r="I659" s="32" t="str">
        <f>IFERROR(VLOOKUP(B659,汇总!$B$2:$I$2921,8,FALSE),"")</f>
        <v>医药</v>
      </c>
      <c r="J659" s="34" t="s">
        <v>11</v>
      </c>
      <c r="K659" s="35" t="s">
        <v>12</v>
      </c>
    </row>
    <row r="660" ht="33.75" spans="1:11">
      <c r="A660" s="29">
        <v>659</v>
      </c>
      <c r="B660" s="29" t="s">
        <v>856</v>
      </c>
      <c r="C660" s="29" t="str">
        <f>VLOOKUP(B660,教育部大学名单!$B$1:$D$2920,3,FALSE)</f>
        <v>广东省</v>
      </c>
      <c r="D660" s="29" t="s">
        <v>844</v>
      </c>
      <c r="E660" s="29" t="s">
        <v>845</v>
      </c>
      <c r="F660" s="36" t="str">
        <f>IFERROR(VLOOKUP(B660,'985'!$B$2:$D$40,3,FALSE),"")</f>
        <v/>
      </c>
      <c r="G660" s="32" t="str">
        <f>IFERROR(VLOOKUP(B660,'211'!$B$2:$D$116,3,FALSE),"")</f>
        <v/>
      </c>
      <c r="H660" s="32" t="str">
        <f>IFERROR(VLOOKUP(B660,双一流!$B$2:$D$148,3,FALSE),"")</f>
        <v/>
      </c>
      <c r="I660" s="32">
        <f>IFERROR(VLOOKUP(B660,汇总!$B$2:$I$2921,8,FALSE),"")</f>
        <v>0</v>
      </c>
      <c r="J660" s="29" t="s">
        <v>11</v>
      </c>
      <c r="K660" s="33" t="s">
        <v>12</v>
      </c>
    </row>
    <row r="661" ht="33.75" spans="1:11">
      <c r="A661" s="34">
        <v>660</v>
      </c>
      <c r="B661" s="34" t="s">
        <v>857</v>
      </c>
      <c r="C661" s="29" t="str">
        <f>VLOOKUP(B661,教育部大学名单!$B$1:$D$2920,3,FALSE)</f>
        <v>广东省</v>
      </c>
      <c r="D661" s="34" t="s">
        <v>844</v>
      </c>
      <c r="E661" s="34" t="s">
        <v>845</v>
      </c>
      <c r="F661" s="36" t="str">
        <f>IFERROR(VLOOKUP(B661,'985'!$B$2:$D$40,3,FALSE),"")</f>
        <v/>
      </c>
      <c r="G661" s="31">
        <f>IFERROR(VLOOKUP(B661,'211'!$B$2:$D$116,3,FALSE),"")</f>
        <v>211</v>
      </c>
      <c r="H661" s="32" t="str">
        <f>IFERROR(VLOOKUP(B661,双一流!$B$2:$D$148,3,FALSE),"")</f>
        <v>双一流</v>
      </c>
      <c r="I661" s="32" t="str">
        <f>IFERROR(VLOOKUP(B661,汇总!$B$2:$I$2921,8,FALSE),"")</f>
        <v>师范</v>
      </c>
      <c r="J661" s="34" t="s">
        <v>11</v>
      </c>
      <c r="K661" s="35" t="s">
        <v>12</v>
      </c>
    </row>
    <row r="662" ht="17.25" spans="1:11">
      <c r="A662" s="29">
        <v>661</v>
      </c>
      <c r="B662" s="29" t="s">
        <v>858</v>
      </c>
      <c r="C662" s="29" t="str">
        <f>VLOOKUP(B662,教育部大学名单!$B$1:$D$2920,3,FALSE)</f>
        <v>广东省</v>
      </c>
      <c r="D662" s="29" t="s">
        <v>844</v>
      </c>
      <c r="E662" s="29" t="s">
        <v>859</v>
      </c>
      <c r="F662" s="36" t="str">
        <f>IFERROR(VLOOKUP(B662,'985'!$B$2:$D$40,3,FALSE),"")</f>
        <v/>
      </c>
      <c r="G662" s="32" t="str">
        <f>IFERROR(VLOOKUP(B662,'211'!$B$2:$D$116,3,FALSE),"")</f>
        <v/>
      </c>
      <c r="H662" s="32" t="str">
        <f>IFERROR(VLOOKUP(B662,双一流!$B$2:$D$148,3,FALSE),"")</f>
        <v/>
      </c>
      <c r="I662" s="32">
        <f>IFERROR(VLOOKUP(B662,汇总!$B$2:$I$2921,8,FALSE),"")</f>
        <v>0</v>
      </c>
      <c r="J662" s="29" t="s">
        <v>11</v>
      </c>
      <c r="K662" s="33" t="s">
        <v>12</v>
      </c>
    </row>
    <row r="663" ht="17.25" spans="1:11">
      <c r="A663" s="34">
        <v>662</v>
      </c>
      <c r="B663" s="34" t="s">
        <v>860</v>
      </c>
      <c r="C663" s="29" t="str">
        <f>VLOOKUP(B663,教育部大学名单!$B$1:$D$2920,3,FALSE)</f>
        <v>广东省</v>
      </c>
      <c r="D663" s="34" t="s">
        <v>844</v>
      </c>
      <c r="E663" s="34" t="s">
        <v>861</v>
      </c>
      <c r="F663" s="36" t="str">
        <f>IFERROR(VLOOKUP(B663,'985'!$B$2:$D$40,3,FALSE),"")</f>
        <v/>
      </c>
      <c r="G663" s="32" t="str">
        <f>IFERROR(VLOOKUP(B663,'211'!$B$2:$D$116,3,FALSE),"")</f>
        <v/>
      </c>
      <c r="H663" s="32" t="str">
        <f>IFERROR(VLOOKUP(B663,双一流!$B$2:$D$148,3,FALSE),"")</f>
        <v/>
      </c>
      <c r="I663" s="32">
        <f>IFERROR(VLOOKUP(B663,汇总!$B$2:$I$2921,8,FALSE),"")</f>
        <v>0</v>
      </c>
      <c r="J663" s="34" t="s">
        <v>11</v>
      </c>
      <c r="K663" s="35" t="s">
        <v>12</v>
      </c>
    </row>
    <row r="664" ht="33.75" spans="1:11">
      <c r="A664" s="29">
        <v>663</v>
      </c>
      <c r="B664" s="29" t="s">
        <v>862</v>
      </c>
      <c r="C664" s="29" t="str">
        <f>VLOOKUP(B664,教育部大学名单!$B$1:$D$2920,3,FALSE)</f>
        <v>广东省</v>
      </c>
      <c r="D664" s="29" t="s">
        <v>844</v>
      </c>
      <c r="E664" s="29" t="s">
        <v>863</v>
      </c>
      <c r="F664" s="36" t="str">
        <f>IFERROR(VLOOKUP(B664,'985'!$B$2:$D$40,3,FALSE),"")</f>
        <v/>
      </c>
      <c r="G664" s="32" t="str">
        <f>IFERROR(VLOOKUP(B664,'211'!$B$2:$D$116,3,FALSE),"")</f>
        <v/>
      </c>
      <c r="H664" s="32" t="str">
        <f>IFERROR(VLOOKUP(B664,双一流!$B$2:$D$148,3,FALSE),"")</f>
        <v/>
      </c>
      <c r="I664" s="32">
        <f>IFERROR(VLOOKUP(B664,汇总!$B$2:$I$2921,8,FALSE),"")</f>
        <v>0</v>
      </c>
      <c r="J664" s="29" t="s">
        <v>11</v>
      </c>
      <c r="K664" s="33" t="s">
        <v>12</v>
      </c>
    </row>
    <row r="665" ht="33.75" spans="1:11">
      <c r="A665" s="34">
        <v>664</v>
      </c>
      <c r="B665" s="34" t="s">
        <v>864</v>
      </c>
      <c r="C665" s="29" t="str">
        <f>VLOOKUP(B665,教育部大学名单!$B$1:$D$2920,3,FALSE)</f>
        <v>广东省</v>
      </c>
      <c r="D665" s="34" t="s">
        <v>844</v>
      </c>
      <c r="E665" s="34" t="s">
        <v>852</v>
      </c>
      <c r="F665" s="36" t="str">
        <f>IFERROR(VLOOKUP(B665,'985'!$B$2:$D$40,3,FALSE),"")</f>
        <v/>
      </c>
      <c r="G665" s="32" t="str">
        <f>IFERROR(VLOOKUP(B665,'211'!$B$2:$D$116,3,FALSE),"")</f>
        <v/>
      </c>
      <c r="H665" s="32" t="str">
        <f>IFERROR(VLOOKUP(B665,双一流!$B$2:$D$148,3,FALSE),"")</f>
        <v/>
      </c>
      <c r="I665" s="32">
        <f>IFERROR(VLOOKUP(B665,汇总!$B$2:$I$2921,8,FALSE),"")</f>
        <v>0</v>
      </c>
      <c r="J665" s="34" t="s">
        <v>11</v>
      </c>
      <c r="K665" s="35" t="s">
        <v>12</v>
      </c>
    </row>
    <row r="666" ht="17.25" spans="1:11">
      <c r="A666" s="29">
        <v>665</v>
      </c>
      <c r="B666" s="29" t="s">
        <v>865</v>
      </c>
      <c r="C666" s="29" t="str">
        <f>VLOOKUP(B666,教育部大学名单!$B$1:$D$2920,3,FALSE)</f>
        <v>广东省</v>
      </c>
      <c r="D666" s="29" t="s">
        <v>844</v>
      </c>
      <c r="E666" s="29" t="s">
        <v>866</v>
      </c>
      <c r="F666" s="36" t="str">
        <f>IFERROR(VLOOKUP(B666,'985'!$B$2:$D$40,3,FALSE),"")</f>
        <v/>
      </c>
      <c r="G666" s="32" t="str">
        <f>IFERROR(VLOOKUP(B666,'211'!$B$2:$D$116,3,FALSE),"")</f>
        <v/>
      </c>
      <c r="H666" s="32" t="str">
        <f>IFERROR(VLOOKUP(B666,双一流!$B$2:$D$148,3,FALSE),"")</f>
        <v/>
      </c>
      <c r="I666" s="32">
        <f>IFERROR(VLOOKUP(B666,汇总!$B$2:$I$2921,8,FALSE),"")</f>
        <v>0</v>
      </c>
      <c r="J666" s="29" t="s">
        <v>11</v>
      </c>
      <c r="K666" s="33" t="s">
        <v>12</v>
      </c>
    </row>
    <row r="667" ht="17.25" spans="1:11">
      <c r="A667" s="34">
        <v>666</v>
      </c>
      <c r="B667" s="34" t="s">
        <v>867</v>
      </c>
      <c r="C667" s="29" t="str">
        <f>VLOOKUP(B667,教育部大学名单!$B$1:$D$2920,3,FALSE)</f>
        <v>广东省</v>
      </c>
      <c r="D667" s="34" t="s">
        <v>844</v>
      </c>
      <c r="E667" s="34" t="s">
        <v>868</v>
      </c>
      <c r="F667" s="36" t="str">
        <f>IFERROR(VLOOKUP(B667,'985'!$B$2:$D$40,3,FALSE),"")</f>
        <v/>
      </c>
      <c r="G667" s="32" t="str">
        <f>IFERROR(VLOOKUP(B667,'211'!$B$2:$D$116,3,FALSE),"")</f>
        <v/>
      </c>
      <c r="H667" s="32" t="str">
        <f>IFERROR(VLOOKUP(B667,双一流!$B$2:$D$148,3,FALSE),"")</f>
        <v/>
      </c>
      <c r="I667" s="32">
        <f>IFERROR(VLOOKUP(B667,汇总!$B$2:$I$2921,8,FALSE),"")</f>
        <v>0</v>
      </c>
      <c r="J667" s="34" t="s">
        <v>11</v>
      </c>
      <c r="K667" s="35" t="s">
        <v>12</v>
      </c>
    </row>
    <row r="668" ht="33.75" spans="1:11">
      <c r="A668" s="29">
        <v>667</v>
      </c>
      <c r="B668" s="29" t="s">
        <v>869</v>
      </c>
      <c r="C668" s="29" t="str">
        <f>VLOOKUP(B668,教育部大学名单!$B$1:$D$2920,3,FALSE)</f>
        <v>广东省</v>
      </c>
      <c r="D668" s="29" t="s">
        <v>844</v>
      </c>
      <c r="E668" s="29" t="s">
        <v>845</v>
      </c>
      <c r="F668" s="36" t="str">
        <f>IFERROR(VLOOKUP(B668,'985'!$B$2:$D$40,3,FALSE),"")</f>
        <v/>
      </c>
      <c r="G668" s="32" t="str">
        <f>IFERROR(VLOOKUP(B668,'211'!$B$2:$D$116,3,FALSE),"")</f>
        <v/>
      </c>
      <c r="H668" s="32" t="str">
        <f>IFERROR(VLOOKUP(B668,双一流!$B$2:$D$148,3,FALSE),"")</f>
        <v/>
      </c>
      <c r="I668" s="32">
        <f>IFERROR(VLOOKUP(B668,汇总!$B$2:$I$2921,8,FALSE),"")</f>
        <v>0</v>
      </c>
      <c r="J668" s="29" t="s">
        <v>11</v>
      </c>
      <c r="K668" s="33" t="s">
        <v>12</v>
      </c>
    </row>
    <row r="669" ht="33.75" spans="1:11">
      <c r="A669" s="34">
        <v>668</v>
      </c>
      <c r="B669" s="34" t="s">
        <v>870</v>
      </c>
      <c r="C669" s="29" t="str">
        <f>VLOOKUP(B669,教育部大学名单!$B$1:$D$2920,3,FALSE)</f>
        <v>广东省</v>
      </c>
      <c r="D669" s="34" t="s">
        <v>844</v>
      </c>
      <c r="E669" s="34" t="s">
        <v>845</v>
      </c>
      <c r="F669" s="36" t="str">
        <f>IFERROR(VLOOKUP(B669,'985'!$B$2:$D$40,3,FALSE),"")</f>
        <v/>
      </c>
      <c r="G669" s="32" t="str">
        <f>IFERROR(VLOOKUP(B669,'211'!$B$2:$D$116,3,FALSE),"")</f>
        <v/>
      </c>
      <c r="H669" s="32" t="str">
        <f>IFERROR(VLOOKUP(B669,双一流!$B$2:$D$148,3,FALSE),"")</f>
        <v/>
      </c>
      <c r="I669" s="32" t="str">
        <f>IFERROR(VLOOKUP(B669,汇总!$B$2:$I$2921,8,FALSE),"")</f>
        <v>艺术</v>
      </c>
      <c r="J669" s="34" t="s">
        <v>11</v>
      </c>
      <c r="K669" s="35" t="s">
        <v>12</v>
      </c>
    </row>
    <row r="670" ht="33.75" spans="1:11">
      <c r="A670" s="29">
        <v>669</v>
      </c>
      <c r="B670" s="29" t="s">
        <v>871</v>
      </c>
      <c r="C670" s="29" t="str">
        <f>VLOOKUP(B670,教育部大学名单!$B$1:$D$2920,3,FALSE)</f>
        <v>广东省</v>
      </c>
      <c r="D670" s="29" t="s">
        <v>844</v>
      </c>
      <c r="E670" s="29" t="s">
        <v>845</v>
      </c>
      <c r="F670" s="36" t="str">
        <f>IFERROR(VLOOKUP(B670,'985'!$B$2:$D$40,3,FALSE),"")</f>
        <v/>
      </c>
      <c r="G670" s="32" t="str">
        <f>IFERROR(VLOOKUP(B670,'211'!$B$2:$D$116,3,FALSE),"")</f>
        <v/>
      </c>
      <c r="H670" s="32" t="str">
        <f>IFERROR(VLOOKUP(B670,双一流!$B$2:$D$148,3,FALSE),"")</f>
        <v/>
      </c>
      <c r="I670" s="32">
        <f>IFERROR(VLOOKUP(B670,汇总!$B$2:$I$2921,8,FALSE),"")</f>
        <v>0</v>
      </c>
      <c r="J670" s="29" t="s">
        <v>11</v>
      </c>
      <c r="K670" s="33" t="s">
        <v>12</v>
      </c>
    </row>
    <row r="671" ht="33.75" spans="1:11">
      <c r="A671" s="34">
        <v>670</v>
      </c>
      <c r="B671" s="34" t="s">
        <v>872</v>
      </c>
      <c r="C671" s="29" t="str">
        <f>VLOOKUP(B671,教育部大学名单!$B$1:$D$2920,3,FALSE)</f>
        <v>广东省</v>
      </c>
      <c r="D671" s="34" t="s">
        <v>844</v>
      </c>
      <c r="E671" s="34" t="s">
        <v>845</v>
      </c>
      <c r="F671" s="36" t="str">
        <f>IFERROR(VLOOKUP(B671,'985'!$B$2:$D$40,3,FALSE),"")</f>
        <v/>
      </c>
      <c r="G671" s="32" t="str">
        <f>IFERROR(VLOOKUP(B671,'211'!$B$2:$D$116,3,FALSE),"")</f>
        <v/>
      </c>
      <c r="H671" s="32" t="str">
        <f>IFERROR(VLOOKUP(B671,双一流!$B$2:$D$148,3,FALSE),"")</f>
        <v/>
      </c>
      <c r="I671" s="32">
        <f>IFERROR(VLOOKUP(B671,汇总!$B$2:$I$2921,8,FALSE),"")</f>
        <v>0</v>
      </c>
      <c r="J671" s="34" t="s">
        <v>11</v>
      </c>
      <c r="K671" s="35" t="s">
        <v>12</v>
      </c>
    </row>
    <row r="672" ht="17.25" spans="1:11">
      <c r="A672" s="29">
        <v>671</v>
      </c>
      <c r="B672" s="29" t="s">
        <v>873</v>
      </c>
      <c r="C672" s="29" t="str">
        <f>VLOOKUP(B672,教育部大学名单!$B$1:$D$2920,3,FALSE)</f>
        <v>广东省</v>
      </c>
      <c r="D672" s="29" t="s">
        <v>844</v>
      </c>
      <c r="E672" s="29" t="s">
        <v>874</v>
      </c>
      <c r="F672" s="36" t="str">
        <f>IFERROR(VLOOKUP(B672,'985'!$B$2:$D$40,3,FALSE),"")</f>
        <v/>
      </c>
      <c r="G672" s="32" t="str">
        <f>IFERROR(VLOOKUP(B672,'211'!$B$2:$D$116,3,FALSE),"")</f>
        <v/>
      </c>
      <c r="H672" s="32" t="str">
        <f>IFERROR(VLOOKUP(B672,双一流!$B$2:$D$148,3,FALSE),"")</f>
        <v/>
      </c>
      <c r="I672" s="32" t="str">
        <f>IFERROR(VLOOKUP(B672,汇总!$B$2:$I$2921,8,FALSE),"")</f>
        <v>综合</v>
      </c>
      <c r="J672" s="29" t="s">
        <v>11</v>
      </c>
      <c r="K672" s="33" t="s">
        <v>12</v>
      </c>
    </row>
    <row r="673" ht="33.75" spans="1:11">
      <c r="A673" s="34">
        <v>672</v>
      </c>
      <c r="B673" s="34" t="s">
        <v>875</v>
      </c>
      <c r="C673" s="29" t="str">
        <f>VLOOKUP(B673,教育部大学名单!$B$1:$D$2920,3,FALSE)</f>
        <v>广东省</v>
      </c>
      <c r="D673" s="34" t="s">
        <v>844</v>
      </c>
      <c r="E673" s="34" t="s">
        <v>845</v>
      </c>
      <c r="F673" s="36" t="str">
        <f>IFERROR(VLOOKUP(B673,'985'!$B$2:$D$40,3,FALSE),"")</f>
        <v/>
      </c>
      <c r="G673" s="32" t="str">
        <f>IFERROR(VLOOKUP(B673,'211'!$B$2:$D$116,3,FALSE),"")</f>
        <v/>
      </c>
      <c r="H673" s="32" t="str">
        <f>IFERROR(VLOOKUP(B673,双一流!$B$2:$D$148,3,FALSE),"")</f>
        <v/>
      </c>
      <c r="I673" s="32" t="str">
        <f>IFERROR(VLOOKUP(B673,汇总!$B$2:$I$2921,8,FALSE),"")</f>
        <v>财经</v>
      </c>
      <c r="J673" s="34" t="s">
        <v>11</v>
      </c>
      <c r="K673" s="35" t="s">
        <v>12</v>
      </c>
    </row>
    <row r="674" ht="17.25" spans="1:11">
      <c r="A674" s="29">
        <v>673</v>
      </c>
      <c r="B674" s="29" t="s">
        <v>876</v>
      </c>
      <c r="C674" s="29" t="str">
        <f>VLOOKUP(B674,教育部大学名单!$B$1:$D$2920,3,FALSE)</f>
        <v>广东省</v>
      </c>
      <c r="D674" s="29" t="s">
        <v>844</v>
      </c>
      <c r="E674" s="29" t="s">
        <v>845</v>
      </c>
      <c r="F674" s="36" t="str">
        <f>IFERROR(VLOOKUP(B674,'985'!$B$2:$D$40,3,FALSE),"")</f>
        <v/>
      </c>
      <c r="G674" s="32" t="str">
        <f>IFERROR(VLOOKUP(B674,'211'!$B$2:$D$116,3,FALSE),"")</f>
        <v/>
      </c>
      <c r="H674" s="32" t="str">
        <f>IFERROR(VLOOKUP(B674,双一流!$B$2:$D$148,3,FALSE),"")</f>
        <v/>
      </c>
      <c r="I674" s="32" t="str">
        <f>IFERROR(VLOOKUP(B674,汇总!$B$2:$I$2921,8,FALSE),"")</f>
        <v>综合</v>
      </c>
      <c r="J674" s="29" t="s">
        <v>11</v>
      </c>
      <c r="K674" s="33" t="s">
        <v>12</v>
      </c>
    </row>
    <row r="675" ht="33.75" spans="1:11">
      <c r="A675" s="34">
        <v>674</v>
      </c>
      <c r="B675" s="34" t="s">
        <v>877</v>
      </c>
      <c r="C675" s="29" t="str">
        <f>VLOOKUP(B675,教育部大学名单!$B$1:$D$2920,3,FALSE)</f>
        <v>广东省</v>
      </c>
      <c r="D675" s="34" t="s">
        <v>844</v>
      </c>
      <c r="E675" s="34" t="s">
        <v>845</v>
      </c>
      <c r="F675" s="36" t="str">
        <f>IFERROR(VLOOKUP(B675,'985'!$B$2:$D$40,3,FALSE),"")</f>
        <v/>
      </c>
      <c r="G675" s="32" t="str">
        <f>IFERROR(VLOOKUP(B675,'211'!$B$2:$D$116,3,FALSE),"")</f>
        <v/>
      </c>
      <c r="H675" s="32" t="str">
        <f>IFERROR(VLOOKUP(B675,双一流!$B$2:$D$148,3,FALSE),"")</f>
        <v/>
      </c>
      <c r="I675" s="32">
        <f>IFERROR(VLOOKUP(B675,汇总!$B$2:$I$2921,8,FALSE),"")</f>
        <v>0</v>
      </c>
      <c r="J675" s="34" t="s">
        <v>11</v>
      </c>
      <c r="K675" s="35" t="s">
        <v>12</v>
      </c>
    </row>
    <row r="676" ht="33.75" spans="1:11">
      <c r="A676" s="29">
        <v>675</v>
      </c>
      <c r="B676" s="29" t="s">
        <v>878</v>
      </c>
      <c r="C676" s="29" t="str">
        <f>VLOOKUP(B676,教育部大学名单!$B$1:$D$2920,3,FALSE)</f>
        <v>广东省</v>
      </c>
      <c r="D676" s="29" t="s">
        <v>844</v>
      </c>
      <c r="E676" s="29" t="s">
        <v>845</v>
      </c>
      <c r="F676" s="36" t="str">
        <f>IFERROR(VLOOKUP(B676,'985'!$B$2:$D$40,3,FALSE),"")</f>
        <v/>
      </c>
      <c r="G676" s="32" t="str">
        <f>IFERROR(VLOOKUP(B676,'211'!$B$2:$D$116,3,FALSE),"")</f>
        <v/>
      </c>
      <c r="H676" s="32" t="str">
        <f>IFERROR(VLOOKUP(B676,双一流!$B$2:$D$148,3,FALSE),"")</f>
        <v/>
      </c>
      <c r="I676" s="32">
        <f>IFERROR(VLOOKUP(B676,汇总!$B$2:$I$2921,8,FALSE),"")</f>
        <v>0</v>
      </c>
      <c r="J676" s="29" t="s">
        <v>11</v>
      </c>
      <c r="K676" s="33" t="s">
        <v>12</v>
      </c>
    </row>
    <row r="677" ht="33.75" spans="1:11">
      <c r="A677" s="34">
        <v>676</v>
      </c>
      <c r="B677" s="34" t="s">
        <v>879</v>
      </c>
      <c r="C677" s="29" t="str">
        <f>VLOOKUP(B677,教育部大学名单!$B$1:$D$2920,3,FALSE)</f>
        <v>广东省</v>
      </c>
      <c r="D677" s="34" t="s">
        <v>844</v>
      </c>
      <c r="E677" s="34" t="s">
        <v>845</v>
      </c>
      <c r="F677" s="36" t="str">
        <f>IFERROR(VLOOKUP(B677,'985'!$B$2:$D$40,3,FALSE),"")</f>
        <v/>
      </c>
      <c r="G677" s="32" t="str">
        <f>IFERROR(VLOOKUP(B677,'211'!$B$2:$D$116,3,FALSE),"")</f>
        <v/>
      </c>
      <c r="H677" s="32" t="str">
        <f>IFERROR(VLOOKUP(B677,双一流!$B$2:$D$148,3,FALSE),"")</f>
        <v/>
      </c>
      <c r="I677" s="32">
        <f>IFERROR(VLOOKUP(B677,汇总!$B$2:$I$2921,8,FALSE),"")</f>
        <v>0</v>
      </c>
      <c r="J677" s="34" t="s">
        <v>11</v>
      </c>
      <c r="K677" s="35" t="s">
        <v>12</v>
      </c>
    </row>
    <row r="678" ht="17.25" spans="1:11">
      <c r="A678" s="29">
        <v>677</v>
      </c>
      <c r="B678" s="29" t="s">
        <v>880</v>
      </c>
      <c r="C678" s="29" t="str">
        <f>VLOOKUP(B678,教育部大学名单!$B$1:$D$2920,3,FALSE)</f>
        <v>广东省</v>
      </c>
      <c r="D678" s="29" t="s">
        <v>844</v>
      </c>
      <c r="E678" s="29" t="s">
        <v>881</v>
      </c>
      <c r="F678" s="36" t="str">
        <f>IFERROR(VLOOKUP(B678,'985'!$B$2:$D$40,3,FALSE),"")</f>
        <v/>
      </c>
      <c r="G678" s="32" t="str">
        <f>IFERROR(VLOOKUP(B678,'211'!$B$2:$D$116,3,FALSE),"")</f>
        <v/>
      </c>
      <c r="H678" s="32" t="str">
        <f>IFERROR(VLOOKUP(B678,双一流!$B$2:$D$148,3,FALSE),"")</f>
        <v/>
      </c>
      <c r="I678" s="32">
        <f>IFERROR(VLOOKUP(B678,汇总!$B$2:$I$2921,8,FALSE),"")</f>
        <v>0</v>
      </c>
      <c r="J678" s="29" t="s">
        <v>11</v>
      </c>
      <c r="K678" s="33" t="s">
        <v>12</v>
      </c>
    </row>
    <row r="679" ht="33.75" spans="1:11">
      <c r="A679" s="34">
        <v>678</v>
      </c>
      <c r="B679" s="34" t="s">
        <v>882</v>
      </c>
      <c r="C679" s="29" t="str">
        <f>VLOOKUP(B679,教育部大学名单!$B$1:$D$2920,3,FALSE)</f>
        <v>广东省</v>
      </c>
      <c r="D679" s="34" t="s">
        <v>844</v>
      </c>
      <c r="E679" s="34" t="s">
        <v>845</v>
      </c>
      <c r="F679" s="36" t="str">
        <f>IFERROR(VLOOKUP(B679,'985'!$B$2:$D$40,3,FALSE),"")</f>
        <v/>
      </c>
      <c r="G679" s="32" t="str">
        <f>IFERROR(VLOOKUP(B679,'211'!$B$2:$D$116,3,FALSE),"")</f>
        <v/>
      </c>
      <c r="H679" s="32" t="str">
        <f>IFERROR(VLOOKUP(B679,双一流!$B$2:$D$148,3,FALSE),"")</f>
        <v/>
      </c>
      <c r="I679" s="32">
        <f>IFERROR(VLOOKUP(B679,汇总!$B$2:$I$2921,8,FALSE),"")</f>
        <v>0</v>
      </c>
      <c r="J679" s="34" t="s">
        <v>11</v>
      </c>
      <c r="K679" s="35" t="s">
        <v>12</v>
      </c>
    </row>
    <row r="680" ht="33.75" spans="1:11">
      <c r="A680" s="29">
        <v>679</v>
      </c>
      <c r="B680" s="29" t="s">
        <v>883</v>
      </c>
      <c r="C680" s="29" t="str">
        <f>VLOOKUP(B680,教育部大学名单!$B$1:$D$2920,3,FALSE)</f>
        <v>广东省</v>
      </c>
      <c r="D680" s="29" t="s">
        <v>844</v>
      </c>
      <c r="E680" s="29" t="s">
        <v>884</v>
      </c>
      <c r="F680" s="36" t="str">
        <f>IFERROR(VLOOKUP(B680,'985'!$B$2:$D$40,3,FALSE),"")</f>
        <v/>
      </c>
      <c r="G680" s="32" t="str">
        <f>IFERROR(VLOOKUP(B680,'211'!$B$2:$D$116,3,FALSE),"")</f>
        <v/>
      </c>
      <c r="H680" s="32" t="str">
        <f>IFERROR(VLOOKUP(B680,双一流!$B$2:$D$148,3,FALSE),"")</f>
        <v/>
      </c>
      <c r="I680" s="32">
        <f>IFERROR(VLOOKUP(B680,汇总!$B$2:$I$2921,8,FALSE),"")</f>
        <v>0</v>
      </c>
      <c r="J680" s="29" t="s">
        <v>11</v>
      </c>
      <c r="K680" s="33" t="s">
        <v>12</v>
      </c>
    </row>
    <row r="681" ht="33.75" spans="1:11">
      <c r="A681" s="34">
        <v>680</v>
      </c>
      <c r="B681" s="34" t="s">
        <v>885</v>
      </c>
      <c r="C681" s="29" t="str">
        <f>VLOOKUP(B681,教育部大学名单!$B$1:$D$2920,3,FALSE)</f>
        <v>广东省</v>
      </c>
      <c r="D681" s="34" t="s">
        <v>844</v>
      </c>
      <c r="E681" s="34" t="s">
        <v>886</v>
      </c>
      <c r="F681" s="36" t="str">
        <f>IFERROR(VLOOKUP(B681,'985'!$B$2:$D$40,3,FALSE),"")</f>
        <v/>
      </c>
      <c r="G681" s="32" t="str">
        <f>IFERROR(VLOOKUP(B681,'211'!$B$2:$D$116,3,FALSE),"")</f>
        <v/>
      </c>
      <c r="H681" s="32" t="str">
        <f>IFERROR(VLOOKUP(B681,双一流!$B$2:$D$148,3,FALSE),"")</f>
        <v/>
      </c>
      <c r="I681" s="32">
        <f>IFERROR(VLOOKUP(B681,汇总!$B$2:$I$2921,8,FALSE),"")</f>
        <v>0</v>
      </c>
      <c r="J681" s="34" t="s">
        <v>11</v>
      </c>
      <c r="K681" s="35" t="s">
        <v>12</v>
      </c>
    </row>
    <row r="682" ht="33.75" spans="1:11">
      <c r="A682" s="29">
        <v>681</v>
      </c>
      <c r="B682" s="29" t="s">
        <v>887</v>
      </c>
      <c r="C682" s="29" t="str">
        <f>VLOOKUP(B682,教育部大学名单!$B$1:$D$2920,3,FALSE)</f>
        <v>广东省</v>
      </c>
      <c r="D682" s="29" t="s">
        <v>844</v>
      </c>
      <c r="E682" s="29" t="s">
        <v>845</v>
      </c>
      <c r="F682" s="36" t="str">
        <f>IFERROR(VLOOKUP(B682,'985'!$B$2:$D$40,3,FALSE),"")</f>
        <v/>
      </c>
      <c r="G682" s="32" t="str">
        <f>IFERROR(VLOOKUP(B682,'211'!$B$2:$D$116,3,FALSE),"")</f>
        <v/>
      </c>
      <c r="H682" s="32" t="str">
        <f>IFERROR(VLOOKUP(B682,双一流!$B$2:$D$148,3,FALSE),"")</f>
        <v/>
      </c>
      <c r="I682" s="32" t="str">
        <f>IFERROR(VLOOKUP(B682,汇总!$B$2:$I$2921,8,FALSE),"")</f>
        <v>理工</v>
      </c>
      <c r="J682" s="29" t="s">
        <v>11</v>
      </c>
      <c r="K682" s="33" t="s">
        <v>12</v>
      </c>
    </row>
    <row r="683" ht="33.75" spans="1:11">
      <c r="A683" s="34">
        <v>682</v>
      </c>
      <c r="B683" s="34" t="s">
        <v>888</v>
      </c>
      <c r="C683" s="29" t="str">
        <f>VLOOKUP(B683,教育部大学名单!$B$1:$D$2920,3,FALSE)</f>
        <v>广东省</v>
      </c>
      <c r="D683" s="34" t="s">
        <v>844</v>
      </c>
      <c r="E683" s="34" t="s">
        <v>845</v>
      </c>
      <c r="F683" s="36" t="str">
        <f>IFERROR(VLOOKUP(B683,'985'!$B$2:$D$40,3,FALSE),"")</f>
        <v/>
      </c>
      <c r="G683" s="32" t="str">
        <f>IFERROR(VLOOKUP(B683,'211'!$B$2:$D$116,3,FALSE),"")</f>
        <v/>
      </c>
      <c r="H683" s="32" t="str">
        <f>IFERROR(VLOOKUP(B683,双一流!$B$2:$D$148,3,FALSE),"")</f>
        <v/>
      </c>
      <c r="I683" s="32" t="str">
        <f>IFERROR(VLOOKUP(B683,汇总!$B$2:$I$2921,8,FALSE),"")</f>
        <v>语言</v>
      </c>
      <c r="J683" s="34" t="s">
        <v>11</v>
      </c>
      <c r="K683" s="35" t="s">
        <v>12</v>
      </c>
    </row>
    <row r="684" ht="17.25" spans="1:11">
      <c r="A684" s="29">
        <v>683</v>
      </c>
      <c r="B684" s="29" t="s">
        <v>889</v>
      </c>
      <c r="C684" s="29" t="str">
        <f>VLOOKUP(B684,教育部大学名单!$B$1:$D$2920,3,FALSE)</f>
        <v>广东省</v>
      </c>
      <c r="D684" s="29" t="s">
        <v>844</v>
      </c>
      <c r="E684" s="29" t="s">
        <v>890</v>
      </c>
      <c r="F684" s="36" t="str">
        <f>IFERROR(VLOOKUP(B684,'985'!$B$2:$D$40,3,FALSE),"")</f>
        <v/>
      </c>
      <c r="G684" s="32" t="str">
        <f>IFERROR(VLOOKUP(B684,'211'!$B$2:$D$116,3,FALSE),"")</f>
        <v/>
      </c>
      <c r="H684" s="32" t="str">
        <f>IFERROR(VLOOKUP(B684,双一流!$B$2:$D$148,3,FALSE),"")</f>
        <v/>
      </c>
      <c r="I684" s="32">
        <f>IFERROR(VLOOKUP(B684,汇总!$B$2:$I$2921,8,FALSE),"")</f>
        <v>0</v>
      </c>
      <c r="J684" s="29" t="s">
        <v>11</v>
      </c>
      <c r="K684" s="33" t="s">
        <v>12</v>
      </c>
    </row>
    <row r="685" ht="33.75" spans="1:11">
      <c r="A685" s="34">
        <v>684</v>
      </c>
      <c r="B685" s="34" t="s">
        <v>891</v>
      </c>
      <c r="C685" s="29" t="str">
        <f>VLOOKUP(B685,教育部大学名单!$B$1:$D$2920,3,FALSE)</f>
        <v>广东省</v>
      </c>
      <c r="D685" s="34" t="s">
        <v>844</v>
      </c>
      <c r="E685" s="34" t="s">
        <v>845</v>
      </c>
      <c r="F685" s="36" t="str">
        <f>IFERROR(VLOOKUP(B685,'985'!$B$2:$D$40,3,FALSE),"")</f>
        <v/>
      </c>
      <c r="G685" s="32" t="str">
        <f>IFERROR(VLOOKUP(B685,'211'!$B$2:$D$116,3,FALSE),"")</f>
        <v/>
      </c>
      <c r="H685" s="32" t="str">
        <f>IFERROR(VLOOKUP(B685,双一流!$B$2:$D$148,3,FALSE),"")</f>
        <v/>
      </c>
      <c r="I685" s="32" t="str">
        <f>IFERROR(VLOOKUP(B685,汇总!$B$2:$I$2921,8,FALSE),"")</f>
        <v>医药</v>
      </c>
      <c r="J685" s="34" t="s">
        <v>11</v>
      </c>
      <c r="K685" s="35" t="s">
        <v>12</v>
      </c>
    </row>
    <row r="686" ht="33.75" spans="1:11">
      <c r="A686" s="29">
        <v>685</v>
      </c>
      <c r="B686" s="29" t="s">
        <v>892</v>
      </c>
      <c r="C686" s="29" t="str">
        <f>VLOOKUP(B686,教育部大学名单!$B$1:$D$2920,3,FALSE)</f>
        <v>广东省</v>
      </c>
      <c r="D686" s="29" t="s">
        <v>844</v>
      </c>
      <c r="E686" s="29" t="s">
        <v>845</v>
      </c>
      <c r="F686" s="36" t="str">
        <f>IFERROR(VLOOKUP(B686,'985'!$B$2:$D$40,3,FALSE),"")</f>
        <v/>
      </c>
      <c r="G686" s="32" t="str">
        <f>IFERROR(VLOOKUP(B686,'211'!$B$2:$D$116,3,FALSE),"")</f>
        <v/>
      </c>
      <c r="H686" s="32" t="str">
        <f>IFERROR(VLOOKUP(B686,双一流!$B$2:$D$148,3,FALSE),"")</f>
        <v/>
      </c>
      <c r="I686" s="32">
        <f>IFERROR(VLOOKUP(B686,汇总!$B$2:$I$2921,8,FALSE),"")</f>
        <v>0</v>
      </c>
      <c r="J686" s="29" t="s">
        <v>11</v>
      </c>
      <c r="K686" s="33" t="s">
        <v>12</v>
      </c>
    </row>
    <row r="687" ht="33.75" spans="1:11">
      <c r="A687" s="34">
        <v>686</v>
      </c>
      <c r="B687" s="34" t="s">
        <v>893</v>
      </c>
      <c r="C687" s="29" t="str">
        <f>VLOOKUP(B687,教育部大学名单!$B$1:$D$2920,3,FALSE)</f>
        <v>广东省</v>
      </c>
      <c r="D687" s="34" t="s">
        <v>844</v>
      </c>
      <c r="E687" s="34" t="s">
        <v>874</v>
      </c>
      <c r="F687" s="36" t="str">
        <f>IFERROR(VLOOKUP(B687,'985'!$B$2:$D$40,3,FALSE),"")</f>
        <v/>
      </c>
      <c r="G687" s="32" t="str">
        <f>IFERROR(VLOOKUP(B687,'211'!$B$2:$D$116,3,FALSE),"")</f>
        <v/>
      </c>
      <c r="H687" s="32" t="str">
        <f>IFERROR(VLOOKUP(B687,双一流!$B$2:$D$148,3,FALSE),"")</f>
        <v>双一流</v>
      </c>
      <c r="I687" s="32" t="str">
        <f>IFERROR(VLOOKUP(B687,汇总!$B$2:$I$2921,8,FALSE),"")</f>
        <v>理工</v>
      </c>
      <c r="J687" s="34" t="s">
        <v>11</v>
      </c>
      <c r="K687" s="35" t="s">
        <v>12</v>
      </c>
    </row>
    <row r="688" ht="33.75" spans="1:11">
      <c r="A688" s="29">
        <v>687</v>
      </c>
      <c r="B688" s="29" t="s">
        <v>894</v>
      </c>
      <c r="C688" s="29" t="str">
        <f>VLOOKUP(B688,教育部大学名单!$B$1:$D$2920,3,FALSE)</f>
        <v>广东省</v>
      </c>
      <c r="D688" s="29" t="s">
        <v>844</v>
      </c>
      <c r="E688" s="29" t="s">
        <v>874</v>
      </c>
      <c r="F688" s="36" t="str">
        <f>IFERROR(VLOOKUP(B688,'985'!$B$2:$D$40,3,FALSE),"")</f>
        <v/>
      </c>
      <c r="G688" s="32" t="str">
        <f>IFERROR(VLOOKUP(B688,'211'!$B$2:$D$116,3,FALSE),"")</f>
        <v/>
      </c>
      <c r="H688" s="32" t="str">
        <f>IFERROR(VLOOKUP(B688,双一流!$B$2:$D$148,3,FALSE),"")</f>
        <v/>
      </c>
      <c r="I688" s="32">
        <f>IFERROR(VLOOKUP(B688,汇总!$B$2:$I$2921,8,FALSE),"")</f>
        <v>0</v>
      </c>
      <c r="J688" s="29" t="s">
        <v>11</v>
      </c>
      <c r="K688" s="33" t="s">
        <v>12</v>
      </c>
    </row>
    <row r="689" ht="33.75" spans="1:11">
      <c r="A689" s="34">
        <v>688</v>
      </c>
      <c r="B689" s="34" t="s">
        <v>895</v>
      </c>
      <c r="C689" s="29" t="str">
        <f>VLOOKUP(B689,教育部大学名单!$B$1:$D$2920,3,FALSE)</f>
        <v>广东省</v>
      </c>
      <c r="D689" s="34" t="s">
        <v>844</v>
      </c>
      <c r="E689" s="34" t="s">
        <v>890</v>
      </c>
      <c r="F689" s="36" t="str">
        <f>IFERROR(VLOOKUP(B689,'985'!$B$2:$D$40,3,FALSE),"")</f>
        <v/>
      </c>
      <c r="G689" s="32" t="str">
        <f>IFERROR(VLOOKUP(B689,'211'!$B$2:$D$116,3,FALSE),"")</f>
        <v/>
      </c>
      <c r="H689" s="32" t="str">
        <f>IFERROR(VLOOKUP(B689,双一流!$B$2:$D$148,3,FALSE),"")</f>
        <v/>
      </c>
      <c r="I689" s="32" t="str">
        <f>IFERROR(VLOOKUP(B689,汇总!$B$2:$I$2921,8,FALSE),"")</f>
        <v/>
      </c>
      <c r="J689" s="34" t="s">
        <v>11</v>
      </c>
      <c r="K689" s="35" t="s">
        <v>12</v>
      </c>
    </row>
    <row r="690" ht="33.75" spans="1:11">
      <c r="A690" s="29">
        <v>689</v>
      </c>
      <c r="B690" s="29" t="s">
        <v>896</v>
      </c>
      <c r="C690" s="29" t="str">
        <f>VLOOKUP(B690,教育部大学名单!$B$1:$D$2920,3,FALSE)</f>
        <v>广东省</v>
      </c>
      <c r="D690" s="29" t="s">
        <v>844</v>
      </c>
      <c r="E690" s="29" t="s">
        <v>845</v>
      </c>
      <c r="F690" s="36" t="str">
        <f>IFERROR(VLOOKUP(B690,'985'!$B$2:$D$40,3,FALSE),"")</f>
        <v/>
      </c>
      <c r="G690" s="32" t="str">
        <f>IFERROR(VLOOKUP(B690,'211'!$B$2:$D$116,3,FALSE),"")</f>
        <v/>
      </c>
      <c r="H690" s="32" t="str">
        <f>IFERROR(VLOOKUP(B690,双一流!$B$2:$D$148,3,FALSE),"")</f>
        <v/>
      </c>
      <c r="I690" s="32">
        <f>IFERROR(VLOOKUP(B690,汇总!$B$2:$I$2921,8,FALSE),"")</f>
        <v>0</v>
      </c>
      <c r="J690" s="29" t="s">
        <v>11</v>
      </c>
      <c r="K690" s="33" t="s">
        <v>12</v>
      </c>
    </row>
    <row r="691" ht="33.75" spans="1:11">
      <c r="A691" s="34">
        <v>690</v>
      </c>
      <c r="B691" s="34" t="s">
        <v>897</v>
      </c>
      <c r="C691" s="29" t="str">
        <f>VLOOKUP(B691,教育部大学名单!$B$1:$D$2920,3,FALSE)</f>
        <v>广东省</v>
      </c>
      <c r="D691" s="34" t="s">
        <v>844</v>
      </c>
      <c r="E691" s="34" t="s">
        <v>874</v>
      </c>
      <c r="F691" s="36" t="str">
        <f>IFERROR(VLOOKUP(B691,'985'!$B$2:$D$40,3,FALSE),"")</f>
        <v/>
      </c>
      <c r="G691" s="32" t="str">
        <f>IFERROR(VLOOKUP(B691,'211'!$B$2:$D$116,3,FALSE),"")</f>
        <v/>
      </c>
      <c r="H691" s="32" t="str">
        <f>IFERROR(VLOOKUP(B691,双一流!$B$2:$D$148,3,FALSE),"")</f>
        <v/>
      </c>
      <c r="I691" s="32">
        <f>IFERROR(VLOOKUP(B691,汇总!$B$2:$I$2921,8,FALSE),"")</f>
        <v>0</v>
      </c>
      <c r="J691" s="34" t="s">
        <v>11</v>
      </c>
      <c r="K691" s="35" t="s">
        <v>12</v>
      </c>
    </row>
    <row r="692" ht="33.75" spans="1:11">
      <c r="A692" s="29">
        <v>691</v>
      </c>
      <c r="B692" s="29" t="s">
        <v>898</v>
      </c>
      <c r="C692" s="29" t="str">
        <f>VLOOKUP(B692,教育部大学名单!$B$1:$D$2920,3,FALSE)</f>
        <v>广东省</v>
      </c>
      <c r="D692" s="29" t="s">
        <v>844</v>
      </c>
      <c r="E692" s="29" t="s">
        <v>845</v>
      </c>
      <c r="F692" s="36" t="str">
        <f>IFERROR(VLOOKUP(B692,'985'!$B$2:$D$40,3,FALSE),"")</f>
        <v/>
      </c>
      <c r="G692" s="32" t="str">
        <f>IFERROR(VLOOKUP(B692,'211'!$B$2:$D$116,3,FALSE),"")</f>
        <v/>
      </c>
      <c r="H692" s="32" t="str">
        <f>IFERROR(VLOOKUP(B692,双一流!$B$2:$D$148,3,FALSE),"")</f>
        <v/>
      </c>
      <c r="I692" s="32" t="str">
        <f>IFERROR(VLOOKUP(B692,汇总!$B$2:$I$2921,8,FALSE),"")</f>
        <v/>
      </c>
      <c r="J692" s="29" t="s">
        <v>11</v>
      </c>
      <c r="K692" s="33" t="s">
        <v>12</v>
      </c>
    </row>
    <row r="693" ht="33.75" spans="1:11">
      <c r="A693" s="34">
        <v>692</v>
      </c>
      <c r="B693" s="34" t="s">
        <v>899</v>
      </c>
      <c r="C693" s="29" t="str">
        <f>VLOOKUP(B693,教育部大学名单!$B$1:$D$2920,3,FALSE)</f>
        <v>广东省</v>
      </c>
      <c r="D693" s="34" t="s">
        <v>844</v>
      </c>
      <c r="E693" s="34" t="s">
        <v>874</v>
      </c>
      <c r="F693" s="36" t="str">
        <f>IFERROR(VLOOKUP(B693,'985'!$B$2:$D$40,3,FALSE),"")</f>
        <v/>
      </c>
      <c r="G693" s="32" t="str">
        <f>IFERROR(VLOOKUP(B693,'211'!$B$2:$D$116,3,FALSE),"")</f>
        <v/>
      </c>
      <c r="H693" s="32" t="str">
        <f>IFERROR(VLOOKUP(B693,双一流!$B$2:$D$148,3,FALSE),"")</f>
        <v/>
      </c>
      <c r="I693" s="32" t="str">
        <f>IFERROR(VLOOKUP(B693,汇总!$B$2:$I$2921,8,FALSE),"")</f>
        <v/>
      </c>
      <c r="J693" s="34" t="s">
        <v>11</v>
      </c>
      <c r="K693" s="35" t="s">
        <v>12</v>
      </c>
    </row>
    <row r="694" ht="17.25" spans="1:11">
      <c r="A694" s="29">
        <v>693</v>
      </c>
      <c r="B694" s="29" t="s">
        <v>900</v>
      </c>
      <c r="C694" s="29" t="str">
        <f>VLOOKUP(B694,教育部大学名单!$B$1:$D$2920,3,FALSE)</f>
        <v>广东省</v>
      </c>
      <c r="D694" s="29" t="s">
        <v>844</v>
      </c>
      <c r="E694" s="29" t="s">
        <v>866</v>
      </c>
      <c r="F694" s="36" t="str">
        <f>IFERROR(VLOOKUP(B694,'985'!$B$2:$D$40,3,FALSE),"")</f>
        <v/>
      </c>
      <c r="G694" s="32" t="str">
        <f>IFERROR(VLOOKUP(B694,'211'!$B$2:$D$116,3,FALSE),"")</f>
        <v/>
      </c>
      <c r="H694" s="32" t="str">
        <f>IFERROR(VLOOKUP(B694,双一流!$B$2:$D$148,3,FALSE),"")</f>
        <v/>
      </c>
      <c r="I694" s="32">
        <f>IFERROR(VLOOKUP(B694,汇总!$B$2:$I$2921,8,FALSE),"")</f>
        <v>0</v>
      </c>
      <c r="J694" s="29" t="s">
        <v>11</v>
      </c>
      <c r="K694" s="33" t="s">
        <v>12</v>
      </c>
    </row>
    <row r="695" ht="33.75" spans="1:11">
      <c r="A695" s="34">
        <v>694</v>
      </c>
      <c r="B695" s="34" t="s">
        <v>901</v>
      </c>
      <c r="C695" s="29" t="str">
        <f>VLOOKUP(B695,教育部大学名单!$B$1:$D$2920,3,FALSE)</f>
        <v>广西壮族自治区</v>
      </c>
      <c r="D695" s="34" t="s">
        <v>902</v>
      </c>
      <c r="E695" s="34" t="s">
        <v>903</v>
      </c>
      <c r="F695" s="36" t="str">
        <f>IFERROR(VLOOKUP(B695,'985'!$B$2:$D$40,3,FALSE),"")</f>
        <v/>
      </c>
      <c r="G695" s="31">
        <f>IFERROR(VLOOKUP(B695,'211'!$B$2:$D$116,3,FALSE),"")</f>
        <v>211</v>
      </c>
      <c r="H695" s="32" t="str">
        <f>IFERROR(VLOOKUP(B695,双一流!$B$2:$D$148,3,FALSE),"")</f>
        <v>双一流</v>
      </c>
      <c r="I695" s="32" t="str">
        <f>IFERROR(VLOOKUP(B695,汇总!$B$2:$I$2921,8,FALSE),"")</f>
        <v>综合</v>
      </c>
      <c r="J695" s="34" t="s">
        <v>11</v>
      </c>
      <c r="K695" s="35" t="s">
        <v>12</v>
      </c>
    </row>
    <row r="696" ht="33.75" spans="1:11">
      <c r="A696" s="29">
        <v>695</v>
      </c>
      <c r="B696" s="29" t="s">
        <v>904</v>
      </c>
      <c r="C696" s="29" t="str">
        <f>VLOOKUP(B696,教育部大学名单!$B$1:$D$2920,3,FALSE)</f>
        <v>广西壮族自治区</v>
      </c>
      <c r="D696" s="29" t="s">
        <v>902</v>
      </c>
      <c r="E696" s="29" t="s">
        <v>905</v>
      </c>
      <c r="F696" s="36" t="str">
        <f>IFERROR(VLOOKUP(B696,'985'!$B$2:$D$40,3,FALSE),"")</f>
        <v/>
      </c>
      <c r="G696" s="32" t="str">
        <f>IFERROR(VLOOKUP(B696,'211'!$B$2:$D$116,3,FALSE),"")</f>
        <v/>
      </c>
      <c r="H696" s="32" t="str">
        <f>IFERROR(VLOOKUP(B696,双一流!$B$2:$D$148,3,FALSE),"")</f>
        <v/>
      </c>
      <c r="I696" s="32">
        <f>IFERROR(VLOOKUP(B696,汇总!$B$2:$I$2921,8,FALSE),"")</f>
        <v>0</v>
      </c>
      <c r="J696" s="29" t="s">
        <v>11</v>
      </c>
      <c r="K696" s="33" t="s">
        <v>12</v>
      </c>
    </row>
    <row r="697" ht="33.75" spans="1:11">
      <c r="A697" s="34">
        <v>696</v>
      </c>
      <c r="B697" s="34" t="s">
        <v>906</v>
      </c>
      <c r="C697" s="29" t="str">
        <f>VLOOKUP(B697,教育部大学名单!$B$1:$D$2920,3,FALSE)</f>
        <v>广西壮族自治区</v>
      </c>
      <c r="D697" s="34" t="s">
        <v>902</v>
      </c>
      <c r="E697" s="34" t="s">
        <v>907</v>
      </c>
      <c r="F697" s="36" t="str">
        <f>IFERROR(VLOOKUP(B697,'985'!$B$2:$D$40,3,FALSE),"")</f>
        <v/>
      </c>
      <c r="G697" s="32" t="str">
        <f>IFERROR(VLOOKUP(B697,'211'!$B$2:$D$116,3,FALSE),"")</f>
        <v/>
      </c>
      <c r="H697" s="32" t="str">
        <f>IFERROR(VLOOKUP(B697,双一流!$B$2:$D$148,3,FALSE),"")</f>
        <v/>
      </c>
      <c r="I697" s="32" t="str">
        <f>IFERROR(VLOOKUP(B697,汇总!$B$2:$I$2921,8,FALSE),"")</f>
        <v>理工</v>
      </c>
      <c r="J697" s="34" t="s">
        <v>11</v>
      </c>
      <c r="K697" s="35" t="s">
        <v>12</v>
      </c>
    </row>
    <row r="698" ht="33.75" spans="1:11">
      <c r="A698" s="29">
        <v>697</v>
      </c>
      <c r="B698" s="29" t="s">
        <v>908</v>
      </c>
      <c r="C698" s="29" t="str">
        <f>VLOOKUP(B698,教育部大学名单!$B$1:$D$2920,3,FALSE)</f>
        <v>广西壮族自治区</v>
      </c>
      <c r="D698" s="29" t="s">
        <v>902</v>
      </c>
      <c r="E698" s="29" t="s">
        <v>907</v>
      </c>
      <c r="F698" s="36" t="str">
        <f>IFERROR(VLOOKUP(B698,'985'!$B$2:$D$40,3,FALSE),"")</f>
        <v/>
      </c>
      <c r="G698" s="32" t="str">
        <f>IFERROR(VLOOKUP(B698,'211'!$B$2:$D$116,3,FALSE),"")</f>
        <v/>
      </c>
      <c r="H698" s="32" t="str">
        <f>IFERROR(VLOOKUP(B698,双一流!$B$2:$D$148,3,FALSE),"")</f>
        <v/>
      </c>
      <c r="I698" s="32" t="str">
        <f>IFERROR(VLOOKUP(B698,汇总!$B$2:$I$2921,8,FALSE),"")</f>
        <v>理工</v>
      </c>
      <c r="J698" s="29" t="s">
        <v>11</v>
      </c>
      <c r="K698" s="33" t="s">
        <v>12</v>
      </c>
    </row>
    <row r="699" ht="33.75" spans="1:11">
      <c r="A699" s="34">
        <v>698</v>
      </c>
      <c r="B699" s="34" t="s">
        <v>909</v>
      </c>
      <c r="C699" s="29" t="str">
        <f>VLOOKUP(B699,教育部大学名单!$B$1:$D$2920,3,FALSE)</f>
        <v>广西壮族自治区</v>
      </c>
      <c r="D699" s="34" t="s">
        <v>902</v>
      </c>
      <c r="E699" s="34" t="s">
        <v>903</v>
      </c>
      <c r="F699" s="36" t="str">
        <f>IFERROR(VLOOKUP(B699,'985'!$B$2:$D$40,3,FALSE),"")</f>
        <v/>
      </c>
      <c r="G699" s="32" t="str">
        <f>IFERROR(VLOOKUP(B699,'211'!$B$2:$D$116,3,FALSE),"")</f>
        <v/>
      </c>
      <c r="H699" s="32" t="str">
        <f>IFERROR(VLOOKUP(B699,双一流!$B$2:$D$148,3,FALSE),"")</f>
        <v/>
      </c>
      <c r="I699" s="32" t="str">
        <f>IFERROR(VLOOKUP(B699,汇总!$B$2:$I$2921,8,FALSE),"")</f>
        <v>医药</v>
      </c>
      <c r="J699" s="34" t="s">
        <v>11</v>
      </c>
      <c r="K699" s="35" t="s">
        <v>12</v>
      </c>
    </row>
    <row r="700" ht="33.75" spans="1:11">
      <c r="A700" s="29">
        <v>699</v>
      </c>
      <c r="B700" s="29" t="s">
        <v>910</v>
      </c>
      <c r="C700" s="29" t="str">
        <f>VLOOKUP(B700,教育部大学名单!$B$1:$D$2920,3,FALSE)</f>
        <v>广西壮族自治区</v>
      </c>
      <c r="D700" s="29" t="s">
        <v>902</v>
      </c>
      <c r="E700" s="29" t="s">
        <v>911</v>
      </c>
      <c r="F700" s="36" t="str">
        <f>IFERROR(VLOOKUP(B700,'985'!$B$2:$D$40,3,FALSE),"")</f>
        <v/>
      </c>
      <c r="G700" s="32" t="str">
        <f>IFERROR(VLOOKUP(B700,'211'!$B$2:$D$116,3,FALSE),"")</f>
        <v/>
      </c>
      <c r="H700" s="32" t="str">
        <f>IFERROR(VLOOKUP(B700,双一流!$B$2:$D$148,3,FALSE),"")</f>
        <v/>
      </c>
      <c r="I700" s="32">
        <f>IFERROR(VLOOKUP(B700,汇总!$B$2:$I$2921,8,FALSE),"")</f>
        <v>0</v>
      </c>
      <c r="J700" s="29" t="s">
        <v>11</v>
      </c>
      <c r="K700" s="33" t="s">
        <v>12</v>
      </c>
    </row>
    <row r="701" ht="33.75" spans="1:11">
      <c r="A701" s="34">
        <v>700</v>
      </c>
      <c r="B701" s="34" t="s">
        <v>912</v>
      </c>
      <c r="C701" s="29" t="str">
        <f>VLOOKUP(B701,教育部大学名单!$B$1:$D$2920,3,FALSE)</f>
        <v>广西壮族自治区</v>
      </c>
      <c r="D701" s="34" t="s">
        <v>902</v>
      </c>
      <c r="E701" s="34" t="s">
        <v>903</v>
      </c>
      <c r="F701" s="36" t="str">
        <f>IFERROR(VLOOKUP(B701,'985'!$B$2:$D$40,3,FALSE),"")</f>
        <v/>
      </c>
      <c r="G701" s="32" t="str">
        <f>IFERROR(VLOOKUP(B701,'211'!$B$2:$D$116,3,FALSE),"")</f>
        <v/>
      </c>
      <c r="H701" s="32" t="str">
        <f>IFERROR(VLOOKUP(B701,双一流!$B$2:$D$148,3,FALSE),"")</f>
        <v/>
      </c>
      <c r="I701" s="32" t="str">
        <f>IFERROR(VLOOKUP(B701,汇总!$B$2:$I$2921,8,FALSE),"")</f>
        <v>医药</v>
      </c>
      <c r="J701" s="34" t="s">
        <v>11</v>
      </c>
      <c r="K701" s="35" t="s">
        <v>12</v>
      </c>
    </row>
    <row r="702" ht="33.75" spans="1:11">
      <c r="A702" s="29">
        <v>701</v>
      </c>
      <c r="B702" s="29" t="s">
        <v>913</v>
      </c>
      <c r="C702" s="29" t="str">
        <f>VLOOKUP(B702,教育部大学名单!$B$1:$D$2920,3,FALSE)</f>
        <v>广西壮族自治区</v>
      </c>
      <c r="D702" s="29" t="s">
        <v>902</v>
      </c>
      <c r="E702" s="29" t="s">
        <v>907</v>
      </c>
      <c r="F702" s="36" t="str">
        <f>IFERROR(VLOOKUP(B702,'985'!$B$2:$D$40,3,FALSE),"")</f>
        <v/>
      </c>
      <c r="G702" s="32" t="str">
        <f>IFERROR(VLOOKUP(B702,'211'!$B$2:$D$116,3,FALSE),"")</f>
        <v/>
      </c>
      <c r="H702" s="32" t="str">
        <f>IFERROR(VLOOKUP(B702,双一流!$B$2:$D$148,3,FALSE),"")</f>
        <v/>
      </c>
      <c r="I702" s="32" t="str">
        <f>IFERROR(VLOOKUP(B702,汇总!$B$2:$I$2921,8,FALSE),"")</f>
        <v/>
      </c>
      <c r="J702" s="29" t="s">
        <v>11</v>
      </c>
      <c r="K702" s="33" t="s">
        <v>12</v>
      </c>
    </row>
    <row r="703" ht="33.75" spans="1:11">
      <c r="A703" s="34">
        <v>702</v>
      </c>
      <c r="B703" s="34" t="s">
        <v>914</v>
      </c>
      <c r="C703" s="29" t="str">
        <f>VLOOKUP(B703,教育部大学名单!$B$1:$D$2920,3,FALSE)</f>
        <v>广西壮族自治区</v>
      </c>
      <c r="D703" s="34" t="s">
        <v>902</v>
      </c>
      <c r="E703" s="34" t="s">
        <v>907</v>
      </c>
      <c r="F703" s="36" t="str">
        <f>IFERROR(VLOOKUP(B703,'985'!$B$2:$D$40,3,FALSE),"")</f>
        <v/>
      </c>
      <c r="G703" s="32" t="str">
        <f>IFERROR(VLOOKUP(B703,'211'!$B$2:$D$116,3,FALSE),"")</f>
        <v/>
      </c>
      <c r="H703" s="32" t="str">
        <f>IFERROR(VLOOKUP(B703,双一流!$B$2:$D$148,3,FALSE),"")</f>
        <v/>
      </c>
      <c r="I703" s="32" t="str">
        <f>IFERROR(VLOOKUP(B703,汇总!$B$2:$I$2921,8,FALSE),"")</f>
        <v>师范</v>
      </c>
      <c r="J703" s="34" t="s">
        <v>11</v>
      </c>
      <c r="K703" s="35" t="s">
        <v>12</v>
      </c>
    </row>
    <row r="704" ht="33.75" spans="1:11">
      <c r="A704" s="29">
        <v>703</v>
      </c>
      <c r="B704" s="29" t="s">
        <v>915</v>
      </c>
      <c r="C704" s="29" t="str">
        <f>VLOOKUP(B704,教育部大学名单!$B$1:$D$2920,3,FALSE)</f>
        <v>广西壮族自治区</v>
      </c>
      <c r="D704" s="29" t="s">
        <v>902</v>
      </c>
      <c r="E704" s="29" t="s">
        <v>903</v>
      </c>
      <c r="F704" s="36" t="str">
        <f>IFERROR(VLOOKUP(B704,'985'!$B$2:$D$40,3,FALSE),"")</f>
        <v/>
      </c>
      <c r="G704" s="32" t="str">
        <f>IFERROR(VLOOKUP(B704,'211'!$B$2:$D$116,3,FALSE),"")</f>
        <v/>
      </c>
      <c r="H704" s="32" t="str">
        <f>IFERROR(VLOOKUP(B704,双一流!$B$2:$D$148,3,FALSE),"")</f>
        <v/>
      </c>
      <c r="I704" s="32" t="str">
        <f>IFERROR(VLOOKUP(B704,汇总!$B$2:$I$2921,8,FALSE),"")</f>
        <v>师范</v>
      </c>
      <c r="J704" s="29" t="s">
        <v>11</v>
      </c>
      <c r="K704" s="33" t="s">
        <v>12</v>
      </c>
    </row>
    <row r="705" ht="33.75" spans="1:11">
      <c r="A705" s="34">
        <v>704</v>
      </c>
      <c r="B705" s="34" t="s">
        <v>916</v>
      </c>
      <c r="C705" s="29" t="str">
        <f>VLOOKUP(B705,教育部大学名单!$B$1:$D$2920,3,FALSE)</f>
        <v>广西壮族自治区</v>
      </c>
      <c r="D705" s="34" t="s">
        <v>902</v>
      </c>
      <c r="E705" s="34" t="s">
        <v>917</v>
      </c>
      <c r="F705" s="36" t="str">
        <f>IFERROR(VLOOKUP(B705,'985'!$B$2:$D$40,3,FALSE),"")</f>
        <v/>
      </c>
      <c r="G705" s="32" t="str">
        <f>IFERROR(VLOOKUP(B705,'211'!$B$2:$D$116,3,FALSE),"")</f>
        <v/>
      </c>
      <c r="H705" s="32" t="str">
        <f>IFERROR(VLOOKUP(B705,双一流!$B$2:$D$148,3,FALSE),"")</f>
        <v/>
      </c>
      <c r="I705" s="32">
        <f>IFERROR(VLOOKUP(B705,汇总!$B$2:$I$2921,8,FALSE),"")</f>
        <v>0</v>
      </c>
      <c r="J705" s="34" t="s">
        <v>11</v>
      </c>
      <c r="K705" s="35" t="s">
        <v>12</v>
      </c>
    </row>
    <row r="706" ht="33.75" spans="1:11">
      <c r="A706" s="29">
        <v>705</v>
      </c>
      <c r="B706" s="29" t="s">
        <v>918</v>
      </c>
      <c r="C706" s="29" t="str">
        <f>VLOOKUP(B706,教育部大学名单!$B$1:$D$2920,3,FALSE)</f>
        <v>广西壮族自治区</v>
      </c>
      <c r="D706" s="29" t="s">
        <v>902</v>
      </c>
      <c r="E706" s="29" t="s">
        <v>919</v>
      </c>
      <c r="F706" s="36" t="str">
        <f>IFERROR(VLOOKUP(B706,'985'!$B$2:$D$40,3,FALSE),"")</f>
        <v/>
      </c>
      <c r="G706" s="32" t="str">
        <f>IFERROR(VLOOKUP(B706,'211'!$B$2:$D$116,3,FALSE),"")</f>
        <v/>
      </c>
      <c r="H706" s="32" t="str">
        <f>IFERROR(VLOOKUP(B706,双一流!$B$2:$D$148,3,FALSE),"")</f>
        <v/>
      </c>
      <c r="I706" s="32">
        <f>IFERROR(VLOOKUP(B706,汇总!$B$2:$I$2921,8,FALSE),"")</f>
        <v>0</v>
      </c>
      <c r="J706" s="29" t="s">
        <v>11</v>
      </c>
      <c r="K706" s="33" t="s">
        <v>12</v>
      </c>
    </row>
    <row r="707" ht="33.75" spans="1:11">
      <c r="A707" s="34">
        <v>706</v>
      </c>
      <c r="B707" s="34" t="s">
        <v>920</v>
      </c>
      <c r="C707" s="29" t="str">
        <f>VLOOKUP(B707,教育部大学名单!$B$1:$D$2920,3,FALSE)</f>
        <v>广西壮族自治区</v>
      </c>
      <c r="D707" s="34" t="s">
        <v>902</v>
      </c>
      <c r="E707" s="34" t="s">
        <v>921</v>
      </c>
      <c r="F707" s="36" t="str">
        <f>IFERROR(VLOOKUP(B707,'985'!$B$2:$D$40,3,FALSE),"")</f>
        <v/>
      </c>
      <c r="G707" s="32" t="str">
        <f>IFERROR(VLOOKUP(B707,'211'!$B$2:$D$116,3,FALSE),"")</f>
        <v/>
      </c>
      <c r="H707" s="32" t="str">
        <f>IFERROR(VLOOKUP(B707,双一流!$B$2:$D$148,3,FALSE),"")</f>
        <v/>
      </c>
      <c r="I707" s="32">
        <f>IFERROR(VLOOKUP(B707,汇总!$B$2:$I$2921,8,FALSE),"")</f>
        <v>0</v>
      </c>
      <c r="J707" s="34" t="s">
        <v>11</v>
      </c>
      <c r="K707" s="35" t="s">
        <v>12</v>
      </c>
    </row>
    <row r="708" ht="33.75" spans="1:11">
      <c r="A708" s="29">
        <v>707</v>
      </c>
      <c r="B708" s="29" t="s">
        <v>922</v>
      </c>
      <c r="C708" s="29" t="str">
        <f>VLOOKUP(B708,教育部大学名单!$B$1:$D$2920,3,FALSE)</f>
        <v>广西壮族自治区</v>
      </c>
      <c r="D708" s="29" t="s">
        <v>902</v>
      </c>
      <c r="E708" s="29" t="s">
        <v>903</v>
      </c>
      <c r="F708" s="36" t="str">
        <f>IFERROR(VLOOKUP(B708,'985'!$B$2:$D$40,3,FALSE),"")</f>
        <v/>
      </c>
      <c r="G708" s="32" t="str">
        <f>IFERROR(VLOOKUP(B708,'211'!$B$2:$D$116,3,FALSE),"")</f>
        <v/>
      </c>
      <c r="H708" s="32" t="str">
        <f>IFERROR(VLOOKUP(B708,双一流!$B$2:$D$148,3,FALSE),"")</f>
        <v/>
      </c>
      <c r="I708" s="32">
        <f>IFERROR(VLOOKUP(B708,汇总!$B$2:$I$2921,8,FALSE),"")</f>
        <v>0</v>
      </c>
      <c r="J708" s="29" t="s">
        <v>11</v>
      </c>
      <c r="K708" s="33" t="s">
        <v>12</v>
      </c>
    </row>
    <row r="709" ht="33.75" spans="1:11">
      <c r="A709" s="34">
        <v>708</v>
      </c>
      <c r="B709" s="34" t="s">
        <v>923</v>
      </c>
      <c r="C709" s="29" t="str">
        <f>VLOOKUP(B709,教育部大学名单!$B$1:$D$2920,3,FALSE)</f>
        <v>广西壮族自治区</v>
      </c>
      <c r="D709" s="34" t="s">
        <v>902</v>
      </c>
      <c r="E709" s="34" t="s">
        <v>903</v>
      </c>
      <c r="F709" s="36" t="str">
        <f>IFERROR(VLOOKUP(B709,'985'!$B$2:$D$40,3,FALSE),"")</f>
        <v/>
      </c>
      <c r="G709" s="32" t="str">
        <f>IFERROR(VLOOKUP(B709,'211'!$B$2:$D$116,3,FALSE),"")</f>
        <v/>
      </c>
      <c r="H709" s="32" t="str">
        <f>IFERROR(VLOOKUP(B709,双一流!$B$2:$D$148,3,FALSE),"")</f>
        <v/>
      </c>
      <c r="I709" s="32" t="str">
        <f>IFERROR(VLOOKUP(B709,汇总!$B$2:$I$2921,8,FALSE),"")</f>
        <v>民族</v>
      </c>
      <c r="J709" s="34" t="s">
        <v>11</v>
      </c>
      <c r="K709" s="35" t="s">
        <v>12</v>
      </c>
    </row>
    <row r="710" ht="33.75" spans="1:11">
      <c r="A710" s="29">
        <v>709</v>
      </c>
      <c r="B710" s="29" t="s">
        <v>924</v>
      </c>
      <c r="C710" s="29" t="str">
        <f>VLOOKUP(B710,教育部大学名单!$B$1:$D$2920,3,FALSE)</f>
        <v>广西壮族自治区</v>
      </c>
      <c r="D710" s="29" t="s">
        <v>902</v>
      </c>
      <c r="E710" s="29" t="s">
        <v>911</v>
      </c>
      <c r="F710" s="36" t="str">
        <f>IFERROR(VLOOKUP(B710,'985'!$B$2:$D$40,3,FALSE),"")</f>
        <v/>
      </c>
      <c r="G710" s="32" t="str">
        <f>IFERROR(VLOOKUP(B710,'211'!$B$2:$D$116,3,FALSE),"")</f>
        <v/>
      </c>
      <c r="H710" s="32" t="str">
        <f>IFERROR(VLOOKUP(B710,双一流!$B$2:$D$148,3,FALSE),"")</f>
        <v/>
      </c>
      <c r="I710" s="32">
        <f>IFERROR(VLOOKUP(B710,汇总!$B$2:$I$2921,8,FALSE),"")</f>
        <v>0</v>
      </c>
      <c r="J710" s="29" t="s">
        <v>11</v>
      </c>
      <c r="K710" s="33" t="s">
        <v>12</v>
      </c>
    </row>
    <row r="711" ht="33.75" spans="1:11">
      <c r="A711" s="34">
        <v>710</v>
      </c>
      <c r="B711" s="34" t="s">
        <v>925</v>
      </c>
      <c r="C711" s="29" t="str">
        <f>VLOOKUP(B711,教育部大学名单!$B$1:$D$2920,3,FALSE)</f>
        <v>广西壮族自治区</v>
      </c>
      <c r="D711" s="34" t="s">
        <v>902</v>
      </c>
      <c r="E711" s="34" t="s">
        <v>926</v>
      </c>
      <c r="F711" s="36" t="str">
        <f>IFERROR(VLOOKUP(B711,'985'!$B$2:$D$40,3,FALSE),"")</f>
        <v/>
      </c>
      <c r="G711" s="32" t="str">
        <f>IFERROR(VLOOKUP(B711,'211'!$B$2:$D$116,3,FALSE),"")</f>
        <v/>
      </c>
      <c r="H711" s="32" t="str">
        <f>IFERROR(VLOOKUP(B711,双一流!$B$2:$D$148,3,FALSE),"")</f>
        <v/>
      </c>
      <c r="I711" s="32">
        <f>IFERROR(VLOOKUP(B711,汇总!$B$2:$I$2921,8,FALSE),"")</f>
        <v>0</v>
      </c>
      <c r="J711" s="34" t="s">
        <v>11</v>
      </c>
      <c r="K711" s="35" t="s">
        <v>12</v>
      </c>
    </row>
    <row r="712" ht="33.75" spans="1:11">
      <c r="A712" s="29">
        <v>711</v>
      </c>
      <c r="B712" s="29" t="s">
        <v>927</v>
      </c>
      <c r="C712" s="29" t="str">
        <f>VLOOKUP(B712,教育部大学名单!$B$1:$D$2920,3,FALSE)</f>
        <v>广西壮族自治区</v>
      </c>
      <c r="D712" s="29" t="s">
        <v>902</v>
      </c>
      <c r="E712" s="29" t="s">
        <v>928</v>
      </c>
      <c r="F712" s="36" t="str">
        <f>IFERROR(VLOOKUP(B712,'985'!$B$2:$D$40,3,FALSE),"")</f>
        <v/>
      </c>
      <c r="G712" s="32" t="str">
        <f>IFERROR(VLOOKUP(B712,'211'!$B$2:$D$116,3,FALSE),"")</f>
        <v/>
      </c>
      <c r="H712" s="32" t="str">
        <f>IFERROR(VLOOKUP(B712,双一流!$B$2:$D$148,3,FALSE),"")</f>
        <v/>
      </c>
      <c r="I712" s="32">
        <f>IFERROR(VLOOKUP(B712,汇总!$B$2:$I$2921,8,FALSE),"")</f>
        <v>0</v>
      </c>
      <c r="J712" s="29" t="s">
        <v>11</v>
      </c>
      <c r="K712" s="33" t="s">
        <v>12</v>
      </c>
    </row>
    <row r="713" ht="33.75" spans="1:11">
      <c r="A713" s="34">
        <v>712</v>
      </c>
      <c r="B713" s="34" t="s">
        <v>929</v>
      </c>
      <c r="C713" s="29" t="str">
        <f>VLOOKUP(B713,教育部大学名单!$B$1:$D$2920,3,FALSE)</f>
        <v>广西壮族自治区</v>
      </c>
      <c r="D713" s="34" t="s">
        <v>902</v>
      </c>
      <c r="E713" s="34" t="s">
        <v>903</v>
      </c>
      <c r="F713" s="36" t="str">
        <f>IFERROR(VLOOKUP(B713,'985'!$B$2:$D$40,3,FALSE),"")</f>
        <v/>
      </c>
      <c r="G713" s="32" t="str">
        <f>IFERROR(VLOOKUP(B713,'211'!$B$2:$D$116,3,FALSE),"")</f>
        <v/>
      </c>
      <c r="H713" s="32" t="str">
        <f>IFERROR(VLOOKUP(B713,双一流!$B$2:$D$148,3,FALSE),"")</f>
        <v/>
      </c>
      <c r="I713" s="32">
        <f>IFERROR(VLOOKUP(B713,汇总!$B$2:$I$2921,8,FALSE),"")</f>
        <v>0</v>
      </c>
      <c r="J713" s="34" t="s">
        <v>11</v>
      </c>
      <c r="K713" s="35" t="s">
        <v>12</v>
      </c>
    </row>
    <row r="714" ht="33.75" spans="1:11">
      <c r="A714" s="29">
        <v>713</v>
      </c>
      <c r="B714" s="29" t="s">
        <v>930</v>
      </c>
      <c r="C714" s="29" t="str">
        <f>VLOOKUP(B714,教育部大学名单!$B$1:$D$2920,3,FALSE)</f>
        <v>广西壮族自治区</v>
      </c>
      <c r="D714" s="29" t="s">
        <v>902</v>
      </c>
      <c r="E714" s="29" t="s">
        <v>931</v>
      </c>
      <c r="F714" s="36" t="str">
        <f>IFERROR(VLOOKUP(B714,'985'!$B$2:$D$40,3,FALSE),"")</f>
        <v/>
      </c>
      <c r="G714" s="32" t="str">
        <f>IFERROR(VLOOKUP(B714,'211'!$B$2:$D$116,3,FALSE),"")</f>
        <v/>
      </c>
      <c r="H714" s="32" t="str">
        <f>IFERROR(VLOOKUP(B714,双一流!$B$2:$D$148,3,FALSE),"")</f>
        <v/>
      </c>
      <c r="I714" s="32">
        <f>IFERROR(VLOOKUP(B714,汇总!$B$2:$I$2921,8,FALSE),"")</f>
        <v>0</v>
      </c>
      <c r="J714" s="29" t="s">
        <v>11</v>
      </c>
      <c r="K714" s="33" t="s">
        <v>12</v>
      </c>
    </row>
    <row r="715" ht="33.75" spans="1:11">
      <c r="A715" s="34">
        <v>714</v>
      </c>
      <c r="B715" s="34" t="s">
        <v>932</v>
      </c>
      <c r="C715" s="29" t="str">
        <f>VLOOKUP(B715,教育部大学名单!$B$1:$D$2920,3,FALSE)</f>
        <v>广西壮族自治区</v>
      </c>
      <c r="D715" s="34" t="s">
        <v>902</v>
      </c>
      <c r="E715" s="34" t="s">
        <v>907</v>
      </c>
      <c r="F715" s="36" t="str">
        <f>IFERROR(VLOOKUP(B715,'985'!$B$2:$D$40,3,FALSE),"")</f>
        <v/>
      </c>
      <c r="G715" s="32" t="str">
        <f>IFERROR(VLOOKUP(B715,'211'!$B$2:$D$116,3,FALSE),"")</f>
        <v/>
      </c>
      <c r="H715" s="32" t="str">
        <f>IFERROR(VLOOKUP(B715,双一流!$B$2:$D$148,3,FALSE),"")</f>
        <v/>
      </c>
      <c r="I715" s="32">
        <f>IFERROR(VLOOKUP(B715,汇总!$B$2:$I$2921,8,FALSE),"")</f>
        <v>0</v>
      </c>
      <c r="J715" s="34" t="s">
        <v>11</v>
      </c>
      <c r="K715" s="35" t="s">
        <v>12</v>
      </c>
    </row>
    <row r="716" ht="33.75" spans="1:11">
      <c r="A716" s="29">
        <v>715</v>
      </c>
      <c r="B716" s="29" t="s">
        <v>933</v>
      </c>
      <c r="C716" s="29" t="str">
        <f>VLOOKUP(B716,教育部大学名单!$B$1:$D$2920,3,FALSE)</f>
        <v>广西壮族自治区</v>
      </c>
      <c r="D716" s="29" t="s">
        <v>902</v>
      </c>
      <c r="E716" s="29" t="s">
        <v>907</v>
      </c>
      <c r="F716" s="36" t="str">
        <f>IFERROR(VLOOKUP(B716,'985'!$B$2:$D$40,3,FALSE),"")</f>
        <v/>
      </c>
      <c r="G716" s="32" t="str">
        <f>IFERROR(VLOOKUP(B716,'211'!$B$2:$D$116,3,FALSE),"")</f>
        <v/>
      </c>
      <c r="H716" s="32" t="str">
        <f>IFERROR(VLOOKUP(B716,双一流!$B$2:$D$148,3,FALSE),"")</f>
        <v/>
      </c>
      <c r="I716" s="32">
        <f>IFERROR(VLOOKUP(B716,汇总!$B$2:$I$2921,8,FALSE),"")</f>
        <v>0</v>
      </c>
      <c r="J716" s="29" t="s">
        <v>11</v>
      </c>
      <c r="K716" s="33" t="s">
        <v>12</v>
      </c>
    </row>
    <row r="717" ht="33.75" spans="1:11">
      <c r="A717" s="34">
        <v>716</v>
      </c>
      <c r="B717" s="34" t="s">
        <v>934</v>
      </c>
      <c r="C717" s="29" t="str">
        <f>VLOOKUP(B717,教育部大学名单!$B$1:$D$2920,3,FALSE)</f>
        <v>广西壮族自治区</v>
      </c>
      <c r="D717" s="34" t="s">
        <v>902</v>
      </c>
      <c r="E717" s="34" t="s">
        <v>935</v>
      </c>
      <c r="F717" s="36" t="str">
        <f>IFERROR(VLOOKUP(B717,'985'!$B$2:$D$40,3,FALSE),"")</f>
        <v/>
      </c>
      <c r="G717" s="32" t="str">
        <f>IFERROR(VLOOKUP(B717,'211'!$B$2:$D$116,3,FALSE),"")</f>
        <v/>
      </c>
      <c r="H717" s="32" t="str">
        <f>IFERROR(VLOOKUP(B717,双一流!$B$2:$D$148,3,FALSE),"")</f>
        <v/>
      </c>
      <c r="I717" s="32">
        <f>IFERROR(VLOOKUP(B717,汇总!$B$2:$I$2921,8,FALSE),"")</f>
        <v>0</v>
      </c>
      <c r="J717" s="34" t="s">
        <v>11</v>
      </c>
      <c r="K717" s="35" t="s">
        <v>12</v>
      </c>
    </row>
    <row r="718" ht="33.75" spans="1:11">
      <c r="A718" s="29">
        <v>717</v>
      </c>
      <c r="B718" s="29" t="s">
        <v>936</v>
      </c>
      <c r="C718" s="29" t="str">
        <f>VLOOKUP(B718,教育部大学名单!$B$1:$D$2920,3,FALSE)</f>
        <v>广西壮族自治区</v>
      </c>
      <c r="D718" s="29" t="s">
        <v>902</v>
      </c>
      <c r="E718" s="29" t="s">
        <v>903</v>
      </c>
      <c r="F718" s="36" t="str">
        <f>IFERROR(VLOOKUP(B718,'985'!$B$2:$D$40,3,FALSE),"")</f>
        <v/>
      </c>
      <c r="G718" s="32" t="str">
        <f>IFERROR(VLOOKUP(B718,'211'!$B$2:$D$116,3,FALSE),"")</f>
        <v/>
      </c>
      <c r="H718" s="32" t="str">
        <f>IFERROR(VLOOKUP(B718,双一流!$B$2:$D$148,3,FALSE),"")</f>
        <v/>
      </c>
      <c r="I718" s="32">
        <f>IFERROR(VLOOKUP(B718,汇总!$B$2:$I$2921,8,FALSE),"")</f>
        <v>0</v>
      </c>
      <c r="J718" s="29" t="s">
        <v>11</v>
      </c>
      <c r="K718" s="33" t="s">
        <v>12</v>
      </c>
    </row>
    <row r="719" ht="33.75" spans="1:11">
      <c r="A719" s="34">
        <v>718</v>
      </c>
      <c r="B719" s="34" t="s">
        <v>937</v>
      </c>
      <c r="C719" s="29" t="str">
        <f>VLOOKUP(B719,教育部大学名单!$B$1:$D$2920,3,FALSE)</f>
        <v>广西壮族自治区</v>
      </c>
      <c r="D719" s="34" t="s">
        <v>902</v>
      </c>
      <c r="E719" s="34" t="s">
        <v>903</v>
      </c>
      <c r="F719" s="36" t="str">
        <f>IFERROR(VLOOKUP(B719,'985'!$B$2:$D$40,3,FALSE),"")</f>
        <v/>
      </c>
      <c r="G719" s="32" t="str">
        <f>IFERROR(VLOOKUP(B719,'211'!$B$2:$D$116,3,FALSE),"")</f>
        <v/>
      </c>
      <c r="H719" s="32" t="str">
        <f>IFERROR(VLOOKUP(B719,双一流!$B$2:$D$148,3,FALSE),"")</f>
        <v/>
      </c>
      <c r="I719" s="32">
        <f>IFERROR(VLOOKUP(B719,汇总!$B$2:$I$2921,8,FALSE),"")</f>
        <v>0</v>
      </c>
      <c r="J719" s="34" t="s">
        <v>11</v>
      </c>
      <c r="K719" s="35" t="s">
        <v>12</v>
      </c>
    </row>
    <row r="720" ht="33.75" spans="1:11">
      <c r="A720" s="29">
        <v>719</v>
      </c>
      <c r="B720" s="29" t="s">
        <v>938</v>
      </c>
      <c r="C720" s="29" t="str">
        <f>VLOOKUP(B720,教育部大学名单!$B$1:$D$2920,3,FALSE)</f>
        <v>广西壮族自治区</v>
      </c>
      <c r="D720" s="29" t="s">
        <v>902</v>
      </c>
      <c r="E720" s="29" t="s">
        <v>903</v>
      </c>
      <c r="F720" s="36" t="str">
        <f>IFERROR(VLOOKUP(B720,'985'!$B$2:$D$40,3,FALSE),"")</f>
        <v/>
      </c>
      <c r="G720" s="32" t="str">
        <f>IFERROR(VLOOKUP(B720,'211'!$B$2:$D$116,3,FALSE),"")</f>
        <v/>
      </c>
      <c r="H720" s="32" t="str">
        <f>IFERROR(VLOOKUP(B720,双一流!$B$2:$D$148,3,FALSE),"")</f>
        <v/>
      </c>
      <c r="I720" s="32">
        <f>IFERROR(VLOOKUP(B720,汇总!$B$2:$I$2921,8,FALSE),"")</f>
        <v>0</v>
      </c>
      <c r="J720" s="29" t="s">
        <v>11</v>
      </c>
      <c r="K720" s="33" t="s">
        <v>12</v>
      </c>
    </row>
    <row r="721" ht="33.75" spans="1:11">
      <c r="A721" s="34">
        <v>720</v>
      </c>
      <c r="B721" s="34" t="s">
        <v>939</v>
      </c>
      <c r="C721" s="29" t="str">
        <f>VLOOKUP(B721,教育部大学名单!$B$1:$D$2920,3,FALSE)</f>
        <v>广西壮族自治区</v>
      </c>
      <c r="D721" s="34" t="s">
        <v>902</v>
      </c>
      <c r="E721" s="34" t="s">
        <v>903</v>
      </c>
      <c r="F721" s="36" t="str">
        <f>IFERROR(VLOOKUP(B721,'985'!$B$2:$D$40,3,FALSE),"")</f>
        <v/>
      </c>
      <c r="G721" s="32" t="str">
        <f>IFERROR(VLOOKUP(B721,'211'!$B$2:$D$116,3,FALSE),"")</f>
        <v/>
      </c>
      <c r="H721" s="32" t="str">
        <f>IFERROR(VLOOKUP(B721,双一流!$B$2:$D$148,3,FALSE),"")</f>
        <v/>
      </c>
      <c r="I721" s="32">
        <f>IFERROR(VLOOKUP(B721,汇总!$B$2:$I$2921,8,FALSE),"")</f>
        <v>0</v>
      </c>
      <c r="J721" s="34" t="s">
        <v>11</v>
      </c>
      <c r="K721" s="35" t="s">
        <v>12</v>
      </c>
    </row>
    <row r="722" ht="33.75" spans="1:11">
      <c r="A722" s="29">
        <v>721</v>
      </c>
      <c r="B722" s="29" t="s">
        <v>940</v>
      </c>
      <c r="C722" s="29" t="str">
        <f>VLOOKUP(B722,教育部大学名单!$B$1:$D$2920,3,FALSE)</f>
        <v>广西壮族自治区</v>
      </c>
      <c r="D722" s="29" t="s">
        <v>902</v>
      </c>
      <c r="E722" s="29" t="s">
        <v>907</v>
      </c>
      <c r="F722" s="36" t="str">
        <f>IFERROR(VLOOKUP(B722,'985'!$B$2:$D$40,3,FALSE),"")</f>
        <v/>
      </c>
      <c r="G722" s="32" t="str">
        <f>IFERROR(VLOOKUP(B722,'211'!$B$2:$D$116,3,FALSE),"")</f>
        <v/>
      </c>
      <c r="H722" s="32" t="str">
        <f>IFERROR(VLOOKUP(B722,双一流!$B$2:$D$148,3,FALSE),"")</f>
        <v/>
      </c>
      <c r="I722" s="32" t="str">
        <f>IFERROR(VLOOKUP(B722,汇总!$B$2:$I$2921,8,FALSE),"")</f>
        <v/>
      </c>
      <c r="J722" s="29" t="s">
        <v>11</v>
      </c>
      <c r="K722" s="33" t="s">
        <v>12</v>
      </c>
    </row>
    <row r="723" ht="33.75" spans="1:11">
      <c r="A723" s="34">
        <v>722</v>
      </c>
      <c r="B723" s="34" t="s">
        <v>941</v>
      </c>
      <c r="C723" s="29" t="str">
        <f>VLOOKUP(B723,教育部大学名单!$B$1:$D$2920,3,FALSE)</f>
        <v>广西壮族自治区</v>
      </c>
      <c r="D723" s="34" t="s">
        <v>902</v>
      </c>
      <c r="E723" s="34" t="s">
        <v>905</v>
      </c>
      <c r="F723" s="36" t="str">
        <f>IFERROR(VLOOKUP(B723,'985'!$B$2:$D$40,3,FALSE),"")</f>
        <v/>
      </c>
      <c r="G723" s="32" t="str">
        <f>IFERROR(VLOOKUP(B723,'211'!$B$2:$D$116,3,FALSE),"")</f>
        <v/>
      </c>
      <c r="H723" s="32" t="str">
        <f>IFERROR(VLOOKUP(B723,双一流!$B$2:$D$148,3,FALSE),"")</f>
        <v/>
      </c>
      <c r="I723" s="32">
        <f>IFERROR(VLOOKUP(B723,汇总!$B$2:$I$2921,8,FALSE),"")</f>
        <v>0</v>
      </c>
      <c r="J723" s="34" t="s">
        <v>11</v>
      </c>
      <c r="K723" s="35" t="s">
        <v>12</v>
      </c>
    </row>
    <row r="724" ht="17.25" spans="1:11">
      <c r="A724" s="29">
        <v>723</v>
      </c>
      <c r="B724" s="29" t="s">
        <v>942</v>
      </c>
      <c r="C724" s="29" t="str">
        <f>VLOOKUP(B724,教育部大学名单!$B$1:$D$2920,3,FALSE)</f>
        <v>海南省</v>
      </c>
      <c r="D724" s="29" t="s">
        <v>943</v>
      </c>
      <c r="E724" s="29" t="s">
        <v>944</v>
      </c>
      <c r="F724" s="36" t="str">
        <f>IFERROR(VLOOKUP(B724,'985'!$B$2:$D$40,3,FALSE),"")</f>
        <v/>
      </c>
      <c r="G724" s="31">
        <f>IFERROR(VLOOKUP(B724,'211'!$B$2:$D$116,3,FALSE),"")</f>
        <v>211</v>
      </c>
      <c r="H724" s="32" t="str">
        <f>IFERROR(VLOOKUP(B724,双一流!$B$2:$D$148,3,FALSE),"")</f>
        <v>双一流</v>
      </c>
      <c r="I724" s="32" t="str">
        <f>IFERROR(VLOOKUP(B724,汇总!$B$2:$I$2921,8,FALSE),"")</f>
        <v>综合</v>
      </c>
      <c r="J724" s="29" t="s">
        <v>11</v>
      </c>
      <c r="K724" s="33" t="s">
        <v>12</v>
      </c>
    </row>
    <row r="725" ht="33.75" spans="1:11">
      <c r="A725" s="34">
        <v>724</v>
      </c>
      <c r="B725" s="34" t="s">
        <v>945</v>
      </c>
      <c r="C725" s="29" t="str">
        <f>VLOOKUP(B725,教育部大学名单!$B$1:$D$2920,3,FALSE)</f>
        <v>海南省</v>
      </c>
      <c r="D725" s="34" t="s">
        <v>943</v>
      </c>
      <c r="E725" s="34" t="s">
        <v>946</v>
      </c>
      <c r="F725" s="36" t="str">
        <f>IFERROR(VLOOKUP(B725,'985'!$B$2:$D$40,3,FALSE),"")</f>
        <v/>
      </c>
      <c r="G725" s="32" t="str">
        <f>IFERROR(VLOOKUP(B725,'211'!$B$2:$D$116,3,FALSE),"")</f>
        <v/>
      </c>
      <c r="H725" s="32" t="str">
        <f>IFERROR(VLOOKUP(B725,双一流!$B$2:$D$148,3,FALSE),"")</f>
        <v/>
      </c>
      <c r="I725" s="32">
        <f>IFERROR(VLOOKUP(B725,汇总!$B$2:$I$2921,8,FALSE),"")</f>
        <v>0</v>
      </c>
      <c r="J725" s="34" t="s">
        <v>11</v>
      </c>
      <c r="K725" s="35" t="s">
        <v>12</v>
      </c>
    </row>
    <row r="726" ht="33.75" spans="1:11">
      <c r="A726" s="29">
        <v>725</v>
      </c>
      <c r="B726" s="29" t="s">
        <v>947</v>
      </c>
      <c r="C726" s="29" t="str">
        <f>VLOOKUP(B726,教育部大学名单!$B$1:$D$2920,3,FALSE)</f>
        <v>海南省</v>
      </c>
      <c r="D726" s="29" t="s">
        <v>943</v>
      </c>
      <c r="E726" s="29" t="s">
        <v>944</v>
      </c>
      <c r="F726" s="36" t="str">
        <f>IFERROR(VLOOKUP(B726,'985'!$B$2:$D$40,3,FALSE),"")</f>
        <v/>
      </c>
      <c r="G726" s="32" t="str">
        <f>IFERROR(VLOOKUP(B726,'211'!$B$2:$D$116,3,FALSE),"")</f>
        <v/>
      </c>
      <c r="H726" s="32" t="str">
        <f>IFERROR(VLOOKUP(B726,双一流!$B$2:$D$148,3,FALSE),"")</f>
        <v/>
      </c>
      <c r="I726" s="32" t="str">
        <f>IFERROR(VLOOKUP(B726,汇总!$B$2:$I$2921,8,FALSE),"")</f>
        <v>师范</v>
      </c>
      <c r="J726" s="29" t="s">
        <v>11</v>
      </c>
      <c r="K726" s="33" t="s">
        <v>12</v>
      </c>
    </row>
    <row r="727" ht="33.75" spans="1:11">
      <c r="A727" s="34">
        <v>726</v>
      </c>
      <c r="B727" s="34" t="s">
        <v>948</v>
      </c>
      <c r="C727" s="29" t="str">
        <f>VLOOKUP(B727,教育部大学名单!$B$1:$D$2920,3,FALSE)</f>
        <v>海南省</v>
      </c>
      <c r="D727" s="34" t="s">
        <v>943</v>
      </c>
      <c r="E727" s="34" t="s">
        <v>944</v>
      </c>
      <c r="F727" s="36" t="str">
        <f>IFERROR(VLOOKUP(B727,'985'!$B$2:$D$40,3,FALSE),"")</f>
        <v/>
      </c>
      <c r="G727" s="32" t="str">
        <f>IFERROR(VLOOKUP(B727,'211'!$B$2:$D$116,3,FALSE),"")</f>
        <v/>
      </c>
      <c r="H727" s="32" t="str">
        <f>IFERROR(VLOOKUP(B727,双一流!$B$2:$D$148,3,FALSE),"")</f>
        <v/>
      </c>
      <c r="I727" s="32">
        <f>IFERROR(VLOOKUP(B727,汇总!$B$2:$I$2921,8,FALSE),"")</f>
        <v>0</v>
      </c>
      <c r="J727" s="34" t="s">
        <v>11</v>
      </c>
      <c r="K727" s="35" t="s">
        <v>12</v>
      </c>
    </row>
    <row r="728" ht="33.75" spans="1:11">
      <c r="A728" s="29">
        <v>727</v>
      </c>
      <c r="B728" s="29" t="s">
        <v>949</v>
      </c>
      <c r="C728" s="29" t="str">
        <f>VLOOKUP(B728,教育部大学名单!$B$1:$D$2920,3,FALSE)</f>
        <v>海南省</v>
      </c>
      <c r="D728" s="29" t="s">
        <v>943</v>
      </c>
      <c r="E728" s="29" t="s">
        <v>944</v>
      </c>
      <c r="F728" s="36" t="str">
        <f>IFERROR(VLOOKUP(B728,'985'!$B$2:$D$40,3,FALSE),"")</f>
        <v/>
      </c>
      <c r="G728" s="32" t="str">
        <f>IFERROR(VLOOKUP(B728,'211'!$B$2:$D$116,3,FALSE),"")</f>
        <v/>
      </c>
      <c r="H728" s="32" t="str">
        <f>IFERROR(VLOOKUP(B728,双一流!$B$2:$D$148,3,FALSE),"")</f>
        <v/>
      </c>
      <c r="I728" s="32">
        <f>IFERROR(VLOOKUP(B728,汇总!$B$2:$I$2921,8,FALSE),"")</f>
        <v>0</v>
      </c>
      <c r="J728" s="29" t="s">
        <v>11</v>
      </c>
      <c r="K728" s="33" t="s">
        <v>12</v>
      </c>
    </row>
    <row r="729" ht="17.25" spans="1:11">
      <c r="A729" s="34">
        <v>728</v>
      </c>
      <c r="B729" s="34" t="s">
        <v>950</v>
      </c>
      <c r="C729" s="29" t="str">
        <f>VLOOKUP(B729,教育部大学名单!$B$1:$D$2920,3,FALSE)</f>
        <v>教育部</v>
      </c>
      <c r="D729" s="34" t="s">
        <v>951</v>
      </c>
      <c r="E729" s="34" t="s">
        <v>951</v>
      </c>
      <c r="F729" s="30">
        <f>IFERROR(VLOOKUP(B729,'985'!$B$2:$D$40,3,FALSE),"")</f>
        <v>985</v>
      </c>
      <c r="G729" s="31">
        <f>IFERROR(VLOOKUP(B729,'211'!$B$2:$D$116,3,FALSE),"")</f>
        <v>211</v>
      </c>
      <c r="H729" s="32" t="str">
        <f>IFERROR(VLOOKUP(B729,双一流!$B$2:$D$148,3,FALSE),"")</f>
        <v>双一流</v>
      </c>
      <c r="I729" s="32" t="str">
        <f>IFERROR(VLOOKUP(B729,汇总!$B$2:$I$2921,8,FALSE),"")</f>
        <v>综合</v>
      </c>
      <c r="J729" s="34" t="s">
        <v>11</v>
      </c>
      <c r="K729" s="35" t="s">
        <v>12</v>
      </c>
    </row>
    <row r="730" ht="33.75" spans="1:11">
      <c r="A730" s="29">
        <v>729</v>
      </c>
      <c r="B730" s="29" t="s">
        <v>952</v>
      </c>
      <c r="C730" s="29" t="str">
        <f>VLOOKUP(B730,教育部大学名单!$B$1:$D$2920,3,FALSE)</f>
        <v>重庆市</v>
      </c>
      <c r="D730" s="29" t="s">
        <v>951</v>
      </c>
      <c r="E730" s="29" t="s">
        <v>951</v>
      </c>
      <c r="F730" s="36" t="str">
        <f>IFERROR(VLOOKUP(B730,'985'!$B$2:$D$40,3,FALSE),"")</f>
        <v/>
      </c>
      <c r="G730" s="32" t="str">
        <f>IFERROR(VLOOKUP(B730,'211'!$B$2:$D$116,3,FALSE),"")</f>
        <v/>
      </c>
      <c r="H730" s="32" t="str">
        <f>IFERROR(VLOOKUP(B730,双一流!$B$2:$D$148,3,FALSE),"")</f>
        <v/>
      </c>
      <c r="I730" s="32" t="str">
        <f>IFERROR(VLOOKUP(B730,汇总!$B$2:$I$2921,8,FALSE),"")</f>
        <v>理工</v>
      </c>
      <c r="J730" s="29" t="s">
        <v>11</v>
      </c>
      <c r="K730" s="33" t="s">
        <v>12</v>
      </c>
    </row>
    <row r="731" ht="33.75" spans="1:11">
      <c r="A731" s="34">
        <v>730</v>
      </c>
      <c r="B731" s="34" t="s">
        <v>953</v>
      </c>
      <c r="C731" s="29" t="str">
        <f>VLOOKUP(B731,教育部大学名单!$B$1:$D$2920,3,FALSE)</f>
        <v>重庆市</v>
      </c>
      <c r="D731" s="34" t="s">
        <v>951</v>
      </c>
      <c r="E731" s="34" t="s">
        <v>951</v>
      </c>
      <c r="F731" s="36" t="str">
        <f>IFERROR(VLOOKUP(B731,'985'!$B$2:$D$40,3,FALSE),"")</f>
        <v/>
      </c>
      <c r="G731" s="32" t="str">
        <f>IFERROR(VLOOKUP(B731,'211'!$B$2:$D$116,3,FALSE),"")</f>
        <v/>
      </c>
      <c r="H731" s="32" t="str">
        <f>IFERROR(VLOOKUP(B731,双一流!$B$2:$D$148,3,FALSE),"")</f>
        <v/>
      </c>
      <c r="I731" s="32" t="str">
        <f>IFERROR(VLOOKUP(B731,汇总!$B$2:$I$2921,8,FALSE),"")</f>
        <v>理工</v>
      </c>
      <c r="J731" s="34" t="s">
        <v>11</v>
      </c>
      <c r="K731" s="35" t="s">
        <v>12</v>
      </c>
    </row>
    <row r="732" ht="33.75" spans="1:11">
      <c r="A732" s="29">
        <v>731</v>
      </c>
      <c r="B732" s="29" t="s">
        <v>954</v>
      </c>
      <c r="C732" s="29" t="str">
        <f>VLOOKUP(B732,教育部大学名单!$B$1:$D$2920,3,FALSE)</f>
        <v>重庆市</v>
      </c>
      <c r="D732" s="29" t="s">
        <v>951</v>
      </c>
      <c r="E732" s="29" t="s">
        <v>951</v>
      </c>
      <c r="F732" s="36" t="str">
        <f>IFERROR(VLOOKUP(B732,'985'!$B$2:$D$40,3,FALSE),"")</f>
        <v/>
      </c>
      <c r="G732" s="32" t="str">
        <f>IFERROR(VLOOKUP(B732,'211'!$B$2:$D$116,3,FALSE),"")</f>
        <v/>
      </c>
      <c r="H732" s="32" t="str">
        <f>IFERROR(VLOOKUP(B732,双一流!$B$2:$D$148,3,FALSE),"")</f>
        <v/>
      </c>
      <c r="I732" s="32" t="str">
        <f>IFERROR(VLOOKUP(B732,汇总!$B$2:$I$2921,8,FALSE),"")</f>
        <v>医药</v>
      </c>
      <c r="J732" s="29" t="s">
        <v>11</v>
      </c>
      <c r="K732" s="33" t="s">
        <v>12</v>
      </c>
    </row>
    <row r="733" ht="17.25" spans="1:11">
      <c r="A733" s="34">
        <v>732</v>
      </c>
      <c r="B733" s="34" t="s">
        <v>955</v>
      </c>
      <c r="C733" s="29" t="str">
        <f>VLOOKUP(B733,教育部大学名单!$B$1:$D$2920,3,FALSE)</f>
        <v>教育部</v>
      </c>
      <c r="D733" s="34" t="s">
        <v>951</v>
      </c>
      <c r="E733" s="34" t="s">
        <v>951</v>
      </c>
      <c r="F733" s="36" t="str">
        <f>IFERROR(VLOOKUP(B733,'985'!$B$2:$D$40,3,FALSE),"")</f>
        <v/>
      </c>
      <c r="G733" s="31">
        <f>IFERROR(VLOOKUP(B733,'211'!$B$2:$D$116,3,FALSE),"")</f>
        <v>211</v>
      </c>
      <c r="H733" s="32" t="str">
        <f>IFERROR(VLOOKUP(B733,双一流!$B$2:$D$148,3,FALSE),"")</f>
        <v>双一流</v>
      </c>
      <c r="I733" s="32" t="str">
        <f>IFERROR(VLOOKUP(B733,汇总!$B$2:$I$2921,8,FALSE),"")</f>
        <v>师范</v>
      </c>
      <c r="J733" s="34" t="s">
        <v>11</v>
      </c>
      <c r="K733" s="35" t="s">
        <v>12</v>
      </c>
    </row>
    <row r="734" ht="33.75" spans="1:11">
      <c r="A734" s="29">
        <v>733</v>
      </c>
      <c r="B734" s="29" t="s">
        <v>956</v>
      </c>
      <c r="C734" s="29" t="str">
        <f>VLOOKUP(B734,教育部大学名单!$B$1:$D$2920,3,FALSE)</f>
        <v>重庆市</v>
      </c>
      <c r="D734" s="29" t="s">
        <v>951</v>
      </c>
      <c r="E734" s="29" t="s">
        <v>951</v>
      </c>
      <c r="F734" s="36" t="str">
        <f>IFERROR(VLOOKUP(B734,'985'!$B$2:$D$40,3,FALSE),"")</f>
        <v/>
      </c>
      <c r="G734" s="32" t="str">
        <f>IFERROR(VLOOKUP(B734,'211'!$B$2:$D$116,3,FALSE),"")</f>
        <v/>
      </c>
      <c r="H734" s="32" t="str">
        <f>IFERROR(VLOOKUP(B734,双一流!$B$2:$D$148,3,FALSE),"")</f>
        <v/>
      </c>
      <c r="I734" s="32" t="str">
        <f>IFERROR(VLOOKUP(B734,汇总!$B$2:$I$2921,8,FALSE),"")</f>
        <v>师范</v>
      </c>
      <c r="J734" s="29" t="s">
        <v>11</v>
      </c>
      <c r="K734" s="33" t="s">
        <v>12</v>
      </c>
    </row>
    <row r="735" ht="33.75" spans="1:11">
      <c r="A735" s="34">
        <v>734</v>
      </c>
      <c r="B735" s="34" t="s">
        <v>957</v>
      </c>
      <c r="C735" s="29" t="str">
        <f>VLOOKUP(B735,教育部大学名单!$B$1:$D$2920,3,FALSE)</f>
        <v>重庆市</v>
      </c>
      <c r="D735" s="34" t="s">
        <v>951</v>
      </c>
      <c r="E735" s="34" t="s">
        <v>951</v>
      </c>
      <c r="F735" s="36" t="str">
        <f>IFERROR(VLOOKUP(B735,'985'!$B$2:$D$40,3,FALSE),"")</f>
        <v/>
      </c>
      <c r="G735" s="32" t="str">
        <f>IFERROR(VLOOKUP(B735,'211'!$B$2:$D$116,3,FALSE),"")</f>
        <v/>
      </c>
      <c r="H735" s="32" t="str">
        <f>IFERROR(VLOOKUP(B735,双一流!$B$2:$D$148,3,FALSE),"")</f>
        <v/>
      </c>
      <c r="I735" s="32">
        <f>IFERROR(VLOOKUP(B735,汇总!$B$2:$I$2921,8,FALSE),"")</f>
        <v>0</v>
      </c>
      <c r="J735" s="34" t="s">
        <v>11</v>
      </c>
      <c r="K735" s="35" t="s">
        <v>12</v>
      </c>
    </row>
    <row r="736" ht="33.75" spans="1:11">
      <c r="A736" s="29">
        <v>735</v>
      </c>
      <c r="B736" s="29" t="s">
        <v>958</v>
      </c>
      <c r="C736" s="29" t="e">
        <f>VLOOKUP(B736,教育部大学名单!$B$1:$D$2920,3,FALSE)</f>
        <v>#N/A</v>
      </c>
      <c r="D736" s="29" t="s">
        <v>951</v>
      </c>
      <c r="E736" s="29" t="s">
        <v>951</v>
      </c>
      <c r="F736" s="36" t="str">
        <f>IFERROR(VLOOKUP(B736,'985'!$B$2:$D$40,3,FALSE),"")</f>
        <v/>
      </c>
      <c r="G736" s="32" t="str">
        <f>IFERROR(VLOOKUP(B736,'211'!$B$2:$D$116,3,FALSE),"")</f>
        <v/>
      </c>
      <c r="H736" s="32" t="str">
        <f>IFERROR(VLOOKUP(B736,双一流!$B$2:$D$148,3,FALSE),"")</f>
        <v/>
      </c>
      <c r="I736" s="32" t="str">
        <f>IFERROR(VLOOKUP(B736,汇总!$B$2:$I$2921,8,FALSE),"")</f>
        <v/>
      </c>
      <c r="J736" s="29" t="s">
        <v>11</v>
      </c>
      <c r="K736" s="33" t="s">
        <v>12</v>
      </c>
    </row>
    <row r="737" ht="33.75" spans="1:11">
      <c r="A737" s="34">
        <v>736</v>
      </c>
      <c r="B737" s="34" t="s">
        <v>959</v>
      </c>
      <c r="C737" s="29" t="str">
        <f>VLOOKUP(B737,教育部大学名单!$B$1:$D$2920,3,FALSE)</f>
        <v>重庆市</v>
      </c>
      <c r="D737" s="34" t="s">
        <v>951</v>
      </c>
      <c r="E737" s="34" t="s">
        <v>951</v>
      </c>
      <c r="F737" s="36" t="str">
        <f>IFERROR(VLOOKUP(B737,'985'!$B$2:$D$40,3,FALSE),"")</f>
        <v/>
      </c>
      <c r="G737" s="32" t="str">
        <f>IFERROR(VLOOKUP(B737,'211'!$B$2:$D$116,3,FALSE),"")</f>
        <v/>
      </c>
      <c r="H737" s="32" t="str">
        <f>IFERROR(VLOOKUP(B737,双一流!$B$2:$D$148,3,FALSE),"")</f>
        <v/>
      </c>
      <c r="I737" s="32">
        <f>IFERROR(VLOOKUP(B737,汇总!$B$2:$I$2921,8,FALSE),"")</f>
        <v>0</v>
      </c>
      <c r="J737" s="34" t="s">
        <v>11</v>
      </c>
      <c r="K737" s="35" t="s">
        <v>12</v>
      </c>
    </row>
    <row r="738" ht="33.75" spans="1:11">
      <c r="A738" s="29">
        <v>737</v>
      </c>
      <c r="B738" s="29" t="s">
        <v>960</v>
      </c>
      <c r="C738" s="29" t="str">
        <f>VLOOKUP(B738,教育部大学名单!$B$1:$D$2920,3,FALSE)</f>
        <v>重庆市</v>
      </c>
      <c r="D738" s="29" t="s">
        <v>951</v>
      </c>
      <c r="E738" s="29" t="s">
        <v>951</v>
      </c>
      <c r="F738" s="36" t="str">
        <f>IFERROR(VLOOKUP(B738,'985'!$B$2:$D$40,3,FALSE),"")</f>
        <v/>
      </c>
      <c r="G738" s="32" t="str">
        <f>IFERROR(VLOOKUP(B738,'211'!$B$2:$D$116,3,FALSE),"")</f>
        <v/>
      </c>
      <c r="H738" s="32" t="str">
        <f>IFERROR(VLOOKUP(B738,双一流!$B$2:$D$148,3,FALSE),"")</f>
        <v/>
      </c>
      <c r="I738" s="32" t="str">
        <f>IFERROR(VLOOKUP(B738,汇总!$B$2:$I$2921,8,FALSE),"")</f>
        <v>语言</v>
      </c>
      <c r="J738" s="29" t="s">
        <v>11</v>
      </c>
      <c r="K738" s="33" t="s">
        <v>12</v>
      </c>
    </row>
    <row r="739" ht="33.75" spans="1:11">
      <c r="A739" s="34">
        <v>738</v>
      </c>
      <c r="B739" s="34" t="s">
        <v>961</v>
      </c>
      <c r="C739" s="29" t="str">
        <f>VLOOKUP(B739,教育部大学名单!$B$1:$D$2920,3,FALSE)</f>
        <v>重庆市</v>
      </c>
      <c r="D739" s="34" t="s">
        <v>951</v>
      </c>
      <c r="E739" s="34" t="s">
        <v>951</v>
      </c>
      <c r="F739" s="36" t="str">
        <f>IFERROR(VLOOKUP(B739,'985'!$B$2:$D$40,3,FALSE),"")</f>
        <v/>
      </c>
      <c r="G739" s="32" t="str">
        <f>IFERROR(VLOOKUP(B739,'211'!$B$2:$D$116,3,FALSE),"")</f>
        <v/>
      </c>
      <c r="H739" s="32" t="str">
        <f>IFERROR(VLOOKUP(B739,双一流!$B$2:$D$148,3,FALSE),"")</f>
        <v/>
      </c>
      <c r="I739" s="32" t="str">
        <f>IFERROR(VLOOKUP(B739,汇总!$B$2:$I$2921,8,FALSE),"")</f>
        <v>政法</v>
      </c>
      <c r="J739" s="34" t="s">
        <v>11</v>
      </c>
      <c r="K739" s="35" t="s">
        <v>12</v>
      </c>
    </row>
    <row r="740" ht="33.75" spans="1:11">
      <c r="A740" s="29">
        <v>739</v>
      </c>
      <c r="B740" s="29" t="s">
        <v>962</v>
      </c>
      <c r="C740" s="29" t="str">
        <f>VLOOKUP(B740,教育部大学名单!$B$1:$D$2920,3,FALSE)</f>
        <v>重庆市</v>
      </c>
      <c r="D740" s="29" t="s">
        <v>951</v>
      </c>
      <c r="E740" s="29" t="s">
        <v>951</v>
      </c>
      <c r="F740" s="36" t="str">
        <f>IFERROR(VLOOKUP(B740,'985'!$B$2:$D$40,3,FALSE),"")</f>
        <v/>
      </c>
      <c r="G740" s="32" t="str">
        <f>IFERROR(VLOOKUP(B740,'211'!$B$2:$D$116,3,FALSE),"")</f>
        <v/>
      </c>
      <c r="H740" s="32" t="str">
        <f>IFERROR(VLOOKUP(B740,双一流!$B$2:$D$148,3,FALSE),"")</f>
        <v/>
      </c>
      <c r="I740" s="32" t="str">
        <f>IFERROR(VLOOKUP(B740,汇总!$B$2:$I$2921,8,FALSE),"")</f>
        <v>艺术</v>
      </c>
      <c r="J740" s="29" t="s">
        <v>11</v>
      </c>
      <c r="K740" s="33" t="s">
        <v>12</v>
      </c>
    </row>
    <row r="741" ht="33.75" spans="1:11">
      <c r="A741" s="34">
        <v>740</v>
      </c>
      <c r="B741" s="34" t="s">
        <v>963</v>
      </c>
      <c r="C741" s="29" t="str">
        <f>VLOOKUP(B741,教育部大学名单!$B$1:$D$2920,3,FALSE)</f>
        <v>重庆市</v>
      </c>
      <c r="D741" s="34" t="s">
        <v>951</v>
      </c>
      <c r="E741" s="34" t="s">
        <v>951</v>
      </c>
      <c r="F741" s="36" t="str">
        <f>IFERROR(VLOOKUP(B741,'985'!$B$2:$D$40,3,FALSE),"")</f>
        <v/>
      </c>
      <c r="G741" s="32" t="str">
        <f>IFERROR(VLOOKUP(B741,'211'!$B$2:$D$116,3,FALSE),"")</f>
        <v/>
      </c>
      <c r="H741" s="32" t="str">
        <f>IFERROR(VLOOKUP(B741,双一流!$B$2:$D$148,3,FALSE),"")</f>
        <v/>
      </c>
      <c r="I741" s="32">
        <f>IFERROR(VLOOKUP(B741,汇总!$B$2:$I$2921,8,FALSE),"")</f>
        <v>0</v>
      </c>
      <c r="J741" s="34" t="s">
        <v>11</v>
      </c>
      <c r="K741" s="35" t="s">
        <v>12</v>
      </c>
    </row>
    <row r="742" ht="33.75" spans="1:11">
      <c r="A742" s="29">
        <v>741</v>
      </c>
      <c r="B742" s="29" t="s">
        <v>964</v>
      </c>
      <c r="C742" s="29" t="str">
        <f>VLOOKUP(B742,教育部大学名单!$B$1:$D$2920,3,FALSE)</f>
        <v>重庆市</v>
      </c>
      <c r="D742" s="29" t="s">
        <v>951</v>
      </c>
      <c r="E742" s="29" t="s">
        <v>951</v>
      </c>
      <c r="F742" s="36" t="str">
        <f>IFERROR(VLOOKUP(B742,'985'!$B$2:$D$40,3,FALSE),"")</f>
        <v/>
      </c>
      <c r="G742" s="32" t="str">
        <f>IFERROR(VLOOKUP(B742,'211'!$B$2:$D$116,3,FALSE),"")</f>
        <v/>
      </c>
      <c r="H742" s="32" t="str">
        <f>IFERROR(VLOOKUP(B742,双一流!$B$2:$D$148,3,FALSE),"")</f>
        <v/>
      </c>
      <c r="I742" s="32" t="str">
        <f>IFERROR(VLOOKUP(B742,汇总!$B$2:$I$2921,8,FALSE),"")</f>
        <v>理工</v>
      </c>
      <c r="J742" s="29" t="s">
        <v>11</v>
      </c>
      <c r="K742" s="33" t="s">
        <v>12</v>
      </c>
    </row>
    <row r="743" ht="33.75" spans="1:11">
      <c r="A743" s="34">
        <v>742</v>
      </c>
      <c r="B743" s="34" t="s">
        <v>965</v>
      </c>
      <c r="C743" s="29" t="str">
        <f>VLOOKUP(B743,教育部大学名单!$B$1:$D$2920,3,FALSE)</f>
        <v>重庆市</v>
      </c>
      <c r="D743" s="34" t="s">
        <v>951</v>
      </c>
      <c r="E743" s="34" t="s">
        <v>951</v>
      </c>
      <c r="F743" s="36" t="str">
        <f>IFERROR(VLOOKUP(B743,'985'!$B$2:$D$40,3,FALSE),"")</f>
        <v/>
      </c>
      <c r="G743" s="32" t="str">
        <f>IFERROR(VLOOKUP(B743,'211'!$B$2:$D$116,3,FALSE),"")</f>
        <v/>
      </c>
      <c r="H743" s="32" t="str">
        <f>IFERROR(VLOOKUP(B743,双一流!$B$2:$D$148,3,FALSE),"")</f>
        <v/>
      </c>
      <c r="I743" s="32" t="str">
        <f>IFERROR(VLOOKUP(B743,汇总!$B$2:$I$2921,8,FALSE),"")</f>
        <v>财经</v>
      </c>
      <c r="J743" s="34" t="s">
        <v>11</v>
      </c>
      <c r="K743" s="35" t="s">
        <v>12</v>
      </c>
    </row>
    <row r="744" ht="33.75" spans="1:11">
      <c r="A744" s="29">
        <v>743</v>
      </c>
      <c r="B744" s="29" t="s">
        <v>966</v>
      </c>
      <c r="C744" s="29" t="str">
        <f>VLOOKUP(B744,教育部大学名单!$B$1:$D$2920,3,FALSE)</f>
        <v>重庆市</v>
      </c>
      <c r="D744" s="29" t="s">
        <v>951</v>
      </c>
      <c r="E744" s="29" t="s">
        <v>951</v>
      </c>
      <c r="F744" s="36" t="str">
        <f>IFERROR(VLOOKUP(B744,'985'!$B$2:$D$40,3,FALSE),"")</f>
        <v/>
      </c>
      <c r="G744" s="32" t="str">
        <f>IFERROR(VLOOKUP(B744,'211'!$B$2:$D$116,3,FALSE),"")</f>
        <v/>
      </c>
      <c r="H744" s="32" t="str">
        <f>IFERROR(VLOOKUP(B744,双一流!$B$2:$D$148,3,FALSE),"")</f>
        <v/>
      </c>
      <c r="I744" s="32">
        <f>IFERROR(VLOOKUP(B744,汇总!$B$2:$I$2921,8,FALSE),"")</f>
        <v>0</v>
      </c>
      <c r="J744" s="29" t="s">
        <v>11</v>
      </c>
      <c r="K744" s="33" t="s">
        <v>12</v>
      </c>
    </row>
    <row r="745" ht="33.75" spans="1:11">
      <c r="A745" s="34">
        <v>744</v>
      </c>
      <c r="B745" s="34" t="s">
        <v>967</v>
      </c>
      <c r="C745" s="29" t="str">
        <f>VLOOKUP(B745,教育部大学名单!$B$1:$D$2920,3,FALSE)</f>
        <v>重庆市</v>
      </c>
      <c r="D745" s="34" t="s">
        <v>951</v>
      </c>
      <c r="E745" s="34" t="s">
        <v>951</v>
      </c>
      <c r="F745" s="36" t="str">
        <f>IFERROR(VLOOKUP(B745,'985'!$B$2:$D$40,3,FALSE),"")</f>
        <v/>
      </c>
      <c r="G745" s="32" t="str">
        <f>IFERROR(VLOOKUP(B745,'211'!$B$2:$D$116,3,FALSE),"")</f>
        <v/>
      </c>
      <c r="H745" s="32" t="str">
        <f>IFERROR(VLOOKUP(B745,双一流!$B$2:$D$148,3,FALSE),"")</f>
        <v/>
      </c>
      <c r="I745" s="32">
        <f>IFERROR(VLOOKUP(B745,汇总!$B$2:$I$2921,8,FALSE),"")</f>
        <v>0</v>
      </c>
      <c r="J745" s="34" t="s">
        <v>11</v>
      </c>
      <c r="K745" s="35" t="s">
        <v>12</v>
      </c>
    </row>
    <row r="746" ht="33.75" spans="1:11">
      <c r="A746" s="29">
        <v>745</v>
      </c>
      <c r="B746" s="29" t="s">
        <v>968</v>
      </c>
      <c r="C746" s="29" t="str">
        <f>VLOOKUP(B746,教育部大学名单!$B$1:$D$2920,3,FALSE)</f>
        <v>重庆市</v>
      </c>
      <c r="D746" s="29" t="s">
        <v>951</v>
      </c>
      <c r="E746" s="29" t="s">
        <v>951</v>
      </c>
      <c r="F746" s="36" t="str">
        <f>IFERROR(VLOOKUP(B746,'985'!$B$2:$D$40,3,FALSE),"")</f>
        <v/>
      </c>
      <c r="G746" s="32" t="str">
        <f>IFERROR(VLOOKUP(B746,'211'!$B$2:$D$116,3,FALSE),"")</f>
        <v/>
      </c>
      <c r="H746" s="32" t="str">
        <f>IFERROR(VLOOKUP(B746,双一流!$B$2:$D$148,3,FALSE),"")</f>
        <v/>
      </c>
      <c r="I746" s="32" t="str">
        <f>IFERROR(VLOOKUP(B746,汇总!$B$2:$I$2921,8,FALSE),"")</f>
        <v/>
      </c>
      <c r="J746" s="29" t="s">
        <v>11</v>
      </c>
      <c r="K746" s="33" t="s">
        <v>12</v>
      </c>
    </row>
    <row r="747" ht="33.75" spans="1:11">
      <c r="A747" s="34">
        <v>746</v>
      </c>
      <c r="B747" s="34" t="s">
        <v>969</v>
      </c>
      <c r="C747" s="29" t="str">
        <f>VLOOKUP(B747,教育部大学名单!$B$1:$D$2920,3,FALSE)</f>
        <v>重庆市</v>
      </c>
      <c r="D747" s="34" t="s">
        <v>951</v>
      </c>
      <c r="E747" s="34" t="s">
        <v>951</v>
      </c>
      <c r="F747" s="36" t="str">
        <f>IFERROR(VLOOKUP(B747,'985'!$B$2:$D$40,3,FALSE),"")</f>
        <v/>
      </c>
      <c r="G747" s="32" t="str">
        <f>IFERROR(VLOOKUP(B747,'211'!$B$2:$D$116,3,FALSE),"")</f>
        <v/>
      </c>
      <c r="H747" s="32" t="str">
        <f>IFERROR(VLOOKUP(B747,双一流!$B$2:$D$148,3,FALSE),"")</f>
        <v/>
      </c>
      <c r="I747" s="32">
        <f>IFERROR(VLOOKUP(B747,汇总!$B$2:$I$2921,8,FALSE),"")</f>
        <v>0</v>
      </c>
      <c r="J747" s="34" t="s">
        <v>11</v>
      </c>
      <c r="K747" s="35" t="s">
        <v>12</v>
      </c>
    </row>
    <row r="748" ht="17.25" spans="1:11">
      <c r="A748" s="29">
        <v>747</v>
      </c>
      <c r="B748" s="29" t="s">
        <v>970</v>
      </c>
      <c r="C748" s="29" t="str">
        <f>VLOOKUP(B748,教育部大学名单!$B$1:$D$2920,3,FALSE)</f>
        <v>教育部</v>
      </c>
      <c r="D748" s="29" t="s">
        <v>971</v>
      </c>
      <c r="E748" s="29" t="s">
        <v>972</v>
      </c>
      <c r="F748" s="30">
        <f>IFERROR(VLOOKUP(B748,'985'!$B$2:$D$40,3,FALSE),"")</f>
        <v>985</v>
      </c>
      <c r="G748" s="31">
        <f>IFERROR(VLOOKUP(B748,'211'!$B$2:$D$116,3,FALSE),"")</f>
        <v>211</v>
      </c>
      <c r="H748" s="32" t="str">
        <f>IFERROR(VLOOKUP(B748,双一流!$B$2:$D$148,3,FALSE),"")</f>
        <v>双一流</v>
      </c>
      <c r="I748" s="32" t="str">
        <f>IFERROR(VLOOKUP(B748,汇总!$B$2:$I$2921,8,FALSE),"")</f>
        <v>综合</v>
      </c>
      <c r="J748" s="29" t="s">
        <v>11</v>
      </c>
      <c r="K748" s="33" t="s">
        <v>12</v>
      </c>
    </row>
    <row r="749" ht="33.75" spans="1:11">
      <c r="A749" s="34">
        <v>748</v>
      </c>
      <c r="B749" s="34" t="s">
        <v>973</v>
      </c>
      <c r="C749" s="29" t="str">
        <f>VLOOKUP(B749,教育部大学名单!$B$1:$D$2920,3,FALSE)</f>
        <v>教育部</v>
      </c>
      <c r="D749" s="34" t="s">
        <v>971</v>
      </c>
      <c r="E749" s="34" t="s">
        <v>972</v>
      </c>
      <c r="F749" s="36" t="str">
        <f>IFERROR(VLOOKUP(B749,'985'!$B$2:$D$40,3,FALSE),"")</f>
        <v/>
      </c>
      <c r="G749" s="31">
        <f>IFERROR(VLOOKUP(B749,'211'!$B$2:$D$116,3,FALSE),"")</f>
        <v>211</v>
      </c>
      <c r="H749" s="32" t="str">
        <f>IFERROR(VLOOKUP(B749,双一流!$B$2:$D$148,3,FALSE),"")</f>
        <v>双一流</v>
      </c>
      <c r="I749" s="32" t="str">
        <f>IFERROR(VLOOKUP(B749,汇总!$B$2:$I$2921,8,FALSE),"")</f>
        <v>理工</v>
      </c>
      <c r="J749" s="34" t="s">
        <v>11</v>
      </c>
      <c r="K749" s="35" t="s">
        <v>12</v>
      </c>
    </row>
    <row r="750" ht="33.75" spans="1:11">
      <c r="A750" s="29">
        <v>749</v>
      </c>
      <c r="B750" s="29" t="s">
        <v>974</v>
      </c>
      <c r="C750" s="29" t="str">
        <f>VLOOKUP(B750,教育部大学名单!$B$1:$D$2920,3,FALSE)</f>
        <v>教育部</v>
      </c>
      <c r="D750" s="29" t="s">
        <v>971</v>
      </c>
      <c r="E750" s="29" t="s">
        <v>972</v>
      </c>
      <c r="F750" s="30">
        <f>IFERROR(VLOOKUP(B750,'985'!$B$2:$D$40,3,FALSE),"")</f>
        <v>985</v>
      </c>
      <c r="G750" s="31">
        <f>IFERROR(VLOOKUP(B750,'211'!$B$2:$D$116,3,FALSE),"")</f>
        <v>211</v>
      </c>
      <c r="H750" s="32" t="str">
        <f>IFERROR(VLOOKUP(B750,双一流!$B$2:$D$148,3,FALSE),"")</f>
        <v>双一流</v>
      </c>
      <c r="I750" s="32" t="str">
        <f>IFERROR(VLOOKUP(B750,汇总!$B$2:$I$2921,8,FALSE),"")</f>
        <v>理工</v>
      </c>
      <c r="J750" s="29" t="s">
        <v>11</v>
      </c>
      <c r="K750" s="33" t="s">
        <v>12</v>
      </c>
    </row>
    <row r="751" ht="33.75" spans="1:11">
      <c r="A751" s="34">
        <v>750</v>
      </c>
      <c r="B751" s="34" t="s">
        <v>975</v>
      </c>
      <c r="C751" s="29" t="str">
        <f>VLOOKUP(B751,教育部大学名单!$B$1:$D$2920,3,FALSE)</f>
        <v>四川省</v>
      </c>
      <c r="D751" s="34" t="s">
        <v>971</v>
      </c>
      <c r="E751" s="34" t="s">
        <v>972</v>
      </c>
      <c r="F751" s="36" t="str">
        <f>IFERROR(VLOOKUP(B751,'985'!$B$2:$D$40,3,FALSE),"")</f>
        <v/>
      </c>
      <c r="G751" s="32" t="str">
        <f>IFERROR(VLOOKUP(B751,'211'!$B$2:$D$116,3,FALSE),"")</f>
        <v/>
      </c>
      <c r="H751" s="32" t="str">
        <f>IFERROR(VLOOKUP(B751,双一流!$B$2:$D$148,3,FALSE),"")</f>
        <v>双一流</v>
      </c>
      <c r="I751" s="32" t="str">
        <f>IFERROR(VLOOKUP(B751,汇总!$B$2:$I$2921,8,FALSE),"")</f>
        <v>理工</v>
      </c>
      <c r="J751" s="34" t="s">
        <v>11</v>
      </c>
      <c r="K751" s="35" t="s">
        <v>12</v>
      </c>
    </row>
    <row r="752" ht="33.75" spans="1:11">
      <c r="A752" s="29">
        <v>751</v>
      </c>
      <c r="B752" s="29" t="s">
        <v>976</v>
      </c>
      <c r="C752" s="29" t="str">
        <f>VLOOKUP(B752,教育部大学名单!$B$1:$D$2920,3,FALSE)</f>
        <v>四川省</v>
      </c>
      <c r="D752" s="29" t="s">
        <v>971</v>
      </c>
      <c r="E752" s="29" t="s">
        <v>972</v>
      </c>
      <c r="F752" s="36" t="str">
        <f>IFERROR(VLOOKUP(B752,'985'!$B$2:$D$40,3,FALSE),"")</f>
        <v/>
      </c>
      <c r="G752" s="32" t="str">
        <f>IFERROR(VLOOKUP(B752,'211'!$B$2:$D$116,3,FALSE),"")</f>
        <v/>
      </c>
      <c r="H752" s="32" t="str">
        <f>IFERROR(VLOOKUP(B752,双一流!$B$2:$D$148,3,FALSE),"")</f>
        <v>双一流</v>
      </c>
      <c r="I752" s="32" t="str">
        <f>IFERROR(VLOOKUP(B752,汇总!$B$2:$I$2921,8,FALSE),"")</f>
        <v>理工</v>
      </c>
      <c r="J752" s="29" t="s">
        <v>11</v>
      </c>
      <c r="K752" s="33" t="s">
        <v>12</v>
      </c>
    </row>
    <row r="753" ht="33.75" spans="1:11">
      <c r="A753" s="34">
        <v>752</v>
      </c>
      <c r="B753" s="34" t="s">
        <v>977</v>
      </c>
      <c r="C753" s="29" t="str">
        <f>VLOOKUP(B753,教育部大学名单!$B$1:$D$2920,3,FALSE)</f>
        <v>四川省</v>
      </c>
      <c r="D753" s="34" t="s">
        <v>971</v>
      </c>
      <c r="E753" s="34" t="s">
        <v>978</v>
      </c>
      <c r="F753" s="36" t="str">
        <f>IFERROR(VLOOKUP(B753,'985'!$B$2:$D$40,3,FALSE),"")</f>
        <v/>
      </c>
      <c r="G753" s="32" t="str">
        <f>IFERROR(VLOOKUP(B753,'211'!$B$2:$D$116,3,FALSE),"")</f>
        <v/>
      </c>
      <c r="H753" s="32" t="str">
        <f>IFERROR(VLOOKUP(B753,双一流!$B$2:$D$148,3,FALSE),"")</f>
        <v/>
      </c>
      <c r="I753" s="32" t="str">
        <f>IFERROR(VLOOKUP(B753,汇总!$B$2:$I$2921,8,FALSE),"")</f>
        <v>理工</v>
      </c>
      <c r="J753" s="34" t="s">
        <v>11</v>
      </c>
      <c r="K753" s="35" t="s">
        <v>12</v>
      </c>
    </row>
    <row r="754" ht="33.75" spans="1:11">
      <c r="A754" s="29">
        <v>753</v>
      </c>
      <c r="B754" s="29" t="s">
        <v>979</v>
      </c>
      <c r="C754" s="29" t="str">
        <f>VLOOKUP(B754,教育部大学名单!$B$1:$D$2920,3,FALSE)</f>
        <v>四川省</v>
      </c>
      <c r="D754" s="29" t="s">
        <v>971</v>
      </c>
      <c r="E754" s="29" t="s">
        <v>972</v>
      </c>
      <c r="F754" s="36" t="str">
        <f>IFERROR(VLOOKUP(B754,'985'!$B$2:$D$40,3,FALSE),"")</f>
        <v/>
      </c>
      <c r="G754" s="32" t="str">
        <f>IFERROR(VLOOKUP(B754,'211'!$B$2:$D$116,3,FALSE),"")</f>
        <v/>
      </c>
      <c r="H754" s="32" t="str">
        <f>IFERROR(VLOOKUP(B754,双一流!$B$2:$D$148,3,FALSE),"")</f>
        <v/>
      </c>
      <c r="I754" s="32" t="str">
        <f>IFERROR(VLOOKUP(B754,汇总!$B$2:$I$2921,8,FALSE),"")</f>
        <v>理工</v>
      </c>
      <c r="J754" s="29" t="s">
        <v>11</v>
      </c>
      <c r="K754" s="33" t="s">
        <v>12</v>
      </c>
    </row>
    <row r="755" ht="33.75" spans="1:11">
      <c r="A755" s="34">
        <v>754</v>
      </c>
      <c r="B755" s="34" t="s">
        <v>980</v>
      </c>
      <c r="C755" s="29" t="str">
        <f>VLOOKUP(B755,教育部大学名单!$B$1:$D$2920,3,FALSE)</f>
        <v>四川省</v>
      </c>
      <c r="D755" s="34" t="s">
        <v>971</v>
      </c>
      <c r="E755" s="34" t="s">
        <v>981</v>
      </c>
      <c r="F755" s="36" t="str">
        <f>IFERROR(VLOOKUP(B755,'985'!$B$2:$D$40,3,FALSE),"")</f>
        <v/>
      </c>
      <c r="G755" s="32" t="str">
        <f>IFERROR(VLOOKUP(B755,'211'!$B$2:$D$116,3,FALSE),"")</f>
        <v/>
      </c>
      <c r="H755" s="32" t="str">
        <f>IFERROR(VLOOKUP(B755,双一流!$B$2:$D$148,3,FALSE),"")</f>
        <v/>
      </c>
      <c r="I755" s="32">
        <f>IFERROR(VLOOKUP(B755,汇总!$B$2:$I$2921,8,FALSE),"")</f>
        <v>0</v>
      </c>
      <c r="J755" s="34" t="s">
        <v>11</v>
      </c>
      <c r="K755" s="35" t="s">
        <v>12</v>
      </c>
    </row>
    <row r="756" ht="17.25" spans="1:11">
      <c r="A756" s="29">
        <v>755</v>
      </c>
      <c r="B756" s="29" t="s">
        <v>982</v>
      </c>
      <c r="C756" s="29" t="str">
        <f>VLOOKUP(B756,教育部大学名单!$B$1:$D$2920,3,FALSE)</f>
        <v>四川省</v>
      </c>
      <c r="D756" s="29" t="s">
        <v>971</v>
      </c>
      <c r="E756" s="29" t="s">
        <v>972</v>
      </c>
      <c r="F756" s="36" t="str">
        <f>IFERROR(VLOOKUP(B756,'985'!$B$2:$D$40,3,FALSE),"")</f>
        <v/>
      </c>
      <c r="G756" s="32" t="str">
        <f>IFERROR(VLOOKUP(B756,'211'!$B$2:$D$116,3,FALSE),"")</f>
        <v/>
      </c>
      <c r="H756" s="32" t="str">
        <f>IFERROR(VLOOKUP(B756,双一流!$B$2:$D$148,3,FALSE),"")</f>
        <v/>
      </c>
      <c r="I756" s="32" t="str">
        <f>IFERROR(VLOOKUP(B756,汇总!$B$2:$I$2921,8,FALSE),"")</f>
        <v>综合</v>
      </c>
      <c r="J756" s="29" t="s">
        <v>11</v>
      </c>
      <c r="K756" s="33" t="s">
        <v>12</v>
      </c>
    </row>
    <row r="757" ht="50.25" spans="1:11">
      <c r="A757" s="34">
        <v>756</v>
      </c>
      <c r="B757" s="34" t="s">
        <v>983</v>
      </c>
      <c r="C757" s="29" t="str">
        <f>VLOOKUP(B757,教育部大学名单!$B$1:$D$2920,3,FALSE)</f>
        <v>交通运输部（中国民用航空局）</v>
      </c>
      <c r="D757" s="34" t="s">
        <v>971</v>
      </c>
      <c r="E757" s="34" t="s">
        <v>984</v>
      </c>
      <c r="F757" s="36" t="str">
        <f>IFERROR(VLOOKUP(B757,'985'!$B$2:$D$40,3,FALSE),"")</f>
        <v/>
      </c>
      <c r="G757" s="32" t="str">
        <f>IFERROR(VLOOKUP(B757,'211'!$B$2:$D$116,3,FALSE),"")</f>
        <v/>
      </c>
      <c r="H757" s="32" t="str">
        <f>IFERROR(VLOOKUP(B757,双一流!$B$2:$D$148,3,FALSE),"")</f>
        <v/>
      </c>
      <c r="I757" s="32">
        <f>IFERROR(VLOOKUP(B757,汇总!$B$2:$I$2921,8,FALSE),"")</f>
        <v>0</v>
      </c>
      <c r="J757" s="34" t="s">
        <v>11</v>
      </c>
      <c r="K757" s="35" t="s">
        <v>12</v>
      </c>
    </row>
    <row r="758" ht="33.75" spans="1:11">
      <c r="A758" s="29">
        <v>757</v>
      </c>
      <c r="B758" s="29" t="s">
        <v>985</v>
      </c>
      <c r="C758" s="29" t="str">
        <f>VLOOKUP(B758,教育部大学名单!$B$1:$D$2920,3,FALSE)</f>
        <v>四川省</v>
      </c>
      <c r="D758" s="29" t="s">
        <v>971</v>
      </c>
      <c r="E758" s="29" t="s">
        <v>986</v>
      </c>
      <c r="F758" s="36" t="str">
        <f>IFERROR(VLOOKUP(B758,'985'!$B$2:$D$40,3,FALSE),"")</f>
        <v/>
      </c>
      <c r="G758" s="31">
        <f>IFERROR(VLOOKUP(B758,'211'!$B$2:$D$116,3,FALSE),"")</f>
        <v>211</v>
      </c>
      <c r="H758" s="32" t="str">
        <f>IFERROR(VLOOKUP(B758,双一流!$B$2:$D$148,3,FALSE),"")</f>
        <v>双一流</v>
      </c>
      <c r="I758" s="32" t="str">
        <f>IFERROR(VLOOKUP(B758,汇总!$B$2:$I$2921,8,FALSE),"")</f>
        <v>农林</v>
      </c>
      <c r="J758" s="29" t="s">
        <v>11</v>
      </c>
      <c r="K758" s="33" t="s">
        <v>12</v>
      </c>
    </row>
    <row r="759" ht="17.25" spans="1:11">
      <c r="A759" s="34">
        <v>758</v>
      </c>
      <c r="B759" s="34" t="s">
        <v>987</v>
      </c>
      <c r="C759" s="29" t="str">
        <f>VLOOKUP(B759,教育部大学名单!$B$1:$D$2920,3,FALSE)</f>
        <v>四川省</v>
      </c>
      <c r="D759" s="34" t="s">
        <v>971</v>
      </c>
      <c r="E759" s="34" t="s">
        <v>988</v>
      </c>
      <c r="F759" s="36" t="str">
        <f>IFERROR(VLOOKUP(B759,'985'!$B$2:$D$40,3,FALSE),"")</f>
        <v/>
      </c>
      <c r="G759" s="32" t="str">
        <f>IFERROR(VLOOKUP(B759,'211'!$B$2:$D$116,3,FALSE),"")</f>
        <v/>
      </c>
      <c r="H759" s="32" t="str">
        <f>IFERROR(VLOOKUP(B759,双一流!$B$2:$D$148,3,FALSE),"")</f>
        <v/>
      </c>
      <c r="I759" s="32">
        <f>IFERROR(VLOOKUP(B759,汇总!$B$2:$I$2921,8,FALSE),"")</f>
        <v>0</v>
      </c>
      <c r="J759" s="34" t="s">
        <v>11</v>
      </c>
      <c r="K759" s="35" t="s">
        <v>12</v>
      </c>
    </row>
    <row r="760" ht="33.75" spans="1:11">
      <c r="A760" s="29">
        <v>759</v>
      </c>
      <c r="B760" s="29" t="s">
        <v>989</v>
      </c>
      <c r="C760" s="29" t="str">
        <f>VLOOKUP(B760,教育部大学名单!$B$1:$D$2920,3,FALSE)</f>
        <v>四川省</v>
      </c>
      <c r="D760" s="29" t="s">
        <v>971</v>
      </c>
      <c r="E760" s="29" t="s">
        <v>990</v>
      </c>
      <c r="F760" s="36" t="str">
        <f>IFERROR(VLOOKUP(B760,'985'!$B$2:$D$40,3,FALSE),"")</f>
        <v/>
      </c>
      <c r="G760" s="32" t="str">
        <f>IFERROR(VLOOKUP(B760,'211'!$B$2:$D$116,3,FALSE),"")</f>
        <v/>
      </c>
      <c r="H760" s="32" t="str">
        <f>IFERROR(VLOOKUP(B760,双一流!$B$2:$D$148,3,FALSE),"")</f>
        <v/>
      </c>
      <c r="I760" s="32">
        <f>IFERROR(VLOOKUP(B760,汇总!$B$2:$I$2921,8,FALSE),"")</f>
        <v>0</v>
      </c>
      <c r="J760" s="29" t="s">
        <v>11</v>
      </c>
      <c r="K760" s="33" t="s">
        <v>12</v>
      </c>
    </row>
    <row r="761" ht="33.75" spans="1:11">
      <c r="A761" s="34">
        <v>760</v>
      </c>
      <c r="B761" s="34" t="s">
        <v>991</v>
      </c>
      <c r="C761" s="29" t="str">
        <f>VLOOKUP(B761,教育部大学名单!$B$1:$D$2920,3,FALSE)</f>
        <v>四川省</v>
      </c>
      <c r="D761" s="34" t="s">
        <v>971</v>
      </c>
      <c r="E761" s="34" t="s">
        <v>972</v>
      </c>
      <c r="F761" s="36" t="str">
        <f>IFERROR(VLOOKUP(B761,'985'!$B$2:$D$40,3,FALSE),"")</f>
        <v/>
      </c>
      <c r="G761" s="32" t="str">
        <f>IFERROR(VLOOKUP(B761,'211'!$B$2:$D$116,3,FALSE),"")</f>
        <v/>
      </c>
      <c r="H761" s="32" t="str">
        <f>IFERROR(VLOOKUP(B761,双一流!$B$2:$D$148,3,FALSE),"")</f>
        <v>双一流</v>
      </c>
      <c r="I761" s="32" t="str">
        <f>IFERROR(VLOOKUP(B761,汇总!$B$2:$I$2921,8,FALSE),"")</f>
        <v>医药</v>
      </c>
      <c r="J761" s="34" t="s">
        <v>11</v>
      </c>
      <c r="K761" s="35" t="s">
        <v>12</v>
      </c>
    </row>
    <row r="762" ht="17.25" spans="1:11">
      <c r="A762" s="29">
        <v>761</v>
      </c>
      <c r="B762" s="29" t="s">
        <v>992</v>
      </c>
      <c r="C762" s="29" t="str">
        <f>VLOOKUP(B762,教育部大学名单!$B$1:$D$2920,3,FALSE)</f>
        <v>四川省</v>
      </c>
      <c r="D762" s="29" t="s">
        <v>971</v>
      </c>
      <c r="E762" s="29" t="s">
        <v>993</v>
      </c>
      <c r="F762" s="36" t="str">
        <f>IFERROR(VLOOKUP(B762,'985'!$B$2:$D$40,3,FALSE),"")</f>
        <v/>
      </c>
      <c r="G762" s="32" t="str">
        <f>IFERROR(VLOOKUP(B762,'211'!$B$2:$D$116,3,FALSE),"")</f>
        <v/>
      </c>
      <c r="H762" s="32" t="str">
        <f>IFERROR(VLOOKUP(B762,双一流!$B$2:$D$148,3,FALSE),"")</f>
        <v/>
      </c>
      <c r="I762" s="32">
        <f>IFERROR(VLOOKUP(B762,汇总!$B$2:$I$2921,8,FALSE),"")</f>
        <v>0</v>
      </c>
      <c r="J762" s="29" t="s">
        <v>11</v>
      </c>
      <c r="K762" s="33" t="s">
        <v>12</v>
      </c>
    </row>
    <row r="763" ht="33.75" spans="1:11">
      <c r="A763" s="34">
        <v>762</v>
      </c>
      <c r="B763" s="34" t="s">
        <v>994</v>
      </c>
      <c r="C763" s="29" t="str">
        <f>VLOOKUP(B763,教育部大学名单!$B$1:$D$2920,3,FALSE)</f>
        <v>四川省</v>
      </c>
      <c r="D763" s="34" t="s">
        <v>971</v>
      </c>
      <c r="E763" s="34" t="s">
        <v>972</v>
      </c>
      <c r="F763" s="36" t="str">
        <f>IFERROR(VLOOKUP(B763,'985'!$B$2:$D$40,3,FALSE),"")</f>
        <v/>
      </c>
      <c r="G763" s="32" t="str">
        <f>IFERROR(VLOOKUP(B763,'211'!$B$2:$D$116,3,FALSE),"")</f>
        <v/>
      </c>
      <c r="H763" s="32" t="str">
        <f>IFERROR(VLOOKUP(B763,双一流!$B$2:$D$148,3,FALSE),"")</f>
        <v/>
      </c>
      <c r="I763" s="32" t="str">
        <f>IFERROR(VLOOKUP(B763,汇总!$B$2:$I$2921,8,FALSE),"")</f>
        <v>师范</v>
      </c>
      <c r="J763" s="34" t="s">
        <v>11</v>
      </c>
      <c r="K763" s="35" t="s">
        <v>12</v>
      </c>
    </row>
    <row r="764" ht="33.75" spans="1:11">
      <c r="A764" s="29">
        <v>763</v>
      </c>
      <c r="B764" s="29" t="s">
        <v>995</v>
      </c>
      <c r="C764" s="29" t="str">
        <f>VLOOKUP(B764,教育部大学名单!$B$1:$D$2920,3,FALSE)</f>
        <v>四川省</v>
      </c>
      <c r="D764" s="29" t="s">
        <v>971</v>
      </c>
      <c r="E764" s="29" t="s">
        <v>993</v>
      </c>
      <c r="F764" s="36" t="str">
        <f>IFERROR(VLOOKUP(B764,'985'!$B$2:$D$40,3,FALSE),"")</f>
        <v/>
      </c>
      <c r="G764" s="32" t="str">
        <f>IFERROR(VLOOKUP(B764,'211'!$B$2:$D$116,3,FALSE),"")</f>
        <v/>
      </c>
      <c r="H764" s="32" t="str">
        <f>IFERROR(VLOOKUP(B764,双一流!$B$2:$D$148,3,FALSE),"")</f>
        <v/>
      </c>
      <c r="I764" s="32" t="str">
        <f>IFERROR(VLOOKUP(B764,汇总!$B$2:$I$2921,8,FALSE),"")</f>
        <v>师范</v>
      </c>
      <c r="J764" s="29" t="s">
        <v>11</v>
      </c>
      <c r="K764" s="33" t="s">
        <v>12</v>
      </c>
    </row>
    <row r="765" ht="33.75" spans="1:11">
      <c r="A765" s="34">
        <v>764</v>
      </c>
      <c r="B765" s="34" t="s">
        <v>996</v>
      </c>
      <c r="C765" s="29" t="str">
        <f>VLOOKUP(B765,教育部大学名单!$B$1:$D$2920,3,FALSE)</f>
        <v>四川省</v>
      </c>
      <c r="D765" s="34" t="s">
        <v>971</v>
      </c>
      <c r="E765" s="34" t="s">
        <v>978</v>
      </c>
      <c r="F765" s="36" t="str">
        <f>IFERROR(VLOOKUP(B765,'985'!$B$2:$D$40,3,FALSE),"")</f>
        <v/>
      </c>
      <c r="G765" s="32" t="str">
        <f>IFERROR(VLOOKUP(B765,'211'!$B$2:$D$116,3,FALSE),"")</f>
        <v/>
      </c>
      <c r="H765" s="32" t="str">
        <f>IFERROR(VLOOKUP(B765,双一流!$B$2:$D$148,3,FALSE),"")</f>
        <v/>
      </c>
      <c r="I765" s="32">
        <f>IFERROR(VLOOKUP(B765,汇总!$B$2:$I$2921,8,FALSE),"")</f>
        <v>0</v>
      </c>
      <c r="J765" s="34" t="s">
        <v>11</v>
      </c>
      <c r="K765" s="35" t="s">
        <v>12</v>
      </c>
    </row>
    <row r="766" ht="33.75" spans="1:11">
      <c r="A766" s="29">
        <v>765</v>
      </c>
      <c r="B766" s="29" t="s">
        <v>997</v>
      </c>
      <c r="C766" s="29" t="str">
        <f>VLOOKUP(B766,教育部大学名单!$B$1:$D$2920,3,FALSE)</f>
        <v>四川省</v>
      </c>
      <c r="D766" s="29" t="s">
        <v>971</v>
      </c>
      <c r="E766" s="29" t="s">
        <v>998</v>
      </c>
      <c r="F766" s="36" t="str">
        <f>IFERROR(VLOOKUP(B766,'985'!$B$2:$D$40,3,FALSE),"")</f>
        <v/>
      </c>
      <c r="G766" s="32" t="str">
        <f>IFERROR(VLOOKUP(B766,'211'!$B$2:$D$116,3,FALSE),"")</f>
        <v/>
      </c>
      <c r="H766" s="32" t="str">
        <f>IFERROR(VLOOKUP(B766,双一流!$B$2:$D$148,3,FALSE),"")</f>
        <v/>
      </c>
      <c r="I766" s="32">
        <f>IFERROR(VLOOKUP(B766,汇总!$B$2:$I$2921,8,FALSE),"")</f>
        <v>0</v>
      </c>
      <c r="J766" s="29" t="s">
        <v>11</v>
      </c>
      <c r="K766" s="33" t="s">
        <v>12</v>
      </c>
    </row>
    <row r="767" ht="17.25" spans="1:11">
      <c r="A767" s="34">
        <v>766</v>
      </c>
      <c r="B767" s="34" t="s">
        <v>999</v>
      </c>
      <c r="C767" s="29" t="str">
        <f>VLOOKUP(B767,教育部大学名单!$B$1:$D$2920,3,FALSE)</f>
        <v>四川省</v>
      </c>
      <c r="D767" s="34" t="s">
        <v>971</v>
      </c>
      <c r="E767" s="34" t="s">
        <v>1000</v>
      </c>
      <c r="F767" s="36" t="str">
        <f>IFERROR(VLOOKUP(B767,'985'!$B$2:$D$40,3,FALSE),"")</f>
        <v/>
      </c>
      <c r="G767" s="32" t="str">
        <f>IFERROR(VLOOKUP(B767,'211'!$B$2:$D$116,3,FALSE),"")</f>
        <v/>
      </c>
      <c r="H767" s="32" t="str">
        <f>IFERROR(VLOOKUP(B767,双一流!$B$2:$D$148,3,FALSE),"")</f>
        <v/>
      </c>
      <c r="I767" s="32">
        <f>IFERROR(VLOOKUP(B767,汇总!$B$2:$I$2921,8,FALSE),"")</f>
        <v>0</v>
      </c>
      <c r="J767" s="34" t="s">
        <v>11</v>
      </c>
      <c r="K767" s="35" t="s">
        <v>12</v>
      </c>
    </row>
    <row r="768" ht="33.75" spans="1:11">
      <c r="A768" s="29">
        <v>767</v>
      </c>
      <c r="B768" s="29" t="s">
        <v>1001</v>
      </c>
      <c r="C768" s="29" t="str">
        <f>VLOOKUP(B768,教育部大学名单!$B$1:$D$2920,3,FALSE)</f>
        <v>四川省</v>
      </c>
      <c r="D768" s="29" t="s">
        <v>971</v>
      </c>
      <c r="E768" s="29" t="s">
        <v>1002</v>
      </c>
      <c r="F768" s="36" t="str">
        <f>IFERROR(VLOOKUP(B768,'985'!$B$2:$D$40,3,FALSE),"")</f>
        <v/>
      </c>
      <c r="G768" s="32" t="str">
        <f>IFERROR(VLOOKUP(B768,'211'!$B$2:$D$116,3,FALSE),"")</f>
        <v/>
      </c>
      <c r="H768" s="32" t="str">
        <f>IFERROR(VLOOKUP(B768,双一流!$B$2:$D$148,3,FALSE),"")</f>
        <v/>
      </c>
      <c r="I768" s="32">
        <f>IFERROR(VLOOKUP(B768,汇总!$B$2:$I$2921,8,FALSE),"")</f>
        <v>0</v>
      </c>
      <c r="J768" s="29" t="s">
        <v>11</v>
      </c>
      <c r="K768" s="33" t="s">
        <v>12</v>
      </c>
    </row>
    <row r="769" ht="33.75" spans="1:11">
      <c r="A769" s="34">
        <v>768</v>
      </c>
      <c r="B769" s="34" t="s">
        <v>1003</v>
      </c>
      <c r="C769" s="29" t="str">
        <f>VLOOKUP(B769,教育部大学名单!$B$1:$D$2920,3,FALSE)</f>
        <v>四川省</v>
      </c>
      <c r="D769" s="34" t="s">
        <v>971</v>
      </c>
      <c r="E769" s="34" t="s">
        <v>1004</v>
      </c>
      <c r="F769" s="36" t="str">
        <f>IFERROR(VLOOKUP(B769,'985'!$B$2:$D$40,3,FALSE),"")</f>
        <v/>
      </c>
      <c r="G769" s="32" t="str">
        <f>IFERROR(VLOOKUP(B769,'211'!$B$2:$D$116,3,FALSE),"")</f>
        <v/>
      </c>
      <c r="H769" s="32" t="str">
        <f>IFERROR(VLOOKUP(B769,双一流!$B$2:$D$148,3,FALSE),"")</f>
        <v/>
      </c>
      <c r="I769" s="32">
        <f>IFERROR(VLOOKUP(B769,汇总!$B$2:$I$2921,8,FALSE),"")</f>
        <v>0</v>
      </c>
      <c r="J769" s="34" t="s">
        <v>11</v>
      </c>
      <c r="K769" s="35" t="s">
        <v>12</v>
      </c>
    </row>
    <row r="770" ht="33.75" spans="1:11">
      <c r="A770" s="29">
        <v>769</v>
      </c>
      <c r="B770" s="29" t="s">
        <v>1005</v>
      </c>
      <c r="C770" s="29" t="str">
        <f>VLOOKUP(B770,教育部大学名单!$B$1:$D$2920,3,FALSE)</f>
        <v>四川省</v>
      </c>
      <c r="D770" s="29" t="s">
        <v>971</v>
      </c>
      <c r="E770" s="29" t="s">
        <v>1006</v>
      </c>
      <c r="F770" s="36" t="str">
        <f>IFERROR(VLOOKUP(B770,'985'!$B$2:$D$40,3,FALSE),"")</f>
        <v/>
      </c>
      <c r="G770" s="32" t="str">
        <f>IFERROR(VLOOKUP(B770,'211'!$B$2:$D$116,3,FALSE),"")</f>
        <v/>
      </c>
      <c r="H770" s="32" t="str">
        <f>IFERROR(VLOOKUP(B770,双一流!$B$2:$D$148,3,FALSE),"")</f>
        <v/>
      </c>
      <c r="I770" s="32">
        <f>IFERROR(VLOOKUP(B770,汇总!$B$2:$I$2921,8,FALSE),"")</f>
        <v>0</v>
      </c>
      <c r="J770" s="29" t="s">
        <v>11</v>
      </c>
      <c r="K770" s="33" t="s">
        <v>12</v>
      </c>
    </row>
    <row r="771" ht="33.75" spans="1:11">
      <c r="A771" s="34">
        <v>770</v>
      </c>
      <c r="B771" s="34" t="s">
        <v>1007</v>
      </c>
      <c r="C771" s="29" t="str">
        <f>VLOOKUP(B771,教育部大学名单!$B$1:$D$2920,3,FALSE)</f>
        <v>教育部</v>
      </c>
      <c r="D771" s="34" t="s">
        <v>971</v>
      </c>
      <c r="E771" s="34" t="s">
        <v>972</v>
      </c>
      <c r="F771" s="36" t="str">
        <f>IFERROR(VLOOKUP(B771,'985'!$B$2:$D$40,3,FALSE),"")</f>
        <v/>
      </c>
      <c r="G771" s="31">
        <f>IFERROR(VLOOKUP(B771,'211'!$B$2:$D$116,3,FALSE),"")</f>
        <v>211</v>
      </c>
      <c r="H771" s="32" t="str">
        <f>IFERROR(VLOOKUP(B771,双一流!$B$2:$D$148,3,FALSE),"")</f>
        <v>双一流</v>
      </c>
      <c r="I771" s="32" t="str">
        <f>IFERROR(VLOOKUP(B771,汇总!$B$2:$I$2921,8,FALSE),"")</f>
        <v>财经</v>
      </c>
      <c r="J771" s="34" t="s">
        <v>11</v>
      </c>
      <c r="K771" s="35" t="s">
        <v>12</v>
      </c>
    </row>
    <row r="772" ht="33.75" spans="1:11">
      <c r="A772" s="29">
        <v>771</v>
      </c>
      <c r="B772" s="29" t="s">
        <v>1008</v>
      </c>
      <c r="C772" s="29" t="str">
        <f>VLOOKUP(B772,教育部大学名单!$B$1:$D$2920,3,FALSE)</f>
        <v>四川省</v>
      </c>
      <c r="D772" s="29" t="s">
        <v>971</v>
      </c>
      <c r="E772" s="29" t="s">
        <v>972</v>
      </c>
      <c r="F772" s="36" t="str">
        <f>IFERROR(VLOOKUP(B772,'985'!$B$2:$D$40,3,FALSE),"")</f>
        <v/>
      </c>
      <c r="G772" s="32" t="str">
        <f>IFERROR(VLOOKUP(B772,'211'!$B$2:$D$116,3,FALSE),"")</f>
        <v/>
      </c>
      <c r="H772" s="32" t="str">
        <f>IFERROR(VLOOKUP(B772,双一流!$B$2:$D$148,3,FALSE),"")</f>
        <v/>
      </c>
      <c r="I772" s="32">
        <f>IFERROR(VLOOKUP(B772,汇总!$B$2:$I$2921,8,FALSE),"")</f>
        <v>0</v>
      </c>
      <c r="J772" s="29" t="s">
        <v>11</v>
      </c>
      <c r="K772" s="33" t="s">
        <v>12</v>
      </c>
    </row>
    <row r="773" ht="33.75" spans="1:11">
      <c r="A773" s="34">
        <v>772</v>
      </c>
      <c r="B773" s="34" t="s">
        <v>1009</v>
      </c>
      <c r="C773" s="29" t="str">
        <f>VLOOKUP(B773,教育部大学名单!$B$1:$D$2920,3,FALSE)</f>
        <v>四川省</v>
      </c>
      <c r="D773" s="34" t="s">
        <v>971</v>
      </c>
      <c r="E773" s="34" t="s">
        <v>972</v>
      </c>
      <c r="F773" s="36" t="str">
        <f>IFERROR(VLOOKUP(B773,'985'!$B$2:$D$40,3,FALSE),"")</f>
        <v/>
      </c>
      <c r="G773" s="32" t="str">
        <f>IFERROR(VLOOKUP(B773,'211'!$B$2:$D$116,3,FALSE),"")</f>
        <v/>
      </c>
      <c r="H773" s="32" t="str">
        <f>IFERROR(VLOOKUP(B773,双一流!$B$2:$D$148,3,FALSE),"")</f>
        <v/>
      </c>
      <c r="I773" s="32">
        <f>IFERROR(VLOOKUP(B773,汇总!$B$2:$I$2921,8,FALSE),"")</f>
        <v>0</v>
      </c>
      <c r="J773" s="34" t="s">
        <v>11</v>
      </c>
      <c r="K773" s="35" t="s">
        <v>12</v>
      </c>
    </row>
    <row r="774" ht="33.75" spans="1:11">
      <c r="A774" s="29">
        <v>773</v>
      </c>
      <c r="B774" s="29" t="s">
        <v>1010</v>
      </c>
      <c r="C774" s="29" t="str">
        <f>VLOOKUP(B774,教育部大学名单!$B$1:$D$2920,3,FALSE)</f>
        <v>国家民委</v>
      </c>
      <c r="D774" s="29" t="s">
        <v>971</v>
      </c>
      <c r="E774" s="29" t="s">
        <v>972</v>
      </c>
      <c r="F774" s="36" t="str">
        <f>IFERROR(VLOOKUP(B774,'985'!$B$2:$D$40,3,FALSE),"")</f>
        <v/>
      </c>
      <c r="G774" s="32" t="str">
        <f>IFERROR(VLOOKUP(B774,'211'!$B$2:$D$116,3,FALSE),"")</f>
        <v/>
      </c>
      <c r="H774" s="32" t="str">
        <f>IFERROR(VLOOKUP(B774,双一流!$B$2:$D$148,3,FALSE),"")</f>
        <v/>
      </c>
      <c r="I774" s="32" t="str">
        <f>IFERROR(VLOOKUP(B774,汇总!$B$2:$I$2921,8,FALSE),"")</f>
        <v>民族</v>
      </c>
      <c r="J774" s="29" t="s">
        <v>11</v>
      </c>
      <c r="K774" s="33" t="s">
        <v>12</v>
      </c>
    </row>
    <row r="775" ht="17.25" spans="1:11">
      <c r="A775" s="34">
        <v>774</v>
      </c>
      <c r="B775" s="34" t="s">
        <v>1011</v>
      </c>
      <c r="C775" s="29" t="str">
        <f>VLOOKUP(B775,教育部大学名单!$B$1:$D$2920,3,FALSE)</f>
        <v>四川省</v>
      </c>
      <c r="D775" s="34" t="s">
        <v>971</v>
      </c>
      <c r="E775" s="34" t="s">
        <v>972</v>
      </c>
      <c r="F775" s="36" t="str">
        <f>IFERROR(VLOOKUP(B775,'985'!$B$2:$D$40,3,FALSE),"")</f>
        <v/>
      </c>
      <c r="G775" s="32" t="str">
        <f>IFERROR(VLOOKUP(B775,'211'!$B$2:$D$116,3,FALSE),"")</f>
        <v/>
      </c>
      <c r="H775" s="32" t="str">
        <f>IFERROR(VLOOKUP(B775,双一流!$B$2:$D$148,3,FALSE),"")</f>
        <v/>
      </c>
      <c r="I775" s="32" t="str">
        <f>IFERROR(VLOOKUP(B775,汇总!$B$2:$I$2921,8,FALSE),"")</f>
        <v>综合</v>
      </c>
      <c r="J775" s="34" t="s">
        <v>11</v>
      </c>
      <c r="K775" s="35" t="s">
        <v>12</v>
      </c>
    </row>
    <row r="776" ht="33.75" spans="1:11">
      <c r="A776" s="29">
        <v>775</v>
      </c>
      <c r="B776" s="29" t="s">
        <v>1012</v>
      </c>
      <c r="C776" s="29" t="str">
        <f>VLOOKUP(B776,教育部大学名单!$B$1:$D$2920,3,FALSE)</f>
        <v>四川省</v>
      </c>
      <c r="D776" s="29" t="s">
        <v>971</v>
      </c>
      <c r="E776" s="29" t="s">
        <v>972</v>
      </c>
      <c r="F776" s="36" t="str">
        <f>IFERROR(VLOOKUP(B776,'985'!$B$2:$D$40,3,FALSE),"")</f>
        <v/>
      </c>
      <c r="G776" s="32" t="str">
        <f>IFERROR(VLOOKUP(B776,'211'!$B$2:$D$116,3,FALSE),"")</f>
        <v/>
      </c>
      <c r="H776" s="32" t="str">
        <f>IFERROR(VLOOKUP(B776,双一流!$B$2:$D$148,3,FALSE),"")</f>
        <v/>
      </c>
      <c r="I776" s="32">
        <f>IFERROR(VLOOKUP(B776,汇总!$B$2:$I$2921,8,FALSE),"")</f>
        <v>0</v>
      </c>
      <c r="J776" s="29" t="s">
        <v>11</v>
      </c>
      <c r="K776" s="33" t="s">
        <v>12</v>
      </c>
    </row>
    <row r="777" ht="17.25" spans="1:11">
      <c r="A777" s="34">
        <v>776</v>
      </c>
      <c r="B777" s="34" t="s">
        <v>1013</v>
      </c>
      <c r="C777" s="29" t="str">
        <f>VLOOKUP(B777,教育部大学名单!$B$1:$D$2920,3,FALSE)</f>
        <v>四川省</v>
      </c>
      <c r="D777" s="34" t="s">
        <v>971</v>
      </c>
      <c r="E777" s="34" t="s">
        <v>1014</v>
      </c>
      <c r="F777" s="36" t="str">
        <f>IFERROR(VLOOKUP(B777,'985'!$B$2:$D$40,3,FALSE),"")</f>
        <v/>
      </c>
      <c r="G777" s="32" t="str">
        <f>IFERROR(VLOOKUP(B777,'211'!$B$2:$D$116,3,FALSE),"")</f>
        <v/>
      </c>
      <c r="H777" s="32" t="str">
        <f>IFERROR(VLOOKUP(B777,双一流!$B$2:$D$148,3,FALSE),"")</f>
        <v/>
      </c>
      <c r="I777" s="32">
        <f>IFERROR(VLOOKUP(B777,汇总!$B$2:$I$2921,8,FALSE),"")</f>
        <v>0</v>
      </c>
      <c r="J777" s="34" t="s">
        <v>11</v>
      </c>
      <c r="K777" s="35" t="s">
        <v>12</v>
      </c>
    </row>
    <row r="778" ht="33.75" spans="1:11">
      <c r="A778" s="29">
        <v>777</v>
      </c>
      <c r="B778" s="29" t="s">
        <v>1015</v>
      </c>
      <c r="C778" s="29" t="str">
        <f>VLOOKUP(B778,教育部大学名单!$B$1:$D$2920,3,FALSE)</f>
        <v>四川省</v>
      </c>
      <c r="D778" s="29" t="s">
        <v>971</v>
      </c>
      <c r="E778" s="29" t="s">
        <v>972</v>
      </c>
      <c r="F778" s="36" t="str">
        <f>IFERROR(VLOOKUP(B778,'985'!$B$2:$D$40,3,FALSE),"")</f>
        <v/>
      </c>
      <c r="G778" s="32" t="str">
        <f>IFERROR(VLOOKUP(B778,'211'!$B$2:$D$116,3,FALSE),"")</f>
        <v/>
      </c>
      <c r="H778" s="32" t="str">
        <f>IFERROR(VLOOKUP(B778,双一流!$B$2:$D$148,3,FALSE),"")</f>
        <v/>
      </c>
      <c r="I778" s="32">
        <f>IFERROR(VLOOKUP(B778,汇总!$B$2:$I$2921,8,FALSE),"")</f>
        <v>0</v>
      </c>
      <c r="J778" s="29" t="s">
        <v>11</v>
      </c>
      <c r="K778" s="33" t="s">
        <v>12</v>
      </c>
    </row>
    <row r="779" ht="33.75" spans="1:11">
      <c r="A779" s="34">
        <v>778</v>
      </c>
      <c r="B779" s="34" t="s">
        <v>1016</v>
      </c>
      <c r="C779" s="29" t="str">
        <f>VLOOKUP(B779,教育部大学名单!$B$1:$D$2920,3,FALSE)</f>
        <v>四川省</v>
      </c>
      <c r="D779" s="34" t="s">
        <v>971</v>
      </c>
      <c r="E779" s="34" t="s">
        <v>1017</v>
      </c>
      <c r="F779" s="36" t="str">
        <f>IFERROR(VLOOKUP(B779,'985'!$B$2:$D$40,3,FALSE),"")</f>
        <v/>
      </c>
      <c r="G779" s="32" t="str">
        <f>IFERROR(VLOOKUP(B779,'211'!$B$2:$D$116,3,FALSE),"")</f>
        <v/>
      </c>
      <c r="H779" s="32" t="str">
        <f>IFERROR(VLOOKUP(B779,双一流!$B$2:$D$148,3,FALSE),"")</f>
        <v/>
      </c>
      <c r="I779" s="32">
        <f>IFERROR(VLOOKUP(B779,汇总!$B$2:$I$2921,8,FALSE),"")</f>
        <v>0</v>
      </c>
      <c r="J779" s="34" t="s">
        <v>11</v>
      </c>
      <c r="K779" s="35" t="s">
        <v>12</v>
      </c>
    </row>
    <row r="780" ht="33.75" spans="1:11">
      <c r="A780" s="29">
        <v>779</v>
      </c>
      <c r="B780" s="29" t="s">
        <v>1018</v>
      </c>
      <c r="C780" s="29" t="str">
        <f>VLOOKUP(B780,教育部大学名单!$B$1:$D$2920,3,FALSE)</f>
        <v>四川省</v>
      </c>
      <c r="D780" s="29" t="s">
        <v>971</v>
      </c>
      <c r="E780" s="29" t="s">
        <v>990</v>
      </c>
      <c r="F780" s="36" t="str">
        <f>IFERROR(VLOOKUP(B780,'985'!$B$2:$D$40,3,FALSE),"")</f>
        <v/>
      </c>
      <c r="G780" s="32" t="str">
        <f>IFERROR(VLOOKUP(B780,'211'!$B$2:$D$116,3,FALSE),"")</f>
        <v/>
      </c>
      <c r="H780" s="32" t="str">
        <f>IFERROR(VLOOKUP(B780,双一流!$B$2:$D$148,3,FALSE),"")</f>
        <v/>
      </c>
      <c r="I780" s="32">
        <f>IFERROR(VLOOKUP(B780,汇总!$B$2:$I$2921,8,FALSE),"")</f>
        <v>0</v>
      </c>
      <c r="J780" s="29" t="s">
        <v>11</v>
      </c>
      <c r="K780" s="33" t="s">
        <v>12</v>
      </c>
    </row>
    <row r="781" ht="17.25" spans="1:11">
      <c r="A781" s="34">
        <v>780</v>
      </c>
      <c r="B781" s="34" t="s">
        <v>1019</v>
      </c>
      <c r="C781" s="29" t="str">
        <f>VLOOKUP(B781,教育部大学名单!$B$1:$D$2920,3,FALSE)</f>
        <v>四川省</v>
      </c>
      <c r="D781" s="34" t="s">
        <v>971</v>
      </c>
      <c r="E781" s="34" t="s">
        <v>972</v>
      </c>
      <c r="F781" s="36" t="str">
        <f>IFERROR(VLOOKUP(B781,'985'!$B$2:$D$40,3,FALSE),"")</f>
        <v/>
      </c>
      <c r="G781" s="32" t="str">
        <f>IFERROR(VLOOKUP(B781,'211'!$B$2:$D$116,3,FALSE),"")</f>
        <v/>
      </c>
      <c r="H781" s="32" t="str">
        <f>IFERROR(VLOOKUP(B781,双一流!$B$2:$D$148,3,FALSE),"")</f>
        <v/>
      </c>
      <c r="I781" s="32">
        <f>IFERROR(VLOOKUP(B781,汇总!$B$2:$I$2921,8,FALSE),"")</f>
        <v>0</v>
      </c>
      <c r="J781" s="34" t="s">
        <v>11</v>
      </c>
      <c r="K781" s="35" t="s">
        <v>12</v>
      </c>
    </row>
    <row r="782" ht="33.75" spans="1:11">
      <c r="A782" s="29">
        <v>781</v>
      </c>
      <c r="B782" s="29" t="s">
        <v>1020</v>
      </c>
      <c r="C782" s="29" t="str">
        <f>VLOOKUP(B782,教育部大学名单!$B$1:$D$2920,3,FALSE)</f>
        <v>四川省</v>
      </c>
      <c r="D782" s="29" t="s">
        <v>971</v>
      </c>
      <c r="E782" s="29" t="s">
        <v>972</v>
      </c>
      <c r="F782" s="36" t="str">
        <f>IFERROR(VLOOKUP(B782,'985'!$B$2:$D$40,3,FALSE),"")</f>
        <v/>
      </c>
      <c r="G782" s="32" t="str">
        <f>IFERROR(VLOOKUP(B782,'211'!$B$2:$D$116,3,FALSE),"")</f>
        <v/>
      </c>
      <c r="H782" s="32" t="str">
        <f>IFERROR(VLOOKUP(B782,双一流!$B$2:$D$148,3,FALSE),"")</f>
        <v/>
      </c>
      <c r="I782" s="32">
        <f>IFERROR(VLOOKUP(B782,汇总!$B$2:$I$2921,8,FALSE),"")</f>
        <v>0</v>
      </c>
      <c r="J782" s="29" t="s">
        <v>11</v>
      </c>
      <c r="K782" s="33" t="s">
        <v>12</v>
      </c>
    </row>
    <row r="783" ht="33.75" spans="1:11">
      <c r="A783" s="34">
        <v>782</v>
      </c>
      <c r="B783" s="34" t="s">
        <v>1021</v>
      </c>
      <c r="C783" s="29" t="e">
        <f>VLOOKUP(B783,教育部大学名单!$B$1:$D$2920,3,FALSE)</f>
        <v>#N/A</v>
      </c>
      <c r="D783" s="34" t="s">
        <v>971</v>
      </c>
      <c r="E783" s="34" t="s">
        <v>972</v>
      </c>
      <c r="F783" s="36" t="str">
        <f>IFERROR(VLOOKUP(B783,'985'!$B$2:$D$40,3,FALSE),"")</f>
        <v/>
      </c>
      <c r="G783" s="32" t="str">
        <f>IFERROR(VLOOKUP(B783,'211'!$B$2:$D$116,3,FALSE),"")</f>
        <v/>
      </c>
      <c r="H783" s="32" t="str">
        <f>IFERROR(VLOOKUP(B783,双一流!$B$2:$D$148,3,FALSE),"")</f>
        <v/>
      </c>
      <c r="I783" s="32" t="str">
        <f>IFERROR(VLOOKUP(B783,汇总!$B$2:$I$2921,8,FALSE),"")</f>
        <v/>
      </c>
      <c r="J783" s="34" t="s">
        <v>11</v>
      </c>
      <c r="K783" s="35" t="s">
        <v>12</v>
      </c>
    </row>
    <row r="784" ht="33.75" spans="1:11">
      <c r="A784" s="29">
        <v>783</v>
      </c>
      <c r="B784" s="29" t="s">
        <v>1022</v>
      </c>
      <c r="C784" s="29" t="str">
        <f>VLOOKUP(B784,教育部大学名单!$B$1:$D$2920,3,FALSE)</f>
        <v>四川省</v>
      </c>
      <c r="D784" s="29" t="s">
        <v>971</v>
      </c>
      <c r="E784" s="29" t="s">
        <v>972</v>
      </c>
      <c r="F784" s="36" t="str">
        <f>IFERROR(VLOOKUP(B784,'985'!$B$2:$D$40,3,FALSE),"")</f>
        <v/>
      </c>
      <c r="G784" s="32" t="str">
        <f>IFERROR(VLOOKUP(B784,'211'!$B$2:$D$116,3,FALSE),"")</f>
        <v/>
      </c>
      <c r="H784" s="32" t="str">
        <f>IFERROR(VLOOKUP(B784,双一流!$B$2:$D$148,3,FALSE),"")</f>
        <v/>
      </c>
      <c r="I784" s="32" t="str">
        <f>IFERROR(VLOOKUP(B784,汇总!$B$2:$I$2921,8,FALSE),"")</f>
        <v/>
      </c>
      <c r="J784" s="29" t="s">
        <v>11</v>
      </c>
      <c r="K784" s="33" t="s">
        <v>12</v>
      </c>
    </row>
    <row r="785" ht="33.75" spans="1:11">
      <c r="A785" s="34">
        <v>784</v>
      </c>
      <c r="B785" s="34" t="s">
        <v>1023</v>
      </c>
      <c r="C785" s="29" t="str">
        <f>VLOOKUP(B785,教育部大学名单!$B$1:$D$2920,3,FALSE)</f>
        <v>四川省</v>
      </c>
      <c r="D785" s="34" t="s">
        <v>971</v>
      </c>
      <c r="E785" s="34" t="s">
        <v>984</v>
      </c>
      <c r="F785" s="36" t="str">
        <f>IFERROR(VLOOKUP(B785,'985'!$B$2:$D$40,3,FALSE),"")</f>
        <v/>
      </c>
      <c r="G785" s="32" t="str">
        <f>IFERROR(VLOOKUP(B785,'211'!$B$2:$D$116,3,FALSE),"")</f>
        <v/>
      </c>
      <c r="H785" s="32" t="str">
        <f>IFERROR(VLOOKUP(B785,双一流!$B$2:$D$148,3,FALSE),"")</f>
        <v/>
      </c>
      <c r="I785" s="32">
        <f>IFERROR(VLOOKUP(B785,汇总!$B$2:$I$2921,8,FALSE),"")</f>
        <v>0</v>
      </c>
      <c r="J785" s="34" t="s">
        <v>11</v>
      </c>
      <c r="K785" s="35" t="s">
        <v>12</v>
      </c>
    </row>
    <row r="786" ht="33.75" spans="1:11">
      <c r="A786" s="29">
        <v>785</v>
      </c>
      <c r="B786" s="29" t="s">
        <v>1024</v>
      </c>
      <c r="C786" s="29" t="e">
        <f>VLOOKUP(B786,教育部大学名单!$B$1:$D$2920,3,FALSE)</f>
        <v>#N/A</v>
      </c>
      <c r="D786" s="29" t="s">
        <v>971</v>
      </c>
      <c r="E786" s="29" t="s">
        <v>984</v>
      </c>
      <c r="F786" s="36" t="str">
        <f>IFERROR(VLOOKUP(B786,'985'!$B$2:$D$40,3,FALSE),"")</f>
        <v/>
      </c>
      <c r="G786" s="32" t="str">
        <f>IFERROR(VLOOKUP(B786,'211'!$B$2:$D$116,3,FALSE),"")</f>
        <v/>
      </c>
      <c r="H786" s="32" t="str">
        <f>IFERROR(VLOOKUP(B786,双一流!$B$2:$D$148,3,FALSE),"")</f>
        <v/>
      </c>
      <c r="I786" s="32" t="str">
        <f>IFERROR(VLOOKUP(B786,汇总!$B$2:$I$2921,8,FALSE),"")</f>
        <v/>
      </c>
      <c r="J786" s="29" t="s">
        <v>11</v>
      </c>
      <c r="K786" s="33" t="s">
        <v>12</v>
      </c>
    </row>
    <row r="787" ht="17.25" spans="1:11">
      <c r="A787" s="34">
        <v>786</v>
      </c>
      <c r="B787" s="34" t="s">
        <v>1025</v>
      </c>
      <c r="C787" s="29" t="str">
        <f>VLOOKUP(B787,教育部大学名单!$B$1:$D$2920,3,FALSE)</f>
        <v>贵州省</v>
      </c>
      <c r="D787" s="34" t="s">
        <v>1026</v>
      </c>
      <c r="E787" s="34" t="s">
        <v>1027</v>
      </c>
      <c r="F787" s="36" t="str">
        <f>IFERROR(VLOOKUP(B787,'985'!$B$2:$D$40,3,FALSE),"")</f>
        <v/>
      </c>
      <c r="G787" s="31">
        <f>IFERROR(VLOOKUP(B787,'211'!$B$2:$D$116,3,FALSE),"")</f>
        <v>211</v>
      </c>
      <c r="H787" s="32" t="str">
        <f>IFERROR(VLOOKUP(B787,双一流!$B$2:$D$148,3,FALSE),"")</f>
        <v>双一流</v>
      </c>
      <c r="I787" s="32" t="str">
        <f>IFERROR(VLOOKUP(B787,汇总!$B$2:$I$2921,8,FALSE),"")</f>
        <v>综合</v>
      </c>
      <c r="J787" s="34" t="s">
        <v>11</v>
      </c>
      <c r="K787" s="35" t="s">
        <v>12</v>
      </c>
    </row>
    <row r="788" ht="33.75" spans="1:11">
      <c r="A788" s="29">
        <v>787</v>
      </c>
      <c r="B788" s="29" t="s">
        <v>1028</v>
      </c>
      <c r="C788" s="29" t="str">
        <f>VLOOKUP(B788,教育部大学名单!$B$1:$D$2920,3,FALSE)</f>
        <v>贵州省</v>
      </c>
      <c r="D788" s="29" t="s">
        <v>1026</v>
      </c>
      <c r="E788" s="29" t="s">
        <v>1027</v>
      </c>
      <c r="F788" s="36" t="str">
        <f>IFERROR(VLOOKUP(B788,'985'!$B$2:$D$40,3,FALSE),"")</f>
        <v/>
      </c>
      <c r="G788" s="32" t="str">
        <f>IFERROR(VLOOKUP(B788,'211'!$B$2:$D$116,3,FALSE),"")</f>
        <v/>
      </c>
      <c r="H788" s="32" t="str">
        <f>IFERROR(VLOOKUP(B788,双一流!$B$2:$D$148,3,FALSE),"")</f>
        <v/>
      </c>
      <c r="I788" s="32" t="str">
        <f>IFERROR(VLOOKUP(B788,汇总!$B$2:$I$2921,8,FALSE),"")</f>
        <v>医药</v>
      </c>
      <c r="J788" s="29" t="s">
        <v>11</v>
      </c>
      <c r="K788" s="33" t="s">
        <v>12</v>
      </c>
    </row>
    <row r="789" ht="33.75" spans="1:11">
      <c r="A789" s="34">
        <v>788</v>
      </c>
      <c r="B789" s="34" t="s">
        <v>1029</v>
      </c>
      <c r="C789" s="29" t="str">
        <f>VLOOKUP(B789,教育部大学名单!$B$1:$D$2920,3,FALSE)</f>
        <v>贵州省</v>
      </c>
      <c r="D789" s="34" t="s">
        <v>1026</v>
      </c>
      <c r="E789" s="34" t="s">
        <v>1030</v>
      </c>
      <c r="F789" s="36" t="str">
        <f>IFERROR(VLOOKUP(B789,'985'!$B$2:$D$40,3,FALSE),"")</f>
        <v/>
      </c>
      <c r="G789" s="32" t="str">
        <f>IFERROR(VLOOKUP(B789,'211'!$B$2:$D$116,3,FALSE),"")</f>
        <v/>
      </c>
      <c r="H789" s="32" t="str">
        <f>IFERROR(VLOOKUP(B789,双一流!$B$2:$D$148,3,FALSE),"")</f>
        <v/>
      </c>
      <c r="I789" s="32">
        <f>IFERROR(VLOOKUP(B789,汇总!$B$2:$I$2921,8,FALSE),"")</f>
        <v>0</v>
      </c>
      <c r="J789" s="34" t="s">
        <v>11</v>
      </c>
      <c r="K789" s="35" t="s">
        <v>12</v>
      </c>
    </row>
    <row r="790" ht="33.75" spans="1:11">
      <c r="A790" s="29">
        <v>789</v>
      </c>
      <c r="B790" s="29" t="s">
        <v>1031</v>
      </c>
      <c r="C790" s="29" t="str">
        <f>VLOOKUP(B790,教育部大学名单!$B$1:$D$2920,3,FALSE)</f>
        <v>贵州省</v>
      </c>
      <c r="D790" s="29" t="s">
        <v>1026</v>
      </c>
      <c r="E790" s="29" t="s">
        <v>1027</v>
      </c>
      <c r="F790" s="36" t="str">
        <f>IFERROR(VLOOKUP(B790,'985'!$B$2:$D$40,3,FALSE),"")</f>
        <v/>
      </c>
      <c r="G790" s="32" t="str">
        <f>IFERROR(VLOOKUP(B790,'211'!$B$2:$D$116,3,FALSE),"")</f>
        <v/>
      </c>
      <c r="H790" s="32" t="str">
        <f>IFERROR(VLOOKUP(B790,双一流!$B$2:$D$148,3,FALSE),"")</f>
        <v/>
      </c>
      <c r="I790" s="32">
        <f>IFERROR(VLOOKUP(B790,汇总!$B$2:$I$2921,8,FALSE),"")</f>
        <v>0</v>
      </c>
      <c r="J790" s="29" t="s">
        <v>11</v>
      </c>
      <c r="K790" s="33" t="s">
        <v>12</v>
      </c>
    </row>
    <row r="791" ht="33.75" spans="1:11">
      <c r="A791" s="34">
        <v>790</v>
      </c>
      <c r="B791" s="34" t="s">
        <v>1032</v>
      </c>
      <c r="C791" s="29" t="str">
        <f>VLOOKUP(B791,教育部大学名单!$B$1:$D$2920,3,FALSE)</f>
        <v>贵州省</v>
      </c>
      <c r="D791" s="34" t="s">
        <v>1026</v>
      </c>
      <c r="E791" s="34" t="s">
        <v>1027</v>
      </c>
      <c r="F791" s="36" t="str">
        <f>IFERROR(VLOOKUP(B791,'985'!$B$2:$D$40,3,FALSE),"")</f>
        <v/>
      </c>
      <c r="G791" s="32" t="str">
        <f>IFERROR(VLOOKUP(B791,'211'!$B$2:$D$116,3,FALSE),"")</f>
        <v/>
      </c>
      <c r="H791" s="32" t="str">
        <f>IFERROR(VLOOKUP(B791,双一流!$B$2:$D$148,3,FALSE),"")</f>
        <v/>
      </c>
      <c r="I791" s="32" t="str">
        <f>IFERROR(VLOOKUP(B791,汇总!$B$2:$I$2921,8,FALSE),"")</f>
        <v>师范</v>
      </c>
      <c r="J791" s="34" t="s">
        <v>11</v>
      </c>
      <c r="K791" s="35" t="s">
        <v>12</v>
      </c>
    </row>
    <row r="792" ht="33.75" spans="1:11">
      <c r="A792" s="29">
        <v>791</v>
      </c>
      <c r="B792" s="29" t="s">
        <v>1033</v>
      </c>
      <c r="C792" s="29" t="str">
        <f>VLOOKUP(B792,教育部大学名单!$B$1:$D$2920,3,FALSE)</f>
        <v>贵州省</v>
      </c>
      <c r="D792" s="29" t="s">
        <v>1026</v>
      </c>
      <c r="E792" s="29" t="s">
        <v>1030</v>
      </c>
      <c r="F792" s="36" t="str">
        <f>IFERROR(VLOOKUP(B792,'985'!$B$2:$D$40,3,FALSE),"")</f>
        <v/>
      </c>
      <c r="G792" s="32" t="str">
        <f>IFERROR(VLOOKUP(B792,'211'!$B$2:$D$116,3,FALSE),"")</f>
        <v/>
      </c>
      <c r="H792" s="32" t="str">
        <f>IFERROR(VLOOKUP(B792,双一流!$B$2:$D$148,3,FALSE),"")</f>
        <v/>
      </c>
      <c r="I792" s="32">
        <f>IFERROR(VLOOKUP(B792,汇总!$B$2:$I$2921,8,FALSE),"")</f>
        <v>0</v>
      </c>
      <c r="J792" s="29" t="s">
        <v>11</v>
      </c>
      <c r="K792" s="33" t="s">
        <v>12</v>
      </c>
    </row>
    <row r="793" ht="17.25" spans="1:11">
      <c r="A793" s="34">
        <v>792</v>
      </c>
      <c r="B793" s="34" t="s">
        <v>1034</v>
      </c>
      <c r="C793" s="29" t="str">
        <f>VLOOKUP(B793,教育部大学名单!$B$1:$D$2920,3,FALSE)</f>
        <v>贵州省</v>
      </c>
      <c r="D793" s="34" t="s">
        <v>1026</v>
      </c>
      <c r="E793" s="34" t="s">
        <v>1035</v>
      </c>
      <c r="F793" s="36" t="str">
        <f>IFERROR(VLOOKUP(B793,'985'!$B$2:$D$40,3,FALSE),"")</f>
        <v/>
      </c>
      <c r="G793" s="32" t="str">
        <f>IFERROR(VLOOKUP(B793,'211'!$B$2:$D$116,3,FALSE),"")</f>
        <v/>
      </c>
      <c r="H793" s="32" t="str">
        <f>IFERROR(VLOOKUP(B793,双一流!$B$2:$D$148,3,FALSE),"")</f>
        <v/>
      </c>
      <c r="I793" s="32">
        <f>IFERROR(VLOOKUP(B793,汇总!$B$2:$I$2921,8,FALSE),"")</f>
        <v>0</v>
      </c>
      <c r="J793" s="34" t="s">
        <v>11</v>
      </c>
      <c r="K793" s="35" t="s">
        <v>12</v>
      </c>
    </row>
    <row r="794" ht="33.75" spans="1:11">
      <c r="A794" s="29">
        <v>793</v>
      </c>
      <c r="B794" s="29" t="s">
        <v>1036</v>
      </c>
      <c r="C794" s="29" t="str">
        <f>VLOOKUP(B794,教育部大学名单!$B$1:$D$2920,3,FALSE)</f>
        <v>贵州省</v>
      </c>
      <c r="D794" s="29" t="s">
        <v>1026</v>
      </c>
      <c r="E794" s="29" t="s">
        <v>1037</v>
      </c>
      <c r="F794" s="36" t="str">
        <f>IFERROR(VLOOKUP(B794,'985'!$B$2:$D$40,3,FALSE),"")</f>
        <v/>
      </c>
      <c r="G794" s="32" t="str">
        <f>IFERROR(VLOOKUP(B794,'211'!$B$2:$D$116,3,FALSE),"")</f>
        <v/>
      </c>
      <c r="H794" s="32" t="str">
        <f>IFERROR(VLOOKUP(B794,双一流!$B$2:$D$148,3,FALSE),"")</f>
        <v/>
      </c>
      <c r="I794" s="32">
        <f>IFERROR(VLOOKUP(B794,汇总!$B$2:$I$2921,8,FALSE),"")</f>
        <v>0</v>
      </c>
      <c r="J794" s="29" t="s">
        <v>11</v>
      </c>
      <c r="K794" s="33" t="s">
        <v>12</v>
      </c>
    </row>
    <row r="795" ht="17.25" spans="1:11">
      <c r="A795" s="34">
        <v>794</v>
      </c>
      <c r="B795" s="34" t="s">
        <v>1038</v>
      </c>
      <c r="C795" s="29" t="str">
        <f>VLOOKUP(B795,教育部大学名单!$B$1:$D$2920,3,FALSE)</f>
        <v>贵州省</v>
      </c>
      <c r="D795" s="34" t="s">
        <v>1026</v>
      </c>
      <c r="E795" s="34" t="s">
        <v>1039</v>
      </c>
      <c r="F795" s="36" t="str">
        <f>IFERROR(VLOOKUP(B795,'985'!$B$2:$D$40,3,FALSE),"")</f>
        <v/>
      </c>
      <c r="G795" s="32" t="str">
        <f>IFERROR(VLOOKUP(B795,'211'!$B$2:$D$116,3,FALSE),"")</f>
        <v/>
      </c>
      <c r="H795" s="32" t="str">
        <f>IFERROR(VLOOKUP(B795,双一流!$B$2:$D$148,3,FALSE),"")</f>
        <v/>
      </c>
      <c r="I795" s="32">
        <f>IFERROR(VLOOKUP(B795,汇总!$B$2:$I$2921,8,FALSE),"")</f>
        <v>0</v>
      </c>
      <c r="J795" s="34" t="s">
        <v>11</v>
      </c>
      <c r="K795" s="35" t="s">
        <v>12</v>
      </c>
    </row>
    <row r="796" ht="33.75" spans="1:11">
      <c r="A796" s="29">
        <v>795</v>
      </c>
      <c r="B796" s="29" t="s">
        <v>1040</v>
      </c>
      <c r="C796" s="29" t="str">
        <f>VLOOKUP(B796,教育部大学名单!$B$1:$D$2920,3,FALSE)</f>
        <v>贵州省</v>
      </c>
      <c r="D796" s="29" t="s">
        <v>1026</v>
      </c>
      <c r="E796" s="29" t="s">
        <v>1041</v>
      </c>
      <c r="F796" s="36" t="str">
        <f>IFERROR(VLOOKUP(B796,'985'!$B$2:$D$40,3,FALSE),"")</f>
        <v/>
      </c>
      <c r="G796" s="32" t="str">
        <f>IFERROR(VLOOKUP(B796,'211'!$B$2:$D$116,3,FALSE),"")</f>
        <v/>
      </c>
      <c r="H796" s="32" t="str">
        <f>IFERROR(VLOOKUP(B796,双一流!$B$2:$D$148,3,FALSE),"")</f>
        <v/>
      </c>
      <c r="I796" s="32">
        <f>IFERROR(VLOOKUP(B796,汇总!$B$2:$I$2921,8,FALSE),"")</f>
        <v>0</v>
      </c>
      <c r="J796" s="29" t="s">
        <v>11</v>
      </c>
      <c r="K796" s="33" t="s">
        <v>12</v>
      </c>
    </row>
    <row r="797" ht="17.25" spans="1:11">
      <c r="A797" s="34">
        <v>796</v>
      </c>
      <c r="B797" s="34" t="s">
        <v>1042</v>
      </c>
      <c r="C797" s="29" t="str">
        <f>VLOOKUP(B797,教育部大学名单!$B$1:$D$2920,3,FALSE)</f>
        <v>贵州省</v>
      </c>
      <c r="D797" s="34" t="s">
        <v>1026</v>
      </c>
      <c r="E797" s="34" t="s">
        <v>1043</v>
      </c>
      <c r="F797" s="36" t="str">
        <f>IFERROR(VLOOKUP(B797,'985'!$B$2:$D$40,3,FALSE),"")</f>
        <v/>
      </c>
      <c r="G797" s="32" t="str">
        <f>IFERROR(VLOOKUP(B797,'211'!$B$2:$D$116,3,FALSE),"")</f>
        <v/>
      </c>
      <c r="H797" s="32" t="str">
        <f>IFERROR(VLOOKUP(B797,双一流!$B$2:$D$148,3,FALSE),"")</f>
        <v/>
      </c>
      <c r="I797" s="32">
        <f>IFERROR(VLOOKUP(B797,汇总!$B$2:$I$2921,8,FALSE),"")</f>
        <v>0</v>
      </c>
      <c r="J797" s="34" t="s">
        <v>11</v>
      </c>
      <c r="K797" s="35" t="s">
        <v>12</v>
      </c>
    </row>
    <row r="798" ht="33.75" spans="1:11">
      <c r="A798" s="29">
        <v>797</v>
      </c>
      <c r="B798" s="29" t="s">
        <v>1044</v>
      </c>
      <c r="C798" s="29" t="str">
        <f>VLOOKUP(B798,教育部大学名单!$B$1:$D$2920,3,FALSE)</f>
        <v>贵州省</v>
      </c>
      <c r="D798" s="29" t="s">
        <v>1026</v>
      </c>
      <c r="E798" s="29" t="s">
        <v>1045</v>
      </c>
      <c r="F798" s="36" t="str">
        <f>IFERROR(VLOOKUP(B798,'985'!$B$2:$D$40,3,FALSE),"")</f>
        <v/>
      </c>
      <c r="G798" s="32" t="str">
        <f>IFERROR(VLOOKUP(B798,'211'!$B$2:$D$116,3,FALSE),"")</f>
        <v/>
      </c>
      <c r="H798" s="32" t="str">
        <f>IFERROR(VLOOKUP(B798,双一流!$B$2:$D$148,3,FALSE),"")</f>
        <v/>
      </c>
      <c r="I798" s="32">
        <f>IFERROR(VLOOKUP(B798,汇总!$B$2:$I$2921,8,FALSE),"")</f>
        <v>0</v>
      </c>
      <c r="J798" s="29" t="s">
        <v>11</v>
      </c>
      <c r="K798" s="33" t="s">
        <v>12</v>
      </c>
    </row>
    <row r="799" ht="33.75" spans="1:11">
      <c r="A799" s="34">
        <v>798</v>
      </c>
      <c r="B799" s="34" t="s">
        <v>1046</v>
      </c>
      <c r="C799" s="29" t="str">
        <f>VLOOKUP(B799,教育部大学名单!$B$1:$D$2920,3,FALSE)</f>
        <v>贵州省</v>
      </c>
      <c r="D799" s="34" t="s">
        <v>1026</v>
      </c>
      <c r="E799" s="34" t="s">
        <v>1027</v>
      </c>
      <c r="F799" s="36" t="str">
        <f>IFERROR(VLOOKUP(B799,'985'!$B$2:$D$40,3,FALSE),"")</f>
        <v/>
      </c>
      <c r="G799" s="32" t="str">
        <f>IFERROR(VLOOKUP(B799,'211'!$B$2:$D$116,3,FALSE),"")</f>
        <v/>
      </c>
      <c r="H799" s="32" t="str">
        <f>IFERROR(VLOOKUP(B799,双一流!$B$2:$D$148,3,FALSE),"")</f>
        <v/>
      </c>
      <c r="I799" s="32" t="str">
        <f>IFERROR(VLOOKUP(B799,汇总!$B$2:$I$2921,8,FALSE),"")</f>
        <v>财经</v>
      </c>
      <c r="J799" s="34" t="s">
        <v>11</v>
      </c>
      <c r="K799" s="35" t="s">
        <v>12</v>
      </c>
    </row>
    <row r="800" ht="33.75" spans="1:11">
      <c r="A800" s="29">
        <v>799</v>
      </c>
      <c r="B800" s="29" t="s">
        <v>1047</v>
      </c>
      <c r="C800" s="29" t="str">
        <f>VLOOKUP(B800,教育部大学名单!$B$1:$D$2920,3,FALSE)</f>
        <v>贵州省</v>
      </c>
      <c r="D800" s="29" t="s">
        <v>1026</v>
      </c>
      <c r="E800" s="29" t="s">
        <v>1027</v>
      </c>
      <c r="F800" s="36" t="str">
        <f>IFERROR(VLOOKUP(B800,'985'!$B$2:$D$40,3,FALSE),"")</f>
        <v/>
      </c>
      <c r="G800" s="32" t="str">
        <f>IFERROR(VLOOKUP(B800,'211'!$B$2:$D$116,3,FALSE),"")</f>
        <v/>
      </c>
      <c r="H800" s="32" t="str">
        <f>IFERROR(VLOOKUP(B800,双一流!$B$2:$D$148,3,FALSE),"")</f>
        <v/>
      </c>
      <c r="I800" s="32">
        <f>IFERROR(VLOOKUP(B800,汇总!$B$2:$I$2921,8,FALSE),"")</f>
        <v>0</v>
      </c>
      <c r="J800" s="29" t="s">
        <v>11</v>
      </c>
      <c r="K800" s="33" t="s">
        <v>12</v>
      </c>
    </row>
    <row r="801" ht="17.25" spans="1:11">
      <c r="A801" s="34">
        <v>800</v>
      </c>
      <c r="B801" s="34" t="s">
        <v>1048</v>
      </c>
      <c r="C801" s="29" t="str">
        <f>VLOOKUP(B801,教育部大学名单!$B$1:$D$2920,3,FALSE)</f>
        <v>贵州省</v>
      </c>
      <c r="D801" s="34" t="s">
        <v>1026</v>
      </c>
      <c r="E801" s="34" t="s">
        <v>1027</v>
      </c>
      <c r="F801" s="36" t="str">
        <f>IFERROR(VLOOKUP(B801,'985'!$B$2:$D$40,3,FALSE),"")</f>
        <v/>
      </c>
      <c r="G801" s="32" t="str">
        <f>IFERROR(VLOOKUP(B801,'211'!$B$2:$D$116,3,FALSE),"")</f>
        <v/>
      </c>
      <c r="H801" s="32" t="str">
        <f>IFERROR(VLOOKUP(B801,双一流!$B$2:$D$148,3,FALSE),"")</f>
        <v/>
      </c>
      <c r="I801" s="32">
        <f>IFERROR(VLOOKUP(B801,汇总!$B$2:$I$2921,8,FALSE),"")</f>
        <v>0</v>
      </c>
      <c r="J801" s="34" t="s">
        <v>11</v>
      </c>
      <c r="K801" s="35" t="s">
        <v>12</v>
      </c>
    </row>
    <row r="802" ht="33.75" spans="1:11">
      <c r="A802" s="29">
        <v>801</v>
      </c>
      <c r="B802" s="29" t="s">
        <v>1049</v>
      </c>
      <c r="C802" s="29" t="str">
        <f>VLOOKUP(B802,教育部大学名单!$B$1:$D$2920,3,FALSE)</f>
        <v>贵州省</v>
      </c>
      <c r="D802" s="29" t="s">
        <v>1026</v>
      </c>
      <c r="E802" s="29" t="s">
        <v>1050</v>
      </c>
      <c r="F802" s="36" t="str">
        <f>IFERROR(VLOOKUP(B802,'985'!$B$2:$D$40,3,FALSE),"")</f>
        <v/>
      </c>
      <c r="G802" s="32" t="str">
        <f>IFERROR(VLOOKUP(B802,'211'!$B$2:$D$116,3,FALSE),"")</f>
        <v/>
      </c>
      <c r="H802" s="32" t="str">
        <f>IFERROR(VLOOKUP(B802,双一流!$B$2:$D$148,3,FALSE),"")</f>
        <v/>
      </c>
      <c r="I802" s="32">
        <f>IFERROR(VLOOKUP(B802,汇总!$B$2:$I$2921,8,FALSE),"")</f>
        <v>0</v>
      </c>
      <c r="J802" s="29" t="s">
        <v>11</v>
      </c>
      <c r="K802" s="33" t="s">
        <v>12</v>
      </c>
    </row>
    <row r="803" ht="17.25" spans="1:11">
      <c r="A803" s="34">
        <v>802</v>
      </c>
      <c r="B803" s="34" t="s">
        <v>1051</v>
      </c>
      <c r="C803" s="29" t="str">
        <f>VLOOKUP(B803,教育部大学名单!$B$1:$D$2920,3,FALSE)</f>
        <v>贵州省</v>
      </c>
      <c r="D803" s="34" t="s">
        <v>1026</v>
      </c>
      <c r="E803" s="34" t="s">
        <v>1027</v>
      </c>
      <c r="F803" s="36" t="str">
        <f>IFERROR(VLOOKUP(B803,'985'!$B$2:$D$40,3,FALSE),"")</f>
        <v/>
      </c>
      <c r="G803" s="32" t="str">
        <f>IFERROR(VLOOKUP(B803,'211'!$B$2:$D$116,3,FALSE),"")</f>
        <v/>
      </c>
      <c r="H803" s="32" t="str">
        <f>IFERROR(VLOOKUP(B803,双一流!$B$2:$D$148,3,FALSE),"")</f>
        <v/>
      </c>
      <c r="I803" s="32">
        <f>IFERROR(VLOOKUP(B803,汇总!$B$2:$I$2921,8,FALSE),"")</f>
        <v>0</v>
      </c>
      <c r="J803" s="34" t="s">
        <v>11</v>
      </c>
      <c r="K803" s="35" t="s">
        <v>12</v>
      </c>
    </row>
    <row r="804" ht="33.75" spans="1:11">
      <c r="A804" s="29">
        <v>803</v>
      </c>
      <c r="B804" s="29" t="s">
        <v>1052</v>
      </c>
      <c r="C804" s="29" t="str">
        <f>VLOOKUP(B804,教育部大学名单!$B$1:$D$2920,3,FALSE)</f>
        <v>贵州省</v>
      </c>
      <c r="D804" s="29" t="s">
        <v>1026</v>
      </c>
      <c r="E804" s="29" t="s">
        <v>1027</v>
      </c>
      <c r="F804" s="36" t="str">
        <f>IFERROR(VLOOKUP(B804,'985'!$B$2:$D$40,3,FALSE),"")</f>
        <v/>
      </c>
      <c r="G804" s="32" t="str">
        <f>IFERROR(VLOOKUP(B804,'211'!$B$2:$D$116,3,FALSE),"")</f>
        <v/>
      </c>
      <c r="H804" s="32" t="str">
        <f>IFERROR(VLOOKUP(B804,双一流!$B$2:$D$148,3,FALSE),"")</f>
        <v/>
      </c>
      <c r="I804" s="32">
        <f>IFERROR(VLOOKUP(B804,汇总!$B$2:$I$2921,8,FALSE),"")</f>
        <v>0</v>
      </c>
      <c r="J804" s="29" t="s">
        <v>11</v>
      </c>
      <c r="K804" s="33" t="s">
        <v>12</v>
      </c>
    </row>
    <row r="805" ht="33.75" spans="1:11">
      <c r="A805" s="34">
        <v>804</v>
      </c>
      <c r="B805" s="34" t="s">
        <v>1053</v>
      </c>
      <c r="C805" s="29" t="str">
        <f>VLOOKUP(B805,教育部大学名单!$B$1:$D$2920,3,FALSE)</f>
        <v>贵州省</v>
      </c>
      <c r="D805" s="34" t="s">
        <v>1026</v>
      </c>
      <c r="E805" s="34" t="s">
        <v>1027</v>
      </c>
      <c r="F805" s="36" t="str">
        <f>IFERROR(VLOOKUP(B805,'985'!$B$2:$D$40,3,FALSE),"")</f>
        <v/>
      </c>
      <c r="G805" s="32" t="str">
        <f>IFERROR(VLOOKUP(B805,'211'!$B$2:$D$116,3,FALSE),"")</f>
        <v/>
      </c>
      <c r="H805" s="32" t="str">
        <f>IFERROR(VLOOKUP(B805,双一流!$B$2:$D$148,3,FALSE),"")</f>
        <v/>
      </c>
      <c r="I805" s="32">
        <f>IFERROR(VLOOKUP(B805,汇总!$B$2:$I$2921,8,FALSE),"")</f>
        <v>0</v>
      </c>
      <c r="J805" s="34" t="s">
        <v>11</v>
      </c>
      <c r="K805" s="35" t="s">
        <v>12</v>
      </c>
    </row>
    <row r="806" ht="33.75" spans="1:11">
      <c r="A806" s="29">
        <v>805</v>
      </c>
      <c r="B806" s="29" t="s">
        <v>1054</v>
      </c>
      <c r="C806" s="29" t="str">
        <f>VLOOKUP(B806,教育部大学名单!$B$1:$D$2920,3,FALSE)</f>
        <v>贵州省</v>
      </c>
      <c r="D806" s="29" t="s">
        <v>1026</v>
      </c>
      <c r="E806" s="29" t="s">
        <v>1027</v>
      </c>
      <c r="F806" s="36" t="str">
        <f>IFERROR(VLOOKUP(B806,'985'!$B$2:$D$40,3,FALSE),"")</f>
        <v/>
      </c>
      <c r="G806" s="32" t="str">
        <f>IFERROR(VLOOKUP(B806,'211'!$B$2:$D$116,3,FALSE),"")</f>
        <v/>
      </c>
      <c r="H806" s="32" t="str">
        <f>IFERROR(VLOOKUP(B806,双一流!$B$2:$D$148,3,FALSE),"")</f>
        <v/>
      </c>
      <c r="I806" s="32">
        <f>IFERROR(VLOOKUP(B806,汇总!$B$2:$I$2921,8,FALSE),"")</f>
        <v>0</v>
      </c>
      <c r="J806" s="29" t="s">
        <v>11</v>
      </c>
      <c r="K806" s="33" t="s">
        <v>12</v>
      </c>
    </row>
    <row r="807" ht="33.75" spans="1:11">
      <c r="A807" s="34">
        <v>806</v>
      </c>
      <c r="B807" s="34" t="s">
        <v>1055</v>
      </c>
      <c r="C807" s="29" t="str">
        <f>VLOOKUP(B807,教育部大学名单!$B$1:$D$2920,3,FALSE)</f>
        <v>贵州省</v>
      </c>
      <c r="D807" s="34" t="s">
        <v>1026</v>
      </c>
      <c r="E807" s="34" t="s">
        <v>1027</v>
      </c>
      <c r="F807" s="36" t="str">
        <f>IFERROR(VLOOKUP(B807,'985'!$B$2:$D$40,3,FALSE),"")</f>
        <v/>
      </c>
      <c r="G807" s="32" t="str">
        <f>IFERROR(VLOOKUP(B807,'211'!$B$2:$D$116,3,FALSE),"")</f>
        <v/>
      </c>
      <c r="H807" s="32" t="str">
        <f>IFERROR(VLOOKUP(B807,双一流!$B$2:$D$148,3,FALSE),"")</f>
        <v/>
      </c>
      <c r="I807" s="32">
        <f>IFERROR(VLOOKUP(B807,汇总!$B$2:$I$2921,8,FALSE),"")</f>
        <v>0</v>
      </c>
      <c r="J807" s="34" t="s">
        <v>11</v>
      </c>
      <c r="K807" s="35" t="s">
        <v>12</v>
      </c>
    </row>
    <row r="808" ht="33.75" spans="1:11">
      <c r="A808" s="29">
        <v>807</v>
      </c>
      <c r="B808" s="29" t="s">
        <v>1056</v>
      </c>
      <c r="C808" s="29" t="str">
        <f>VLOOKUP(B808,教育部大学名单!$B$1:$D$2920,3,FALSE)</f>
        <v>贵州省</v>
      </c>
      <c r="D808" s="29" t="s">
        <v>1026</v>
      </c>
      <c r="E808" s="29" t="s">
        <v>1027</v>
      </c>
      <c r="F808" s="36" t="str">
        <f>IFERROR(VLOOKUP(B808,'985'!$B$2:$D$40,3,FALSE),"")</f>
        <v/>
      </c>
      <c r="G808" s="32" t="str">
        <f>IFERROR(VLOOKUP(B808,'211'!$B$2:$D$116,3,FALSE),"")</f>
        <v/>
      </c>
      <c r="H808" s="32" t="str">
        <f>IFERROR(VLOOKUP(B808,双一流!$B$2:$D$148,3,FALSE),"")</f>
        <v/>
      </c>
      <c r="I808" s="32">
        <f>IFERROR(VLOOKUP(B808,汇总!$B$2:$I$2921,8,FALSE),"")</f>
        <v>0</v>
      </c>
      <c r="J808" s="29" t="s">
        <v>11</v>
      </c>
      <c r="K808" s="33" t="s">
        <v>12</v>
      </c>
    </row>
    <row r="809" ht="33.75" spans="1:11">
      <c r="A809" s="34">
        <v>808</v>
      </c>
      <c r="B809" s="34" t="s">
        <v>1057</v>
      </c>
      <c r="C809" s="29" t="str">
        <f>VLOOKUP(B809,教育部大学名单!$B$1:$D$2920,3,FALSE)</f>
        <v>贵州省</v>
      </c>
      <c r="D809" s="34" t="s">
        <v>1026</v>
      </c>
      <c r="E809" s="34" t="s">
        <v>1035</v>
      </c>
      <c r="F809" s="36" t="str">
        <f>IFERROR(VLOOKUP(B809,'985'!$B$2:$D$40,3,FALSE),"")</f>
        <v/>
      </c>
      <c r="G809" s="32" t="str">
        <f>IFERROR(VLOOKUP(B809,'211'!$B$2:$D$116,3,FALSE),"")</f>
        <v/>
      </c>
      <c r="H809" s="32" t="str">
        <f>IFERROR(VLOOKUP(B809,双一流!$B$2:$D$148,3,FALSE),"")</f>
        <v/>
      </c>
      <c r="I809" s="32" t="str">
        <f>IFERROR(VLOOKUP(B809,汇总!$B$2:$I$2921,8,FALSE),"")</f>
        <v/>
      </c>
      <c r="J809" s="34" t="s">
        <v>11</v>
      </c>
      <c r="K809" s="35" t="s">
        <v>12</v>
      </c>
    </row>
    <row r="810" ht="33.75" spans="1:11">
      <c r="A810" s="29">
        <v>809</v>
      </c>
      <c r="B810" s="29" t="s">
        <v>1058</v>
      </c>
      <c r="C810" s="29" t="str">
        <f>VLOOKUP(B810,教育部大学名单!$B$1:$D$2920,3,FALSE)</f>
        <v>贵州省</v>
      </c>
      <c r="D810" s="29" t="s">
        <v>1026</v>
      </c>
      <c r="E810" s="29" t="s">
        <v>1027</v>
      </c>
      <c r="F810" s="36" t="str">
        <f>IFERROR(VLOOKUP(B810,'985'!$B$2:$D$40,3,FALSE),"")</f>
        <v/>
      </c>
      <c r="G810" s="32" t="str">
        <f>IFERROR(VLOOKUP(B810,'211'!$B$2:$D$116,3,FALSE),"")</f>
        <v/>
      </c>
      <c r="H810" s="32" t="str">
        <f>IFERROR(VLOOKUP(B810,双一流!$B$2:$D$148,3,FALSE),"")</f>
        <v/>
      </c>
      <c r="I810" s="32" t="str">
        <f>IFERROR(VLOOKUP(B810,汇总!$B$2:$I$2921,8,FALSE),"")</f>
        <v/>
      </c>
      <c r="J810" s="29" t="s">
        <v>11</v>
      </c>
      <c r="K810" s="33" t="s">
        <v>12</v>
      </c>
    </row>
    <row r="811" ht="17.25" spans="1:11">
      <c r="A811" s="34">
        <v>810</v>
      </c>
      <c r="B811" s="34" t="s">
        <v>1059</v>
      </c>
      <c r="C811" s="29" t="str">
        <f>VLOOKUP(B811,教育部大学名单!$B$1:$D$2920,3,FALSE)</f>
        <v>云南省</v>
      </c>
      <c r="D811" s="34" t="s">
        <v>1060</v>
      </c>
      <c r="E811" s="34" t="s">
        <v>1061</v>
      </c>
      <c r="F811" s="36" t="str">
        <f>IFERROR(VLOOKUP(B811,'985'!$B$2:$D$40,3,FALSE),"")</f>
        <v/>
      </c>
      <c r="G811" s="31">
        <f>IFERROR(VLOOKUP(B811,'211'!$B$2:$D$116,3,FALSE),"")</f>
        <v>211</v>
      </c>
      <c r="H811" s="32" t="str">
        <f>IFERROR(VLOOKUP(B811,双一流!$B$2:$D$148,3,FALSE),"")</f>
        <v>双一流</v>
      </c>
      <c r="I811" s="32" t="str">
        <f>IFERROR(VLOOKUP(B811,汇总!$B$2:$I$2921,8,FALSE),"")</f>
        <v>综合</v>
      </c>
      <c r="J811" s="34" t="s">
        <v>11</v>
      </c>
      <c r="K811" s="35" t="s">
        <v>12</v>
      </c>
    </row>
    <row r="812" ht="33.75" spans="1:11">
      <c r="A812" s="29">
        <v>811</v>
      </c>
      <c r="B812" s="29" t="s">
        <v>1062</v>
      </c>
      <c r="C812" s="29" t="str">
        <f>VLOOKUP(B812,教育部大学名单!$B$1:$D$2920,3,FALSE)</f>
        <v>云南省</v>
      </c>
      <c r="D812" s="29" t="s">
        <v>1060</v>
      </c>
      <c r="E812" s="29" t="s">
        <v>1061</v>
      </c>
      <c r="F812" s="36" t="str">
        <f>IFERROR(VLOOKUP(B812,'985'!$B$2:$D$40,3,FALSE),"")</f>
        <v/>
      </c>
      <c r="G812" s="32" t="str">
        <f>IFERROR(VLOOKUP(B812,'211'!$B$2:$D$116,3,FALSE),"")</f>
        <v/>
      </c>
      <c r="H812" s="32" t="str">
        <f>IFERROR(VLOOKUP(B812,双一流!$B$2:$D$148,3,FALSE),"")</f>
        <v/>
      </c>
      <c r="I812" s="32" t="str">
        <f>IFERROR(VLOOKUP(B812,汇总!$B$2:$I$2921,8,FALSE),"")</f>
        <v>理工</v>
      </c>
      <c r="J812" s="29" t="s">
        <v>11</v>
      </c>
      <c r="K812" s="33" t="s">
        <v>12</v>
      </c>
    </row>
    <row r="813" ht="33.75" spans="1:11">
      <c r="A813" s="34">
        <v>812</v>
      </c>
      <c r="B813" s="34" t="s">
        <v>1063</v>
      </c>
      <c r="C813" s="29" t="str">
        <f>VLOOKUP(B813,教育部大学名单!$B$1:$D$2920,3,FALSE)</f>
        <v>云南省</v>
      </c>
      <c r="D813" s="34" t="s">
        <v>1060</v>
      </c>
      <c r="E813" s="34" t="s">
        <v>1061</v>
      </c>
      <c r="F813" s="36" t="str">
        <f>IFERROR(VLOOKUP(B813,'985'!$B$2:$D$40,3,FALSE),"")</f>
        <v/>
      </c>
      <c r="G813" s="32" t="str">
        <f>IFERROR(VLOOKUP(B813,'211'!$B$2:$D$116,3,FALSE),"")</f>
        <v/>
      </c>
      <c r="H813" s="32" t="str">
        <f>IFERROR(VLOOKUP(B813,双一流!$B$2:$D$148,3,FALSE),"")</f>
        <v/>
      </c>
      <c r="I813" s="32" t="str">
        <f>IFERROR(VLOOKUP(B813,汇总!$B$2:$I$2921,8,FALSE),"")</f>
        <v>农林</v>
      </c>
      <c r="J813" s="34" t="s">
        <v>11</v>
      </c>
      <c r="K813" s="35" t="s">
        <v>12</v>
      </c>
    </row>
    <row r="814" ht="33.75" spans="1:11">
      <c r="A814" s="29">
        <v>813</v>
      </c>
      <c r="B814" s="29" t="s">
        <v>1064</v>
      </c>
      <c r="C814" s="29" t="str">
        <f>VLOOKUP(B814,教育部大学名单!$B$1:$D$2920,3,FALSE)</f>
        <v>云南省</v>
      </c>
      <c r="D814" s="29" t="s">
        <v>1060</v>
      </c>
      <c r="E814" s="29" t="s">
        <v>1061</v>
      </c>
      <c r="F814" s="36" t="str">
        <f>IFERROR(VLOOKUP(B814,'985'!$B$2:$D$40,3,FALSE),"")</f>
        <v/>
      </c>
      <c r="G814" s="32" t="str">
        <f>IFERROR(VLOOKUP(B814,'211'!$B$2:$D$116,3,FALSE),"")</f>
        <v/>
      </c>
      <c r="H814" s="32" t="str">
        <f>IFERROR(VLOOKUP(B814,双一流!$B$2:$D$148,3,FALSE),"")</f>
        <v/>
      </c>
      <c r="I814" s="32" t="str">
        <f>IFERROR(VLOOKUP(B814,汇总!$B$2:$I$2921,8,FALSE),"")</f>
        <v>农林</v>
      </c>
      <c r="J814" s="29" t="s">
        <v>11</v>
      </c>
      <c r="K814" s="33" t="s">
        <v>12</v>
      </c>
    </row>
    <row r="815" ht="33.75" spans="1:11">
      <c r="A815" s="34">
        <v>814</v>
      </c>
      <c r="B815" s="34" t="s">
        <v>1065</v>
      </c>
      <c r="C815" s="29" t="str">
        <f>VLOOKUP(B815,教育部大学名单!$B$1:$D$2920,3,FALSE)</f>
        <v>云南省</v>
      </c>
      <c r="D815" s="34" t="s">
        <v>1060</v>
      </c>
      <c r="E815" s="34" t="s">
        <v>1061</v>
      </c>
      <c r="F815" s="36" t="str">
        <f>IFERROR(VLOOKUP(B815,'985'!$B$2:$D$40,3,FALSE),"")</f>
        <v/>
      </c>
      <c r="G815" s="32" t="str">
        <f>IFERROR(VLOOKUP(B815,'211'!$B$2:$D$116,3,FALSE),"")</f>
        <v/>
      </c>
      <c r="H815" s="32" t="str">
        <f>IFERROR(VLOOKUP(B815,双一流!$B$2:$D$148,3,FALSE),"")</f>
        <v/>
      </c>
      <c r="I815" s="32" t="str">
        <f>IFERROR(VLOOKUP(B815,汇总!$B$2:$I$2921,8,FALSE),"")</f>
        <v>医药</v>
      </c>
      <c r="J815" s="34" t="s">
        <v>11</v>
      </c>
      <c r="K815" s="35" t="s">
        <v>12</v>
      </c>
    </row>
    <row r="816" ht="17.25" spans="1:11">
      <c r="A816" s="29">
        <v>815</v>
      </c>
      <c r="B816" s="29" t="s">
        <v>1066</v>
      </c>
      <c r="C816" s="29" t="str">
        <f>VLOOKUP(B816,教育部大学名单!$B$1:$D$2920,3,FALSE)</f>
        <v>云南省</v>
      </c>
      <c r="D816" s="29" t="s">
        <v>1060</v>
      </c>
      <c r="E816" s="29" t="s">
        <v>1067</v>
      </c>
      <c r="F816" s="36" t="str">
        <f>IFERROR(VLOOKUP(B816,'985'!$B$2:$D$40,3,FALSE),"")</f>
        <v/>
      </c>
      <c r="G816" s="32" t="str">
        <f>IFERROR(VLOOKUP(B816,'211'!$B$2:$D$116,3,FALSE),"")</f>
        <v/>
      </c>
      <c r="H816" s="32" t="str">
        <f>IFERROR(VLOOKUP(B816,双一流!$B$2:$D$148,3,FALSE),"")</f>
        <v/>
      </c>
      <c r="I816" s="32">
        <f>IFERROR(VLOOKUP(B816,汇总!$B$2:$I$2921,8,FALSE),"")</f>
        <v>0</v>
      </c>
      <c r="J816" s="29" t="s">
        <v>11</v>
      </c>
      <c r="K816" s="33" t="s">
        <v>12</v>
      </c>
    </row>
    <row r="817" ht="33.75" spans="1:11">
      <c r="A817" s="34">
        <v>816</v>
      </c>
      <c r="B817" s="34" t="s">
        <v>1068</v>
      </c>
      <c r="C817" s="29" t="str">
        <f>VLOOKUP(B817,教育部大学名单!$B$1:$D$2920,3,FALSE)</f>
        <v>云南省</v>
      </c>
      <c r="D817" s="34" t="s">
        <v>1060</v>
      </c>
      <c r="E817" s="34" t="s">
        <v>1061</v>
      </c>
      <c r="F817" s="36" t="str">
        <f>IFERROR(VLOOKUP(B817,'985'!$B$2:$D$40,3,FALSE),"")</f>
        <v/>
      </c>
      <c r="G817" s="32" t="str">
        <f>IFERROR(VLOOKUP(B817,'211'!$B$2:$D$116,3,FALSE),"")</f>
        <v/>
      </c>
      <c r="H817" s="32" t="str">
        <f>IFERROR(VLOOKUP(B817,双一流!$B$2:$D$148,3,FALSE),"")</f>
        <v/>
      </c>
      <c r="I817" s="32">
        <f>IFERROR(VLOOKUP(B817,汇总!$B$2:$I$2921,8,FALSE),"")</f>
        <v>0</v>
      </c>
      <c r="J817" s="34" t="s">
        <v>11</v>
      </c>
      <c r="K817" s="35" t="s">
        <v>12</v>
      </c>
    </row>
    <row r="818" ht="33.75" spans="1:11">
      <c r="A818" s="29">
        <v>817</v>
      </c>
      <c r="B818" s="29" t="s">
        <v>1069</v>
      </c>
      <c r="C818" s="29" t="str">
        <f>VLOOKUP(B818,教育部大学名单!$B$1:$D$2920,3,FALSE)</f>
        <v>云南省</v>
      </c>
      <c r="D818" s="29" t="s">
        <v>1060</v>
      </c>
      <c r="E818" s="29" t="s">
        <v>1061</v>
      </c>
      <c r="F818" s="36" t="str">
        <f>IFERROR(VLOOKUP(B818,'985'!$B$2:$D$40,3,FALSE),"")</f>
        <v/>
      </c>
      <c r="G818" s="32" t="str">
        <f>IFERROR(VLOOKUP(B818,'211'!$B$2:$D$116,3,FALSE),"")</f>
        <v/>
      </c>
      <c r="H818" s="32" t="str">
        <f>IFERROR(VLOOKUP(B818,双一流!$B$2:$D$148,3,FALSE),"")</f>
        <v/>
      </c>
      <c r="I818" s="32" t="str">
        <f>IFERROR(VLOOKUP(B818,汇总!$B$2:$I$2921,8,FALSE),"")</f>
        <v>师范</v>
      </c>
      <c r="J818" s="29" t="s">
        <v>11</v>
      </c>
      <c r="K818" s="33" t="s">
        <v>12</v>
      </c>
    </row>
    <row r="819" ht="17.25" spans="1:11">
      <c r="A819" s="34">
        <v>818</v>
      </c>
      <c r="B819" s="34" t="s">
        <v>1070</v>
      </c>
      <c r="C819" s="29" t="str">
        <f>VLOOKUP(B819,教育部大学名单!$B$1:$D$2920,3,FALSE)</f>
        <v>云南省</v>
      </c>
      <c r="D819" s="34" t="s">
        <v>1060</v>
      </c>
      <c r="E819" s="34" t="s">
        <v>1071</v>
      </c>
      <c r="F819" s="36" t="str">
        <f>IFERROR(VLOOKUP(B819,'985'!$B$2:$D$40,3,FALSE),"")</f>
        <v/>
      </c>
      <c r="G819" s="32" t="str">
        <f>IFERROR(VLOOKUP(B819,'211'!$B$2:$D$116,3,FALSE),"")</f>
        <v/>
      </c>
      <c r="H819" s="32" t="str">
        <f>IFERROR(VLOOKUP(B819,双一流!$B$2:$D$148,3,FALSE),"")</f>
        <v/>
      </c>
      <c r="I819" s="32">
        <f>IFERROR(VLOOKUP(B819,汇总!$B$2:$I$2921,8,FALSE),"")</f>
        <v>0</v>
      </c>
      <c r="J819" s="34" t="s">
        <v>11</v>
      </c>
      <c r="K819" s="35" t="s">
        <v>12</v>
      </c>
    </row>
    <row r="820" ht="33.75" spans="1:11">
      <c r="A820" s="29">
        <v>819</v>
      </c>
      <c r="B820" s="29" t="s">
        <v>1072</v>
      </c>
      <c r="C820" s="29" t="str">
        <f>VLOOKUP(B820,教育部大学名单!$B$1:$D$2920,3,FALSE)</f>
        <v>云南省</v>
      </c>
      <c r="D820" s="29" t="s">
        <v>1060</v>
      </c>
      <c r="E820" s="29" t="s">
        <v>1073</v>
      </c>
      <c r="F820" s="36" t="str">
        <f>IFERROR(VLOOKUP(B820,'985'!$B$2:$D$40,3,FALSE),"")</f>
        <v/>
      </c>
      <c r="G820" s="32" t="str">
        <f>IFERROR(VLOOKUP(B820,'211'!$B$2:$D$116,3,FALSE),"")</f>
        <v/>
      </c>
      <c r="H820" s="32" t="str">
        <f>IFERROR(VLOOKUP(B820,双一流!$B$2:$D$148,3,FALSE),"")</f>
        <v/>
      </c>
      <c r="I820" s="32">
        <f>IFERROR(VLOOKUP(B820,汇总!$B$2:$I$2921,8,FALSE),"")</f>
        <v>0</v>
      </c>
      <c r="J820" s="29" t="s">
        <v>11</v>
      </c>
      <c r="K820" s="33" t="s">
        <v>12</v>
      </c>
    </row>
    <row r="821" ht="17.25" spans="1:11">
      <c r="A821" s="34">
        <v>820</v>
      </c>
      <c r="B821" s="34" t="s">
        <v>1074</v>
      </c>
      <c r="C821" s="29" t="str">
        <f>VLOOKUP(B821,教育部大学名单!$B$1:$D$2920,3,FALSE)</f>
        <v>云南省</v>
      </c>
      <c r="D821" s="34" t="s">
        <v>1060</v>
      </c>
      <c r="E821" s="34" t="s">
        <v>1075</v>
      </c>
      <c r="F821" s="36" t="str">
        <f>IFERROR(VLOOKUP(B821,'985'!$B$2:$D$40,3,FALSE),"")</f>
        <v/>
      </c>
      <c r="G821" s="32" t="str">
        <f>IFERROR(VLOOKUP(B821,'211'!$B$2:$D$116,3,FALSE),"")</f>
        <v/>
      </c>
      <c r="H821" s="32" t="str">
        <f>IFERROR(VLOOKUP(B821,双一流!$B$2:$D$148,3,FALSE),"")</f>
        <v/>
      </c>
      <c r="I821" s="32">
        <f>IFERROR(VLOOKUP(B821,汇总!$B$2:$I$2921,8,FALSE),"")</f>
        <v>0</v>
      </c>
      <c r="J821" s="34" t="s">
        <v>11</v>
      </c>
      <c r="K821" s="35" t="s">
        <v>12</v>
      </c>
    </row>
    <row r="822" ht="17.25" spans="1:11">
      <c r="A822" s="29">
        <v>821</v>
      </c>
      <c r="B822" s="29" t="s">
        <v>1076</v>
      </c>
      <c r="C822" s="29" t="str">
        <f>VLOOKUP(B822,教育部大学名单!$B$1:$D$2920,3,FALSE)</f>
        <v>云南省</v>
      </c>
      <c r="D822" s="29" t="s">
        <v>1060</v>
      </c>
      <c r="E822" s="29" t="s">
        <v>1077</v>
      </c>
      <c r="F822" s="36" t="str">
        <f>IFERROR(VLOOKUP(B822,'985'!$B$2:$D$40,3,FALSE),"")</f>
        <v/>
      </c>
      <c r="G822" s="32" t="str">
        <f>IFERROR(VLOOKUP(B822,'211'!$B$2:$D$116,3,FALSE),"")</f>
        <v/>
      </c>
      <c r="H822" s="32" t="str">
        <f>IFERROR(VLOOKUP(B822,双一流!$B$2:$D$148,3,FALSE),"")</f>
        <v/>
      </c>
      <c r="I822" s="32">
        <f>IFERROR(VLOOKUP(B822,汇总!$B$2:$I$2921,8,FALSE),"")</f>
        <v>0</v>
      </c>
      <c r="J822" s="29" t="s">
        <v>11</v>
      </c>
      <c r="K822" s="33" t="s">
        <v>12</v>
      </c>
    </row>
    <row r="823" ht="17.25" spans="1:11">
      <c r="A823" s="34">
        <v>822</v>
      </c>
      <c r="B823" s="34" t="s">
        <v>1078</v>
      </c>
      <c r="C823" s="29" t="str">
        <f>VLOOKUP(B823,教育部大学名单!$B$1:$D$2920,3,FALSE)</f>
        <v>云南省</v>
      </c>
      <c r="D823" s="34" t="s">
        <v>1060</v>
      </c>
      <c r="E823" s="34" t="s">
        <v>1079</v>
      </c>
      <c r="F823" s="36" t="str">
        <f>IFERROR(VLOOKUP(B823,'985'!$B$2:$D$40,3,FALSE),"")</f>
        <v/>
      </c>
      <c r="G823" s="32" t="str">
        <f>IFERROR(VLOOKUP(B823,'211'!$B$2:$D$116,3,FALSE),"")</f>
        <v/>
      </c>
      <c r="H823" s="32" t="str">
        <f>IFERROR(VLOOKUP(B823,双一流!$B$2:$D$148,3,FALSE),"")</f>
        <v/>
      </c>
      <c r="I823" s="32">
        <f>IFERROR(VLOOKUP(B823,汇总!$B$2:$I$2921,8,FALSE),"")</f>
        <v>0</v>
      </c>
      <c r="J823" s="34" t="s">
        <v>11</v>
      </c>
      <c r="K823" s="35" t="s">
        <v>12</v>
      </c>
    </row>
    <row r="824" ht="33.75" spans="1:11">
      <c r="A824" s="29">
        <v>823</v>
      </c>
      <c r="B824" s="29" t="s">
        <v>1080</v>
      </c>
      <c r="C824" s="29" t="str">
        <f>VLOOKUP(B824,教育部大学名单!$B$1:$D$2920,3,FALSE)</f>
        <v>云南省</v>
      </c>
      <c r="D824" s="29" t="s">
        <v>1060</v>
      </c>
      <c r="E824" s="29" t="s">
        <v>1061</v>
      </c>
      <c r="F824" s="36" t="str">
        <f>IFERROR(VLOOKUP(B824,'985'!$B$2:$D$40,3,FALSE),"")</f>
        <v/>
      </c>
      <c r="G824" s="32" t="str">
        <f>IFERROR(VLOOKUP(B824,'211'!$B$2:$D$116,3,FALSE),"")</f>
        <v/>
      </c>
      <c r="H824" s="32" t="str">
        <f>IFERROR(VLOOKUP(B824,双一流!$B$2:$D$148,3,FALSE),"")</f>
        <v/>
      </c>
      <c r="I824" s="32" t="str">
        <f>IFERROR(VLOOKUP(B824,汇总!$B$2:$I$2921,8,FALSE),"")</f>
        <v>财经</v>
      </c>
      <c r="J824" s="29" t="s">
        <v>11</v>
      </c>
      <c r="K824" s="33" t="s">
        <v>12</v>
      </c>
    </row>
    <row r="825" ht="33.75" spans="1:11">
      <c r="A825" s="34">
        <v>824</v>
      </c>
      <c r="B825" s="34" t="s">
        <v>1081</v>
      </c>
      <c r="C825" s="29" t="str">
        <f>VLOOKUP(B825,教育部大学名单!$B$1:$D$2920,3,FALSE)</f>
        <v>云南省</v>
      </c>
      <c r="D825" s="34" t="s">
        <v>1060</v>
      </c>
      <c r="E825" s="34" t="s">
        <v>1061</v>
      </c>
      <c r="F825" s="36" t="str">
        <f>IFERROR(VLOOKUP(B825,'985'!$B$2:$D$40,3,FALSE),"")</f>
        <v/>
      </c>
      <c r="G825" s="32" t="str">
        <f>IFERROR(VLOOKUP(B825,'211'!$B$2:$D$116,3,FALSE),"")</f>
        <v/>
      </c>
      <c r="H825" s="32" t="str">
        <f>IFERROR(VLOOKUP(B825,双一流!$B$2:$D$148,3,FALSE),"")</f>
        <v/>
      </c>
      <c r="I825" s="32">
        <f>IFERROR(VLOOKUP(B825,汇总!$B$2:$I$2921,8,FALSE),"")</f>
        <v>0</v>
      </c>
      <c r="J825" s="34" t="s">
        <v>11</v>
      </c>
      <c r="K825" s="35" t="s">
        <v>12</v>
      </c>
    </row>
    <row r="826" ht="33.75" spans="1:11">
      <c r="A826" s="29">
        <v>825</v>
      </c>
      <c r="B826" s="29" t="s">
        <v>1082</v>
      </c>
      <c r="C826" s="29" t="str">
        <f>VLOOKUP(B826,教育部大学名单!$B$1:$D$2920,3,FALSE)</f>
        <v>云南省</v>
      </c>
      <c r="D826" s="29" t="s">
        <v>1060</v>
      </c>
      <c r="E826" s="29" t="s">
        <v>1061</v>
      </c>
      <c r="F826" s="36" t="str">
        <f>IFERROR(VLOOKUP(B826,'985'!$B$2:$D$40,3,FALSE),"")</f>
        <v/>
      </c>
      <c r="G826" s="32" t="str">
        <f>IFERROR(VLOOKUP(B826,'211'!$B$2:$D$116,3,FALSE),"")</f>
        <v/>
      </c>
      <c r="H826" s="32" t="str">
        <f>IFERROR(VLOOKUP(B826,双一流!$B$2:$D$148,3,FALSE),"")</f>
        <v/>
      </c>
      <c r="I826" s="32" t="str">
        <f>IFERROR(VLOOKUP(B826,汇总!$B$2:$I$2921,8,FALSE),"")</f>
        <v>民族</v>
      </c>
      <c r="J826" s="29" t="s">
        <v>11</v>
      </c>
      <c r="K826" s="33" t="s">
        <v>12</v>
      </c>
    </row>
    <row r="827" ht="33.75" spans="1:11">
      <c r="A827" s="34">
        <v>826</v>
      </c>
      <c r="B827" s="34" t="s">
        <v>1083</v>
      </c>
      <c r="C827" s="29" t="str">
        <f>VLOOKUP(B827,教育部大学名单!$B$1:$D$2920,3,FALSE)</f>
        <v>云南省</v>
      </c>
      <c r="D827" s="34" t="s">
        <v>1060</v>
      </c>
      <c r="E827" s="34" t="s">
        <v>1084</v>
      </c>
      <c r="F827" s="36" t="str">
        <f>IFERROR(VLOOKUP(B827,'985'!$B$2:$D$40,3,FALSE),"")</f>
        <v/>
      </c>
      <c r="G827" s="32" t="str">
        <f>IFERROR(VLOOKUP(B827,'211'!$B$2:$D$116,3,FALSE),"")</f>
        <v/>
      </c>
      <c r="H827" s="32" t="str">
        <f>IFERROR(VLOOKUP(B827,双一流!$B$2:$D$148,3,FALSE),"")</f>
        <v/>
      </c>
      <c r="I827" s="32">
        <f>IFERROR(VLOOKUP(B827,汇总!$B$2:$I$2921,8,FALSE),"")</f>
        <v>0</v>
      </c>
      <c r="J827" s="34" t="s">
        <v>11</v>
      </c>
      <c r="K827" s="35" t="s">
        <v>12</v>
      </c>
    </row>
    <row r="828" ht="33.75" spans="1:11">
      <c r="A828" s="29">
        <v>827</v>
      </c>
      <c r="B828" s="29" t="s">
        <v>1085</v>
      </c>
      <c r="C828" s="29" t="str">
        <f>VLOOKUP(B828,教育部大学名单!$B$1:$D$2920,3,FALSE)</f>
        <v>云南省</v>
      </c>
      <c r="D828" s="29" t="s">
        <v>1060</v>
      </c>
      <c r="E828" s="29" t="s">
        <v>1086</v>
      </c>
      <c r="F828" s="36" t="str">
        <f>IFERROR(VLOOKUP(B828,'985'!$B$2:$D$40,3,FALSE),"")</f>
        <v/>
      </c>
      <c r="G828" s="32" t="str">
        <f>IFERROR(VLOOKUP(B828,'211'!$B$2:$D$116,3,FALSE),"")</f>
        <v/>
      </c>
      <c r="H828" s="32" t="str">
        <f>IFERROR(VLOOKUP(B828,双一流!$B$2:$D$148,3,FALSE),"")</f>
        <v/>
      </c>
      <c r="I828" s="32">
        <f>IFERROR(VLOOKUP(B828,汇总!$B$2:$I$2921,8,FALSE),"")</f>
        <v>0</v>
      </c>
      <c r="J828" s="29" t="s">
        <v>11</v>
      </c>
      <c r="K828" s="33" t="s">
        <v>12</v>
      </c>
    </row>
    <row r="829" ht="33.75" spans="1:11">
      <c r="A829" s="34">
        <v>828</v>
      </c>
      <c r="B829" s="34" t="s">
        <v>1087</v>
      </c>
      <c r="C829" s="29" t="str">
        <f>VLOOKUP(B829,教育部大学名单!$B$1:$D$2920,3,FALSE)</f>
        <v>云南省</v>
      </c>
      <c r="D829" s="34" t="s">
        <v>1060</v>
      </c>
      <c r="E829" s="34" t="s">
        <v>1061</v>
      </c>
      <c r="F829" s="36" t="str">
        <f>IFERROR(VLOOKUP(B829,'985'!$B$2:$D$40,3,FALSE),"")</f>
        <v/>
      </c>
      <c r="G829" s="32" t="str">
        <f>IFERROR(VLOOKUP(B829,'211'!$B$2:$D$116,3,FALSE),"")</f>
        <v/>
      </c>
      <c r="H829" s="32" t="str">
        <f>IFERROR(VLOOKUP(B829,双一流!$B$2:$D$148,3,FALSE),"")</f>
        <v/>
      </c>
      <c r="I829" s="32">
        <f>IFERROR(VLOOKUP(B829,汇总!$B$2:$I$2921,8,FALSE),"")</f>
        <v>0</v>
      </c>
      <c r="J829" s="34" t="s">
        <v>11</v>
      </c>
      <c r="K829" s="35" t="s">
        <v>12</v>
      </c>
    </row>
    <row r="830" ht="17.25" spans="1:11">
      <c r="A830" s="29">
        <v>829</v>
      </c>
      <c r="B830" s="29" t="s">
        <v>1088</v>
      </c>
      <c r="C830" s="29" t="str">
        <f>VLOOKUP(B830,教育部大学名单!$B$1:$D$2920,3,FALSE)</f>
        <v>云南省</v>
      </c>
      <c r="D830" s="29" t="s">
        <v>1060</v>
      </c>
      <c r="E830" s="29" t="s">
        <v>1061</v>
      </c>
      <c r="F830" s="36" t="str">
        <f>IFERROR(VLOOKUP(B830,'985'!$B$2:$D$40,3,FALSE),"")</f>
        <v/>
      </c>
      <c r="G830" s="32" t="str">
        <f>IFERROR(VLOOKUP(B830,'211'!$B$2:$D$116,3,FALSE),"")</f>
        <v/>
      </c>
      <c r="H830" s="32" t="str">
        <f>IFERROR(VLOOKUP(B830,双一流!$B$2:$D$148,3,FALSE),"")</f>
        <v/>
      </c>
      <c r="I830" s="32">
        <f>IFERROR(VLOOKUP(B830,汇总!$B$2:$I$2921,8,FALSE),"")</f>
        <v>0</v>
      </c>
      <c r="J830" s="29" t="s">
        <v>11</v>
      </c>
      <c r="K830" s="33" t="s">
        <v>12</v>
      </c>
    </row>
    <row r="831" ht="17.25" spans="1:11">
      <c r="A831" s="34">
        <v>830</v>
      </c>
      <c r="B831" s="34" t="s">
        <v>1089</v>
      </c>
      <c r="C831" s="29" t="str">
        <f>VLOOKUP(B831,教育部大学名单!$B$1:$D$2920,3,FALSE)</f>
        <v>云南省</v>
      </c>
      <c r="D831" s="34" t="s">
        <v>1060</v>
      </c>
      <c r="E831" s="34" t="s">
        <v>1090</v>
      </c>
      <c r="F831" s="36" t="str">
        <f>IFERROR(VLOOKUP(B831,'985'!$B$2:$D$40,3,FALSE),"")</f>
        <v/>
      </c>
      <c r="G831" s="32" t="str">
        <f>IFERROR(VLOOKUP(B831,'211'!$B$2:$D$116,3,FALSE),"")</f>
        <v/>
      </c>
      <c r="H831" s="32" t="str">
        <f>IFERROR(VLOOKUP(B831,双一流!$B$2:$D$148,3,FALSE),"")</f>
        <v/>
      </c>
      <c r="I831" s="32">
        <f>IFERROR(VLOOKUP(B831,汇总!$B$2:$I$2921,8,FALSE),"")</f>
        <v>0</v>
      </c>
      <c r="J831" s="34" t="s">
        <v>11</v>
      </c>
      <c r="K831" s="35" t="s">
        <v>12</v>
      </c>
    </row>
    <row r="832" ht="33.75" spans="1:11">
      <c r="A832" s="29">
        <v>831</v>
      </c>
      <c r="B832" s="29" t="s">
        <v>1091</v>
      </c>
      <c r="C832" s="29" t="str">
        <f>VLOOKUP(B832,教育部大学名单!$B$1:$D$2920,3,FALSE)</f>
        <v>云南省</v>
      </c>
      <c r="D832" s="29" t="s">
        <v>1060</v>
      </c>
      <c r="E832" s="29" t="s">
        <v>1092</v>
      </c>
      <c r="F832" s="36" t="str">
        <f>IFERROR(VLOOKUP(B832,'985'!$B$2:$D$40,3,FALSE),"")</f>
        <v/>
      </c>
      <c r="G832" s="32" t="str">
        <f>IFERROR(VLOOKUP(B832,'211'!$B$2:$D$116,3,FALSE),"")</f>
        <v/>
      </c>
      <c r="H832" s="32" t="str">
        <f>IFERROR(VLOOKUP(B832,双一流!$B$2:$D$148,3,FALSE),"")</f>
        <v/>
      </c>
      <c r="I832" s="32">
        <f>IFERROR(VLOOKUP(B832,汇总!$B$2:$I$2921,8,FALSE),"")</f>
        <v>0</v>
      </c>
      <c r="J832" s="29" t="s">
        <v>11</v>
      </c>
      <c r="K832" s="33" t="s">
        <v>12</v>
      </c>
    </row>
    <row r="833" ht="33.75" spans="1:11">
      <c r="A833" s="34">
        <v>832</v>
      </c>
      <c r="B833" s="34" t="s">
        <v>1093</v>
      </c>
      <c r="C833" s="29" t="str">
        <f>VLOOKUP(B833,教育部大学名单!$B$1:$D$2920,3,FALSE)</f>
        <v>云南省</v>
      </c>
      <c r="D833" s="34" t="s">
        <v>1060</v>
      </c>
      <c r="E833" s="34" t="s">
        <v>1067</v>
      </c>
      <c r="F833" s="36" t="str">
        <f>IFERROR(VLOOKUP(B833,'985'!$B$2:$D$40,3,FALSE),"")</f>
        <v/>
      </c>
      <c r="G833" s="32" t="str">
        <f>IFERROR(VLOOKUP(B833,'211'!$B$2:$D$116,3,FALSE),"")</f>
        <v/>
      </c>
      <c r="H833" s="32" t="str">
        <f>IFERROR(VLOOKUP(B833,双一流!$B$2:$D$148,3,FALSE),"")</f>
        <v/>
      </c>
      <c r="I833" s="32">
        <f>IFERROR(VLOOKUP(B833,汇总!$B$2:$I$2921,8,FALSE),"")</f>
        <v>0</v>
      </c>
      <c r="J833" s="34" t="s">
        <v>11</v>
      </c>
      <c r="K833" s="35" t="s">
        <v>12</v>
      </c>
    </row>
    <row r="834" ht="33.75" spans="1:11">
      <c r="A834" s="29">
        <v>833</v>
      </c>
      <c r="B834" s="29" t="s">
        <v>1094</v>
      </c>
      <c r="C834" s="29" t="e">
        <f>VLOOKUP(B834,教育部大学名单!$B$1:$D$2920,3,FALSE)</f>
        <v>#N/A</v>
      </c>
      <c r="D834" s="29" t="s">
        <v>1060</v>
      </c>
      <c r="E834" s="29" t="s">
        <v>1061</v>
      </c>
      <c r="F834" s="36" t="str">
        <f>IFERROR(VLOOKUP(B834,'985'!$B$2:$D$40,3,FALSE),"")</f>
        <v/>
      </c>
      <c r="G834" s="32" t="str">
        <f>IFERROR(VLOOKUP(B834,'211'!$B$2:$D$116,3,FALSE),"")</f>
        <v/>
      </c>
      <c r="H834" s="32" t="str">
        <f>IFERROR(VLOOKUP(B834,双一流!$B$2:$D$148,3,FALSE),"")</f>
        <v/>
      </c>
      <c r="I834" s="32" t="str">
        <f>IFERROR(VLOOKUP(B834,汇总!$B$2:$I$2921,8,FALSE),"")</f>
        <v/>
      </c>
      <c r="J834" s="29" t="s">
        <v>11</v>
      </c>
      <c r="K834" s="33" t="s">
        <v>12</v>
      </c>
    </row>
    <row r="835" ht="33.75" spans="1:11">
      <c r="A835" s="34">
        <v>834</v>
      </c>
      <c r="B835" s="34" t="s">
        <v>1095</v>
      </c>
      <c r="C835" s="29" t="str">
        <f>VLOOKUP(B835,教育部大学名单!$B$1:$D$2920,3,FALSE)</f>
        <v>云南省</v>
      </c>
      <c r="D835" s="34" t="s">
        <v>1060</v>
      </c>
      <c r="E835" s="34" t="s">
        <v>1073</v>
      </c>
      <c r="F835" s="36" t="str">
        <f>IFERROR(VLOOKUP(B835,'985'!$B$2:$D$40,3,FALSE),"")</f>
        <v/>
      </c>
      <c r="G835" s="32" t="str">
        <f>IFERROR(VLOOKUP(B835,'211'!$B$2:$D$116,3,FALSE),"")</f>
        <v/>
      </c>
      <c r="H835" s="32" t="str">
        <f>IFERROR(VLOOKUP(B835,双一流!$B$2:$D$148,3,FALSE),"")</f>
        <v/>
      </c>
      <c r="I835" s="32" t="str">
        <f>IFERROR(VLOOKUP(B835,汇总!$B$2:$I$2921,8,FALSE),"")</f>
        <v/>
      </c>
      <c r="J835" s="34" t="s">
        <v>11</v>
      </c>
      <c r="K835" s="35" t="s">
        <v>12</v>
      </c>
    </row>
    <row r="836" ht="33.75" spans="1:11">
      <c r="A836" s="29">
        <v>835</v>
      </c>
      <c r="B836" s="29" t="s">
        <v>1096</v>
      </c>
      <c r="C836" s="29" t="str">
        <f>VLOOKUP(B836,教育部大学名单!$B$1:$D$2920,3,FALSE)</f>
        <v>云南省</v>
      </c>
      <c r="D836" s="29" t="s">
        <v>1060</v>
      </c>
      <c r="E836" s="29" t="s">
        <v>1097</v>
      </c>
      <c r="F836" s="36" t="str">
        <f>IFERROR(VLOOKUP(B836,'985'!$B$2:$D$40,3,FALSE),"")</f>
        <v/>
      </c>
      <c r="G836" s="32" t="str">
        <f>IFERROR(VLOOKUP(B836,'211'!$B$2:$D$116,3,FALSE),"")</f>
        <v/>
      </c>
      <c r="H836" s="32" t="str">
        <f>IFERROR(VLOOKUP(B836,双一流!$B$2:$D$148,3,FALSE),"")</f>
        <v/>
      </c>
      <c r="I836" s="32">
        <f>IFERROR(VLOOKUP(B836,汇总!$B$2:$I$2921,8,FALSE),"")</f>
        <v>0</v>
      </c>
      <c r="J836" s="29" t="s">
        <v>11</v>
      </c>
      <c r="K836" s="33" t="s">
        <v>12</v>
      </c>
    </row>
    <row r="837" ht="33.75" spans="1:11">
      <c r="A837" s="34">
        <v>836</v>
      </c>
      <c r="B837" s="34" t="s">
        <v>1098</v>
      </c>
      <c r="C837" s="29" t="str">
        <f>VLOOKUP(B837,教育部大学名单!$B$1:$D$2920,3,FALSE)</f>
        <v>云南省</v>
      </c>
      <c r="D837" s="34" t="s">
        <v>1060</v>
      </c>
      <c r="E837" s="34" t="s">
        <v>1099</v>
      </c>
      <c r="F837" s="36" t="str">
        <f>IFERROR(VLOOKUP(B837,'985'!$B$2:$D$40,3,FALSE),"")</f>
        <v/>
      </c>
      <c r="G837" s="32" t="str">
        <f>IFERROR(VLOOKUP(B837,'211'!$B$2:$D$116,3,FALSE),"")</f>
        <v/>
      </c>
      <c r="H837" s="32" t="str">
        <f>IFERROR(VLOOKUP(B837,双一流!$B$2:$D$148,3,FALSE),"")</f>
        <v/>
      </c>
      <c r="I837" s="32" t="str">
        <f>IFERROR(VLOOKUP(B837,汇总!$B$2:$I$2921,8,FALSE),"")</f>
        <v/>
      </c>
      <c r="J837" s="34" t="s">
        <v>11</v>
      </c>
      <c r="K837" s="35" t="s">
        <v>12</v>
      </c>
    </row>
    <row r="838" ht="33.75" spans="1:11">
      <c r="A838" s="29">
        <v>837</v>
      </c>
      <c r="B838" s="29" t="s">
        <v>1100</v>
      </c>
      <c r="C838" s="29" t="str">
        <f>VLOOKUP(B838,教育部大学名单!$B$1:$D$2920,3,FALSE)</f>
        <v>西藏自治区</v>
      </c>
      <c r="D838" s="29" t="s">
        <v>1101</v>
      </c>
      <c r="E838" s="29" t="s">
        <v>1102</v>
      </c>
      <c r="F838" s="36" t="str">
        <f>IFERROR(VLOOKUP(B838,'985'!$B$2:$D$40,3,FALSE),"")</f>
        <v/>
      </c>
      <c r="G838" s="32" t="str">
        <f>IFERROR(VLOOKUP(B838,'211'!$B$2:$D$116,3,FALSE),"")</f>
        <v/>
      </c>
      <c r="H838" s="32" t="str">
        <f>IFERROR(VLOOKUP(B838,双一流!$B$2:$D$148,3,FALSE),"")</f>
        <v/>
      </c>
      <c r="I838" s="32" t="str">
        <f>IFERROR(VLOOKUP(B838,汇总!$B$2:$I$2921,8,FALSE),"")</f>
        <v/>
      </c>
      <c r="J838" s="29" t="s">
        <v>11</v>
      </c>
      <c r="K838" s="33" t="s">
        <v>12</v>
      </c>
    </row>
    <row r="839" ht="17.25" spans="1:11">
      <c r="A839" s="34">
        <v>838</v>
      </c>
      <c r="B839" s="34" t="s">
        <v>1103</v>
      </c>
      <c r="C839" s="29" t="str">
        <f>VLOOKUP(B839,教育部大学名单!$B$1:$D$2920,3,FALSE)</f>
        <v>西藏自治区</v>
      </c>
      <c r="D839" s="34" t="s">
        <v>1101</v>
      </c>
      <c r="E839" s="34" t="s">
        <v>1104</v>
      </c>
      <c r="F839" s="36" t="str">
        <f>IFERROR(VLOOKUP(B839,'985'!$B$2:$D$40,3,FALSE),"")</f>
        <v/>
      </c>
      <c r="G839" s="31">
        <f>IFERROR(VLOOKUP(B839,'211'!$B$2:$D$116,3,FALSE),"")</f>
        <v>211</v>
      </c>
      <c r="H839" s="32" t="str">
        <f>IFERROR(VLOOKUP(B839,双一流!$B$2:$D$148,3,FALSE),"")</f>
        <v>双一流</v>
      </c>
      <c r="I839" s="32" t="str">
        <f>IFERROR(VLOOKUP(B839,汇总!$B$2:$I$2921,8,FALSE),"")</f>
        <v>综合</v>
      </c>
      <c r="J839" s="34" t="s">
        <v>11</v>
      </c>
      <c r="K839" s="35" t="s">
        <v>12</v>
      </c>
    </row>
    <row r="840" ht="33.75" spans="1:11">
      <c r="A840" s="29">
        <v>839</v>
      </c>
      <c r="B840" s="29" t="s">
        <v>1105</v>
      </c>
      <c r="C840" s="29" t="str">
        <f>VLOOKUP(B840,教育部大学名单!$B$1:$D$2920,3,FALSE)</f>
        <v>西藏自治区</v>
      </c>
      <c r="D840" s="29" t="s">
        <v>1106</v>
      </c>
      <c r="E840" s="29" t="s">
        <v>1107</v>
      </c>
      <c r="F840" s="36" t="str">
        <f>IFERROR(VLOOKUP(B840,'985'!$B$2:$D$40,3,FALSE),"")</f>
        <v/>
      </c>
      <c r="G840" s="32" t="str">
        <f>IFERROR(VLOOKUP(B840,'211'!$B$2:$D$116,3,FALSE),"")</f>
        <v/>
      </c>
      <c r="H840" s="32" t="str">
        <f>IFERROR(VLOOKUP(B840,双一流!$B$2:$D$148,3,FALSE),"")</f>
        <v/>
      </c>
      <c r="I840" s="32">
        <f>IFERROR(VLOOKUP(B840,汇总!$B$2:$I$2921,8,FALSE),"")</f>
        <v>0</v>
      </c>
      <c r="J840" s="29" t="s">
        <v>11</v>
      </c>
      <c r="K840" s="33" t="s">
        <v>12</v>
      </c>
    </row>
    <row r="841" ht="33.75" spans="1:11">
      <c r="A841" s="34">
        <v>840</v>
      </c>
      <c r="B841" s="34" t="s">
        <v>1108</v>
      </c>
      <c r="C841" s="29" t="str">
        <f>VLOOKUP(B841,教育部大学名单!$B$1:$D$2920,3,FALSE)</f>
        <v>西藏自治区</v>
      </c>
      <c r="D841" s="34" t="s">
        <v>1101</v>
      </c>
      <c r="E841" s="34" t="s">
        <v>1104</v>
      </c>
      <c r="F841" s="36" t="str">
        <f>IFERROR(VLOOKUP(B841,'985'!$B$2:$D$40,3,FALSE),"")</f>
        <v/>
      </c>
      <c r="G841" s="32" t="str">
        <f>IFERROR(VLOOKUP(B841,'211'!$B$2:$D$116,3,FALSE),"")</f>
        <v/>
      </c>
      <c r="H841" s="32" t="str">
        <f>IFERROR(VLOOKUP(B841,双一流!$B$2:$D$148,3,FALSE),"")</f>
        <v/>
      </c>
      <c r="I841" s="32">
        <f>IFERROR(VLOOKUP(B841,汇总!$B$2:$I$2921,8,FALSE),"")</f>
        <v>0</v>
      </c>
      <c r="J841" s="34" t="s">
        <v>11</v>
      </c>
      <c r="K841" s="35" t="s">
        <v>12</v>
      </c>
    </row>
    <row r="842" ht="33.75" spans="1:11">
      <c r="A842" s="29">
        <v>841</v>
      </c>
      <c r="B842" s="29" t="s">
        <v>1109</v>
      </c>
      <c r="C842" s="29" t="str">
        <f>VLOOKUP(B842,教育部大学名单!$B$1:$D$2920,3,FALSE)</f>
        <v>西藏自治区</v>
      </c>
      <c r="D842" s="29" t="s">
        <v>1101</v>
      </c>
      <c r="E842" s="29" t="s">
        <v>1104</v>
      </c>
      <c r="F842" s="36" t="str">
        <f>IFERROR(VLOOKUP(B842,'985'!$B$2:$D$40,3,FALSE),"")</f>
        <v/>
      </c>
      <c r="G842" s="32" t="str">
        <f>IFERROR(VLOOKUP(B842,'211'!$B$2:$D$116,3,FALSE),"")</f>
        <v/>
      </c>
      <c r="H842" s="32" t="str">
        <f>IFERROR(VLOOKUP(B842,双一流!$B$2:$D$148,3,FALSE),"")</f>
        <v/>
      </c>
      <c r="I842" s="32" t="str">
        <f>IFERROR(VLOOKUP(B842,汇总!$B$2:$I$2921,8,FALSE),"")</f>
        <v/>
      </c>
      <c r="J842" s="29" t="s">
        <v>11</v>
      </c>
      <c r="K842" s="33" t="s">
        <v>12</v>
      </c>
    </row>
    <row r="843" ht="17.25" spans="1:11">
      <c r="A843" s="34">
        <v>842</v>
      </c>
      <c r="B843" s="34" t="s">
        <v>1110</v>
      </c>
      <c r="C843" s="29" t="str">
        <f>VLOOKUP(B843,教育部大学名单!$B$1:$D$2920,3,FALSE)</f>
        <v>陕西省</v>
      </c>
      <c r="D843" s="34" t="s">
        <v>1106</v>
      </c>
      <c r="E843" s="34" t="s">
        <v>1111</v>
      </c>
      <c r="F843" s="36" t="str">
        <f>IFERROR(VLOOKUP(B843,'985'!$B$2:$D$40,3,FALSE),"")</f>
        <v/>
      </c>
      <c r="G843" s="31">
        <f>IFERROR(VLOOKUP(B843,'211'!$B$2:$D$116,3,FALSE),"")</f>
        <v>211</v>
      </c>
      <c r="H843" s="32" t="str">
        <f>IFERROR(VLOOKUP(B843,双一流!$B$2:$D$148,3,FALSE),"")</f>
        <v>双一流</v>
      </c>
      <c r="I843" s="32" t="str">
        <f>IFERROR(VLOOKUP(B843,汇总!$B$2:$I$2921,8,FALSE),"")</f>
        <v>综合</v>
      </c>
      <c r="J843" s="34" t="s">
        <v>11</v>
      </c>
      <c r="K843" s="35" t="s">
        <v>12</v>
      </c>
    </row>
    <row r="844" ht="33.75" spans="1:11">
      <c r="A844" s="29">
        <v>843</v>
      </c>
      <c r="B844" s="29" t="s">
        <v>1112</v>
      </c>
      <c r="C844" s="29" t="str">
        <f>VLOOKUP(B844,教育部大学名单!$B$1:$D$2920,3,FALSE)</f>
        <v>教育部</v>
      </c>
      <c r="D844" s="29" t="s">
        <v>1106</v>
      </c>
      <c r="E844" s="29" t="s">
        <v>1111</v>
      </c>
      <c r="F844" s="30">
        <f>IFERROR(VLOOKUP(B844,'985'!$B$2:$D$40,3,FALSE),"")</f>
        <v>985</v>
      </c>
      <c r="G844" s="31">
        <f>IFERROR(VLOOKUP(B844,'211'!$B$2:$D$116,3,FALSE),"")</f>
        <v>211</v>
      </c>
      <c r="H844" s="32" t="str">
        <f>IFERROR(VLOOKUP(B844,双一流!$B$2:$D$148,3,FALSE),"")</f>
        <v>双一流</v>
      </c>
      <c r="I844" s="32" t="str">
        <f>IFERROR(VLOOKUP(B844,汇总!$B$2:$I$2921,8,FALSE),"")</f>
        <v>综合</v>
      </c>
      <c r="J844" s="29" t="s">
        <v>11</v>
      </c>
      <c r="K844" s="33" t="s">
        <v>12</v>
      </c>
    </row>
    <row r="845" ht="33.75" spans="1:11">
      <c r="A845" s="34">
        <v>844</v>
      </c>
      <c r="B845" s="34" t="s">
        <v>1113</v>
      </c>
      <c r="C845" s="29" t="str">
        <f>VLOOKUP(B845,教育部大学名单!$B$1:$D$2920,3,FALSE)</f>
        <v>工业和信息化部</v>
      </c>
      <c r="D845" s="34" t="s">
        <v>1106</v>
      </c>
      <c r="E845" s="34" t="s">
        <v>1111</v>
      </c>
      <c r="F845" s="30">
        <f>IFERROR(VLOOKUP(B845,'985'!$B$2:$D$40,3,FALSE),"")</f>
        <v>985</v>
      </c>
      <c r="G845" s="31">
        <f>IFERROR(VLOOKUP(B845,'211'!$B$2:$D$116,3,FALSE),"")</f>
        <v>211</v>
      </c>
      <c r="H845" s="32" t="str">
        <f>IFERROR(VLOOKUP(B845,双一流!$B$2:$D$148,3,FALSE),"")</f>
        <v>双一流</v>
      </c>
      <c r="I845" s="32" t="str">
        <f>IFERROR(VLOOKUP(B845,汇总!$B$2:$I$2921,8,FALSE),"")</f>
        <v>理工</v>
      </c>
      <c r="J845" s="34" t="s">
        <v>11</v>
      </c>
      <c r="K845" s="35" t="s">
        <v>12</v>
      </c>
    </row>
    <row r="846" ht="33.75" spans="1:11">
      <c r="A846" s="29">
        <v>845</v>
      </c>
      <c r="B846" s="29" t="s">
        <v>1114</v>
      </c>
      <c r="C846" s="29" t="str">
        <f>VLOOKUP(B846,教育部大学名单!$B$1:$D$2920,3,FALSE)</f>
        <v>陕西省</v>
      </c>
      <c r="D846" s="29" t="s">
        <v>1106</v>
      </c>
      <c r="E846" s="29" t="s">
        <v>1111</v>
      </c>
      <c r="F846" s="36" t="str">
        <f>IFERROR(VLOOKUP(B846,'985'!$B$2:$D$40,3,FALSE),"")</f>
        <v/>
      </c>
      <c r="G846" s="32" t="str">
        <f>IFERROR(VLOOKUP(B846,'211'!$B$2:$D$116,3,FALSE),"")</f>
        <v/>
      </c>
      <c r="H846" s="32" t="str">
        <f>IFERROR(VLOOKUP(B846,双一流!$B$2:$D$148,3,FALSE),"")</f>
        <v/>
      </c>
      <c r="I846" s="32" t="str">
        <f>IFERROR(VLOOKUP(B846,汇总!$B$2:$I$2921,8,FALSE),"")</f>
        <v>理工</v>
      </c>
      <c r="J846" s="29" t="s">
        <v>11</v>
      </c>
      <c r="K846" s="33" t="s">
        <v>12</v>
      </c>
    </row>
    <row r="847" ht="33.75" spans="1:11">
      <c r="A847" s="34">
        <v>846</v>
      </c>
      <c r="B847" s="34" t="s">
        <v>1115</v>
      </c>
      <c r="C847" s="29" t="str">
        <f>VLOOKUP(B847,教育部大学名单!$B$1:$D$2920,3,FALSE)</f>
        <v>教育部</v>
      </c>
      <c r="D847" s="34" t="s">
        <v>1106</v>
      </c>
      <c r="E847" s="34" t="s">
        <v>1111</v>
      </c>
      <c r="F847" s="36" t="str">
        <f>IFERROR(VLOOKUP(B847,'985'!$B$2:$D$40,3,FALSE),"")</f>
        <v/>
      </c>
      <c r="G847" s="31">
        <f>IFERROR(VLOOKUP(B847,'211'!$B$2:$D$116,3,FALSE),"")</f>
        <v>211</v>
      </c>
      <c r="H847" s="32" t="str">
        <f>IFERROR(VLOOKUP(B847,双一流!$B$2:$D$148,3,FALSE),"")</f>
        <v>双一流</v>
      </c>
      <c r="I847" s="32" t="str">
        <f>IFERROR(VLOOKUP(B847,汇总!$B$2:$I$2921,8,FALSE),"")</f>
        <v>理工</v>
      </c>
      <c r="J847" s="34" t="s">
        <v>11</v>
      </c>
      <c r="K847" s="35" t="s">
        <v>12</v>
      </c>
    </row>
    <row r="848" ht="33.75" spans="1:11">
      <c r="A848" s="29">
        <v>847</v>
      </c>
      <c r="B848" s="29" t="s">
        <v>1116</v>
      </c>
      <c r="C848" s="29" t="str">
        <f>VLOOKUP(B848,教育部大学名单!$B$1:$D$2920,3,FALSE)</f>
        <v>陕西省</v>
      </c>
      <c r="D848" s="29" t="s">
        <v>1106</v>
      </c>
      <c r="E848" s="29" t="s">
        <v>1111</v>
      </c>
      <c r="F848" s="36" t="str">
        <f>IFERROR(VLOOKUP(B848,'985'!$B$2:$D$40,3,FALSE),"")</f>
        <v/>
      </c>
      <c r="G848" s="32" t="str">
        <f>IFERROR(VLOOKUP(B848,'211'!$B$2:$D$116,3,FALSE),"")</f>
        <v/>
      </c>
      <c r="H848" s="32" t="str">
        <f>IFERROR(VLOOKUP(B848,双一流!$B$2:$D$148,3,FALSE),"")</f>
        <v/>
      </c>
      <c r="I848" s="32" t="str">
        <f>IFERROR(VLOOKUP(B848,汇总!$B$2:$I$2921,8,FALSE),"")</f>
        <v>理工</v>
      </c>
      <c r="J848" s="29" t="s">
        <v>11</v>
      </c>
      <c r="K848" s="33" t="s">
        <v>12</v>
      </c>
    </row>
    <row r="849" ht="33.75" spans="1:11">
      <c r="A849" s="34">
        <v>848</v>
      </c>
      <c r="B849" s="34" t="s">
        <v>1117</v>
      </c>
      <c r="C849" s="29" t="str">
        <f>VLOOKUP(B849,教育部大学名单!$B$1:$D$2920,3,FALSE)</f>
        <v>陕西省</v>
      </c>
      <c r="D849" s="34" t="s">
        <v>1106</v>
      </c>
      <c r="E849" s="34" t="s">
        <v>1111</v>
      </c>
      <c r="F849" s="36" t="str">
        <f>IFERROR(VLOOKUP(B849,'985'!$B$2:$D$40,3,FALSE),"")</f>
        <v/>
      </c>
      <c r="G849" s="32" t="str">
        <f>IFERROR(VLOOKUP(B849,'211'!$B$2:$D$116,3,FALSE),"")</f>
        <v/>
      </c>
      <c r="H849" s="32" t="str">
        <f>IFERROR(VLOOKUP(B849,双一流!$B$2:$D$148,3,FALSE),"")</f>
        <v/>
      </c>
      <c r="I849" s="32" t="str">
        <f>IFERROR(VLOOKUP(B849,汇总!$B$2:$I$2921,8,FALSE),"")</f>
        <v>理工</v>
      </c>
      <c r="J849" s="34" t="s">
        <v>11</v>
      </c>
      <c r="K849" s="35" t="s">
        <v>12</v>
      </c>
    </row>
    <row r="850" ht="33.75" spans="1:11">
      <c r="A850" s="29">
        <v>849</v>
      </c>
      <c r="B850" s="29" t="s">
        <v>1118</v>
      </c>
      <c r="C850" s="29" t="str">
        <f>VLOOKUP(B850,教育部大学名单!$B$1:$D$2920,3,FALSE)</f>
        <v>陕西省</v>
      </c>
      <c r="D850" s="29" t="s">
        <v>1106</v>
      </c>
      <c r="E850" s="29" t="s">
        <v>1111</v>
      </c>
      <c r="F850" s="36" t="str">
        <f>IFERROR(VLOOKUP(B850,'985'!$B$2:$D$40,3,FALSE),"")</f>
        <v/>
      </c>
      <c r="G850" s="32" t="str">
        <f>IFERROR(VLOOKUP(B850,'211'!$B$2:$D$116,3,FALSE),"")</f>
        <v/>
      </c>
      <c r="H850" s="32" t="str">
        <f>IFERROR(VLOOKUP(B850,双一流!$B$2:$D$148,3,FALSE),"")</f>
        <v/>
      </c>
      <c r="I850" s="32" t="str">
        <f>IFERROR(VLOOKUP(B850,汇总!$B$2:$I$2921,8,FALSE),"")</f>
        <v>理工</v>
      </c>
      <c r="J850" s="29" t="s">
        <v>11</v>
      </c>
      <c r="K850" s="33" t="s">
        <v>12</v>
      </c>
    </row>
    <row r="851" ht="33.75" spans="1:11">
      <c r="A851" s="34">
        <v>850</v>
      </c>
      <c r="B851" s="34" t="s">
        <v>1119</v>
      </c>
      <c r="C851" s="29" t="str">
        <f>VLOOKUP(B851,教育部大学名单!$B$1:$D$2920,3,FALSE)</f>
        <v>陕西省</v>
      </c>
      <c r="D851" s="34" t="s">
        <v>1106</v>
      </c>
      <c r="E851" s="34" t="s">
        <v>1111</v>
      </c>
      <c r="F851" s="36" t="str">
        <f>IFERROR(VLOOKUP(B851,'985'!$B$2:$D$40,3,FALSE),"")</f>
        <v/>
      </c>
      <c r="G851" s="32" t="str">
        <f>IFERROR(VLOOKUP(B851,'211'!$B$2:$D$116,3,FALSE),"")</f>
        <v/>
      </c>
      <c r="H851" s="32" t="str">
        <f>IFERROR(VLOOKUP(B851,双一流!$B$2:$D$148,3,FALSE),"")</f>
        <v/>
      </c>
      <c r="I851" s="32" t="str">
        <f>IFERROR(VLOOKUP(B851,汇总!$B$2:$I$2921,8,FALSE),"")</f>
        <v>理工</v>
      </c>
      <c r="J851" s="34" t="s">
        <v>11</v>
      </c>
      <c r="K851" s="35" t="s">
        <v>12</v>
      </c>
    </row>
    <row r="852" ht="33.75" spans="1:11">
      <c r="A852" s="29">
        <v>851</v>
      </c>
      <c r="B852" s="29" t="s">
        <v>1120</v>
      </c>
      <c r="C852" s="29" t="str">
        <f>VLOOKUP(B852,教育部大学名单!$B$1:$D$2920,3,FALSE)</f>
        <v>陕西省</v>
      </c>
      <c r="D852" s="29" t="s">
        <v>1106</v>
      </c>
      <c r="E852" s="29" t="s">
        <v>1111</v>
      </c>
      <c r="F852" s="36" t="str">
        <f>IFERROR(VLOOKUP(B852,'985'!$B$2:$D$40,3,FALSE),"")</f>
        <v/>
      </c>
      <c r="G852" s="32" t="str">
        <f>IFERROR(VLOOKUP(B852,'211'!$B$2:$D$116,3,FALSE),"")</f>
        <v/>
      </c>
      <c r="H852" s="32" t="str">
        <f>IFERROR(VLOOKUP(B852,双一流!$B$2:$D$148,3,FALSE),"")</f>
        <v/>
      </c>
      <c r="I852" s="32" t="str">
        <f>IFERROR(VLOOKUP(B852,汇总!$B$2:$I$2921,8,FALSE),"")</f>
        <v>理工</v>
      </c>
      <c r="J852" s="29" t="s">
        <v>11</v>
      </c>
      <c r="K852" s="33" t="s">
        <v>12</v>
      </c>
    </row>
    <row r="853" ht="33.75" spans="1:11">
      <c r="A853" s="34">
        <v>852</v>
      </c>
      <c r="B853" s="34" t="s">
        <v>1121</v>
      </c>
      <c r="C853" s="29" t="str">
        <f>VLOOKUP(B853,教育部大学名单!$B$1:$D$2920,3,FALSE)</f>
        <v>陕西省</v>
      </c>
      <c r="D853" s="34" t="s">
        <v>1106</v>
      </c>
      <c r="E853" s="34" t="s">
        <v>1111</v>
      </c>
      <c r="F853" s="36" t="str">
        <f>IFERROR(VLOOKUP(B853,'985'!$B$2:$D$40,3,FALSE),"")</f>
        <v/>
      </c>
      <c r="G853" s="32" t="str">
        <f>IFERROR(VLOOKUP(B853,'211'!$B$2:$D$116,3,FALSE),"")</f>
        <v/>
      </c>
      <c r="H853" s="32" t="str">
        <f>IFERROR(VLOOKUP(B853,双一流!$B$2:$D$148,3,FALSE),"")</f>
        <v/>
      </c>
      <c r="I853" s="32" t="str">
        <f>IFERROR(VLOOKUP(B853,汇总!$B$2:$I$2921,8,FALSE),"")</f>
        <v>理工</v>
      </c>
      <c r="J853" s="34" t="s">
        <v>11</v>
      </c>
      <c r="K853" s="35" t="s">
        <v>12</v>
      </c>
    </row>
    <row r="854" ht="17.25" spans="1:11">
      <c r="A854" s="29">
        <v>853</v>
      </c>
      <c r="B854" s="29" t="s">
        <v>1122</v>
      </c>
      <c r="C854" s="29" t="str">
        <f>VLOOKUP(B854,教育部大学名单!$B$1:$D$2920,3,FALSE)</f>
        <v>教育部</v>
      </c>
      <c r="D854" s="29" t="s">
        <v>1106</v>
      </c>
      <c r="E854" s="29" t="s">
        <v>1111</v>
      </c>
      <c r="F854" s="36" t="str">
        <f>IFERROR(VLOOKUP(B854,'985'!$B$2:$D$40,3,FALSE),"")</f>
        <v/>
      </c>
      <c r="G854" s="31">
        <f>IFERROR(VLOOKUP(B854,'211'!$B$2:$D$116,3,FALSE),"")</f>
        <v>211</v>
      </c>
      <c r="H854" s="32" t="str">
        <f>IFERROR(VLOOKUP(B854,双一流!$B$2:$D$148,3,FALSE),"")</f>
        <v>双一流</v>
      </c>
      <c r="I854" s="32" t="str">
        <f>IFERROR(VLOOKUP(B854,汇总!$B$2:$I$2921,8,FALSE),"")</f>
        <v>理工</v>
      </c>
      <c r="J854" s="29" t="s">
        <v>11</v>
      </c>
      <c r="K854" s="33" t="s">
        <v>12</v>
      </c>
    </row>
    <row r="855" ht="33.75" spans="1:11">
      <c r="A855" s="34">
        <v>854</v>
      </c>
      <c r="B855" s="34" t="s">
        <v>1123</v>
      </c>
      <c r="C855" s="29" t="str">
        <f>VLOOKUP(B855,教育部大学名单!$B$1:$D$2920,3,FALSE)</f>
        <v>教育部</v>
      </c>
      <c r="D855" s="34" t="s">
        <v>1106</v>
      </c>
      <c r="E855" s="34" t="s">
        <v>1107</v>
      </c>
      <c r="F855" s="30">
        <f>IFERROR(VLOOKUP(B855,'985'!$B$2:$D$40,3,FALSE),"")</f>
        <v>985</v>
      </c>
      <c r="G855" s="31">
        <f>IFERROR(VLOOKUP(B855,'211'!$B$2:$D$116,3,FALSE),"")</f>
        <v>211</v>
      </c>
      <c r="H855" s="32" t="str">
        <f>IFERROR(VLOOKUP(B855,双一流!$B$2:$D$148,3,FALSE),"")</f>
        <v>双一流</v>
      </c>
      <c r="I855" s="32" t="str">
        <f>IFERROR(VLOOKUP(B855,汇总!$B$2:$I$2921,8,FALSE),"")</f>
        <v>农林</v>
      </c>
      <c r="J855" s="34" t="s">
        <v>11</v>
      </c>
      <c r="K855" s="35" t="s">
        <v>12</v>
      </c>
    </row>
    <row r="856" ht="33.75" spans="1:11">
      <c r="A856" s="29">
        <v>855</v>
      </c>
      <c r="B856" s="29" t="s">
        <v>1124</v>
      </c>
      <c r="C856" s="29" t="str">
        <f>VLOOKUP(B856,教育部大学名单!$B$1:$D$2920,3,FALSE)</f>
        <v>陕西省</v>
      </c>
      <c r="D856" s="29" t="s">
        <v>1106</v>
      </c>
      <c r="E856" s="29" t="s">
        <v>1107</v>
      </c>
      <c r="F856" s="36" t="str">
        <f>IFERROR(VLOOKUP(B856,'985'!$B$2:$D$40,3,FALSE),"")</f>
        <v/>
      </c>
      <c r="G856" s="32" t="str">
        <f>IFERROR(VLOOKUP(B856,'211'!$B$2:$D$116,3,FALSE),"")</f>
        <v/>
      </c>
      <c r="H856" s="32" t="str">
        <f>IFERROR(VLOOKUP(B856,双一流!$B$2:$D$148,3,FALSE),"")</f>
        <v/>
      </c>
      <c r="I856" s="32">
        <f>IFERROR(VLOOKUP(B856,汇总!$B$2:$I$2921,8,FALSE),"")</f>
        <v>0</v>
      </c>
      <c r="J856" s="29" t="s">
        <v>11</v>
      </c>
      <c r="K856" s="33" t="s">
        <v>12</v>
      </c>
    </row>
    <row r="857" ht="33.75" spans="1:11">
      <c r="A857" s="34">
        <v>856</v>
      </c>
      <c r="B857" s="34" t="s">
        <v>1125</v>
      </c>
      <c r="C857" s="29" t="str">
        <f>VLOOKUP(B857,教育部大学名单!$B$1:$D$2920,3,FALSE)</f>
        <v>教育部</v>
      </c>
      <c r="D857" s="34" t="s">
        <v>1106</v>
      </c>
      <c r="E857" s="34" t="s">
        <v>1111</v>
      </c>
      <c r="F857" s="36" t="str">
        <f>IFERROR(VLOOKUP(B857,'985'!$B$2:$D$40,3,FALSE),"")</f>
        <v/>
      </c>
      <c r="G857" s="31">
        <f>IFERROR(VLOOKUP(B857,'211'!$B$2:$D$116,3,FALSE),"")</f>
        <v>211</v>
      </c>
      <c r="H857" s="32" t="str">
        <f>IFERROR(VLOOKUP(B857,双一流!$B$2:$D$148,3,FALSE),"")</f>
        <v>双一流</v>
      </c>
      <c r="I857" s="32" t="str">
        <f>IFERROR(VLOOKUP(B857,汇总!$B$2:$I$2921,8,FALSE),"")</f>
        <v>师范</v>
      </c>
      <c r="J857" s="34" t="s">
        <v>11</v>
      </c>
      <c r="K857" s="35" t="s">
        <v>12</v>
      </c>
    </row>
    <row r="858" ht="17.25" spans="1:11">
      <c r="A858" s="29">
        <v>857</v>
      </c>
      <c r="B858" s="29" t="s">
        <v>1126</v>
      </c>
      <c r="C858" s="29" t="str">
        <f>VLOOKUP(B858,教育部大学名单!$B$1:$D$2920,3,FALSE)</f>
        <v>陕西省</v>
      </c>
      <c r="D858" s="29" t="s">
        <v>1106</v>
      </c>
      <c r="E858" s="29" t="s">
        <v>1127</v>
      </c>
      <c r="F858" s="36" t="str">
        <f>IFERROR(VLOOKUP(B858,'985'!$B$2:$D$40,3,FALSE),"")</f>
        <v/>
      </c>
      <c r="G858" s="32" t="str">
        <f>IFERROR(VLOOKUP(B858,'211'!$B$2:$D$116,3,FALSE),"")</f>
        <v/>
      </c>
      <c r="H858" s="32" t="str">
        <f>IFERROR(VLOOKUP(B858,双一流!$B$2:$D$148,3,FALSE),"")</f>
        <v/>
      </c>
      <c r="I858" s="32">
        <f>IFERROR(VLOOKUP(B858,汇总!$B$2:$I$2921,8,FALSE),"")</f>
        <v>0</v>
      </c>
      <c r="J858" s="29" t="s">
        <v>11</v>
      </c>
      <c r="K858" s="33" t="s">
        <v>12</v>
      </c>
    </row>
    <row r="859" ht="33.75" spans="1:11">
      <c r="A859" s="34">
        <v>858</v>
      </c>
      <c r="B859" s="34" t="s">
        <v>1128</v>
      </c>
      <c r="C859" s="29" t="str">
        <f>VLOOKUP(B859,教育部大学名单!$B$1:$D$2920,3,FALSE)</f>
        <v>陕西省</v>
      </c>
      <c r="D859" s="34" t="s">
        <v>1106</v>
      </c>
      <c r="E859" s="34" t="s">
        <v>1129</v>
      </c>
      <c r="F859" s="36" t="str">
        <f>IFERROR(VLOOKUP(B859,'985'!$B$2:$D$40,3,FALSE),"")</f>
        <v/>
      </c>
      <c r="G859" s="32" t="str">
        <f>IFERROR(VLOOKUP(B859,'211'!$B$2:$D$116,3,FALSE),"")</f>
        <v/>
      </c>
      <c r="H859" s="32" t="str">
        <f>IFERROR(VLOOKUP(B859,双一流!$B$2:$D$148,3,FALSE),"")</f>
        <v/>
      </c>
      <c r="I859" s="32">
        <f>IFERROR(VLOOKUP(B859,汇总!$B$2:$I$2921,8,FALSE),"")</f>
        <v>0</v>
      </c>
      <c r="J859" s="34" t="s">
        <v>11</v>
      </c>
      <c r="K859" s="35" t="s">
        <v>12</v>
      </c>
    </row>
    <row r="860" ht="33.75" spans="1:11">
      <c r="A860" s="29">
        <v>859</v>
      </c>
      <c r="B860" s="29" t="s">
        <v>1130</v>
      </c>
      <c r="C860" s="29" t="str">
        <f>VLOOKUP(B860,教育部大学名单!$B$1:$D$2920,3,FALSE)</f>
        <v>陕西省</v>
      </c>
      <c r="D860" s="29" t="s">
        <v>1106</v>
      </c>
      <c r="E860" s="29" t="s">
        <v>1131</v>
      </c>
      <c r="F860" s="36" t="str">
        <f>IFERROR(VLOOKUP(B860,'985'!$B$2:$D$40,3,FALSE),"")</f>
        <v/>
      </c>
      <c r="G860" s="32" t="str">
        <f>IFERROR(VLOOKUP(B860,'211'!$B$2:$D$116,3,FALSE),"")</f>
        <v/>
      </c>
      <c r="H860" s="32" t="str">
        <f>IFERROR(VLOOKUP(B860,双一流!$B$2:$D$148,3,FALSE),"")</f>
        <v/>
      </c>
      <c r="I860" s="32">
        <f>IFERROR(VLOOKUP(B860,汇总!$B$2:$I$2921,8,FALSE),"")</f>
        <v>0</v>
      </c>
      <c r="J860" s="29" t="s">
        <v>11</v>
      </c>
      <c r="K860" s="33" t="s">
        <v>12</v>
      </c>
    </row>
    <row r="861" ht="33.75" spans="1:11">
      <c r="A861" s="34">
        <v>860</v>
      </c>
      <c r="B861" s="34" t="s">
        <v>1132</v>
      </c>
      <c r="C861" s="29" t="str">
        <f>VLOOKUP(B861,教育部大学名单!$B$1:$D$2920,3,FALSE)</f>
        <v>陕西省</v>
      </c>
      <c r="D861" s="34" t="s">
        <v>1106</v>
      </c>
      <c r="E861" s="34" t="s">
        <v>1107</v>
      </c>
      <c r="F861" s="36" t="str">
        <f>IFERROR(VLOOKUP(B861,'985'!$B$2:$D$40,3,FALSE),"")</f>
        <v/>
      </c>
      <c r="G861" s="32" t="str">
        <f>IFERROR(VLOOKUP(B861,'211'!$B$2:$D$116,3,FALSE),"")</f>
        <v/>
      </c>
      <c r="H861" s="32" t="str">
        <f>IFERROR(VLOOKUP(B861,双一流!$B$2:$D$148,3,FALSE),"")</f>
        <v/>
      </c>
      <c r="I861" s="32">
        <f>IFERROR(VLOOKUP(B861,汇总!$B$2:$I$2921,8,FALSE),"")</f>
        <v>0</v>
      </c>
      <c r="J861" s="34" t="s">
        <v>11</v>
      </c>
      <c r="K861" s="35" t="s">
        <v>12</v>
      </c>
    </row>
    <row r="862" ht="33.75" spans="1:11">
      <c r="A862" s="29">
        <v>861</v>
      </c>
      <c r="B862" s="29" t="s">
        <v>1133</v>
      </c>
      <c r="C862" s="29" t="str">
        <f>VLOOKUP(B862,教育部大学名单!$B$1:$D$2920,3,FALSE)</f>
        <v>陕西省</v>
      </c>
      <c r="D862" s="29" t="s">
        <v>1106</v>
      </c>
      <c r="E862" s="29" t="s">
        <v>1134</v>
      </c>
      <c r="F862" s="36" t="str">
        <f>IFERROR(VLOOKUP(B862,'985'!$B$2:$D$40,3,FALSE),"")</f>
        <v/>
      </c>
      <c r="G862" s="32" t="str">
        <f>IFERROR(VLOOKUP(B862,'211'!$B$2:$D$116,3,FALSE),"")</f>
        <v/>
      </c>
      <c r="H862" s="32" t="str">
        <f>IFERROR(VLOOKUP(B862,双一流!$B$2:$D$148,3,FALSE),"")</f>
        <v/>
      </c>
      <c r="I862" s="32">
        <f>IFERROR(VLOOKUP(B862,汇总!$B$2:$I$2921,8,FALSE),"")</f>
        <v>0</v>
      </c>
      <c r="J862" s="29" t="s">
        <v>11</v>
      </c>
      <c r="K862" s="33" t="s">
        <v>12</v>
      </c>
    </row>
    <row r="863" ht="33.75" spans="1:11">
      <c r="A863" s="34">
        <v>862</v>
      </c>
      <c r="B863" s="34" t="s">
        <v>1135</v>
      </c>
      <c r="C863" s="29" t="str">
        <f>VLOOKUP(B863,教育部大学名单!$B$1:$D$2920,3,FALSE)</f>
        <v>陕西省</v>
      </c>
      <c r="D863" s="34" t="s">
        <v>1106</v>
      </c>
      <c r="E863" s="34" t="s">
        <v>1111</v>
      </c>
      <c r="F863" s="36" t="str">
        <f>IFERROR(VLOOKUP(B863,'985'!$B$2:$D$40,3,FALSE),"")</f>
        <v/>
      </c>
      <c r="G863" s="32" t="str">
        <f>IFERROR(VLOOKUP(B863,'211'!$B$2:$D$116,3,FALSE),"")</f>
        <v/>
      </c>
      <c r="H863" s="32" t="str">
        <f>IFERROR(VLOOKUP(B863,双一流!$B$2:$D$148,3,FALSE),"")</f>
        <v/>
      </c>
      <c r="I863" s="32" t="str">
        <f>IFERROR(VLOOKUP(B863,汇总!$B$2:$I$2921,8,FALSE),"")</f>
        <v>语言</v>
      </c>
      <c r="J863" s="34" t="s">
        <v>11</v>
      </c>
      <c r="K863" s="35" t="s">
        <v>12</v>
      </c>
    </row>
    <row r="864" ht="33.75" spans="1:11">
      <c r="A864" s="29">
        <v>863</v>
      </c>
      <c r="B864" s="29" t="s">
        <v>1136</v>
      </c>
      <c r="C864" s="29" t="str">
        <f>VLOOKUP(B864,教育部大学名单!$B$1:$D$2920,3,FALSE)</f>
        <v>陕西省</v>
      </c>
      <c r="D864" s="29" t="s">
        <v>1106</v>
      </c>
      <c r="E864" s="29" t="s">
        <v>1111</v>
      </c>
      <c r="F864" s="36" t="str">
        <f>IFERROR(VLOOKUP(B864,'985'!$B$2:$D$40,3,FALSE),"")</f>
        <v/>
      </c>
      <c r="G864" s="32" t="str">
        <f>IFERROR(VLOOKUP(B864,'211'!$B$2:$D$116,3,FALSE),"")</f>
        <v/>
      </c>
      <c r="H864" s="32" t="str">
        <f>IFERROR(VLOOKUP(B864,双一流!$B$2:$D$148,3,FALSE),"")</f>
        <v/>
      </c>
      <c r="I864" s="32" t="str">
        <f>IFERROR(VLOOKUP(B864,汇总!$B$2:$I$2921,8,FALSE),"")</f>
        <v>政法</v>
      </c>
      <c r="J864" s="29" t="s">
        <v>11</v>
      </c>
      <c r="K864" s="33" t="s">
        <v>12</v>
      </c>
    </row>
    <row r="865" ht="33.75" spans="1:11">
      <c r="A865" s="34">
        <v>864</v>
      </c>
      <c r="B865" s="34" t="s">
        <v>1137</v>
      </c>
      <c r="C865" s="29" t="str">
        <f>VLOOKUP(B865,教育部大学名单!$B$1:$D$2920,3,FALSE)</f>
        <v>陕西省</v>
      </c>
      <c r="D865" s="34" t="s">
        <v>1106</v>
      </c>
      <c r="E865" s="34" t="s">
        <v>1111</v>
      </c>
      <c r="F865" s="36" t="str">
        <f>IFERROR(VLOOKUP(B865,'985'!$B$2:$D$40,3,FALSE),"")</f>
        <v/>
      </c>
      <c r="G865" s="32" t="str">
        <f>IFERROR(VLOOKUP(B865,'211'!$B$2:$D$116,3,FALSE),"")</f>
        <v/>
      </c>
      <c r="H865" s="32" t="str">
        <f>IFERROR(VLOOKUP(B865,双一流!$B$2:$D$148,3,FALSE),"")</f>
        <v/>
      </c>
      <c r="I865" s="32">
        <f>IFERROR(VLOOKUP(B865,汇总!$B$2:$I$2921,8,FALSE),"")</f>
        <v>0</v>
      </c>
      <c r="J865" s="34" t="s">
        <v>11</v>
      </c>
      <c r="K865" s="35" t="s">
        <v>12</v>
      </c>
    </row>
    <row r="866" ht="33.75" spans="1:11">
      <c r="A866" s="29">
        <v>865</v>
      </c>
      <c r="B866" s="29" t="s">
        <v>1138</v>
      </c>
      <c r="C866" s="29" t="str">
        <f>VLOOKUP(B866,教育部大学名单!$B$1:$D$2920,3,FALSE)</f>
        <v>陕西省</v>
      </c>
      <c r="D866" s="29" t="s">
        <v>1106</v>
      </c>
      <c r="E866" s="29" t="s">
        <v>1111</v>
      </c>
      <c r="F866" s="36" t="str">
        <f>IFERROR(VLOOKUP(B866,'985'!$B$2:$D$40,3,FALSE),"")</f>
        <v/>
      </c>
      <c r="G866" s="32" t="str">
        <f>IFERROR(VLOOKUP(B866,'211'!$B$2:$D$116,3,FALSE),"")</f>
        <v/>
      </c>
      <c r="H866" s="32" t="str">
        <f>IFERROR(VLOOKUP(B866,双一流!$B$2:$D$148,3,FALSE),"")</f>
        <v/>
      </c>
      <c r="I866" s="32">
        <f>IFERROR(VLOOKUP(B866,汇总!$B$2:$I$2921,8,FALSE),"")</f>
        <v>0</v>
      </c>
      <c r="J866" s="29" t="s">
        <v>11</v>
      </c>
      <c r="K866" s="33" t="s">
        <v>12</v>
      </c>
    </row>
    <row r="867" ht="33.75" spans="1:11">
      <c r="A867" s="34">
        <v>866</v>
      </c>
      <c r="B867" s="34" t="s">
        <v>1139</v>
      </c>
      <c r="C867" s="29" t="str">
        <f>VLOOKUP(B867,教育部大学名单!$B$1:$D$2920,3,FALSE)</f>
        <v>陕西省</v>
      </c>
      <c r="D867" s="34" t="s">
        <v>1106</v>
      </c>
      <c r="E867" s="34" t="s">
        <v>1111</v>
      </c>
      <c r="F867" s="36" t="str">
        <f>IFERROR(VLOOKUP(B867,'985'!$B$2:$D$40,3,FALSE),"")</f>
        <v/>
      </c>
      <c r="G867" s="32" t="str">
        <f>IFERROR(VLOOKUP(B867,'211'!$B$2:$D$116,3,FALSE),"")</f>
        <v/>
      </c>
      <c r="H867" s="32" t="str">
        <f>IFERROR(VLOOKUP(B867,双一流!$B$2:$D$148,3,FALSE),"")</f>
        <v/>
      </c>
      <c r="I867" s="32" t="str">
        <f>IFERROR(VLOOKUP(B867,汇总!$B$2:$I$2921,8,FALSE),"")</f>
        <v>艺术</v>
      </c>
      <c r="J867" s="34" t="s">
        <v>11</v>
      </c>
      <c r="K867" s="35" t="s">
        <v>12</v>
      </c>
    </row>
    <row r="868" ht="33.75" spans="1:11">
      <c r="A868" s="29">
        <v>867</v>
      </c>
      <c r="B868" s="29" t="s">
        <v>1140</v>
      </c>
      <c r="C868" s="29" t="str">
        <f>VLOOKUP(B868,教育部大学名单!$B$1:$D$2920,3,FALSE)</f>
        <v>陕西省</v>
      </c>
      <c r="D868" s="29" t="s">
        <v>1106</v>
      </c>
      <c r="E868" s="29" t="s">
        <v>1111</v>
      </c>
      <c r="F868" s="36" t="str">
        <f>IFERROR(VLOOKUP(B868,'985'!$B$2:$D$40,3,FALSE),"")</f>
        <v/>
      </c>
      <c r="G868" s="32" t="str">
        <f>IFERROR(VLOOKUP(B868,'211'!$B$2:$D$116,3,FALSE),"")</f>
        <v/>
      </c>
      <c r="H868" s="32" t="str">
        <f>IFERROR(VLOOKUP(B868,双一流!$B$2:$D$148,3,FALSE),"")</f>
        <v/>
      </c>
      <c r="I868" s="32">
        <f>IFERROR(VLOOKUP(B868,汇总!$B$2:$I$2921,8,FALSE),"")</f>
        <v>0</v>
      </c>
      <c r="J868" s="29" t="s">
        <v>11</v>
      </c>
      <c r="K868" s="33" t="s">
        <v>12</v>
      </c>
    </row>
    <row r="869" ht="17.25" spans="1:11">
      <c r="A869" s="34">
        <v>868</v>
      </c>
      <c r="B869" s="34" t="s">
        <v>1141</v>
      </c>
      <c r="C869" s="29" t="e">
        <f>VLOOKUP(B869,教育部大学名单!$B$1:$D$2920,3,FALSE)</f>
        <v>#N/A</v>
      </c>
      <c r="D869" s="34" t="s">
        <v>1106</v>
      </c>
      <c r="E869" s="34" t="s">
        <v>1142</v>
      </c>
      <c r="F869" s="36" t="str">
        <f>IFERROR(VLOOKUP(B869,'985'!$B$2:$D$40,3,FALSE),"")</f>
        <v/>
      </c>
      <c r="G869" s="32" t="str">
        <f>IFERROR(VLOOKUP(B869,'211'!$B$2:$D$116,3,FALSE),"")</f>
        <v/>
      </c>
      <c r="H869" s="32" t="str">
        <f>IFERROR(VLOOKUP(B869,双一流!$B$2:$D$148,3,FALSE),"")</f>
        <v/>
      </c>
      <c r="I869" s="32" t="str">
        <f>IFERROR(VLOOKUP(B869,汇总!$B$2:$I$2921,8,FALSE),"")</f>
        <v/>
      </c>
      <c r="J869" s="34" t="s">
        <v>11</v>
      </c>
      <c r="K869" s="35" t="s">
        <v>12</v>
      </c>
    </row>
    <row r="870" ht="17.25" spans="1:11">
      <c r="A870" s="29">
        <v>869</v>
      </c>
      <c r="B870" s="29" t="s">
        <v>1143</v>
      </c>
      <c r="C870" s="29" t="str">
        <f>VLOOKUP(B870,教育部大学名单!$B$1:$D$2920,3,FALSE)</f>
        <v>陕西省</v>
      </c>
      <c r="D870" s="29" t="s">
        <v>1106</v>
      </c>
      <c r="E870" s="29" t="s">
        <v>1144</v>
      </c>
      <c r="F870" s="36" t="str">
        <f>IFERROR(VLOOKUP(B870,'985'!$B$2:$D$40,3,FALSE),"")</f>
        <v/>
      </c>
      <c r="G870" s="32" t="str">
        <f>IFERROR(VLOOKUP(B870,'211'!$B$2:$D$116,3,FALSE),"")</f>
        <v/>
      </c>
      <c r="H870" s="32" t="str">
        <f>IFERROR(VLOOKUP(B870,双一流!$B$2:$D$148,3,FALSE),"")</f>
        <v/>
      </c>
      <c r="I870" s="32">
        <f>IFERROR(VLOOKUP(B870,汇总!$B$2:$I$2921,8,FALSE),"")</f>
        <v>0</v>
      </c>
      <c r="J870" s="29" t="s">
        <v>11</v>
      </c>
      <c r="K870" s="33" t="s">
        <v>12</v>
      </c>
    </row>
    <row r="871" ht="17.25" spans="1:11">
      <c r="A871" s="34">
        <v>870</v>
      </c>
      <c r="B871" s="34" t="s">
        <v>1145</v>
      </c>
      <c r="C871" s="29" t="str">
        <f>VLOOKUP(B871,教育部大学名单!$B$1:$D$2920,3,FALSE)</f>
        <v>陕西省</v>
      </c>
      <c r="D871" s="34" t="s">
        <v>1106</v>
      </c>
      <c r="E871" s="34" t="s">
        <v>1146</v>
      </c>
      <c r="F871" s="36" t="str">
        <f>IFERROR(VLOOKUP(B871,'985'!$B$2:$D$40,3,FALSE),"")</f>
        <v/>
      </c>
      <c r="G871" s="32" t="str">
        <f>IFERROR(VLOOKUP(B871,'211'!$B$2:$D$116,3,FALSE),"")</f>
        <v/>
      </c>
      <c r="H871" s="32" t="str">
        <f>IFERROR(VLOOKUP(B871,双一流!$B$2:$D$148,3,FALSE),"")</f>
        <v/>
      </c>
      <c r="I871" s="32">
        <f>IFERROR(VLOOKUP(B871,汇总!$B$2:$I$2921,8,FALSE),"")</f>
        <v>0</v>
      </c>
      <c r="J871" s="34" t="s">
        <v>11</v>
      </c>
      <c r="K871" s="35" t="s">
        <v>12</v>
      </c>
    </row>
    <row r="872" ht="33.75" spans="1:11">
      <c r="A872" s="29">
        <v>871</v>
      </c>
      <c r="B872" s="29" t="s">
        <v>1147</v>
      </c>
      <c r="C872" s="29" t="str">
        <f>VLOOKUP(B872,教育部大学名单!$B$1:$D$2920,3,FALSE)</f>
        <v>陕西省</v>
      </c>
      <c r="D872" s="29" t="s">
        <v>1106</v>
      </c>
      <c r="E872" s="29" t="s">
        <v>1111</v>
      </c>
      <c r="F872" s="36" t="str">
        <f>IFERROR(VLOOKUP(B872,'985'!$B$2:$D$40,3,FALSE),"")</f>
        <v/>
      </c>
      <c r="G872" s="32" t="str">
        <f>IFERROR(VLOOKUP(B872,'211'!$B$2:$D$116,3,FALSE),"")</f>
        <v/>
      </c>
      <c r="H872" s="32" t="str">
        <f>IFERROR(VLOOKUP(B872,双一流!$B$2:$D$148,3,FALSE),"")</f>
        <v/>
      </c>
      <c r="I872" s="32">
        <f>IFERROR(VLOOKUP(B872,汇总!$B$2:$I$2921,8,FALSE),"")</f>
        <v>0</v>
      </c>
      <c r="J872" s="29" t="s">
        <v>11</v>
      </c>
      <c r="K872" s="33" t="s">
        <v>12</v>
      </c>
    </row>
    <row r="873" ht="33.75" spans="1:11">
      <c r="A873" s="34">
        <v>872</v>
      </c>
      <c r="B873" s="34" t="s">
        <v>1148</v>
      </c>
      <c r="C873" s="29" t="str">
        <f>VLOOKUP(B873,教育部大学名单!$B$1:$D$2920,3,FALSE)</f>
        <v>陕西省</v>
      </c>
      <c r="D873" s="34" t="s">
        <v>1106</v>
      </c>
      <c r="E873" s="34" t="s">
        <v>1111</v>
      </c>
      <c r="F873" s="36" t="str">
        <f>IFERROR(VLOOKUP(B873,'985'!$B$2:$D$40,3,FALSE),"")</f>
        <v/>
      </c>
      <c r="G873" s="32" t="str">
        <f>IFERROR(VLOOKUP(B873,'211'!$B$2:$D$116,3,FALSE),"")</f>
        <v/>
      </c>
      <c r="H873" s="32" t="str">
        <f>IFERROR(VLOOKUP(B873,双一流!$B$2:$D$148,3,FALSE),"")</f>
        <v/>
      </c>
      <c r="I873" s="32" t="str">
        <f>IFERROR(VLOOKUP(B873,汇总!$B$2:$I$2921,8,FALSE),"")</f>
        <v>理工</v>
      </c>
      <c r="J873" s="34" t="s">
        <v>11</v>
      </c>
      <c r="K873" s="35" t="s">
        <v>12</v>
      </c>
    </row>
    <row r="874" ht="33.75" spans="1:11">
      <c r="A874" s="29">
        <v>873</v>
      </c>
      <c r="B874" s="29" t="s">
        <v>1149</v>
      </c>
      <c r="C874" s="29" t="str">
        <f>VLOOKUP(B874,教育部大学名单!$B$1:$D$2920,3,FALSE)</f>
        <v>陕西省</v>
      </c>
      <c r="D874" s="29" t="s">
        <v>1106</v>
      </c>
      <c r="E874" s="29" t="s">
        <v>1111</v>
      </c>
      <c r="F874" s="36" t="str">
        <f>IFERROR(VLOOKUP(B874,'985'!$B$2:$D$40,3,FALSE),"")</f>
        <v/>
      </c>
      <c r="G874" s="32" t="str">
        <f>IFERROR(VLOOKUP(B874,'211'!$B$2:$D$116,3,FALSE),"")</f>
        <v/>
      </c>
      <c r="H874" s="32" t="str">
        <f>IFERROR(VLOOKUP(B874,双一流!$B$2:$D$148,3,FALSE),"")</f>
        <v/>
      </c>
      <c r="I874" s="32">
        <f>IFERROR(VLOOKUP(B874,汇总!$B$2:$I$2921,8,FALSE),"")</f>
        <v>0</v>
      </c>
      <c r="J874" s="29" t="s">
        <v>11</v>
      </c>
      <c r="K874" s="33" t="s">
        <v>12</v>
      </c>
    </row>
    <row r="875" ht="17.25" spans="1:11">
      <c r="A875" s="34">
        <v>874</v>
      </c>
      <c r="B875" s="34" t="s">
        <v>1150</v>
      </c>
      <c r="C875" s="29" t="str">
        <f>VLOOKUP(B875,教育部大学名单!$B$1:$D$2920,3,FALSE)</f>
        <v>陕西省</v>
      </c>
      <c r="D875" s="34" t="s">
        <v>1106</v>
      </c>
      <c r="E875" s="34" t="s">
        <v>1111</v>
      </c>
      <c r="F875" s="36" t="str">
        <f>IFERROR(VLOOKUP(B875,'985'!$B$2:$D$40,3,FALSE),"")</f>
        <v/>
      </c>
      <c r="G875" s="32" t="str">
        <f>IFERROR(VLOOKUP(B875,'211'!$B$2:$D$116,3,FALSE),"")</f>
        <v/>
      </c>
      <c r="H875" s="32" t="str">
        <f>IFERROR(VLOOKUP(B875,双一流!$B$2:$D$148,3,FALSE),"")</f>
        <v/>
      </c>
      <c r="I875" s="32">
        <f>IFERROR(VLOOKUP(B875,汇总!$B$2:$I$2921,8,FALSE),"")</f>
        <v>0</v>
      </c>
      <c r="J875" s="34" t="s">
        <v>11</v>
      </c>
      <c r="K875" s="35" t="s">
        <v>12</v>
      </c>
    </row>
    <row r="876" ht="33.75" spans="1:11">
      <c r="A876" s="29">
        <v>875</v>
      </c>
      <c r="B876" s="29" t="s">
        <v>1151</v>
      </c>
      <c r="C876" s="29" t="str">
        <f>VLOOKUP(B876,教育部大学名单!$B$1:$D$2920,3,FALSE)</f>
        <v>陕西省</v>
      </c>
      <c r="D876" s="29" t="s">
        <v>1106</v>
      </c>
      <c r="E876" s="29" t="s">
        <v>1111</v>
      </c>
      <c r="F876" s="36" t="str">
        <f>IFERROR(VLOOKUP(B876,'985'!$B$2:$D$40,3,FALSE),"")</f>
        <v/>
      </c>
      <c r="G876" s="32" t="str">
        <f>IFERROR(VLOOKUP(B876,'211'!$B$2:$D$116,3,FALSE),"")</f>
        <v/>
      </c>
      <c r="H876" s="32" t="str">
        <f>IFERROR(VLOOKUP(B876,双一流!$B$2:$D$148,3,FALSE),"")</f>
        <v/>
      </c>
      <c r="I876" s="32">
        <f>IFERROR(VLOOKUP(B876,汇总!$B$2:$I$2921,8,FALSE),"")</f>
        <v>0</v>
      </c>
      <c r="J876" s="29" t="s">
        <v>11</v>
      </c>
      <c r="K876" s="33" t="s">
        <v>12</v>
      </c>
    </row>
    <row r="877" ht="33.75" spans="1:11">
      <c r="A877" s="34">
        <v>876</v>
      </c>
      <c r="B877" s="34" t="s">
        <v>1152</v>
      </c>
      <c r="C877" s="29" t="str">
        <f>VLOOKUP(B877,教育部大学名单!$B$1:$D$2920,3,FALSE)</f>
        <v>陕西省</v>
      </c>
      <c r="D877" s="34" t="s">
        <v>1106</v>
      </c>
      <c r="E877" s="34" t="s">
        <v>1107</v>
      </c>
      <c r="F877" s="36" t="str">
        <f>IFERROR(VLOOKUP(B877,'985'!$B$2:$D$40,3,FALSE),"")</f>
        <v/>
      </c>
      <c r="G877" s="32" t="str">
        <f>IFERROR(VLOOKUP(B877,'211'!$B$2:$D$116,3,FALSE),"")</f>
        <v/>
      </c>
      <c r="H877" s="32" t="str">
        <f>IFERROR(VLOOKUP(B877,双一流!$B$2:$D$148,3,FALSE),"")</f>
        <v/>
      </c>
      <c r="I877" s="32" t="str">
        <f>IFERROR(VLOOKUP(B877,汇总!$B$2:$I$2921,8,FALSE),"")</f>
        <v/>
      </c>
      <c r="J877" s="34" t="s">
        <v>11</v>
      </c>
      <c r="K877" s="35" t="s">
        <v>12</v>
      </c>
    </row>
    <row r="878" ht="33.75" spans="1:11">
      <c r="A878" s="29">
        <v>877</v>
      </c>
      <c r="B878" s="29" t="s">
        <v>1153</v>
      </c>
      <c r="C878" s="29" t="str">
        <f>VLOOKUP(B878,教育部大学名单!$B$1:$D$2920,3,FALSE)</f>
        <v>陕西省</v>
      </c>
      <c r="D878" s="29" t="s">
        <v>1106</v>
      </c>
      <c r="E878" s="29" t="s">
        <v>1107</v>
      </c>
      <c r="F878" s="36" t="str">
        <f>IFERROR(VLOOKUP(B878,'985'!$B$2:$D$40,3,FALSE),"")</f>
        <v/>
      </c>
      <c r="G878" s="32" t="str">
        <f>IFERROR(VLOOKUP(B878,'211'!$B$2:$D$116,3,FALSE),"")</f>
        <v/>
      </c>
      <c r="H878" s="32" t="str">
        <f>IFERROR(VLOOKUP(B878,双一流!$B$2:$D$148,3,FALSE),"")</f>
        <v/>
      </c>
      <c r="I878" s="32" t="str">
        <f>IFERROR(VLOOKUP(B878,汇总!$B$2:$I$2921,8,FALSE),"")</f>
        <v/>
      </c>
      <c r="J878" s="29" t="s">
        <v>11</v>
      </c>
      <c r="K878" s="33" t="s">
        <v>12</v>
      </c>
    </row>
    <row r="879" ht="33.75" spans="1:11">
      <c r="A879" s="34">
        <v>878</v>
      </c>
      <c r="B879" s="34" t="s">
        <v>1154</v>
      </c>
      <c r="C879" s="29" t="str">
        <f>VLOOKUP(B879,教育部大学名单!$B$1:$D$2920,3,FALSE)</f>
        <v>陕西省</v>
      </c>
      <c r="D879" s="34" t="s">
        <v>1106</v>
      </c>
      <c r="E879" s="34" t="s">
        <v>1111</v>
      </c>
      <c r="F879" s="36" t="str">
        <f>IFERROR(VLOOKUP(B879,'985'!$B$2:$D$40,3,FALSE),"")</f>
        <v/>
      </c>
      <c r="G879" s="32" t="str">
        <f>IFERROR(VLOOKUP(B879,'211'!$B$2:$D$116,3,FALSE),"")</f>
        <v/>
      </c>
      <c r="H879" s="32" t="str">
        <f>IFERROR(VLOOKUP(B879,双一流!$B$2:$D$148,3,FALSE),"")</f>
        <v/>
      </c>
      <c r="I879" s="32">
        <f>IFERROR(VLOOKUP(B879,汇总!$B$2:$I$2921,8,FALSE),"")</f>
        <v>0</v>
      </c>
      <c r="J879" s="34" t="s">
        <v>11</v>
      </c>
      <c r="K879" s="35" t="s">
        <v>12</v>
      </c>
    </row>
    <row r="880" ht="17.25" spans="1:11">
      <c r="A880" s="29">
        <v>879</v>
      </c>
      <c r="B880" s="29" t="s">
        <v>1155</v>
      </c>
      <c r="C880" s="29" t="str">
        <f>VLOOKUP(B880,教育部大学名单!$B$1:$D$2920,3,FALSE)</f>
        <v>教育部</v>
      </c>
      <c r="D880" s="29" t="s">
        <v>1156</v>
      </c>
      <c r="E880" s="29" t="s">
        <v>1157</v>
      </c>
      <c r="F880" s="30">
        <f>IFERROR(VLOOKUP(B880,'985'!$B$2:$D$40,3,FALSE),"")</f>
        <v>985</v>
      </c>
      <c r="G880" s="31">
        <f>IFERROR(VLOOKUP(B880,'211'!$B$2:$D$116,3,FALSE),"")</f>
        <v>211</v>
      </c>
      <c r="H880" s="32" t="str">
        <f>IFERROR(VLOOKUP(B880,双一流!$B$2:$D$148,3,FALSE),"")</f>
        <v>双一流</v>
      </c>
      <c r="I880" s="32" t="str">
        <f>IFERROR(VLOOKUP(B880,汇总!$B$2:$I$2921,8,FALSE),"")</f>
        <v>综合</v>
      </c>
      <c r="J880" s="29" t="s">
        <v>11</v>
      </c>
      <c r="K880" s="33" t="s">
        <v>12</v>
      </c>
    </row>
    <row r="881" ht="33.75" spans="1:11">
      <c r="A881" s="34">
        <v>880</v>
      </c>
      <c r="B881" s="34" t="s">
        <v>1158</v>
      </c>
      <c r="C881" s="29" t="str">
        <f>VLOOKUP(B881,教育部大学名单!$B$1:$D$2920,3,FALSE)</f>
        <v>甘肃省</v>
      </c>
      <c r="D881" s="34" t="s">
        <v>1156</v>
      </c>
      <c r="E881" s="34" t="s">
        <v>1157</v>
      </c>
      <c r="F881" s="36" t="str">
        <f>IFERROR(VLOOKUP(B881,'985'!$B$2:$D$40,3,FALSE),"")</f>
        <v/>
      </c>
      <c r="G881" s="32" t="str">
        <f>IFERROR(VLOOKUP(B881,'211'!$B$2:$D$116,3,FALSE),"")</f>
        <v/>
      </c>
      <c r="H881" s="32" t="str">
        <f>IFERROR(VLOOKUP(B881,双一流!$B$2:$D$148,3,FALSE),"")</f>
        <v/>
      </c>
      <c r="I881" s="32" t="str">
        <f>IFERROR(VLOOKUP(B881,汇总!$B$2:$I$2921,8,FALSE),"")</f>
        <v>理工</v>
      </c>
      <c r="J881" s="34" t="s">
        <v>11</v>
      </c>
      <c r="K881" s="35" t="s">
        <v>12</v>
      </c>
    </row>
    <row r="882" ht="33.75" spans="1:11">
      <c r="A882" s="29">
        <v>881</v>
      </c>
      <c r="B882" s="29" t="s">
        <v>1159</v>
      </c>
      <c r="C882" s="29" t="str">
        <f>VLOOKUP(B882,教育部大学名单!$B$1:$D$2920,3,FALSE)</f>
        <v>甘肃省</v>
      </c>
      <c r="D882" s="29" t="s">
        <v>1156</v>
      </c>
      <c r="E882" s="29" t="s">
        <v>1157</v>
      </c>
      <c r="F882" s="36" t="str">
        <f>IFERROR(VLOOKUP(B882,'985'!$B$2:$D$40,3,FALSE),"")</f>
        <v/>
      </c>
      <c r="G882" s="32" t="str">
        <f>IFERROR(VLOOKUP(B882,'211'!$B$2:$D$116,3,FALSE),"")</f>
        <v/>
      </c>
      <c r="H882" s="32" t="str">
        <f>IFERROR(VLOOKUP(B882,双一流!$B$2:$D$148,3,FALSE),"")</f>
        <v/>
      </c>
      <c r="I882" s="32" t="str">
        <f>IFERROR(VLOOKUP(B882,汇总!$B$2:$I$2921,8,FALSE),"")</f>
        <v>理工</v>
      </c>
      <c r="J882" s="29" t="s">
        <v>11</v>
      </c>
      <c r="K882" s="33" t="s">
        <v>12</v>
      </c>
    </row>
    <row r="883" ht="33.75" spans="1:11">
      <c r="A883" s="34">
        <v>882</v>
      </c>
      <c r="B883" s="34" t="s">
        <v>1160</v>
      </c>
      <c r="C883" s="29" t="str">
        <f>VLOOKUP(B883,教育部大学名单!$B$1:$D$2920,3,FALSE)</f>
        <v>甘肃省</v>
      </c>
      <c r="D883" s="34" t="s">
        <v>1156</v>
      </c>
      <c r="E883" s="34" t="s">
        <v>1157</v>
      </c>
      <c r="F883" s="36" t="str">
        <f>IFERROR(VLOOKUP(B883,'985'!$B$2:$D$40,3,FALSE),"")</f>
        <v/>
      </c>
      <c r="G883" s="32" t="str">
        <f>IFERROR(VLOOKUP(B883,'211'!$B$2:$D$116,3,FALSE),"")</f>
        <v/>
      </c>
      <c r="H883" s="32" t="str">
        <f>IFERROR(VLOOKUP(B883,双一流!$B$2:$D$148,3,FALSE),"")</f>
        <v/>
      </c>
      <c r="I883" s="32" t="str">
        <f>IFERROR(VLOOKUP(B883,汇总!$B$2:$I$2921,8,FALSE),"")</f>
        <v>农林</v>
      </c>
      <c r="J883" s="34" t="s">
        <v>11</v>
      </c>
      <c r="K883" s="35" t="s">
        <v>12</v>
      </c>
    </row>
    <row r="884" ht="33.75" spans="1:11">
      <c r="A884" s="29">
        <v>883</v>
      </c>
      <c r="B884" s="29" t="s">
        <v>1161</v>
      </c>
      <c r="C884" s="29" t="str">
        <f>VLOOKUP(B884,教育部大学名单!$B$1:$D$2920,3,FALSE)</f>
        <v>甘肃省</v>
      </c>
      <c r="D884" s="29" t="s">
        <v>1156</v>
      </c>
      <c r="E884" s="29" t="s">
        <v>1157</v>
      </c>
      <c r="F884" s="36" t="str">
        <f>IFERROR(VLOOKUP(B884,'985'!$B$2:$D$40,3,FALSE),"")</f>
        <v/>
      </c>
      <c r="G884" s="32" t="str">
        <f>IFERROR(VLOOKUP(B884,'211'!$B$2:$D$116,3,FALSE),"")</f>
        <v/>
      </c>
      <c r="H884" s="32" t="str">
        <f>IFERROR(VLOOKUP(B884,双一流!$B$2:$D$148,3,FALSE),"")</f>
        <v/>
      </c>
      <c r="I884" s="32">
        <f>IFERROR(VLOOKUP(B884,汇总!$B$2:$I$2921,8,FALSE),"")</f>
        <v>0</v>
      </c>
      <c r="J884" s="29" t="s">
        <v>11</v>
      </c>
      <c r="K884" s="33" t="s">
        <v>12</v>
      </c>
    </row>
    <row r="885" ht="33.75" spans="1:11">
      <c r="A885" s="34">
        <v>884</v>
      </c>
      <c r="B885" s="34" t="s">
        <v>1162</v>
      </c>
      <c r="C885" s="29" t="str">
        <f>VLOOKUP(B885,教育部大学名单!$B$1:$D$2920,3,FALSE)</f>
        <v>甘肃省</v>
      </c>
      <c r="D885" s="34" t="s">
        <v>1156</v>
      </c>
      <c r="E885" s="34" t="s">
        <v>1157</v>
      </c>
      <c r="F885" s="36" t="str">
        <f>IFERROR(VLOOKUP(B885,'985'!$B$2:$D$40,3,FALSE),"")</f>
        <v/>
      </c>
      <c r="G885" s="32" t="str">
        <f>IFERROR(VLOOKUP(B885,'211'!$B$2:$D$116,3,FALSE),"")</f>
        <v/>
      </c>
      <c r="H885" s="32" t="str">
        <f>IFERROR(VLOOKUP(B885,双一流!$B$2:$D$148,3,FALSE),"")</f>
        <v/>
      </c>
      <c r="I885" s="32" t="str">
        <f>IFERROR(VLOOKUP(B885,汇总!$B$2:$I$2921,8,FALSE),"")</f>
        <v>师范</v>
      </c>
      <c r="J885" s="34" t="s">
        <v>11</v>
      </c>
      <c r="K885" s="35" t="s">
        <v>12</v>
      </c>
    </row>
    <row r="886" ht="33.75" spans="1:11">
      <c r="A886" s="29">
        <v>885</v>
      </c>
      <c r="B886" s="29" t="s">
        <v>1163</v>
      </c>
      <c r="C886" s="29" t="str">
        <f>VLOOKUP(B886,教育部大学名单!$B$1:$D$2920,3,FALSE)</f>
        <v>甘肃省</v>
      </c>
      <c r="D886" s="29" t="s">
        <v>1156</v>
      </c>
      <c r="E886" s="29" t="s">
        <v>1157</v>
      </c>
      <c r="F886" s="36" t="str">
        <f>IFERROR(VLOOKUP(B886,'985'!$B$2:$D$40,3,FALSE),"")</f>
        <v/>
      </c>
      <c r="G886" s="32" t="str">
        <f>IFERROR(VLOOKUP(B886,'211'!$B$2:$D$116,3,FALSE),"")</f>
        <v/>
      </c>
      <c r="H886" s="32" t="str">
        <f>IFERROR(VLOOKUP(B886,双一流!$B$2:$D$148,3,FALSE),"")</f>
        <v/>
      </c>
      <c r="I886" s="32">
        <f>IFERROR(VLOOKUP(B886,汇总!$B$2:$I$2921,8,FALSE),"")</f>
        <v>0</v>
      </c>
      <c r="J886" s="29" t="s">
        <v>11</v>
      </c>
      <c r="K886" s="33" t="s">
        <v>12</v>
      </c>
    </row>
    <row r="887" ht="17.25" spans="1:11">
      <c r="A887" s="34">
        <v>886</v>
      </c>
      <c r="B887" s="34" t="s">
        <v>1164</v>
      </c>
      <c r="C887" s="29" t="str">
        <f>VLOOKUP(B887,教育部大学名单!$B$1:$D$2920,3,FALSE)</f>
        <v>甘肃省</v>
      </c>
      <c r="D887" s="34" t="s">
        <v>1156</v>
      </c>
      <c r="E887" s="34" t="s">
        <v>1165</v>
      </c>
      <c r="F887" s="36" t="str">
        <f>IFERROR(VLOOKUP(B887,'985'!$B$2:$D$40,3,FALSE),"")</f>
        <v/>
      </c>
      <c r="G887" s="32" t="str">
        <f>IFERROR(VLOOKUP(B887,'211'!$B$2:$D$116,3,FALSE),"")</f>
        <v/>
      </c>
      <c r="H887" s="32" t="str">
        <f>IFERROR(VLOOKUP(B887,双一流!$B$2:$D$148,3,FALSE),"")</f>
        <v/>
      </c>
      <c r="I887" s="32">
        <f>IFERROR(VLOOKUP(B887,汇总!$B$2:$I$2921,8,FALSE),"")</f>
        <v>0</v>
      </c>
      <c r="J887" s="34" t="s">
        <v>11</v>
      </c>
      <c r="K887" s="35" t="s">
        <v>12</v>
      </c>
    </row>
    <row r="888" ht="33.75" spans="1:11">
      <c r="A888" s="29">
        <v>887</v>
      </c>
      <c r="B888" s="29" t="s">
        <v>1166</v>
      </c>
      <c r="C888" s="29" t="str">
        <f>VLOOKUP(B888,教育部大学名单!$B$1:$D$2920,3,FALSE)</f>
        <v>甘肃省</v>
      </c>
      <c r="D888" s="29" t="s">
        <v>1156</v>
      </c>
      <c r="E888" s="29" t="s">
        <v>1167</v>
      </c>
      <c r="F888" s="36" t="str">
        <f>IFERROR(VLOOKUP(B888,'985'!$B$2:$D$40,3,FALSE),"")</f>
        <v/>
      </c>
      <c r="G888" s="32" t="str">
        <f>IFERROR(VLOOKUP(B888,'211'!$B$2:$D$116,3,FALSE),"")</f>
        <v/>
      </c>
      <c r="H888" s="32" t="str">
        <f>IFERROR(VLOOKUP(B888,双一流!$B$2:$D$148,3,FALSE),"")</f>
        <v/>
      </c>
      <c r="I888" s="32" t="str">
        <f>IFERROR(VLOOKUP(B888,汇总!$B$2:$I$2921,8,FALSE),"")</f>
        <v/>
      </c>
      <c r="J888" s="29" t="s">
        <v>11</v>
      </c>
      <c r="K888" s="33" t="s">
        <v>12</v>
      </c>
    </row>
    <row r="889" ht="17.25" spans="1:11">
      <c r="A889" s="34">
        <v>888</v>
      </c>
      <c r="B889" s="34" t="s">
        <v>1168</v>
      </c>
      <c r="C889" s="29" t="str">
        <f>VLOOKUP(B889,教育部大学名单!$B$1:$D$2920,3,FALSE)</f>
        <v>甘肃省</v>
      </c>
      <c r="D889" s="34" t="s">
        <v>1156</v>
      </c>
      <c r="E889" s="34" t="s">
        <v>1169</v>
      </c>
      <c r="F889" s="36" t="str">
        <f>IFERROR(VLOOKUP(B889,'985'!$B$2:$D$40,3,FALSE),"")</f>
        <v/>
      </c>
      <c r="G889" s="32" t="str">
        <f>IFERROR(VLOOKUP(B889,'211'!$B$2:$D$116,3,FALSE),"")</f>
        <v/>
      </c>
      <c r="H889" s="32" t="str">
        <f>IFERROR(VLOOKUP(B889,双一流!$B$2:$D$148,3,FALSE),"")</f>
        <v/>
      </c>
      <c r="I889" s="32">
        <f>IFERROR(VLOOKUP(B889,汇总!$B$2:$I$2921,8,FALSE),"")</f>
        <v>0</v>
      </c>
      <c r="J889" s="34" t="s">
        <v>11</v>
      </c>
      <c r="K889" s="35" t="s">
        <v>12</v>
      </c>
    </row>
    <row r="890" ht="33.75" spans="1:11">
      <c r="A890" s="29">
        <v>889</v>
      </c>
      <c r="B890" s="29" t="s">
        <v>1170</v>
      </c>
      <c r="C890" s="29" t="str">
        <f>VLOOKUP(B890,教育部大学名单!$B$1:$D$2920,3,FALSE)</f>
        <v>甘肃省</v>
      </c>
      <c r="D890" s="29" t="s">
        <v>1156</v>
      </c>
      <c r="E890" s="29" t="s">
        <v>1157</v>
      </c>
      <c r="F890" s="36" t="str">
        <f>IFERROR(VLOOKUP(B890,'985'!$B$2:$D$40,3,FALSE),"")</f>
        <v/>
      </c>
      <c r="G890" s="32" t="str">
        <f>IFERROR(VLOOKUP(B890,'211'!$B$2:$D$116,3,FALSE),"")</f>
        <v/>
      </c>
      <c r="H890" s="32" t="str">
        <f>IFERROR(VLOOKUP(B890,双一流!$B$2:$D$148,3,FALSE),"")</f>
        <v/>
      </c>
      <c r="I890" s="32">
        <f>IFERROR(VLOOKUP(B890,汇总!$B$2:$I$2921,8,FALSE),"")</f>
        <v>0</v>
      </c>
      <c r="J890" s="29" t="s">
        <v>11</v>
      </c>
      <c r="K890" s="33" t="s">
        <v>12</v>
      </c>
    </row>
    <row r="891" ht="33.75" spans="1:11">
      <c r="A891" s="34">
        <v>890</v>
      </c>
      <c r="B891" s="34" t="s">
        <v>1171</v>
      </c>
      <c r="C891" s="29" t="str">
        <f>VLOOKUP(B891,教育部大学名单!$B$1:$D$2920,3,FALSE)</f>
        <v>国家民委</v>
      </c>
      <c r="D891" s="34" t="s">
        <v>1156</v>
      </c>
      <c r="E891" s="34" t="s">
        <v>1157</v>
      </c>
      <c r="F891" s="36" t="str">
        <f>IFERROR(VLOOKUP(B891,'985'!$B$2:$D$40,3,FALSE),"")</f>
        <v/>
      </c>
      <c r="G891" s="32" t="str">
        <f>IFERROR(VLOOKUP(B891,'211'!$B$2:$D$116,3,FALSE),"")</f>
        <v/>
      </c>
      <c r="H891" s="32" t="str">
        <f>IFERROR(VLOOKUP(B891,双一流!$B$2:$D$148,3,FALSE),"")</f>
        <v/>
      </c>
      <c r="I891" s="32" t="str">
        <f>IFERROR(VLOOKUP(B891,汇总!$B$2:$I$2921,8,FALSE),"")</f>
        <v>民族</v>
      </c>
      <c r="J891" s="34" t="s">
        <v>11</v>
      </c>
      <c r="K891" s="35" t="s">
        <v>12</v>
      </c>
    </row>
    <row r="892" ht="33.75" spans="1:11">
      <c r="A892" s="29">
        <v>891</v>
      </c>
      <c r="B892" s="29" t="s">
        <v>1172</v>
      </c>
      <c r="C892" s="29" t="str">
        <f>VLOOKUP(B892,教育部大学名单!$B$1:$D$2920,3,FALSE)</f>
        <v>甘肃省</v>
      </c>
      <c r="D892" s="29" t="s">
        <v>1156</v>
      </c>
      <c r="E892" s="29" t="s">
        <v>1157</v>
      </c>
      <c r="F892" s="36" t="str">
        <f>IFERROR(VLOOKUP(B892,'985'!$B$2:$D$40,3,FALSE),"")</f>
        <v/>
      </c>
      <c r="G892" s="32" t="str">
        <f>IFERROR(VLOOKUP(B892,'211'!$B$2:$D$116,3,FALSE),"")</f>
        <v/>
      </c>
      <c r="H892" s="32" t="str">
        <f>IFERROR(VLOOKUP(B892,双一流!$B$2:$D$148,3,FALSE),"")</f>
        <v/>
      </c>
      <c r="I892" s="32">
        <f>IFERROR(VLOOKUP(B892,汇总!$B$2:$I$2921,8,FALSE),"")</f>
        <v>0</v>
      </c>
      <c r="J892" s="29" t="s">
        <v>11</v>
      </c>
      <c r="K892" s="33" t="s">
        <v>12</v>
      </c>
    </row>
    <row r="893" ht="33.75" spans="1:11">
      <c r="A893" s="34">
        <v>892</v>
      </c>
      <c r="B893" s="34" t="s">
        <v>1173</v>
      </c>
      <c r="C893" s="29" t="str">
        <f>VLOOKUP(B893,教育部大学名单!$B$1:$D$2920,3,FALSE)</f>
        <v>甘肃省</v>
      </c>
      <c r="D893" s="34" t="s">
        <v>1156</v>
      </c>
      <c r="E893" s="34" t="s">
        <v>1174</v>
      </c>
      <c r="F893" s="36" t="str">
        <f>IFERROR(VLOOKUP(B893,'985'!$B$2:$D$40,3,FALSE),"")</f>
        <v/>
      </c>
      <c r="G893" s="32" t="str">
        <f>IFERROR(VLOOKUP(B893,'211'!$B$2:$D$116,3,FALSE),"")</f>
        <v/>
      </c>
      <c r="H893" s="32" t="str">
        <f>IFERROR(VLOOKUP(B893,双一流!$B$2:$D$148,3,FALSE),"")</f>
        <v/>
      </c>
      <c r="I893" s="32">
        <f>IFERROR(VLOOKUP(B893,汇总!$B$2:$I$2921,8,FALSE),"")</f>
        <v>0</v>
      </c>
      <c r="J893" s="34" t="s">
        <v>11</v>
      </c>
      <c r="K893" s="35" t="s">
        <v>12</v>
      </c>
    </row>
    <row r="894" ht="33.75" spans="1:11">
      <c r="A894" s="29">
        <v>893</v>
      </c>
      <c r="B894" s="29" t="s">
        <v>1175</v>
      </c>
      <c r="C894" s="29" t="str">
        <f>VLOOKUP(B894,教育部大学名单!$B$1:$D$2920,3,FALSE)</f>
        <v>甘肃省</v>
      </c>
      <c r="D894" s="29" t="s">
        <v>1156</v>
      </c>
      <c r="E894" s="29" t="s">
        <v>1157</v>
      </c>
      <c r="F894" s="36" t="str">
        <f>IFERROR(VLOOKUP(B894,'985'!$B$2:$D$40,3,FALSE),"")</f>
        <v/>
      </c>
      <c r="G894" s="32" t="str">
        <f>IFERROR(VLOOKUP(B894,'211'!$B$2:$D$116,3,FALSE),"")</f>
        <v/>
      </c>
      <c r="H894" s="32" t="str">
        <f>IFERROR(VLOOKUP(B894,双一流!$B$2:$D$148,3,FALSE),"")</f>
        <v/>
      </c>
      <c r="I894" s="32">
        <f>IFERROR(VLOOKUP(B894,汇总!$B$2:$I$2921,8,FALSE),"")</f>
        <v>0</v>
      </c>
      <c r="J894" s="29" t="s">
        <v>11</v>
      </c>
      <c r="K894" s="33" t="s">
        <v>12</v>
      </c>
    </row>
    <row r="895" ht="17.25" spans="1:11">
      <c r="A895" s="34">
        <v>894</v>
      </c>
      <c r="B895" s="34" t="s">
        <v>1176</v>
      </c>
      <c r="C895" s="29" t="str">
        <f>VLOOKUP(B895,教育部大学名单!$B$1:$D$2920,3,FALSE)</f>
        <v>甘肃省</v>
      </c>
      <c r="D895" s="34" t="s">
        <v>1156</v>
      </c>
      <c r="E895" s="34" t="s">
        <v>1177</v>
      </c>
      <c r="F895" s="36" t="str">
        <f>IFERROR(VLOOKUP(B895,'985'!$B$2:$D$40,3,FALSE),"")</f>
        <v/>
      </c>
      <c r="G895" s="32" t="str">
        <f>IFERROR(VLOOKUP(B895,'211'!$B$2:$D$116,3,FALSE),"")</f>
        <v/>
      </c>
      <c r="H895" s="32" t="str">
        <f>IFERROR(VLOOKUP(B895,双一流!$B$2:$D$148,3,FALSE),"")</f>
        <v/>
      </c>
      <c r="I895" s="32">
        <f>IFERROR(VLOOKUP(B895,汇总!$B$2:$I$2921,8,FALSE),"")</f>
        <v>0</v>
      </c>
      <c r="J895" s="34" t="s">
        <v>11</v>
      </c>
      <c r="K895" s="35" t="s">
        <v>12</v>
      </c>
    </row>
    <row r="896" ht="33.75" spans="1:11">
      <c r="A896" s="29">
        <v>895</v>
      </c>
      <c r="B896" s="29" t="s">
        <v>1178</v>
      </c>
      <c r="C896" s="29" t="str">
        <f>VLOOKUP(B896,教育部大学名单!$B$1:$D$2920,3,FALSE)</f>
        <v>甘肃省</v>
      </c>
      <c r="D896" s="29" t="s">
        <v>1156</v>
      </c>
      <c r="E896" s="29" t="s">
        <v>1157</v>
      </c>
      <c r="F896" s="36" t="str">
        <f>IFERROR(VLOOKUP(B896,'985'!$B$2:$D$40,3,FALSE),"")</f>
        <v/>
      </c>
      <c r="G896" s="32" t="str">
        <f>IFERROR(VLOOKUP(B896,'211'!$B$2:$D$116,3,FALSE),"")</f>
        <v/>
      </c>
      <c r="H896" s="32" t="str">
        <f>IFERROR(VLOOKUP(B896,双一流!$B$2:$D$148,3,FALSE),"")</f>
        <v/>
      </c>
      <c r="I896" s="32">
        <f>IFERROR(VLOOKUP(B896,汇总!$B$2:$I$2921,8,FALSE),"")</f>
        <v>0</v>
      </c>
      <c r="J896" s="29" t="s">
        <v>11</v>
      </c>
      <c r="K896" s="33" t="s">
        <v>12</v>
      </c>
    </row>
    <row r="897" ht="33.75" spans="1:11">
      <c r="A897" s="34">
        <v>896</v>
      </c>
      <c r="B897" s="34" t="s">
        <v>1179</v>
      </c>
      <c r="C897" s="29" t="str">
        <f>VLOOKUP(B897,教育部大学名单!$B$1:$D$2920,3,FALSE)</f>
        <v>甘肃省</v>
      </c>
      <c r="D897" s="34" t="s">
        <v>1156</v>
      </c>
      <c r="E897" s="34" t="s">
        <v>1157</v>
      </c>
      <c r="F897" s="36" t="str">
        <f>IFERROR(VLOOKUP(B897,'985'!$B$2:$D$40,3,FALSE),"")</f>
        <v/>
      </c>
      <c r="G897" s="32" t="str">
        <f>IFERROR(VLOOKUP(B897,'211'!$B$2:$D$116,3,FALSE),"")</f>
        <v/>
      </c>
      <c r="H897" s="32" t="str">
        <f>IFERROR(VLOOKUP(B897,双一流!$B$2:$D$148,3,FALSE),"")</f>
        <v/>
      </c>
      <c r="I897" s="32">
        <f>IFERROR(VLOOKUP(B897,汇总!$B$2:$I$2921,8,FALSE),"")</f>
        <v>0</v>
      </c>
      <c r="J897" s="34" t="s">
        <v>11</v>
      </c>
      <c r="K897" s="35" t="s">
        <v>12</v>
      </c>
    </row>
    <row r="898" ht="50.25" spans="1:11">
      <c r="A898" s="29">
        <v>897</v>
      </c>
      <c r="B898" s="29" t="s">
        <v>1180</v>
      </c>
      <c r="C898" s="29" t="str">
        <f>VLOOKUP(B898,教育部大学名单!$B$1:$D$2920,3,FALSE)</f>
        <v>甘肃省</v>
      </c>
      <c r="D898" s="29" t="s">
        <v>1156</v>
      </c>
      <c r="E898" s="29" t="s">
        <v>1157</v>
      </c>
      <c r="F898" s="36" t="str">
        <f>IFERROR(VLOOKUP(B898,'985'!$B$2:$D$40,3,FALSE),"")</f>
        <v/>
      </c>
      <c r="G898" s="32" t="str">
        <f>IFERROR(VLOOKUP(B898,'211'!$B$2:$D$116,3,FALSE),"")</f>
        <v/>
      </c>
      <c r="H898" s="32" t="str">
        <f>IFERROR(VLOOKUP(B898,双一流!$B$2:$D$148,3,FALSE),"")</f>
        <v/>
      </c>
      <c r="I898" s="32">
        <f>IFERROR(VLOOKUP(B898,汇总!$B$2:$I$2921,8,FALSE),"")</f>
        <v>0</v>
      </c>
      <c r="J898" s="29" t="s">
        <v>11</v>
      </c>
      <c r="K898" s="33" t="s">
        <v>12</v>
      </c>
    </row>
    <row r="899" ht="33.75" spans="1:11">
      <c r="A899" s="34">
        <v>898</v>
      </c>
      <c r="B899" s="34" t="s">
        <v>1181</v>
      </c>
      <c r="C899" s="29" t="str">
        <f>VLOOKUP(B899,教育部大学名单!$B$1:$D$2920,3,FALSE)</f>
        <v>甘肃省</v>
      </c>
      <c r="D899" s="34" t="s">
        <v>1156</v>
      </c>
      <c r="E899" s="34" t="s">
        <v>1182</v>
      </c>
      <c r="F899" s="36" t="str">
        <f>IFERROR(VLOOKUP(B899,'985'!$B$2:$D$40,3,FALSE),"")</f>
        <v/>
      </c>
      <c r="G899" s="32" t="str">
        <f>IFERROR(VLOOKUP(B899,'211'!$B$2:$D$116,3,FALSE),"")</f>
        <v/>
      </c>
      <c r="H899" s="32" t="str">
        <f>IFERROR(VLOOKUP(B899,双一流!$B$2:$D$148,3,FALSE),"")</f>
        <v/>
      </c>
      <c r="I899" s="32">
        <f>IFERROR(VLOOKUP(B899,汇总!$B$2:$I$2921,8,FALSE),"")</f>
        <v>0</v>
      </c>
      <c r="J899" s="34" t="s">
        <v>11</v>
      </c>
      <c r="K899" s="35" t="s">
        <v>12</v>
      </c>
    </row>
    <row r="900" ht="33.75" spans="1:11">
      <c r="A900" s="29">
        <v>899</v>
      </c>
      <c r="B900" s="29" t="s">
        <v>1183</v>
      </c>
      <c r="C900" s="29" t="str">
        <f>VLOOKUP(B900,教育部大学名单!$B$1:$D$2920,3,FALSE)</f>
        <v>甘肃省</v>
      </c>
      <c r="D900" s="29" t="s">
        <v>1156</v>
      </c>
      <c r="E900" s="29" t="s">
        <v>1184</v>
      </c>
      <c r="F900" s="36" t="str">
        <f>IFERROR(VLOOKUP(B900,'985'!$B$2:$D$40,3,FALSE),"")</f>
        <v/>
      </c>
      <c r="G900" s="32" t="str">
        <f>IFERROR(VLOOKUP(B900,'211'!$B$2:$D$116,3,FALSE),"")</f>
        <v/>
      </c>
      <c r="H900" s="32" t="str">
        <f>IFERROR(VLOOKUP(B900,双一流!$B$2:$D$148,3,FALSE),"")</f>
        <v/>
      </c>
      <c r="I900" s="32" t="str">
        <f>IFERROR(VLOOKUP(B900,汇总!$B$2:$I$2921,8,FALSE),"")</f>
        <v/>
      </c>
      <c r="J900" s="29" t="s">
        <v>11</v>
      </c>
      <c r="K900" s="33" t="s">
        <v>12</v>
      </c>
    </row>
    <row r="901" ht="33.75" spans="1:11">
      <c r="A901" s="34">
        <v>900</v>
      </c>
      <c r="B901" s="34" t="s">
        <v>1185</v>
      </c>
      <c r="C901" s="29" t="str">
        <f>VLOOKUP(B901,教育部大学名单!$B$1:$D$2920,3,FALSE)</f>
        <v>甘肃省</v>
      </c>
      <c r="D901" s="34" t="s">
        <v>1156</v>
      </c>
      <c r="E901" s="34" t="s">
        <v>1157</v>
      </c>
      <c r="F901" s="36" t="str">
        <f>IFERROR(VLOOKUP(B901,'985'!$B$2:$D$40,3,FALSE),"")</f>
        <v/>
      </c>
      <c r="G901" s="32" t="str">
        <f>IFERROR(VLOOKUP(B901,'211'!$B$2:$D$116,3,FALSE),"")</f>
        <v/>
      </c>
      <c r="H901" s="32" t="str">
        <f>IFERROR(VLOOKUP(B901,双一流!$B$2:$D$148,3,FALSE),"")</f>
        <v/>
      </c>
      <c r="I901" s="32">
        <f>IFERROR(VLOOKUP(B901,汇总!$B$2:$I$2921,8,FALSE),"")</f>
        <v>0</v>
      </c>
      <c r="J901" s="34" t="s">
        <v>11</v>
      </c>
      <c r="K901" s="35" t="s">
        <v>12</v>
      </c>
    </row>
    <row r="902" ht="33.75" spans="1:11">
      <c r="A902" s="29">
        <v>901</v>
      </c>
      <c r="B902" s="29" t="s">
        <v>1186</v>
      </c>
      <c r="C902" s="29" t="str">
        <f>VLOOKUP(B902,教育部大学名单!$B$1:$D$2920,3,FALSE)</f>
        <v>甘肃省</v>
      </c>
      <c r="D902" s="29" t="s">
        <v>1156</v>
      </c>
      <c r="E902" s="29" t="s">
        <v>1167</v>
      </c>
      <c r="F902" s="36" t="str">
        <f>IFERROR(VLOOKUP(B902,'985'!$B$2:$D$40,3,FALSE),"")</f>
        <v/>
      </c>
      <c r="G902" s="32" t="str">
        <f>IFERROR(VLOOKUP(B902,'211'!$B$2:$D$116,3,FALSE),"")</f>
        <v/>
      </c>
      <c r="H902" s="32" t="str">
        <f>IFERROR(VLOOKUP(B902,双一流!$B$2:$D$148,3,FALSE),"")</f>
        <v/>
      </c>
      <c r="I902" s="32">
        <f>IFERROR(VLOOKUP(B902,汇总!$B$2:$I$2921,8,FALSE),"")</f>
        <v>0</v>
      </c>
      <c r="J902" s="29" t="s">
        <v>11</v>
      </c>
      <c r="K902" s="33" t="s">
        <v>12</v>
      </c>
    </row>
    <row r="903" ht="33.75" spans="1:11">
      <c r="A903" s="34">
        <v>902</v>
      </c>
      <c r="B903" s="34" t="s">
        <v>1187</v>
      </c>
      <c r="C903" s="29" t="str">
        <f>VLOOKUP(B903,教育部大学名单!$B$1:$D$2920,3,FALSE)</f>
        <v>甘肃省</v>
      </c>
      <c r="D903" s="34" t="s">
        <v>1156</v>
      </c>
      <c r="E903" s="34" t="s">
        <v>1167</v>
      </c>
      <c r="F903" s="36" t="str">
        <f>IFERROR(VLOOKUP(B903,'985'!$B$2:$D$40,3,FALSE),"")</f>
        <v/>
      </c>
      <c r="G903" s="32" t="str">
        <f>IFERROR(VLOOKUP(B903,'211'!$B$2:$D$116,3,FALSE),"")</f>
        <v/>
      </c>
      <c r="H903" s="32" t="str">
        <f>IFERROR(VLOOKUP(B903,双一流!$B$2:$D$148,3,FALSE),"")</f>
        <v/>
      </c>
      <c r="I903" s="32" t="str">
        <f>IFERROR(VLOOKUP(B903,汇总!$B$2:$I$2921,8,FALSE),"")</f>
        <v/>
      </c>
      <c r="J903" s="34" t="s">
        <v>11</v>
      </c>
      <c r="K903" s="35" t="s">
        <v>12</v>
      </c>
    </row>
    <row r="904" ht="33.75" spans="1:11">
      <c r="A904" s="29">
        <v>903</v>
      </c>
      <c r="B904" s="29" t="s">
        <v>1188</v>
      </c>
      <c r="C904" s="29" t="str">
        <f>VLOOKUP(B904,教育部大学名单!$B$1:$D$2920,3,FALSE)</f>
        <v>甘肃省</v>
      </c>
      <c r="D904" s="29" t="s">
        <v>1156</v>
      </c>
      <c r="E904" s="29" t="s">
        <v>1189</v>
      </c>
      <c r="F904" s="36" t="str">
        <f>IFERROR(VLOOKUP(B904,'985'!$B$2:$D$40,3,FALSE),"")</f>
        <v/>
      </c>
      <c r="G904" s="32" t="str">
        <f>IFERROR(VLOOKUP(B904,'211'!$B$2:$D$116,3,FALSE),"")</f>
        <v/>
      </c>
      <c r="H904" s="32" t="str">
        <f>IFERROR(VLOOKUP(B904,双一流!$B$2:$D$148,3,FALSE),"")</f>
        <v/>
      </c>
      <c r="I904" s="32" t="str">
        <f>IFERROR(VLOOKUP(B904,汇总!$B$2:$I$2921,8,FALSE),"")</f>
        <v/>
      </c>
      <c r="J904" s="29" t="s">
        <v>11</v>
      </c>
      <c r="K904" s="33" t="s">
        <v>12</v>
      </c>
    </row>
    <row r="905" ht="17.25" spans="1:11">
      <c r="A905" s="34">
        <v>904</v>
      </c>
      <c r="B905" s="34" t="s">
        <v>1190</v>
      </c>
      <c r="C905" s="29" t="str">
        <f>VLOOKUP(B905,教育部大学名单!$B$1:$D$2920,3,FALSE)</f>
        <v>青海省</v>
      </c>
      <c r="D905" s="34" t="s">
        <v>1191</v>
      </c>
      <c r="E905" s="34" t="s">
        <v>1192</v>
      </c>
      <c r="F905" s="36" t="str">
        <f>IFERROR(VLOOKUP(B905,'985'!$B$2:$D$40,3,FALSE),"")</f>
        <v/>
      </c>
      <c r="G905" s="31">
        <f>IFERROR(VLOOKUP(B905,'211'!$B$2:$D$116,3,FALSE),"")</f>
        <v>211</v>
      </c>
      <c r="H905" s="32" t="str">
        <f>IFERROR(VLOOKUP(B905,双一流!$B$2:$D$148,3,FALSE),"")</f>
        <v>双一流</v>
      </c>
      <c r="I905" s="32" t="str">
        <f>IFERROR(VLOOKUP(B905,汇总!$B$2:$I$2921,8,FALSE),"")</f>
        <v>综合</v>
      </c>
      <c r="J905" s="34" t="s">
        <v>11</v>
      </c>
      <c r="K905" s="35" t="s">
        <v>12</v>
      </c>
    </row>
    <row r="906" ht="33.75" spans="1:11">
      <c r="A906" s="29">
        <v>905</v>
      </c>
      <c r="B906" s="29" t="s">
        <v>1193</v>
      </c>
      <c r="C906" s="29" t="str">
        <f>VLOOKUP(B906,教育部大学名单!$B$1:$D$2920,3,FALSE)</f>
        <v>青海省</v>
      </c>
      <c r="D906" s="29" t="s">
        <v>1191</v>
      </c>
      <c r="E906" s="29" t="s">
        <v>1192</v>
      </c>
      <c r="F906" s="36" t="str">
        <f>IFERROR(VLOOKUP(B906,'985'!$B$2:$D$40,3,FALSE),"")</f>
        <v/>
      </c>
      <c r="G906" s="32" t="str">
        <f>IFERROR(VLOOKUP(B906,'211'!$B$2:$D$116,3,FALSE),"")</f>
        <v/>
      </c>
      <c r="H906" s="32" t="str">
        <f>IFERROR(VLOOKUP(B906,双一流!$B$2:$D$148,3,FALSE),"")</f>
        <v/>
      </c>
      <c r="I906" s="32" t="str">
        <f>IFERROR(VLOOKUP(B906,汇总!$B$2:$I$2921,8,FALSE),"")</f>
        <v>师范</v>
      </c>
      <c r="J906" s="29" t="s">
        <v>11</v>
      </c>
      <c r="K906" s="33" t="s">
        <v>12</v>
      </c>
    </row>
    <row r="907" ht="33.75" spans="1:11">
      <c r="A907" s="34">
        <v>906</v>
      </c>
      <c r="B907" s="34" t="s">
        <v>1194</v>
      </c>
      <c r="C907" s="29" t="str">
        <f>VLOOKUP(B907,教育部大学名单!$B$1:$D$2920,3,FALSE)</f>
        <v>青海省</v>
      </c>
      <c r="D907" s="34" t="s">
        <v>1191</v>
      </c>
      <c r="E907" s="34" t="s">
        <v>1192</v>
      </c>
      <c r="F907" s="36" t="str">
        <f>IFERROR(VLOOKUP(B907,'985'!$B$2:$D$40,3,FALSE),"")</f>
        <v/>
      </c>
      <c r="G907" s="32" t="str">
        <f>IFERROR(VLOOKUP(B907,'211'!$B$2:$D$116,3,FALSE),"")</f>
        <v/>
      </c>
      <c r="H907" s="32" t="str">
        <f>IFERROR(VLOOKUP(B907,双一流!$B$2:$D$148,3,FALSE),"")</f>
        <v/>
      </c>
      <c r="I907" s="32">
        <f>IFERROR(VLOOKUP(B907,汇总!$B$2:$I$2921,8,FALSE),"")</f>
        <v>0</v>
      </c>
      <c r="J907" s="34" t="s">
        <v>11</v>
      </c>
      <c r="K907" s="35" t="s">
        <v>12</v>
      </c>
    </row>
    <row r="908" ht="33.75" spans="1:11">
      <c r="A908" s="29">
        <v>907</v>
      </c>
      <c r="B908" s="29" t="s">
        <v>1195</v>
      </c>
      <c r="C908" s="29" t="str">
        <f>VLOOKUP(B908,教育部大学名单!$B$1:$D$2920,3,FALSE)</f>
        <v>青海省</v>
      </c>
      <c r="D908" s="29" t="s">
        <v>1191</v>
      </c>
      <c r="E908" s="29" t="s">
        <v>1192</v>
      </c>
      <c r="F908" s="36" t="str">
        <f>IFERROR(VLOOKUP(B908,'985'!$B$2:$D$40,3,FALSE),"")</f>
        <v/>
      </c>
      <c r="G908" s="32" t="str">
        <f>IFERROR(VLOOKUP(B908,'211'!$B$2:$D$116,3,FALSE),"")</f>
        <v/>
      </c>
      <c r="H908" s="32" t="str">
        <f>IFERROR(VLOOKUP(B908,双一流!$B$2:$D$148,3,FALSE),"")</f>
        <v/>
      </c>
      <c r="I908" s="32">
        <f>IFERROR(VLOOKUP(B908,汇总!$B$2:$I$2921,8,FALSE),"")</f>
        <v>0</v>
      </c>
      <c r="J908" s="29" t="s">
        <v>11</v>
      </c>
      <c r="K908" s="33" t="s">
        <v>12</v>
      </c>
    </row>
    <row r="909" ht="33.75" spans="1:11">
      <c r="A909" s="34">
        <v>908</v>
      </c>
      <c r="B909" s="34" t="s">
        <v>1196</v>
      </c>
      <c r="C909" s="29" t="str">
        <f>VLOOKUP(B909,教育部大学名单!$B$1:$D$2920,3,FALSE)</f>
        <v>宁夏回族自治区</v>
      </c>
      <c r="D909" s="34" t="s">
        <v>1197</v>
      </c>
      <c r="E909" s="34" t="s">
        <v>1198</v>
      </c>
      <c r="F909" s="36" t="str">
        <f>IFERROR(VLOOKUP(B909,'985'!$B$2:$D$40,3,FALSE),"")</f>
        <v/>
      </c>
      <c r="G909" s="31">
        <f>IFERROR(VLOOKUP(B909,'211'!$B$2:$D$116,3,FALSE),"")</f>
        <v>211</v>
      </c>
      <c r="H909" s="32" t="str">
        <f>IFERROR(VLOOKUP(B909,双一流!$B$2:$D$148,3,FALSE),"")</f>
        <v>双一流</v>
      </c>
      <c r="I909" s="32" t="str">
        <f>IFERROR(VLOOKUP(B909,汇总!$B$2:$I$2921,8,FALSE),"")</f>
        <v>综合</v>
      </c>
      <c r="J909" s="34" t="s">
        <v>11</v>
      </c>
      <c r="K909" s="35" t="s">
        <v>12</v>
      </c>
    </row>
    <row r="910" ht="33.75" spans="1:11">
      <c r="A910" s="29">
        <v>909</v>
      </c>
      <c r="B910" s="29" t="s">
        <v>1199</v>
      </c>
      <c r="C910" s="29" t="str">
        <f>VLOOKUP(B910,教育部大学名单!$B$1:$D$2920,3,FALSE)</f>
        <v>宁夏回族自治区</v>
      </c>
      <c r="D910" s="29" t="s">
        <v>1197</v>
      </c>
      <c r="E910" s="29" t="s">
        <v>1198</v>
      </c>
      <c r="F910" s="36" t="str">
        <f>IFERROR(VLOOKUP(B910,'985'!$B$2:$D$40,3,FALSE),"")</f>
        <v/>
      </c>
      <c r="G910" s="32" t="str">
        <f>IFERROR(VLOOKUP(B910,'211'!$B$2:$D$116,3,FALSE),"")</f>
        <v/>
      </c>
      <c r="H910" s="32" t="str">
        <f>IFERROR(VLOOKUP(B910,双一流!$B$2:$D$148,3,FALSE),"")</f>
        <v/>
      </c>
      <c r="I910" s="32" t="str">
        <f>IFERROR(VLOOKUP(B910,汇总!$B$2:$I$2921,8,FALSE),"")</f>
        <v>医药</v>
      </c>
      <c r="J910" s="29" t="s">
        <v>11</v>
      </c>
      <c r="K910" s="33" t="s">
        <v>12</v>
      </c>
    </row>
    <row r="911" ht="33.75" spans="1:11">
      <c r="A911" s="34">
        <v>910</v>
      </c>
      <c r="B911" s="34" t="s">
        <v>1200</v>
      </c>
      <c r="C911" s="29" t="str">
        <f>VLOOKUP(B911,教育部大学名单!$B$1:$D$2920,3,FALSE)</f>
        <v>宁夏回族自治区</v>
      </c>
      <c r="D911" s="34" t="s">
        <v>1197</v>
      </c>
      <c r="E911" s="34" t="s">
        <v>1201</v>
      </c>
      <c r="F911" s="36" t="str">
        <f>IFERROR(VLOOKUP(B911,'985'!$B$2:$D$40,3,FALSE),"")</f>
        <v/>
      </c>
      <c r="G911" s="32" t="str">
        <f>IFERROR(VLOOKUP(B911,'211'!$B$2:$D$116,3,FALSE),"")</f>
        <v/>
      </c>
      <c r="H911" s="32" t="str">
        <f>IFERROR(VLOOKUP(B911,双一流!$B$2:$D$148,3,FALSE),"")</f>
        <v/>
      </c>
      <c r="I911" s="32">
        <f>IFERROR(VLOOKUP(B911,汇总!$B$2:$I$2921,8,FALSE),"")</f>
        <v>0</v>
      </c>
      <c r="J911" s="34" t="s">
        <v>11</v>
      </c>
      <c r="K911" s="35" t="s">
        <v>12</v>
      </c>
    </row>
    <row r="912" ht="33.75" spans="1:11">
      <c r="A912" s="29">
        <v>911</v>
      </c>
      <c r="B912" s="29" t="s">
        <v>1202</v>
      </c>
      <c r="C912" s="29" t="str">
        <f>VLOOKUP(B912,教育部大学名单!$B$1:$D$2920,3,FALSE)</f>
        <v>国家民委</v>
      </c>
      <c r="D912" s="29" t="s">
        <v>1197</v>
      </c>
      <c r="E912" s="29" t="s">
        <v>1198</v>
      </c>
      <c r="F912" s="36" t="str">
        <f>IFERROR(VLOOKUP(B912,'985'!$B$2:$D$40,3,FALSE),"")</f>
        <v/>
      </c>
      <c r="G912" s="32" t="str">
        <f>IFERROR(VLOOKUP(B912,'211'!$B$2:$D$116,3,FALSE),"")</f>
        <v/>
      </c>
      <c r="H912" s="32" t="str">
        <f>IFERROR(VLOOKUP(B912,双一流!$B$2:$D$148,3,FALSE),"")</f>
        <v/>
      </c>
      <c r="I912" s="32">
        <f>IFERROR(VLOOKUP(B912,汇总!$B$2:$I$2921,8,FALSE),"")</f>
        <v>0</v>
      </c>
      <c r="J912" s="29" t="s">
        <v>11</v>
      </c>
      <c r="K912" s="33" t="s">
        <v>12</v>
      </c>
    </row>
    <row r="913" ht="33.75" spans="1:11">
      <c r="A913" s="34">
        <v>912</v>
      </c>
      <c r="B913" s="34" t="s">
        <v>1203</v>
      </c>
      <c r="C913" s="29" t="str">
        <f>VLOOKUP(B913,教育部大学名单!$B$1:$D$2920,3,FALSE)</f>
        <v>宁夏回族自治区</v>
      </c>
      <c r="D913" s="34" t="s">
        <v>1197</v>
      </c>
      <c r="E913" s="34" t="s">
        <v>1198</v>
      </c>
      <c r="F913" s="36" t="str">
        <f>IFERROR(VLOOKUP(B913,'985'!$B$2:$D$40,3,FALSE),"")</f>
        <v/>
      </c>
      <c r="G913" s="32" t="str">
        <f>IFERROR(VLOOKUP(B913,'211'!$B$2:$D$116,3,FALSE),"")</f>
        <v/>
      </c>
      <c r="H913" s="32" t="str">
        <f>IFERROR(VLOOKUP(B913,双一流!$B$2:$D$148,3,FALSE),"")</f>
        <v/>
      </c>
      <c r="I913" s="32" t="str">
        <f>IFERROR(VLOOKUP(B913,汇总!$B$2:$I$2921,8,FALSE),"")</f>
        <v/>
      </c>
      <c r="J913" s="34" t="s">
        <v>11</v>
      </c>
      <c r="K913" s="35" t="s">
        <v>12</v>
      </c>
    </row>
    <row r="914" ht="33.75" spans="1:11">
      <c r="A914" s="29">
        <v>913</v>
      </c>
      <c r="B914" s="29" t="s">
        <v>1204</v>
      </c>
      <c r="C914" s="29" t="str">
        <f>VLOOKUP(B914,教育部大学名单!$B$1:$D$2920,3,FALSE)</f>
        <v>宁夏回族自治区</v>
      </c>
      <c r="D914" s="29" t="s">
        <v>1197</v>
      </c>
      <c r="E914" s="29" t="s">
        <v>1198</v>
      </c>
      <c r="F914" s="36" t="str">
        <f>IFERROR(VLOOKUP(B914,'985'!$B$2:$D$40,3,FALSE),"")</f>
        <v/>
      </c>
      <c r="G914" s="32" t="str">
        <f>IFERROR(VLOOKUP(B914,'211'!$B$2:$D$116,3,FALSE),"")</f>
        <v/>
      </c>
      <c r="H914" s="32" t="str">
        <f>IFERROR(VLOOKUP(B914,双一流!$B$2:$D$148,3,FALSE),"")</f>
        <v/>
      </c>
      <c r="I914" s="32" t="str">
        <f>IFERROR(VLOOKUP(B914,汇总!$B$2:$I$2921,8,FALSE),"")</f>
        <v/>
      </c>
      <c r="J914" s="29" t="s">
        <v>11</v>
      </c>
      <c r="K914" s="33" t="s">
        <v>12</v>
      </c>
    </row>
    <row r="915" ht="33.75" spans="1:11">
      <c r="A915" s="34">
        <v>914</v>
      </c>
      <c r="B915" s="34" t="s">
        <v>1205</v>
      </c>
      <c r="C915" s="29" t="str">
        <f>VLOOKUP(B915,教育部大学名单!$B$1:$D$2920,3,FALSE)</f>
        <v>新疆维吾尔自治区</v>
      </c>
      <c r="D915" s="34" t="s">
        <v>1206</v>
      </c>
      <c r="E915" s="34" t="s">
        <v>1207</v>
      </c>
      <c r="F915" s="36" t="str">
        <f>IFERROR(VLOOKUP(B915,'985'!$B$2:$D$40,3,FALSE),"")</f>
        <v/>
      </c>
      <c r="G915" s="31">
        <f>IFERROR(VLOOKUP(B915,'211'!$B$2:$D$116,3,FALSE),"")</f>
        <v>211</v>
      </c>
      <c r="H915" s="32" t="str">
        <f>IFERROR(VLOOKUP(B915,双一流!$B$2:$D$148,3,FALSE),"")</f>
        <v>双一流</v>
      </c>
      <c r="I915" s="32" t="str">
        <f>IFERROR(VLOOKUP(B915,汇总!$B$2:$I$2921,8,FALSE),"")</f>
        <v>综合</v>
      </c>
      <c r="J915" s="34" t="s">
        <v>11</v>
      </c>
      <c r="K915" s="35" t="s">
        <v>12</v>
      </c>
    </row>
    <row r="916" ht="33.75" spans="1:11">
      <c r="A916" s="29">
        <v>915</v>
      </c>
      <c r="B916" s="29" t="s">
        <v>1208</v>
      </c>
      <c r="C916" s="29" t="str">
        <f>VLOOKUP(B916,教育部大学名单!$B$1:$D$2920,3,FALSE)</f>
        <v>新疆生产建设兵团</v>
      </c>
      <c r="D916" s="29" t="s">
        <v>1206</v>
      </c>
      <c r="E916" s="29" t="s">
        <v>1209</v>
      </c>
      <c r="F916" s="36" t="str">
        <f>IFERROR(VLOOKUP(B916,'985'!$B$2:$D$40,3,FALSE),"")</f>
        <v/>
      </c>
      <c r="G916" s="32" t="str">
        <f>IFERROR(VLOOKUP(B916,'211'!$B$2:$D$116,3,FALSE),"")</f>
        <v/>
      </c>
      <c r="H916" s="32" t="str">
        <f>IFERROR(VLOOKUP(B916,双一流!$B$2:$D$148,3,FALSE),"")</f>
        <v/>
      </c>
      <c r="I916" s="32">
        <f>IFERROR(VLOOKUP(B916,汇总!$B$2:$I$2921,8,FALSE),"")</f>
        <v>0</v>
      </c>
      <c r="J916" s="29" t="s">
        <v>11</v>
      </c>
      <c r="K916" s="33" t="s">
        <v>12</v>
      </c>
    </row>
    <row r="917" ht="33.75" spans="1:11">
      <c r="A917" s="34">
        <v>916</v>
      </c>
      <c r="B917" s="34" t="s">
        <v>1210</v>
      </c>
      <c r="C917" s="29" t="str">
        <f>VLOOKUP(B917,教育部大学名单!$B$1:$D$2920,3,FALSE)</f>
        <v>新疆维吾尔自治区</v>
      </c>
      <c r="D917" s="34" t="s">
        <v>1206</v>
      </c>
      <c r="E917" s="34" t="s">
        <v>1207</v>
      </c>
      <c r="F917" s="36" t="str">
        <f>IFERROR(VLOOKUP(B917,'985'!$B$2:$D$40,3,FALSE),"")</f>
        <v/>
      </c>
      <c r="G917" s="32" t="str">
        <f>IFERROR(VLOOKUP(B917,'211'!$B$2:$D$116,3,FALSE),"")</f>
        <v/>
      </c>
      <c r="H917" s="32" t="str">
        <f>IFERROR(VLOOKUP(B917,双一流!$B$2:$D$148,3,FALSE),"")</f>
        <v/>
      </c>
      <c r="I917" s="32" t="str">
        <f>IFERROR(VLOOKUP(B917,汇总!$B$2:$I$2921,8,FALSE),"")</f>
        <v>农林</v>
      </c>
      <c r="J917" s="34" t="s">
        <v>11</v>
      </c>
      <c r="K917" s="35" t="s">
        <v>12</v>
      </c>
    </row>
    <row r="918" ht="33.75" spans="1:11">
      <c r="A918" s="29">
        <v>917</v>
      </c>
      <c r="B918" s="29" t="s">
        <v>1211</v>
      </c>
      <c r="C918" s="29" t="str">
        <f>VLOOKUP(B918,教育部大学名单!$B$1:$D$2920,3,FALSE)</f>
        <v>新疆生产建设兵团</v>
      </c>
      <c r="D918" s="29" t="s">
        <v>1206</v>
      </c>
      <c r="E918" s="29" t="s">
        <v>1212</v>
      </c>
      <c r="F918" s="36" t="str">
        <f>IFERROR(VLOOKUP(B918,'985'!$B$2:$D$40,3,FALSE),"")</f>
        <v/>
      </c>
      <c r="G918" s="31">
        <f>IFERROR(VLOOKUP(B918,'211'!$B$2:$D$116,3,FALSE),"")</f>
        <v>211</v>
      </c>
      <c r="H918" s="32" t="str">
        <f>IFERROR(VLOOKUP(B918,双一流!$B$2:$D$148,3,FALSE),"")</f>
        <v>双一流</v>
      </c>
      <c r="I918" s="32" t="str">
        <f>IFERROR(VLOOKUP(B918,汇总!$B$2:$I$2921,8,FALSE),"")</f>
        <v>综合</v>
      </c>
      <c r="J918" s="29" t="s">
        <v>11</v>
      </c>
      <c r="K918" s="33" t="s">
        <v>12</v>
      </c>
    </row>
    <row r="919" ht="33.75" spans="1:11">
      <c r="A919" s="34">
        <v>918</v>
      </c>
      <c r="B919" s="34" t="s">
        <v>1213</v>
      </c>
      <c r="C919" s="29" t="str">
        <f>VLOOKUP(B919,教育部大学名单!$B$1:$D$2920,3,FALSE)</f>
        <v>新疆维吾尔自治区</v>
      </c>
      <c r="D919" s="34" t="s">
        <v>1206</v>
      </c>
      <c r="E919" s="34" t="s">
        <v>1207</v>
      </c>
      <c r="F919" s="36" t="str">
        <f>IFERROR(VLOOKUP(B919,'985'!$B$2:$D$40,3,FALSE),"")</f>
        <v/>
      </c>
      <c r="G919" s="32" t="str">
        <f>IFERROR(VLOOKUP(B919,'211'!$B$2:$D$116,3,FALSE),"")</f>
        <v/>
      </c>
      <c r="H919" s="32" t="str">
        <f>IFERROR(VLOOKUP(B919,双一流!$B$2:$D$148,3,FALSE),"")</f>
        <v/>
      </c>
      <c r="I919" s="32" t="str">
        <f>IFERROR(VLOOKUP(B919,汇总!$B$2:$I$2921,8,FALSE),"")</f>
        <v>医药</v>
      </c>
      <c r="J919" s="34" t="s">
        <v>11</v>
      </c>
      <c r="K919" s="35" t="s">
        <v>12</v>
      </c>
    </row>
    <row r="920" ht="33.75" spans="1:11">
      <c r="A920" s="29">
        <v>919</v>
      </c>
      <c r="B920" s="29" t="s">
        <v>1214</v>
      </c>
      <c r="C920" s="29" t="str">
        <f>VLOOKUP(B920,教育部大学名单!$B$1:$D$2920,3,FALSE)</f>
        <v>新疆维吾尔自治区</v>
      </c>
      <c r="D920" s="29" t="s">
        <v>1206</v>
      </c>
      <c r="E920" s="29" t="s">
        <v>1207</v>
      </c>
      <c r="F920" s="36" t="str">
        <f>IFERROR(VLOOKUP(B920,'985'!$B$2:$D$40,3,FALSE),"")</f>
        <v/>
      </c>
      <c r="G920" s="32" t="str">
        <f>IFERROR(VLOOKUP(B920,'211'!$B$2:$D$116,3,FALSE),"")</f>
        <v/>
      </c>
      <c r="H920" s="32" t="str">
        <f>IFERROR(VLOOKUP(B920,双一流!$B$2:$D$148,3,FALSE),"")</f>
        <v/>
      </c>
      <c r="I920" s="32" t="str">
        <f>IFERROR(VLOOKUP(B920,汇总!$B$2:$I$2921,8,FALSE),"")</f>
        <v>师范</v>
      </c>
      <c r="J920" s="29" t="s">
        <v>11</v>
      </c>
      <c r="K920" s="33" t="s">
        <v>12</v>
      </c>
    </row>
    <row r="921" ht="33.75" spans="1:11">
      <c r="A921" s="34">
        <v>920</v>
      </c>
      <c r="B921" s="34" t="s">
        <v>1215</v>
      </c>
      <c r="C921" s="29" t="str">
        <f>VLOOKUP(B921,教育部大学名单!$B$1:$D$2920,3,FALSE)</f>
        <v>新疆维吾尔自治区</v>
      </c>
      <c r="D921" s="34" t="s">
        <v>1206</v>
      </c>
      <c r="E921" s="34" t="s">
        <v>1216</v>
      </c>
      <c r="F921" s="36" t="str">
        <f>IFERROR(VLOOKUP(B921,'985'!$B$2:$D$40,3,FALSE),"")</f>
        <v/>
      </c>
      <c r="G921" s="32" t="str">
        <f>IFERROR(VLOOKUP(B921,'211'!$B$2:$D$116,3,FALSE),"")</f>
        <v/>
      </c>
      <c r="H921" s="32" t="str">
        <f>IFERROR(VLOOKUP(B921,双一流!$B$2:$D$148,3,FALSE),"")</f>
        <v/>
      </c>
      <c r="I921" s="32">
        <f>IFERROR(VLOOKUP(B921,汇总!$B$2:$I$2921,8,FALSE),"")</f>
        <v>0</v>
      </c>
      <c r="J921" s="34" t="s">
        <v>11</v>
      </c>
      <c r="K921" s="35" t="s">
        <v>12</v>
      </c>
    </row>
    <row r="922" ht="33.75" spans="1:11">
      <c r="A922" s="29">
        <v>921</v>
      </c>
      <c r="B922" s="29" t="s">
        <v>1217</v>
      </c>
      <c r="C922" s="29" t="str">
        <f>VLOOKUP(B922,教育部大学名单!$B$1:$D$2920,3,FALSE)</f>
        <v>新疆维吾尔自治区</v>
      </c>
      <c r="D922" s="29" t="s">
        <v>1206</v>
      </c>
      <c r="E922" s="29" t="s">
        <v>1218</v>
      </c>
      <c r="F922" s="36" t="str">
        <f>IFERROR(VLOOKUP(B922,'985'!$B$2:$D$40,3,FALSE),"")</f>
        <v/>
      </c>
      <c r="G922" s="32" t="str">
        <f>IFERROR(VLOOKUP(B922,'211'!$B$2:$D$116,3,FALSE),"")</f>
        <v/>
      </c>
      <c r="H922" s="32" t="str">
        <f>IFERROR(VLOOKUP(B922,双一流!$B$2:$D$148,3,FALSE),"")</f>
        <v/>
      </c>
      <c r="I922" s="32">
        <f>IFERROR(VLOOKUP(B922,汇总!$B$2:$I$2921,8,FALSE),"")</f>
        <v>0</v>
      </c>
      <c r="J922" s="29" t="s">
        <v>11</v>
      </c>
      <c r="K922" s="33" t="s">
        <v>12</v>
      </c>
    </row>
    <row r="923" ht="33.75" spans="1:11">
      <c r="A923" s="34">
        <v>922</v>
      </c>
      <c r="B923" s="34" t="s">
        <v>1219</v>
      </c>
      <c r="C923" s="29" t="str">
        <f>VLOOKUP(B923,教育部大学名单!$B$1:$D$2920,3,FALSE)</f>
        <v>新疆维吾尔自治区</v>
      </c>
      <c r="D923" s="34" t="s">
        <v>1206</v>
      </c>
      <c r="E923" s="34" t="s">
        <v>1207</v>
      </c>
      <c r="F923" s="36" t="str">
        <f>IFERROR(VLOOKUP(B923,'985'!$B$2:$D$40,3,FALSE),"")</f>
        <v/>
      </c>
      <c r="G923" s="32" t="str">
        <f>IFERROR(VLOOKUP(B923,'211'!$B$2:$D$116,3,FALSE),"")</f>
        <v/>
      </c>
      <c r="H923" s="32" t="str">
        <f>IFERROR(VLOOKUP(B923,双一流!$B$2:$D$148,3,FALSE),"")</f>
        <v/>
      </c>
      <c r="I923" s="32" t="str">
        <f>IFERROR(VLOOKUP(B923,汇总!$B$2:$I$2921,8,FALSE),"")</f>
        <v>财经</v>
      </c>
      <c r="J923" s="34" t="s">
        <v>11</v>
      </c>
      <c r="K923" s="35" t="s">
        <v>12</v>
      </c>
    </row>
    <row r="924" ht="33.75" spans="1:11">
      <c r="A924" s="29">
        <v>923</v>
      </c>
      <c r="B924" s="29" t="s">
        <v>1220</v>
      </c>
      <c r="C924" s="29" t="str">
        <f>VLOOKUP(B924,教育部大学名单!$B$1:$D$2920,3,FALSE)</f>
        <v>新疆维吾尔自治区</v>
      </c>
      <c r="D924" s="29" t="s">
        <v>1206</v>
      </c>
      <c r="E924" s="29" t="s">
        <v>1207</v>
      </c>
      <c r="F924" s="36" t="str">
        <f>IFERROR(VLOOKUP(B924,'985'!$B$2:$D$40,3,FALSE),"")</f>
        <v/>
      </c>
      <c r="G924" s="32" t="str">
        <f>IFERROR(VLOOKUP(B924,'211'!$B$2:$D$116,3,FALSE),"")</f>
        <v/>
      </c>
      <c r="H924" s="32" t="str">
        <f>IFERROR(VLOOKUP(B924,双一流!$B$2:$D$148,3,FALSE),"")</f>
        <v/>
      </c>
      <c r="I924" s="32">
        <f>IFERROR(VLOOKUP(B924,汇总!$B$2:$I$2921,8,FALSE),"")</f>
        <v>0</v>
      </c>
      <c r="J924" s="29" t="s">
        <v>11</v>
      </c>
      <c r="K924" s="33" t="s">
        <v>12</v>
      </c>
    </row>
    <row r="925" ht="33.75" spans="1:11">
      <c r="A925" s="34">
        <v>924</v>
      </c>
      <c r="B925" s="34" t="s">
        <v>1221</v>
      </c>
      <c r="C925" s="29" t="str">
        <f>VLOOKUP(B925,教育部大学名单!$B$1:$D$2920,3,FALSE)</f>
        <v>新疆维吾尔自治区</v>
      </c>
      <c r="D925" s="34" t="s">
        <v>1206</v>
      </c>
      <c r="E925" s="34" t="s">
        <v>1207</v>
      </c>
      <c r="F925" s="36" t="str">
        <f>IFERROR(VLOOKUP(B925,'985'!$B$2:$D$40,3,FALSE),"")</f>
        <v/>
      </c>
      <c r="G925" s="32" t="str">
        <f>IFERROR(VLOOKUP(B925,'211'!$B$2:$D$116,3,FALSE),"")</f>
        <v/>
      </c>
      <c r="H925" s="32" t="str">
        <f>IFERROR(VLOOKUP(B925,双一流!$B$2:$D$148,3,FALSE),"")</f>
        <v/>
      </c>
      <c r="I925" s="32">
        <f>IFERROR(VLOOKUP(B925,汇总!$B$2:$I$2921,8,FALSE),"")</f>
        <v>0</v>
      </c>
      <c r="J925" s="34" t="s">
        <v>11</v>
      </c>
      <c r="K925" s="35" t="s">
        <v>12</v>
      </c>
    </row>
    <row r="926" ht="33.75" spans="1:11">
      <c r="A926" s="29">
        <v>925</v>
      </c>
      <c r="B926" s="29" t="s">
        <v>1222</v>
      </c>
      <c r="C926" s="29" t="str">
        <f>VLOOKUP(B926,教育部大学名单!$B$1:$D$2920,3,FALSE)</f>
        <v>新疆维吾尔自治区</v>
      </c>
      <c r="D926" s="29" t="s">
        <v>1206</v>
      </c>
      <c r="E926" s="29" t="s">
        <v>1223</v>
      </c>
      <c r="F926" s="36" t="str">
        <f>IFERROR(VLOOKUP(B926,'985'!$B$2:$D$40,3,FALSE),"")</f>
        <v/>
      </c>
      <c r="G926" s="32" t="str">
        <f>IFERROR(VLOOKUP(B926,'211'!$B$2:$D$116,3,FALSE),"")</f>
        <v/>
      </c>
      <c r="H926" s="32" t="str">
        <f>IFERROR(VLOOKUP(B926,双一流!$B$2:$D$148,3,FALSE),"")</f>
        <v/>
      </c>
      <c r="I926" s="32">
        <f>IFERROR(VLOOKUP(B926,汇总!$B$2:$I$2921,8,FALSE),"")</f>
        <v>0</v>
      </c>
      <c r="J926" s="29" t="s">
        <v>11</v>
      </c>
      <c r="K926" s="33" t="s">
        <v>12</v>
      </c>
    </row>
    <row r="927" ht="33.75" spans="1:11">
      <c r="A927" s="34">
        <v>926</v>
      </c>
      <c r="B927" s="34" t="s">
        <v>1224</v>
      </c>
      <c r="C927" s="29" t="str">
        <f>VLOOKUP(B927,教育部大学名单!$B$1:$D$2920,3,FALSE)</f>
        <v>新疆维吾尔自治区</v>
      </c>
      <c r="D927" s="34" t="s">
        <v>1206</v>
      </c>
      <c r="E927" s="34" t="s">
        <v>1207</v>
      </c>
      <c r="F927" s="36" t="str">
        <f>IFERROR(VLOOKUP(B927,'985'!$B$2:$D$40,3,FALSE),"")</f>
        <v/>
      </c>
      <c r="G927" s="32" t="str">
        <f>IFERROR(VLOOKUP(B927,'211'!$B$2:$D$116,3,FALSE),"")</f>
        <v/>
      </c>
      <c r="H927" s="32" t="str">
        <f>IFERROR(VLOOKUP(B927,双一流!$B$2:$D$148,3,FALSE),"")</f>
        <v/>
      </c>
      <c r="I927" s="32">
        <f>IFERROR(VLOOKUP(B927,汇总!$B$2:$I$2921,8,FALSE),"")</f>
        <v>0</v>
      </c>
      <c r="J927" s="34" t="s">
        <v>11</v>
      </c>
      <c r="K927" s="35" t="s">
        <v>12</v>
      </c>
    </row>
    <row r="928" ht="33.75" spans="1:11">
      <c r="A928" s="29">
        <v>927</v>
      </c>
      <c r="B928" s="29" t="s">
        <v>1225</v>
      </c>
      <c r="C928" s="29" t="str">
        <f>VLOOKUP(B928,教育部大学名单!$B$1:$D$2920,3,FALSE)</f>
        <v>新疆维吾尔自治区</v>
      </c>
      <c r="D928" s="29" t="s">
        <v>1206</v>
      </c>
      <c r="E928" s="29" t="s">
        <v>1226</v>
      </c>
      <c r="F928" s="36" t="str">
        <f>IFERROR(VLOOKUP(B928,'985'!$B$2:$D$40,3,FALSE),"")</f>
        <v/>
      </c>
      <c r="G928" s="32" t="str">
        <f>IFERROR(VLOOKUP(B928,'211'!$B$2:$D$116,3,FALSE),"")</f>
        <v/>
      </c>
      <c r="H928" s="32" t="str">
        <f>IFERROR(VLOOKUP(B928,双一流!$B$2:$D$148,3,FALSE),"")</f>
        <v/>
      </c>
      <c r="I928" s="32">
        <f>IFERROR(VLOOKUP(B928,汇总!$B$2:$I$2921,8,FALSE),"")</f>
        <v>0</v>
      </c>
      <c r="J928" s="29" t="s">
        <v>11</v>
      </c>
      <c r="K928" s="33" t="s">
        <v>12</v>
      </c>
    </row>
    <row r="929" ht="33.75" spans="1:11">
      <c r="A929" s="34">
        <v>928</v>
      </c>
      <c r="B929" s="34" t="s">
        <v>1227</v>
      </c>
      <c r="C929" s="29" t="str">
        <f>VLOOKUP(B929,教育部大学名单!$B$1:$D$2920,3,FALSE)</f>
        <v>新疆维吾尔自治区</v>
      </c>
      <c r="D929" s="34" t="s">
        <v>1206</v>
      </c>
      <c r="E929" s="34" t="s">
        <v>1228</v>
      </c>
      <c r="F929" s="36" t="str">
        <f>IFERROR(VLOOKUP(B929,'985'!$B$2:$D$40,3,FALSE),"")</f>
        <v/>
      </c>
      <c r="G929" s="32" t="str">
        <f>IFERROR(VLOOKUP(B929,'211'!$B$2:$D$116,3,FALSE),"")</f>
        <v/>
      </c>
      <c r="H929" s="32" t="str">
        <f>IFERROR(VLOOKUP(B929,双一流!$B$2:$D$148,3,FALSE),"")</f>
        <v/>
      </c>
      <c r="I929" s="32">
        <f>IFERROR(VLOOKUP(B929,汇总!$B$2:$I$2921,8,FALSE),"")</f>
        <v>0</v>
      </c>
      <c r="J929" s="34" t="s">
        <v>11</v>
      </c>
      <c r="K929" s="35" t="s">
        <v>12</v>
      </c>
    </row>
    <row r="930" ht="33.75" spans="1:11">
      <c r="A930" s="29">
        <v>929</v>
      </c>
      <c r="B930" s="29" t="s">
        <v>1229</v>
      </c>
      <c r="C930" s="29" t="str">
        <f>VLOOKUP(B930,教育部大学名单!$B$1:$D$2920,3,FALSE)</f>
        <v>新疆维吾尔自治区</v>
      </c>
      <c r="D930" s="29" t="s">
        <v>1206</v>
      </c>
      <c r="E930" s="29" t="s">
        <v>1230</v>
      </c>
      <c r="F930" s="36" t="str">
        <f>IFERROR(VLOOKUP(B930,'985'!$B$2:$D$40,3,FALSE),"")</f>
        <v/>
      </c>
      <c r="G930" s="32" t="str">
        <f>IFERROR(VLOOKUP(B930,'211'!$B$2:$D$116,3,FALSE),"")</f>
        <v/>
      </c>
      <c r="H930" s="32" t="str">
        <f>IFERROR(VLOOKUP(B930,双一流!$B$2:$D$148,3,FALSE),"")</f>
        <v/>
      </c>
      <c r="I930" s="32">
        <f>IFERROR(VLOOKUP(B930,汇总!$B$2:$I$2921,8,FALSE),"")</f>
        <v>0</v>
      </c>
      <c r="J930" s="29" t="s">
        <v>11</v>
      </c>
      <c r="K930" s="33" t="s">
        <v>12</v>
      </c>
    </row>
    <row r="931" ht="33.75" spans="1:11">
      <c r="A931" s="34">
        <v>930</v>
      </c>
      <c r="B931" s="34" t="s">
        <v>1231</v>
      </c>
      <c r="C931" s="29" t="str">
        <f>VLOOKUP(B931,教育部大学名单!$B$1:$D$2920,3,FALSE)</f>
        <v>新疆生产建设兵团</v>
      </c>
      <c r="D931" s="34" t="s">
        <v>1206</v>
      </c>
      <c r="E931" s="34" t="s">
        <v>1232</v>
      </c>
      <c r="F931" s="36" t="str">
        <f>IFERROR(VLOOKUP(B931,'985'!$B$2:$D$40,3,FALSE),"")</f>
        <v/>
      </c>
      <c r="G931" s="32" t="str">
        <f>IFERROR(VLOOKUP(B931,'211'!$B$2:$D$116,3,FALSE),"")</f>
        <v/>
      </c>
      <c r="H931" s="32" t="str">
        <f>IFERROR(VLOOKUP(B931,双一流!$B$2:$D$148,3,FALSE),"")</f>
        <v/>
      </c>
      <c r="I931" s="32">
        <f>IFERROR(VLOOKUP(B931,汇总!$B$2:$I$2921,8,FALSE),"")</f>
        <v>0</v>
      </c>
      <c r="J931" s="34" t="s">
        <v>11</v>
      </c>
      <c r="K931" s="35" t="s">
        <v>12</v>
      </c>
    </row>
    <row r="932" ht="33.75" spans="1:11">
      <c r="A932" s="29">
        <v>931</v>
      </c>
      <c r="B932" s="29" t="s">
        <v>1233</v>
      </c>
      <c r="C932" s="29" t="str">
        <f>VLOOKUP(B932,教育部大学名单!$B$1:$D$2920,3,FALSE)</f>
        <v>新疆维吾尔自治区</v>
      </c>
      <c r="D932" s="29" t="s">
        <v>1206</v>
      </c>
      <c r="E932" s="29" t="s">
        <v>1234</v>
      </c>
      <c r="F932" s="36" t="str">
        <f>IFERROR(VLOOKUP(B932,'985'!$B$2:$D$40,3,FALSE),"")</f>
        <v/>
      </c>
      <c r="G932" s="32" t="str">
        <f>IFERROR(VLOOKUP(B932,'211'!$B$2:$D$116,3,FALSE),"")</f>
        <v/>
      </c>
      <c r="H932" s="32" t="str">
        <f>IFERROR(VLOOKUP(B932,双一流!$B$2:$D$148,3,FALSE),"")</f>
        <v/>
      </c>
      <c r="I932" s="32">
        <f>IFERROR(VLOOKUP(B932,汇总!$B$2:$I$2921,8,FALSE),"")</f>
        <v>0</v>
      </c>
      <c r="J932" s="29" t="s">
        <v>11</v>
      </c>
      <c r="K932" s="33" t="s">
        <v>12</v>
      </c>
    </row>
    <row r="933" ht="33.75" spans="1:11">
      <c r="A933" s="34">
        <v>932</v>
      </c>
      <c r="B933" s="34" t="s">
        <v>1235</v>
      </c>
      <c r="C933" s="29" t="str">
        <f>VLOOKUP(B933,教育部大学名单!$B$1:$D$2920,3,FALSE)</f>
        <v>新疆维吾尔自治区</v>
      </c>
      <c r="D933" s="34" t="s">
        <v>1206</v>
      </c>
      <c r="E933" s="34" t="s">
        <v>1223</v>
      </c>
      <c r="F933" s="36" t="str">
        <f>IFERROR(VLOOKUP(B933,'985'!$B$2:$D$40,3,FALSE),"")</f>
        <v/>
      </c>
      <c r="G933" s="32" t="str">
        <f>IFERROR(VLOOKUP(B933,'211'!$B$2:$D$116,3,FALSE),"")</f>
        <v/>
      </c>
      <c r="H933" s="32" t="str">
        <f>IFERROR(VLOOKUP(B933,双一流!$B$2:$D$148,3,FALSE),"")</f>
        <v/>
      </c>
      <c r="I933" s="32">
        <f>IFERROR(VLOOKUP(B933,汇总!$B$2:$I$2921,8,FALSE),"")</f>
        <v>0</v>
      </c>
      <c r="J933" s="34" t="s">
        <v>11</v>
      </c>
      <c r="K933" s="35" t="s">
        <v>12</v>
      </c>
    </row>
    <row r="934" ht="33.75" spans="1:11">
      <c r="A934" s="29">
        <v>933</v>
      </c>
      <c r="B934" s="29" t="s">
        <v>1236</v>
      </c>
      <c r="C934" s="29" t="str">
        <f>VLOOKUP(B934,教育部大学名单!$B$1:$D$2920,3,FALSE)</f>
        <v>新疆维吾尔自治区</v>
      </c>
      <c r="D934" s="29" t="s">
        <v>1206</v>
      </c>
      <c r="E934" s="29" t="s">
        <v>1207</v>
      </c>
      <c r="F934" s="36" t="str">
        <f>IFERROR(VLOOKUP(B934,'985'!$B$2:$D$40,3,FALSE),"")</f>
        <v/>
      </c>
      <c r="G934" s="32" t="str">
        <f>IFERROR(VLOOKUP(B934,'211'!$B$2:$D$116,3,FALSE),"")</f>
        <v/>
      </c>
      <c r="H934" s="32" t="str">
        <f>IFERROR(VLOOKUP(B934,双一流!$B$2:$D$148,3,FALSE),"")</f>
        <v/>
      </c>
      <c r="I934" s="32" t="str">
        <f>IFERROR(VLOOKUP(B934,汇总!$B$2:$I$2921,8,FALSE),"")</f>
        <v>综合</v>
      </c>
      <c r="J934" s="29" t="s">
        <v>11</v>
      </c>
      <c r="K934" s="33" t="s">
        <v>12</v>
      </c>
    </row>
    <row r="935" ht="33.75" spans="1:11">
      <c r="A935" s="34">
        <v>934</v>
      </c>
      <c r="B935" s="34" t="s">
        <v>1237</v>
      </c>
      <c r="C935" s="29" t="str">
        <f>VLOOKUP(B935,教育部大学名单!$B$1:$D$2920,3,FALSE)</f>
        <v>新疆维吾尔自治区</v>
      </c>
      <c r="D935" s="34" t="s">
        <v>1206</v>
      </c>
      <c r="E935" s="34" t="s">
        <v>1207</v>
      </c>
      <c r="F935" s="36" t="str">
        <f>IFERROR(VLOOKUP(B935,'985'!$B$2:$D$40,3,FALSE),"")</f>
        <v/>
      </c>
      <c r="G935" s="32" t="str">
        <f>IFERROR(VLOOKUP(B935,'211'!$B$2:$D$116,3,FALSE),"")</f>
        <v/>
      </c>
      <c r="H935" s="32" t="str">
        <f>IFERROR(VLOOKUP(B935,双一流!$B$2:$D$148,3,FALSE),"")</f>
        <v/>
      </c>
      <c r="I935" s="32" t="str">
        <f>IFERROR(VLOOKUP(B935,汇总!$B$2:$I$2921,8,FALSE),"")</f>
        <v/>
      </c>
      <c r="J935" s="34" t="s">
        <v>11</v>
      </c>
      <c r="K935" s="35" t="s">
        <v>12</v>
      </c>
    </row>
    <row r="936" ht="33.75" spans="1:11">
      <c r="A936" s="29">
        <v>935</v>
      </c>
      <c r="B936" s="29" t="s">
        <v>1238</v>
      </c>
      <c r="C936" s="29" t="e">
        <f>VLOOKUP(B936,教育部大学名单!$B$1:$D$2920,3,FALSE)</f>
        <v>#N/A</v>
      </c>
      <c r="D936" s="29" t="s">
        <v>1106</v>
      </c>
      <c r="E936" s="29" t="s">
        <v>1111</v>
      </c>
      <c r="F936" s="36" t="str">
        <f>IFERROR(VLOOKUP(B936,'985'!$B$2:$D$40,3,FALSE),"")</f>
        <v/>
      </c>
      <c r="G936" s="32" t="str">
        <f>IFERROR(VLOOKUP(B936,'211'!$B$2:$D$116,3,FALSE),"")</f>
        <v/>
      </c>
      <c r="H936" s="32" t="str">
        <f>IFERROR(VLOOKUP(B936,双一流!$B$2:$D$148,3,FALSE),"")</f>
        <v>双一流</v>
      </c>
      <c r="I936" s="32">
        <f>IFERROR(VLOOKUP(B936,汇总!$B$2:$I$2921,8,FALSE),"")</f>
        <v>0</v>
      </c>
      <c r="J936" s="29" t="s">
        <v>11</v>
      </c>
      <c r="K936" s="33" t="s">
        <v>12</v>
      </c>
    </row>
    <row r="937" ht="33.75" spans="1:11">
      <c r="A937" s="34">
        <v>936</v>
      </c>
      <c r="B937" s="34" t="s">
        <v>1239</v>
      </c>
      <c r="C937" s="29" t="str">
        <f>VLOOKUP(B937,教育部大学名单!$B$1:$D$2920,3,FALSE)</f>
        <v>重庆市</v>
      </c>
      <c r="D937" s="34" t="s">
        <v>951</v>
      </c>
      <c r="E937" s="34" t="s">
        <v>951</v>
      </c>
      <c r="F937" s="36" t="str">
        <f>IFERROR(VLOOKUP(B937,'985'!$B$2:$D$40,3,FALSE),"")</f>
        <v/>
      </c>
      <c r="G937" s="32" t="str">
        <f>IFERROR(VLOOKUP(B937,'211'!$B$2:$D$116,3,FALSE),"")</f>
        <v/>
      </c>
      <c r="H937" s="32" t="str">
        <f>IFERROR(VLOOKUP(B937,双一流!$B$2:$D$148,3,FALSE),"")</f>
        <v/>
      </c>
      <c r="I937" s="32">
        <f>IFERROR(VLOOKUP(B937,汇总!$B$2:$I$2921,8,FALSE),"")</f>
        <v>0</v>
      </c>
      <c r="J937" s="34" t="s">
        <v>11</v>
      </c>
      <c r="K937" s="35" t="s">
        <v>12</v>
      </c>
    </row>
    <row r="938" ht="33.75" spans="1:11">
      <c r="A938" s="29">
        <v>937</v>
      </c>
      <c r="B938" s="29" t="s">
        <v>1240</v>
      </c>
      <c r="C938" s="29" t="str">
        <f>VLOOKUP(B938,教育部大学名单!$B$1:$D$2920,3,FALSE)</f>
        <v>安徽省</v>
      </c>
      <c r="D938" s="29" t="s">
        <v>502</v>
      </c>
      <c r="E938" s="29" t="s">
        <v>503</v>
      </c>
      <c r="F938" s="36" t="str">
        <f>IFERROR(VLOOKUP(B938,'985'!$B$2:$D$40,3,FALSE),"")</f>
        <v/>
      </c>
      <c r="G938" s="32" t="str">
        <f>IFERROR(VLOOKUP(B938,'211'!$B$2:$D$116,3,FALSE),"")</f>
        <v/>
      </c>
      <c r="H938" s="32" t="str">
        <f>IFERROR(VLOOKUP(B938,双一流!$B$2:$D$148,3,FALSE),"")</f>
        <v/>
      </c>
      <c r="I938" s="32">
        <f>IFERROR(VLOOKUP(B938,汇总!$B$2:$I$2921,8,FALSE),"")</f>
        <v>0</v>
      </c>
      <c r="J938" s="29" t="s">
        <v>11</v>
      </c>
      <c r="K938" s="33" t="s">
        <v>12</v>
      </c>
    </row>
    <row r="939" ht="17.25" spans="1:11">
      <c r="A939" s="34">
        <v>938</v>
      </c>
      <c r="B939" s="34" t="s">
        <v>1241</v>
      </c>
      <c r="C939" s="29" t="str">
        <f>VLOOKUP(B939,教育部大学名单!$B$1:$D$2920,3,FALSE)</f>
        <v>山东省</v>
      </c>
      <c r="D939" s="34" t="s">
        <v>628</v>
      </c>
      <c r="E939" s="34" t="s">
        <v>631</v>
      </c>
      <c r="F939" s="36" t="str">
        <f>IFERROR(VLOOKUP(B939,'985'!$B$2:$D$40,3,FALSE),"")</f>
        <v/>
      </c>
      <c r="G939" s="32" t="str">
        <f>IFERROR(VLOOKUP(B939,'211'!$B$2:$D$116,3,FALSE),"")</f>
        <v/>
      </c>
      <c r="H939" s="32" t="str">
        <f>IFERROR(VLOOKUP(B939,双一流!$B$2:$D$148,3,FALSE),"")</f>
        <v/>
      </c>
      <c r="I939" s="32">
        <f>IFERROR(VLOOKUP(B939,汇总!$B$2:$I$2921,8,FALSE),"")</f>
        <v>0</v>
      </c>
      <c r="J939" s="34" t="s">
        <v>11</v>
      </c>
      <c r="K939" s="35" t="s">
        <v>12</v>
      </c>
    </row>
    <row r="940" ht="33.75" spans="1:11">
      <c r="A940" s="29">
        <v>939</v>
      </c>
      <c r="B940" s="29" t="s">
        <v>1242</v>
      </c>
      <c r="C940" s="29" t="str">
        <f>VLOOKUP(B940,教育部大学名单!$B$1:$D$2920,3,FALSE)</f>
        <v>河南省</v>
      </c>
      <c r="D940" s="29" t="s">
        <v>692</v>
      </c>
      <c r="E940" s="29" t="s">
        <v>693</v>
      </c>
      <c r="F940" s="36" t="str">
        <f>IFERROR(VLOOKUP(B940,'985'!$B$2:$D$40,3,FALSE),"")</f>
        <v/>
      </c>
      <c r="G940" s="32" t="str">
        <f>IFERROR(VLOOKUP(B940,'211'!$B$2:$D$116,3,FALSE),"")</f>
        <v/>
      </c>
      <c r="H940" s="32" t="str">
        <f>IFERROR(VLOOKUP(B940,双一流!$B$2:$D$148,3,FALSE),"")</f>
        <v/>
      </c>
      <c r="I940" s="32">
        <f>IFERROR(VLOOKUP(B940,汇总!$B$2:$I$2921,8,FALSE),"")</f>
        <v>0</v>
      </c>
      <c r="J940" s="29" t="s">
        <v>11</v>
      </c>
      <c r="K940" s="33" t="s">
        <v>12</v>
      </c>
    </row>
    <row r="941" ht="33.75" spans="1:11">
      <c r="A941" s="34">
        <v>940</v>
      </c>
      <c r="B941" s="34" t="s">
        <v>1243</v>
      </c>
      <c r="C941" s="29" t="str">
        <f>VLOOKUP(B941,教育部大学名单!$B$1:$D$2920,3,FALSE)</f>
        <v>广东省</v>
      </c>
      <c r="D941" s="34" t="s">
        <v>844</v>
      </c>
      <c r="E941" s="34" t="s">
        <v>874</v>
      </c>
      <c r="F941" s="36" t="str">
        <f>IFERROR(VLOOKUP(B941,'985'!$B$2:$D$40,3,FALSE),"")</f>
        <v/>
      </c>
      <c r="G941" s="32" t="str">
        <f>IFERROR(VLOOKUP(B941,'211'!$B$2:$D$116,3,FALSE),"")</f>
        <v/>
      </c>
      <c r="H941" s="32" t="str">
        <f>IFERROR(VLOOKUP(B941,双一流!$B$2:$D$148,3,FALSE),"")</f>
        <v/>
      </c>
      <c r="I941" s="32">
        <f>IFERROR(VLOOKUP(B941,汇总!$B$2:$I$2921,8,FALSE),"")</f>
        <v>0</v>
      </c>
      <c r="J941" s="34" t="s">
        <v>11</v>
      </c>
      <c r="K941" s="35" t="s">
        <v>12</v>
      </c>
    </row>
    <row r="942" ht="33.75" spans="1:11">
      <c r="A942" s="29">
        <v>941</v>
      </c>
      <c r="B942" s="29" t="s">
        <v>1244</v>
      </c>
      <c r="C942" s="29" t="str">
        <f>VLOOKUP(B942,教育部大学名单!$B$1:$D$2920,3,FALSE)</f>
        <v>青海省</v>
      </c>
      <c r="D942" s="29" t="s">
        <v>1191</v>
      </c>
      <c r="E942" s="29" t="s">
        <v>1192</v>
      </c>
      <c r="F942" s="36" t="str">
        <f>IFERROR(VLOOKUP(B942,'985'!$B$2:$D$40,3,FALSE),"")</f>
        <v/>
      </c>
      <c r="G942" s="32" t="str">
        <f>IFERROR(VLOOKUP(B942,'211'!$B$2:$D$116,3,FALSE),"")</f>
        <v/>
      </c>
      <c r="H942" s="32" t="str">
        <f>IFERROR(VLOOKUP(B942,双一流!$B$2:$D$148,3,FALSE),"")</f>
        <v/>
      </c>
      <c r="I942" s="32">
        <f>IFERROR(VLOOKUP(B942,汇总!$B$2:$I$2921,8,FALSE),"")</f>
        <v>0</v>
      </c>
      <c r="J942" s="29" t="s">
        <v>11</v>
      </c>
      <c r="K942" s="33" t="s">
        <v>12</v>
      </c>
    </row>
    <row r="943" ht="33.75" spans="1:11">
      <c r="A943" s="34">
        <v>942</v>
      </c>
      <c r="B943" s="34" t="s">
        <v>1245</v>
      </c>
      <c r="C943" s="29" t="str">
        <f>VLOOKUP(B943,教育部大学名单!$B$1:$D$2920,3,FALSE)</f>
        <v>新疆生产建设兵团</v>
      </c>
      <c r="D943" s="34" t="s">
        <v>1206</v>
      </c>
      <c r="E943" s="34" t="s">
        <v>1234</v>
      </c>
      <c r="F943" s="36" t="str">
        <f>IFERROR(VLOOKUP(B943,'985'!$B$2:$D$40,3,FALSE),"")</f>
        <v/>
      </c>
      <c r="G943" s="32" t="str">
        <f>IFERROR(VLOOKUP(B943,'211'!$B$2:$D$116,3,FALSE),"")</f>
        <v/>
      </c>
      <c r="H943" s="32" t="str">
        <f>IFERROR(VLOOKUP(B943,双一流!$B$2:$D$148,3,FALSE),"")</f>
        <v/>
      </c>
      <c r="I943" s="32" t="str">
        <f>IFERROR(VLOOKUP(B943,汇总!$B$2:$I$2921,8,FALSE),"")</f>
        <v/>
      </c>
      <c r="J943" s="34" t="s">
        <v>11</v>
      </c>
      <c r="K943" s="35" t="s">
        <v>12</v>
      </c>
    </row>
    <row r="944" ht="33.75" spans="1:11">
      <c r="A944" s="29">
        <v>943</v>
      </c>
      <c r="B944" s="29" t="s">
        <v>1246</v>
      </c>
      <c r="C944" s="29" t="str">
        <f>VLOOKUP(B944,教育部大学名单!$B$1:$D$2920,3,FALSE)</f>
        <v>山西省</v>
      </c>
      <c r="D944" s="29" t="s">
        <v>151</v>
      </c>
      <c r="E944" s="29" t="s">
        <v>174</v>
      </c>
      <c r="F944" s="36" t="str">
        <f>IFERROR(VLOOKUP(B944,'985'!$B$2:$D$40,3,FALSE),"")</f>
        <v/>
      </c>
      <c r="G944" s="32" t="str">
        <f>IFERROR(VLOOKUP(B944,'211'!$B$2:$D$116,3,FALSE),"")</f>
        <v/>
      </c>
      <c r="H944" s="32" t="str">
        <f>IFERROR(VLOOKUP(B944,双一流!$B$2:$D$148,3,FALSE),"")</f>
        <v/>
      </c>
      <c r="I944" s="32" t="str">
        <f>IFERROR(VLOOKUP(B944,汇总!$B$2:$I$2921,8,FALSE),"")</f>
        <v/>
      </c>
      <c r="J944" s="29" t="s">
        <v>11</v>
      </c>
      <c r="K944" s="33" t="s">
        <v>12</v>
      </c>
    </row>
    <row r="945" ht="17.25" spans="1:11">
      <c r="A945" s="34">
        <v>944</v>
      </c>
      <c r="B945" s="34" t="s">
        <v>1247</v>
      </c>
      <c r="C945" s="29" t="str">
        <f>VLOOKUP(B945,教育部大学名单!$B$1:$D$2920,3,FALSE)</f>
        <v>广东省</v>
      </c>
      <c r="D945" s="34" t="s">
        <v>844</v>
      </c>
      <c r="E945" s="34" t="s">
        <v>886</v>
      </c>
      <c r="F945" s="36" t="str">
        <f>IFERROR(VLOOKUP(B945,'985'!$B$2:$D$40,3,FALSE),"")</f>
        <v/>
      </c>
      <c r="G945" s="32" t="str">
        <f>IFERROR(VLOOKUP(B945,'211'!$B$2:$D$116,3,FALSE),"")</f>
        <v/>
      </c>
      <c r="H945" s="32" t="str">
        <f>IFERROR(VLOOKUP(B945,双一流!$B$2:$D$148,3,FALSE),"")</f>
        <v/>
      </c>
      <c r="I945" s="32">
        <f>IFERROR(VLOOKUP(B945,汇总!$B$2:$I$2921,8,FALSE),"")</f>
        <v>0</v>
      </c>
      <c r="J945" s="34" t="s">
        <v>11</v>
      </c>
      <c r="K945" s="35" t="s">
        <v>12</v>
      </c>
    </row>
    <row r="946" ht="33.75" spans="1:11">
      <c r="A946" s="29">
        <v>945</v>
      </c>
      <c r="B946" s="29" t="s">
        <v>1248</v>
      </c>
      <c r="C946" s="29" t="str">
        <f>VLOOKUP(B946,教育部大学名单!$B$1:$D$2920,3,FALSE)</f>
        <v>海南省</v>
      </c>
      <c r="D946" s="29" t="s">
        <v>943</v>
      </c>
      <c r="E946" s="29" t="s">
        <v>944</v>
      </c>
      <c r="F946" s="36" t="str">
        <f>IFERROR(VLOOKUP(B946,'985'!$B$2:$D$40,3,FALSE),"")</f>
        <v/>
      </c>
      <c r="G946" s="32" t="str">
        <f>IFERROR(VLOOKUP(B946,'211'!$B$2:$D$116,3,FALSE),"")</f>
        <v/>
      </c>
      <c r="H946" s="32" t="str">
        <f>IFERROR(VLOOKUP(B946,双一流!$B$2:$D$148,3,FALSE),"")</f>
        <v/>
      </c>
      <c r="I946" s="32" t="str">
        <f>IFERROR(VLOOKUP(B946,汇总!$B$2:$I$2921,8,FALSE),"")</f>
        <v/>
      </c>
      <c r="J946" s="29" t="s">
        <v>11</v>
      </c>
      <c r="K946" s="33" t="s">
        <v>12</v>
      </c>
    </row>
    <row r="947" ht="33.75" spans="1:11">
      <c r="A947" s="34">
        <v>946</v>
      </c>
      <c r="B947" s="34" t="s">
        <v>1249</v>
      </c>
      <c r="C947" s="29" t="str">
        <f>VLOOKUP(B947,教育部大学名单!$B$1:$D$2920,3,FALSE)</f>
        <v>陕西省</v>
      </c>
      <c r="D947" s="34" t="s">
        <v>1106</v>
      </c>
      <c r="E947" s="34" t="s">
        <v>1111</v>
      </c>
      <c r="F947" s="36" t="str">
        <f>IFERROR(VLOOKUP(B947,'985'!$B$2:$D$40,3,FALSE),"")</f>
        <v/>
      </c>
      <c r="G947" s="32" t="str">
        <f>IFERROR(VLOOKUP(B947,'211'!$B$2:$D$116,3,FALSE),"")</f>
        <v/>
      </c>
      <c r="H947" s="32" t="str">
        <f>IFERROR(VLOOKUP(B947,双一流!$B$2:$D$148,3,FALSE),"")</f>
        <v/>
      </c>
      <c r="I947" s="32" t="str">
        <f>IFERROR(VLOOKUP(B947,汇总!$B$2:$I$2921,8,FALSE),"")</f>
        <v/>
      </c>
      <c r="J947" s="34" t="s">
        <v>11</v>
      </c>
      <c r="K947" s="35" t="s">
        <v>12</v>
      </c>
    </row>
    <row r="948" ht="33.75" spans="1:11">
      <c r="A948" s="29">
        <v>947</v>
      </c>
      <c r="B948" s="29" t="s">
        <v>1250</v>
      </c>
      <c r="C948" s="29" t="str">
        <f>VLOOKUP(B948,教育部大学名单!$B$1:$D$2920,3,FALSE)</f>
        <v>新疆生产建设兵团</v>
      </c>
      <c r="D948" s="29" t="s">
        <v>1206</v>
      </c>
      <c r="E948" s="29" t="s">
        <v>1216</v>
      </c>
      <c r="F948" s="36" t="str">
        <f>IFERROR(VLOOKUP(B948,'985'!$B$2:$D$40,3,FALSE),"")</f>
        <v/>
      </c>
      <c r="G948" s="32" t="str">
        <f>IFERROR(VLOOKUP(B948,'211'!$B$2:$D$116,3,FALSE),"")</f>
        <v/>
      </c>
      <c r="H948" s="32" t="str">
        <f>IFERROR(VLOOKUP(B948,双一流!$B$2:$D$148,3,FALSE),"")</f>
        <v/>
      </c>
      <c r="I948" s="32" t="str">
        <f>IFERROR(VLOOKUP(B948,汇总!$B$2:$I$2921,8,FALSE),"")</f>
        <v/>
      </c>
      <c r="J948" s="29" t="s">
        <v>11</v>
      </c>
      <c r="K948" s="33" t="s">
        <v>12</v>
      </c>
    </row>
    <row r="949" ht="33.75" spans="1:11">
      <c r="A949" s="34">
        <v>948</v>
      </c>
      <c r="B949" s="34" t="s">
        <v>1251</v>
      </c>
      <c r="C949" s="29" t="str">
        <f>VLOOKUP(B949,教育部大学名单!$B$1:$D$2920,3,FALSE)</f>
        <v>北京市教委</v>
      </c>
      <c r="D949" s="34" t="s">
        <v>10</v>
      </c>
      <c r="E949" s="34" t="s">
        <v>10</v>
      </c>
      <c r="F949" s="36" t="str">
        <f>IFERROR(VLOOKUP(B949,'985'!$B$2:$D$40,3,FALSE),"")</f>
        <v/>
      </c>
      <c r="G949" s="32" t="str">
        <f>IFERROR(VLOOKUP(B949,'211'!$B$2:$D$116,3,FALSE),"")</f>
        <v/>
      </c>
      <c r="H949" s="32" t="str">
        <f>IFERROR(VLOOKUP(B949,双一流!$B$2:$D$148,3,FALSE),"")</f>
        <v/>
      </c>
      <c r="I949" s="32">
        <f>IFERROR(VLOOKUP(B949,汇总!$B$2:$I$2921,8,FALSE),"")</f>
        <v>0</v>
      </c>
      <c r="J949" s="34" t="s">
        <v>11</v>
      </c>
      <c r="K949" s="35" t="s">
        <v>1252</v>
      </c>
    </row>
    <row r="950" ht="33.75" spans="1:11">
      <c r="A950" s="29">
        <v>949</v>
      </c>
      <c r="B950" s="29" t="s">
        <v>1253</v>
      </c>
      <c r="C950" s="29" t="str">
        <f>VLOOKUP(B950,教育部大学名单!$B$1:$D$2920,3,FALSE)</f>
        <v>北京市教委</v>
      </c>
      <c r="D950" s="29" t="s">
        <v>10</v>
      </c>
      <c r="E950" s="29" t="s">
        <v>10</v>
      </c>
      <c r="F950" s="36" t="str">
        <f>IFERROR(VLOOKUP(B950,'985'!$B$2:$D$40,3,FALSE),"")</f>
        <v/>
      </c>
      <c r="G950" s="32" t="str">
        <f>IFERROR(VLOOKUP(B950,'211'!$B$2:$D$116,3,FALSE),"")</f>
        <v/>
      </c>
      <c r="H950" s="32" t="str">
        <f>IFERROR(VLOOKUP(B950,双一流!$B$2:$D$148,3,FALSE),"")</f>
        <v/>
      </c>
      <c r="I950" s="32" t="str">
        <f>IFERROR(VLOOKUP(B950,汇总!$B$2:$I$2921,8,FALSE),"")</f>
        <v>艺术</v>
      </c>
      <c r="J950" s="29" t="s">
        <v>11</v>
      </c>
      <c r="K950" s="33" t="s">
        <v>1252</v>
      </c>
    </row>
    <row r="951" ht="33.75" spans="1:11">
      <c r="A951" s="34">
        <v>950</v>
      </c>
      <c r="B951" s="34" t="s">
        <v>1254</v>
      </c>
      <c r="C951" s="29" t="str">
        <f>VLOOKUP(B951,教育部大学名单!$B$1:$D$2920,3,FALSE)</f>
        <v>北京市教委</v>
      </c>
      <c r="D951" s="34" t="s">
        <v>10</v>
      </c>
      <c r="E951" s="34" t="s">
        <v>10</v>
      </c>
      <c r="F951" s="36" t="str">
        <f>IFERROR(VLOOKUP(B951,'985'!$B$2:$D$40,3,FALSE),"")</f>
        <v/>
      </c>
      <c r="G951" s="32" t="str">
        <f>IFERROR(VLOOKUP(B951,'211'!$B$2:$D$116,3,FALSE),"")</f>
        <v/>
      </c>
      <c r="H951" s="32" t="str">
        <f>IFERROR(VLOOKUP(B951,双一流!$B$2:$D$148,3,FALSE),"")</f>
        <v/>
      </c>
      <c r="I951" s="32">
        <f>IFERROR(VLOOKUP(B951,汇总!$B$2:$I$2921,8,FALSE),"")</f>
        <v>0</v>
      </c>
      <c r="J951" s="34" t="s">
        <v>11</v>
      </c>
      <c r="K951" s="35" t="s">
        <v>1252</v>
      </c>
    </row>
    <row r="952" ht="33.75" spans="1:11">
      <c r="A952" s="29">
        <v>951</v>
      </c>
      <c r="B952" s="29" t="s">
        <v>1255</v>
      </c>
      <c r="C952" s="29" t="str">
        <f>VLOOKUP(B952,教育部大学名单!$B$1:$D$2920,3,FALSE)</f>
        <v>北京市教委</v>
      </c>
      <c r="D952" s="29" t="s">
        <v>10</v>
      </c>
      <c r="E952" s="29" t="s">
        <v>10</v>
      </c>
      <c r="F952" s="36" t="str">
        <f>IFERROR(VLOOKUP(B952,'985'!$B$2:$D$40,3,FALSE),"")</f>
        <v/>
      </c>
      <c r="G952" s="32" t="str">
        <f>IFERROR(VLOOKUP(B952,'211'!$B$2:$D$116,3,FALSE),"")</f>
        <v/>
      </c>
      <c r="H952" s="32" t="str">
        <f>IFERROR(VLOOKUP(B952,双一流!$B$2:$D$148,3,FALSE),"")</f>
        <v/>
      </c>
      <c r="I952" s="32" t="str">
        <f>IFERROR(VLOOKUP(B952,汇总!$B$2:$I$2921,8,FALSE),"")</f>
        <v>综合</v>
      </c>
      <c r="J952" s="29" t="s">
        <v>11</v>
      </c>
      <c r="K952" s="33" t="s">
        <v>1252</v>
      </c>
    </row>
    <row r="953" ht="33.75" spans="1:11">
      <c r="A953" s="34">
        <v>952</v>
      </c>
      <c r="B953" s="34" t="s">
        <v>1256</v>
      </c>
      <c r="C953" s="29" t="str">
        <f>VLOOKUP(B953,教育部大学名单!$B$1:$D$2920,3,FALSE)</f>
        <v>北京市教委</v>
      </c>
      <c r="D953" s="34" t="s">
        <v>10</v>
      </c>
      <c r="E953" s="34" t="s">
        <v>10</v>
      </c>
      <c r="F953" s="36" t="str">
        <f>IFERROR(VLOOKUP(B953,'985'!$B$2:$D$40,3,FALSE),"")</f>
        <v/>
      </c>
      <c r="G953" s="32" t="str">
        <f>IFERROR(VLOOKUP(B953,'211'!$B$2:$D$116,3,FALSE),"")</f>
        <v/>
      </c>
      <c r="H953" s="32" t="str">
        <f>IFERROR(VLOOKUP(B953,双一流!$B$2:$D$148,3,FALSE),"")</f>
        <v/>
      </c>
      <c r="I953" s="32" t="str">
        <f>IFERROR(VLOOKUP(B953,汇总!$B$2:$I$2921,8,FALSE),"")</f>
        <v>综合</v>
      </c>
      <c r="J953" s="34" t="s">
        <v>11</v>
      </c>
      <c r="K953" s="35" t="s">
        <v>1252</v>
      </c>
    </row>
    <row r="954" ht="66.75" spans="1:11">
      <c r="A954" s="29">
        <v>953</v>
      </c>
      <c r="B954" s="29" t="s">
        <v>1257</v>
      </c>
      <c r="C954" s="29" t="str">
        <f>VLOOKUP(B954,教育部大学名单!$B$1:$D$2920,3,FALSE)</f>
        <v>北京市教委</v>
      </c>
      <c r="D954" s="29" t="s">
        <v>10</v>
      </c>
      <c r="E954" s="29" t="s">
        <v>10</v>
      </c>
      <c r="F954" s="36" t="str">
        <f>IFERROR(VLOOKUP(B954,'985'!$B$2:$D$40,3,FALSE),"")</f>
        <v/>
      </c>
      <c r="G954" s="32" t="str">
        <f>IFERROR(VLOOKUP(B954,'211'!$B$2:$D$116,3,FALSE),"")</f>
        <v/>
      </c>
      <c r="H954" s="32" t="str">
        <f>IFERROR(VLOOKUP(B954,双一流!$B$2:$D$148,3,FALSE),"")</f>
        <v/>
      </c>
      <c r="I954" s="32" t="str">
        <f>IFERROR(VLOOKUP(B954,汇总!$B$2:$I$2921,8,FALSE),"")</f>
        <v>综合</v>
      </c>
      <c r="J954" s="29" t="s">
        <v>11</v>
      </c>
      <c r="K954" s="33" t="s">
        <v>1252</v>
      </c>
    </row>
    <row r="955" ht="33.75" spans="1:11">
      <c r="A955" s="34">
        <v>954</v>
      </c>
      <c r="B955" s="34" t="s">
        <v>1258</v>
      </c>
      <c r="C955" s="29" t="str">
        <f>VLOOKUP(B955,教育部大学名单!$B$1:$D$2920,3,FALSE)</f>
        <v>天津市教委</v>
      </c>
      <c r="D955" s="34" t="s">
        <v>76</v>
      </c>
      <c r="E955" s="34" t="s">
        <v>76</v>
      </c>
      <c r="F955" s="36" t="str">
        <f>IFERROR(VLOOKUP(B955,'985'!$B$2:$D$40,3,FALSE),"")</f>
        <v/>
      </c>
      <c r="G955" s="32" t="str">
        <f>IFERROR(VLOOKUP(B955,'211'!$B$2:$D$116,3,FALSE),"")</f>
        <v/>
      </c>
      <c r="H955" s="32" t="str">
        <f>IFERROR(VLOOKUP(B955,双一流!$B$2:$D$148,3,FALSE),"")</f>
        <v/>
      </c>
      <c r="I955" s="32">
        <f>IFERROR(VLOOKUP(B955,汇总!$B$2:$I$2921,8,FALSE),"")</f>
        <v>0</v>
      </c>
      <c r="J955" s="34" t="s">
        <v>11</v>
      </c>
      <c r="K955" s="35" t="s">
        <v>1252</v>
      </c>
    </row>
    <row r="956" ht="50.25" spans="1:11">
      <c r="A956" s="29">
        <v>955</v>
      </c>
      <c r="B956" s="29" t="s">
        <v>1259</v>
      </c>
      <c r="C956" s="29" t="str">
        <f>VLOOKUP(B956,教育部大学名单!$B$1:$D$2920,3,FALSE)</f>
        <v>天津市教委</v>
      </c>
      <c r="D956" s="29" t="s">
        <v>76</v>
      </c>
      <c r="E956" s="29" t="s">
        <v>76</v>
      </c>
      <c r="F956" s="36" t="str">
        <f>IFERROR(VLOOKUP(B956,'985'!$B$2:$D$40,3,FALSE),"")</f>
        <v/>
      </c>
      <c r="G956" s="32" t="str">
        <f>IFERROR(VLOOKUP(B956,'211'!$B$2:$D$116,3,FALSE),"")</f>
        <v/>
      </c>
      <c r="H956" s="32" t="str">
        <f>IFERROR(VLOOKUP(B956,双一流!$B$2:$D$148,3,FALSE),"")</f>
        <v/>
      </c>
      <c r="I956" s="32" t="str">
        <f>IFERROR(VLOOKUP(B956,汇总!$B$2:$I$2921,8,FALSE),"")</f>
        <v>语言</v>
      </c>
      <c r="J956" s="29" t="s">
        <v>11</v>
      </c>
      <c r="K956" s="33" t="s">
        <v>1252</v>
      </c>
    </row>
    <row r="957" ht="33.75" spans="1:11">
      <c r="A957" s="34">
        <v>956</v>
      </c>
      <c r="B957" s="34" t="s">
        <v>1260</v>
      </c>
      <c r="C957" s="29" t="str">
        <f>VLOOKUP(B957,教育部大学名单!$B$1:$D$2920,3,FALSE)</f>
        <v>天津市教委</v>
      </c>
      <c r="D957" s="34" t="s">
        <v>76</v>
      </c>
      <c r="E957" s="34" t="s">
        <v>76</v>
      </c>
      <c r="F957" s="36" t="str">
        <f>IFERROR(VLOOKUP(B957,'985'!$B$2:$D$40,3,FALSE),"")</f>
        <v/>
      </c>
      <c r="G957" s="32" t="str">
        <f>IFERROR(VLOOKUP(B957,'211'!$B$2:$D$116,3,FALSE),"")</f>
        <v/>
      </c>
      <c r="H957" s="32" t="str">
        <f>IFERROR(VLOOKUP(B957,双一流!$B$2:$D$148,3,FALSE),"")</f>
        <v/>
      </c>
      <c r="I957" s="32">
        <f>IFERROR(VLOOKUP(B957,汇总!$B$2:$I$2921,8,FALSE),"")</f>
        <v>0</v>
      </c>
      <c r="J957" s="34" t="s">
        <v>11</v>
      </c>
      <c r="K957" s="35" t="s">
        <v>1252</v>
      </c>
    </row>
    <row r="958" ht="33.75" spans="1:11">
      <c r="A958" s="29">
        <v>957</v>
      </c>
      <c r="B958" s="29" t="s">
        <v>1261</v>
      </c>
      <c r="C958" s="29" t="str">
        <f>VLOOKUP(B958,教育部大学名单!$B$1:$D$2920,3,FALSE)</f>
        <v>天津市教委</v>
      </c>
      <c r="D958" s="29" t="s">
        <v>76</v>
      </c>
      <c r="E958" s="29" t="s">
        <v>76</v>
      </c>
      <c r="F958" s="36" t="str">
        <f>IFERROR(VLOOKUP(B958,'985'!$B$2:$D$40,3,FALSE),"")</f>
        <v/>
      </c>
      <c r="G958" s="32" t="str">
        <f>IFERROR(VLOOKUP(B958,'211'!$B$2:$D$116,3,FALSE),"")</f>
        <v/>
      </c>
      <c r="H958" s="32" t="str">
        <f>IFERROR(VLOOKUP(B958,双一流!$B$2:$D$148,3,FALSE),"")</f>
        <v/>
      </c>
      <c r="I958" s="32" t="str">
        <f>IFERROR(VLOOKUP(B958,汇总!$B$2:$I$2921,8,FALSE),"")</f>
        <v>财经</v>
      </c>
      <c r="J958" s="29" t="s">
        <v>11</v>
      </c>
      <c r="K958" s="33" t="s">
        <v>1252</v>
      </c>
    </row>
    <row r="959" ht="50.25" spans="1:11">
      <c r="A959" s="34">
        <v>958</v>
      </c>
      <c r="B959" s="34" t="s">
        <v>1262</v>
      </c>
      <c r="C959" s="29" t="str">
        <f>VLOOKUP(B959,教育部大学名单!$B$1:$D$2920,3,FALSE)</f>
        <v>天津市教委</v>
      </c>
      <c r="D959" s="34" t="s">
        <v>76</v>
      </c>
      <c r="E959" s="34" t="s">
        <v>76</v>
      </c>
      <c r="F959" s="36" t="str">
        <f>IFERROR(VLOOKUP(B959,'985'!$B$2:$D$40,3,FALSE),"")</f>
        <v/>
      </c>
      <c r="G959" s="32" t="str">
        <f>IFERROR(VLOOKUP(B959,'211'!$B$2:$D$116,3,FALSE),"")</f>
        <v/>
      </c>
      <c r="H959" s="32" t="str">
        <f>IFERROR(VLOOKUP(B959,双一流!$B$2:$D$148,3,FALSE),"")</f>
        <v/>
      </c>
      <c r="I959" s="32" t="str">
        <f>IFERROR(VLOOKUP(B959,汇总!$B$2:$I$2921,8,FALSE),"")</f>
        <v>医药</v>
      </c>
      <c r="J959" s="34" t="s">
        <v>11</v>
      </c>
      <c r="K959" s="35" t="s">
        <v>1252</v>
      </c>
    </row>
    <row r="960" ht="33.75" spans="1:11">
      <c r="A960" s="29">
        <v>959</v>
      </c>
      <c r="B960" s="29" t="s">
        <v>1263</v>
      </c>
      <c r="C960" s="29" t="str">
        <f>VLOOKUP(B960,教育部大学名单!$B$1:$D$2920,3,FALSE)</f>
        <v>天津市教委</v>
      </c>
      <c r="D960" s="29" t="s">
        <v>76</v>
      </c>
      <c r="E960" s="29" t="s">
        <v>76</v>
      </c>
      <c r="F960" s="36" t="str">
        <f>IFERROR(VLOOKUP(B960,'985'!$B$2:$D$40,3,FALSE),"")</f>
        <v/>
      </c>
      <c r="G960" s="32" t="str">
        <f>IFERROR(VLOOKUP(B960,'211'!$B$2:$D$116,3,FALSE),"")</f>
        <v/>
      </c>
      <c r="H960" s="32" t="str">
        <f>IFERROR(VLOOKUP(B960,双一流!$B$2:$D$148,3,FALSE),"")</f>
        <v/>
      </c>
      <c r="I960" s="32" t="str">
        <f>IFERROR(VLOOKUP(B960,汇总!$B$2:$I$2921,8,FALSE),"")</f>
        <v>综合</v>
      </c>
      <c r="J960" s="29" t="s">
        <v>11</v>
      </c>
      <c r="K960" s="33" t="s">
        <v>1252</v>
      </c>
    </row>
    <row r="961" ht="33.75" spans="1:11">
      <c r="A961" s="34">
        <v>960</v>
      </c>
      <c r="B961" s="34" t="s">
        <v>1264</v>
      </c>
      <c r="C961" s="29" t="str">
        <f>VLOOKUP(B961,教育部大学名单!$B$1:$D$2920,3,FALSE)</f>
        <v>天津市教委</v>
      </c>
      <c r="D961" s="34" t="s">
        <v>76</v>
      </c>
      <c r="E961" s="34" t="s">
        <v>76</v>
      </c>
      <c r="F961" s="36" t="str">
        <f>IFERROR(VLOOKUP(B961,'985'!$B$2:$D$40,3,FALSE),"")</f>
        <v/>
      </c>
      <c r="G961" s="32" t="str">
        <f>IFERROR(VLOOKUP(B961,'211'!$B$2:$D$116,3,FALSE),"")</f>
        <v/>
      </c>
      <c r="H961" s="32" t="str">
        <f>IFERROR(VLOOKUP(B961,双一流!$B$2:$D$148,3,FALSE),"")</f>
        <v/>
      </c>
      <c r="I961" s="32">
        <f>IFERROR(VLOOKUP(B961,汇总!$B$2:$I$2921,8,FALSE),"")</f>
        <v>0</v>
      </c>
      <c r="J961" s="34" t="s">
        <v>11</v>
      </c>
      <c r="K961" s="35" t="s">
        <v>1252</v>
      </c>
    </row>
    <row r="962" ht="50.25" spans="1:11">
      <c r="A962" s="29">
        <v>961</v>
      </c>
      <c r="B962" s="29" t="s">
        <v>1265</v>
      </c>
      <c r="C962" s="29" t="str">
        <f>VLOOKUP(B962,教育部大学名单!$B$1:$D$2920,3,FALSE)</f>
        <v>天津市教委</v>
      </c>
      <c r="D962" s="29" t="s">
        <v>76</v>
      </c>
      <c r="E962" s="29" t="s">
        <v>76</v>
      </c>
      <c r="F962" s="36" t="str">
        <f>IFERROR(VLOOKUP(B962,'985'!$B$2:$D$40,3,FALSE),"")</f>
        <v/>
      </c>
      <c r="G962" s="32" t="str">
        <f>IFERROR(VLOOKUP(B962,'211'!$B$2:$D$116,3,FALSE),"")</f>
        <v/>
      </c>
      <c r="H962" s="32" t="str">
        <f>IFERROR(VLOOKUP(B962,双一流!$B$2:$D$148,3,FALSE),"")</f>
        <v/>
      </c>
      <c r="I962" s="32" t="str">
        <f>IFERROR(VLOOKUP(B962,汇总!$B$2:$I$2921,8,FALSE),"")</f>
        <v>综合</v>
      </c>
      <c r="J962" s="29" t="s">
        <v>11</v>
      </c>
      <c r="K962" s="33" t="s">
        <v>1252</v>
      </c>
    </row>
    <row r="963" ht="33.75" spans="1:11">
      <c r="A963" s="34">
        <v>962</v>
      </c>
      <c r="B963" s="34" t="s">
        <v>1266</v>
      </c>
      <c r="C963" s="29" t="str">
        <f>VLOOKUP(B963,教育部大学名单!$B$1:$D$2920,3,FALSE)</f>
        <v>天津市教委</v>
      </c>
      <c r="D963" s="34" t="s">
        <v>76</v>
      </c>
      <c r="E963" s="34" t="s">
        <v>76</v>
      </c>
      <c r="F963" s="36" t="str">
        <f>IFERROR(VLOOKUP(B963,'985'!$B$2:$D$40,3,FALSE),"")</f>
        <v/>
      </c>
      <c r="G963" s="32" t="str">
        <f>IFERROR(VLOOKUP(B963,'211'!$B$2:$D$116,3,FALSE),"")</f>
        <v/>
      </c>
      <c r="H963" s="32" t="str">
        <f>IFERROR(VLOOKUP(B963,双一流!$B$2:$D$148,3,FALSE),"")</f>
        <v/>
      </c>
      <c r="I963" s="32" t="str">
        <f>IFERROR(VLOOKUP(B963,汇总!$B$2:$I$2921,8,FALSE),"")</f>
        <v>综合</v>
      </c>
      <c r="J963" s="34" t="s">
        <v>11</v>
      </c>
      <c r="K963" s="35" t="s">
        <v>1252</v>
      </c>
    </row>
    <row r="964" ht="33.75" spans="1:11">
      <c r="A964" s="29">
        <v>963</v>
      </c>
      <c r="B964" s="29" t="s">
        <v>1267</v>
      </c>
      <c r="C964" s="29" t="str">
        <f>VLOOKUP(B964,教育部大学名单!$B$1:$D$2920,3,FALSE)</f>
        <v>天津市教委</v>
      </c>
      <c r="D964" s="29" t="s">
        <v>76</v>
      </c>
      <c r="E964" s="29" t="s">
        <v>76</v>
      </c>
      <c r="F964" s="36" t="str">
        <f>IFERROR(VLOOKUP(B964,'985'!$B$2:$D$40,3,FALSE),"")</f>
        <v/>
      </c>
      <c r="G964" s="32" t="str">
        <f>IFERROR(VLOOKUP(B964,'211'!$B$2:$D$116,3,FALSE),"")</f>
        <v/>
      </c>
      <c r="H964" s="32" t="str">
        <f>IFERROR(VLOOKUP(B964,双一流!$B$2:$D$148,3,FALSE),"")</f>
        <v/>
      </c>
      <c r="I964" s="32">
        <f>IFERROR(VLOOKUP(B964,汇总!$B$2:$I$2921,8,FALSE),"")</f>
        <v>0</v>
      </c>
      <c r="J964" s="29" t="s">
        <v>11</v>
      </c>
      <c r="K964" s="33" t="s">
        <v>1252</v>
      </c>
    </row>
    <row r="965" ht="33.75" spans="1:11">
      <c r="A965" s="34">
        <v>964</v>
      </c>
      <c r="B965" s="34" t="s">
        <v>1268</v>
      </c>
      <c r="C965" s="29" t="str">
        <f>VLOOKUP(B965,教育部大学名单!$B$1:$D$2920,3,FALSE)</f>
        <v>天津市教委</v>
      </c>
      <c r="D965" s="34" t="s">
        <v>76</v>
      </c>
      <c r="E965" s="34" t="s">
        <v>76</v>
      </c>
      <c r="F965" s="36" t="str">
        <f>IFERROR(VLOOKUP(B965,'985'!$B$2:$D$40,3,FALSE),"")</f>
        <v/>
      </c>
      <c r="G965" s="32" t="str">
        <f>IFERROR(VLOOKUP(B965,'211'!$B$2:$D$116,3,FALSE),"")</f>
        <v/>
      </c>
      <c r="H965" s="32" t="str">
        <f>IFERROR(VLOOKUP(B965,双一流!$B$2:$D$148,3,FALSE),"")</f>
        <v/>
      </c>
      <c r="I965" s="32" t="str">
        <f>IFERROR(VLOOKUP(B965,汇总!$B$2:$I$2921,8,FALSE),"")</f>
        <v>财经</v>
      </c>
      <c r="J965" s="34" t="s">
        <v>11</v>
      </c>
      <c r="K965" s="35" t="s">
        <v>1252</v>
      </c>
    </row>
    <row r="966" ht="33.75" spans="1:11">
      <c r="A966" s="29">
        <v>965</v>
      </c>
      <c r="B966" s="29" t="s">
        <v>1269</v>
      </c>
      <c r="C966" s="29" t="str">
        <f>VLOOKUP(B966,教育部大学名单!$B$1:$D$2920,3,FALSE)</f>
        <v>河北省教育厅</v>
      </c>
      <c r="D966" s="29" t="s">
        <v>98</v>
      </c>
      <c r="E966" s="29" t="s">
        <v>103</v>
      </c>
      <c r="F966" s="36" t="str">
        <f>IFERROR(VLOOKUP(B966,'985'!$B$2:$D$40,3,FALSE),"")</f>
        <v/>
      </c>
      <c r="G966" s="32" t="str">
        <f>IFERROR(VLOOKUP(B966,'211'!$B$2:$D$116,3,FALSE),"")</f>
        <v/>
      </c>
      <c r="H966" s="32" t="str">
        <f>IFERROR(VLOOKUP(B966,双一流!$B$2:$D$148,3,FALSE),"")</f>
        <v/>
      </c>
      <c r="I966" s="32">
        <f>IFERROR(VLOOKUP(B966,汇总!$B$2:$I$2921,8,FALSE),"")</f>
        <v>0</v>
      </c>
      <c r="J966" s="29" t="s">
        <v>11</v>
      </c>
      <c r="K966" s="33" t="s">
        <v>1252</v>
      </c>
    </row>
    <row r="967" ht="33.75" spans="1:11">
      <c r="A967" s="34">
        <v>966</v>
      </c>
      <c r="B967" s="34" t="s">
        <v>1270</v>
      </c>
      <c r="C967" s="29" t="str">
        <f>VLOOKUP(B967,教育部大学名单!$B$1:$D$2920,3,FALSE)</f>
        <v>河北省教育厅</v>
      </c>
      <c r="D967" s="34" t="s">
        <v>98</v>
      </c>
      <c r="E967" s="34" t="s">
        <v>103</v>
      </c>
      <c r="F967" s="36" t="str">
        <f>IFERROR(VLOOKUP(B967,'985'!$B$2:$D$40,3,FALSE),"")</f>
        <v/>
      </c>
      <c r="G967" s="32" t="str">
        <f>IFERROR(VLOOKUP(B967,'211'!$B$2:$D$116,3,FALSE),"")</f>
        <v/>
      </c>
      <c r="H967" s="32" t="str">
        <f>IFERROR(VLOOKUP(B967,双一流!$B$2:$D$148,3,FALSE),"")</f>
        <v/>
      </c>
      <c r="I967" s="32">
        <f>IFERROR(VLOOKUP(B967,汇总!$B$2:$I$2921,8,FALSE),"")</f>
        <v>0</v>
      </c>
      <c r="J967" s="34" t="s">
        <v>11</v>
      </c>
      <c r="K967" s="35" t="s">
        <v>1252</v>
      </c>
    </row>
    <row r="968" ht="33.75" spans="1:11">
      <c r="A968" s="29">
        <v>967</v>
      </c>
      <c r="B968" s="29" t="s">
        <v>1271</v>
      </c>
      <c r="C968" s="29" t="str">
        <f>VLOOKUP(B968,教育部大学名单!$B$1:$D$2920,3,FALSE)</f>
        <v>河北省教育厅</v>
      </c>
      <c r="D968" s="29" t="s">
        <v>98</v>
      </c>
      <c r="E968" s="29" t="s">
        <v>103</v>
      </c>
      <c r="F968" s="36" t="str">
        <f>IFERROR(VLOOKUP(B968,'985'!$B$2:$D$40,3,FALSE),"")</f>
        <v/>
      </c>
      <c r="G968" s="32" t="str">
        <f>IFERROR(VLOOKUP(B968,'211'!$B$2:$D$116,3,FALSE),"")</f>
        <v/>
      </c>
      <c r="H968" s="32" t="str">
        <f>IFERROR(VLOOKUP(B968,双一流!$B$2:$D$148,3,FALSE),"")</f>
        <v/>
      </c>
      <c r="I968" s="32">
        <f>IFERROR(VLOOKUP(B968,汇总!$B$2:$I$2921,8,FALSE),"")</f>
        <v>0</v>
      </c>
      <c r="J968" s="29" t="s">
        <v>11</v>
      </c>
      <c r="K968" s="33" t="s">
        <v>1252</v>
      </c>
    </row>
    <row r="969" ht="33.75" spans="1:11">
      <c r="A969" s="34">
        <v>968</v>
      </c>
      <c r="B969" s="34" t="s">
        <v>1272</v>
      </c>
      <c r="C969" s="29" t="str">
        <f>VLOOKUP(B969,教育部大学名单!$B$1:$D$2920,3,FALSE)</f>
        <v>河北省教育厅</v>
      </c>
      <c r="D969" s="34" t="s">
        <v>98</v>
      </c>
      <c r="E969" s="34" t="s">
        <v>99</v>
      </c>
      <c r="F969" s="36" t="str">
        <f>IFERROR(VLOOKUP(B969,'985'!$B$2:$D$40,3,FALSE),"")</f>
        <v/>
      </c>
      <c r="G969" s="32" t="str">
        <f>IFERROR(VLOOKUP(B969,'211'!$B$2:$D$116,3,FALSE),"")</f>
        <v/>
      </c>
      <c r="H969" s="32" t="str">
        <f>IFERROR(VLOOKUP(B969,双一流!$B$2:$D$148,3,FALSE),"")</f>
        <v/>
      </c>
      <c r="I969" s="32">
        <f>IFERROR(VLOOKUP(B969,汇总!$B$2:$I$2921,8,FALSE),"")</f>
        <v>0</v>
      </c>
      <c r="J969" s="34" t="s">
        <v>11</v>
      </c>
      <c r="K969" s="35" t="s">
        <v>1252</v>
      </c>
    </row>
    <row r="970" ht="33.75" spans="1:11">
      <c r="A970" s="29">
        <v>969</v>
      </c>
      <c r="B970" s="29" t="s">
        <v>1273</v>
      </c>
      <c r="C970" s="29" t="str">
        <f>VLOOKUP(B970,教育部大学名单!$B$1:$D$2920,3,FALSE)</f>
        <v>河北省教育厅</v>
      </c>
      <c r="D970" s="29" t="s">
        <v>98</v>
      </c>
      <c r="E970" s="29" t="s">
        <v>103</v>
      </c>
      <c r="F970" s="36" t="str">
        <f>IFERROR(VLOOKUP(B970,'985'!$B$2:$D$40,3,FALSE),"")</f>
        <v/>
      </c>
      <c r="G970" s="32" t="str">
        <f>IFERROR(VLOOKUP(B970,'211'!$B$2:$D$116,3,FALSE),"")</f>
        <v/>
      </c>
      <c r="H970" s="32" t="str">
        <f>IFERROR(VLOOKUP(B970,双一流!$B$2:$D$148,3,FALSE),"")</f>
        <v/>
      </c>
      <c r="I970" s="32">
        <f>IFERROR(VLOOKUP(B970,汇总!$B$2:$I$2921,8,FALSE),"")</f>
        <v>0</v>
      </c>
      <c r="J970" s="29" t="s">
        <v>11</v>
      </c>
      <c r="K970" s="33" t="s">
        <v>1252</v>
      </c>
    </row>
    <row r="971" ht="33.75" spans="1:11">
      <c r="A971" s="34">
        <v>970</v>
      </c>
      <c r="B971" s="34" t="s">
        <v>1274</v>
      </c>
      <c r="C971" s="29" t="str">
        <f>VLOOKUP(B971,教育部大学名单!$B$1:$D$2920,3,FALSE)</f>
        <v>河北省教育厅</v>
      </c>
      <c r="D971" s="34" t="s">
        <v>98</v>
      </c>
      <c r="E971" s="34" t="s">
        <v>99</v>
      </c>
      <c r="F971" s="36" t="str">
        <f>IFERROR(VLOOKUP(B971,'985'!$B$2:$D$40,3,FALSE),"")</f>
        <v/>
      </c>
      <c r="G971" s="32" t="str">
        <f>IFERROR(VLOOKUP(B971,'211'!$B$2:$D$116,3,FALSE),"")</f>
        <v/>
      </c>
      <c r="H971" s="32" t="str">
        <f>IFERROR(VLOOKUP(B971,双一流!$B$2:$D$148,3,FALSE),"")</f>
        <v/>
      </c>
      <c r="I971" s="32">
        <f>IFERROR(VLOOKUP(B971,汇总!$B$2:$I$2921,8,FALSE),"")</f>
        <v>0</v>
      </c>
      <c r="J971" s="34" t="s">
        <v>11</v>
      </c>
      <c r="K971" s="35" t="s">
        <v>1252</v>
      </c>
    </row>
    <row r="972" ht="33.75" spans="1:11">
      <c r="A972" s="29">
        <v>971</v>
      </c>
      <c r="B972" s="29" t="s">
        <v>1275</v>
      </c>
      <c r="C972" s="29" t="str">
        <f>VLOOKUP(B972,教育部大学名单!$B$1:$D$2920,3,FALSE)</f>
        <v>河北省教育厅</v>
      </c>
      <c r="D972" s="29" t="s">
        <v>98</v>
      </c>
      <c r="E972" s="29" t="s">
        <v>106</v>
      </c>
      <c r="F972" s="36" t="str">
        <f>IFERROR(VLOOKUP(B972,'985'!$B$2:$D$40,3,FALSE),"")</f>
        <v/>
      </c>
      <c r="G972" s="32" t="str">
        <f>IFERROR(VLOOKUP(B972,'211'!$B$2:$D$116,3,FALSE),"")</f>
        <v/>
      </c>
      <c r="H972" s="32" t="str">
        <f>IFERROR(VLOOKUP(B972,双一流!$B$2:$D$148,3,FALSE),"")</f>
        <v/>
      </c>
      <c r="I972" s="32" t="str">
        <f>IFERROR(VLOOKUP(B972,汇总!$B$2:$I$2921,8,FALSE),"")</f>
        <v>综合</v>
      </c>
      <c r="J972" s="29" t="s">
        <v>11</v>
      </c>
      <c r="K972" s="33" t="s">
        <v>1252</v>
      </c>
    </row>
    <row r="973" ht="33.75" spans="1:11">
      <c r="A973" s="34">
        <v>972</v>
      </c>
      <c r="B973" s="34" t="s">
        <v>1276</v>
      </c>
      <c r="C973" s="29" t="str">
        <f>VLOOKUP(B973,教育部大学名单!$B$1:$D$2920,3,FALSE)</f>
        <v>河北省教育厅</v>
      </c>
      <c r="D973" s="34" t="s">
        <v>98</v>
      </c>
      <c r="E973" s="34" t="s">
        <v>103</v>
      </c>
      <c r="F973" s="36" t="str">
        <f>IFERROR(VLOOKUP(B973,'985'!$B$2:$D$40,3,FALSE),"")</f>
        <v/>
      </c>
      <c r="G973" s="32" t="str">
        <f>IFERROR(VLOOKUP(B973,'211'!$B$2:$D$116,3,FALSE),"")</f>
        <v/>
      </c>
      <c r="H973" s="32" t="str">
        <f>IFERROR(VLOOKUP(B973,双一流!$B$2:$D$148,3,FALSE),"")</f>
        <v/>
      </c>
      <c r="I973" s="32" t="str">
        <f>IFERROR(VLOOKUP(B973,汇总!$B$2:$I$2921,8,FALSE),"")</f>
        <v>师范</v>
      </c>
      <c r="J973" s="34" t="s">
        <v>11</v>
      </c>
      <c r="K973" s="35" t="s">
        <v>1252</v>
      </c>
    </row>
    <row r="974" ht="50.25" spans="1:11">
      <c r="A974" s="29">
        <v>973</v>
      </c>
      <c r="B974" s="29" t="s">
        <v>1277</v>
      </c>
      <c r="C974" s="29" t="str">
        <f>VLOOKUP(B974,教育部大学名单!$B$1:$D$2920,3,FALSE)</f>
        <v>河北省教育厅</v>
      </c>
      <c r="D974" s="29" t="s">
        <v>98</v>
      </c>
      <c r="E974" s="29" t="s">
        <v>103</v>
      </c>
      <c r="F974" s="36" t="str">
        <f>IFERROR(VLOOKUP(B974,'985'!$B$2:$D$40,3,FALSE),"")</f>
        <v/>
      </c>
      <c r="G974" s="32" t="str">
        <f>IFERROR(VLOOKUP(B974,'211'!$B$2:$D$116,3,FALSE),"")</f>
        <v/>
      </c>
      <c r="H974" s="32" t="str">
        <f>IFERROR(VLOOKUP(B974,双一流!$B$2:$D$148,3,FALSE),"")</f>
        <v/>
      </c>
      <c r="I974" s="32" t="str">
        <f>IFERROR(VLOOKUP(B974,汇总!$B$2:$I$2921,8,FALSE),"")</f>
        <v>财经</v>
      </c>
      <c r="J974" s="29" t="s">
        <v>11</v>
      </c>
      <c r="K974" s="33" t="s">
        <v>1252</v>
      </c>
    </row>
    <row r="975" ht="33.75" spans="1:11">
      <c r="A975" s="34">
        <v>974</v>
      </c>
      <c r="B975" s="34" t="s">
        <v>1278</v>
      </c>
      <c r="C975" s="29" t="str">
        <f>VLOOKUP(B975,教育部大学名单!$B$1:$D$2920,3,FALSE)</f>
        <v>河北省教育厅</v>
      </c>
      <c r="D975" s="34" t="s">
        <v>98</v>
      </c>
      <c r="E975" s="34" t="s">
        <v>103</v>
      </c>
      <c r="F975" s="36" t="str">
        <f>IFERROR(VLOOKUP(B975,'985'!$B$2:$D$40,3,FALSE),"")</f>
        <v/>
      </c>
      <c r="G975" s="32" t="str">
        <f>IFERROR(VLOOKUP(B975,'211'!$B$2:$D$116,3,FALSE),"")</f>
        <v/>
      </c>
      <c r="H975" s="32" t="str">
        <f>IFERROR(VLOOKUP(B975,双一流!$B$2:$D$148,3,FALSE),"")</f>
        <v/>
      </c>
      <c r="I975" s="32" t="str">
        <f>IFERROR(VLOOKUP(B975,汇总!$B$2:$I$2921,8,FALSE),"")</f>
        <v>医药</v>
      </c>
      <c r="J975" s="34" t="s">
        <v>11</v>
      </c>
      <c r="K975" s="35" t="s">
        <v>1252</v>
      </c>
    </row>
    <row r="976" ht="33.75" spans="1:11">
      <c r="A976" s="29">
        <v>975</v>
      </c>
      <c r="B976" s="29" t="s">
        <v>1279</v>
      </c>
      <c r="C976" s="29" t="str">
        <f>VLOOKUP(B976,教育部大学名单!$B$1:$D$2920,3,FALSE)</f>
        <v>河北省教育厅</v>
      </c>
      <c r="D976" s="29" t="s">
        <v>98</v>
      </c>
      <c r="E976" s="29" t="s">
        <v>101</v>
      </c>
      <c r="F976" s="36" t="str">
        <f>IFERROR(VLOOKUP(B976,'985'!$B$2:$D$40,3,FALSE),"")</f>
        <v/>
      </c>
      <c r="G976" s="32" t="str">
        <f>IFERROR(VLOOKUP(B976,'211'!$B$2:$D$116,3,FALSE),"")</f>
        <v/>
      </c>
      <c r="H976" s="32" t="str">
        <f>IFERROR(VLOOKUP(B976,双一流!$B$2:$D$148,3,FALSE),"")</f>
        <v/>
      </c>
      <c r="I976" s="32" t="str">
        <f>IFERROR(VLOOKUP(B976,汇总!$B$2:$I$2921,8,FALSE),"")</f>
        <v>综合</v>
      </c>
      <c r="J976" s="29" t="s">
        <v>11</v>
      </c>
      <c r="K976" s="33" t="s">
        <v>1252</v>
      </c>
    </row>
    <row r="977" ht="33.75" spans="1:11">
      <c r="A977" s="34">
        <v>976</v>
      </c>
      <c r="B977" s="34" t="s">
        <v>1280</v>
      </c>
      <c r="C977" s="29" t="str">
        <f>VLOOKUP(B977,教育部大学名单!$B$1:$D$2920,3,FALSE)</f>
        <v>河北省教育厅</v>
      </c>
      <c r="D977" s="34" t="s">
        <v>98</v>
      </c>
      <c r="E977" s="34" t="s">
        <v>132</v>
      </c>
      <c r="F977" s="36" t="str">
        <f>IFERROR(VLOOKUP(B977,'985'!$B$2:$D$40,3,FALSE),"")</f>
        <v/>
      </c>
      <c r="G977" s="32" t="str">
        <f>IFERROR(VLOOKUP(B977,'211'!$B$2:$D$116,3,FALSE),"")</f>
        <v/>
      </c>
      <c r="H977" s="32" t="str">
        <f>IFERROR(VLOOKUP(B977,双一流!$B$2:$D$148,3,FALSE),"")</f>
        <v/>
      </c>
      <c r="I977" s="32">
        <f>IFERROR(VLOOKUP(B977,汇总!$B$2:$I$2921,8,FALSE),"")</f>
        <v>0</v>
      </c>
      <c r="J977" s="34" t="s">
        <v>11</v>
      </c>
      <c r="K977" s="35" t="s">
        <v>1252</v>
      </c>
    </row>
    <row r="978" ht="50.25" spans="1:11">
      <c r="A978" s="29">
        <v>977</v>
      </c>
      <c r="B978" s="29" t="s">
        <v>1281</v>
      </c>
      <c r="C978" s="29" t="str">
        <f>VLOOKUP(B978,教育部大学名单!$B$1:$D$2920,3,FALSE)</f>
        <v>河北省教育厅</v>
      </c>
      <c r="D978" s="29" t="s">
        <v>98</v>
      </c>
      <c r="E978" s="29" t="s">
        <v>103</v>
      </c>
      <c r="F978" s="36" t="str">
        <f>IFERROR(VLOOKUP(B978,'985'!$B$2:$D$40,3,FALSE),"")</f>
        <v/>
      </c>
      <c r="G978" s="32" t="str">
        <f>IFERROR(VLOOKUP(B978,'211'!$B$2:$D$116,3,FALSE),"")</f>
        <v/>
      </c>
      <c r="H978" s="32" t="str">
        <f>IFERROR(VLOOKUP(B978,双一流!$B$2:$D$148,3,FALSE),"")</f>
        <v/>
      </c>
      <c r="I978" s="32" t="str">
        <f>IFERROR(VLOOKUP(B978,汇总!$B$2:$I$2921,8,FALSE),"")</f>
        <v>综合</v>
      </c>
      <c r="J978" s="29" t="s">
        <v>11</v>
      </c>
      <c r="K978" s="33" t="s">
        <v>1252</v>
      </c>
    </row>
    <row r="979" ht="33.75" spans="1:11">
      <c r="A979" s="34">
        <v>978</v>
      </c>
      <c r="B979" s="34" t="s">
        <v>1282</v>
      </c>
      <c r="C979" s="29" t="str">
        <f>VLOOKUP(B979,教育部大学名单!$B$1:$D$2920,3,FALSE)</f>
        <v>河北省教育厅</v>
      </c>
      <c r="D979" s="34" t="s">
        <v>98</v>
      </c>
      <c r="E979" s="34" t="s">
        <v>103</v>
      </c>
      <c r="F979" s="36" t="str">
        <f>IFERROR(VLOOKUP(B979,'985'!$B$2:$D$40,3,FALSE),"")</f>
        <v/>
      </c>
      <c r="G979" s="32" t="str">
        <f>IFERROR(VLOOKUP(B979,'211'!$B$2:$D$116,3,FALSE),"")</f>
        <v/>
      </c>
      <c r="H979" s="32" t="str">
        <f>IFERROR(VLOOKUP(B979,双一流!$B$2:$D$148,3,FALSE),"")</f>
        <v/>
      </c>
      <c r="I979" s="32" t="str">
        <f>IFERROR(VLOOKUP(B979,汇总!$B$2:$I$2921,8,FALSE),"")</f>
        <v>财经</v>
      </c>
      <c r="J979" s="34" t="s">
        <v>11</v>
      </c>
      <c r="K979" s="35" t="s">
        <v>1252</v>
      </c>
    </row>
    <row r="980" ht="50.25" spans="1:11">
      <c r="A980" s="29">
        <v>979</v>
      </c>
      <c r="B980" s="29" t="s">
        <v>1283</v>
      </c>
      <c r="C980" s="29" t="str">
        <f>VLOOKUP(B980,教育部大学名单!$B$1:$D$2920,3,FALSE)</f>
        <v>河北省教育厅</v>
      </c>
      <c r="D980" s="29" t="s">
        <v>98</v>
      </c>
      <c r="E980" s="29" t="s">
        <v>99</v>
      </c>
      <c r="F980" s="36" t="str">
        <f>IFERROR(VLOOKUP(B980,'985'!$B$2:$D$40,3,FALSE),"")</f>
        <v/>
      </c>
      <c r="G980" s="32" t="str">
        <f>IFERROR(VLOOKUP(B980,'211'!$B$2:$D$116,3,FALSE),"")</f>
        <v/>
      </c>
      <c r="H980" s="32" t="str">
        <f>IFERROR(VLOOKUP(B980,双一流!$B$2:$D$148,3,FALSE),"")</f>
        <v/>
      </c>
      <c r="I980" s="32" t="str">
        <f>IFERROR(VLOOKUP(B980,汇总!$B$2:$I$2921,8,FALSE),"")</f>
        <v>综合</v>
      </c>
      <c r="J980" s="29" t="s">
        <v>11</v>
      </c>
      <c r="K980" s="33" t="s">
        <v>1252</v>
      </c>
    </row>
    <row r="981" ht="33.75" spans="1:11">
      <c r="A981" s="34">
        <v>980</v>
      </c>
      <c r="B981" s="34" t="s">
        <v>1284</v>
      </c>
      <c r="C981" s="29" t="str">
        <f>VLOOKUP(B981,教育部大学名单!$B$1:$D$2920,3,FALSE)</f>
        <v>河北省教育厅</v>
      </c>
      <c r="D981" s="34" t="s">
        <v>98</v>
      </c>
      <c r="E981" s="34" t="s">
        <v>106</v>
      </c>
      <c r="F981" s="36" t="str">
        <f>IFERROR(VLOOKUP(B981,'985'!$B$2:$D$40,3,FALSE),"")</f>
        <v/>
      </c>
      <c r="G981" s="32" t="str">
        <f>IFERROR(VLOOKUP(B981,'211'!$B$2:$D$116,3,FALSE),"")</f>
        <v/>
      </c>
      <c r="H981" s="32" t="str">
        <f>IFERROR(VLOOKUP(B981,双一流!$B$2:$D$148,3,FALSE),"")</f>
        <v/>
      </c>
      <c r="I981" s="32" t="str">
        <f>IFERROR(VLOOKUP(B981,汇总!$B$2:$I$2921,8,FALSE),"")</f>
        <v>医药</v>
      </c>
      <c r="J981" s="34" t="s">
        <v>11</v>
      </c>
      <c r="K981" s="35" t="s">
        <v>1252</v>
      </c>
    </row>
    <row r="982" ht="33.75" spans="1:11">
      <c r="A982" s="29">
        <v>981</v>
      </c>
      <c r="B982" s="29" t="s">
        <v>1285</v>
      </c>
      <c r="C982" s="29" t="str">
        <f>VLOOKUP(B982,教育部大学名单!$B$1:$D$2920,3,FALSE)</f>
        <v>河北省教育厅</v>
      </c>
      <c r="D982" s="29" t="s">
        <v>98</v>
      </c>
      <c r="E982" s="29" t="s">
        <v>99</v>
      </c>
      <c r="F982" s="36" t="str">
        <f>IFERROR(VLOOKUP(B982,'985'!$B$2:$D$40,3,FALSE),"")</f>
        <v/>
      </c>
      <c r="G982" s="32" t="str">
        <f>IFERROR(VLOOKUP(B982,'211'!$B$2:$D$116,3,FALSE),"")</f>
        <v/>
      </c>
      <c r="H982" s="32" t="str">
        <f>IFERROR(VLOOKUP(B982,双一流!$B$2:$D$148,3,FALSE),"")</f>
        <v/>
      </c>
      <c r="I982" s="32">
        <f>IFERROR(VLOOKUP(B982,汇总!$B$2:$I$2921,8,FALSE),"")</f>
        <v>0</v>
      </c>
      <c r="J982" s="29" t="s">
        <v>11</v>
      </c>
      <c r="K982" s="33" t="s">
        <v>1252</v>
      </c>
    </row>
    <row r="983" ht="33.75" spans="1:11">
      <c r="A983" s="34">
        <v>982</v>
      </c>
      <c r="B983" s="34" t="s">
        <v>1286</v>
      </c>
      <c r="C983" s="29" t="str">
        <f>VLOOKUP(B983,教育部大学名单!$B$1:$D$2920,3,FALSE)</f>
        <v>河北省教育厅</v>
      </c>
      <c r="D983" s="34" t="s">
        <v>98</v>
      </c>
      <c r="E983" s="34" t="s">
        <v>122</v>
      </c>
      <c r="F983" s="36" t="str">
        <f>IFERROR(VLOOKUP(B983,'985'!$B$2:$D$40,3,FALSE),"")</f>
        <v/>
      </c>
      <c r="G983" s="32" t="str">
        <f>IFERROR(VLOOKUP(B983,'211'!$B$2:$D$116,3,FALSE),"")</f>
        <v/>
      </c>
      <c r="H983" s="32" t="str">
        <f>IFERROR(VLOOKUP(B983,双一流!$B$2:$D$148,3,FALSE),"")</f>
        <v/>
      </c>
      <c r="I983" s="32">
        <f>IFERROR(VLOOKUP(B983,汇总!$B$2:$I$2921,8,FALSE),"")</f>
        <v>0</v>
      </c>
      <c r="J983" s="34" t="s">
        <v>11</v>
      </c>
      <c r="K983" s="35" t="s">
        <v>1252</v>
      </c>
    </row>
    <row r="984" ht="50.25" spans="1:11">
      <c r="A984" s="29">
        <v>983</v>
      </c>
      <c r="B984" s="29" t="s">
        <v>1287</v>
      </c>
      <c r="C984" s="29" t="str">
        <f>VLOOKUP(B984,教育部大学名单!$B$1:$D$2920,3,FALSE)</f>
        <v>河北省教育厅</v>
      </c>
      <c r="D984" s="29" t="s">
        <v>98</v>
      </c>
      <c r="E984" s="29" t="s">
        <v>122</v>
      </c>
      <c r="F984" s="36" t="str">
        <f>IFERROR(VLOOKUP(B984,'985'!$B$2:$D$40,3,FALSE),"")</f>
        <v/>
      </c>
      <c r="G984" s="32" t="str">
        <f>IFERROR(VLOOKUP(B984,'211'!$B$2:$D$116,3,FALSE),"")</f>
        <v/>
      </c>
      <c r="H984" s="32" t="str">
        <f>IFERROR(VLOOKUP(B984,双一流!$B$2:$D$148,3,FALSE),"")</f>
        <v/>
      </c>
      <c r="I984" s="32" t="str">
        <f>IFERROR(VLOOKUP(B984,汇总!$B$2:$I$2921,8,FALSE),"")</f>
        <v>医药</v>
      </c>
      <c r="J984" s="29" t="s">
        <v>11</v>
      </c>
      <c r="K984" s="33" t="s">
        <v>1252</v>
      </c>
    </row>
    <row r="985" ht="33.75" spans="1:11">
      <c r="A985" s="34">
        <v>984</v>
      </c>
      <c r="B985" s="34" t="s">
        <v>1288</v>
      </c>
      <c r="C985" s="29" t="str">
        <f>VLOOKUP(B985,教育部大学名单!$B$1:$D$2920,3,FALSE)</f>
        <v>河北省教育厅</v>
      </c>
      <c r="D985" s="34" t="s">
        <v>98</v>
      </c>
      <c r="E985" s="34" t="s">
        <v>111</v>
      </c>
      <c r="F985" s="36" t="str">
        <f>IFERROR(VLOOKUP(B985,'985'!$B$2:$D$40,3,FALSE),"")</f>
        <v/>
      </c>
      <c r="G985" s="32" t="str">
        <f>IFERROR(VLOOKUP(B985,'211'!$B$2:$D$116,3,FALSE),"")</f>
        <v/>
      </c>
      <c r="H985" s="32" t="str">
        <f>IFERROR(VLOOKUP(B985,双一流!$B$2:$D$148,3,FALSE),"")</f>
        <v/>
      </c>
      <c r="I985" s="32">
        <f>IFERROR(VLOOKUP(B985,汇总!$B$2:$I$2921,8,FALSE),"")</f>
        <v>0</v>
      </c>
      <c r="J985" s="34" t="s">
        <v>11</v>
      </c>
      <c r="K985" s="35" t="s">
        <v>1252</v>
      </c>
    </row>
    <row r="986" ht="33.75" spans="1:11">
      <c r="A986" s="29">
        <v>985</v>
      </c>
      <c r="B986" s="29" t="s">
        <v>1289</v>
      </c>
      <c r="C986" s="29" t="str">
        <f>VLOOKUP(B986,教育部大学名单!$B$1:$D$2920,3,FALSE)</f>
        <v>河北省教育厅</v>
      </c>
      <c r="D986" s="29" t="s">
        <v>98</v>
      </c>
      <c r="E986" s="29" t="s">
        <v>122</v>
      </c>
      <c r="F986" s="36" t="str">
        <f>IFERROR(VLOOKUP(B986,'985'!$B$2:$D$40,3,FALSE),"")</f>
        <v/>
      </c>
      <c r="G986" s="32" t="str">
        <f>IFERROR(VLOOKUP(B986,'211'!$B$2:$D$116,3,FALSE),"")</f>
        <v/>
      </c>
      <c r="H986" s="32" t="str">
        <f>IFERROR(VLOOKUP(B986,双一流!$B$2:$D$148,3,FALSE),"")</f>
        <v/>
      </c>
      <c r="I986" s="32">
        <f>IFERROR(VLOOKUP(B986,汇总!$B$2:$I$2921,8,FALSE),"")</f>
        <v>0</v>
      </c>
      <c r="J986" s="29" t="s">
        <v>11</v>
      </c>
      <c r="K986" s="33" t="s">
        <v>1252</v>
      </c>
    </row>
    <row r="987" ht="33.75" spans="1:11">
      <c r="A987" s="34">
        <v>986</v>
      </c>
      <c r="B987" s="34" t="s">
        <v>1290</v>
      </c>
      <c r="C987" s="29" t="str">
        <f>VLOOKUP(B987,教育部大学名单!$B$1:$D$2920,3,FALSE)</f>
        <v>山西省教育厅</v>
      </c>
      <c r="D987" s="34" t="s">
        <v>151</v>
      </c>
      <c r="E987" s="34" t="s">
        <v>152</v>
      </c>
      <c r="F987" s="36" t="str">
        <f>IFERROR(VLOOKUP(B987,'985'!$B$2:$D$40,3,FALSE),"")</f>
        <v/>
      </c>
      <c r="G987" s="32" t="str">
        <f>IFERROR(VLOOKUP(B987,'211'!$B$2:$D$116,3,FALSE),"")</f>
        <v/>
      </c>
      <c r="H987" s="32" t="str">
        <f>IFERROR(VLOOKUP(B987,双一流!$B$2:$D$148,3,FALSE),"")</f>
        <v/>
      </c>
      <c r="I987" s="32">
        <f>IFERROR(VLOOKUP(B987,汇总!$B$2:$I$2921,8,FALSE),"")</f>
        <v>0</v>
      </c>
      <c r="J987" s="34" t="s">
        <v>11</v>
      </c>
      <c r="K987" s="35" t="s">
        <v>1252</v>
      </c>
    </row>
    <row r="988" ht="33.75" spans="1:11">
      <c r="A988" s="29">
        <v>987</v>
      </c>
      <c r="B988" s="29" t="s">
        <v>1291</v>
      </c>
      <c r="C988" s="29" t="str">
        <f>VLOOKUP(B988,教育部大学名单!$B$1:$D$2920,3,FALSE)</f>
        <v>山西省教育厅</v>
      </c>
      <c r="D988" s="29" t="s">
        <v>151</v>
      </c>
      <c r="E988" s="29" t="s">
        <v>157</v>
      </c>
      <c r="F988" s="36" t="str">
        <f>IFERROR(VLOOKUP(B988,'985'!$B$2:$D$40,3,FALSE),"")</f>
        <v/>
      </c>
      <c r="G988" s="32" t="str">
        <f>IFERROR(VLOOKUP(B988,'211'!$B$2:$D$116,3,FALSE),"")</f>
        <v/>
      </c>
      <c r="H988" s="32" t="str">
        <f>IFERROR(VLOOKUP(B988,双一流!$B$2:$D$148,3,FALSE),"")</f>
        <v/>
      </c>
      <c r="I988" s="32">
        <f>IFERROR(VLOOKUP(B988,汇总!$B$2:$I$2921,8,FALSE),"")</f>
        <v>0</v>
      </c>
      <c r="J988" s="29" t="s">
        <v>11</v>
      </c>
      <c r="K988" s="33" t="s">
        <v>1252</v>
      </c>
    </row>
    <row r="989" ht="33.75" spans="1:11">
      <c r="A989" s="34">
        <v>988</v>
      </c>
      <c r="B989" s="34" t="s">
        <v>1292</v>
      </c>
      <c r="C989" s="29" t="str">
        <f>VLOOKUP(B989,教育部大学名单!$B$1:$D$2920,3,FALSE)</f>
        <v>山西省教育厅</v>
      </c>
      <c r="D989" s="34" t="s">
        <v>151</v>
      </c>
      <c r="E989" s="34" t="s">
        <v>157</v>
      </c>
      <c r="F989" s="36" t="str">
        <f>IFERROR(VLOOKUP(B989,'985'!$B$2:$D$40,3,FALSE),"")</f>
        <v/>
      </c>
      <c r="G989" s="32" t="str">
        <f>IFERROR(VLOOKUP(B989,'211'!$B$2:$D$116,3,FALSE),"")</f>
        <v/>
      </c>
      <c r="H989" s="32" t="str">
        <f>IFERROR(VLOOKUP(B989,双一流!$B$2:$D$148,3,FALSE),"")</f>
        <v/>
      </c>
      <c r="I989" s="32">
        <f>IFERROR(VLOOKUP(B989,汇总!$B$2:$I$2921,8,FALSE),"")</f>
        <v>0</v>
      </c>
      <c r="J989" s="34" t="s">
        <v>11</v>
      </c>
      <c r="K989" s="35" t="s">
        <v>1252</v>
      </c>
    </row>
    <row r="990" ht="33.75" spans="1:11">
      <c r="A990" s="29">
        <v>989</v>
      </c>
      <c r="B990" s="29" t="s">
        <v>1293</v>
      </c>
      <c r="C990" s="29" t="str">
        <f>VLOOKUP(B990,教育部大学名单!$B$1:$D$2920,3,FALSE)</f>
        <v>山西省教育厅</v>
      </c>
      <c r="D990" s="29" t="s">
        <v>151</v>
      </c>
      <c r="E990" s="29" t="s">
        <v>157</v>
      </c>
      <c r="F990" s="36" t="str">
        <f>IFERROR(VLOOKUP(B990,'985'!$B$2:$D$40,3,FALSE),"")</f>
        <v/>
      </c>
      <c r="G990" s="32" t="str">
        <f>IFERROR(VLOOKUP(B990,'211'!$B$2:$D$116,3,FALSE),"")</f>
        <v/>
      </c>
      <c r="H990" s="32" t="str">
        <f>IFERROR(VLOOKUP(B990,双一流!$B$2:$D$148,3,FALSE),"")</f>
        <v/>
      </c>
      <c r="I990" s="32" t="str">
        <f>IFERROR(VLOOKUP(B990,汇总!$B$2:$I$2921,8,FALSE),"")</f>
        <v/>
      </c>
      <c r="J990" s="29" t="s">
        <v>11</v>
      </c>
      <c r="K990" s="33" t="s">
        <v>1252</v>
      </c>
    </row>
    <row r="991" ht="33.75" spans="1:11">
      <c r="A991" s="34">
        <v>990</v>
      </c>
      <c r="B991" s="34" t="s">
        <v>1294</v>
      </c>
      <c r="C991" s="29" t="str">
        <f>VLOOKUP(B991,教育部大学名单!$B$1:$D$2920,3,FALSE)</f>
        <v>山西省教育厅</v>
      </c>
      <c r="D991" s="34" t="s">
        <v>151</v>
      </c>
      <c r="E991" s="34" t="s">
        <v>152</v>
      </c>
      <c r="F991" s="36" t="str">
        <f>IFERROR(VLOOKUP(B991,'985'!$B$2:$D$40,3,FALSE),"")</f>
        <v/>
      </c>
      <c r="G991" s="32" t="str">
        <f>IFERROR(VLOOKUP(B991,'211'!$B$2:$D$116,3,FALSE),"")</f>
        <v/>
      </c>
      <c r="H991" s="32" t="str">
        <f>IFERROR(VLOOKUP(B991,双一流!$B$2:$D$148,3,FALSE),"")</f>
        <v/>
      </c>
      <c r="I991" s="32">
        <f>IFERROR(VLOOKUP(B991,汇总!$B$2:$I$2921,8,FALSE),"")</f>
        <v>0</v>
      </c>
      <c r="J991" s="34" t="s">
        <v>11</v>
      </c>
      <c r="K991" s="35" t="s">
        <v>1252</v>
      </c>
    </row>
    <row r="992" ht="33.75" spans="1:11">
      <c r="A992" s="29">
        <v>991</v>
      </c>
      <c r="B992" s="29" t="s">
        <v>1295</v>
      </c>
      <c r="C992" s="29" t="str">
        <f>VLOOKUP(B992,教育部大学名单!$B$1:$D$2920,3,FALSE)</f>
        <v>山西省教育厅</v>
      </c>
      <c r="D992" s="29" t="s">
        <v>151</v>
      </c>
      <c r="E992" s="29" t="s">
        <v>152</v>
      </c>
      <c r="F992" s="36" t="str">
        <f>IFERROR(VLOOKUP(B992,'985'!$B$2:$D$40,3,FALSE),"")</f>
        <v/>
      </c>
      <c r="G992" s="32" t="str">
        <f>IFERROR(VLOOKUP(B992,'211'!$B$2:$D$116,3,FALSE),"")</f>
        <v/>
      </c>
      <c r="H992" s="32" t="str">
        <f>IFERROR(VLOOKUP(B992,双一流!$B$2:$D$148,3,FALSE),"")</f>
        <v/>
      </c>
      <c r="I992" s="32">
        <f>IFERROR(VLOOKUP(B992,汇总!$B$2:$I$2921,8,FALSE),"")</f>
        <v>0</v>
      </c>
      <c r="J992" s="29" t="s">
        <v>11</v>
      </c>
      <c r="K992" s="33" t="s">
        <v>1252</v>
      </c>
    </row>
    <row r="993" ht="33.75" spans="1:11">
      <c r="A993" s="34">
        <v>992</v>
      </c>
      <c r="B993" s="34" t="s">
        <v>1296</v>
      </c>
      <c r="C993" s="29" t="str">
        <f>VLOOKUP(B993,教育部大学名单!$B$1:$D$2920,3,FALSE)</f>
        <v>山西省教育厅</v>
      </c>
      <c r="D993" s="34" t="s">
        <v>151</v>
      </c>
      <c r="E993" s="34" t="s">
        <v>168</v>
      </c>
      <c r="F993" s="36" t="str">
        <f>IFERROR(VLOOKUP(B993,'985'!$B$2:$D$40,3,FALSE),"")</f>
        <v/>
      </c>
      <c r="G993" s="32" t="str">
        <f>IFERROR(VLOOKUP(B993,'211'!$B$2:$D$116,3,FALSE),"")</f>
        <v/>
      </c>
      <c r="H993" s="32" t="str">
        <f>IFERROR(VLOOKUP(B993,双一流!$B$2:$D$148,3,FALSE),"")</f>
        <v/>
      </c>
      <c r="I993" s="32">
        <f>IFERROR(VLOOKUP(B993,汇总!$B$2:$I$2921,8,FALSE),"")</f>
        <v>0</v>
      </c>
      <c r="J993" s="34" t="s">
        <v>11</v>
      </c>
      <c r="K993" s="35" t="s">
        <v>1252</v>
      </c>
    </row>
    <row r="994" ht="33.75" spans="1:11">
      <c r="A994" s="29">
        <v>993</v>
      </c>
      <c r="B994" s="29" t="s">
        <v>1297</v>
      </c>
      <c r="C994" s="29" t="str">
        <f>VLOOKUP(B994,教育部大学名单!$B$1:$D$2920,3,FALSE)</f>
        <v>内蒙古自治区教育厅</v>
      </c>
      <c r="D994" s="29" t="s">
        <v>191</v>
      </c>
      <c r="E994" s="29" t="s">
        <v>192</v>
      </c>
      <c r="F994" s="36" t="str">
        <f>IFERROR(VLOOKUP(B994,'985'!$B$2:$D$40,3,FALSE),"")</f>
        <v/>
      </c>
      <c r="G994" s="32" t="str">
        <f>IFERROR(VLOOKUP(B994,'211'!$B$2:$D$116,3,FALSE),"")</f>
        <v/>
      </c>
      <c r="H994" s="32" t="str">
        <f>IFERROR(VLOOKUP(B994,双一流!$B$2:$D$148,3,FALSE),"")</f>
        <v/>
      </c>
      <c r="I994" s="32" t="str">
        <f>IFERROR(VLOOKUP(B994,汇总!$B$2:$I$2921,8,FALSE),"")</f>
        <v>综合</v>
      </c>
      <c r="J994" s="29" t="s">
        <v>11</v>
      </c>
      <c r="K994" s="33" t="s">
        <v>1252</v>
      </c>
    </row>
    <row r="995" ht="33.75" spans="1:11">
      <c r="A995" s="34">
        <v>994</v>
      </c>
      <c r="B995" s="34" t="s">
        <v>1298</v>
      </c>
      <c r="C995" s="29" t="str">
        <f>VLOOKUP(B995,教育部大学名单!$B$1:$D$2920,3,FALSE)</f>
        <v>内蒙古自治区教育厅</v>
      </c>
      <c r="D995" s="34" t="s">
        <v>191</v>
      </c>
      <c r="E995" s="34" t="s">
        <v>192</v>
      </c>
      <c r="F995" s="36" t="str">
        <f>IFERROR(VLOOKUP(B995,'985'!$B$2:$D$40,3,FALSE),"")</f>
        <v/>
      </c>
      <c r="G995" s="32" t="str">
        <f>IFERROR(VLOOKUP(B995,'211'!$B$2:$D$116,3,FALSE),"")</f>
        <v/>
      </c>
      <c r="H995" s="32" t="str">
        <f>IFERROR(VLOOKUP(B995,双一流!$B$2:$D$148,3,FALSE),"")</f>
        <v/>
      </c>
      <c r="I995" s="32">
        <f>IFERROR(VLOOKUP(B995,汇总!$B$2:$I$2921,8,FALSE),"")</f>
        <v>0</v>
      </c>
      <c r="J995" s="34" t="s">
        <v>11</v>
      </c>
      <c r="K995" s="35" t="s">
        <v>1252</v>
      </c>
    </row>
    <row r="996" ht="33.75" spans="1:11">
      <c r="A996" s="29">
        <v>995</v>
      </c>
      <c r="B996" s="29" t="s">
        <v>1299</v>
      </c>
      <c r="C996" s="29" t="str">
        <f>VLOOKUP(B996,教育部大学名单!$B$1:$D$2920,3,FALSE)</f>
        <v>辽宁省教育厅</v>
      </c>
      <c r="D996" s="29" t="s">
        <v>220</v>
      </c>
      <c r="E996" s="29" t="s">
        <v>223</v>
      </c>
      <c r="F996" s="36" t="str">
        <f>IFERROR(VLOOKUP(B996,'985'!$B$2:$D$40,3,FALSE),"")</f>
        <v/>
      </c>
      <c r="G996" s="32" t="str">
        <f>IFERROR(VLOOKUP(B996,'211'!$B$2:$D$116,3,FALSE),"")</f>
        <v/>
      </c>
      <c r="H996" s="32" t="str">
        <f>IFERROR(VLOOKUP(B996,双一流!$B$2:$D$148,3,FALSE),"")</f>
        <v/>
      </c>
      <c r="I996" s="32">
        <f>IFERROR(VLOOKUP(B996,汇总!$B$2:$I$2921,8,FALSE),"")</f>
        <v>0</v>
      </c>
      <c r="J996" s="29" t="s">
        <v>11</v>
      </c>
      <c r="K996" s="33" t="s">
        <v>1252</v>
      </c>
    </row>
    <row r="997" ht="33.75" spans="1:11">
      <c r="A997" s="34">
        <v>996</v>
      </c>
      <c r="B997" s="34" t="s">
        <v>1300</v>
      </c>
      <c r="C997" s="29" t="str">
        <f>VLOOKUP(B997,教育部大学名单!$B$1:$D$2920,3,FALSE)</f>
        <v>辽宁省教育厅</v>
      </c>
      <c r="D997" s="34" t="s">
        <v>220</v>
      </c>
      <c r="E997" s="34" t="s">
        <v>240</v>
      </c>
      <c r="F997" s="36" t="str">
        <f>IFERROR(VLOOKUP(B997,'985'!$B$2:$D$40,3,FALSE),"")</f>
        <v/>
      </c>
      <c r="G997" s="32" t="str">
        <f>IFERROR(VLOOKUP(B997,'211'!$B$2:$D$116,3,FALSE),"")</f>
        <v/>
      </c>
      <c r="H997" s="32" t="str">
        <f>IFERROR(VLOOKUP(B997,双一流!$B$2:$D$148,3,FALSE),"")</f>
        <v/>
      </c>
      <c r="I997" s="32">
        <f>IFERROR(VLOOKUP(B997,汇总!$B$2:$I$2921,8,FALSE),"")</f>
        <v>0</v>
      </c>
      <c r="J997" s="34" t="s">
        <v>11</v>
      </c>
      <c r="K997" s="35" t="s">
        <v>1252</v>
      </c>
    </row>
    <row r="998" ht="33.75" spans="1:11">
      <c r="A998" s="29">
        <v>997</v>
      </c>
      <c r="B998" s="29" t="s">
        <v>1301</v>
      </c>
      <c r="C998" s="29" t="str">
        <f>VLOOKUP(B998,教育部大学名单!$B$1:$D$2920,3,FALSE)</f>
        <v>辽宁省教育厅</v>
      </c>
      <c r="D998" s="29" t="s">
        <v>220</v>
      </c>
      <c r="E998" s="29" t="s">
        <v>223</v>
      </c>
      <c r="F998" s="36" t="str">
        <f>IFERROR(VLOOKUP(B998,'985'!$B$2:$D$40,3,FALSE),"")</f>
        <v/>
      </c>
      <c r="G998" s="32" t="str">
        <f>IFERROR(VLOOKUP(B998,'211'!$B$2:$D$116,3,FALSE),"")</f>
        <v/>
      </c>
      <c r="H998" s="32" t="str">
        <f>IFERROR(VLOOKUP(B998,双一流!$B$2:$D$148,3,FALSE),"")</f>
        <v/>
      </c>
      <c r="I998" s="32" t="str">
        <f>IFERROR(VLOOKUP(B998,汇总!$B$2:$I$2921,8,FALSE),"")</f>
        <v>理工</v>
      </c>
      <c r="J998" s="29" t="s">
        <v>11</v>
      </c>
      <c r="K998" s="33" t="s">
        <v>1252</v>
      </c>
    </row>
    <row r="999" ht="33.75" spans="1:11">
      <c r="A999" s="34">
        <v>998</v>
      </c>
      <c r="B999" s="34" t="s">
        <v>1302</v>
      </c>
      <c r="C999" s="29" t="str">
        <f>VLOOKUP(B999,教育部大学名单!$B$1:$D$2920,3,FALSE)</f>
        <v>辽宁省教育厅</v>
      </c>
      <c r="D999" s="34" t="s">
        <v>220</v>
      </c>
      <c r="E999" s="34" t="s">
        <v>1303</v>
      </c>
      <c r="F999" s="36" t="str">
        <f>IFERROR(VLOOKUP(B999,'985'!$B$2:$D$40,3,FALSE),"")</f>
        <v/>
      </c>
      <c r="G999" s="32" t="str">
        <f>IFERROR(VLOOKUP(B999,'211'!$B$2:$D$116,3,FALSE),"")</f>
        <v/>
      </c>
      <c r="H999" s="32" t="str">
        <f>IFERROR(VLOOKUP(B999,双一流!$B$2:$D$148,3,FALSE),"")</f>
        <v/>
      </c>
      <c r="I999" s="32">
        <f>IFERROR(VLOOKUP(B999,汇总!$B$2:$I$2921,8,FALSE),"")</f>
        <v>0</v>
      </c>
      <c r="J999" s="34" t="s">
        <v>11</v>
      </c>
      <c r="K999" s="35" t="s">
        <v>1252</v>
      </c>
    </row>
    <row r="1000" ht="50.25" spans="1:11">
      <c r="A1000" s="29">
        <v>999</v>
      </c>
      <c r="B1000" s="29" t="s">
        <v>1304</v>
      </c>
      <c r="C1000" s="29" t="str">
        <f>VLOOKUP(B1000,教育部大学名单!$B$1:$D$2920,3,FALSE)</f>
        <v>辽宁省教育厅</v>
      </c>
      <c r="D1000" s="29" t="s">
        <v>220</v>
      </c>
      <c r="E1000" s="29" t="s">
        <v>221</v>
      </c>
      <c r="F1000" s="36" t="str">
        <f>IFERROR(VLOOKUP(B1000,'985'!$B$2:$D$40,3,FALSE),"")</f>
        <v/>
      </c>
      <c r="G1000" s="32" t="str">
        <f>IFERROR(VLOOKUP(B1000,'211'!$B$2:$D$116,3,FALSE),"")</f>
        <v/>
      </c>
      <c r="H1000" s="32" t="str">
        <f>IFERROR(VLOOKUP(B1000,双一流!$B$2:$D$148,3,FALSE),"")</f>
        <v/>
      </c>
      <c r="I1000" s="32">
        <f>IFERROR(VLOOKUP(B1000,汇总!$B$2:$I$2921,8,FALSE),"")</f>
        <v>0</v>
      </c>
      <c r="J1000" s="29" t="s">
        <v>11</v>
      </c>
      <c r="K1000" s="33" t="s">
        <v>1252</v>
      </c>
    </row>
    <row r="1001" ht="33.75" spans="1:11">
      <c r="A1001" s="34">
        <v>1000</v>
      </c>
      <c r="B1001" s="34" t="s">
        <v>1305</v>
      </c>
      <c r="C1001" s="29" t="str">
        <f>VLOOKUP(B1001,教育部大学名单!$B$1:$D$2920,3,FALSE)</f>
        <v>辽宁省教育厅</v>
      </c>
      <c r="D1001" s="34" t="s">
        <v>220</v>
      </c>
      <c r="E1001" s="34" t="s">
        <v>233</v>
      </c>
      <c r="F1001" s="36" t="str">
        <f>IFERROR(VLOOKUP(B1001,'985'!$B$2:$D$40,3,FALSE),"")</f>
        <v/>
      </c>
      <c r="G1001" s="32" t="str">
        <f>IFERROR(VLOOKUP(B1001,'211'!$B$2:$D$116,3,FALSE),"")</f>
        <v/>
      </c>
      <c r="H1001" s="32" t="str">
        <f>IFERROR(VLOOKUP(B1001,双一流!$B$2:$D$148,3,FALSE),"")</f>
        <v/>
      </c>
      <c r="I1001" s="32">
        <f>IFERROR(VLOOKUP(B1001,汇总!$B$2:$I$2921,8,FALSE),"")</f>
        <v>0</v>
      </c>
      <c r="J1001" s="34" t="s">
        <v>11</v>
      </c>
      <c r="K1001" s="35" t="s">
        <v>1252</v>
      </c>
    </row>
    <row r="1002" ht="50.25" spans="1:11">
      <c r="A1002" s="29">
        <v>1001</v>
      </c>
      <c r="B1002" s="29" t="s">
        <v>1306</v>
      </c>
      <c r="C1002" s="29" t="str">
        <f>VLOOKUP(B1002,教育部大学名单!$B$1:$D$2920,3,FALSE)</f>
        <v>辽宁省教育厅</v>
      </c>
      <c r="D1002" s="29" t="s">
        <v>220</v>
      </c>
      <c r="E1002" s="29" t="s">
        <v>223</v>
      </c>
      <c r="F1002" s="36" t="str">
        <f>IFERROR(VLOOKUP(B1002,'985'!$B$2:$D$40,3,FALSE),"")</f>
        <v/>
      </c>
      <c r="G1002" s="32" t="str">
        <f>IFERROR(VLOOKUP(B1002,'211'!$B$2:$D$116,3,FALSE),"")</f>
        <v/>
      </c>
      <c r="H1002" s="32" t="str">
        <f>IFERROR(VLOOKUP(B1002,双一流!$B$2:$D$148,3,FALSE),"")</f>
        <v/>
      </c>
      <c r="I1002" s="32" t="str">
        <f>IFERROR(VLOOKUP(B1002,汇总!$B$2:$I$2921,8,FALSE),"")</f>
        <v>理工</v>
      </c>
      <c r="J1002" s="29" t="s">
        <v>11</v>
      </c>
      <c r="K1002" s="33" t="s">
        <v>1252</v>
      </c>
    </row>
    <row r="1003" ht="33.75" spans="1:11">
      <c r="A1003" s="34">
        <v>1002</v>
      </c>
      <c r="B1003" s="34" t="s">
        <v>1307</v>
      </c>
      <c r="C1003" s="29" t="str">
        <f>VLOOKUP(B1003,教育部大学名单!$B$1:$D$2920,3,FALSE)</f>
        <v>辽宁省教育厅</v>
      </c>
      <c r="D1003" s="34" t="s">
        <v>220</v>
      </c>
      <c r="E1003" s="34" t="s">
        <v>223</v>
      </c>
      <c r="F1003" s="36" t="str">
        <f>IFERROR(VLOOKUP(B1003,'985'!$B$2:$D$40,3,FALSE),"")</f>
        <v/>
      </c>
      <c r="G1003" s="32" t="str">
        <f>IFERROR(VLOOKUP(B1003,'211'!$B$2:$D$116,3,FALSE),"")</f>
        <v/>
      </c>
      <c r="H1003" s="32" t="str">
        <f>IFERROR(VLOOKUP(B1003,双一流!$B$2:$D$148,3,FALSE),"")</f>
        <v/>
      </c>
      <c r="I1003" s="32">
        <f>IFERROR(VLOOKUP(B1003,汇总!$B$2:$I$2921,8,FALSE),"")</f>
        <v>0</v>
      </c>
      <c r="J1003" s="34" t="s">
        <v>11</v>
      </c>
      <c r="K1003" s="35" t="s">
        <v>1252</v>
      </c>
    </row>
    <row r="1004" ht="33.75" spans="1:11">
      <c r="A1004" s="29">
        <v>1003</v>
      </c>
      <c r="B1004" s="29" t="s">
        <v>1308</v>
      </c>
      <c r="C1004" s="29" t="str">
        <f>VLOOKUP(B1004,教育部大学名单!$B$1:$D$2920,3,FALSE)</f>
        <v>辽宁省教育厅</v>
      </c>
      <c r="D1004" s="29" t="s">
        <v>220</v>
      </c>
      <c r="E1004" s="29" t="s">
        <v>221</v>
      </c>
      <c r="F1004" s="36" t="str">
        <f>IFERROR(VLOOKUP(B1004,'985'!$B$2:$D$40,3,FALSE),"")</f>
        <v/>
      </c>
      <c r="G1004" s="32" t="str">
        <f>IFERROR(VLOOKUP(B1004,'211'!$B$2:$D$116,3,FALSE),"")</f>
        <v/>
      </c>
      <c r="H1004" s="32" t="str">
        <f>IFERROR(VLOOKUP(B1004,双一流!$B$2:$D$148,3,FALSE),"")</f>
        <v/>
      </c>
      <c r="I1004" s="32">
        <f>IFERROR(VLOOKUP(B1004,汇总!$B$2:$I$2921,8,FALSE),"")</f>
        <v>0</v>
      </c>
      <c r="J1004" s="29" t="s">
        <v>11</v>
      </c>
      <c r="K1004" s="33" t="s">
        <v>1252</v>
      </c>
    </row>
    <row r="1005" ht="33.75" spans="1:11">
      <c r="A1005" s="34">
        <v>1004</v>
      </c>
      <c r="B1005" s="34" t="s">
        <v>1309</v>
      </c>
      <c r="C1005" s="29" t="str">
        <f>VLOOKUP(B1005,教育部大学名单!$B$1:$D$2920,3,FALSE)</f>
        <v>辽宁省教育厅</v>
      </c>
      <c r="D1005" s="34" t="s">
        <v>220</v>
      </c>
      <c r="E1005" s="34" t="s">
        <v>223</v>
      </c>
      <c r="F1005" s="36" t="str">
        <f>IFERROR(VLOOKUP(B1005,'985'!$B$2:$D$40,3,FALSE),"")</f>
        <v/>
      </c>
      <c r="G1005" s="32" t="str">
        <f>IFERROR(VLOOKUP(B1005,'211'!$B$2:$D$116,3,FALSE),"")</f>
        <v/>
      </c>
      <c r="H1005" s="32" t="str">
        <f>IFERROR(VLOOKUP(B1005,双一流!$B$2:$D$148,3,FALSE),"")</f>
        <v/>
      </c>
      <c r="I1005" s="32" t="str">
        <f>IFERROR(VLOOKUP(B1005,汇总!$B$2:$I$2921,8,FALSE),"")</f>
        <v>医药</v>
      </c>
      <c r="J1005" s="34" t="s">
        <v>11</v>
      </c>
      <c r="K1005" s="35" t="s">
        <v>1252</v>
      </c>
    </row>
    <row r="1006" ht="33.75" spans="1:11">
      <c r="A1006" s="29">
        <v>1005</v>
      </c>
      <c r="B1006" s="29" t="s">
        <v>1310</v>
      </c>
      <c r="C1006" s="29" t="str">
        <f>VLOOKUP(B1006,教育部大学名单!$B$1:$D$2920,3,FALSE)</f>
        <v>辽宁省教育厅</v>
      </c>
      <c r="D1006" s="29" t="s">
        <v>220</v>
      </c>
      <c r="E1006" s="29" t="s">
        <v>240</v>
      </c>
      <c r="F1006" s="36" t="str">
        <f>IFERROR(VLOOKUP(B1006,'985'!$B$2:$D$40,3,FALSE),"")</f>
        <v/>
      </c>
      <c r="G1006" s="32" t="str">
        <f>IFERROR(VLOOKUP(B1006,'211'!$B$2:$D$116,3,FALSE),"")</f>
        <v/>
      </c>
      <c r="H1006" s="32" t="str">
        <f>IFERROR(VLOOKUP(B1006,双一流!$B$2:$D$148,3,FALSE),"")</f>
        <v/>
      </c>
      <c r="I1006" s="32" t="str">
        <f>IFERROR(VLOOKUP(B1006,汇总!$B$2:$I$2921,8,FALSE),"")</f>
        <v>医药</v>
      </c>
      <c r="J1006" s="29" t="s">
        <v>11</v>
      </c>
      <c r="K1006" s="33" t="s">
        <v>1252</v>
      </c>
    </row>
    <row r="1007" ht="33.75" spans="1:11">
      <c r="A1007" s="34">
        <v>1006</v>
      </c>
      <c r="B1007" s="34" t="s">
        <v>1311</v>
      </c>
      <c r="C1007" s="29" t="str">
        <f>VLOOKUP(B1007,教育部大学名单!$B$1:$D$2920,3,FALSE)</f>
        <v>辽宁省教育厅</v>
      </c>
      <c r="D1007" s="34" t="s">
        <v>220</v>
      </c>
      <c r="E1007" s="34" t="s">
        <v>223</v>
      </c>
      <c r="F1007" s="36" t="str">
        <f>IFERROR(VLOOKUP(B1007,'985'!$B$2:$D$40,3,FALSE),"")</f>
        <v/>
      </c>
      <c r="G1007" s="32" t="str">
        <f>IFERROR(VLOOKUP(B1007,'211'!$B$2:$D$116,3,FALSE),"")</f>
        <v/>
      </c>
      <c r="H1007" s="32" t="str">
        <f>IFERROR(VLOOKUP(B1007,双一流!$B$2:$D$148,3,FALSE),"")</f>
        <v/>
      </c>
      <c r="I1007" s="32" t="str">
        <f>IFERROR(VLOOKUP(B1007,汇总!$B$2:$I$2921,8,FALSE),"")</f>
        <v>综合</v>
      </c>
      <c r="J1007" s="34" t="s">
        <v>11</v>
      </c>
      <c r="K1007" s="35" t="s">
        <v>1252</v>
      </c>
    </row>
    <row r="1008" ht="33.75" spans="1:11">
      <c r="A1008" s="29">
        <v>1007</v>
      </c>
      <c r="B1008" s="29" t="s">
        <v>1312</v>
      </c>
      <c r="C1008" s="29" t="str">
        <f>VLOOKUP(B1008,教育部大学名单!$B$1:$D$2920,3,FALSE)</f>
        <v>辽宁省教育厅</v>
      </c>
      <c r="D1008" s="29" t="s">
        <v>220</v>
      </c>
      <c r="E1008" s="29" t="s">
        <v>240</v>
      </c>
      <c r="F1008" s="36" t="str">
        <f>IFERROR(VLOOKUP(B1008,'985'!$B$2:$D$40,3,FALSE),"")</f>
        <v/>
      </c>
      <c r="G1008" s="32" t="str">
        <f>IFERROR(VLOOKUP(B1008,'211'!$B$2:$D$116,3,FALSE),"")</f>
        <v/>
      </c>
      <c r="H1008" s="32" t="str">
        <f>IFERROR(VLOOKUP(B1008,双一流!$B$2:$D$148,3,FALSE),"")</f>
        <v/>
      </c>
      <c r="I1008" s="32">
        <f>IFERROR(VLOOKUP(B1008,汇总!$B$2:$I$2921,8,FALSE),"")</f>
        <v>0</v>
      </c>
      <c r="J1008" s="29" t="s">
        <v>11</v>
      </c>
      <c r="K1008" s="33" t="s">
        <v>1252</v>
      </c>
    </row>
    <row r="1009" ht="33.75" spans="1:11">
      <c r="A1009" s="34">
        <v>1008</v>
      </c>
      <c r="B1009" s="34" t="s">
        <v>1313</v>
      </c>
      <c r="C1009" s="29" t="str">
        <f>VLOOKUP(B1009,教育部大学名单!$B$1:$D$2920,3,FALSE)</f>
        <v>辽宁省教育厅</v>
      </c>
      <c r="D1009" s="34" t="s">
        <v>220</v>
      </c>
      <c r="E1009" s="34" t="s">
        <v>223</v>
      </c>
      <c r="F1009" s="36" t="str">
        <f>IFERROR(VLOOKUP(B1009,'985'!$B$2:$D$40,3,FALSE),"")</f>
        <v/>
      </c>
      <c r="G1009" s="32" t="str">
        <f>IFERROR(VLOOKUP(B1009,'211'!$B$2:$D$116,3,FALSE),"")</f>
        <v/>
      </c>
      <c r="H1009" s="32" t="str">
        <f>IFERROR(VLOOKUP(B1009,双一流!$B$2:$D$148,3,FALSE),"")</f>
        <v/>
      </c>
      <c r="I1009" s="32">
        <f>IFERROR(VLOOKUP(B1009,汇总!$B$2:$I$2921,8,FALSE),"")</f>
        <v>0</v>
      </c>
      <c r="J1009" s="34" t="s">
        <v>11</v>
      </c>
      <c r="K1009" s="35" t="s">
        <v>1252</v>
      </c>
    </row>
    <row r="1010" ht="33.75" spans="1:11">
      <c r="A1010" s="29">
        <v>1009</v>
      </c>
      <c r="B1010" s="29" t="s">
        <v>1314</v>
      </c>
      <c r="C1010" s="29" t="str">
        <f>VLOOKUP(B1010,教育部大学名单!$B$1:$D$2920,3,FALSE)</f>
        <v>辽宁省教育厅</v>
      </c>
      <c r="D1010" s="29" t="s">
        <v>220</v>
      </c>
      <c r="E1010" s="29" t="s">
        <v>221</v>
      </c>
      <c r="F1010" s="36" t="str">
        <f>IFERROR(VLOOKUP(B1010,'985'!$B$2:$D$40,3,FALSE),"")</f>
        <v/>
      </c>
      <c r="G1010" s="32" t="str">
        <f>IFERROR(VLOOKUP(B1010,'211'!$B$2:$D$116,3,FALSE),"")</f>
        <v/>
      </c>
      <c r="H1010" s="32" t="str">
        <f>IFERROR(VLOOKUP(B1010,双一流!$B$2:$D$148,3,FALSE),"")</f>
        <v/>
      </c>
      <c r="I1010" s="32">
        <f>IFERROR(VLOOKUP(B1010,汇总!$B$2:$I$2921,8,FALSE),"")</f>
        <v>0</v>
      </c>
      <c r="J1010" s="29" t="s">
        <v>11</v>
      </c>
      <c r="K1010" s="33" t="s">
        <v>1252</v>
      </c>
    </row>
    <row r="1011" ht="33.75" spans="1:11">
      <c r="A1011" s="34">
        <v>1010</v>
      </c>
      <c r="B1011" s="34" t="s">
        <v>1315</v>
      </c>
      <c r="C1011" s="29" t="str">
        <f>VLOOKUP(B1011,教育部大学名单!$B$1:$D$2920,3,FALSE)</f>
        <v>辽宁省教育厅</v>
      </c>
      <c r="D1011" s="34" t="s">
        <v>220</v>
      </c>
      <c r="E1011" s="34" t="s">
        <v>223</v>
      </c>
      <c r="F1011" s="36" t="str">
        <f>IFERROR(VLOOKUP(B1011,'985'!$B$2:$D$40,3,FALSE),"")</f>
        <v/>
      </c>
      <c r="G1011" s="32" t="str">
        <f>IFERROR(VLOOKUP(B1011,'211'!$B$2:$D$116,3,FALSE),"")</f>
        <v/>
      </c>
      <c r="H1011" s="32" t="str">
        <f>IFERROR(VLOOKUP(B1011,双一流!$B$2:$D$148,3,FALSE),"")</f>
        <v/>
      </c>
      <c r="I1011" s="32">
        <f>IFERROR(VLOOKUP(B1011,汇总!$B$2:$I$2921,8,FALSE),"")</f>
        <v>0</v>
      </c>
      <c r="J1011" s="34" t="s">
        <v>11</v>
      </c>
      <c r="K1011" s="35" t="s">
        <v>1252</v>
      </c>
    </row>
    <row r="1012" ht="50.25" spans="1:11">
      <c r="A1012" s="29">
        <v>1011</v>
      </c>
      <c r="B1012" s="29" t="s">
        <v>1316</v>
      </c>
      <c r="C1012" s="29" t="str">
        <f>VLOOKUP(B1012,教育部大学名单!$B$1:$D$2920,3,FALSE)</f>
        <v>辽宁省教育厅</v>
      </c>
      <c r="D1012" s="29" t="s">
        <v>220</v>
      </c>
      <c r="E1012" s="29" t="s">
        <v>221</v>
      </c>
      <c r="F1012" s="36" t="str">
        <f>IFERROR(VLOOKUP(B1012,'985'!$B$2:$D$40,3,FALSE),"")</f>
        <v/>
      </c>
      <c r="G1012" s="32" t="str">
        <f>IFERROR(VLOOKUP(B1012,'211'!$B$2:$D$116,3,FALSE),"")</f>
        <v/>
      </c>
      <c r="H1012" s="32" t="str">
        <f>IFERROR(VLOOKUP(B1012,双一流!$B$2:$D$148,3,FALSE),"")</f>
        <v/>
      </c>
      <c r="I1012" s="32" t="str">
        <f>IFERROR(VLOOKUP(B1012,汇总!$B$2:$I$2921,8,FALSE),"")</f>
        <v>医药</v>
      </c>
      <c r="J1012" s="29" t="s">
        <v>11</v>
      </c>
      <c r="K1012" s="33" t="s">
        <v>1252</v>
      </c>
    </row>
    <row r="1013" ht="33.75" spans="1:11">
      <c r="A1013" s="34">
        <v>1012</v>
      </c>
      <c r="B1013" s="34" t="s">
        <v>1317</v>
      </c>
      <c r="C1013" s="29" t="str">
        <f>VLOOKUP(B1013,教育部大学名单!$B$1:$D$2920,3,FALSE)</f>
        <v>辽宁省教育厅</v>
      </c>
      <c r="D1013" s="34" t="s">
        <v>220</v>
      </c>
      <c r="E1013" s="34" t="s">
        <v>221</v>
      </c>
      <c r="F1013" s="36" t="str">
        <f>IFERROR(VLOOKUP(B1013,'985'!$B$2:$D$40,3,FALSE),"")</f>
        <v/>
      </c>
      <c r="G1013" s="32" t="str">
        <f>IFERROR(VLOOKUP(B1013,'211'!$B$2:$D$116,3,FALSE),"")</f>
        <v/>
      </c>
      <c r="H1013" s="32" t="str">
        <f>IFERROR(VLOOKUP(B1013,双一流!$B$2:$D$148,3,FALSE),"")</f>
        <v/>
      </c>
      <c r="I1013" s="32">
        <f>IFERROR(VLOOKUP(B1013,汇总!$B$2:$I$2921,8,FALSE),"")</f>
        <v>0</v>
      </c>
      <c r="J1013" s="34" t="s">
        <v>11</v>
      </c>
      <c r="K1013" s="35" t="s">
        <v>1252</v>
      </c>
    </row>
    <row r="1014" ht="33.75" spans="1:11">
      <c r="A1014" s="29">
        <v>1013</v>
      </c>
      <c r="B1014" s="29" t="s">
        <v>1318</v>
      </c>
      <c r="C1014" s="29" t="str">
        <f>VLOOKUP(B1014,教育部大学名单!$B$1:$D$2920,3,FALSE)</f>
        <v>辽宁省教育厅</v>
      </c>
      <c r="D1014" s="29" t="s">
        <v>220</v>
      </c>
      <c r="E1014" s="29" t="s">
        <v>221</v>
      </c>
      <c r="F1014" s="36" t="str">
        <f>IFERROR(VLOOKUP(B1014,'985'!$B$2:$D$40,3,FALSE),"")</f>
        <v/>
      </c>
      <c r="G1014" s="32" t="str">
        <f>IFERROR(VLOOKUP(B1014,'211'!$B$2:$D$116,3,FALSE),"")</f>
        <v/>
      </c>
      <c r="H1014" s="32" t="str">
        <f>IFERROR(VLOOKUP(B1014,双一流!$B$2:$D$148,3,FALSE),"")</f>
        <v/>
      </c>
      <c r="I1014" s="32">
        <f>IFERROR(VLOOKUP(B1014,汇总!$B$2:$I$2921,8,FALSE),"")</f>
        <v>0</v>
      </c>
      <c r="J1014" s="29" t="s">
        <v>11</v>
      </c>
      <c r="K1014" s="33" t="s">
        <v>1252</v>
      </c>
    </row>
    <row r="1015" ht="33.75" spans="1:11">
      <c r="A1015" s="34">
        <v>1014</v>
      </c>
      <c r="B1015" s="34" t="s">
        <v>1319</v>
      </c>
      <c r="C1015" s="29" t="str">
        <f>VLOOKUP(B1015,教育部大学名单!$B$1:$D$2920,3,FALSE)</f>
        <v>辽宁省教育厅</v>
      </c>
      <c r="D1015" s="34" t="s">
        <v>220</v>
      </c>
      <c r="E1015" s="34" t="s">
        <v>223</v>
      </c>
      <c r="F1015" s="36" t="str">
        <f>IFERROR(VLOOKUP(B1015,'985'!$B$2:$D$40,3,FALSE),"")</f>
        <v/>
      </c>
      <c r="G1015" s="32" t="str">
        <f>IFERROR(VLOOKUP(B1015,'211'!$B$2:$D$116,3,FALSE),"")</f>
        <v/>
      </c>
      <c r="H1015" s="32" t="str">
        <f>IFERROR(VLOOKUP(B1015,双一流!$B$2:$D$148,3,FALSE),"")</f>
        <v/>
      </c>
      <c r="I1015" s="32">
        <f>IFERROR(VLOOKUP(B1015,汇总!$B$2:$I$2921,8,FALSE),"")</f>
        <v>0</v>
      </c>
      <c r="J1015" s="34" t="s">
        <v>11</v>
      </c>
      <c r="K1015" s="35" t="s">
        <v>1252</v>
      </c>
    </row>
    <row r="1016" ht="33.75" spans="1:11">
      <c r="A1016" s="29">
        <v>1015</v>
      </c>
      <c r="B1016" s="29" t="s">
        <v>1320</v>
      </c>
      <c r="C1016" s="29" t="str">
        <f>VLOOKUP(B1016,教育部大学名单!$B$1:$D$2920,3,FALSE)</f>
        <v>辽宁省教育厅</v>
      </c>
      <c r="D1016" s="29" t="s">
        <v>220</v>
      </c>
      <c r="E1016" s="29" t="s">
        <v>1321</v>
      </c>
      <c r="F1016" s="36" t="str">
        <f>IFERROR(VLOOKUP(B1016,'985'!$B$2:$D$40,3,FALSE),"")</f>
        <v/>
      </c>
      <c r="G1016" s="32" t="str">
        <f>IFERROR(VLOOKUP(B1016,'211'!$B$2:$D$116,3,FALSE),"")</f>
        <v/>
      </c>
      <c r="H1016" s="32" t="str">
        <f>IFERROR(VLOOKUP(B1016,双一流!$B$2:$D$148,3,FALSE),"")</f>
        <v/>
      </c>
      <c r="I1016" s="32">
        <f>IFERROR(VLOOKUP(B1016,汇总!$B$2:$I$2921,8,FALSE),"")</f>
        <v>0</v>
      </c>
      <c r="J1016" s="29" t="s">
        <v>11</v>
      </c>
      <c r="K1016" s="33" t="s">
        <v>1252</v>
      </c>
    </row>
    <row r="1017" ht="33.75" spans="1:11">
      <c r="A1017" s="34">
        <v>1016</v>
      </c>
      <c r="B1017" s="34" t="s">
        <v>1322</v>
      </c>
      <c r="C1017" s="29" t="str">
        <f>VLOOKUP(B1017,教育部大学名单!$B$1:$D$2920,3,FALSE)</f>
        <v>辽宁省教育厅</v>
      </c>
      <c r="D1017" s="34" t="s">
        <v>220</v>
      </c>
      <c r="E1017" s="34" t="s">
        <v>221</v>
      </c>
      <c r="F1017" s="36" t="str">
        <f>IFERROR(VLOOKUP(B1017,'985'!$B$2:$D$40,3,FALSE),"")</f>
        <v/>
      </c>
      <c r="G1017" s="32" t="str">
        <f>IFERROR(VLOOKUP(B1017,'211'!$B$2:$D$116,3,FALSE),"")</f>
        <v/>
      </c>
      <c r="H1017" s="32" t="str">
        <f>IFERROR(VLOOKUP(B1017,双一流!$B$2:$D$148,3,FALSE),"")</f>
        <v/>
      </c>
      <c r="I1017" s="32">
        <f>IFERROR(VLOOKUP(B1017,汇总!$B$2:$I$2921,8,FALSE),"")</f>
        <v>0</v>
      </c>
      <c r="J1017" s="34" t="s">
        <v>11</v>
      </c>
      <c r="K1017" s="35" t="s">
        <v>1252</v>
      </c>
    </row>
    <row r="1018" ht="33.75" spans="1:11">
      <c r="A1018" s="29">
        <v>1017</v>
      </c>
      <c r="B1018" s="29" t="s">
        <v>1323</v>
      </c>
      <c r="C1018" s="29" t="str">
        <f>VLOOKUP(B1018,教育部大学名单!$B$1:$D$2920,3,FALSE)</f>
        <v>吉林省教育厅</v>
      </c>
      <c r="D1018" s="29" t="s">
        <v>273</v>
      </c>
      <c r="E1018" s="29" t="s">
        <v>274</v>
      </c>
      <c r="F1018" s="36" t="str">
        <f>IFERROR(VLOOKUP(B1018,'985'!$B$2:$D$40,3,FALSE),"")</f>
        <v/>
      </c>
      <c r="G1018" s="32" t="str">
        <f>IFERROR(VLOOKUP(B1018,'211'!$B$2:$D$116,3,FALSE),"")</f>
        <v/>
      </c>
      <c r="H1018" s="32" t="str">
        <f>IFERROR(VLOOKUP(B1018,双一流!$B$2:$D$148,3,FALSE),"")</f>
        <v/>
      </c>
      <c r="I1018" s="32">
        <f>IFERROR(VLOOKUP(B1018,汇总!$B$2:$I$2921,8,FALSE),"")</f>
        <v>0</v>
      </c>
      <c r="J1018" s="29" t="s">
        <v>11</v>
      </c>
      <c r="K1018" s="33" t="s">
        <v>1252</v>
      </c>
    </row>
    <row r="1019" ht="33.75" spans="1:11">
      <c r="A1019" s="34">
        <v>1018</v>
      </c>
      <c r="B1019" s="34" t="s">
        <v>1324</v>
      </c>
      <c r="C1019" s="29" t="str">
        <f>VLOOKUP(B1019,教育部大学名单!$B$1:$D$2920,3,FALSE)</f>
        <v>吉林省教育厅</v>
      </c>
      <c r="D1019" s="34" t="s">
        <v>273</v>
      </c>
      <c r="E1019" s="34" t="s">
        <v>274</v>
      </c>
      <c r="F1019" s="36" t="str">
        <f>IFERROR(VLOOKUP(B1019,'985'!$B$2:$D$40,3,FALSE),"")</f>
        <v/>
      </c>
      <c r="G1019" s="32" t="str">
        <f>IFERROR(VLOOKUP(B1019,'211'!$B$2:$D$116,3,FALSE),"")</f>
        <v/>
      </c>
      <c r="H1019" s="32" t="str">
        <f>IFERROR(VLOOKUP(B1019,双一流!$B$2:$D$148,3,FALSE),"")</f>
        <v/>
      </c>
      <c r="I1019" s="32">
        <f>IFERROR(VLOOKUP(B1019,汇总!$B$2:$I$2921,8,FALSE),"")</f>
        <v>0</v>
      </c>
      <c r="J1019" s="34" t="s">
        <v>11</v>
      </c>
      <c r="K1019" s="35" t="s">
        <v>1252</v>
      </c>
    </row>
    <row r="1020" ht="50.25" spans="1:11">
      <c r="A1020" s="29">
        <v>1019</v>
      </c>
      <c r="B1020" s="29" t="s">
        <v>1325</v>
      </c>
      <c r="C1020" s="29" t="str">
        <f>VLOOKUP(B1020,教育部大学名单!$B$1:$D$2920,3,FALSE)</f>
        <v>吉林省教育厅</v>
      </c>
      <c r="D1020" s="29" t="s">
        <v>273</v>
      </c>
      <c r="E1020" s="29" t="s">
        <v>274</v>
      </c>
      <c r="F1020" s="36" t="str">
        <f>IFERROR(VLOOKUP(B1020,'985'!$B$2:$D$40,3,FALSE),"")</f>
        <v/>
      </c>
      <c r="G1020" s="32" t="str">
        <f>IFERROR(VLOOKUP(B1020,'211'!$B$2:$D$116,3,FALSE),"")</f>
        <v/>
      </c>
      <c r="H1020" s="32" t="str">
        <f>IFERROR(VLOOKUP(B1020,双一流!$B$2:$D$148,3,FALSE),"")</f>
        <v/>
      </c>
      <c r="I1020" s="32" t="str">
        <f>IFERROR(VLOOKUP(B1020,汇总!$B$2:$I$2921,8,FALSE),"")</f>
        <v>综合</v>
      </c>
      <c r="J1020" s="29" t="s">
        <v>11</v>
      </c>
      <c r="K1020" s="33" t="s">
        <v>1252</v>
      </c>
    </row>
    <row r="1021" ht="33.75" spans="1:11">
      <c r="A1021" s="34">
        <v>1020</v>
      </c>
      <c r="B1021" s="34" t="s">
        <v>1326</v>
      </c>
      <c r="C1021" s="29" t="str">
        <f>VLOOKUP(B1021,教育部大学名单!$B$1:$D$2920,3,FALSE)</f>
        <v>吉林省教育厅</v>
      </c>
      <c r="D1021" s="34" t="s">
        <v>273</v>
      </c>
      <c r="E1021" s="34" t="s">
        <v>274</v>
      </c>
      <c r="F1021" s="36" t="str">
        <f>IFERROR(VLOOKUP(B1021,'985'!$B$2:$D$40,3,FALSE),"")</f>
        <v/>
      </c>
      <c r="G1021" s="32" t="str">
        <f>IFERROR(VLOOKUP(B1021,'211'!$B$2:$D$116,3,FALSE),"")</f>
        <v/>
      </c>
      <c r="H1021" s="32" t="str">
        <f>IFERROR(VLOOKUP(B1021,双一流!$B$2:$D$148,3,FALSE),"")</f>
        <v/>
      </c>
      <c r="I1021" s="32">
        <f>IFERROR(VLOOKUP(B1021,汇总!$B$2:$I$2921,8,FALSE),"")</f>
        <v>0</v>
      </c>
      <c r="J1021" s="34" t="s">
        <v>11</v>
      </c>
      <c r="K1021" s="35" t="s">
        <v>1252</v>
      </c>
    </row>
    <row r="1022" ht="33.75" spans="1:11">
      <c r="A1022" s="29">
        <v>1021</v>
      </c>
      <c r="B1022" s="29" t="s">
        <v>1327</v>
      </c>
      <c r="C1022" s="29" t="str">
        <f>VLOOKUP(B1022,教育部大学名单!$B$1:$D$2920,3,FALSE)</f>
        <v>吉林省教育厅</v>
      </c>
      <c r="D1022" s="29" t="s">
        <v>273</v>
      </c>
      <c r="E1022" s="29" t="s">
        <v>274</v>
      </c>
      <c r="F1022" s="36" t="str">
        <f>IFERROR(VLOOKUP(B1022,'985'!$B$2:$D$40,3,FALSE),"")</f>
        <v/>
      </c>
      <c r="G1022" s="32" t="str">
        <f>IFERROR(VLOOKUP(B1022,'211'!$B$2:$D$116,3,FALSE),"")</f>
        <v/>
      </c>
      <c r="H1022" s="32" t="str">
        <f>IFERROR(VLOOKUP(B1022,双一流!$B$2:$D$148,3,FALSE),"")</f>
        <v/>
      </c>
      <c r="I1022" s="32">
        <f>IFERROR(VLOOKUP(B1022,汇总!$B$2:$I$2921,8,FALSE),"")</f>
        <v>0</v>
      </c>
      <c r="J1022" s="29" t="s">
        <v>11</v>
      </c>
      <c r="K1022" s="33" t="s">
        <v>1252</v>
      </c>
    </row>
    <row r="1023" ht="33.75" spans="1:11">
      <c r="A1023" s="34">
        <v>1022</v>
      </c>
      <c r="B1023" s="34" t="s">
        <v>1328</v>
      </c>
      <c r="C1023" s="29" t="str">
        <f>VLOOKUP(B1023,教育部大学名单!$B$1:$D$2920,3,FALSE)</f>
        <v>吉林省教育厅</v>
      </c>
      <c r="D1023" s="34" t="s">
        <v>273</v>
      </c>
      <c r="E1023" s="34" t="s">
        <v>274</v>
      </c>
      <c r="F1023" s="36" t="str">
        <f>IFERROR(VLOOKUP(B1023,'985'!$B$2:$D$40,3,FALSE),"")</f>
        <v/>
      </c>
      <c r="G1023" s="32" t="str">
        <f>IFERROR(VLOOKUP(B1023,'211'!$B$2:$D$116,3,FALSE),"")</f>
        <v/>
      </c>
      <c r="H1023" s="32" t="str">
        <f>IFERROR(VLOOKUP(B1023,双一流!$B$2:$D$148,3,FALSE),"")</f>
        <v/>
      </c>
      <c r="I1023" s="32">
        <f>IFERROR(VLOOKUP(B1023,汇总!$B$2:$I$2921,8,FALSE),"")</f>
        <v>0</v>
      </c>
      <c r="J1023" s="34" t="s">
        <v>11</v>
      </c>
      <c r="K1023" s="35" t="s">
        <v>1252</v>
      </c>
    </row>
    <row r="1024" ht="33.75" spans="1:11">
      <c r="A1024" s="29">
        <v>1023</v>
      </c>
      <c r="B1024" s="29" t="s">
        <v>1329</v>
      </c>
      <c r="C1024" s="29" t="str">
        <f>VLOOKUP(B1024,教育部大学名单!$B$1:$D$2920,3,FALSE)</f>
        <v>吉林省教育厅</v>
      </c>
      <c r="D1024" s="29" t="s">
        <v>273</v>
      </c>
      <c r="E1024" s="29" t="s">
        <v>274</v>
      </c>
      <c r="F1024" s="36" t="str">
        <f>IFERROR(VLOOKUP(B1024,'985'!$B$2:$D$40,3,FALSE),"")</f>
        <v/>
      </c>
      <c r="G1024" s="32" t="str">
        <f>IFERROR(VLOOKUP(B1024,'211'!$B$2:$D$116,3,FALSE),"")</f>
        <v/>
      </c>
      <c r="H1024" s="32" t="str">
        <f>IFERROR(VLOOKUP(B1024,双一流!$B$2:$D$148,3,FALSE),"")</f>
        <v/>
      </c>
      <c r="I1024" s="32">
        <f>IFERROR(VLOOKUP(B1024,汇总!$B$2:$I$2921,8,FALSE),"")</f>
        <v>0</v>
      </c>
      <c r="J1024" s="29" t="s">
        <v>11</v>
      </c>
      <c r="K1024" s="33" t="s">
        <v>1252</v>
      </c>
    </row>
    <row r="1025" ht="33.75" spans="1:11">
      <c r="A1025" s="34">
        <v>1024</v>
      </c>
      <c r="B1025" s="34" t="s">
        <v>1330</v>
      </c>
      <c r="C1025" s="29" t="str">
        <f>VLOOKUP(B1025,教育部大学名单!$B$1:$D$2920,3,FALSE)</f>
        <v>吉林省教育厅</v>
      </c>
      <c r="D1025" s="34" t="s">
        <v>273</v>
      </c>
      <c r="E1025" s="34" t="s">
        <v>274</v>
      </c>
      <c r="F1025" s="36" t="str">
        <f>IFERROR(VLOOKUP(B1025,'985'!$B$2:$D$40,3,FALSE),"")</f>
        <v/>
      </c>
      <c r="G1025" s="32" t="str">
        <f>IFERROR(VLOOKUP(B1025,'211'!$B$2:$D$116,3,FALSE),"")</f>
        <v/>
      </c>
      <c r="H1025" s="32" t="str">
        <f>IFERROR(VLOOKUP(B1025,双一流!$B$2:$D$148,3,FALSE),"")</f>
        <v/>
      </c>
      <c r="I1025" s="32">
        <f>IFERROR(VLOOKUP(B1025,汇总!$B$2:$I$2921,8,FALSE),"")</f>
        <v>0</v>
      </c>
      <c r="J1025" s="34" t="s">
        <v>11</v>
      </c>
      <c r="K1025" s="35" t="s">
        <v>1252</v>
      </c>
    </row>
    <row r="1026" ht="33.75" spans="1:11">
      <c r="A1026" s="29">
        <v>1025</v>
      </c>
      <c r="B1026" s="29" t="s">
        <v>1331</v>
      </c>
      <c r="C1026" s="29" t="str">
        <f>VLOOKUP(B1026,教育部大学名单!$B$1:$D$2920,3,FALSE)</f>
        <v>吉林省教育厅</v>
      </c>
      <c r="D1026" s="29" t="s">
        <v>273</v>
      </c>
      <c r="E1026" s="29" t="s">
        <v>274</v>
      </c>
      <c r="F1026" s="36" t="str">
        <f>IFERROR(VLOOKUP(B1026,'985'!$B$2:$D$40,3,FALSE),"")</f>
        <v/>
      </c>
      <c r="G1026" s="32" t="str">
        <f>IFERROR(VLOOKUP(B1026,'211'!$B$2:$D$116,3,FALSE),"")</f>
        <v/>
      </c>
      <c r="H1026" s="32" t="str">
        <f>IFERROR(VLOOKUP(B1026,双一流!$B$2:$D$148,3,FALSE),"")</f>
        <v/>
      </c>
      <c r="I1026" s="32">
        <f>IFERROR(VLOOKUP(B1026,汇总!$B$2:$I$2921,8,FALSE),"")</f>
        <v>0</v>
      </c>
      <c r="J1026" s="29" t="s">
        <v>11</v>
      </c>
      <c r="K1026" s="33" t="s">
        <v>1252</v>
      </c>
    </row>
    <row r="1027" ht="33.75" spans="1:11">
      <c r="A1027" s="34">
        <v>1026</v>
      </c>
      <c r="B1027" s="34" t="s">
        <v>1332</v>
      </c>
      <c r="C1027" s="29" t="str">
        <f>VLOOKUP(B1027,教育部大学名单!$B$1:$D$2920,3,FALSE)</f>
        <v>吉林省教育厅</v>
      </c>
      <c r="D1027" s="34" t="s">
        <v>273</v>
      </c>
      <c r="E1027" s="34" t="s">
        <v>290</v>
      </c>
      <c r="F1027" s="36" t="str">
        <f>IFERROR(VLOOKUP(B1027,'985'!$B$2:$D$40,3,FALSE),"")</f>
        <v/>
      </c>
      <c r="G1027" s="32" t="str">
        <f>IFERROR(VLOOKUP(B1027,'211'!$B$2:$D$116,3,FALSE),"")</f>
        <v/>
      </c>
      <c r="H1027" s="32" t="str">
        <f>IFERROR(VLOOKUP(B1027,双一流!$B$2:$D$148,3,FALSE),"")</f>
        <v/>
      </c>
      <c r="I1027" s="32" t="str">
        <f>IFERROR(VLOOKUP(B1027,汇总!$B$2:$I$2921,8,FALSE),"")</f>
        <v>综合</v>
      </c>
      <c r="J1027" s="34" t="s">
        <v>11</v>
      </c>
      <c r="K1027" s="35" t="s">
        <v>1252</v>
      </c>
    </row>
    <row r="1028" ht="33.75" spans="1:11">
      <c r="A1028" s="29">
        <v>1027</v>
      </c>
      <c r="B1028" s="29" t="s">
        <v>1333</v>
      </c>
      <c r="C1028" s="29" t="str">
        <f>VLOOKUP(B1028,教育部大学名单!$B$1:$D$2920,3,FALSE)</f>
        <v>吉林省教育厅</v>
      </c>
      <c r="D1028" s="29" t="s">
        <v>273</v>
      </c>
      <c r="E1028" s="29" t="s">
        <v>274</v>
      </c>
      <c r="F1028" s="36" t="str">
        <f>IFERROR(VLOOKUP(B1028,'985'!$B$2:$D$40,3,FALSE),"")</f>
        <v/>
      </c>
      <c r="G1028" s="32" t="str">
        <f>IFERROR(VLOOKUP(B1028,'211'!$B$2:$D$116,3,FALSE),"")</f>
        <v/>
      </c>
      <c r="H1028" s="32" t="str">
        <f>IFERROR(VLOOKUP(B1028,双一流!$B$2:$D$148,3,FALSE),"")</f>
        <v/>
      </c>
      <c r="I1028" s="32" t="str">
        <f>IFERROR(VLOOKUP(B1028,汇总!$B$2:$I$2921,8,FALSE),"")</f>
        <v>综合</v>
      </c>
      <c r="J1028" s="29" t="s">
        <v>11</v>
      </c>
      <c r="K1028" s="33" t="s">
        <v>1252</v>
      </c>
    </row>
    <row r="1029" ht="33.75" spans="1:11">
      <c r="A1029" s="34">
        <v>1028</v>
      </c>
      <c r="B1029" s="34" t="s">
        <v>1334</v>
      </c>
      <c r="C1029" s="29" t="str">
        <f>VLOOKUP(B1029,教育部大学名单!$B$1:$D$2920,3,FALSE)</f>
        <v>吉林省教育厅</v>
      </c>
      <c r="D1029" s="34" t="s">
        <v>273</v>
      </c>
      <c r="E1029" s="34" t="s">
        <v>274</v>
      </c>
      <c r="F1029" s="36" t="str">
        <f>IFERROR(VLOOKUP(B1029,'985'!$B$2:$D$40,3,FALSE),"")</f>
        <v/>
      </c>
      <c r="G1029" s="32" t="str">
        <f>IFERROR(VLOOKUP(B1029,'211'!$B$2:$D$116,3,FALSE),"")</f>
        <v/>
      </c>
      <c r="H1029" s="32" t="str">
        <f>IFERROR(VLOOKUP(B1029,双一流!$B$2:$D$148,3,FALSE),"")</f>
        <v/>
      </c>
      <c r="I1029" s="32">
        <f>IFERROR(VLOOKUP(B1029,汇总!$B$2:$I$2921,8,FALSE),"")</f>
        <v>0</v>
      </c>
      <c r="J1029" s="34" t="s">
        <v>11</v>
      </c>
      <c r="K1029" s="35" t="s">
        <v>1252</v>
      </c>
    </row>
    <row r="1030" ht="33.75" spans="1:11">
      <c r="A1030" s="29">
        <v>1029</v>
      </c>
      <c r="B1030" s="29" t="s">
        <v>1335</v>
      </c>
      <c r="C1030" s="29" t="str">
        <f>VLOOKUP(B1030,教育部大学名单!$B$1:$D$2920,3,FALSE)</f>
        <v>黑龙江省教育厅</v>
      </c>
      <c r="D1030" s="29" t="s">
        <v>308</v>
      </c>
      <c r="E1030" s="29" t="s">
        <v>309</v>
      </c>
      <c r="F1030" s="36" t="str">
        <f>IFERROR(VLOOKUP(B1030,'985'!$B$2:$D$40,3,FALSE),"")</f>
        <v/>
      </c>
      <c r="G1030" s="32" t="str">
        <f>IFERROR(VLOOKUP(B1030,'211'!$B$2:$D$116,3,FALSE),"")</f>
        <v/>
      </c>
      <c r="H1030" s="32" t="str">
        <f>IFERROR(VLOOKUP(B1030,双一流!$B$2:$D$148,3,FALSE),"")</f>
        <v/>
      </c>
      <c r="I1030" s="32">
        <f>IFERROR(VLOOKUP(B1030,汇总!$B$2:$I$2921,8,FALSE),"")</f>
        <v>0</v>
      </c>
      <c r="J1030" s="29" t="s">
        <v>11</v>
      </c>
      <c r="K1030" s="33" t="s">
        <v>1252</v>
      </c>
    </row>
    <row r="1031" ht="33.75" spans="1:11">
      <c r="A1031" s="34">
        <v>1030</v>
      </c>
      <c r="B1031" s="34" t="s">
        <v>1336</v>
      </c>
      <c r="C1031" s="29" t="str">
        <f>VLOOKUP(B1031,教育部大学名单!$B$1:$D$2920,3,FALSE)</f>
        <v>黑龙江省教育厅</v>
      </c>
      <c r="D1031" s="34" t="s">
        <v>308</v>
      </c>
      <c r="E1031" s="34" t="s">
        <v>309</v>
      </c>
      <c r="F1031" s="36" t="str">
        <f>IFERROR(VLOOKUP(B1031,'985'!$B$2:$D$40,3,FALSE),"")</f>
        <v/>
      </c>
      <c r="G1031" s="32" t="str">
        <f>IFERROR(VLOOKUP(B1031,'211'!$B$2:$D$116,3,FALSE),"")</f>
        <v/>
      </c>
      <c r="H1031" s="32" t="str">
        <f>IFERROR(VLOOKUP(B1031,双一流!$B$2:$D$148,3,FALSE),"")</f>
        <v/>
      </c>
      <c r="I1031" s="32">
        <f>IFERROR(VLOOKUP(B1031,汇总!$B$2:$I$2921,8,FALSE),"")</f>
        <v>0</v>
      </c>
      <c r="J1031" s="34" t="s">
        <v>11</v>
      </c>
      <c r="K1031" s="35" t="s">
        <v>1252</v>
      </c>
    </row>
    <row r="1032" ht="33.75" spans="1:11">
      <c r="A1032" s="29">
        <v>1031</v>
      </c>
      <c r="B1032" s="29" t="s">
        <v>1337</v>
      </c>
      <c r="C1032" s="29" t="str">
        <f>VLOOKUP(B1032,教育部大学名单!$B$1:$D$2920,3,FALSE)</f>
        <v>黑龙江省教育厅</v>
      </c>
      <c r="D1032" s="29" t="s">
        <v>308</v>
      </c>
      <c r="E1032" s="29" t="s">
        <v>327</v>
      </c>
      <c r="F1032" s="36" t="str">
        <f>IFERROR(VLOOKUP(B1032,'985'!$B$2:$D$40,3,FALSE),"")</f>
        <v/>
      </c>
      <c r="G1032" s="32" t="str">
        <f>IFERROR(VLOOKUP(B1032,'211'!$B$2:$D$116,3,FALSE),"")</f>
        <v/>
      </c>
      <c r="H1032" s="32" t="str">
        <f>IFERROR(VLOOKUP(B1032,双一流!$B$2:$D$148,3,FALSE),"")</f>
        <v/>
      </c>
      <c r="I1032" s="32">
        <f>IFERROR(VLOOKUP(B1032,汇总!$B$2:$I$2921,8,FALSE),"")</f>
        <v>0</v>
      </c>
      <c r="J1032" s="29" t="s">
        <v>11</v>
      </c>
      <c r="K1032" s="33" t="s">
        <v>1252</v>
      </c>
    </row>
    <row r="1033" ht="33.75" spans="1:11">
      <c r="A1033" s="34">
        <v>1032</v>
      </c>
      <c r="B1033" s="34" t="s">
        <v>1338</v>
      </c>
      <c r="C1033" s="29" t="str">
        <f>VLOOKUP(B1033,教育部大学名单!$B$1:$D$2920,3,FALSE)</f>
        <v>黑龙江省教育厅</v>
      </c>
      <c r="D1033" s="34" t="s">
        <v>308</v>
      </c>
      <c r="E1033" s="34" t="s">
        <v>309</v>
      </c>
      <c r="F1033" s="36" t="str">
        <f>IFERROR(VLOOKUP(B1033,'985'!$B$2:$D$40,3,FALSE),"")</f>
        <v/>
      </c>
      <c r="G1033" s="32" t="str">
        <f>IFERROR(VLOOKUP(B1033,'211'!$B$2:$D$116,3,FALSE),"")</f>
        <v/>
      </c>
      <c r="H1033" s="32" t="str">
        <f>IFERROR(VLOOKUP(B1033,双一流!$B$2:$D$148,3,FALSE),"")</f>
        <v/>
      </c>
      <c r="I1033" s="32">
        <f>IFERROR(VLOOKUP(B1033,汇总!$B$2:$I$2921,8,FALSE),"")</f>
        <v>0</v>
      </c>
      <c r="J1033" s="34" t="s">
        <v>11</v>
      </c>
      <c r="K1033" s="35" t="s">
        <v>1252</v>
      </c>
    </row>
    <row r="1034" ht="33.75" spans="1:11">
      <c r="A1034" s="29">
        <v>1033</v>
      </c>
      <c r="B1034" s="29" t="s">
        <v>1339</v>
      </c>
      <c r="C1034" s="29" t="str">
        <f>VLOOKUP(B1034,教育部大学名单!$B$1:$D$2920,3,FALSE)</f>
        <v>黑龙江省教育厅</v>
      </c>
      <c r="D1034" s="29" t="s">
        <v>308</v>
      </c>
      <c r="E1034" s="29" t="s">
        <v>309</v>
      </c>
      <c r="F1034" s="36" t="str">
        <f>IFERROR(VLOOKUP(B1034,'985'!$B$2:$D$40,3,FALSE),"")</f>
        <v/>
      </c>
      <c r="G1034" s="32" t="str">
        <f>IFERROR(VLOOKUP(B1034,'211'!$B$2:$D$116,3,FALSE),"")</f>
        <v/>
      </c>
      <c r="H1034" s="32" t="str">
        <f>IFERROR(VLOOKUP(B1034,双一流!$B$2:$D$148,3,FALSE),"")</f>
        <v/>
      </c>
      <c r="I1034" s="32">
        <f>IFERROR(VLOOKUP(B1034,汇总!$B$2:$I$2921,8,FALSE),"")</f>
        <v>0</v>
      </c>
      <c r="J1034" s="29" t="s">
        <v>11</v>
      </c>
      <c r="K1034" s="33" t="s">
        <v>1252</v>
      </c>
    </row>
    <row r="1035" ht="33.75" spans="1:11">
      <c r="A1035" s="34">
        <v>1034</v>
      </c>
      <c r="B1035" s="34" t="s">
        <v>1340</v>
      </c>
      <c r="C1035" s="29" t="str">
        <f>VLOOKUP(B1035,教育部大学名单!$B$1:$D$2920,3,FALSE)</f>
        <v>黑龙江省教育厅</v>
      </c>
      <c r="D1035" s="34" t="s">
        <v>308</v>
      </c>
      <c r="E1035" s="34" t="s">
        <v>309</v>
      </c>
      <c r="F1035" s="36" t="str">
        <f>IFERROR(VLOOKUP(B1035,'985'!$B$2:$D$40,3,FALSE),"")</f>
        <v/>
      </c>
      <c r="G1035" s="32" t="str">
        <f>IFERROR(VLOOKUP(B1035,'211'!$B$2:$D$116,3,FALSE),"")</f>
        <v/>
      </c>
      <c r="H1035" s="32" t="str">
        <f>IFERROR(VLOOKUP(B1035,双一流!$B$2:$D$148,3,FALSE),"")</f>
        <v/>
      </c>
      <c r="I1035" s="32">
        <f>IFERROR(VLOOKUP(B1035,汇总!$B$2:$I$2921,8,FALSE),"")</f>
        <v>0</v>
      </c>
      <c r="J1035" s="34" t="s">
        <v>11</v>
      </c>
      <c r="K1035" s="35" t="s">
        <v>1252</v>
      </c>
    </row>
    <row r="1036" ht="33.75" spans="1:11">
      <c r="A1036" s="29">
        <v>1035</v>
      </c>
      <c r="B1036" s="29" t="s">
        <v>1341</v>
      </c>
      <c r="C1036" s="29" t="str">
        <f>VLOOKUP(B1036,教育部大学名单!$B$1:$D$2920,3,FALSE)</f>
        <v>黑龙江省教育厅</v>
      </c>
      <c r="D1036" s="29" t="s">
        <v>308</v>
      </c>
      <c r="E1036" s="29" t="s">
        <v>309</v>
      </c>
      <c r="F1036" s="36" t="str">
        <f>IFERROR(VLOOKUP(B1036,'985'!$B$2:$D$40,3,FALSE),"")</f>
        <v/>
      </c>
      <c r="G1036" s="32" t="str">
        <f>IFERROR(VLOOKUP(B1036,'211'!$B$2:$D$116,3,FALSE),"")</f>
        <v/>
      </c>
      <c r="H1036" s="32" t="str">
        <f>IFERROR(VLOOKUP(B1036,双一流!$B$2:$D$148,3,FALSE),"")</f>
        <v/>
      </c>
      <c r="I1036" s="32">
        <f>IFERROR(VLOOKUP(B1036,汇总!$B$2:$I$2921,8,FALSE),"")</f>
        <v>0</v>
      </c>
      <c r="J1036" s="29" t="s">
        <v>11</v>
      </c>
      <c r="K1036" s="33" t="s">
        <v>1252</v>
      </c>
    </row>
    <row r="1037" ht="33.75" spans="1:11">
      <c r="A1037" s="34">
        <v>1036</v>
      </c>
      <c r="B1037" s="34" t="s">
        <v>1342</v>
      </c>
      <c r="C1037" s="29" t="str">
        <f>VLOOKUP(B1037,教育部大学名单!$B$1:$D$2920,3,FALSE)</f>
        <v>黑龙江省教育厅</v>
      </c>
      <c r="D1037" s="34" t="s">
        <v>308</v>
      </c>
      <c r="E1037" s="34" t="s">
        <v>309</v>
      </c>
      <c r="F1037" s="36" t="str">
        <f>IFERROR(VLOOKUP(B1037,'985'!$B$2:$D$40,3,FALSE),"")</f>
        <v/>
      </c>
      <c r="G1037" s="32" t="str">
        <f>IFERROR(VLOOKUP(B1037,'211'!$B$2:$D$116,3,FALSE),"")</f>
        <v/>
      </c>
      <c r="H1037" s="32" t="str">
        <f>IFERROR(VLOOKUP(B1037,双一流!$B$2:$D$148,3,FALSE),"")</f>
        <v/>
      </c>
      <c r="I1037" s="32">
        <f>IFERROR(VLOOKUP(B1037,汇总!$B$2:$I$2921,8,FALSE),"")</f>
        <v>0</v>
      </c>
      <c r="J1037" s="34" t="s">
        <v>11</v>
      </c>
      <c r="K1037" s="35" t="s">
        <v>1252</v>
      </c>
    </row>
    <row r="1038" ht="33.75" spans="1:11">
      <c r="A1038" s="29">
        <v>1037</v>
      </c>
      <c r="B1038" s="29" t="s">
        <v>1343</v>
      </c>
      <c r="C1038" s="29" t="str">
        <f>VLOOKUP(B1038,教育部大学名单!$B$1:$D$2920,3,FALSE)</f>
        <v>黑龙江省教育厅</v>
      </c>
      <c r="D1038" s="29" t="s">
        <v>308</v>
      </c>
      <c r="E1038" s="29" t="s">
        <v>309</v>
      </c>
      <c r="F1038" s="36" t="str">
        <f>IFERROR(VLOOKUP(B1038,'985'!$B$2:$D$40,3,FALSE),"")</f>
        <v/>
      </c>
      <c r="G1038" s="32" t="str">
        <f>IFERROR(VLOOKUP(B1038,'211'!$B$2:$D$116,3,FALSE),"")</f>
        <v/>
      </c>
      <c r="H1038" s="32" t="str">
        <f>IFERROR(VLOOKUP(B1038,双一流!$B$2:$D$148,3,FALSE),"")</f>
        <v/>
      </c>
      <c r="I1038" s="32">
        <f>IFERROR(VLOOKUP(B1038,汇总!$B$2:$I$2921,8,FALSE),"")</f>
        <v>0</v>
      </c>
      <c r="J1038" s="29" t="s">
        <v>11</v>
      </c>
      <c r="K1038" s="33" t="s">
        <v>1252</v>
      </c>
    </row>
    <row r="1039" ht="50.25" spans="1:11">
      <c r="A1039" s="34">
        <v>1038</v>
      </c>
      <c r="B1039" s="34" t="s">
        <v>1344</v>
      </c>
      <c r="C1039" s="29" t="str">
        <f>VLOOKUP(B1039,教育部大学名单!$B$1:$D$2920,3,FALSE)</f>
        <v>黑龙江省教育厅</v>
      </c>
      <c r="D1039" s="34" t="s">
        <v>308</v>
      </c>
      <c r="E1039" s="34" t="s">
        <v>309</v>
      </c>
      <c r="F1039" s="36" t="str">
        <f>IFERROR(VLOOKUP(B1039,'985'!$B$2:$D$40,3,FALSE),"")</f>
        <v/>
      </c>
      <c r="G1039" s="32" t="str">
        <f>IFERROR(VLOOKUP(B1039,'211'!$B$2:$D$116,3,FALSE),"")</f>
        <v/>
      </c>
      <c r="H1039" s="32" t="str">
        <f>IFERROR(VLOOKUP(B1039,双一流!$B$2:$D$148,3,FALSE),"")</f>
        <v/>
      </c>
      <c r="I1039" s="32" t="str">
        <f>IFERROR(VLOOKUP(B1039,汇总!$B$2:$I$2921,8,FALSE),"")</f>
        <v>综合</v>
      </c>
      <c r="J1039" s="34" t="s">
        <v>11</v>
      </c>
      <c r="K1039" s="35" t="s">
        <v>1252</v>
      </c>
    </row>
    <row r="1040" ht="33.75" spans="1:11">
      <c r="A1040" s="29">
        <v>1039</v>
      </c>
      <c r="B1040" s="29" t="s">
        <v>1345</v>
      </c>
      <c r="C1040" s="29" t="str">
        <f>VLOOKUP(B1040,教育部大学名单!$B$1:$D$2920,3,FALSE)</f>
        <v>黑龙江省教育厅</v>
      </c>
      <c r="D1040" s="29" t="s">
        <v>308</v>
      </c>
      <c r="E1040" s="29" t="s">
        <v>309</v>
      </c>
      <c r="F1040" s="36" t="str">
        <f>IFERROR(VLOOKUP(B1040,'985'!$B$2:$D$40,3,FALSE),"")</f>
        <v/>
      </c>
      <c r="G1040" s="32" t="str">
        <f>IFERROR(VLOOKUP(B1040,'211'!$B$2:$D$116,3,FALSE),"")</f>
        <v/>
      </c>
      <c r="H1040" s="32" t="str">
        <f>IFERROR(VLOOKUP(B1040,双一流!$B$2:$D$148,3,FALSE),"")</f>
        <v/>
      </c>
      <c r="I1040" s="32">
        <f>IFERROR(VLOOKUP(B1040,汇总!$B$2:$I$2921,8,FALSE),"")</f>
        <v>0</v>
      </c>
      <c r="J1040" s="29" t="s">
        <v>11</v>
      </c>
      <c r="K1040" s="33" t="s">
        <v>1252</v>
      </c>
    </row>
    <row r="1041" ht="33.75" spans="1:11">
      <c r="A1041" s="34">
        <v>1040</v>
      </c>
      <c r="B1041" s="34" t="s">
        <v>1346</v>
      </c>
      <c r="C1041" s="29" t="str">
        <f>VLOOKUP(B1041,教育部大学名单!$B$1:$D$2920,3,FALSE)</f>
        <v>黑龙江省教育厅</v>
      </c>
      <c r="D1041" s="34" t="s">
        <v>308</v>
      </c>
      <c r="E1041" s="34" t="s">
        <v>309</v>
      </c>
      <c r="F1041" s="36" t="str">
        <f>IFERROR(VLOOKUP(B1041,'985'!$B$2:$D$40,3,FALSE),"")</f>
        <v/>
      </c>
      <c r="G1041" s="32" t="str">
        <f>IFERROR(VLOOKUP(B1041,'211'!$B$2:$D$116,3,FALSE),"")</f>
        <v/>
      </c>
      <c r="H1041" s="32" t="str">
        <f>IFERROR(VLOOKUP(B1041,双一流!$B$2:$D$148,3,FALSE),"")</f>
        <v/>
      </c>
      <c r="I1041" s="32">
        <f>IFERROR(VLOOKUP(B1041,汇总!$B$2:$I$2921,8,FALSE),"")</f>
        <v>0</v>
      </c>
      <c r="J1041" s="34" t="s">
        <v>11</v>
      </c>
      <c r="K1041" s="35" t="s">
        <v>1252</v>
      </c>
    </row>
    <row r="1042" ht="33.75" spans="1:11">
      <c r="A1042" s="29">
        <v>1041</v>
      </c>
      <c r="B1042" s="29" t="s">
        <v>1347</v>
      </c>
      <c r="C1042" s="29" t="str">
        <f>VLOOKUP(B1042,教育部大学名单!$B$1:$D$2920,3,FALSE)</f>
        <v>上海市教委</v>
      </c>
      <c r="D1042" s="29" t="s">
        <v>347</v>
      </c>
      <c r="E1042" s="29" t="s">
        <v>347</v>
      </c>
      <c r="F1042" s="36" t="str">
        <f>IFERROR(VLOOKUP(B1042,'985'!$B$2:$D$40,3,FALSE),"")</f>
        <v/>
      </c>
      <c r="G1042" s="32" t="str">
        <f>IFERROR(VLOOKUP(B1042,'211'!$B$2:$D$116,3,FALSE),"")</f>
        <v/>
      </c>
      <c r="H1042" s="32" t="str">
        <f>IFERROR(VLOOKUP(B1042,双一流!$B$2:$D$148,3,FALSE),"")</f>
        <v/>
      </c>
      <c r="I1042" s="32">
        <f>IFERROR(VLOOKUP(B1042,汇总!$B$2:$I$2921,8,FALSE),"")</f>
        <v>0</v>
      </c>
      <c r="J1042" s="29" t="s">
        <v>11</v>
      </c>
      <c r="K1042" s="33" t="s">
        <v>1252</v>
      </c>
    </row>
    <row r="1043" ht="33.75" spans="1:11">
      <c r="A1043" s="34">
        <v>1042</v>
      </c>
      <c r="B1043" s="34" t="s">
        <v>1348</v>
      </c>
      <c r="C1043" s="29" t="str">
        <f>VLOOKUP(B1043,教育部大学名单!$B$1:$D$2920,3,FALSE)</f>
        <v>上海市教委</v>
      </c>
      <c r="D1043" s="34" t="s">
        <v>347</v>
      </c>
      <c r="E1043" s="34" t="s">
        <v>347</v>
      </c>
      <c r="F1043" s="36" t="str">
        <f>IFERROR(VLOOKUP(B1043,'985'!$B$2:$D$40,3,FALSE),"")</f>
        <v/>
      </c>
      <c r="G1043" s="32" t="str">
        <f>IFERROR(VLOOKUP(B1043,'211'!$B$2:$D$116,3,FALSE),"")</f>
        <v/>
      </c>
      <c r="H1043" s="32" t="str">
        <f>IFERROR(VLOOKUP(B1043,双一流!$B$2:$D$148,3,FALSE),"")</f>
        <v/>
      </c>
      <c r="I1043" s="32">
        <f>IFERROR(VLOOKUP(B1043,汇总!$B$2:$I$2921,8,FALSE),"")</f>
        <v>0</v>
      </c>
      <c r="J1043" s="34" t="s">
        <v>11</v>
      </c>
      <c r="K1043" s="35" t="s">
        <v>1252</v>
      </c>
    </row>
    <row r="1044" ht="33.75" spans="1:11">
      <c r="A1044" s="29">
        <v>1043</v>
      </c>
      <c r="B1044" s="29" t="s">
        <v>1349</v>
      </c>
      <c r="C1044" s="29" t="str">
        <f>VLOOKUP(B1044,教育部大学名单!$B$1:$D$2920,3,FALSE)</f>
        <v>上海市教委</v>
      </c>
      <c r="D1044" s="29" t="s">
        <v>347</v>
      </c>
      <c r="E1044" s="29" t="s">
        <v>347</v>
      </c>
      <c r="F1044" s="36" t="str">
        <f>IFERROR(VLOOKUP(B1044,'985'!$B$2:$D$40,3,FALSE),"")</f>
        <v/>
      </c>
      <c r="G1044" s="32" t="str">
        <f>IFERROR(VLOOKUP(B1044,'211'!$B$2:$D$116,3,FALSE),"")</f>
        <v/>
      </c>
      <c r="H1044" s="32" t="str">
        <f>IFERROR(VLOOKUP(B1044,双一流!$B$2:$D$148,3,FALSE),"")</f>
        <v/>
      </c>
      <c r="I1044" s="32">
        <f>IFERROR(VLOOKUP(B1044,汇总!$B$2:$I$2921,8,FALSE),"")</f>
        <v>0</v>
      </c>
      <c r="J1044" s="29" t="s">
        <v>11</v>
      </c>
      <c r="K1044" s="33" t="s">
        <v>1252</v>
      </c>
    </row>
    <row r="1045" ht="33.75" spans="1:11">
      <c r="A1045" s="34">
        <v>1044</v>
      </c>
      <c r="B1045" s="34" t="s">
        <v>1350</v>
      </c>
      <c r="C1045" s="29" t="str">
        <f>VLOOKUP(B1045,教育部大学名单!$B$1:$D$2920,3,FALSE)</f>
        <v>上海市教委</v>
      </c>
      <c r="D1045" s="34" t="s">
        <v>347</v>
      </c>
      <c r="E1045" s="34" t="s">
        <v>347</v>
      </c>
      <c r="F1045" s="36" t="str">
        <f>IFERROR(VLOOKUP(B1045,'985'!$B$2:$D$40,3,FALSE),"")</f>
        <v/>
      </c>
      <c r="G1045" s="32" t="str">
        <f>IFERROR(VLOOKUP(B1045,'211'!$B$2:$D$116,3,FALSE),"")</f>
        <v/>
      </c>
      <c r="H1045" s="32" t="str">
        <f>IFERROR(VLOOKUP(B1045,双一流!$B$2:$D$148,3,FALSE),"")</f>
        <v/>
      </c>
      <c r="I1045" s="32">
        <f>IFERROR(VLOOKUP(B1045,汇总!$B$2:$I$2921,8,FALSE),"")</f>
        <v>0</v>
      </c>
      <c r="J1045" s="34" t="s">
        <v>11</v>
      </c>
      <c r="K1045" s="35" t="s">
        <v>1252</v>
      </c>
    </row>
    <row r="1046" ht="33.75" spans="1:11">
      <c r="A1046" s="29">
        <v>1045</v>
      </c>
      <c r="B1046" s="29" t="s">
        <v>1351</v>
      </c>
      <c r="C1046" s="29" t="str">
        <f>VLOOKUP(B1046,教育部大学名单!$B$1:$D$2920,3,FALSE)</f>
        <v>上海市教委</v>
      </c>
      <c r="D1046" s="29" t="s">
        <v>347</v>
      </c>
      <c r="E1046" s="29" t="s">
        <v>347</v>
      </c>
      <c r="F1046" s="36" t="str">
        <f>IFERROR(VLOOKUP(B1046,'985'!$B$2:$D$40,3,FALSE),"")</f>
        <v/>
      </c>
      <c r="G1046" s="32" t="str">
        <f>IFERROR(VLOOKUP(B1046,'211'!$B$2:$D$116,3,FALSE),"")</f>
        <v/>
      </c>
      <c r="H1046" s="32" t="str">
        <f>IFERROR(VLOOKUP(B1046,双一流!$B$2:$D$148,3,FALSE),"")</f>
        <v/>
      </c>
      <c r="I1046" s="32">
        <f>IFERROR(VLOOKUP(B1046,汇总!$B$2:$I$2921,8,FALSE),"")</f>
        <v>0</v>
      </c>
      <c r="J1046" s="29" t="s">
        <v>11</v>
      </c>
      <c r="K1046" s="33" t="s">
        <v>1252</v>
      </c>
    </row>
    <row r="1047" ht="33.75" spans="1:11">
      <c r="A1047" s="34">
        <v>1046</v>
      </c>
      <c r="B1047" s="34" t="s">
        <v>1352</v>
      </c>
      <c r="C1047" s="29" t="str">
        <f>VLOOKUP(B1047,教育部大学名单!$B$1:$D$2920,3,FALSE)</f>
        <v>上海市教委</v>
      </c>
      <c r="D1047" s="34" t="s">
        <v>347</v>
      </c>
      <c r="E1047" s="34" t="s">
        <v>347</v>
      </c>
      <c r="F1047" s="36" t="str">
        <f>IFERROR(VLOOKUP(B1047,'985'!$B$2:$D$40,3,FALSE),"")</f>
        <v/>
      </c>
      <c r="G1047" s="32" t="str">
        <f>IFERROR(VLOOKUP(B1047,'211'!$B$2:$D$116,3,FALSE),"")</f>
        <v/>
      </c>
      <c r="H1047" s="32" t="str">
        <f>IFERROR(VLOOKUP(B1047,双一流!$B$2:$D$148,3,FALSE),"")</f>
        <v/>
      </c>
      <c r="I1047" s="32">
        <f>IFERROR(VLOOKUP(B1047,汇总!$B$2:$I$2921,8,FALSE),"")</f>
        <v>0</v>
      </c>
      <c r="J1047" s="34" t="s">
        <v>11</v>
      </c>
      <c r="K1047" s="35" t="s">
        <v>1252</v>
      </c>
    </row>
    <row r="1048" ht="50.25" spans="1:11">
      <c r="A1048" s="29">
        <v>1047</v>
      </c>
      <c r="B1048" s="29" t="s">
        <v>1353</v>
      </c>
      <c r="C1048" s="29" t="str">
        <f>VLOOKUP(B1048,教育部大学名单!$B$1:$D$2920,3,FALSE)</f>
        <v>上海市教委</v>
      </c>
      <c r="D1048" s="29" t="s">
        <v>347</v>
      </c>
      <c r="E1048" s="29" t="s">
        <v>347</v>
      </c>
      <c r="F1048" s="36" t="str">
        <f>IFERROR(VLOOKUP(B1048,'985'!$B$2:$D$40,3,FALSE),"")</f>
        <v/>
      </c>
      <c r="G1048" s="32" t="str">
        <f>IFERROR(VLOOKUP(B1048,'211'!$B$2:$D$116,3,FALSE),"")</f>
        <v/>
      </c>
      <c r="H1048" s="32" t="str">
        <f>IFERROR(VLOOKUP(B1048,双一流!$B$2:$D$148,3,FALSE),"")</f>
        <v/>
      </c>
      <c r="I1048" s="32" t="str">
        <f>IFERROR(VLOOKUP(B1048,汇总!$B$2:$I$2921,8,FALSE),"")</f>
        <v>语言</v>
      </c>
      <c r="J1048" s="29" t="s">
        <v>11</v>
      </c>
      <c r="K1048" s="33" t="s">
        <v>1252</v>
      </c>
    </row>
    <row r="1049" ht="33.75" spans="1:11">
      <c r="A1049" s="34">
        <v>1048</v>
      </c>
      <c r="B1049" s="34" t="s">
        <v>1354</v>
      </c>
      <c r="C1049" s="29" t="str">
        <f>VLOOKUP(B1049,教育部大学名单!$B$1:$D$2920,3,FALSE)</f>
        <v>上海市教委</v>
      </c>
      <c r="D1049" s="34" t="s">
        <v>347</v>
      </c>
      <c r="E1049" s="34" t="s">
        <v>347</v>
      </c>
      <c r="F1049" s="36" t="str">
        <f>IFERROR(VLOOKUP(B1049,'985'!$B$2:$D$40,3,FALSE),"")</f>
        <v/>
      </c>
      <c r="G1049" s="32" t="str">
        <f>IFERROR(VLOOKUP(B1049,'211'!$B$2:$D$116,3,FALSE),"")</f>
        <v/>
      </c>
      <c r="H1049" s="32" t="str">
        <f>IFERROR(VLOOKUP(B1049,双一流!$B$2:$D$148,3,FALSE),"")</f>
        <v/>
      </c>
      <c r="I1049" s="32" t="str">
        <f>IFERROR(VLOOKUP(B1049,汇总!$B$2:$I$2921,8,FALSE),"")</f>
        <v>师范</v>
      </c>
      <c r="J1049" s="34" t="s">
        <v>11</v>
      </c>
      <c r="K1049" s="35" t="s">
        <v>1252</v>
      </c>
    </row>
    <row r="1050" ht="33.75" spans="1:11">
      <c r="A1050" s="29">
        <v>1049</v>
      </c>
      <c r="B1050" s="29" t="s">
        <v>1355</v>
      </c>
      <c r="C1050" s="29" t="str">
        <f>VLOOKUP(B1050,教育部大学名单!$B$1:$D$2920,3,FALSE)</f>
        <v>江苏省教育厅</v>
      </c>
      <c r="D1050" s="29" t="s">
        <v>379</v>
      </c>
      <c r="E1050" s="29" t="s">
        <v>380</v>
      </c>
      <c r="F1050" s="36" t="str">
        <f>IFERROR(VLOOKUP(B1050,'985'!$B$2:$D$40,3,FALSE),"")</f>
        <v/>
      </c>
      <c r="G1050" s="32" t="str">
        <f>IFERROR(VLOOKUP(B1050,'211'!$B$2:$D$116,3,FALSE),"")</f>
        <v/>
      </c>
      <c r="H1050" s="32" t="str">
        <f>IFERROR(VLOOKUP(B1050,双一流!$B$2:$D$148,3,FALSE),"")</f>
        <v/>
      </c>
      <c r="I1050" s="32">
        <f>IFERROR(VLOOKUP(B1050,汇总!$B$2:$I$2921,8,FALSE),"")</f>
        <v>0</v>
      </c>
      <c r="J1050" s="29" t="s">
        <v>11</v>
      </c>
      <c r="K1050" s="33" t="s">
        <v>1252</v>
      </c>
    </row>
    <row r="1051" ht="33.75" spans="1:11">
      <c r="A1051" s="34">
        <v>1050</v>
      </c>
      <c r="B1051" s="34" t="s">
        <v>1356</v>
      </c>
      <c r="C1051" s="29" t="str">
        <f>VLOOKUP(B1051,教育部大学名单!$B$1:$D$2920,3,FALSE)</f>
        <v>江苏省教育厅</v>
      </c>
      <c r="D1051" s="34" t="s">
        <v>379</v>
      </c>
      <c r="E1051" s="34" t="s">
        <v>401</v>
      </c>
      <c r="F1051" s="36" t="str">
        <f>IFERROR(VLOOKUP(B1051,'985'!$B$2:$D$40,3,FALSE),"")</f>
        <v/>
      </c>
      <c r="G1051" s="32" t="str">
        <f>IFERROR(VLOOKUP(B1051,'211'!$B$2:$D$116,3,FALSE),"")</f>
        <v/>
      </c>
      <c r="H1051" s="32" t="str">
        <f>IFERROR(VLOOKUP(B1051,双一流!$B$2:$D$148,3,FALSE),"")</f>
        <v/>
      </c>
      <c r="I1051" s="32">
        <f>IFERROR(VLOOKUP(B1051,汇总!$B$2:$I$2921,8,FALSE),"")</f>
        <v>0</v>
      </c>
      <c r="J1051" s="34" t="s">
        <v>11</v>
      </c>
      <c r="K1051" s="35" t="s">
        <v>1252</v>
      </c>
    </row>
    <row r="1052" ht="33.75" spans="1:11">
      <c r="A1052" s="29">
        <v>1051</v>
      </c>
      <c r="B1052" s="29" t="s">
        <v>1357</v>
      </c>
      <c r="C1052" s="29" t="str">
        <f>VLOOKUP(B1052,教育部大学名单!$B$1:$D$2920,3,FALSE)</f>
        <v>江苏省教育厅</v>
      </c>
      <c r="D1052" s="29" t="s">
        <v>379</v>
      </c>
      <c r="E1052" s="29" t="s">
        <v>380</v>
      </c>
      <c r="F1052" s="36" t="str">
        <f>IFERROR(VLOOKUP(B1052,'985'!$B$2:$D$40,3,FALSE),"")</f>
        <v/>
      </c>
      <c r="G1052" s="32" t="str">
        <f>IFERROR(VLOOKUP(B1052,'211'!$B$2:$D$116,3,FALSE),"")</f>
        <v/>
      </c>
      <c r="H1052" s="32" t="str">
        <f>IFERROR(VLOOKUP(B1052,双一流!$B$2:$D$148,3,FALSE),"")</f>
        <v/>
      </c>
      <c r="I1052" s="32" t="str">
        <f>IFERROR(VLOOKUP(B1052,汇总!$B$2:$I$2921,8,FALSE),"")</f>
        <v>综合</v>
      </c>
      <c r="J1052" s="29" t="s">
        <v>11</v>
      </c>
      <c r="K1052" s="33" t="s">
        <v>1252</v>
      </c>
    </row>
    <row r="1053" ht="33.75" spans="1:11">
      <c r="A1053" s="34">
        <v>1052</v>
      </c>
      <c r="B1053" s="34" t="s">
        <v>1358</v>
      </c>
      <c r="C1053" s="29" t="str">
        <f>VLOOKUP(B1053,教育部大学名单!$B$1:$D$2920,3,FALSE)</f>
        <v>江苏省教育厅</v>
      </c>
      <c r="D1053" s="34" t="s">
        <v>379</v>
      </c>
      <c r="E1053" s="34" t="s">
        <v>396</v>
      </c>
      <c r="F1053" s="36" t="str">
        <f>IFERROR(VLOOKUP(B1053,'985'!$B$2:$D$40,3,FALSE),"")</f>
        <v/>
      </c>
      <c r="G1053" s="32" t="str">
        <f>IFERROR(VLOOKUP(B1053,'211'!$B$2:$D$116,3,FALSE),"")</f>
        <v/>
      </c>
      <c r="H1053" s="32" t="str">
        <f>IFERROR(VLOOKUP(B1053,双一流!$B$2:$D$148,3,FALSE),"")</f>
        <v/>
      </c>
      <c r="I1053" s="32">
        <f>IFERROR(VLOOKUP(B1053,汇总!$B$2:$I$2921,8,FALSE),"")</f>
        <v>0</v>
      </c>
      <c r="J1053" s="34" t="s">
        <v>11</v>
      </c>
      <c r="K1053" s="35" t="s">
        <v>1252</v>
      </c>
    </row>
    <row r="1054" ht="33.75" spans="1:11">
      <c r="A1054" s="29">
        <v>1053</v>
      </c>
      <c r="B1054" s="29" t="s">
        <v>1359</v>
      </c>
      <c r="C1054" s="29" t="str">
        <f>VLOOKUP(B1054,教育部大学名单!$B$1:$D$2920,3,FALSE)</f>
        <v>江苏省教育厅</v>
      </c>
      <c r="D1054" s="29" t="s">
        <v>379</v>
      </c>
      <c r="E1054" s="29" t="s">
        <v>389</v>
      </c>
      <c r="F1054" s="36" t="str">
        <f>IFERROR(VLOOKUP(B1054,'985'!$B$2:$D$40,3,FALSE),"")</f>
        <v/>
      </c>
      <c r="G1054" s="32" t="str">
        <f>IFERROR(VLOOKUP(B1054,'211'!$B$2:$D$116,3,FALSE),"")</f>
        <v/>
      </c>
      <c r="H1054" s="32" t="str">
        <f>IFERROR(VLOOKUP(B1054,双一流!$B$2:$D$148,3,FALSE),"")</f>
        <v/>
      </c>
      <c r="I1054" s="32" t="str">
        <f>IFERROR(VLOOKUP(B1054,汇总!$B$2:$I$2921,8,FALSE),"")</f>
        <v>综合</v>
      </c>
      <c r="J1054" s="29" t="s">
        <v>11</v>
      </c>
      <c r="K1054" s="33" t="s">
        <v>1252</v>
      </c>
    </row>
    <row r="1055" ht="33.75" spans="1:11">
      <c r="A1055" s="34">
        <v>1054</v>
      </c>
      <c r="B1055" s="34" t="s">
        <v>1360</v>
      </c>
      <c r="C1055" s="29" t="str">
        <f>VLOOKUP(B1055,教育部大学名单!$B$1:$D$2920,3,FALSE)</f>
        <v>江苏省教育厅</v>
      </c>
      <c r="D1055" s="34" t="s">
        <v>379</v>
      </c>
      <c r="E1055" s="34" t="s">
        <v>380</v>
      </c>
      <c r="F1055" s="36" t="str">
        <f>IFERROR(VLOOKUP(B1055,'985'!$B$2:$D$40,3,FALSE),"")</f>
        <v/>
      </c>
      <c r="G1055" s="32" t="str">
        <f>IFERROR(VLOOKUP(B1055,'211'!$B$2:$D$116,3,FALSE),"")</f>
        <v/>
      </c>
      <c r="H1055" s="32" t="str">
        <f>IFERROR(VLOOKUP(B1055,双一流!$B$2:$D$148,3,FALSE),"")</f>
        <v/>
      </c>
      <c r="I1055" s="32">
        <f>IFERROR(VLOOKUP(B1055,汇总!$B$2:$I$2921,8,FALSE),"")</f>
        <v>0</v>
      </c>
      <c r="J1055" s="34" t="s">
        <v>11</v>
      </c>
      <c r="K1055" s="35" t="s">
        <v>1252</v>
      </c>
    </row>
    <row r="1056" ht="33.75" spans="1:11">
      <c r="A1056" s="29">
        <v>1055</v>
      </c>
      <c r="B1056" s="29" t="s">
        <v>1361</v>
      </c>
      <c r="C1056" s="29" t="str">
        <f>VLOOKUP(B1056,教育部大学名单!$B$1:$D$2920,3,FALSE)</f>
        <v>江苏省教育厅</v>
      </c>
      <c r="D1056" s="29" t="s">
        <v>379</v>
      </c>
      <c r="E1056" s="29" t="s">
        <v>380</v>
      </c>
      <c r="F1056" s="36" t="str">
        <f>IFERROR(VLOOKUP(B1056,'985'!$B$2:$D$40,3,FALSE),"")</f>
        <v/>
      </c>
      <c r="G1056" s="32" t="str">
        <f>IFERROR(VLOOKUP(B1056,'211'!$B$2:$D$116,3,FALSE),"")</f>
        <v/>
      </c>
      <c r="H1056" s="32" t="str">
        <f>IFERROR(VLOOKUP(B1056,双一流!$B$2:$D$148,3,FALSE),"")</f>
        <v/>
      </c>
      <c r="I1056" s="32" t="str">
        <f>IFERROR(VLOOKUP(B1056,汇总!$B$2:$I$2921,8,FALSE),"")</f>
        <v>综合</v>
      </c>
      <c r="J1056" s="29" t="s">
        <v>11</v>
      </c>
      <c r="K1056" s="33" t="s">
        <v>1252</v>
      </c>
    </row>
    <row r="1057" ht="50.25" spans="1:11">
      <c r="A1057" s="34">
        <v>1056</v>
      </c>
      <c r="B1057" s="34" t="s">
        <v>1362</v>
      </c>
      <c r="C1057" s="29" t="str">
        <f>VLOOKUP(B1057,教育部大学名单!$B$1:$D$2920,3,FALSE)</f>
        <v>江苏省教育厅</v>
      </c>
      <c r="D1057" s="34" t="s">
        <v>379</v>
      </c>
      <c r="E1057" s="34" t="s">
        <v>380</v>
      </c>
      <c r="F1057" s="36" t="str">
        <f>IFERROR(VLOOKUP(B1057,'985'!$B$2:$D$40,3,FALSE),"")</f>
        <v/>
      </c>
      <c r="G1057" s="32" t="str">
        <f>IFERROR(VLOOKUP(B1057,'211'!$B$2:$D$116,3,FALSE),"")</f>
        <v/>
      </c>
      <c r="H1057" s="32" t="str">
        <f>IFERROR(VLOOKUP(B1057,双一流!$B$2:$D$148,3,FALSE),"")</f>
        <v/>
      </c>
      <c r="I1057" s="32" t="str">
        <f>IFERROR(VLOOKUP(B1057,汇总!$B$2:$I$2921,8,FALSE),"")</f>
        <v>综合</v>
      </c>
      <c r="J1057" s="34" t="s">
        <v>11</v>
      </c>
      <c r="K1057" s="35" t="s">
        <v>1252</v>
      </c>
    </row>
    <row r="1058" ht="33.75" spans="1:11">
      <c r="A1058" s="29">
        <v>1057</v>
      </c>
      <c r="B1058" s="29" t="s">
        <v>1363</v>
      </c>
      <c r="C1058" s="29" t="str">
        <f>VLOOKUP(B1058,教育部大学名单!$B$1:$D$2920,3,FALSE)</f>
        <v>江苏省教育厅</v>
      </c>
      <c r="D1058" s="29" t="s">
        <v>379</v>
      </c>
      <c r="E1058" s="29" t="s">
        <v>380</v>
      </c>
      <c r="F1058" s="36" t="str">
        <f>IFERROR(VLOOKUP(B1058,'985'!$B$2:$D$40,3,FALSE),"")</f>
        <v/>
      </c>
      <c r="G1058" s="32" t="str">
        <f>IFERROR(VLOOKUP(B1058,'211'!$B$2:$D$116,3,FALSE),"")</f>
        <v/>
      </c>
      <c r="H1058" s="32" t="str">
        <f>IFERROR(VLOOKUP(B1058,双一流!$B$2:$D$148,3,FALSE),"")</f>
        <v/>
      </c>
      <c r="I1058" s="32">
        <f>IFERROR(VLOOKUP(B1058,汇总!$B$2:$I$2921,8,FALSE),"")</f>
        <v>0</v>
      </c>
      <c r="J1058" s="29" t="s">
        <v>11</v>
      </c>
      <c r="K1058" s="33" t="s">
        <v>1252</v>
      </c>
    </row>
    <row r="1059" ht="50.25" spans="1:11">
      <c r="A1059" s="34">
        <v>1058</v>
      </c>
      <c r="B1059" s="34" t="s">
        <v>1364</v>
      </c>
      <c r="C1059" s="29" t="str">
        <f>VLOOKUP(B1059,教育部大学名单!$B$1:$D$2920,3,FALSE)</f>
        <v>江苏省教育厅</v>
      </c>
      <c r="D1059" s="34" t="s">
        <v>379</v>
      </c>
      <c r="E1059" s="34" t="s">
        <v>435</v>
      </c>
      <c r="F1059" s="36" t="str">
        <f>IFERROR(VLOOKUP(B1059,'985'!$B$2:$D$40,3,FALSE),"")</f>
        <v/>
      </c>
      <c r="G1059" s="32" t="str">
        <f>IFERROR(VLOOKUP(B1059,'211'!$B$2:$D$116,3,FALSE),"")</f>
        <v/>
      </c>
      <c r="H1059" s="32" t="str">
        <f>IFERROR(VLOOKUP(B1059,双一流!$B$2:$D$148,3,FALSE),"")</f>
        <v/>
      </c>
      <c r="I1059" s="32" t="str">
        <f>IFERROR(VLOOKUP(B1059,汇总!$B$2:$I$2921,8,FALSE),"")</f>
        <v>综合</v>
      </c>
      <c r="J1059" s="34" t="s">
        <v>11</v>
      </c>
      <c r="K1059" s="35" t="s">
        <v>1252</v>
      </c>
    </row>
    <row r="1060" ht="33.75" spans="1:11">
      <c r="A1060" s="29">
        <v>1059</v>
      </c>
      <c r="B1060" s="29" t="s">
        <v>1365</v>
      </c>
      <c r="C1060" s="29" t="str">
        <f>VLOOKUP(B1060,教育部大学名单!$B$1:$D$2920,3,FALSE)</f>
        <v>江苏省教育厅</v>
      </c>
      <c r="D1060" s="29" t="s">
        <v>379</v>
      </c>
      <c r="E1060" s="29" t="s">
        <v>435</v>
      </c>
      <c r="F1060" s="36" t="str">
        <f>IFERROR(VLOOKUP(B1060,'985'!$B$2:$D$40,3,FALSE),"")</f>
        <v/>
      </c>
      <c r="G1060" s="32" t="str">
        <f>IFERROR(VLOOKUP(B1060,'211'!$B$2:$D$116,3,FALSE),"")</f>
        <v/>
      </c>
      <c r="H1060" s="32" t="str">
        <f>IFERROR(VLOOKUP(B1060,双一流!$B$2:$D$148,3,FALSE),"")</f>
        <v/>
      </c>
      <c r="I1060" s="32" t="str">
        <f>IFERROR(VLOOKUP(B1060,汇总!$B$2:$I$2921,8,FALSE),"")</f>
        <v>师范</v>
      </c>
      <c r="J1060" s="29" t="s">
        <v>11</v>
      </c>
      <c r="K1060" s="33" t="s">
        <v>1252</v>
      </c>
    </row>
    <row r="1061" ht="33.75" spans="1:11">
      <c r="A1061" s="34">
        <v>1060</v>
      </c>
      <c r="B1061" s="34" t="s">
        <v>1366</v>
      </c>
      <c r="C1061" s="29" t="str">
        <f>VLOOKUP(B1061,教育部大学名单!$B$1:$D$2920,3,FALSE)</f>
        <v>江苏省教育厅</v>
      </c>
      <c r="D1061" s="34" t="s">
        <v>379</v>
      </c>
      <c r="E1061" s="34" t="s">
        <v>380</v>
      </c>
      <c r="F1061" s="36" t="str">
        <f>IFERROR(VLOOKUP(B1061,'985'!$B$2:$D$40,3,FALSE),"")</f>
        <v/>
      </c>
      <c r="G1061" s="32" t="str">
        <f>IFERROR(VLOOKUP(B1061,'211'!$B$2:$D$116,3,FALSE),"")</f>
        <v/>
      </c>
      <c r="H1061" s="32" t="str">
        <f>IFERROR(VLOOKUP(B1061,双一流!$B$2:$D$148,3,FALSE),"")</f>
        <v/>
      </c>
      <c r="I1061" s="32" t="str">
        <f>IFERROR(VLOOKUP(B1061,汇总!$B$2:$I$2921,8,FALSE),"")</f>
        <v>综合</v>
      </c>
      <c r="J1061" s="34" t="s">
        <v>11</v>
      </c>
      <c r="K1061" s="35" t="s">
        <v>1252</v>
      </c>
    </row>
    <row r="1062" ht="33.75" spans="1:11">
      <c r="A1062" s="29">
        <v>1061</v>
      </c>
      <c r="B1062" s="29" t="s">
        <v>1367</v>
      </c>
      <c r="C1062" s="29" t="str">
        <f>VLOOKUP(B1062,教育部大学名单!$B$1:$D$2920,3,FALSE)</f>
        <v>江苏省教育厅</v>
      </c>
      <c r="D1062" s="29" t="s">
        <v>379</v>
      </c>
      <c r="E1062" s="29" t="s">
        <v>387</v>
      </c>
      <c r="F1062" s="36" t="str">
        <f>IFERROR(VLOOKUP(B1062,'985'!$B$2:$D$40,3,FALSE),"")</f>
        <v/>
      </c>
      <c r="G1062" s="32" t="str">
        <f>IFERROR(VLOOKUP(B1062,'211'!$B$2:$D$116,3,FALSE),"")</f>
        <v/>
      </c>
      <c r="H1062" s="32" t="str">
        <f>IFERROR(VLOOKUP(B1062,双一流!$B$2:$D$148,3,FALSE),"")</f>
        <v/>
      </c>
      <c r="I1062" s="32" t="str">
        <f>IFERROR(VLOOKUP(B1062,汇总!$B$2:$I$2921,8,FALSE),"")</f>
        <v>综合</v>
      </c>
      <c r="J1062" s="29" t="s">
        <v>11</v>
      </c>
      <c r="K1062" s="33" t="s">
        <v>1252</v>
      </c>
    </row>
    <row r="1063" ht="33.75" spans="1:11">
      <c r="A1063" s="34">
        <v>1062</v>
      </c>
      <c r="B1063" s="34" t="s">
        <v>1368</v>
      </c>
      <c r="C1063" s="29" t="str">
        <f>VLOOKUP(B1063,教育部大学名单!$B$1:$D$2920,3,FALSE)</f>
        <v>江苏省教育厅</v>
      </c>
      <c r="D1063" s="34" t="s">
        <v>379</v>
      </c>
      <c r="E1063" s="34" t="s">
        <v>430</v>
      </c>
      <c r="F1063" s="36" t="str">
        <f>IFERROR(VLOOKUP(B1063,'985'!$B$2:$D$40,3,FALSE),"")</f>
        <v/>
      </c>
      <c r="G1063" s="32" t="str">
        <f>IFERROR(VLOOKUP(B1063,'211'!$B$2:$D$116,3,FALSE),"")</f>
        <v/>
      </c>
      <c r="H1063" s="32" t="str">
        <f>IFERROR(VLOOKUP(B1063,双一流!$B$2:$D$148,3,FALSE),"")</f>
        <v/>
      </c>
      <c r="I1063" s="32" t="str">
        <f>IFERROR(VLOOKUP(B1063,汇总!$B$2:$I$2921,8,FALSE),"")</f>
        <v>医药</v>
      </c>
      <c r="J1063" s="34" t="s">
        <v>11</v>
      </c>
      <c r="K1063" s="35" t="s">
        <v>1252</v>
      </c>
    </row>
    <row r="1064" ht="50.25" spans="1:11">
      <c r="A1064" s="29">
        <v>1063</v>
      </c>
      <c r="B1064" s="29" t="s">
        <v>1369</v>
      </c>
      <c r="C1064" s="29" t="str">
        <f>VLOOKUP(B1064,教育部大学名单!$B$1:$D$2920,3,FALSE)</f>
        <v>江苏省教育厅</v>
      </c>
      <c r="D1064" s="29" t="s">
        <v>379</v>
      </c>
      <c r="E1064" s="29" t="s">
        <v>435</v>
      </c>
      <c r="F1064" s="36" t="str">
        <f>IFERROR(VLOOKUP(B1064,'985'!$B$2:$D$40,3,FALSE),"")</f>
        <v/>
      </c>
      <c r="G1064" s="32" t="str">
        <f>IFERROR(VLOOKUP(B1064,'211'!$B$2:$D$116,3,FALSE),"")</f>
        <v/>
      </c>
      <c r="H1064" s="32" t="str">
        <f>IFERROR(VLOOKUP(B1064,双一流!$B$2:$D$148,3,FALSE),"")</f>
        <v/>
      </c>
      <c r="I1064" s="32">
        <f>IFERROR(VLOOKUP(B1064,汇总!$B$2:$I$2921,8,FALSE),"")</f>
        <v>0</v>
      </c>
      <c r="J1064" s="29" t="s">
        <v>11</v>
      </c>
      <c r="K1064" s="33" t="s">
        <v>1252</v>
      </c>
    </row>
    <row r="1065" ht="33.75" spans="1:11">
      <c r="A1065" s="34">
        <v>1064</v>
      </c>
      <c r="B1065" s="34" t="s">
        <v>1370</v>
      </c>
      <c r="C1065" s="29" t="str">
        <f>VLOOKUP(B1065,教育部大学名单!$B$1:$D$2920,3,FALSE)</f>
        <v>江苏省教育厅</v>
      </c>
      <c r="D1065" s="34" t="s">
        <v>379</v>
      </c>
      <c r="E1065" s="34" t="s">
        <v>382</v>
      </c>
      <c r="F1065" s="36" t="str">
        <f>IFERROR(VLOOKUP(B1065,'985'!$B$2:$D$40,3,FALSE),"")</f>
        <v/>
      </c>
      <c r="G1065" s="32" t="str">
        <f>IFERROR(VLOOKUP(B1065,'211'!$B$2:$D$116,3,FALSE),"")</f>
        <v/>
      </c>
      <c r="H1065" s="32" t="str">
        <f>IFERROR(VLOOKUP(B1065,双一流!$B$2:$D$148,3,FALSE),"")</f>
        <v/>
      </c>
      <c r="I1065" s="32" t="str">
        <f>IFERROR(VLOOKUP(B1065,汇总!$B$2:$I$2921,8,FALSE),"")</f>
        <v>综合</v>
      </c>
      <c r="J1065" s="34" t="s">
        <v>11</v>
      </c>
      <c r="K1065" s="35" t="s">
        <v>1252</v>
      </c>
    </row>
    <row r="1066" ht="33.75" spans="1:11">
      <c r="A1066" s="29">
        <v>1065</v>
      </c>
      <c r="B1066" s="29" t="s">
        <v>1371</v>
      </c>
      <c r="C1066" s="29" t="str">
        <f>VLOOKUP(B1066,教育部大学名单!$B$1:$D$2920,3,FALSE)</f>
        <v>江苏省教育厅</v>
      </c>
      <c r="D1066" s="29" t="s">
        <v>379</v>
      </c>
      <c r="E1066" s="29" t="s">
        <v>380</v>
      </c>
      <c r="F1066" s="36" t="str">
        <f>IFERROR(VLOOKUP(B1066,'985'!$B$2:$D$40,3,FALSE),"")</f>
        <v/>
      </c>
      <c r="G1066" s="32" t="str">
        <f>IFERROR(VLOOKUP(B1066,'211'!$B$2:$D$116,3,FALSE),"")</f>
        <v/>
      </c>
      <c r="H1066" s="32" t="str">
        <f>IFERROR(VLOOKUP(B1066,双一流!$B$2:$D$148,3,FALSE),"")</f>
        <v/>
      </c>
      <c r="I1066" s="32" t="str">
        <f>IFERROR(VLOOKUP(B1066,汇总!$B$2:$I$2921,8,FALSE),"")</f>
        <v>综合</v>
      </c>
      <c r="J1066" s="29" t="s">
        <v>11</v>
      </c>
      <c r="K1066" s="33" t="s">
        <v>1252</v>
      </c>
    </row>
    <row r="1067" ht="33.75" spans="1:11">
      <c r="A1067" s="34">
        <v>1066</v>
      </c>
      <c r="B1067" s="34" t="s">
        <v>1372</v>
      </c>
      <c r="C1067" s="29" t="str">
        <f>VLOOKUP(B1067,教育部大学名单!$B$1:$D$2920,3,FALSE)</f>
        <v>江苏省教育厅</v>
      </c>
      <c r="D1067" s="34" t="s">
        <v>379</v>
      </c>
      <c r="E1067" s="34" t="s">
        <v>387</v>
      </c>
      <c r="F1067" s="36" t="str">
        <f>IFERROR(VLOOKUP(B1067,'985'!$B$2:$D$40,3,FALSE),"")</f>
        <v/>
      </c>
      <c r="G1067" s="32" t="str">
        <f>IFERROR(VLOOKUP(B1067,'211'!$B$2:$D$116,3,FALSE),"")</f>
        <v/>
      </c>
      <c r="H1067" s="32" t="str">
        <f>IFERROR(VLOOKUP(B1067,双一流!$B$2:$D$148,3,FALSE),"")</f>
        <v/>
      </c>
      <c r="I1067" s="32" t="str">
        <f>IFERROR(VLOOKUP(B1067,汇总!$B$2:$I$2921,8,FALSE),"")</f>
        <v>综合</v>
      </c>
      <c r="J1067" s="34" t="s">
        <v>11</v>
      </c>
      <c r="K1067" s="35" t="s">
        <v>1252</v>
      </c>
    </row>
    <row r="1068" ht="33.75" spans="1:11">
      <c r="A1068" s="29">
        <v>1067</v>
      </c>
      <c r="B1068" s="29" t="s">
        <v>1373</v>
      </c>
      <c r="C1068" s="29" t="str">
        <f>VLOOKUP(B1068,教育部大学名单!$B$1:$D$2920,3,FALSE)</f>
        <v>江苏省教育厅</v>
      </c>
      <c r="D1068" s="29" t="s">
        <v>379</v>
      </c>
      <c r="E1068" s="29" t="s">
        <v>424</v>
      </c>
      <c r="F1068" s="36" t="str">
        <f>IFERROR(VLOOKUP(B1068,'985'!$B$2:$D$40,3,FALSE),"")</f>
        <v/>
      </c>
      <c r="G1068" s="32" t="str">
        <f>IFERROR(VLOOKUP(B1068,'211'!$B$2:$D$116,3,FALSE),"")</f>
        <v/>
      </c>
      <c r="H1068" s="32" t="str">
        <f>IFERROR(VLOOKUP(B1068,双一流!$B$2:$D$148,3,FALSE),"")</f>
        <v/>
      </c>
      <c r="I1068" s="32" t="str">
        <f>IFERROR(VLOOKUP(B1068,汇总!$B$2:$I$2921,8,FALSE),"")</f>
        <v>综合</v>
      </c>
      <c r="J1068" s="29" t="s">
        <v>11</v>
      </c>
      <c r="K1068" s="33" t="s">
        <v>1252</v>
      </c>
    </row>
    <row r="1069" ht="33.75" spans="1:11">
      <c r="A1069" s="34">
        <v>1068</v>
      </c>
      <c r="B1069" s="34" t="s">
        <v>1374</v>
      </c>
      <c r="C1069" s="29" t="str">
        <f>VLOOKUP(B1069,教育部大学名单!$B$1:$D$2920,3,FALSE)</f>
        <v>江苏省教育厅</v>
      </c>
      <c r="D1069" s="34" t="s">
        <v>379</v>
      </c>
      <c r="E1069" s="34" t="s">
        <v>389</v>
      </c>
      <c r="F1069" s="36" t="str">
        <f>IFERROR(VLOOKUP(B1069,'985'!$B$2:$D$40,3,FALSE),"")</f>
        <v/>
      </c>
      <c r="G1069" s="32" t="str">
        <f>IFERROR(VLOOKUP(B1069,'211'!$B$2:$D$116,3,FALSE),"")</f>
        <v/>
      </c>
      <c r="H1069" s="32" t="str">
        <f>IFERROR(VLOOKUP(B1069,双一流!$B$2:$D$148,3,FALSE),"")</f>
        <v/>
      </c>
      <c r="I1069" s="32" t="str">
        <f>IFERROR(VLOOKUP(B1069,汇总!$B$2:$I$2921,8,FALSE),"")</f>
        <v>师范</v>
      </c>
      <c r="J1069" s="34" t="s">
        <v>11</v>
      </c>
      <c r="K1069" s="35" t="s">
        <v>1252</v>
      </c>
    </row>
    <row r="1070" ht="33.75" spans="1:11">
      <c r="A1070" s="29">
        <v>1069</v>
      </c>
      <c r="B1070" s="29" t="s">
        <v>1375</v>
      </c>
      <c r="C1070" s="29" t="str">
        <f>VLOOKUP(B1070,教育部大学名单!$B$1:$D$2920,3,FALSE)</f>
        <v>江苏省教育厅</v>
      </c>
      <c r="D1070" s="29" t="s">
        <v>379</v>
      </c>
      <c r="E1070" s="29" t="s">
        <v>424</v>
      </c>
      <c r="F1070" s="36" t="str">
        <f>IFERROR(VLOOKUP(B1070,'985'!$B$2:$D$40,3,FALSE),"")</f>
        <v/>
      </c>
      <c r="G1070" s="32" t="str">
        <f>IFERROR(VLOOKUP(B1070,'211'!$B$2:$D$116,3,FALSE),"")</f>
        <v/>
      </c>
      <c r="H1070" s="32" t="str">
        <f>IFERROR(VLOOKUP(B1070,双一流!$B$2:$D$148,3,FALSE),"")</f>
        <v/>
      </c>
      <c r="I1070" s="32" t="str">
        <f>IFERROR(VLOOKUP(B1070,汇总!$B$2:$I$2921,8,FALSE),"")</f>
        <v>综合</v>
      </c>
      <c r="J1070" s="29" t="s">
        <v>11</v>
      </c>
      <c r="K1070" s="33" t="s">
        <v>1252</v>
      </c>
    </row>
    <row r="1071" ht="33.75" spans="1:11">
      <c r="A1071" s="34">
        <v>1070</v>
      </c>
      <c r="B1071" s="34" t="s">
        <v>1376</v>
      </c>
      <c r="C1071" s="29" t="str">
        <f>VLOOKUP(B1071,教育部大学名单!$B$1:$D$2920,3,FALSE)</f>
        <v>江苏省教育厅</v>
      </c>
      <c r="D1071" s="34" t="s">
        <v>379</v>
      </c>
      <c r="E1071" s="34" t="s">
        <v>380</v>
      </c>
      <c r="F1071" s="36" t="str">
        <f>IFERROR(VLOOKUP(B1071,'985'!$B$2:$D$40,3,FALSE),"")</f>
        <v/>
      </c>
      <c r="G1071" s="32" t="str">
        <f>IFERROR(VLOOKUP(B1071,'211'!$B$2:$D$116,3,FALSE),"")</f>
        <v/>
      </c>
      <c r="H1071" s="32" t="str">
        <f>IFERROR(VLOOKUP(B1071,双一流!$B$2:$D$148,3,FALSE),"")</f>
        <v/>
      </c>
      <c r="I1071" s="32" t="str">
        <f>IFERROR(VLOOKUP(B1071,汇总!$B$2:$I$2921,8,FALSE),"")</f>
        <v>财经</v>
      </c>
      <c r="J1071" s="34" t="s">
        <v>11</v>
      </c>
      <c r="K1071" s="35" t="s">
        <v>1252</v>
      </c>
    </row>
    <row r="1072" ht="50.25" spans="1:11">
      <c r="A1072" s="29">
        <v>1071</v>
      </c>
      <c r="B1072" s="29" t="s">
        <v>1377</v>
      </c>
      <c r="C1072" s="29" t="str">
        <f>VLOOKUP(B1072,教育部大学名单!$B$1:$D$2920,3,FALSE)</f>
        <v>江苏省教育厅</v>
      </c>
      <c r="D1072" s="29" t="s">
        <v>379</v>
      </c>
      <c r="E1072" s="29" t="s">
        <v>382</v>
      </c>
      <c r="F1072" s="36" t="str">
        <f>IFERROR(VLOOKUP(B1072,'985'!$B$2:$D$40,3,FALSE),"")</f>
        <v/>
      </c>
      <c r="G1072" s="32" t="str">
        <f>IFERROR(VLOOKUP(B1072,'211'!$B$2:$D$116,3,FALSE),"")</f>
        <v/>
      </c>
      <c r="H1072" s="32" t="str">
        <f>IFERROR(VLOOKUP(B1072,双一流!$B$2:$D$148,3,FALSE),"")</f>
        <v/>
      </c>
      <c r="I1072" s="32" t="str">
        <f>IFERROR(VLOOKUP(B1072,汇总!$B$2:$I$2921,8,FALSE),"")</f>
        <v>综合</v>
      </c>
      <c r="J1072" s="29" t="s">
        <v>11</v>
      </c>
      <c r="K1072" s="33" t="s">
        <v>1252</v>
      </c>
    </row>
    <row r="1073" ht="33.75" spans="1:11">
      <c r="A1073" s="34">
        <v>1072</v>
      </c>
      <c r="B1073" s="34" t="s">
        <v>1378</v>
      </c>
      <c r="C1073" s="29" t="str">
        <f>VLOOKUP(B1073,教育部大学名单!$B$1:$D$2920,3,FALSE)</f>
        <v>江苏省教育厅</v>
      </c>
      <c r="D1073" s="34" t="s">
        <v>379</v>
      </c>
      <c r="E1073" s="34" t="s">
        <v>435</v>
      </c>
      <c r="F1073" s="36" t="str">
        <f>IFERROR(VLOOKUP(B1073,'985'!$B$2:$D$40,3,FALSE),"")</f>
        <v/>
      </c>
      <c r="G1073" s="32" t="str">
        <f>IFERROR(VLOOKUP(B1073,'211'!$B$2:$D$116,3,FALSE),"")</f>
        <v/>
      </c>
      <c r="H1073" s="32" t="str">
        <f>IFERROR(VLOOKUP(B1073,双一流!$B$2:$D$148,3,FALSE),"")</f>
        <v/>
      </c>
      <c r="I1073" s="32" t="str">
        <f>IFERROR(VLOOKUP(B1073,汇总!$B$2:$I$2921,8,FALSE),"")</f>
        <v>综合</v>
      </c>
      <c r="J1073" s="34" t="s">
        <v>11</v>
      </c>
      <c r="K1073" s="35" t="s">
        <v>1252</v>
      </c>
    </row>
    <row r="1074" ht="33.75" spans="1:11">
      <c r="A1074" s="29">
        <v>1073</v>
      </c>
      <c r="B1074" s="29" t="s">
        <v>1379</v>
      </c>
      <c r="C1074" s="29" t="str">
        <f>VLOOKUP(B1074,教育部大学名单!$B$1:$D$2920,3,FALSE)</f>
        <v>江苏省教育厅</v>
      </c>
      <c r="D1074" s="29" t="s">
        <v>379</v>
      </c>
      <c r="E1074" s="29" t="s">
        <v>401</v>
      </c>
      <c r="F1074" s="36" t="str">
        <f>IFERROR(VLOOKUP(B1074,'985'!$B$2:$D$40,3,FALSE),"")</f>
        <v/>
      </c>
      <c r="G1074" s="32" t="str">
        <f>IFERROR(VLOOKUP(B1074,'211'!$B$2:$D$116,3,FALSE),"")</f>
        <v/>
      </c>
      <c r="H1074" s="32" t="str">
        <f>IFERROR(VLOOKUP(B1074,双一流!$B$2:$D$148,3,FALSE),"")</f>
        <v/>
      </c>
      <c r="I1074" s="32" t="str">
        <f>IFERROR(VLOOKUP(B1074,汇总!$B$2:$I$2921,8,FALSE),"")</f>
        <v>综合</v>
      </c>
      <c r="J1074" s="29" t="s">
        <v>11</v>
      </c>
      <c r="K1074" s="33" t="s">
        <v>1252</v>
      </c>
    </row>
    <row r="1075" ht="33.75" spans="1:11">
      <c r="A1075" s="34">
        <v>1074</v>
      </c>
      <c r="B1075" s="34" t="s">
        <v>1380</v>
      </c>
      <c r="C1075" s="29" t="str">
        <f>VLOOKUP(B1075,教育部大学名单!$B$1:$D$2920,3,FALSE)</f>
        <v>江苏省教育厅</v>
      </c>
      <c r="D1075" s="34" t="s">
        <v>379</v>
      </c>
      <c r="E1075" s="34" t="s">
        <v>380</v>
      </c>
      <c r="F1075" s="36" t="str">
        <f>IFERROR(VLOOKUP(B1075,'985'!$B$2:$D$40,3,FALSE),"")</f>
        <v/>
      </c>
      <c r="G1075" s="32" t="str">
        <f>IFERROR(VLOOKUP(B1075,'211'!$B$2:$D$116,3,FALSE),"")</f>
        <v/>
      </c>
      <c r="H1075" s="32" t="str">
        <f>IFERROR(VLOOKUP(B1075,双一流!$B$2:$D$148,3,FALSE),"")</f>
        <v/>
      </c>
      <c r="I1075" s="32" t="str">
        <f>IFERROR(VLOOKUP(B1075,汇总!$B$2:$I$2921,8,FALSE),"")</f>
        <v>综合</v>
      </c>
      <c r="J1075" s="34" t="s">
        <v>11</v>
      </c>
      <c r="K1075" s="35" t="s">
        <v>1252</v>
      </c>
    </row>
    <row r="1076" ht="33.75" spans="1:11">
      <c r="A1076" s="29">
        <v>1075</v>
      </c>
      <c r="B1076" s="29" t="s">
        <v>1381</v>
      </c>
      <c r="C1076" s="29" t="str">
        <f>VLOOKUP(B1076,教育部大学名单!$B$1:$D$2920,3,FALSE)</f>
        <v>浙江省教育厅</v>
      </c>
      <c r="D1076" s="29" t="s">
        <v>448</v>
      </c>
      <c r="E1076" s="29" t="s">
        <v>449</v>
      </c>
      <c r="F1076" s="36" t="str">
        <f>IFERROR(VLOOKUP(B1076,'985'!$B$2:$D$40,3,FALSE),"")</f>
        <v/>
      </c>
      <c r="G1076" s="32" t="str">
        <f>IFERROR(VLOOKUP(B1076,'211'!$B$2:$D$116,3,FALSE),"")</f>
        <v/>
      </c>
      <c r="H1076" s="32" t="str">
        <f>IFERROR(VLOOKUP(B1076,双一流!$B$2:$D$148,3,FALSE),"")</f>
        <v/>
      </c>
      <c r="I1076" s="32">
        <f>IFERROR(VLOOKUP(B1076,汇总!$B$2:$I$2921,8,FALSE),"")</f>
        <v>0</v>
      </c>
      <c r="J1076" s="29" t="s">
        <v>11</v>
      </c>
      <c r="K1076" s="33" t="s">
        <v>1252</v>
      </c>
    </row>
    <row r="1077" ht="33.75" spans="1:11">
      <c r="A1077" s="34">
        <v>1076</v>
      </c>
      <c r="B1077" s="34" t="s">
        <v>1382</v>
      </c>
      <c r="C1077" s="29" t="str">
        <f>VLOOKUP(B1077,教育部大学名单!$B$1:$D$2920,3,FALSE)</f>
        <v>浙江省教育厅</v>
      </c>
      <c r="D1077" s="34" t="s">
        <v>448</v>
      </c>
      <c r="E1077" s="34" t="s">
        <v>465</v>
      </c>
      <c r="F1077" s="36" t="str">
        <f>IFERROR(VLOOKUP(B1077,'985'!$B$2:$D$40,3,FALSE),"")</f>
        <v/>
      </c>
      <c r="G1077" s="32" t="str">
        <f>IFERROR(VLOOKUP(B1077,'211'!$B$2:$D$116,3,FALSE),"")</f>
        <v/>
      </c>
      <c r="H1077" s="32" t="str">
        <f>IFERROR(VLOOKUP(B1077,双一流!$B$2:$D$148,3,FALSE),"")</f>
        <v/>
      </c>
      <c r="I1077" s="32">
        <f>IFERROR(VLOOKUP(B1077,汇总!$B$2:$I$2921,8,FALSE),"")</f>
        <v>0</v>
      </c>
      <c r="J1077" s="34" t="s">
        <v>11</v>
      </c>
      <c r="K1077" s="35" t="s">
        <v>1252</v>
      </c>
    </row>
    <row r="1078" ht="33.75" spans="1:11">
      <c r="A1078" s="29">
        <v>1077</v>
      </c>
      <c r="B1078" s="29" t="s">
        <v>1383</v>
      </c>
      <c r="C1078" s="29" t="str">
        <f>VLOOKUP(B1078,教育部大学名单!$B$1:$D$2920,3,FALSE)</f>
        <v>浙江省教育厅</v>
      </c>
      <c r="D1078" s="29" t="s">
        <v>448</v>
      </c>
      <c r="E1078" s="29" t="s">
        <v>477</v>
      </c>
      <c r="F1078" s="36" t="str">
        <f>IFERROR(VLOOKUP(B1078,'985'!$B$2:$D$40,3,FALSE),"")</f>
        <v/>
      </c>
      <c r="G1078" s="32" t="str">
        <f>IFERROR(VLOOKUP(B1078,'211'!$B$2:$D$116,3,FALSE),"")</f>
        <v/>
      </c>
      <c r="H1078" s="32" t="str">
        <f>IFERROR(VLOOKUP(B1078,双一流!$B$2:$D$148,3,FALSE),"")</f>
        <v/>
      </c>
      <c r="I1078" s="32">
        <f>IFERROR(VLOOKUP(B1078,汇总!$B$2:$I$2921,8,FALSE),"")</f>
        <v>0</v>
      </c>
      <c r="J1078" s="29" t="s">
        <v>11</v>
      </c>
      <c r="K1078" s="33" t="s">
        <v>1252</v>
      </c>
    </row>
    <row r="1079" ht="50.25" spans="1:11">
      <c r="A1079" s="34">
        <v>1078</v>
      </c>
      <c r="B1079" s="34" t="s">
        <v>1384</v>
      </c>
      <c r="C1079" s="29" t="str">
        <f>VLOOKUP(B1079,教育部大学名单!$B$1:$D$2920,3,FALSE)</f>
        <v>浙江省教育厅</v>
      </c>
      <c r="D1079" s="34" t="s">
        <v>448</v>
      </c>
      <c r="E1079" s="34" t="s">
        <v>460</v>
      </c>
      <c r="F1079" s="36" t="str">
        <f>IFERROR(VLOOKUP(B1079,'985'!$B$2:$D$40,3,FALSE),"")</f>
        <v/>
      </c>
      <c r="G1079" s="32" t="str">
        <f>IFERROR(VLOOKUP(B1079,'211'!$B$2:$D$116,3,FALSE),"")</f>
        <v/>
      </c>
      <c r="H1079" s="32" t="str">
        <f>IFERROR(VLOOKUP(B1079,双一流!$B$2:$D$148,3,FALSE),"")</f>
        <v/>
      </c>
      <c r="I1079" s="32">
        <f>IFERROR(VLOOKUP(B1079,汇总!$B$2:$I$2921,8,FALSE),"")</f>
        <v>0</v>
      </c>
      <c r="J1079" s="34" t="s">
        <v>11</v>
      </c>
      <c r="K1079" s="35" t="s">
        <v>1252</v>
      </c>
    </row>
    <row r="1080" ht="33.75" spans="1:11">
      <c r="A1080" s="29">
        <v>1079</v>
      </c>
      <c r="B1080" s="29" t="s">
        <v>1385</v>
      </c>
      <c r="C1080" s="29" t="str">
        <f>VLOOKUP(B1080,教育部大学名单!$B$1:$D$2920,3,FALSE)</f>
        <v>浙江省教育厅</v>
      </c>
      <c r="D1080" s="29" t="s">
        <v>448</v>
      </c>
      <c r="E1080" s="29" t="s">
        <v>449</v>
      </c>
      <c r="F1080" s="36" t="str">
        <f>IFERROR(VLOOKUP(B1080,'985'!$B$2:$D$40,3,FALSE),"")</f>
        <v/>
      </c>
      <c r="G1080" s="32" t="str">
        <f>IFERROR(VLOOKUP(B1080,'211'!$B$2:$D$116,3,FALSE),"")</f>
        <v/>
      </c>
      <c r="H1080" s="32" t="str">
        <f>IFERROR(VLOOKUP(B1080,双一流!$B$2:$D$148,3,FALSE),"")</f>
        <v/>
      </c>
      <c r="I1080" s="32" t="str">
        <f>IFERROR(VLOOKUP(B1080,汇总!$B$2:$I$2921,8,FALSE),"")</f>
        <v>理工</v>
      </c>
      <c r="J1080" s="29" t="s">
        <v>11</v>
      </c>
      <c r="K1080" s="33" t="s">
        <v>1252</v>
      </c>
    </row>
    <row r="1081" ht="33.75" spans="1:11">
      <c r="A1081" s="34">
        <v>1080</v>
      </c>
      <c r="B1081" s="34" t="s">
        <v>1386</v>
      </c>
      <c r="C1081" s="29" t="str">
        <f>VLOOKUP(B1081,教育部大学名单!$B$1:$D$2920,3,FALSE)</f>
        <v>浙江省教育厅</v>
      </c>
      <c r="D1081" s="34" t="s">
        <v>448</v>
      </c>
      <c r="E1081" s="34" t="s">
        <v>460</v>
      </c>
      <c r="F1081" s="36" t="str">
        <f>IFERROR(VLOOKUP(B1081,'985'!$B$2:$D$40,3,FALSE),"")</f>
        <v/>
      </c>
      <c r="G1081" s="32" t="str">
        <f>IFERROR(VLOOKUP(B1081,'211'!$B$2:$D$116,3,FALSE),"")</f>
        <v/>
      </c>
      <c r="H1081" s="32" t="str">
        <f>IFERROR(VLOOKUP(B1081,双一流!$B$2:$D$148,3,FALSE),"")</f>
        <v/>
      </c>
      <c r="I1081" s="32" t="str">
        <f>IFERROR(VLOOKUP(B1081,汇总!$B$2:$I$2921,8,FALSE),"")</f>
        <v>综合</v>
      </c>
      <c r="J1081" s="34" t="s">
        <v>11</v>
      </c>
      <c r="K1081" s="35" t="s">
        <v>1252</v>
      </c>
    </row>
    <row r="1082" ht="33.75" spans="1:11">
      <c r="A1082" s="29">
        <v>1081</v>
      </c>
      <c r="B1082" s="29" t="s">
        <v>1387</v>
      </c>
      <c r="C1082" s="29" t="str">
        <f>VLOOKUP(B1082,教育部大学名单!$B$1:$D$2920,3,FALSE)</f>
        <v>浙江省教育厅</v>
      </c>
      <c r="D1082" s="29" t="s">
        <v>448</v>
      </c>
      <c r="E1082" s="29" t="s">
        <v>477</v>
      </c>
      <c r="F1082" s="36" t="str">
        <f>IFERROR(VLOOKUP(B1082,'985'!$B$2:$D$40,3,FALSE),"")</f>
        <v/>
      </c>
      <c r="G1082" s="32" t="str">
        <f>IFERROR(VLOOKUP(B1082,'211'!$B$2:$D$116,3,FALSE),"")</f>
        <v/>
      </c>
      <c r="H1082" s="32" t="str">
        <f>IFERROR(VLOOKUP(B1082,双一流!$B$2:$D$148,3,FALSE),"")</f>
        <v/>
      </c>
      <c r="I1082" s="32" t="str">
        <f>IFERROR(VLOOKUP(B1082,汇总!$B$2:$I$2921,8,FALSE),"")</f>
        <v>综合</v>
      </c>
      <c r="J1082" s="29" t="s">
        <v>11</v>
      </c>
      <c r="K1082" s="33" t="s">
        <v>1252</v>
      </c>
    </row>
    <row r="1083" ht="50.25" spans="1:11">
      <c r="A1083" s="34">
        <v>1082</v>
      </c>
      <c r="B1083" s="34" t="s">
        <v>1388</v>
      </c>
      <c r="C1083" s="29" t="str">
        <f>VLOOKUP(B1083,教育部大学名单!$B$1:$D$2920,3,FALSE)</f>
        <v>浙江省教育厅</v>
      </c>
      <c r="D1083" s="34" t="s">
        <v>448</v>
      </c>
      <c r="E1083" s="34" t="s">
        <v>449</v>
      </c>
      <c r="F1083" s="36" t="str">
        <f>IFERROR(VLOOKUP(B1083,'985'!$B$2:$D$40,3,FALSE),"")</f>
        <v/>
      </c>
      <c r="G1083" s="32" t="str">
        <f>IFERROR(VLOOKUP(B1083,'211'!$B$2:$D$116,3,FALSE),"")</f>
        <v/>
      </c>
      <c r="H1083" s="32" t="str">
        <f>IFERROR(VLOOKUP(B1083,双一流!$B$2:$D$148,3,FALSE),"")</f>
        <v/>
      </c>
      <c r="I1083" s="32" t="str">
        <f>IFERROR(VLOOKUP(B1083,汇总!$B$2:$I$2921,8,FALSE),"")</f>
        <v>理工</v>
      </c>
      <c r="J1083" s="34" t="s">
        <v>11</v>
      </c>
      <c r="K1083" s="35" t="s">
        <v>1252</v>
      </c>
    </row>
    <row r="1084" ht="50.25" spans="1:11">
      <c r="A1084" s="29">
        <v>1083</v>
      </c>
      <c r="B1084" s="29" t="s">
        <v>1389</v>
      </c>
      <c r="C1084" s="29" t="str">
        <f>VLOOKUP(B1084,教育部大学名单!$B$1:$D$2920,3,FALSE)</f>
        <v>浙江省教育厅</v>
      </c>
      <c r="D1084" s="29" t="s">
        <v>448</v>
      </c>
      <c r="E1084" s="29" t="s">
        <v>449</v>
      </c>
      <c r="F1084" s="36" t="str">
        <f>IFERROR(VLOOKUP(B1084,'985'!$B$2:$D$40,3,FALSE),"")</f>
        <v/>
      </c>
      <c r="G1084" s="32" t="str">
        <f>IFERROR(VLOOKUP(B1084,'211'!$B$2:$D$116,3,FALSE),"")</f>
        <v/>
      </c>
      <c r="H1084" s="32" t="str">
        <f>IFERROR(VLOOKUP(B1084,双一流!$B$2:$D$148,3,FALSE),"")</f>
        <v/>
      </c>
      <c r="I1084" s="32" t="str">
        <f>IFERROR(VLOOKUP(B1084,汇总!$B$2:$I$2921,8,FALSE),"")</f>
        <v>理工</v>
      </c>
      <c r="J1084" s="29" t="s">
        <v>11</v>
      </c>
      <c r="K1084" s="33" t="s">
        <v>1252</v>
      </c>
    </row>
    <row r="1085" ht="33.75" spans="1:11">
      <c r="A1085" s="34">
        <v>1084</v>
      </c>
      <c r="B1085" s="34" t="s">
        <v>1390</v>
      </c>
      <c r="C1085" s="29" t="str">
        <f>VLOOKUP(B1085,教育部大学名单!$B$1:$D$2920,3,FALSE)</f>
        <v>浙江省教育厅</v>
      </c>
      <c r="D1085" s="34" t="s">
        <v>448</v>
      </c>
      <c r="E1085" s="34" t="s">
        <v>465</v>
      </c>
      <c r="F1085" s="36" t="str">
        <f>IFERROR(VLOOKUP(B1085,'985'!$B$2:$D$40,3,FALSE),"")</f>
        <v/>
      </c>
      <c r="G1085" s="32" t="str">
        <f>IFERROR(VLOOKUP(B1085,'211'!$B$2:$D$116,3,FALSE),"")</f>
        <v/>
      </c>
      <c r="H1085" s="32" t="str">
        <f>IFERROR(VLOOKUP(B1085,双一流!$B$2:$D$148,3,FALSE),"")</f>
        <v/>
      </c>
      <c r="I1085" s="32" t="str">
        <f>IFERROR(VLOOKUP(B1085,汇总!$B$2:$I$2921,8,FALSE),"")</f>
        <v>综合</v>
      </c>
      <c r="J1085" s="34" t="s">
        <v>11</v>
      </c>
      <c r="K1085" s="35" t="s">
        <v>1252</v>
      </c>
    </row>
    <row r="1086" ht="33.75" spans="1:11">
      <c r="A1086" s="29">
        <v>1085</v>
      </c>
      <c r="B1086" s="29" t="s">
        <v>1391</v>
      </c>
      <c r="C1086" s="29" t="str">
        <f>VLOOKUP(B1086,教育部大学名单!$B$1:$D$2920,3,FALSE)</f>
        <v>浙江省教育厅</v>
      </c>
      <c r="D1086" s="29" t="s">
        <v>448</v>
      </c>
      <c r="E1086" s="29" t="s">
        <v>457</v>
      </c>
      <c r="F1086" s="36" t="str">
        <f>IFERROR(VLOOKUP(B1086,'985'!$B$2:$D$40,3,FALSE),"")</f>
        <v/>
      </c>
      <c r="G1086" s="32" t="str">
        <f>IFERROR(VLOOKUP(B1086,'211'!$B$2:$D$116,3,FALSE),"")</f>
        <v/>
      </c>
      <c r="H1086" s="32" t="str">
        <f>IFERROR(VLOOKUP(B1086,双一流!$B$2:$D$148,3,FALSE),"")</f>
        <v/>
      </c>
      <c r="I1086" s="32" t="str">
        <f>IFERROR(VLOOKUP(B1086,汇总!$B$2:$I$2921,8,FALSE),"")</f>
        <v>医药</v>
      </c>
      <c r="J1086" s="29" t="s">
        <v>11</v>
      </c>
      <c r="K1086" s="33" t="s">
        <v>1252</v>
      </c>
    </row>
    <row r="1087" ht="50.25" spans="1:11">
      <c r="A1087" s="34">
        <v>1086</v>
      </c>
      <c r="B1087" s="34" t="s">
        <v>1392</v>
      </c>
      <c r="C1087" s="29" t="str">
        <f>VLOOKUP(B1087,教育部大学名单!$B$1:$D$2920,3,FALSE)</f>
        <v>浙江省教育厅</v>
      </c>
      <c r="D1087" s="34" t="s">
        <v>448</v>
      </c>
      <c r="E1087" s="34" t="s">
        <v>449</v>
      </c>
      <c r="F1087" s="36" t="str">
        <f>IFERROR(VLOOKUP(B1087,'985'!$B$2:$D$40,3,FALSE),"")</f>
        <v/>
      </c>
      <c r="G1087" s="32" t="str">
        <f>IFERROR(VLOOKUP(B1087,'211'!$B$2:$D$116,3,FALSE),"")</f>
        <v/>
      </c>
      <c r="H1087" s="32" t="str">
        <f>IFERROR(VLOOKUP(B1087,双一流!$B$2:$D$148,3,FALSE),"")</f>
        <v/>
      </c>
      <c r="I1087" s="32">
        <f>IFERROR(VLOOKUP(B1087,汇总!$B$2:$I$2921,8,FALSE),"")</f>
        <v>0</v>
      </c>
      <c r="J1087" s="34" t="s">
        <v>11</v>
      </c>
      <c r="K1087" s="35" t="s">
        <v>1252</v>
      </c>
    </row>
    <row r="1088" ht="33.75" spans="1:11">
      <c r="A1088" s="29">
        <v>1087</v>
      </c>
      <c r="B1088" s="29" t="s">
        <v>1393</v>
      </c>
      <c r="C1088" s="29" t="str">
        <f>VLOOKUP(B1088,教育部大学名单!$B$1:$D$2920,3,FALSE)</f>
        <v>浙江省教育厅</v>
      </c>
      <c r="D1088" s="29" t="s">
        <v>448</v>
      </c>
      <c r="E1088" s="29" t="s">
        <v>449</v>
      </c>
      <c r="F1088" s="36" t="str">
        <f>IFERROR(VLOOKUP(B1088,'985'!$B$2:$D$40,3,FALSE),"")</f>
        <v/>
      </c>
      <c r="G1088" s="32" t="str">
        <f>IFERROR(VLOOKUP(B1088,'211'!$B$2:$D$116,3,FALSE),"")</f>
        <v/>
      </c>
      <c r="H1088" s="32" t="str">
        <f>IFERROR(VLOOKUP(B1088,双一流!$B$2:$D$148,3,FALSE),"")</f>
        <v/>
      </c>
      <c r="I1088" s="32">
        <f>IFERROR(VLOOKUP(B1088,汇总!$B$2:$I$2921,8,FALSE),"")</f>
        <v>0</v>
      </c>
      <c r="J1088" s="29" t="s">
        <v>11</v>
      </c>
      <c r="K1088" s="33" t="s">
        <v>1252</v>
      </c>
    </row>
    <row r="1089" ht="50.25" spans="1:11">
      <c r="A1089" s="34">
        <v>1088</v>
      </c>
      <c r="B1089" s="34" t="s">
        <v>1394</v>
      </c>
      <c r="C1089" s="29" t="str">
        <f>VLOOKUP(B1089,教育部大学名单!$B$1:$D$2920,3,FALSE)</f>
        <v>浙江省教育厅</v>
      </c>
      <c r="D1089" s="34" t="s">
        <v>448</v>
      </c>
      <c r="E1089" s="34" t="s">
        <v>449</v>
      </c>
      <c r="F1089" s="36" t="str">
        <f>IFERROR(VLOOKUP(B1089,'985'!$B$2:$D$40,3,FALSE),"")</f>
        <v/>
      </c>
      <c r="G1089" s="32" t="str">
        <f>IFERROR(VLOOKUP(B1089,'211'!$B$2:$D$116,3,FALSE),"")</f>
        <v/>
      </c>
      <c r="H1089" s="32" t="str">
        <f>IFERROR(VLOOKUP(B1089,双一流!$B$2:$D$148,3,FALSE),"")</f>
        <v/>
      </c>
      <c r="I1089" s="32" t="str">
        <f>IFERROR(VLOOKUP(B1089,汇总!$B$2:$I$2921,8,FALSE),"")</f>
        <v>财经</v>
      </c>
      <c r="J1089" s="34" t="s">
        <v>11</v>
      </c>
      <c r="K1089" s="35" t="s">
        <v>1252</v>
      </c>
    </row>
    <row r="1090" ht="50.25" spans="1:11">
      <c r="A1090" s="29">
        <v>1089</v>
      </c>
      <c r="B1090" s="29" t="s">
        <v>1395</v>
      </c>
      <c r="C1090" s="29" t="str">
        <f>VLOOKUP(B1090,教育部大学名单!$B$1:$D$2920,3,FALSE)</f>
        <v>浙江省教育厅</v>
      </c>
      <c r="D1090" s="29" t="s">
        <v>448</v>
      </c>
      <c r="E1090" s="29" t="s">
        <v>449</v>
      </c>
      <c r="F1090" s="36" t="str">
        <f>IFERROR(VLOOKUP(B1090,'985'!$B$2:$D$40,3,FALSE),"")</f>
        <v/>
      </c>
      <c r="G1090" s="32" t="str">
        <f>IFERROR(VLOOKUP(B1090,'211'!$B$2:$D$116,3,FALSE),"")</f>
        <v/>
      </c>
      <c r="H1090" s="32" t="str">
        <f>IFERROR(VLOOKUP(B1090,双一流!$B$2:$D$148,3,FALSE),"")</f>
        <v/>
      </c>
      <c r="I1090" s="32" t="str">
        <f>IFERROR(VLOOKUP(B1090,汇总!$B$2:$I$2921,8,FALSE),"")</f>
        <v>理工</v>
      </c>
      <c r="J1090" s="29" t="s">
        <v>11</v>
      </c>
      <c r="K1090" s="33" t="s">
        <v>1252</v>
      </c>
    </row>
    <row r="1091" ht="33.75" spans="1:11">
      <c r="A1091" s="34">
        <v>1090</v>
      </c>
      <c r="B1091" s="34" t="s">
        <v>1396</v>
      </c>
      <c r="C1091" s="29" t="str">
        <f>VLOOKUP(B1091,教育部大学名单!$B$1:$D$2920,3,FALSE)</f>
        <v>浙江省教育厅</v>
      </c>
      <c r="D1091" s="34" t="s">
        <v>448</v>
      </c>
      <c r="E1091" s="34" t="s">
        <v>473</v>
      </c>
      <c r="F1091" s="36" t="str">
        <f>IFERROR(VLOOKUP(B1091,'985'!$B$2:$D$40,3,FALSE),"")</f>
        <v/>
      </c>
      <c r="G1091" s="32" t="str">
        <f>IFERROR(VLOOKUP(B1091,'211'!$B$2:$D$116,3,FALSE),"")</f>
        <v/>
      </c>
      <c r="H1091" s="32" t="str">
        <f>IFERROR(VLOOKUP(B1091,双一流!$B$2:$D$148,3,FALSE),"")</f>
        <v/>
      </c>
      <c r="I1091" s="32" t="str">
        <f>IFERROR(VLOOKUP(B1091,汇总!$B$2:$I$2921,8,FALSE),"")</f>
        <v>财经</v>
      </c>
      <c r="J1091" s="34" t="s">
        <v>11</v>
      </c>
      <c r="K1091" s="35" t="s">
        <v>1252</v>
      </c>
    </row>
    <row r="1092" ht="33.75" spans="1:11">
      <c r="A1092" s="29">
        <v>1091</v>
      </c>
      <c r="B1092" s="29" t="s">
        <v>1397</v>
      </c>
      <c r="C1092" s="29" t="str">
        <f>VLOOKUP(B1092,教育部大学名单!$B$1:$D$2920,3,FALSE)</f>
        <v>浙江省教育厅</v>
      </c>
      <c r="D1092" s="29" t="s">
        <v>448</v>
      </c>
      <c r="E1092" s="29" t="s">
        <v>457</v>
      </c>
      <c r="F1092" s="36" t="str">
        <f>IFERROR(VLOOKUP(B1092,'985'!$B$2:$D$40,3,FALSE),"")</f>
        <v/>
      </c>
      <c r="G1092" s="32" t="str">
        <f>IFERROR(VLOOKUP(B1092,'211'!$B$2:$D$116,3,FALSE),"")</f>
        <v/>
      </c>
      <c r="H1092" s="32" t="str">
        <f>IFERROR(VLOOKUP(B1092,双一流!$B$2:$D$148,3,FALSE),"")</f>
        <v/>
      </c>
      <c r="I1092" s="32">
        <f>IFERROR(VLOOKUP(B1092,汇总!$B$2:$I$2921,8,FALSE),"")</f>
        <v>0</v>
      </c>
      <c r="J1092" s="29" t="s">
        <v>11</v>
      </c>
      <c r="K1092" s="33" t="s">
        <v>1252</v>
      </c>
    </row>
    <row r="1093" ht="33.75" spans="1:11">
      <c r="A1093" s="34">
        <v>1092</v>
      </c>
      <c r="B1093" s="34" t="s">
        <v>1398</v>
      </c>
      <c r="C1093" s="29" t="str">
        <f>VLOOKUP(B1093,教育部大学名单!$B$1:$D$2920,3,FALSE)</f>
        <v>浙江省教育厅</v>
      </c>
      <c r="D1093" s="34" t="s">
        <v>448</v>
      </c>
      <c r="E1093" s="34" t="s">
        <v>473</v>
      </c>
      <c r="F1093" s="36" t="str">
        <f>IFERROR(VLOOKUP(B1093,'985'!$B$2:$D$40,3,FALSE),"")</f>
        <v/>
      </c>
      <c r="G1093" s="32" t="str">
        <f>IFERROR(VLOOKUP(B1093,'211'!$B$2:$D$116,3,FALSE),"")</f>
        <v/>
      </c>
      <c r="H1093" s="32" t="str">
        <f>IFERROR(VLOOKUP(B1093,双一流!$B$2:$D$148,3,FALSE),"")</f>
        <v/>
      </c>
      <c r="I1093" s="32">
        <f>IFERROR(VLOOKUP(B1093,汇总!$B$2:$I$2921,8,FALSE),"")</f>
        <v>0</v>
      </c>
      <c r="J1093" s="34" t="s">
        <v>11</v>
      </c>
      <c r="K1093" s="35" t="s">
        <v>1252</v>
      </c>
    </row>
    <row r="1094" ht="33.75" spans="1:11">
      <c r="A1094" s="29">
        <v>1093</v>
      </c>
      <c r="B1094" s="29" t="s">
        <v>1399</v>
      </c>
      <c r="C1094" s="29" t="str">
        <f>VLOOKUP(B1094,教育部大学名单!$B$1:$D$2920,3,FALSE)</f>
        <v>浙江省教育厅</v>
      </c>
      <c r="D1094" s="29" t="s">
        <v>448</v>
      </c>
      <c r="E1094" s="29" t="s">
        <v>460</v>
      </c>
      <c r="F1094" s="36" t="str">
        <f>IFERROR(VLOOKUP(B1094,'985'!$B$2:$D$40,3,FALSE),"")</f>
        <v/>
      </c>
      <c r="G1094" s="32" t="str">
        <f>IFERROR(VLOOKUP(B1094,'211'!$B$2:$D$116,3,FALSE),"")</f>
        <v/>
      </c>
      <c r="H1094" s="32" t="str">
        <f>IFERROR(VLOOKUP(B1094,双一流!$B$2:$D$148,3,FALSE),"")</f>
        <v/>
      </c>
      <c r="I1094" s="32" t="str">
        <f>IFERROR(VLOOKUP(B1094,汇总!$B$2:$I$2921,8,FALSE),"")</f>
        <v>财经</v>
      </c>
      <c r="J1094" s="29" t="s">
        <v>11</v>
      </c>
      <c r="K1094" s="33" t="s">
        <v>1252</v>
      </c>
    </row>
    <row r="1095" ht="33.75" spans="1:11">
      <c r="A1095" s="34">
        <v>1094</v>
      </c>
      <c r="B1095" s="34" t="s">
        <v>1400</v>
      </c>
      <c r="C1095" s="29" t="str">
        <f>VLOOKUP(B1095,教育部大学名单!$B$1:$D$2920,3,FALSE)</f>
        <v>浙江省教育厅</v>
      </c>
      <c r="D1095" s="34" t="s">
        <v>448</v>
      </c>
      <c r="E1095" s="34" t="s">
        <v>449</v>
      </c>
      <c r="F1095" s="36" t="str">
        <f>IFERROR(VLOOKUP(B1095,'985'!$B$2:$D$40,3,FALSE),"")</f>
        <v/>
      </c>
      <c r="G1095" s="32" t="str">
        <f>IFERROR(VLOOKUP(B1095,'211'!$B$2:$D$116,3,FALSE),"")</f>
        <v/>
      </c>
      <c r="H1095" s="32" t="str">
        <f>IFERROR(VLOOKUP(B1095,双一流!$B$2:$D$148,3,FALSE),"")</f>
        <v/>
      </c>
      <c r="I1095" s="32">
        <f>IFERROR(VLOOKUP(B1095,汇总!$B$2:$I$2921,8,FALSE),"")</f>
        <v>0</v>
      </c>
      <c r="J1095" s="34" t="s">
        <v>11</v>
      </c>
      <c r="K1095" s="35" t="s">
        <v>1252</v>
      </c>
    </row>
    <row r="1096" ht="33.75" spans="1:11">
      <c r="A1096" s="29">
        <v>1095</v>
      </c>
      <c r="B1096" s="29" t="s">
        <v>1401</v>
      </c>
      <c r="C1096" s="29" t="str">
        <f>VLOOKUP(B1096,教育部大学名单!$B$1:$D$2920,3,FALSE)</f>
        <v>安徽省教育厅</v>
      </c>
      <c r="D1096" s="29" t="s">
        <v>502</v>
      </c>
      <c r="E1096" s="29" t="s">
        <v>503</v>
      </c>
      <c r="F1096" s="36" t="str">
        <f>IFERROR(VLOOKUP(B1096,'985'!$B$2:$D$40,3,FALSE),"")</f>
        <v/>
      </c>
      <c r="G1096" s="32" t="str">
        <f>IFERROR(VLOOKUP(B1096,'211'!$B$2:$D$116,3,FALSE),"")</f>
        <v/>
      </c>
      <c r="H1096" s="32" t="str">
        <f>IFERROR(VLOOKUP(B1096,双一流!$B$2:$D$148,3,FALSE),"")</f>
        <v/>
      </c>
      <c r="I1096" s="32">
        <f>IFERROR(VLOOKUP(B1096,汇总!$B$2:$I$2921,8,FALSE),"")</f>
        <v>0</v>
      </c>
      <c r="J1096" s="29" t="s">
        <v>11</v>
      </c>
      <c r="K1096" s="33" t="s">
        <v>1252</v>
      </c>
    </row>
    <row r="1097" ht="33.75" spans="1:11">
      <c r="A1097" s="34">
        <v>1096</v>
      </c>
      <c r="B1097" s="34" t="s">
        <v>1402</v>
      </c>
      <c r="C1097" s="29" t="str">
        <f>VLOOKUP(B1097,教育部大学名单!$B$1:$D$2920,3,FALSE)</f>
        <v>安徽省教育厅</v>
      </c>
      <c r="D1097" s="34" t="s">
        <v>502</v>
      </c>
      <c r="E1097" s="34" t="s">
        <v>503</v>
      </c>
      <c r="F1097" s="36" t="str">
        <f>IFERROR(VLOOKUP(B1097,'985'!$B$2:$D$40,3,FALSE),"")</f>
        <v/>
      </c>
      <c r="G1097" s="32" t="str">
        <f>IFERROR(VLOOKUP(B1097,'211'!$B$2:$D$116,3,FALSE),"")</f>
        <v/>
      </c>
      <c r="H1097" s="32" t="str">
        <f>IFERROR(VLOOKUP(B1097,双一流!$B$2:$D$148,3,FALSE),"")</f>
        <v/>
      </c>
      <c r="I1097" s="32">
        <f>IFERROR(VLOOKUP(B1097,汇总!$B$2:$I$2921,8,FALSE),"")</f>
        <v>0</v>
      </c>
      <c r="J1097" s="34" t="s">
        <v>11</v>
      </c>
      <c r="K1097" s="35" t="s">
        <v>1252</v>
      </c>
    </row>
    <row r="1098" ht="33.75" spans="1:11">
      <c r="A1098" s="29">
        <v>1097</v>
      </c>
      <c r="B1098" s="29" t="s">
        <v>1403</v>
      </c>
      <c r="C1098" s="29" t="str">
        <f>VLOOKUP(B1098,教育部大学名单!$B$1:$D$2920,3,FALSE)</f>
        <v>安徽省教育厅</v>
      </c>
      <c r="D1098" s="29" t="s">
        <v>502</v>
      </c>
      <c r="E1098" s="29" t="s">
        <v>503</v>
      </c>
      <c r="F1098" s="36" t="str">
        <f>IFERROR(VLOOKUP(B1098,'985'!$B$2:$D$40,3,FALSE),"")</f>
        <v/>
      </c>
      <c r="G1098" s="32" t="str">
        <f>IFERROR(VLOOKUP(B1098,'211'!$B$2:$D$116,3,FALSE),"")</f>
        <v/>
      </c>
      <c r="H1098" s="32" t="str">
        <f>IFERROR(VLOOKUP(B1098,双一流!$B$2:$D$148,3,FALSE),"")</f>
        <v/>
      </c>
      <c r="I1098" s="32">
        <f>IFERROR(VLOOKUP(B1098,汇总!$B$2:$I$2921,8,FALSE),"")</f>
        <v>0</v>
      </c>
      <c r="J1098" s="29" t="s">
        <v>11</v>
      </c>
      <c r="K1098" s="33" t="s">
        <v>1252</v>
      </c>
    </row>
    <row r="1099" ht="33.75" spans="1:11">
      <c r="A1099" s="34">
        <v>1098</v>
      </c>
      <c r="B1099" s="34" t="s">
        <v>1404</v>
      </c>
      <c r="C1099" s="29" t="str">
        <f>VLOOKUP(B1099,教育部大学名单!$B$1:$D$2920,3,FALSE)</f>
        <v>安徽省教育厅</v>
      </c>
      <c r="D1099" s="34" t="s">
        <v>502</v>
      </c>
      <c r="E1099" s="34" t="s">
        <v>503</v>
      </c>
      <c r="F1099" s="36" t="str">
        <f>IFERROR(VLOOKUP(B1099,'985'!$B$2:$D$40,3,FALSE),"")</f>
        <v/>
      </c>
      <c r="G1099" s="32" t="str">
        <f>IFERROR(VLOOKUP(B1099,'211'!$B$2:$D$116,3,FALSE),"")</f>
        <v/>
      </c>
      <c r="H1099" s="32" t="str">
        <f>IFERROR(VLOOKUP(B1099,双一流!$B$2:$D$148,3,FALSE),"")</f>
        <v/>
      </c>
      <c r="I1099" s="32">
        <f>IFERROR(VLOOKUP(B1099,汇总!$B$2:$I$2921,8,FALSE),"")</f>
        <v>0</v>
      </c>
      <c r="J1099" s="34" t="s">
        <v>11</v>
      </c>
      <c r="K1099" s="35" t="s">
        <v>1252</v>
      </c>
    </row>
    <row r="1100" ht="33.75" spans="1:11">
      <c r="A1100" s="29">
        <v>1099</v>
      </c>
      <c r="B1100" s="29" t="s">
        <v>1405</v>
      </c>
      <c r="C1100" s="29" t="str">
        <f>VLOOKUP(B1100,教育部大学名单!$B$1:$D$2920,3,FALSE)</f>
        <v>安徽省教育厅</v>
      </c>
      <c r="D1100" s="29" t="s">
        <v>502</v>
      </c>
      <c r="E1100" s="29" t="s">
        <v>515</v>
      </c>
      <c r="F1100" s="36" t="str">
        <f>IFERROR(VLOOKUP(B1100,'985'!$B$2:$D$40,3,FALSE),"")</f>
        <v/>
      </c>
      <c r="G1100" s="32" t="str">
        <f>IFERROR(VLOOKUP(B1100,'211'!$B$2:$D$116,3,FALSE),"")</f>
        <v/>
      </c>
      <c r="H1100" s="32" t="str">
        <f>IFERROR(VLOOKUP(B1100,双一流!$B$2:$D$148,3,FALSE),"")</f>
        <v/>
      </c>
      <c r="I1100" s="32">
        <f>IFERROR(VLOOKUP(B1100,汇总!$B$2:$I$2921,8,FALSE),"")</f>
        <v>0</v>
      </c>
      <c r="J1100" s="29" t="s">
        <v>11</v>
      </c>
      <c r="K1100" s="33" t="s">
        <v>1252</v>
      </c>
    </row>
    <row r="1101" ht="33.75" spans="1:11">
      <c r="A1101" s="34">
        <v>1100</v>
      </c>
      <c r="B1101" s="34" t="s">
        <v>1406</v>
      </c>
      <c r="C1101" s="29" t="str">
        <f>VLOOKUP(B1101,教育部大学名单!$B$1:$D$2920,3,FALSE)</f>
        <v>安徽省教育厅</v>
      </c>
      <c r="D1101" s="34" t="s">
        <v>502</v>
      </c>
      <c r="E1101" s="34" t="s">
        <v>511</v>
      </c>
      <c r="F1101" s="36" t="str">
        <f>IFERROR(VLOOKUP(B1101,'985'!$B$2:$D$40,3,FALSE),"")</f>
        <v/>
      </c>
      <c r="G1101" s="32" t="str">
        <f>IFERROR(VLOOKUP(B1101,'211'!$B$2:$D$116,3,FALSE),"")</f>
        <v/>
      </c>
      <c r="H1101" s="32" t="str">
        <f>IFERROR(VLOOKUP(B1101,双一流!$B$2:$D$148,3,FALSE),"")</f>
        <v/>
      </c>
      <c r="I1101" s="32">
        <f>IFERROR(VLOOKUP(B1101,汇总!$B$2:$I$2921,8,FALSE),"")</f>
        <v>0</v>
      </c>
      <c r="J1101" s="34" t="s">
        <v>11</v>
      </c>
      <c r="K1101" s="35" t="s">
        <v>1252</v>
      </c>
    </row>
    <row r="1102" ht="33.75" spans="1:11">
      <c r="A1102" s="29">
        <v>1101</v>
      </c>
      <c r="B1102" s="29" t="s">
        <v>1407</v>
      </c>
      <c r="C1102" s="29" t="str">
        <f>VLOOKUP(B1102,教育部大学名单!$B$1:$D$2920,3,FALSE)</f>
        <v>安徽省教育厅</v>
      </c>
      <c r="D1102" s="29" t="s">
        <v>502</v>
      </c>
      <c r="E1102" s="29" t="s">
        <v>507</v>
      </c>
      <c r="F1102" s="36" t="str">
        <f>IFERROR(VLOOKUP(B1102,'985'!$B$2:$D$40,3,FALSE),"")</f>
        <v/>
      </c>
      <c r="G1102" s="32" t="str">
        <f>IFERROR(VLOOKUP(B1102,'211'!$B$2:$D$116,3,FALSE),"")</f>
        <v/>
      </c>
      <c r="H1102" s="32" t="str">
        <f>IFERROR(VLOOKUP(B1102,双一流!$B$2:$D$148,3,FALSE),"")</f>
        <v/>
      </c>
      <c r="I1102" s="32">
        <f>IFERROR(VLOOKUP(B1102,汇总!$B$2:$I$2921,8,FALSE),"")</f>
        <v>0</v>
      </c>
      <c r="J1102" s="29" t="s">
        <v>11</v>
      </c>
      <c r="K1102" s="33" t="s">
        <v>1252</v>
      </c>
    </row>
    <row r="1103" ht="33.75" spans="1:11">
      <c r="A1103" s="34">
        <v>1102</v>
      </c>
      <c r="B1103" s="34" t="s">
        <v>1408</v>
      </c>
      <c r="C1103" s="29" t="str">
        <f>VLOOKUP(B1103,教育部大学名单!$B$1:$D$2920,3,FALSE)</f>
        <v>安徽省教育厅</v>
      </c>
      <c r="D1103" s="34" t="s">
        <v>502</v>
      </c>
      <c r="E1103" s="34" t="s">
        <v>503</v>
      </c>
      <c r="F1103" s="36" t="str">
        <f>IFERROR(VLOOKUP(B1103,'985'!$B$2:$D$40,3,FALSE),"")</f>
        <v/>
      </c>
      <c r="G1103" s="32" t="str">
        <f>IFERROR(VLOOKUP(B1103,'211'!$B$2:$D$116,3,FALSE),"")</f>
        <v/>
      </c>
      <c r="H1103" s="32" t="str">
        <f>IFERROR(VLOOKUP(B1103,双一流!$B$2:$D$148,3,FALSE),"")</f>
        <v/>
      </c>
      <c r="I1103" s="32">
        <f>IFERROR(VLOOKUP(B1103,汇总!$B$2:$I$2921,8,FALSE),"")</f>
        <v>0</v>
      </c>
      <c r="J1103" s="34" t="s">
        <v>11</v>
      </c>
      <c r="K1103" s="35" t="s">
        <v>1252</v>
      </c>
    </row>
    <row r="1104" ht="33.75" spans="1:11">
      <c r="A1104" s="29">
        <v>1103</v>
      </c>
      <c r="B1104" s="29" t="s">
        <v>1409</v>
      </c>
      <c r="C1104" s="29" t="str">
        <f>VLOOKUP(B1104,教育部大学名单!$B$1:$D$2920,3,FALSE)</f>
        <v>安徽省教育厅</v>
      </c>
      <c r="D1104" s="29" t="s">
        <v>502</v>
      </c>
      <c r="E1104" s="29" t="s">
        <v>503</v>
      </c>
      <c r="F1104" s="36" t="str">
        <f>IFERROR(VLOOKUP(B1104,'985'!$B$2:$D$40,3,FALSE),"")</f>
        <v/>
      </c>
      <c r="G1104" s="32" t="str">
        <f>IFERROR(VLOOKUP(B1104,'211'!$B$2:$D$116,3,FALSE),"")</f>
        <v/>
      </c>
      <c r="H1104" s="32" t="str">
        <f>IFERROR(VLOOKUP(B1104,双一流!$B$2:$D$148,3,FALSE),"")</f>
        <v/>
      </c>
      <c r="I1104" s="32">
        <f>IFERROR(VLOOKUP(B1104,汇总!$B$2:$I$2921,8,FALSE),"")</f>
        <v>0</v>
      </c>
      <c r="J1104" s="29" t="s">
        <v>11</v>
      </c>
      <c r="K1104" s="33" t="s">
        <v>1252</v>
      </c>
    </row>
    <row r="1105" ht="33.75" spans="1:11">
      <c r="A1105" s="34">
        <v>1104</v>
      </c>
      <c r="B1105" s="34" t="s">
        <v>1410</v>
      </c>
      <c r="C1105" s="29" t="str">
        <f>VLOOKUP(B1105,教育部大学名单!$B$1:$D$2920,3,FALSE)</f>
        <v>安徽省教育厅</v>
      </c>
      <c r="D1105" s="34" t="s">
        <v>502</v>
      </c>
      <c r="E1105" s="34" t="s">
        <v>511</v>
      </c>
      <c r="F1105" s="36" t="str">
        <f>IFERROR(VLOOKUP(B1105,'985'!$B$2:$D$40,3,FALSE),"")</f>
        <v/>
      </c>
      <c r="G1105" s="32" t="str">
        <f>IFERROR(VLOOKUP(B1105,'211'!$B$2:$D$116,3,FALSE),"")</f>
        <v/>
      </c>
      <c r="H1105" s="32" t="str">
        <f>IFERROR(VLOOKUP(B1105,双一流!$B$2:$D$148,3,FALSE),"")</f>
        <v/>
      </c>
      <c r="I1105" s="32">
        <f>IFERROR(VLOOKUP(B1105,汇总!$B$2:$I$2921,8,FALSE),"")</f>
        <v>0</v>
      </c>
      <c r="J1105" s="34" t="s">
        <v>11</v>
      </c>
      <c r="K1105" s="35" t="s">
        <v>1252</v>
      </c>
    </row>
    <row r="1106" ht="50.25" spans="1:11">
      <c r="A1106" s="29">
        <v>1105</v>
      </c>
      <c r="B1106" s="29" t="s">
        <v>1411</v>
      </c>
      <c r="C1106" s="29" t="str">
        <f>VLOOKUP(B1106,教育部大学名单!$B$1:$D$2920,3,FALSE)</f>
        <v>安徽省教育厅</v>
      </c>
      <c r="D1106" s="29" t="s">
        <v>502</v>
      </c>
      <c r="E1106" s="29" t="s">
        <v>503</v>
      </c>
      <c r="F1106" s="36" t="str">
        <f>IFERROR(VLOOKUP(B1106,'985'!$B$2:$D$40,3,FALSE),"")</f>
        <v/>
      </c>
      <c r="G1106" s="32" t="str">
        <f>IFERROR(VLOOKUP(B1106,'211'!$B$2:$D$116,3,FALSE),"")</f>
        <v/>
      </c>
      <c r="H1106" s="32" t="str">
        <f>IFERROR(VLOOKUP(B1106,双一流!$B$2:$D$148,3,FALSE),"")</f>
        <v/>
      </c>
      <c r="I1106" s="32" t="str">
        <f>IFERROR(VLOOKUP(B1106,汇总!$B$2:$I$2921,8,FALSE),"")</f>
        <v>医药</v>
      </c>
      <c r="J1106" s="29" t="s">
        <v>11</v>
      </c>
      <c r="K1106" s="33" t="s">
        <v>1252</v>
      </c>
    </row>
    <row r="1107" ht="33.75" spans="1:11">
      <c r="A1107" s="34">
        <v>1106</v>
      </c>
      <c r="B1107" s="34" t="s">
        <v>1412</v>
      </c>
      <c r="C1107" s="29" t="str">
        <f>VLOOKUP(B1107,教育部大学名单!$B$1:$D$2920,3,FALSE)</f>
        <v>安徽省教育厅</v>
      </c>
      <c r="D1107" s="34" t="s">
        <v>502</v>
      </c>
      <c r="E1107" s="34" t="s">
        <v>520</v>
      </c>
      <c r="F1107" s="36" t="str">
        <f>IFERROR(VLOOKUP(B1107,'985'!$B$2:$D$40,3,FALSE),"")</f>
        <v/>
      </c>
      <c r="G1107" s="32" t="str">
        <f>IFERROR(VLOOKUP(B1107,'211'!$B$2:$D$116,3,FALSE),"")</f>
        <v/>
      </c>
      <c r="H1107" s="32" t="str">
        <f>IFERROR(VLOOKUP(B1107,双一流!$B$2:$D$148,3,FALSE),"")</f>
        <v/>
      </c>
      <c r="I1107" s="32">
        <f>IFERROR(VLOOKUP(B1107,汇总!$B$2:$I$2921,8,FALSE),"")</f>
        <v>0</v>
      </c>
      <c r="J1107" s="34" t="s">
        <v>11</v>
      </c>
      <c r="K1107" s="35" t="s">
        <v>1252</v>
      </c>
    </row>
    <row r="1108" ht="33.75" spans="1:11">
      <c r="A1108" s="29">
        <v>1107</v>
      </c>
      <c r="B1108" s="29" t="s">
        <v>1413</v>
      </c>
      <c r="C1108" s="29" t="str">
        <f>VLOOKUP(B1108,教育部大学名单!$B$1:$D$2920,3,FALSE)</f>
        <v>安徽省教育厅</v>
      </c>
      <c r="D1108" s="29" t="s">
        <v>502</v>
      </c>
      <c r="E1108" s="29" t="s">
        <v>524</v>
      </c>
      <c r="F1108" s="36" t="str">
        <f>IFERROR(VLOOKUP(B1108,'985'!$B$2:$D$40,3,FALSE),"")</f>
        <v/>
      </c>
      <c r="G1108" s="32" t="str">
        <f>IFERROR(VLOOKUP(B1108,'211'!$B$2:$D$116,3,FALSE),"")</f>
        <v/>
      </c>
      <c r="H1108" s="32" t="str">
        <f>IFERROR(VLOOKUP(B1108,双一流!$B$2:$D$148,3,FALSE),"")</f>
        <v/>
      </c>
      <c r="I1108" s="32">
        <f>IFERROR(VLOOKUP(B1108,汇总!$B$2:$I$2921,8,FALSE),"")</f>
        <v>0</v>
      </c>
      <c r="J1108" s="29" t="s">
        <v>11</v>
      </c>
      <c r="K1108" s="33" t="s">
        <v>1252</v>
      </c>
    </row>
    <row r="1109" ht="33.75" spans="1:11">
      <c r="A1109" s="34">
        <v>1108</v>
      </c>
      <c r="B1109" s="34" t="s">
        <v>1414</v>
      </c>
      <c r="C1109" s="29" t="str">
        <f>VLOOKUP(B1109,教育部大学名单!$B$1:$D$2920,3,FALSE)</f>
        <v>安徽省教育厅</v>
      </c>
      <c r="D1109" s="34" t="s">
        <v>502</v>
      </c>
      <c r="E1109" s="34" t="s">
        <v>507</v>
      </c>
      <c r="F1109" s="36" t="str">
        <f>IFERROR(VLOOKUP(B1109,'985'!$B$2:$D$40,3,FALSE),"")</f>
        <v/>
      </c>
      <c r="G1109" s="32" t="str">
        <f>IFERROR(VLOOKUP(B1109,'211'!$B$2:$D$116,3,FALSE),"")</f>
        <v/>
      </c>
      <c r="H1109" s="32" t="str">
        <f>IFERROR(VLOOKUP(B1109,双一流!$B$2:$D$148,3,FALSE),"")</f>
        <v/>
      </c>
      <c r="I1109" s="32">
        <f>IFERROR(VLOOKUP(B1109,汇总!$B$2:$I$2921,8,FALSE),"")</f>
        <v>0</v>
      </c>
      <c r="J1109" s="34" t="s">
        <v>11</v>
      </c>
      <c r="K1109" s="35" t="s">
        <v>1252</v>
      </c>
    </row>
    <row r="1110" ht="33.75" spans="1:11">
      <c r="A1110" s="29">
        <v>1109</v>
      </c>
      <c r="B1110" s="29" t="s">
        <v>1415</v>
      </c>
      <c r="C1110" s="29" t="str">
        <f>VLOOKUP(B1110,教育部大学名单!$B$1:$D$2920,3,FALSE)</f>
        <v>福建省教育厅</v>
      </c>
      <c r="D1110" s="29" t="s">
        <v>553</v>
      </c>
      <c r="E1110" s="29" t="s">
        <v>556</v>
      </c>
      <c r="F1110" s="36" t="str">
        <f>IFERROR(VLOOKUP(B1110,'985'!$B$2:$D$40,3,FALSE),"")</f>
        <v/>
      </c>
      <c r="G1110" s="32" t="str">
        <f>IFERROR(VLOOKUP(B1110,'211'!$B$2:$D$116,3,FALSE),"")</f>
        <v/>
      </c>
      <c r="H1110" s="32" t="str">
        <f>IFERROR(VLOOKUP(B1110,双一流!$B$2:$D$148,3,FALSE),"")</f>
        <v/>
      </c>
      <c r="I1110" s="32">
        <f>IFERROR(VLOOKUP(B1110,汇总!$B$2:$I$2921,8,FALSE),"")</f>
        <v>0</v>
      </c>
      <c r="J1110" s="29" t="s">
        <v>11</v>
      </c>
      <c r="K1110" s="33" t="s">
        <v>1252</v>
      </c>
    </row>
    <row r="1111" ht="33.75" spans="1:11">
      <c r="A1111" s="34">
        <v>1110</v>
      </c>
      <c r="B1111" s="34" t="s">
        <v>1416</v>
      </c>
      <c r="C1111" s="29" t="str">
        <f>VLOOKUP(B1111,教育部大学名单!$B$1:$D$2920,3,FALSE)</f>
        <v>福建省教育厅</v>
      </c>
      <c r="D1111" s="34" t="s">
        <v>553</v>
      </c>
      <c r="E1111" s="34" t="s">
        <v>554</v>
      </c>
      <c r="F1111" s="36" t="str">
        <f>IFERROR(VLOOKUP(B1111,'985'!$B$2:$D$40,3,FALSE),"")</f>
        <v/>
      </c>
      <c r="G1111" s="32" t="str">
        <f>IFERROR(VLOOKUP(B1111,'211'!$B$2:$D$116,3,FALSE),"")</f>
        <v/>
      </c>
      <c r="H1111" s="32" t="str">
        <f>IFERROR(VLOOKUP(B1111,双一流!$B$2:$D$148,3,FALSE),"")</f>
        <v/>
      </c>
      <c r="I1111" s="32">
        <f>IFERROR(VLOOKUP(B1111,汇总!$B$2:$I$2921,8,FALSE),"")</f>
        <v>0</v>
      </c>
      <c r="J1111" s="34" t="s">
        <v>11</v>
      </c>
      <c r="K1111" s="35" t="s">
        <v>1252</v>
      </c>
    </row>
    <row r="1112" ht="33.75" spans="1:11">
      <c r="A1112" s="29">
        <v>1111</v>
      </c>
      <c r="B1112" s="29" t="s">
        <v>1417</v>
      </c>
      <c r="C1112" s="29" t="str">
        <f>VLOOKUP(B1112,教育部大学名单!$B$1:$D$2920,3,FALSE)</f>
        <v>福建省教育厅</v>
      </c>
      <c r="D1112" s="29" t="s">
        <v>553</v>
      </c>
      <c r="E1112" s="29" t="s">
        <v>556</v>
      </c>
      <c r="F1112" s="36" t="str">
        <f>IFERROR(VLOOKUP(B1112,'985'!$B$2:$D$40,3,FALSE),"")</f>
        <v/>
      </c>
      <c r="G1112" s="32" t="str">
        <f>IFERROR(VLOOKUP(B1112,'211'!$B$2:$D$116,3,FALSE),"")</f>
        <v/>
      </c>
      <c r="H1112" s="32" t="str">
        <f>IFERROR(VLOOKUP(B1112,双一流!$B$2:$D$148,3,FALSE),"")</f>
        <v/>
      </c>
      <c r="I1112" s="32">
        <f>IFERROR(VLOOKUP(B1112,汇总!$B$2:$I$2921,8,FALSE),"")</f>
        <v>0</v>
      </c>
      <c r="J1112" s="29" t="s">
        <v>11</v>
      </c>
      <c r="K1112" s="33" t="s">
        <v>1252</v>
      </c>
    </row>
    <row r="1113" ht="33.75" spans="1:11">
      <c r="A1113" s="34">
        <v>1112</v>
      </c>
      <c r="B1113" s="34" t="s">
        <v>1418</v>
      </c>
      <c r="C1113" s="29" t="str">
        <f>VLOOKUP(B1113,教育部大学名单!$B$1:$D$2920,3,FALSE)</f>
        <v>福建省教育厅</v>
      </c>
      <c r="D1113" s="34" t="s">
        <v>553</v>
      </c>
      <c r="E1113" s="34" t="s">
        <v>556</v>
      </c>
      <c r="F1113" s="36" t="str">
        <f>IFERROR(VLOOKUP(B1113,'985'!$B$2:$D$40,3,FALSE),"")</f>
        <v/>
      </c>
      <c r="G1113" s="32" t="str">
        <f>IFERROR(VLOOKUP(B1113,'211'!$B$2:$D$116,3,FALSE),"")</f>
        <v/>
      </c>
      <c r="H1113" s="32" t="str">
        <f>IFERROR(VLOOKUP(B1113,双一流!$B$2:$D$148,3,FALSE),"")</f>
        <v/>
      </c>
      <c r="I1113" s="32">
        <f>IFERROR(VLOOKUP(B1113,汇总!$B$2:$I$2921,8,FALSE),"")</f>
        <v>0</v>
      </c>
      <c r="J1113" s="34" t="s">
        <v>11</v>
      </c>
      <c r="K1113" s="35" t="s">
        <v>1252</v>
      </c>
    </row>
    <row r="1114" ht="33.75" spans="1:11">
      <c r="A1114" s="29">
        <v>1113</v>
      </c>
      <c r="B1114" s="29" t="s">
        <v>1419</v>
      </c>
      <c r="C1114" s="29" t="str">
        <f>VLOOKUP(B1114,教育部大学名单!$B$1:$D$2920,3,FALSE)</f>
        <v>福建省教育厅</v>
      </c>
      <c r="D1114" s="29" t="s">
        <v>553</v>
      </c>
      <c r="E1114" s="29" t="s">
        <v>556</v>
      </c>
      <c r="F1114" s="36" t="str">
        <f>IFERROR(VLOOKUP(B1114,'985'!$B$2:$D$40,3,FALSE),"")</f>
        <v/>
      </c>
      <c r="G1114" s="32" t="str">
        <f>IFERROR(VLOOKUP(B1114,'211'!$B$2:$D$116,3,FALSE),"")</f>
        <v/>
      </c>
      <c r="H1114" s="32" t="str">
        <f>IFERROR(VLOOKUP(B1114,双一流!$B$2:$D$148,3,FALSE),"")</f>
        <v/>
      </c>
      <c r="I1114" s="32">
        <f>IFERROR(VLOOKUP(B1114,汇总!$B$2:$I$2921,8,FALSE),"")</f>
        <v>0</v>
      </c>
      <c r="J1114" s="29" t="s">
        <v>11</v>
      </c>
      <c r="K1114" s="33" t="s">
        <v>1252</v>
      </c>
    </row>
    <row r="1115" ht="33.75" spans="1:11">
      <c r="A1115" s="34">
        <v>1114</v>
      </c>
      <c r="B1115" s="34" t="s">
        <v>1420</v>
      </c>
      <c r="C1115" s="29" t="str">
        <f>VLOOKUP(B1115,教育部大学名单!$B$1:$D$2920,3,FALSE)</f>
        <v>福建省教育厅</v>
      </c>
      <c r="D1115" s="34" t="s">
        <v>553</v>
      </c>
      <c r="E1115" s="34" t="s">
        <v>558</v>
      </c>
      <c r="F1115" s="36" t="str">
        <f>IFERROR(VLOOKUP(B1115,'985'!$B$2:$D$40,3,FALSE),"")</f>
        <v/>
      </c>
      <c r="G1115" s="32" t="str">
        <f>IFERROR(VLOOKUP(B1115,'211'!$B$2:$D$116,3,FALSE),"")</f>
        <v/>
      </c>
      <c r="H1115" s="32" t="str">
        <f>IFERROR(VLOOKUP(B1115,双一流!$B$2:$D$148,3,FALSE),"")</f>
        <v/>
      </c>
      <c r="I1115" s="32">
        <f>IFERROR(VLOOKUP(B1115,汇总!$B$2:$I$2921,8,FALSE),"")</f>
        <v>0</v>
      </c>
      <c r="J1115" s="34" t="s">
        <v>11</v>
      </c>
      <c r="K1115" s="35" t="s">
        <v>1252</v>
      </c>
    </row>
    <row r="1116" ht="33.75" spans="1:11">
      <c r="A1116" s="29">
        <v>1115</v>
      </c>
      <c r="B1116" s="29" t="s">
        <v>1421</v>
      </c>
      <c r="C1116" s="29" t="str">
        <f>VLOOKUP(B1116,教育部大学名单!$B$1:$D$2920,3,FALSE)</f>
        <v>福建省教育厅</v>
      </c>
      <c r="D1116" s="29" t="s">
        <v>553</v>
      </c>
      <c r="E1116" s="29" t="s">
        <v>554</v>
      </c>
      <c r="F1116" s="36" t="str">
        <f>IFERROR(VLOOKUP(B1116,'985'!$B$2:$D$40,3,FALSE),"")</f>
        <v/>
      </c>
      <c r="G1116" s="32" t="str">
        <f>IFERROR(VLOOKUP(B1116,'211'!$B$2:$D$116,3,FALSE),"")</f>
        <v/>
      </c>
      <c r="H1116" s="32" t="str">
        <f>IFERROR(VLOOKUP(B1116,双一流!$B$2:$D$148,3,FALSE),"")</f>
        <v/>
      </c>
      <c r="I1116" s="32">
        <f>IFERROR(VLOOKUP(B1116,汇总!$B$2:$I$2921,8,FALSE),"")</f>
        <v>0</v>
      </c>
      <c r="J1116" s="29" t="s">
        <v>11</v>
      </c>
      <c r="K1116" s="33" t="s">
        <v>1252</v>
      </c>
    </row>
    <row r="1117" ht="33.75" spans="1:11">
      <c r="A1117" s="34">
        <v>1116</v>
      </c>
      <c r="B1117" s="34" t="s">
        <v>1422</v>
      </c>
      <c r="C1117" s="29" t="str">
        <f>VLOOKUP(B1117,教育部大学名单!$B$1:$D$2920,3,FALSE)</f>
        <v>福建省教育厅</v>
      </c>
      <c r="D1117" s="34" t="s">
        <v>553</v>
      </c>
      <c r="E1117" s="34" t="s">
        <v>558</v>
      </c>
      <c r="F1117" s="36" t="str">
        <f>IFERROR(VLOOKUP(B1117,'985'!$B$2:$D$40,3,FALSE),"")</f>
        <v/>
      </c>
      <c r="G1117" s="32" t="str">
        <f>IFERROR(VLOOKUP(B1117,'211'!$B$2:$D$116,3,FALSE),"")</f>
        <v/>
      </c>
      <c r="H1117" s="32" t="str">
        <f>IFERROR(VLOOKUP(B1117,双一流!$B$2:$D$148,3,FALSE),"")</f>
        <v/>
      </c>
      <c r="I1117" s="32">
        <f>IFERROR(VLOOKUP(B1117,汇总!$B$2:$I$2921,8,FALSE),"")</f>
        <v>0</v>
      </c>
      <c r="J1117" s="34" t="s">
        <v>11</v>
      </c>
      <c r="K1117" s="35" t="s">
        <v>1252</v>
      </c>
    </row>
    <row r="1118" ht="33.75" spans="1:11">
      <c r="A1118" s="29">
        <v>1117</v>
      </c>
      <c r="B1118" s="29" t="s">
        <v>1423</v>
      </c>
      <c r="C1118" s="29" t="str">
        <f>VLOOKUP(B1118,教育部大学名单!$B$1:$D$2920,3,FALSE)</f>
        <v>福建省教育厅</v>
      </c>
      <c r="D1118" s="29" t="s">
        <v>553</v>
      </c>
      <c r="E1118" s="29" t="s">
        <v>572</v>
      </c>
      <c r="F1118" s="36" t="str">
        <f>IFERROR(VLOOKUP(B1118,'985'!$B$2:$D$40,3,FALSE),"")</f>
        <v/>
      </c>
      <c r="G1118" s="32" t="str">
        <f>IFERROR(VLOOKUP(B1118,'211'!$B$2:$D$116,3,FALSE),"")</f>
        <v/>
      </c>
      <c r="H1118" s="32" t="str">
        <f>IFERROR(VLOOKUP(B1118,双一流!$B$2:$D$148,3,FALSE),"")</f>
        <v/>
      </c>
      <c r="I1118" s="32" t="str">
        <f>IFERROR(VLOOKUP(B1118,汇总!$B$2:$I$2921,8,FALSE),"")</f>
        <v>综合</v>
      </c>
      <c r="J1118" s="29" t="s">
        <v>11</v>
      </c>
      <c r="K1118" s="33" t="s">
        <v>1252</v>
      </c>
    </row>
    <row r="1119" ht="33.75" spans="1:11">
      <c r="A1119" s="34">
        <v>1118</v>
      </c>
      <c r="B1119" s="34" t="s">
        <v>1424</v>
      </c>
      <c r="C1119" s="29" t="str">
        <f>VLOOKUP(B1119,教育部大学名单!$B$1:$D$2920,3,FALSE)</f>
        <v>福建省教育厅</v>
      </c>
      <c r="D1119" s="34" t="s">
        <v>553</v>
      </c>
      <c r="E1119" s="34" t="s">
        <v>558</v>
      </c>
      <c r="F1119" s="36" t="str">
        <f>IFERROR(VLOOKUP(B1119,'985'!$B$2:$D$40,3,FALSE),"")</f>
        <v/>
      </c>
      <c r="G1119" s="32" t="str">
        <f>IFERROR(VLOOKUP(B1119,'211'!$B$2:$D$116,3,FALSE),"")</f>
        <v/>
      </c>
      <c r="H1119" s="32" t="str">
        <f>IFERROR(VLOOKUP(B1119,双一流!$B$2:$D$148,3,FALSE),"")</f>
        <v/>
      </c>
      <c r="I1119" s="32" t="str">
        <f>IFERROR(VLOOKUP(B1119,汇总!$B$2:$I$2921,8,FALSE),"")</f>
        <v>综合</v>
      </c>
      <c r="J1119" s="34" t="s">
        <v>11</v>
      </c>
      <c r="K1119" s="35" t="s">
        <v>1252</v>
      </c>
    </row>
    <row r="1120" ht="33.75" spans="1:11">
      <c r="A1120" s="29">
        <v>1119</v>
      </c>
      <c r="B1120" s="29" t="s">
        <v>1425</v>
      </c>
      <c r="C1120" s="29" t="str">
        <f>VLOOKUP(B1120,教育部大学名单!$B$1:$D$2920,3,FALSE)</f>
        <v>福建省教育厅</v>
      </c>
      <c r="D1120" s="29" t="s">
        <v>553</v>
      </c>
      <c r="E1120" s="29" t="s">
        <v>554</v>
      </c>
      <c r="F1120" s="36" t="str">
        <f>IFERROR(VLOOKUP(B1120,'985'!$B$2:$D$40,3,FALSE),"")</f>
        <v/>
      </c>
      <c r="G1120" s="32" t="str">
        <f>IFERROR(VLOOKUP(B1120,'211'!$B$2:$D$116,3,FALSE),"")</f>
        <v/>
      </c>
      <c r="H1120" s="32" t="str">
        <f>IFERROR(VLOOKUP(B1120,双一流!$B$2:$D$148,3,FALSE),"")</f>
        <v/>
      </c>
      <c r="I1120" s="32" t="str">
        <f>IFERROR(VLOOKUP(B1120,汇总!$B$2:$I$2921,8,FALSE),"")</f>
        <v>综合</v>
      </c>
      <c r="J1120" s="29" t="s">
        <v>11</v>
      </c>
      <c r="K1120" s="33" t="s">
        <v>1252</v>
      </c>
    </row>
    <row r="1121" ht="33.75" spans="1:11">
      <c r="A1121" s="34">
        <v>1120</v>
      </c>
      <c r="B1121" s="34" t="s">
        <v>1426</v>
      </c>
      <c r="C1121" s="29" t="str">
        <f>VLOOKUP(B1121,教育部大学名单!$B$1:$D$2920,3,FALSE)</f>
        <v>福建省教育厅</v>
      </c>
      <c r="D1121" s="34" t="s">
        <v>553</v>
      </c>
      <c r="E1121" s="34" t="s">
        <v>558</v>
      </c>
      <c r="F1121" s="36" t="str">
        <f>IFERROR(VLOOKUP(B1121,'985'!$B$2:$D$40,3,FALSE),"")</f>
        <v/>
      </c>
      <c r="G1121" s="32" t="str">
        <f>IFERROR(VLOOKUP(B1121,'211'!$B$2:$D$116,3,FALSE),"")</f>
        <v/>
      </c>
      <c r="H1121" s="32" t="str">
        <f>IFERROR(VLOOKUP(B1121,双一流!$B$2:$D$148,3,FALSE),"")</f>
        <v/>
      </c>
      <c r="I1121" s="32" t="str">
        <f>IFERROR(VLOOKUP(B1121,汇总!$B$2:$I$2921,8,FALSE),"")</f>
        <v>综合</v>
      </c>
      <c r="J1121" s="34" t="s">
        <v>11</v>
      </c>
      <c r="K1121" s="35" t="s">
        <v>1252</v>
      </c>
    </row>
    <row r="1122" ht="33.75" spans="1:11">
      <c r="A1122" s="29">
        <v>1121</v>
      </c>
      <c r="B1122" s="29" t="s">
        <v>1427</v>
      </c>
      <c r="C1122" s="29" t="str">
        <f>VLOOKUP(B1122,教育部大学名单!$B$1:$D$2920,3,FALSE)</f>
        <v>福建省教育厅</v>
      </c>
      <c r="D1122" s="29" t="s">
        <v>553</v>
      </c>
      <c r="E1122" s="29" t="s">
        <v>558</v>
      </c>
      <c r="F1122" s="36" t="str">
        <f>IFERROR(VLOOKUP(B1122,'985'!$B$2:$D$40,3,FALSE),"")</f>
        <v/>
      </c>
      <c r="G1122" s="32" t="str">
        <f>IFERROR(VLOOKUP(B1122,'211'!$B$2:$D$116,3,FALSE),"")</f>
        <v/>
      </c>
      <c r="H1122" s="32" t="str">
        <f>IFERROR(VLOOKUP(B1122,双一流!$B$2:$D$148,3,FALSE),"")</f>
        <v/>
      </c>
      <c r="I1122" s="32">
        <f>IFERROR(VLOOKUP(B1122,汇总!$B$2:$I$2921,8,FALSE),"")</f>
        <v>0</v>
      </c>
      <c r="J1122" s="29" t="s">
        <v>11</v>
      </c>
      <c r="K1122" s="33" t="s">
        <v>1252</v>
      </c>
    </row>
    <row r="1123" ht="33.75" spans="1:11">
      <c r="A1123" s="34">
        <v>1122</v>
      </c>
      <c r="B1123" s="34" t="s">
        <v>1428</v>
      </c>
      <c r="C1123" s="29" t="str">
        <f>VLOOKUP(B1123,教育部大学名单!$B$1:$D$2920,3,FALSE)</f>
        <v>福建省教育厅</v>
      </c>
      <c r="D1123" s="34" t="s">
        <v>553</v>
      </c>
      <c r="E1123" s="34" t="s">
        <v>556</v>
      </c>
      <c r="F1123" s="36" t="str">
        <f>IFERROR(VLOOKUP(B1123,'985'!$B$2:$D$40,3,FALSE),"")</f>
        <v/>
      </c>
      <c r="G1123" s="32" t="str">
        <f>IFERROR(VLOOKUP(B1123,'211'!$B$2:$D$116,3,FALSE),"")</f>
        <v/>
      </c>
      <c r="H1123" s="32" t="str">
        <f>IFERROR(VLOOKUP(B1123,双一流!$B$2:$D$148,3,FALSE),"")</f>
        <v/>
      </c>
      <c r="I1123" s="32">
        <f>IFERROR(VLOOKUP(B1123,汇总!$B$2:$I$2921,8,FALSE),"")</f>
        <v>0</v>
      </c>
      <c r="J1123" s="34" t="s">
        <v>11</v>
      </c>
      <c r="K1123" s="35" t="s">
        <v>1252</v>
      </c>
    </row>
    <row r="1124" ht="33.75" spans="1:11">
      <c r="A1124" s="29">
        <v>1123</v>
      </c>
      <c r="B1124" s="29" t="s">
        <v>1429</v>
      </c>
      <c r="C1124" s="29" t="str">
        <f>VLOOKUP(B1124,教育部大学名单!$B$1:$D$2920,3,FALSE)</f>
        <v>福建省教育厅</v>
      </c>
      <c r="D1124" s="29" t="s">
        <v>553</v>
      </c>
      <c r="E1124" s="29" t="s">
        <v>558</v>
      </c>
      <c r="F1124" s="36" t="str">
        <f>IFERROR(VLOOKUP(B1124,'985'!$B$2:$D$40,3,FALSE),"")</f>
        <v/>
      </c>
      <c r="G1124" s="32" t="str">
        <f>IFERROR(VLOOKUP(B1124,'211'!$B$2:$D$116,3,FALSE),"")</f>
        <v/>
      </c>
      <c r="H1124" s="32" t="str">
        <f>IFERROR(VLOOKUP(B1124,双一流!$B$2:$D$148,3,FALSE),"")</f>
        <v/>
      </c>
      <c r="I1124" s="32">
        <f>IFERROR(VLOOKUP(B1124,汇总!$B$2:$I$2921,8,FALSE),"")</f>
        <v>0</v>
      </c>
      <c r="J1124" s="29" t="s">
        <v>11</v>
      </c>
      <c r="K1124" s="33" t="s">
        <v>1252</v>
      </c>
    </row>
    <row r="1125" ht="33.75" spans="1:11">
      <c r="A1125" s="34">
        <v>1124</v>
      </c>
      <c r="B1125" s="34" t="s">
        <v>1430</v>
      </c>
      <c r="C1125" s="29" t="str">
        <f>VLOOKUP(B1125,教育部大学名单!$B$1:$D$2920,3,FALSE)</f>
        <v>福建省教育厅</v>
      </c>
      <c r="D1125" s="34" t="s">
        <v>553</v>
      </c>
      <c r="E1125" s="34" t="s">
        <v>558</v>
      </c>
      <c r="F1125" s="36" t="str">
        <f>IFERROR(VLOOKUP(B1125,'985'!$B$2:$D$40,3,FALSE),"")</f>
        <v/>
      </c>
      <c r="G1125" s="32" t="str">
        <f>IFERROR(VLOOKUP(B1125,'211'!$B$2:$D$116,3,FALSE),"")</f>
        <v/>
      </c>
      <c r="H1125" s="32" t="str">
        <f>IFERROR(VLOOKUP(B1125,双一流!$B$2:$D$148,3,FALSE),"")</f>
        <v/>
      </c>
      <c r="I1125" s="32" t="str">
        <f>IFERROR(VLOOKUP(B1125,汇总!$B$2:$I$2921,8,FALSE),"")</f>
        <v>综合</v>
      </c>
      <c r="J1125" s="34" t="s">
        <v>11</v>
      </c>
      <c r="K1125" s="35" t="s">
        <v>1252</v>
      </c>
    </row>
    <row r="1126" ht="33.75" spans="1:11">
      <c r="A1126" s="29">
        <v>1125</v>
      </c>
      <c r="B1126" s="29" t="s">
        <v>1431</v>
      </c>
      <c r="C1126" s="29" t="str">
        <f>VLOOKUP(B1126,教育部大学名单!$B$1:$D$2920,3,FALSE)</f>
        <v>江西省教育厅</v>
      </c>
      <c r="D1126" s="29" t="s">
        <v>587</v>
      </c>
      <c r="E1126" s="29" t="s">
        <v>588</v>
      </c>
      <c r="F1126" s="36" t="str">
        <f>IFERROR(VLOOKUP(B1126,'985'!$B$2:$D$40,3,FALSE),"")</f>
        <v/>
      </c>
      <c r="G1126" s="32" t="str">
        <f>IFERROR(VLOOKUP(B1126,'211'!$B$2:$D$116,3,FALSE),"")</f>
        <v/>
      </c>
      <c r="H1126" s="32" t="str">
        <f>IFERROR(VLOOKUP(B1126,双一流!$B$2:$D$148,3,FALSE),"")</f>
        <v/>
      </c>
      <c r="I1126" s="32">
        <f>IFERROR(VLOOKUP(B1126,汇总!$B$2:$I$2921,8,FALSE),"")</f>
        <v>0</v>
      </c>
      <c r="J1126" s="29" t="s">
        <v>11</v>
      </c>
      <c r="K1126" s="33" t="s">
        <v>1252</v>
      </c>
    </row>
    <row r="1127" ht="33.75" spans="1:11">
      <c r="A1127" s="34">
        <v>1126</v>
      </c>
      <c r="B1127" s="34" t="s">
        <v>1432</v>
      </c>
      <c r="C1127" s="29" t="str">
        <f>VLOOKUP(B1127,教育部大学名单!$B$1:$D$2920,3,FALSE)</f>
        <v>江西省教育厅</v>
      </c>
      <c r="D1127" s="34" t="s">
        <v>587</v>
      </c>
      <c r="E1127" s="34" t="s">
        <v>616</v>
      </c>
      <c r="F1127" s="36" t="str">
        <f>IFERROR(VLOOKUP(B1127,'985'!$B$2:$D$40,3,FALSE),"")</f>
        <v/>
      </c>
      <c r="G1127" s="32" t="str">
        <f>IFERROR(VLOOKUP(B1127,'211'!$B$2:$D$116,3,FALSE),"")</f>
        <v/>
      </c>
      <c r="H1127" s="32" t="str">
        <f>IFERROR(VLOOKUP(B1127,双一流!$B$2:$D$148,3,FALSE),"")</f>
        <v/>
      </c>
      <c r="I1127" s="32">
        <f>IFERROR(VLOOKUP(B1127,汇总!$B$2:$I$2921,8,FALSE),"")</f>
        <v>0</v>
      </c>
      <c r="J1127" s="34" t="s">
        <v>11</v>
      </c>
      <c r="K1127" s="35" t="s">
        <v>1252</v>
      </c>
    </row>
    <row r="1128" ht="33.75" spans="1:11">
      <c r="A1128" s="29">
        <v>1127</v>
      </c>
      <c r="B1128" s="29" t="s">
        <v>1433</v>
      </c>
      <c r="C1128" s="29" t="str">
        <f>VLOOKUP(B1128,教育部大学名单!$B$1:$D$2920,3,FALSE)</f>
        <v>江西省教育厅</v>
      </c>
      <c r="D1128" s="29" t="s">
        <v>587</v>
      </c>
      <c r="E1128" s="29" t="s">
        <v>588</v>
      </c>
      <c r="F1128" s="36" t="str">
        <f>IFERROR(VLOOKUP(B1128,'985'!$B$2:$D$40,3,FALSE),"")</f>
        <v/>
      </c>
      <c r="G1128" s="32" t="str">
        <f>IFERROR(VLOOKUP(B1128,'211'!$B$2:$D$116,3,FALSE),"")</f>
        <v/>
      </c>
      <c r="H1128" s="32" t="str">
        <f>IFERROR(VLOOKUP(B1128,双一流!$B$2:$D$148,3,FALSE),"")</f>
        <v/>
      </c>
      <c r="I1128" s="32">
        <f>IFERROR(VLOOKUP(B1128,汇总!$B$2:$I$2921,8,FALSE),"")</f>
        <v>0</v>
      </c>
      <c r="J1128" s="29" t="s">
        <v>11</v>
      </c>
      <c r="K1128" s="33" t="s">
        <v>1252</v>
      </c>
    </row>
    <row r="1129" ht="33.75" spans="1:11">
      <c r="A1129" s="34">
        <v>1128</v>
      </c>
      <c r="B1129" s="34" t="s">
        <v>1434</v>
      </c>
      <c r="C1129" s="29" t="str">
        <f>VLOOKUP(B1129,教育部大学名单!$B$1:$D$2920,3,FALSE)</f>
        <v>江西省教育厅</v>
      </c>
      <c r="D1129" s="34" t="s">
        <v>587</v>
      </c>
      <c r="E1129" s="34" t="s">
        <v>588</v>
      </c>
      <c r="F1129" s="36" t="str">
        <f>IFERROR(VLOOKUP(B1129,'985'!$B$2:$D$40,3,FALSE),"")</f>
        <v/>
      </c>
      <c r="G1129" s="32" t="str">
        <f>IFERROR(VLOOKUP(B1129,'211'!$B$2:$D$116,3,FALSE),"")</f>
        <v/>
      </c>
      <c r="H1129" s="32" t="str">
        <f>IFERROR(VLOOKUP(B1129,双一流!$B$2:$D$148,3,FALSE),"")</f>
        <v/>
      </c>
      <c r="I1129" s="32">
        <f>IFERROR(VLOOKUP(B1129,汇总!$B$2:$I$2921,8,FALSE),"")</f>
        <v>0</v>
      </c>
      <c r="J1129" s="34" t="s">
        <v>11</v>
      </c>
      <c r="K1129" s="35" t="s">
        <v>1252</v>
      </c>
    </row>
    <row r="1130" ht="33.75" spans="1:11">
      <c r="A1130" s="29">
        <v>1129</v>
      </c>
      <c r="B1130" s="29" t="s">
        <v>1435</v>
      </c>
      <c r="C1130" s="29" t="str">
        <f>VLOOKUP(B1130,教育部大学名单!$B$1:$D$2920,3,FALSE)</f>
        <v>江西省教育厅</v>
      </c>
      <c r="D1130" s="29" t="s">
        <v>587</v>
      </c>
      <c r="E1130" s="29" t="s">
        <v>588</v>
      </c>
      <c r="F1130" s="36" t="str">
        <f>IFERROR(VLOOKUP(B1130,'985'!$B$2:$D$40,3,FALSE),"")</f>
        <v/>
      </c>
      <c r="G1130" s="32" t="str">
        <f>IFERROR(VLOOKUP(B1130,'211'!$B$2:$D$116,3,FALSE),"")</f>
        <v/>
      </c>
      <c r="H1130" s="32" t="str">
        <f>IFERROR(VLOOKUP(B1130,双一流!$B$2:$D$148,3,FALSE),"")</f>
        <v/>
      </c>
      <c r="I1130" s="32">
        <f>IFERROR(VLOOKUP(B1130,汇总!$B$2:$I$2921,8,FALSE),"")</f>
        <v>0</v>
      </c>
      <c r="J1130" s="29" t="s">
        <v>11</v>
      </c>
      <c r="K1130" s="33" t="s">
        <v>1252</v>
      </c>
    </row>
    <row r="1131" ht="33.75" spans="1:11">
      <c r="A1131" s="34">
        <v>1130</v>
      </c>
      <c r="B1131" s="34" t="s">
        <v>1436</v>
      </c>
      <c r="C1131" s="29" t="str">
        <f>VLOOKUP(B1131,教育部大学名单!$B$1:$D$2920,3,FALSE)</f>
        <v>江西省教育厅</v>
      </c>
      <c r="D1131" s="34" t="s">
        <v>587</v>
      </c>
      <c r="E1131" s="34" t="s">
        <v>588</v>
      </c>
      <c r="F1131" s="36" t="str">
        <f>IFERROR(VLOOKUP(B1131,'985'!$B$2:$D$40,3,FALSE),"")</f>
        <v/>
      </c>
      <c r="G1131" s="32" t="str">
        <f>IFERROR(VLOOKUP(B1131,'211'!$B$2:$D$116,3,FALSE),"")</f>
        <v/>
      </c>
      <c r="H1131" s="32" t="str">
        <f>IFERROR(VLOOKUP(B1131,双一流!$B$2:$D$148,3,FALSE),"")</f>
        <v/>
      </c>
      <c r="I1131" s="32">
        <f>IFERROR(VLOOKUP(B1131,汇总!$B$2:$I$2921,8,FALSE),"")</f>
        <v>0</v>
      </c>
      <c r="J1131" s="34" t="s">
        <v>11</v>
      </c>
      <c r="K1131" s="35" t="s">
        <v>1252</v>
      </c>
    </row>
    <row r="1132" ht="33.75" spans="1:11">
      <c r="A1132" s="29">
        <v>1131</v>
      </c>
      <c r="B1132" s="29" t="s">
        <v>1437</v>
      </c>
      <c r="C1132" s="29" t="str">
        <f>VLOOKUP(B1132,教育部大学名单!$B$1:$D$2920,3,FALSE)</f>
        <v>江西省教育厅</v>
      </c>
      <c r="D1132" s="29" t="s">
        <v>587</v>
      </c>
      <c r="E1132" s="29" t="s">
        <v>588</v>
      </c>
      <c r="F1132" s="36" t="str">
        <f>IFERROR(VLOOKUP(B1132,'985'!$B$2:$D$40,3,FALSE),"")</f>
        <v/>
      </c>
      <c r="G1132" s="32" t="str">
        <f>IFERROR(VLOOKUP(B1132,'211'!$B$2:$D$116,3,FALSE),"")</f>
        <v/>
      </c>
      <c r="H1132" s="32" t="str">
        <f>IFERROR(VLOOKUP(B1132,双一流!$B$2:$D$148,3,FALSE),"")</f>
        <v/>
      </c>
      <c r="I1132" s="32">
        <f>IFERROR(VLOOKUP(B1132,汇总!$B$2:$I$2921,8,FALSE),"")</f>
        <v>0</v>
      </c>
      <c r="J1132" s="29" t="s">
        <v>11</v>
      </c>
      <c r="K1132" s="33" t="s">
        <v>1252</v>
      </c>
    </row>
    <row r="1133" ht="33.75" spans="1:11">
      <c r="A1133" s="34">
        <v>1132</v>
      </c>
      <c r="B1133" s="34" t="s">
        <v>1438</v>
      </c>
      <c r="C1133" s="29" t="str">
        <f>VLOOKUP(B1133,教育部大学名单!$B$1:$D$2920,3,FALSE)</f>
        <v>江西省教育厅</v>
      </c>
      <c r="D1133" s="34" t="s">
        <v>587</v>
      </c>
      <c r="E1133" s="34" t="s">
        <v>588</v>
      </c>
      <c r="F1133" s="36" t="str">
        <f>IFERROR(VLOOKUP(B1133,'985'!$B$2:$D$40,3,FALSE),"")</f>
        <v/>
      </c>
      <c r="G1133" s="32" t="str">
        <f>IFERROR(VLOOKUP(B1133,'211'!$B$2:$D$116,3,FALSE),"")</f>
        <v/>
      </c>
      <c r="H1133" s="32" t="str">
        <f>IFERROR(VLOOKUP(B1133,双一流!$B$2:$D$148,3,FALSE),"")</f>
        <v/>
      </c>
      <c r="I1133" s="32" t="str">
        <f>IFERROR(VLOOKUP(B1133,汇总!$B$2:$I$2921,8,FALSE),"")</f>
        <v>综合</v>
      </c>
      <c r="J1133" s="34" t="s">
        <v>11</v>
      </c>
      <c r="K1133" s="35" t="s">
        <v>1252</v>
      </c>
    </row>
    <row r="1134" ht="33.75" spans="1:11">
      <c r="A1134" s="29">
        <v>1133</v>
      </c>
      <c r="B1134" s="29" t="s">
        <v>1439</v>
      </c>
      <c r="C1134" s="29" t="str">
        <f>VLOOKUP(B1134,教育部大学名单!$B$1:$D$2920,3,FALSE)</f>
        <v>江西省教育厅</v>
      </c>
      <c r="D1134" s="29" t="s">
        <v>587</v>
      </c>
      <c r="E1134" s="29" t="s">
        <v>618</v>
      </c>
      <c r="F1134" s="36" t="str">
        <f>IFERROR(VLOOKUP(B1134,'985'!$B$2:$D$40,3,FALSE),"")</f>
        <v/>
      </c>
      <c r="G1134" s="32" t="str">
        <f>IFERROR(VLOOKUP(B1134,'211'!$B$2:$D$116,3,FALSE),"")</f>
        <v/>
      </c>
      <c r="H1134" s="32" t="str">
        <f>IFERROR(VLOOKUP(B1134,双一流!$B$2:$D$148,3,FALSE),"")</f>
        <v/>
      </c>
      <c r="I1134" s="32" t="str">
        <f>IFERROR(VLOOKUP(B1134,汇总!$B$2:$I$2921,8,FALSE),"")</f>
        <v>综合</v>
      </c>
      <c r="J1134" s="29" t="s">
        <v>11</v>
      </c>
      <c r="K1134" s="33" t="s">
        <v>1252</v>
      </c>
    </row>
    <row r="1135" ht="33.75" spans="1:11">
      <c r="A1135" s="34">
        <v>1134</v>
      </c>
      <c r="B1135" s="34" t="s">
        <v>1440</v>
      </c>
      <c r="C1135" s="29" t="str">
        <f>VLOOKUP(B1135,教育部大学名单!$B$1:$D$2920,3,FALSE)</f>
        <v>江西省教育厅</v>
      </c>
      <c r="D1135" s="34" t="s">
        <v>587</v>
      </c>
      <c r="E1135" s="34" t="s">
        <v>588</v>
      </c>
      <c r="F1135" s="36" t="str">
        <f>IFERROR(VLOOKUP(B1135,'985'!$B$2:$D$40,3,FALSE),"")</f>
        <v/>
      </c>
      <c r="G1135" s="32" t="str">
        <f>IFERROR(VLOOKUP(B1135,'211'!$B$2:$D$116,3,FALSE),"")</f>
        <v/>
      </c>
      <c r="H1135" s="32" t="str">
        <f>IFERROR(VLOOKUP(B1135,双一流!$B$2:$D$148,3,FALSE),"")</f>
        <v/>
      </c>
      <c r="I1135" s="32">
        <f>IFERROR(VLOOKUP(B1135,汇总!$B$2:$I$2921,8,FALSE),"")</f>
        <v>0</v>
      </c>
      <c r="J1135" s="34" t="s">
        <v>11</v>
      </c>
      <c r="K1135" s="35" t="s">
        <v>1252</v>
      </c>
    </row>
    <row r="1136" ht="33.75" spans="1:11">
      <c r="A1136" s="29">
        <v>1135</v>
      </c>
      <c r="B1136" s="29" t="s">
        <v>1441</v>
      </c>
      <c r="C1136" s="29" t="str">
        <f>VLOOKUP(B1136,教育部大学名单!$B$1:$D$2920,3,FALSE)</f>
        <v>江西省教育厅</v>
      </c>
      <c r="D1136" s="29" t="s">
        <v>587</v>
      </c>
      <c r="E1136" s="29" t="s">
        <v>588</v>
      </c>
      <c r="F1136" s="36" t="str">
        <f>IFERROR(VLOOKUP(B1136,'985'!$B$2:$D$40,3,FALSE),"")</f>
        <v/>
      </c>
      <c r="G1136" s="32" t="str">
        <f>IFERROR(VLOOKUP(B1136,'211'!$B$2:$D$116,3,FALSE),"")</f>
        <v/>
      </c>
      <c r="H1136" s="32" t="str">
        <f>IFERROR(VLOOKUP(B1136,双一流!$B$2:$D$148,3,FALSE),"")</f>
        <v/>
      </c>
      <c r="I1136" s="32" t="str">
        <f>IFERROR(VLOOKUP(B1136,汇总!$B$2:$I$2921,8,FALSE),"")</f>
        <v>理工</v>
      </c>
      <c r="J1136" s="29" t="s">
        <v>11</v>
      </c>
      <c r="K1136" s="33" t="s">
        <v>1252</v>
      </c>
    </row>
    <row r="1137" ht="33.75" spans="1:11">
      <c r="A1137" s="34">
        <v>1136</v>
      </c>
      <c r="B1137" s="34" t="s">
        <v>1442</v>
      </c>
      <c r="C1137" s="29" t="str">
        <f>VLOOKUP(B1137,教育部大学名单!$B$1:$D$2920,3,FALSE)</f>
        <v>江西省教育厅</v>
      </c>
      <c r="D1137" s="34" t="s">
        <v>587</v>
      </c>
      <c r="E1137" s="34" t="s">
        <v>596</v>
      </c>
      <c r="F1137" s="36" t="str">
        <f>IFERROR(VLOOKUP(B1137,'985'!$B$2:$D$40,3,FALSE),"")</f>
        <v/>
      </c>
      <c r="G1137" s="32" t="str">
        <f>IFERROR(VLOOKUP(B1137,'211'!$B$2:$D$116,3,FALSE),"")</f>
        <v/>
      </c>
      <c r="H1137" s="32" t="str">
        <f>IFERROR(VLOOKUP(B1137,双一流!$B$2:$D$148,3,FALSE),"")</f>
        <v/>
      </c>
      <c r="I1137" s="32">
        <f>IFERROR(VLOOKUP(B1137,汇总!$B$2:$I$2921,8,FALSE),"")</f>
        <v>0</v>
      </c>
      <c r="J1137" s="34" t="s">
        <v>11</v>
      </c>
      <c r="K1137" s="35" t="s">
        <v>1252</v>
      </c>
    </row>
    <row r="1138" ht="50.25" spans="1:11">
      <c r="A1138" s="29">
        <v>1137</v>
      </c>
      <c r="B1138" s="29" t="s">
        <v>1443</v>
      </c>
      <c r="C1138" s="29" t="str">
        <f>VLOOKUP(B1138,教育部大学名单!$B$1:$D$2920,3,FALSE)</f>
        <v>江西省教育厅</v>
      </c>
      <c r="D1138" s="29" t="s">
        <v>587</v>
      </c>
      <c r="E1138" s="29" t="s">
        <v>588</v>
      </c>
      <c r="F1138" s="36" t="str">
        <f>IFERROR(VLOOKUP(B1138,'985'!$B$2:$D$40,3,FALSE),"")</f>
        <v/>
      </c>
      <c r="G1138" s="32" t="str">
        <f>IFERROR(VLOOKUP(B1138,'211'!$B$2:$D$116,3,FALSE),"")</f>
        <v/>
      </c>
      <c r="H1138" s="32" t="str">
        <f>IFERROR(VLOOKUP(B1138,双一流!$B$2:$D$148,3,FALSE),"")</f>
        <v/>
      </c>
      <c r="I1138" s="32" t="str">
        <f>IFERROR(VLOOKUP(B1138,汇总!$B$2:$I$2921,8,FALSE),"")</f>
        <v>综合</v>
      </c>
      <c r="J1138" s="29" t="s">
        <v>11</v>
      </c>
      <c r="K1138" s="33" t="s">
        <v>1252</v>
      </c>
    </row>
    <row r="1139" ht="50.25" spans="1:11">
      <c r="A1139" s="34">
        <v>1138</v>
      </c>
      <c r="B1139" s="34" t="s">
        <v>1444</v>
      </c>
      <c r="C1139" s="29" t="str">
        <f>VLOOKUP(B1139,教育部大学名单!$B$1:$D$2920,3,FALSE)</f>
        <v>江西省教育厅</v>
      </c>
      <c r="D1139" s="34" t="s">
        <v>587</v>
      </c>
      <c r="E1139" s="34" t="s">
        <v>588</v>
      </c>
      <c r="F1139" s="36" t="str">
        <f>IFERROR(VLOOKUP(B1139,'985'!$B$2:$D$40,3,FALSE),"")</f>
        <v/>
      </c>
      <c r="G1139" s="32" t="str">
        <f>IFERROR(VLOOKUP(B1139,'211'!$B$2:$D$116,3,FALSE),"")</f>
        <v/>
      </c>
      <c r="H1139" s="32" t="str">
        <f>IFERROR(VLOOKUP(B1139,双一流!$B$2:$D$148,3,FALSE),"")</f>
        <v/>
      </c>
      <c r="I1139" s="32" t="str">
        <f>IFERROR(VLOOKUP(B1139,汇总!$B$2:$I$2921,8,FALSE),"")</f>
        <v>综合</v>
      </c>
      <c r="J1139" s="34" t="s">
        <v>11</v>
      </c>
      <c r="K1139" s="35" t="s">
        <v>1252</v>
      </c>
    </row>
    <row r="1140" ht="33.75" spans="1:11">
      <c r="A1140" s="29">
        <v>1139</v>
      </c>
      <c r="B1140" s="29" t="s">
        <v>1445</v>
      </c>
      <c r="C1140" s="29" t="str">
        <f>VLOOKUP(B1140,教育部大学名单!$B$1:$D$2920,3,FALSE)</f>
        <v>江西省教育厅</v>
      </c>
      <c r="D1140" s="29" t="s">
        <v>587</v>
      </c>
      <c r="E1140" s="29" t="s">
        <v>594</v>
      </c>
      <c r="F1140" s="36" t="str">
        <f>IFERROR(VLOOKUP(B1140,'985'!$B$2:$D$40,3,FALSE),"")</f>
        <v/>
      </c>
      <c r="G1140" s="32" t="str">
        <f>IFERROR(VLOOKUP(B1140,'211'!$B$2:$D$116,3,FALSE),"")</f>
        <v/>
      </c>
      <c r="H1140" s="32" t="str">
        <f>IFERROR(VLOOKUP(B1140,双一流!$B$2:$D$148,3,FALSE),"")</f>
        <v/>
      </c>
      <c r="I1140" s="32" t="str">
        <f>IFERROR(VLOOKUP(B1140,汇总!$B$2:$I$2921,8,FALSE),"")</f>
        <v>综合</v>
      </c>
      <c r="J1140" s="29" t="s">
        <v>11</v>
      </c>
      <c r="K1140" s="33" t="s">
        <v>1252</v>
      </c>
    </row>
    <row r="1141" ht="33.75" spans="1:11">
      <c r="A1141" s="34">
        <v>1140</v>
      </c>
      <c r="B1141" s="34" t="s">
        <v>1446</v>
      </c>
      <c r="C1141" s="29" t="str">
        <f>VLOOKUP(B1141,教育部大学名单!$B$1:$D$2920,3,FALSE)</f>
        <v>江西省教育厅</v>
      </c>
      <c r="D1141" s="34" t="s">
        <v>587</v>
      </c>
      <c r="E1141" s="34" t="s">
        <v>588</v>
      </c>
      <c r="F1141" s="36" t="str">
        <f>IFERROR(VLOOKUP(B1141,'985'!$B$2:$D$40,3,FALSE),"")</f>
        <v/>
      </c>
      <c r="G1141" s="32" t="str">
        <f>IFERROR(VLOOKUP(B1141,'211'!$B$2:$D$116,3,FALSE),"")</f>
        <v/>
      </c>
      <c r="H1141" s="32" t="str">
        <f>IFERROR(VLOOKUP(B1141,双一流!$B$2:$D$148,3,FALSE),"")</f>
        <v/>
      </c>
      <c r="I1141" s="32">
        <f>IFERROR(VLOOKUP(B1141,汇总!$B$2:$I$2921,8,FALSE),"")</f>
        <v>0</v>
      </c>
      <c r="J1141" s="34" t="s">
        <v>11</v>
      </c>
      <c r="K1141" s="35" t="s">
        <v>1252</v>
      </c>
    </row>
    <row r="1142" ht="50.25" spans="1:11">
      <c r="A1142" s="29">
        <v>1141</v>
      </c>
      <c r="B1142" s="29" t="s">
        <v>1447</v>
      </c>
      <c r="C1142" s="29" t="str">
        <f>VLOOKUP(B1142,教育部大学名单!$B$1:$D$2920,3,FALSE)</f>
        <v>江西省教育厅</v>
      </c>
      <c r="D1142" s="29" t="s">
        <v>587</v>
      </c>
      <c r="E1142" s="29" t="s">
        <v>588</v>
      </c>
      <c r="F1142" s="36" t="str">
        <f>IFERROR(VLOOKUP(B1142,'985'!$B$2:$D$40,3,FALSE),"")</f>
        <v/>
      </c>
      <c r="G1142" s="32" t="str">
        <f>IFERROR(VLOOKUP(B1142,'211'!$B$2:$D$116,3,FALSE),"")</f>
        <v/>
      </c>
      <c r="H1142" s="32" t="str">
        <f>IFERROR(VLOOKUP(B1142,双一流!$B$2:$D$148,3,FALSE),"")</f>
        <v/>
      </c>
      <c r="I1142" s="32" t="str">
        <f>IFERROR(VLOOKUP(B1142,汇总!$B$2:$I$2921,8,FALSE),"")</f>
        <v>财经</v>
      </c>
      <c r="J1142" s="29" t="s">
        <v>11</v>
      </c>
      <c r="K1142" s="33" t="s">
        <v>1252</v>
      </c>
    </row>
    <row r="1143" ht="33.75" spans="1:11">
      <c r="A1143" s="34">
        <v>1142</v>
      </c>
      <c r="B1143" s="34" t="s">
        <v>1448</v>
      </c>
      <c r="C1143" s="29" t="str">
        <f>VLOOKUP(B1143,教育部大学名单!$B$1:$D$2920,3,FALSE)</f>
        <v>江西省教育厅</v>
      </c>
      <c r="D1143" s="34" t="s">
        <v>587</v>
      </c>
      <c r="E1143" s="34" t="s">
        <v>588</v>
      </c>
      <c r="F1143" s="36" t="str">
        <f>IFERROR(VLOOKUP(B1143,'985'!$B$2:$D$40,3,FALSE),"")</f>
        <v/>
      </c>
      <c r="G1143" s="32" t="str">
        <f>IFERROR(VLOOKUP(B1143,'211'!$B$2:$D$116,3,FALSE),"")</f>
        <v/>
      </c>
      <c r="H1143" s="32" t="str">
        <f>IFERROR(VLOOKUP(B1143,双一流!$B$2:$D$148,3,FALSE),"")</f>
        <v/>
      </c>
      <c r="I1143" s="32">
        <f>IFERROR(VLOOKUP(B1143,汇总!$B$2:$I$2921,8,FALSE),"")</f>
        <v>0</v>
      </c>
      <c r="J1143" s="34" t="s">
        <v>11</v>
      </c>
      <c r="K1143" s="35" t="s">
        <v>1252</v>
      </c>
    </row>
    <row r="1144" ht="33.75" spans="1:11">
      <c r="A1144" s="29">
        <v>1143</v>
      </c>
      <c r="B1144" s="29" t="s">
        <v>1449</v>
      </c>
      <c r="C1144" s="29" t="e">
        <f>VLOOKUP(B1144,教育部大学名单!$B$1:$D$2920,3,FALSE)</f>
        <v>#N/A</v>
      </c>
      <c r="D1144" s="29" t="s">
        <v>587</v>
      </c>
      <c r="E1144" s="29" t="s">
        <v>588</v>
      </c>
      <c r="F1144" s="36" t="str">
        <f>IFERROR(VLOOKUP(B1144,'985'!$B$2:$D$40,3,FALSE),"")</f>
        <v/>
      </c>
      <c r="G1144" s="32" t="str">
        <f>IFERROR(VLOOKUP(B1144,'211'!$B$2:$D$116,3,FALSE),"")</f>
        <v/>
      </c>
      <c r="H1144" s="32" t="str">
        <f>IFERROR(VLOOKUP(B1144,双一流!$B$2:$D$148,3,FALSE),"")</f>
        <v/>
      </c>
      <c r="I1144" s="32" t="str">
        <f>IFERROR(VLOOKUP(B1144,汇总!$B$2:$I$2921,8,FALSE),"")</f>
        <v/>
      </c>
      <c r="J1144" s="29" t="s">
        <v>11</v>
      </c>
      <c r="K1144" s="33" t="s">
        <v>1252</v>
      </c>
    </row>
    <row r="1145" ht="33.75" spans="1:11">
      <c r="A1145" s="34">
        <v>1144</v>
      </c>
      <c r="B1145" s="34" t="s">
        <v>1450</v>
      </c>
      <c r="C1145" s="29" t="str">
        <f>VLOOKUP(B1145,教育部大学名单!$B$1:$D$2920,3,FALSE)</f>
        <v>江西省教育厅</v>
      </c>
      <c r="D1145" s="34" t="s">
        <v>587</v>
      </c>
      <c r="E1145" s="34" t="s">
        <v>618</v>
      </c>
      <c r="F1145" s="36" t="str">
        <f>IFERROR(VLOOKUP(B1145,'985'!$B$2:$D$40,3,FALSE),"")</f>
        <v/>
      </c>
      <c r="G1145" s="32" t="str">
        <f>IFERROR(VLOOKUP(B1145,'211'!$B$2:$D$116,3,FALSE),"")</f>
        <v/>
      </c>
      <c r="H1145" s="32" t="str">
        <f>IFERROR(VLOOKUP(B1145,双一流!$B$2:$D$148,3,FALSE),"")</f>
        <v/>
      </c>
      <c r="I1145" s="32" t="str">
        <f>IFERROR(VLOOKUP(B1145,汇总!$B$2:$I$2921,8,FALSE),"")</f>
        <v/>
      </c>
      <c r="J1145" s="34" t="s">
        <v>11</v>
      </c>
      <c r="K1145" s="35" t="s">
        <v>1252</v>
      </c>
    </row>
    <row r="1146" ht="33.75" spans="1:11">
      <c r="A1146" s="29">
        <v>1145</v>
      </c>
      <c r="B1146" s="29" t="s">
        <v>1451</v>
      </c>
      <c r="C1146" s="29" t="str">
        <f>VLOOKUP(B1146,教育部大学名单!$B$1:$D$2920,3,FALSE)</f>
        <v>山东省教育厅</v>
      </c>
      <c r="D1146" s="29" t="s">
        <v>628</v>
      </c>
      <c r="E1146" s="29" t="s">
        <v>640</v>
      </c>
      <c r="F1146" s="36" t="str">
        <f>IFERROR(VLOOKUP(B1146,'985'!$B$2:$D$40,3,FALSE),"")</f>
        <v/>
      </c>
      <c r="G1146" s="32" t="str">
        <f>IFERROR(VLOOKUP(B1146,'211'!$B$2:$D$116,3,FALSE),"")</f>
        <v/>
      </c>
      <c r="H1146" s="32" t="str">
        <f>IFERROR(VLOOKUP(B1146,双一流!$B$2:$D$148,3,FALSE),"")</f>
        <v/>
      </c>
      <c r="I1146" s="32">
        <f>IFERROR(VLOOKUP(B1146,汇总!$B$2:$I$2921,8,FALSE),"")</f>
        <v>0</v>
      </c>
      <c r="J1146" s="29" t="s">
        <v>11</v>
      </c>
      <c r="K1146" s="33" t="s">
        <v>1252</v>
      </c>
    </row>
    <row r="1147" ht="33.75" spans="1:11">
      <c r="A1147" s="34">
        <v>1146</v>
      </c>
      <c r="B1147" s="34" t="s">
        <v>1452</v>
      </c>
      <c r="C1147" s="29" t="str">
        <f>VLOOKUP(B1147,教育部大学名单!$B$1:$D$2920,3,FALSE)</f>
        <v>山东省教育厅</v>
      </c>
      <c r="D1147" s="34" t="s">
        <v>628</v>
      </c>
      <c r="E1147" s="34" t="s">
        <v>631</v>
      </c>
      <c r="F1147" s="36" t="str">
        <f>IFERROR(VLOOKUP(B1147,'985'!$B$2:$D$40,3,FALSE),"")</f>
        <v/>
      </c>
      <c r="G1147" s="32" t="str">
        <f>IFERROR(VLOOKUP(B1147,'211'!$B$2:$D$116,3,FALSE),"")</f>
        <v/>
      </c>
      <c r="H1147" s="32" t="str">
        <f>IFERROR(VLOOKUP(B1147,双一流!$B$2:$D$148,3,FALSE),"")</f>
        <v/>
      </c>
      <c r="I1147" s="32">
        <f>IFERROR(VLOOKUP(B1147,汇总!$B$2:$I$2921,8,FALSE),"")</f>
        <v>0</v>
      </c>
      <c r="J1147" s="34" t="s">
        <v>11</v>
      </c>
      <c r="K1147" s="35" t="s">
        <v>1252</v>
      </c>
    </row>
    <row r="1148" ht="33.75" spans="1:11">
      <c r="A1148" s="29">
        <v>1147</v>
      </c>
      <c r="B1148" s="29" t="s">
        <v>1453</v>
      </c>
      <c r="C1148" s="29" t="str">
        <f>VLOOKUP(B1148,教育部大学名单!$B$1:$D$2920,3,FALSE)</f>
        <v>山东省教育厅</v>
      </c>
      <c r="D1148" s="29" t="s">
        <v>628</v>
      </c>
      <c r="E1148" s="29" t="s">
        <v>660</v>
      </c>
      <c r="F1148" s="36" t="str">
        <f>IFERROR(VLOOKUP(B1148,'985'!$B$2:$D$40,3,FALSE),"")</f>
        <v/>
      </c>
      <c r="G1148" s="32" t="str">
        <f>IFERROR(VLOOKUP(B1148,'211'!$B$2:$D$116,3,FALSE),"")</f>
        <v/>
      </c>
      <c r="H1148" s="32" t="str">
        <f>IFERROR(VLOOKUP(B1148,双一流!$B$2:$D$148,3,FALSE),"")</f>
        <v/>
      </c>
      <c r="I1148" s="32">
        <f>IFERROR(VLOOKUP(B1148,汇总!$B$2:$I$2921,8,FALSE),"")</f>
        <v>0</v>
      </c>
      <c r="J1148" s="29" t="s">
        <v>11</v>
      </c>
      <c r="K1148" s="33" t="s">
        <v>1252</v>
      </c>
    </row>
    <row r="1149" ht="33.75" spans="1:11">
      <c r="A1149" s="34">
        <v>1148</v>
      </c>
      <c r="B1149" s="34" t="s">
        <v>1454</v>
      </c>
      <c r="C1149" s="29" t="str">
        <f>VLOOKUP(B1149,教育部大学名单!$B$1:$D$2920,3,FALSE)</f>
        <v>山东省教育厅</v>
      </c>
      <c r="D1149" s="34" t="s">
        <v>628</v>
      </c>
      <c r="E1149" s="34" t="s">
        <v>645</v>
      </c>
      <c r="F1149" s="36" t="str">
        <f>IFERROR(VLOOKUP(B1149,'985'!$B$2:$D$40,3,FALSE),"")</f>
        <v/>
      </c>
      <c r="G1149" s="32" t="str">
        <f>IFERROR(VLOOKUP(B1149,'211'!$B$2:$D$116,3,FALSE),"")</f>
        <v/>
      </c>
      <c r="H1149" s="32" t="str">
        <f>IFERROR(VLOOKUP(B1149,双一流!$B$2:$D$148,3,FALSE),"")</f>
        <v/>
      </c>
      <c r="I1149" s="32">
        <f>IFERROR(VLOOKUP(B1149,汇总!$B$2:$I$2921,8,FALSE),"")</f>
        <v>0</v>
      </c>
      <c r="J1149" s="34" t="s">
        <v>11</v>
      </c>
      <c r="K1149" s="35" t="s">
        <v>1252</v>
      </c>
    </row>
    <row r="1150" ht="33.75" spans="1:11">
      <c r="A1150" s="29">
        <v>1149</v>
      </c>
      <c r="B1150" s="29" t="s">
        <v>1455</v>
      </c>
      <c r="C1150" s="29" t="str">
        <f>VLOOKUP(B1150,教育部大学名单!$B$1:$D$2920,3,FALSE)</f>
        <v>山东省教育厅</v>
      </c>
      <c r="D1150" s="29" t="s">
        <v>628</v>
      </c>
      <c r="E1150" s="29" t="s">
        <v>629</v>
      </c>
      <c r="F1150" s="36" t="str">
        <f>IFERROR(VLOOKUP(B1150,'985'!$B$2:$D$40,3,FALSE),"")</f>
        <v/>
      </c>
      <c r="G1150" s="32" t="str">
        <f>IFERROR(VLOOKUP(B1150,'211'!$B$2:$D$116,3,FALSE),"")</f>
        <v/>
      </c>
      <c r="H1150" s="32" t="str">
        <f>IFERROR(VLOOKUP(B1150,双一流!$B$2:$D$148,3,FALSE),"")</f>
        <v/>
      </c>
      <c r="I1150" s="32">
        <f>IFERROR(VLOOKUP(B1150,汇总!$B$2:$I$2921,8,FALSE),"")</f>
        <v>0</v>
      </c>
      <c r="J1150" s="29" t="s">
        <v>11</v>
      </c>
      <c r="K1150" s="33" t="s">
        <v>1252</v>
      </c>
    </row>
    <row r="1151" ht="33.75" spans="1:11">
      <c r="A1151" s="34">
        <v>1150</v>
      </c>
      <c r="B1151" s="34" t="s">
        <v>1456</v>
      </c>
      <c r="C1151" s="29" t="str">
        <f>VLOOKUP(B1151,教育部大学名单!$B$1:$D$2920,3,FALSE)</f>
        <v>山东省教育厅</v>
      </c>
      <c r="D1151" s="34" t="s">
        <v>628</v>
      </c>
      <c r="E1151" s="34" t="s">
        <v>631</v>
      </c>
      <c r="F1151" s="36" t="str">
        <f>IFERROR(VLOOKUP(B1151,'985'!$B$2:$D$40,3,FALSE),"")</f>
        <v/>
      </c>
      <c r="G1151" s="32" t="str">
        <f>IFERROR(VLOOKUP(B1151,'211'!$B$2:$D$116,3,FALSE),"")</f>
        <v/>
      </c>
      <c r="H1151" s="32" t="str">
        <f>IFERROR(VLOOKUP(B1151,双一流!$B$2:$D$148,3,FALSE),"")</f>
        <v/>
      </c>
      <c r="I1151" s="32">
        <f>IFERROR(VLOOKUP(B1151,汇总!$B$2:$I$2921,8,FALSE),"")</f>
        <v>0</v>
      </c>
      <c r="J1151" s="34" t="s">
        <v>11</v>
      </c>
      <c r="K1151" s="35" t="s">
        <v>1252</v>
      </c>
    </row>
    <row r="1152" ht="33.75" spans="1:11">
      <c r="A1152" s="29">
        <v>1151</v>
      </c>
      <c r="B1152" s="29" t="s">
        <v>1457</v>
      </c>
      <c r="C1152" s="29" t="str">
        <f>VLOOKUP(B1152,教育部大学名单!$B$1:$D$2920,3,FALSE)</f>
        <v>山东省教育厅</v>
      </c>
      <c r="D1152" s="29" t="s">
        <v>628</v>
      </c>
      <c r="E1152" s="29" t="s">
        <v>631</v>
      </c>
      <c r="F1152" s="36" t="str">
        <f>IFERROR(VLOOKUP(B1152,'985'!$B$2:$D$40,3,FALSE),"")</f>
        <v/>
      </c>
      <c r="G1152" s="32" t="str">
        <f>IFERROR(VLOOKUP(B1152,'211'!$B$2:$D$116,3,FALSE),"")</f>
        <v/>
      </c>
      <c r="H1152" s="32" t="str">
        <f>IFERROR(VLOOKUP(B1152,双一流!$B$2:$D$148,3,FALSE),"")</f>
        <v/>
      </c>
      <c r="I1152" s="32">
        <f>IFERROR(VLOOKUP(B1152,汇总!$B$2:$I$2921,8,FALSE),"")</f>
        <v>0</v>
      </c>
      <c r="J1152" s="29" t="s">
        <v>11</v>
      </c>
      <c r="K1152" s="33" t="s">
        <v>1252</v>
      </c>
    </row>
    <row r="1153" ht="33.75" spans="1:11">
      <c r="A1153" s="34">
        <v>1152</v>
      </c>
      <c r="B1153" s="34" t="s">
        <v>1458</v>
      </c>
      <c r="C1153" s="29" t="str">
        <f>VLOOKUP(B1153,教育部大学名单!$B$1:$D$2920,3,FALSE)</f>
        <v>山东省教育厅</v>
      </c>
      <c r="D1153" s="34" t="s">
        <v>628</v>
      </c>
      <c r="E1153" s="34" t="s">
        <v>629</v>
      </c>
      <c r="F1153" s="36" t="str">
        <f>IFERROR(VLOOKUP(B1153,'985'!$B$2:$D$40,3,FALSE),"")</f>
        <v/>
      </c>
      <c r="G1153" s="32" t="str">
        <f>IFERROR(VLOOKUP(B1153,'211'!$B$2:$D$116,3,FALSE),"")</f>
        <v/>
      </c>
      <c r="H1153" s="32" t="str">
        <f>IFERROR(VLOOKUP(B1153,双一流!$B$2:$D$148,3,FALSE),"")</f>
        <v/>
      </c>
      <c r="I1153" s="32">
        <f>IFERROR(VLOOKUP(B1153,汇总!$B$2:$I$2921,8,FALSE),"")</f>
        <v>0</v>
      </c>
      <c r="J1153" s="34" t="s">
        <v>11</v>
      </c>
      <c r="K1153" s="35" t="s">
        <v>1252</v>
      </c>
    </row>
    <row r="1154" ht="33.75" spans="1:11">
      <c r="A1154" s="29">
        <v>1153</v>
      </c>
      <c r="B1154" s="29" t="s">
        <v>1459</v>
      </c>
      <c r="C1154" s="29" t="str">
        <f>VLOOKUP(B1154,教育部大学名单!$B$1:$D$2920,3,FALSE)</f>
        <v>山东省教育厅</v>
      </c>
      <c r="D1154" s="29" t="s">
        <v>628</v>
      </c>
      <c r="E1154" s="29" t="s">
        <v>629</v>
      </c>
      <c r="F1154" s="36" t="str">
        <f>IFERROR(VLOOKUP(B1154,'985'!$B$2:$D$40,3,FALSE),"")</f>
        <v/>
      </c>
      <c r="G1154" s="32" t="str">
        <f>IFERROR(VLOOKUP(B1154,'211'!$B$2:$D$116,3,FALSE),"")</f>
        <v/>
      </c>
      <c r="H1154" s="32" t="str">
        <f>IFERROR(VLOOKUP(B1154,双一流!$B$2:$D$148,3,FALSE),"")</f>
        <v/>
      </c>
      <c r="I1154" s="32">
        <f>IFERROR(VLOOKUP(B1154,汇总!$B$2:$I$2921,8,FALSE),"")</f>
        <v>0</v>
      </c>
      <c r="J1154" s="29" t="s">
        <v>11</v>
      </c>
      <c r="K1154" s="33" t="s">
        <v>1252</v>
      </c>
    </row>
    <row r="1155" ht="33.75" spans="1:11">
      <c r="A1155" s="34">
        <v>1154</v>
      </c>
      <c r="B1155" s="34" t="s">
        <v>1460</v>
      </c>
      <c r="C1155" s="29" t="str">
        <f>VLOOKUP(B1155,教育部大学名单!$B$1:$D$2920,3,FALSE)</f>
        <v>山东省教育厅</v>
      </c>
      <c r="D1155" s="34" t="s">
        <v>628</v>
      </c>
      <c r="E1155" s="34" t="s">
        <v>629</v>
      </c>
      <c r="F1155" s="36" t="str">
        <f>IFERROR(VLOOKUP(B1155,'985'!$B$2:$D$40,3,FALSE),"")</f>
        <v/>
      </c>
      <c r="G1155" s="32" t="str">
        <f>IFERROR(VLOOKUP(B1155,'211'!$B$2:$D$116,3,FALSE),"")</f>
        <v/>
      </c>
      <c r="H1155" s="32" t="str">
        <f>IFERROR(VLOOKUP(B1155,双一流!$B$2:$D$148,3,FALSE),"")</f>
        <v/>
      </c>
      <c r="I1155" s="32">
        <f>IFERROR(VLOOKUP(B1155,汇总!$B$2:$I$2921,8,FALSE),"")</f>
        <v>0</v>
      </c>
      <c r="J1155" s="34" t="s">
        <v>11</v>
      </c>
      <c r="K1155" s="35" t="s">
        <v>1252</v>
      </c>
    </row>
    <row r="1156" ht="33.75" spans="1:11">
      <c r="A1156" s="29">
        <v>1155</v>
      </c>
      <c r="B1156" s="29" t="s">
        <v>1461</v>
      </c>
      <c r="C1156" s="29" t="str">
        <f>VLOOKUP(B1156,教育部大学名单!$B$1:$D$2920,3,FALSE)</f>
        <v>山东省教育厅</v>
      </c>
      <c r="D1156" s="29" t="s">
        <v>628</v>
      </c>
      <c r="E1156" s="29" t="s">
        <v>660</v>
      </c>
      <c r="F1156" s="36" t="str">
        <f>IFERROR(VLOOKUP(B1156,'985'!$B$2:$D$40,3,FALSE),"")</f>
        <v/>
      </c>
      <c r="G1156" s="32" t="str">
        <f>IFERROR(VLOOKUP(B1156,'211'!$B$2:$D$116,3,FALSE),"")</f>
        <v/>
      </c>
      <c r="H1156" s="32" t="str">
        <f>IFERROR(VLOOKUP(B1156,双一流!$B$2:$D$148,3,FALSE),"")</f>
        <v/>
      </c>
      <c r="I1156" s="32">
        <f>IFERROR(VLOOKUP(B1156,汇总!$B$2:$I$2921,8,FALSE),"")</f>
        <v>0</v>
      </c>
      <c r="J1156" s="29" t="s">
        <v>11</v>
      </c>
      <c r="K1156" s="33" t="s">
        <v>1252</v>
      </c>
    </row>
    <row r="1157" ht="33.75" spans="1:11">
      <c r="A1157" s="34">
        <v>1156</v>
      </c>
      <c r="B1157" s="34" t="s">
        <v>1462</v>
      </c>
      <c r="C1157" s="29" t="str">
        <f>VLOOKUP(B1157,教育部大学名单!$B$1:$D$2920,3,FALSE)</f>
        <v>山东省教育厅</v>
      </c>
      <c r="D1157" s="34" t="s">
        <v>628</v>
      </c>
      <c r="E1157" s="34" t="s">
        <v>655</v>
      </c>
      <c r="F1157" s="36" t="str">
        <f>IFERROR(VLOOKUP(B1157,'985'!$B$2:$D$40,3,FALSE),"")</f>
        <v/>
      </c>
      <c r="G1157" s="32" t="str">
        <f>IFERROR(VLOOKUP(B1157,'211'!$B$2:$D$116,3,FALSE),"")</f>
        <v/>
      </c>
      <c r="H1157" s="32" t="str">
        <f>IFERROR(VLOOKUP(B1157,双一流!$B$2:$D$148,3,FALSE),"")</f>
        <v/>
      </c>
      <c r="I1157" s="32" t="str">
        <f>IFERROR(VLOOKUP(B1157,汇总!$B$2:$I$2921,8,FALSE),"")</f>
        <v>综合</v>
      </c>
      <c r="J1157" s="34" t="s">
        <v>11</v>
      </c>
      <c r="K1157" s="35" t="s">
        <v>1252</v>
      </c>
    </row>
    <row r="1158" ht="33.75" spans="1:11">
      <c r="A1158" s="29">
        <v>1157</v>
      </c>
      <c r="B1158" s="29" t="s">
        <v>1463</v>
      </c>
      <c r="C1158" s="29" t="str">
        <f>VLOOKUP(B1158,教育部大学名单!$B$1:$D$2920,3,FALSE)</f>
        <v>山东省教育厅</v>
      </c>
      <c r="D1158" s="29" t="s">
        <v>628</v>
      </c>
      <c r="E1158" s="29" t="s">
        <v>631</v>
      </c>
      <c r="F1158" s="36" t="str">
        <f>IFERROR(VLOOKUP(B1158,'985'!$B$2:$D$40,3,FALSE),"")</f>
        <v/>
      </c>
      <c r="G1158" s="32" t="str">
        <f>IFERROR(VLOOKUP(B1158,'211'!$B$2:$D$116,3,FALSE),"")</f>
        <v/>
      </c>
      <c r="H1158" s="32" t="str">
        <f>IFERROR(VLOOKUP(B1158,双一流!$B$2:$D$148,3,FALSE),"")</f>
        <v/>
      </c>
      <c r="I1158" s="32">
        <f>IFERROR(VLOOKUP(B1158,汇总!$B$2:$I$2921,8,FALSE),"")</f>
        <v>0</v>
      </c>
      <c r="J1158" s="29" t="s">
        <v>11</v>
      </c>
      <c r="K1158" s="33" t="s">
        <v>1252</v>
      </c>
    </row>
    <row r="1159" ht="33.75" spans="1:11">
      <c r="A1159" s="34">
        <v>1158</v>
      </c>
      <c r="B1159" s="34" t="s">
        <v>1464</v>
      </c>
      <c r="C1159" s="29" t="str">
        <f>VLOOKUP(B1159,教育部大学名单!$B$1:$D$2920,3,FALSE)</f>
        <v>山东省教育厅</v>
      </c>
      <c r="D1159" s="34" t="s">
        <v>628</v>
      </c>
      <c r="E1159" s="34" t="s">
        <v>645</v>
      </c>
      <c r="F1159" s="36" t="str">
        <f>IFERROR(VLOOKUP(B1159,'985'!$B$2:$D$40,3,FALSE),"")</f>
        <v/>
      </c>
      <c r="G1159" s="32" t="str">
        <f>IFERROR(VLOOKUP(B1159,'211'!$B$2:$D$116,3,FALSE),"")</f>
        <v/>
      </c>
      <c r="H1159" s="32" t="str">
        <f>IFERROR(VLOOKUP(B1159,双一流!$B$2:$D$148,3,FALSE),"")</f>
        <v/>
      </c>
      <c r="I1159" s="32">
        <f>IFERROR(VLOOKUP(B1159,汇总!$B$2:$I$2921,8,FALSE),"")</f>
        <v>0</v>
      </c>
      <c r="J1159" s="34" t="s">
        <v>11</v>
      </c>
      <c r="K1159" s="35" t="s">
        <v>1252</v>
      </c>
    </row>
    <row r="1160" ht="33.75" spans="1:11">
      <c r="A1160" s="29">
        <v>1159</v>
      </c>
      <c r="B1160" s="29" t="s">
        <v>1465</v>
      </c>
      <c r="C1160" s="29" t="str">
        <f>VLOOKUP(B1160,教育部大学名单!$B$1:$D$2920,3,FALSE)</f>
        <v>山东省教育厅</v>
      </c>
      <c r="D1160" s="29" t="s">
        <v>628</v>
      </c>
      <c r="E1160" s="29" t="s">
        <v>629</v>
      </c>
      <c r="F1160" s="36" t="str">
        <f>IFERROR(VLOOKUP(B1160,'985'!$B$2:$D$40,3,FALSE),"")</f>
        <v/>
      </c>
      <c r="G1160" s="32" t="str">
        <f>IFERROR(VLOOKUP(B1160,'211'!$B$2:$D$116,3,FALSE),"")</f>
        <v/>
      </c>
      <c r="H1160" s="32" t="str">
        <f>IFERROR(VLOOKUP(B1160,双一流!$B$2:$D$148,3,FALSE),"")</f>
        <v/>
      </c>
      <c r="I1160" s="32" t="str">
        <f>IFERROR(VLOOKUP(B1160,汇总!$B$2:$I$2921,8,FALSE),"")</f>
        <v>财经</v>
      </c>
      <c r="J1160" s="29" t="s">
        <v>11</v>
      </c>
      <c r="K1160" s="33" t="s">
        <v>1252</v>
      </c>
    </row>
    <row r="1161" ht="50.25" spans="1:11">
      <c r="A1161" s="34">
        <v>1160</v>
      </c>
      <c r="B1161" s="34" t="s">
        <v>1466</v>
      </c>
      <c r="C1161" s="29" t="str">
        <f>VLOOKUP(B1161,教育部大学名单!$B$1:$D$2920,3,FALSE)</f>
        <v>山东省教育厅</v>
      </c>
      <c r="D1161" s="34" t="s">
        <v>628</v>
      </c>
      <c r="E1161" s="34" t="s">
        <v>688</v>
      </c>
      <c r="F1161" s="36" t="str">
        <f>IFERROR(VLOOKUP(B1161,'985'!$B$2:$D$40,3,FALSE),"")</f>
        <v/>
      </c>
      <c r="G1161" s="32" t="str">
        <f>IFERROR(VLOOKUP(B1161,'211'!$B$2:$D$116,3,FALSE),"")</f>
        <v/>
      </c>
      <c r="H1161" s="32" t="str">
        <f>IFERROR(VLOOKUP(B1161,双一流!$B$2:$D$148,3,FALSE),"")</f>
        <v/>
      </c>
      <c r="I1161" s="32">
        <f>IFERROR(VLOOKUP(B1161,汇总!$B$2:$I$2921,8,FALSE),"")</f>
        <v>0</v>
      </c>
      <c r="J1161" s="34" t="s">
        <v>11</v>
      </c>
      <c r="K1161" s="35" t="s">
        <v>1252</v>
      </c>
    </row>
    <row r="1162" ht="33.75" spans="1:11">
      <c r="A1162" s="29">
        <v>1161</v>
      </c>
      <c r="B1162" s="29" t="s">
        <v>1467</v>
      </c>
      <c r="C1162" s="29" t="str">
        <f>VLOOKUP(B1162,教育部大学名单!$B$1:$D$2920,3,FALSE)</f>
        <v>山东省教育厅</v>
      </c>
      <c r="D1162" s="29" t="s">
        <v>628</v>
      </c>
      <c r="E1162" s="29" t="s">
        <v>642</v>
      </c>
      <c r="F1162" s="36" t="str">
        <f>IFERROR(VLOOKUP(B1162,'985'!$B$2:$D$40,3,FALSE),"")</f>
        <v/>
      </c>
      <c r="G1162" s="32" t="str">
        <f>IFERROR(VLOOKUP(B1162,'211'!$B$2:$D$116,3,FALSE),"")</f>
        <v/>
      </c>
      <c r="H1162" s="32" t="str">
        <f>IFERROR(VLOOKUP(B1162,双一流!$B$2:$D$148,3,FALSE),"")</f>
        <v/>
      </c>
      <c r="I1162" s="32">
        <f>IFERROR(VLOOKUP(B1162,汇总!$B$2:$I$2921,8,FALSE),"")</f>
        <v>0</v>
      </c>
      <c r="J1162" s="29" t="s">
        <v>11</v>
      </c>
      <c r="K1162" s="33" t="s">
        <v>1252</v>
      </c>
    </row>
    <row r="1163" ht="33.75" spans="1:11">
      <c r="A1163" s="34">
        <v>1162</v>
      </c>
      <c r="B1163" s="34" t="s">
        <v>1468</v>
      </c>
      <c r="C1163" s="29" t="str">
        <f>VLOOKUP(B1163,教育部大学名单!$B$1:$D$2920,3,FALSE)</f>
        <v>山东省教育厅</v>
      </c>
      <c r="D1163" s="34" t="s">
        <v>628</v>
      </c>
      <c r="E1163" s="34" t="s">
        <v>657</v>
      </c>
      <c r="F1163" s="36" t="str">
        <f>IFERROR(VLOOKUP(B1163,'985'!$B$2:$D$40,3,FALSE),"")</f>
        <v/>
      </c>
      <c r="G1163" s="32" t="str">
        <f>IFERROR(VLOOKUP(B1163,'211'!$B$2:$D$116,3,FALSE),"")</f>
        <v/>
      </c>
      <c r="H1163" s="32" t="str">
        <f>IFERROR(VLOOKUP(B1163,双一流!$B$2:$D$148,3,FALSE),"")</f>
        <v/>
      </c>
      <c r="I1163" s="32">
        <f>IFERROR(VLOOKUP(B1163,汇总!$B$2:$I$2921,8,FALSE),"")</f>
        <v>0</v>
      </c>
      <c r="J1163" s="34" t="s">
        <v>11</v>
      </c>
      <c r="K1163" s="35" t="s">
        <v>1252</v>
      </c>
    </row>
    <row r="1164" ht="33.75" spans="1:11">
      <c r="A1164" s="29">
        <v>1163</v>
      </c>
      <c r="B1164" s="29" t="s">
        <v>1469</v>
      </c>
      <c r="C1164" s="29" t="str">
        <f>VLOOKUP(B1164,教育部大学名单!$B$1:$D$2920,3,FALSE)</f>
        <v>山东省教育厅</v>
      </c>
      <c r="D1164" s="29" t="s">
        <v>628</v>
      </c>
      <c r="E1164" s="29" t="s">
        <v>1470</v>
      </c>
      <c r="F1164" s="36" t="str">
        <f>IFERROR(VLOOKUP(B1164,'985'!$B$2:$D$40,3,FALSE),"")</f>
        <v/>
      </c>
      <c r="G1164" s="32" t="str">
        <f>IFERROR(VLOOKUP(B1164,'211'!$B$2:$D$116,3,FALSE),"")</f>
        <v/>
      </c>
      <c r="H1164" s="32" t="str">
        <f>IFERROR(VLOOKUP(B1164,双一流!$B$2:$D$148,3,FALSE),"")</f>
        <v/>
      </c>
      <c r="I1164" s="32">
        <f>IFERROR(VLOOKUP(B1164,汇总!$B$2:$I$2921,8,FALSE),"")</f>
        <v>0</v>
      </c>
      <c r="J1164" s="29" t="s">
        <v>11</v>
      </c>
      <c r="K1164" s="33" t="s">
        <v>1252</v>
      </c>
    </row>
    <row r="1165" ht="33.75" spans="1:11">
      <c r="A1165" s="34">
        <v>1164</v>
      </c>
      <c r="B1165" s="34" t="s">
        <v>1471</v>
      </c>
      <c r="C1165" s="29" t="str">
        <f>VLOOKUP(B1165,教育部大学名单!$B$1:$D$2920,3,FALSE)</f>
        <v>山东省教育厅</v>
      </c>
      <c r="D1165" s="34" t="s">
        <v>628</v>
      </c>
      <c r="E1165" s="34" t="s">
        <v>631</v>
      </c>
      <c r="F1165" s="36" t="str">
        <f>IFERROR(VLOOKUP(B1165,'985'!$B$2:$D$40,3,FALSE),"")</f>
        <v/>
      </c>
      <c r="G1165" s="32" t="str">
        <f>IFERROR(VLOOKUP(B1165,'211'!$B$2:$D$116,3,FALSE),"")</f>
        <v/>
      </c>
      <c r="H1165" s="32" t="str">
        <f>IFERROR(VLOOKUP(B1165,双一流!$B$2:$D$148,3,FALSE),"")</f>
        <v/>
      </c>
      <c r="I1165" s="32">
        <f>IFERROR(VLOOKUP(B1165,汇总!$B$2:$I$2921,8,FALSE),"")</f>
        <v>0</v>
      </c>
      <c r="J1165" s="34" t="s">
        <v>11</v>
      </c>
      <c r="K1165" s="35" t="s">
        <v>1252</v>
      </c>
    </row>
    <row r="1166" ht="33.75" spans="1:11">
      <c r="A1166" s="29">
        <v>1165</v>
      </c>
      <c r="B1166" s="29" t="s">
        <v>1472</v>
      </c>
      <c r="C1166" s="29" t="str">
        <f>VLOOKUP(B1166,教育部大学名单!$B$1:$D$2920,3,FALSE)</f>
        <v>山东省教育厅</v>
      </c>
      <c r="D1166" s="29" t="s">
        <v>628</v>
      </c>
      <c r="E1166" s="29" t="s">
        <v>660</v>
      </c>
      <c r="F1166" s="36" t="str">
        <f>IFERROR(VLOOKUP(B1166,'985'!$B$2:$D$40,3,FALSE),"")</f>
        <v/>
      </c>
      <c r="G1166" s="32" t="str">
        <f>IFERROR(VLOOKUP(B1166,'211'!$B$2:$D$116,3,FALSE),"")</f>
        <v/>
      </c>
      <c r="H1166" s="32" t="str">
        <f>IFERROR(VLOOKUP(B1166,双一流!$B$2:$D$148,3,FALSE),"")</f>
        <v/>
      </c>
      <c r="I1166" s="32" t="str">
        <f>IFERROR(VLOOKUP(B1166,汇总!$B$2:$I$2921,8,FALSE),"")</f>
        <v>综合</v>
      </c>
      <c r="J1166" s="29" t="s">
        <v>11</v>
      </c>
      <c r="K1166" s="33" t="s">
        <v>1252</v>
      </c>
    </row>
    <row r="1167" ht="33.75" spans="1:11">
      <c r="A1167" s="34">
        <v>1166</v>
      </c>
      <c r="B1167" s="34" t="s">
        <v>1473</v>
      </c>
      <c r="C1167" s="29" t="str">
        <f>VLOOKUP(B1167,教育部大学名单!$B$1:$D$2920,3,FALSE)</f>
        <v>山东省教育厅</v>
      </c>
      <c r="D1167" s="34" t="s">
        <v>628</v>
      </c>
      <c r="E1167" s="34" t="s">
        <v>629</v>
      </c>
      <c r="F1167" s="36" t="str">
        <f>IFERROR(VLOOKUP(B1167,'985'!$B$2:$D$40,3,FALSE),"")</f>
        <v/>
      </c>
      <c r="G1167" s="32" t="str">
        <f>IFERROR(VLOOKUP(B1167,'211'!$B$2:$D$116,3,FALSE),"")</f>
        <v/>
      </c>
      <c r="H1167" s="32" t="str">
        <f>IFERROR(VLOOKUP(B1167,双一流!$B$2:$D$148,3,FALSE),"")</f>
        <v/>
      </c>
      <c r="I1167" s="32">
        <f>IFERROR(VLOOKUP(B1167,汇总!$B$2:$I$2921,8,FALSE),"")</f>
        <v>0</v>
      </c>
      <c r="J1167" s="34" t="s">
        <v>11</v>
      </c>
      <c r="K1167" s="35" t="s">
        <v>1252</v>
      </c>
    </row>
    <row r="1168" ht="33.75" spans="1:11">
      <c r="A1168" s="29">
        <v>1167</v>
      </c>
      <c r="B1168" s="29" t="s">
        <v>1474</v>
      </c>
      <c r="C1168" s="29" t="str">
        <f>VLOOKUP(B1168,教育部大学名单!$B$1:$D$2920,3,FALSE)</f>
        <v>山东省教育厅</v>
      </c>
      <c r="D1168" s="29" t="s">
        <v>628</v>
      </c>
      <c r="E1168" s="29" t="s">
        <v>642</v>
      </c>
      <c r="F1168" s="36" t="str">
        <f>IFERROR(VLOOKUP(B1168,'985'!$B$2:$D$40,3,FALSE),"")</f>
        <v/>
      </c>
      <c r="G1168" s="32" t="str">
        <f>IFERROR(VLOOKUP(B1168,'211'!$B$2:$D$116,3,FALSE),"")</f>
        <v/>
      </c>
      <c r="H1168" s="32" t="str">
        <f>IFERROR(VLOOKUP(B1168,双一流!$B$2:$D$148,3,FALSE),"")</f>
        <v/>
      </c>
      <c r="I1168" s="32" t="str">
        <f>IFERROR(VLOOKUP(B1168,汇总!$B$2:$I$2921,8,FALSE),"")</f>
        <v>综合</v>
      </c>
      <c r="J1168" s="29" t="s">
        <v>11</v>
      </c>
      <c r="K1168" s="33" t="s">
        <v>1252</v>
      </c>
    </row>
    <row r="1169" ht="33.75" spans="1:11">
      <c r="A1169" s="34">
        <v>1168</v>
      </c>
      <c r="B1169" s="34" t="s">
        <v>1475</v>
      </c>
      <c r="C1169" s="29" t="str">
        <f>VLOOKUP(B1169,教育部大学名单!$B$1:$D$2920,3,FALSE)</f>
        <v>山东省教育厅</v>
      </c>
      <c r="D1169" s="34" t="s">
        <v>628</v>
      </c>
      <c r="E1169" s="34" t="s">
        <v>660</v>
      </c>
      <c r="F1169" s="36" t="str">
        <f>IFERROR(VLOOKUP(B1169,'985'!$B$2:$D$40,3,FALSE),"")</f>
        <v/>
      </c>
      <c r="G1169" s="32" t="str">
        <f>IFERROR(VLOOKUP(B1169,'211'!$B$2:$D$116,3,FALSE),"")</f>
        <v/>
      </c>
      <c r="H1169" s="32" t="str">
        <f>IFERROR(VLOOKUP(B1169,双一流!$B$2:$D$148,3,FALSE),"")</f>
        <v/>
      </c>
      <c r="I1169" s="32">
        <f>IFERROR(VLOOKUP(B1169,汇总!$B$2:$I$2921,8,FALSE),"")</f>
        <v>0</v>
      </c>
      <c r="J1169" s="34" t="s">
        <v>11</v>
      </c>
      <c r="K1169" s="35" t="s">
        <v>1252</v>
      </c>
    </row>
    <row r="1170" ht="33.75" spans="1:11">
      <c r="A1170" s="29">
        <v>1169</v>
      </c>
      <c r="B1170" s="29" t="s">
        <v>1476</v>
      </c>
      <c r="C1170" s="29" t="str">
        <f>VLOOKUP(B1170,教育部大学名单!$B$1:$D$2920,3,FALSE)</f>
        <v>山东省教育厅</v>
      </c>
      <c r="D1170" s="29" t="s">
        <v>628</v>
      </c>
      <c r="E1170" s="29" t="s">
        <v>631</v>
      </c>
      <c r="F1170" s="36" t="str">
        <f>IFERROR(VLOOKUP(B1170,'985'!$B$2:$D$40,3,FALSE),"")</f>
        <v/>
      </c>
      <c r="G1170" s="32" t="str">
        <f>IFERROR(VLOOKUP(B1170,'211'!$B$2:$D$116,3,FALSE),"")</f>
        <v/>
      </c>
      <c r="H1170" s="32" t="str">
        <f>IFERROR(VLOOKUP(B1170,双一流!$B$2:$D$148,3,FALSE),"")</f>
        <v/>
      </c>
      <c r="I1170" s="32">
        <f>IFERROR(VLOOKUP(B1170,汇总!$B$2:$I$2921,8,FALSE),"")</f>
        <v>0</v>
      </c>
      <c r="J1170" s="29" t="s">
        <v>11</v>
      </c>
      <c r="K1170" s="33" t="s">
        <v>1252</v>
      </c>
    </row>
    <row r="1171" ht="33.75" spans="1:11">
      <c r="A1171" s="34">
        <v>1170</v>
      </c>
      <c r="B1171" s="34" t="s">
        <v>1477</v>
      </c>
      <c r="C1171" s="29" t="str">
        <f>VLOOKUP(B1171,教育部大学名单!$B$1:$D$2920,3,FALSE)</f>
        <v>河南省教育厅</v>
      </c>
      <c r="D1171" s="34" t="s">
        <v>692</v>
      </c>
      <c r="E1171" s="34" t="s">
        <v>693</v>
      </c>
      <c r="F1171" s="36" t="str">
        <f>IFERROR(VLOOKUP(B1171,'985'!$B$2:$D$40,3,FALSE),"")</f>
        <v/>
      </c>
      <c r="G1171" s="32" t="str">
        <f>IFERROR(VLOOKUP(B1171,'211'!$B$2:$D$116,3,FALSE),"")</f>
        <v/>
      </c>
      <c r="H1171" s="32" t="str">
        <f>IFERROR(VLOOKUP(B1171,双一流!$B$2:$D$148,3,FALSE),"")</f>
        <v/>
      </c>
      <c r="I1171" s="32">
        <f>IFERROR(VLOOKUP(B1171,汇总!$B$2:$I$2921,8,FALSE),"")</f>
        <v>0</v>
      </c>
      <c r="J1171" s="34" t="s">
        <v>11</v>
      </c>
      <c r="K1171" s="35" t="s">
        <v>1252</v>
      </c>
    </row>
    <row r="1172" ht="33.75" spans="1:11">
      <c r="A1172" s="29">
        <v>1171</v>
      </c>
      <c r="B1172" s="29" t="s">
        <v>1478</v>
      </c>
      <c r="C1172" s="29" t="str">
        <f>VLOOKUP(B1172,教育部大学名单!$B$1:$D$2920,3,FALSE)</f>
        <v>河南省教育厅</v>
      </c>
      <c r="D1172" s="29" t="s">
        <v>692</v>
      </c>
      <c r="E1172" s="29" t="s">
        <v>693</v>
      </c>
      <c r="F1172" s="36" t="str">
        <f>IFERROR(VLOOKUP(B1172,'985'!$B$2:$D$40,3,FALSE),"")</f>
        <v/>
      </c>
      <c r="G1172" s="32" t="str">
        <f>IFERROR(VLOOKUP(B1172,'211'!$B$2:$D$116,3,FALSE),"")</f>
        <v/>
      </c>
      <c r="H1172" s="32" t="str">
        <f>IFERROR(VLOOKUP(B1172,双一流!$B$2:$D$148,3,FALSE),"")</f>
        <v/>
      </c>
      <c r="I1172" s="32">
        <f>IFERROR(VLOOKUP(B1172,汇总!$B$2:$I$2921,8,FALSE),"")</f>
        <v>0</v>
      </c>
      <c r="J1172" s="29" t="s">
        <v>11</v>
      </c>
      <c r="K1172" s="33" t="s">
        <v>1252</v>
      </c>
    </row>
    <row r="1173" ht="33.75" spans="1:11">
      <c r="A1173" s="34">
        <v>1172</v>
      </c>
      <c r="B1173" s="34" t="s">
        <v>1479</v>
      </c>
      <c r="C1173" s="29" t="str">
        <f>VLOOKUP(B1173,教育部大学名单!$B$1:$D$2920,3,FALSE)</f>
        <v>河南省教育厅</v>
      </c>
      <c r="D1173" s="34" t="s">
        <v>692</v>
      </c>
      <c r="E1173" s="34" t="s">
        <v>693</v>
      </c>
      <c r="F1173" s="36" t="str">
        <f>IFERROR(VLOOKUP(B1173,'985'!$B$2:$D$40,3,FALSE),"")</f>
        <v/>
      </c>
      <c r="G1173" s="32" t="str">
        <f>IFERROR(VLOOKUP(B1173,'211'!$B$2:$D$116,3,FALSE),"")</f>
        <v/>
      </c>
      <c r="H1173" s="32" t="str">
        <f>IFERROR(VLOOKUP(B1173,双一流!$B$2:$D$148,3,FALSE),"")</f>
        <v/>
      </c>
      <c r="I1173" s="32">
        <f>IFERROR(VLOOKUP(B1173,汇总!$B$2:$I$2921,8,FALSE),"")</f>
        <v>0</v>
      </c>
      <c r="J1173" s="34" t="s">
        <v>11</v>
      </c>
      <c r="K1173" s="35" t="s">
        <v>1252</v>
      </c>
    </row>
    <row r="1174" ht="33.75" spans="1:11">
      <c r="A1174" s="29">
        <v>1173</v>
      </c>
      <c r="B1174" s="29" t="s">
        <v>1480</v>
      </c>
      <c r="C1174" s="29" t="str">
        <f>VLOOKUP(B1174,教育部大学名单!$B$1:$D$2920,3,FALSE)</f>
        <v>河南省教育厅</v>
      </c>
      <c r="D1174" s="29" t="s">
        <v>692</v>
      </c>
      <c r="E1174" s="29" t="s">
        <v>693</v>
      </c>
      <c r="F1174" s="36" t="str">
        <f>IFERROR(VLOOKUP(B1174,'985'!$B$2:$D$40,3,FALSE),"")</f>
        <v/>
      </c>
      <c r="G1174" s="32" t="str">
        <f>IFERROR(VLOOKUP(B1174,'211'!$B$2:$D$116,3,FALSE),"")</f>
        <v/>
      </c>
      <c r="H1174" s="32" t="str">
        <f>IFERROR(VLOOKUP(B1174,双一流!$B$2:$D$148,3,FALSE),"")</f>
        <v/>
      </c>
      <c r="I1174" s="32">
        <f>IFERROR(VLOOKUP(B1174,汇总!$B$2:$I$2921,8,FALSE),"")</f>
        <v>0</v>
      </c>
      <c r="J1174" s="29" t="s">
        <v>11</v>
      </c>
      <c r="K1174" s="33" t="s">
        <v>1252</v>
      </c>
    </row>
    <row r="1175" ht="33.75" spans="1:11">
      <c r="A1175" s="34">
        <v>1174</v>
      </c>
      <c r="B1175" s="34" t="s">
        <v>1481</v>
      </c>
      <c r="C1175" s="29" t="str">
        <f>VLOOKUP(B1175,教育部大学名单!$B$1:$D$2920,3,FALSE)</f>
        <v>河南省教育厅</v>
      </c>
      <c r="D1175" s="34" t="s">
        <v>692</v>
      </c>
      <c r="E1175" s="34" t="s">
        <v>696</v>
      </c>
      <c r="F1175" s="36" t="str">
        <f>IFERROR(VLOOKUP(B1175,'985'!$B$2:$D$40,3,FALSE),"")</f>
        <v/>
      </c>
      <c r="G1175" s="32" t="str">
        <f>IFERROR(VLOOKUP(B1175,'211'!$B$2:$D$116,3,FALSE),"")</f>
        <v/>
      </c>
      <c r="H1175" s="32" t="str">
        <f>IFERROR(VLOOKUP(B1175,双一流!$B$2:$D$148,3,FALSE),"")</f>
        <v/>
      </c>
      <c r="I1175" s="32">
        <f>IFERROR(VLOOKUP(B1175,汇总!$B$2:$I$2921,8,FALSE),"")</f>
        <v>0</v>
      </c>
      <c r="J1175" s="34" t="s">
        <v>11</v>
      </c>
      <c r="K1175" s="35" t="s">
        <v>1252</v>
      </c>
    </row>
    <row r="1176" ht="33.75" spans="1:11">
      <c r="A1176" s="29">
        <v>1175</v>
      </c>
      <c r="B1176" s="29" t="s">
        <v>1482</v>
      </c>
      <c r="C1176" s="29" t="str">
        <f>VLOOKUP(B1176,教育部大学名单!$B$1:$D$2920,3,FALSE)</f>
        <v>河南省教育厅</v>
      </c>
      <c r="D1176" s="29" t="s">
        <v>692</v>
      </c>
      <c r="E1176" s="29" t="s">
        <v>723</v>
      </c>
      <c r="F1176" s="36" t="str">
        <f>IFERROR(VLOOKUP(B1176,'985'!$B$2:$D$40,3,FALSE),"")</f>
        <v/>
      </c>
      <c r="G1176" s="32" t="str">
        <f>IFERROR(VLOOKUP(B1176,'211'!$B$2:$D$116,3,FALSE),"")</f>
        <v/>
      </c>
      <c r="H1176" s="32" t="str">
        <f>IFERROR(VLOOKUP(B1176,双一流!$B$2:$D$148,3,FALSE),"")</f>
        <v/>
      </c>
      <c r="I1176" s="32">
        <f>IFERROR(VLOOKUP(B1176,汇总!$B$2:$I$2921,8,FALSE),"")</f>
        <v>0</v>
      </c>
      <c r="J1176" s="29" t="s">
        <v>11</v>
      </c>
      <c r="K1176" s="33" t="s">
        <v>1252</v>
      </c>
    </row>
    <row r="1177" ht="33.75" spans="1:11">
      <c r="A1177" s="34">
        <v>1176</v>
      </c>
      <c r="B1177" s="34" t="s">
        <v>1483</v>
      </c>
      <c r="C1177" s="29" t="str">
        <f>VLOOKUP(B1177,教育部大学名单!$B$1:$D$2920,3,FALSE)</f>
        <v>河南省教育厅</v>
      </c>
      <c r="D1177" s="34" t="s">
        <v>692</v>
      </c>
      <c r="E1177" s="34" t="s">
        <v>709</v>
      </c>
      <c r="F1177" s="36" t="str">
        <f>IFERROR(VLOOKUP(B1177,'985'!$B$2:$D$40,3,FALSE),"")</f>
        <v/>
      </c>
      <c r="G1177" s="32" t="str">
        <f>IFERROR(VLOOKUP(B1177,'211'!$B$2:$D$116,3,FALSE),"")</f>
        <v/>
      </c>
      <c r="H1177" s="32" t="str">
        <f>IFERROR(VLOOKUP(B1177,双一流!$B$2:$D$148,3,FALSE),"")</f>
        <v/>
      </c>
      <c r="I1177" s="32">
        <f>IFERROR(VLOOKUP(B1177,汇总!$B$2:$I$2921,8,FALSE),"")</f>
        <v>0</v>
      </c>
      <c r="J1177" s="34" t="s">
        <v>11</v>
      </c>
      <c r="K1177" s="35" t="s">
        <v>1252</v>
      </c>
    </row>
    <row r="1178" ht="33.75" spans="1:11">
      <c r="A1178" s="29">
        <v>1177</v>
      </c>
      <c r="B1178" s="29" t="s">
        <v>1484</v>
      </c>
      <c r="C1178" s="29" t="str">
        <f>VLOOKUP(B1178,教育部大学名单!$B$1:$D$2920,3,FALSE)</f>
        <v>河南省教育厅</v>
      </c>
      <c r="D1178" s="29" t="s">
        <v>692</v>
      </c>
      <c r="E1178" s="29" t="s">
        <v>693</v>
      </c>
      <c r="F1178" s="36" t="str">
        <f>IFERROR(VLOOKUP(B1178,'985'!$B$2:$D$40,3,FALSE),"")</f>
        <v/>
      </c>
      <c r="G1178" s="32" t="str">
        <f>IFERROR(VLOOKUP(B1178,'211'!$B$2:$D$116,3,FALSE),"")</f>
        <v/>
      </c>
      <c r="H1178" s="32" t="str">
        <f>IFERROR(VLOOKUP(B1178,双一流!$B$2:$D$148,3,FALSE),"")</f>
        <v/>
      </c>
      <c r="I1178" s="32">
        <f>IFERROR(VLOOKUP(B1178,汇总!$B$2:$I$2921,8,FALSE),"")</f>
        <v>0</v>
      </c>
      <c r="J1178" s="29" t="s">
        <v>11</v>
      </c>
      <c r="K1178" s="33" t="s">
        <v>1252</v>
      </c>
    </row>
    <row r="1179" ht="33.75" spans="1:11">
      <c r="A1179" s="34">
        <v>1178</v>
      </c>
      <c r="B1179" s="34" t="s">
        <v>1485</v>
      </c>
      <c r="C1179" s="29" t="str">
        <f>VLOOKUP(B1179,教育部大学名单!$B$1:$D$2920,3,FALSE)</f>
        <v>河南省教育厅</v>
      </c>
      <c r="D1179" s="34" t="s">
        <v>692</v>
      </c>
      <c r="E1179" s="34" t="s">
        <v>712</v>
      </c>
      <c r="F1179" s="36" t="str">
        <f>IFERROR(VLOOKUP(B1179,'985'!$B$2:$D$40,3,FALSE),"")</f>
        <v/>
      </c>
      <c r="G1179" s="32" t="str">
        <f>IFERROR(VLOOKUP(B1179,'211'!$B$2:$D$116,3,FALSE),"")</f>
        <v/>
      </c>
      <c r="H1179" s="32" t="str">
        <f>IFERROR(VLOOKUP(B1179,双一流!$B$2:$D$148,3,FALSE),"")</f>
        <v/>
      </c>
      <c r="I1179" s="32">
        <f>IFERROR(VLOOKUP(B1179,汇总!$B$2:$I$2921,8,FALSE),"")</f>
        <v>0</v>
      </c>
      <c r="J1179" s="34" t="s">
        <v>11</v>
      </c>
      <c r="K1179" s="35" t="s">
        <v>1252</v>
      </c>
    </row>
    <row r="1180" ht="33.75" spans="1:11">
      <c r="A1180" s="29">
        <v>1179</v>
      </c>
      <c r="B1180" s="29" t="s">
        <v>1486</v>
      </c>
      <c r="C1180" s="29" t="str">
        <f>VLOOKUP(B1180,教育部大学名单!$B$1:$D$2920,3,FALSE)</f>
        <v>河南省教育厅</v>
      </c>
      <c r="D1180" s="29" t="s">
        <v>692</v>
      </c>
      <c r="E1180" s="29" t="s">
        <v>716</v>
      </c>
      <c r="F1180" s="36" t="str">
        <f>IFERROR(VLOOKUP(B1180,'985'!$B$2:$D$40,3,FALSE),"")</f>
        <v/>
      </c>
      <c r="G1180" s="32" t="str">
        <f>IFERROR(VLOOKUP(B1180,'211'!$B$2:$D$116,3,FALSE),"")</f>
        <v/>
      </c>
      <c r="H1180" s="32" t="str">
        <f>IFERROR(VLOOKUP(B1180,双一流!$B$2:$D$148,3,FALSE),"")</f>
        <v/>
      </c>
      <c r="I1180" s="32">
        <f>IFERROR(VLOOKUP(B1180,汇总!$B$2:$I$2921,8,FALSE),"")</f>
        <v>0</v>
      </c>
      <c r="J1180" s="29" t="s">
        <v>11</v>
      </c>
      <c r="K1180" s="33" t="s">
        <v>1252</v>
      </c>
    </row>
    <row r="1181" ht="33.75" spans="1:11">
      <c r="A1181" s="34">
        <v>1180</v>
      </c>
      <c r="B1181" s="34" t="s">
        <v>1487</v>
      </c>
      <c r="C1181" s="29" t="str">
        <f>VLOOKUP(B1181,教育部大学名单!$B$1:$D$2920,3,FALSE)</f>
        <v>河南省教育厅</v>
      </c>
      <c r="D1181" s="34" t="s">
        <v>692</v>
      </c>
      <c r="E1181" s="34" t="s">
        <v>704</v>
      </c>
      <c r="F1181" s="36" t="str">
        <f>IFERROR(VLOOKUP(B1181,'985'!$B$2:$D$40,3,FALSE),"")</f>
        <v/>
      </c>
      <c r="G1181" s="32" t="str">
        <f>IFERROR(VLOOKUP(B1181,'211'!$B$2:$D$116,3,FALSE),"")</f>
        <v/>
      </c>
      <c r="H1181" s="32" t="str">
        <f>IFERROR(VLOOKUP(B1181,双一流!$B$2:$D$148,3,FALSE),"")</f>
        <v/>
      </c>
      <c r="I1181" s="32" t="str">
        <f>IFERROR(VLOOKUP(B1181,汇总!$B$2:$I$2921,8,FALSE),"")</f>
        <v/>
      </c>
      <c r="J1181" s="34" t="s">
        <v>11</v>
      </c>
      <c r="K1181" s="35" t="s">
        <v>1252</v>
      </c>
    </row>
    <row r="1182" ht="33.75" spans="1:11">
      <c r="A1182" s="29">
        <v>1181</v>
      </c>
      <c r="B1182" s="29" t="s">
        <v>1488</v>
      </c>
      <c r="C1182" s="29" t="str">
        <f>VLOOKUP(B1182,教育部大学名单!$B$1:$D$2920,3,FALSE)</f>
        <v>河南省教育厅</v>
      </c>
      <c r="D1182" s="29" t="s">
        <v>692</v>
      </c>
      <c r="E1182" s="29" t="s">
        <v>704</v>
      </c>
      <c r="F1182" s="36" t="str">
        <f>IFERROR(VLOOKUP(B1182,'985'!$B$2:$D$40,3,FALSE),"")</f>
        <v/>
      </c>
      <c r="G1182" s="32" t="str">
        <f>IFERROR(VLOOKUP(B1182,'211'!$B$2:$D$116,3,FALSE),"")</f>
        <v/>
      </c>
      <c r="H1182" s="32" t="str">
        <f>IFERROR(VLOOKUP(B1182,双一流!$B$2:$D$148,3,FALSE),"")</f>
        <v/>
      </c>
      <c r="I1182" s="32">
        <f>IFERROR(VLOOKUP(B1182,汇总!$B$2:$I$2921,8,FALSE),"")</f>
        <v>0</v>
      </c>
      <c r="J1182" s="29" t="s">
        <v>11</v>
      </c>
      <c r="K1182" s="33" t="s">
        <v>1252</v>
      </c>
    </row>
    <row r="1183" ht="33.75" spans="1:11">
      <c r="A1183" s="34">
        <v>1182</v>
      </c>
      <c r="B1183" s="34" t="s">
        <v>1489</v>
      </c>
      <c r="C1183" s="29" t="str">
        <f>VLOOKUP(B1183,教育部大学名单!$B$1:$D$2920,3,FALSE)</f>
        <v>河南省教育厅</v>
      </c>
      <c r="D1183" s="34" t="s">
        <v>692</v>
      </c>
      <c r="E1183" s="34" t="s">
        <v>693</v>
      </c>
      <c r="F1183" s="36" t="str">
        <f>IFERROR(VLOOKUP(B1183,'985'!$B$2:$D$40,3,FALSE),"")</f>
        <v/>
      </c>
      <c r="G1183" s="32" t="str">
        <f>IFERROR(VLOOKUP(B1183,'211'!$B$2:$D$116,3,FALSE),"")</f>
        <v/>
      </c>
      <c r="H1183" s="32" t="str">
        <f>IFERROR(VLOOKUP(B1183,双一流!$B$2:$D$148,3,FALSE),"")</f>
        <v/>
      </c>
      <c r="I1183" s="32">
        <f>IFERROR(VLOOKUP(B1183,汇总!$B$2:$I$2921,8,FALSE),"")</f>
        <v>0</v>
      </c>
      <c r="J1183" s="34" t="s">
        <v>11</v>
      </c>
      <c r="K1183" s="35" t="s">
        <v>1252</v>
      </c>
    </row>
    <row r="1184" ht="33.75" spans="1:11">
      <c r="A1184" s="29">
        <v>1183</v>
      </c>
      <c r="B1184" s="29" t="s">
        <v>1490</v>
      </c>
      <c r="C1184" s="29" t="str">
        <f>VLOOKUP(B1184,教育部大学名单!$B$1:$D$2920,3,FALSE)</f>
        <v>河南省教育厅</v>
      </c>
      <c r="D1184" s="29" t="s">
        <v>692</v>
      </c>
      <c r="E1184" s="29" t="s">
        <v>693</v>
      </c>
      <c r="F1184" s="36" t="str">
        <f>IFERROR(VLOOKUP(B1184,'985'!$B$2:$D$40,3,FALSE),"")</f>
        <v/>
      </c>
      <c r="G1184" s="32" t="str">
        <f>IFERROR(VLOOKUP(B1184,'211'!$B$2:$D$116,3,FALSE),"")</f>
        <v/>
      </c>
      <c r="H1184" s="32" t="str">
        <f>IFERROR(VLOOKUP(B1184,双一流!$B$2:$D$148,3,FALSE),"")</f>
        <v/>
      </c>
      <c r="I1184" s="32">
        <f>IFERROR(VLOOKUP(B1184,汇总!$B$2:$I$2921,8,FALSE),"")</f>
        <v>0</v>
      </c>
      <c r="J1184" s="29" t="s">
        <v>11</v>
      </c>
      <c r="K1184" s="33" t="s">
        <v>1252</v>
      </c>
    </row>
    <row r="1185" ht="33.75" spans="1:11">
      <c r="A1185" s="34">
        <v>1184</v>
      </c>
      <c r="B1185" s="34" t="s">
        <v>1491</v>
      </c>
      <c r="C1185" s="29" t="str">
        <f>VLOOKUP(B1185,教育部大学名单!$B$1:$D$2920,3,FALSE)</f>
        <v>河南省教育厅</v>
      </c>
      <c r="D1185" s="34" t="s">
        <v>692</v>
      </c>
      <c r="E1185" s="34" t="s">
        <v>723</v>
      </c>
      <c r="F1185" s="36" t="str">
        <f>IFERROR(VLOOKUP(B1185,'985'!$B$2:$D$40,3,FALSE),"")</f>
        <v/>
      </c>
      <c r="G1185" s="32" t="str">
        <f>IFERROR(VLOOKUP(B1185,'211'!$B$2:$D$116,3,FALSE),"")</f>
        <v/>
      </c>
      <c r="H1185" s="32" t="str">
        <f>IFERROR(VLOOKUP(B1185,双一流!$B$2:$D$148,3,FALSE),"")</f>
        <v/>
      </c>
      <c r="I1185" s="32">
        <f>IFERROR(VLOOKUP(B1185,汇总!$B$2:$I$2921,8,FALSE),"")</f>
        <v>0</v>
      </c>
      <c r="J1185" s="34" t="s">
        <v>11</v>
      </c>
      <c r="K1185" s="35" t="s">
        <v>1252</v>
      </c>
    </row>
    <row r="1186" ht="33.75" spans="1:11">
      <c r="A1186" s="29">
        <v>1185</v>
      </c>
      <c r="B1186" s="29" t="s">
        <v>1492</v>
      </c>
      <c r="C1186" s="29" t="str">
        <f>VLOOKUP(B1186,教育部大学名单!$B$1:$D$2920,3,FALSE)</f>
        <v>河南省教育厅</v>
      </c>
      <c r="D1186" s="29" t="s">
        <v>692</v>
      </c>
      <c r="E1186" s="29" t="s">
        <v>693</v>
      </c>
      <c r="F1186" s="36" t="str">
        <f>IFERROR(VLOOKUP(B1186,'985'!$B$2:$D$40,3,FALSE),"")</f>
        <v/>
      </c>
      <c r="G1186" s="32" t="str">
        <f>IFERROR(VLOOKUP(B1186,'211'!$B$2:$D$116,3,FALSE),"")</f>
        <v/>
      </c>
      <c r="H1186" s="32" t="str">
        <f>IFERROR(VLOOKUP(B1186,双一流!$B$2:$D$148,3,FALSE),"")</f>
        <v/>
      </c>
      <c r="I1186" s="32">
        <f>IFERROR(VLOOKUP(B1186,汇总!$B$2:$I$2921,8,FALSE),"")</f>
        <v>0</v>
      </c>
      <c r="J1186" s="29" t="s">
        <v>11</v>
      </c>
      <c r="K1186" s="33" t="s">
        <v>1252</v>
      </c>
    </row>
    <row r="1187" ht="33.75" spans="1:11">
      <c r="A1187" s="34">
        <v>1186</v>
      </c>
      <c r="B1187" s="34" t="s">
        <v>1493</v>
      </c>
      <c r="C1187" s="29" t="str">
        <f>VLOOKUP(B1187,教育部大学名单!$B$1:$D$2920,3,FALSE)</f>
        <v>河南省教育厅</v>
      </c>
      <c r="D1187" s="34" t="s">
        <v>692</v>
      </c>
      <c r="E1187" s="34" t="s">
        <v>714</v>
      </c>
      <c r="F1187" s="36" t="str">
        <f>IFERROR(VLOOKUP(B1187,'985'!$B$2:$D$40,3,FALSE),"")</f>
        <v/>
      </c>
      <c r="G1187" s="32" t="str">
        <f>IFERROR(VLOOKUP(B1187,'211'!$B$2:$D$116,3,FALSE),"")</f>
        <v/>
      </c>
      <c r="H1187" s="32" t="str">
        <f>IFERROR(VLOOKUP(B1187,双一流!$B$2:$D$148,3,FALSE),"")</f>
        <v/>
      </c>
      <c r="I1187" s="32">
        <f>IFERROR(VLOOKUP(B1187,汇总!$B$2:$I$2921,8,FALSE),"")</f>
        <v>0</v>
      </c>
      <c r="J1187" s="34" t="s">
        <v>11</v>
      </c>
      <c r="K1187" s="35" t="s">
        <v>1252</v>
      </c>
    </row>
    <row r="1188" ht="33.75" spans="1:11">
      <c r="A1188" s="29">
        <v>1187</v>
      </c>
      <c r="B1188" s="29" t="s">
        <v>1494</v>
      </c>
      <c r="C1188" s="29" t="str">
        <f>VLOOKUP(B1188,教育部大学名单!$B$1:$D$2920,3,FALSE)</f>
        <v>河南省教育厅</v>
      </c>
      <c r="D1188" s="29" t="s">
        <v>692</v>
      </c>
      <c r="E1188" s="29" t="s">
        <v>693</v>
      </c>
      <c r="F1188" s="36" t="str">
        <f>IFERROR(VLOOKUP(B1188,'985'!$B$2:$D$40,3,FALSE),"")</f>
        <v/>
      </c>
      <c r="G1188" s="32" t="str">
        <f>IFERROR(VLOOKUP(B1188,'211'!$B$2:$D$116,3,FALSE),"")</f>
        <v/>
      </c>
      <c r="H1188" s="32" t="str">
        <f>IFERROR(VLOOKUP(B1188,双一流!$B$2:$D$148,3,FALSE),"")</f>
        <v/>
      </c>
      <c r="I1188" s="32">
        <f>IFERROR(VLOOKUP(B1188,汇总!$B$2:$I$2921,8,FALSE),"")</f>
        <v>0</v>
      </c>
      <c r="J1188" s="29" t="s">
        <v>11</v>
      </c>
      <c r="K1188" s="33" t="s">
        <v>1252</v>
      </c>
    </row>
    <row r="1189" ht="33.75" spans="1:11">
      <c r="A1189" s="34">
        <v>1188</v>
      </c>
      <c r="B1189" s="34" t="s">
        <v>1495</v>
      </c>
      <c r="C1189" s="29" t="str">
        <f>VLOOKUP(B1189,教育部大学名单!$B$1:$D$2920,3,FALSE)</f>
        <v>河南省教育厅</v>
      </c>
      <c r="D1189" s="34" t="s">
        <v>692</v>
      </c>
      <c r="E1189" s="34" t="s">
        <v>693</v>
      </c>
      <c r="F1189" s="36" t="str">
        <f>IFERROR(VLOOKUP(B1189,'985'!$B$2:$D$40,3,FALSE),"")</f>
        <v/>
      </c>
      <c r="G1189" s="32" t="str">
        <f>IFERROR(VLOOKUP(B1189,'211'!$B$2:$D$116,3,FALSE),"")</f>
        <v/>
      </c>
      <c r="H1189" s="32" t="str">
        <f>IFERROR(VLOOKUP(B1189,双一流!$B$2:$D$148,3,FALSE),"")</f>
        <v/>
      </c>
      <c r="I1189" s="32">
        <f>IFERROR(VLOOKUP(B1189,汇总!$B$2:$I$2921,8,FALSE),"")</f>
        <v>0</v>
      </c>
      <c r="J1189" s="34" t="s">
        <v>11</v>
      </c>
      <c r="K1189" s="35" t="s">
        <v>1252</v>
      </c>
    </row>
    <row r="1190" ht="33.75" spans="1:11">
      <c r="A1190" s="29">
        <v>1189</v>
      </c>
      <c r="B1190" s="29" t="s">
        <v>1496</v>
      </c>
      <c r="C1190" s="29" t="str">
        <f>VLOOKUP(B1190,教育部大学名单!$B$1:$D$2920,3,FALSE)</f>
        <v>河南省教育厅</v>
      </c>
      <c r="D1190" s="29" t="s">
        <v>692</v>
      </c>
      <c r="E1190" s="29" t="s">
        <v>693</v>
      </c>
      <c r="F1190" s="36" t="str">
        <f>IFERROR(VLOOKUP(B1190,'985'!$B$2:$D$40,3,FALSE),"")</f>
        <v/>
      </c>
      <c r="G1190" s="32" t="str">
        <f>IFERROR(VLOOKUP(B1190,'211'!$B$2:$D$116,3,FALSE),"")</f>
        <v/>
      </c>
      <c r="H1190" s="32" t="str">
        <f>IFERROR(VLOOKUP(B1190,双一流!$B$2:$D$148,3,FALSE),"")</f>
        <v/>
      </c>
      <c r="I1190" s="32" t="str">
        <f>IFERROR(VLOOKUP(B1190,汇总!$B$2:$I$2921,8,FALSE),"")</f>
        <v/>
      </c>
      <c r="J1190" s="29" t="s">
        <v>11</v>
      </c>
      <c r="K1190" s="33" t="s">
        <v>1252</v>
      </c>
    </row>
    <row r="1191" ht="33.75" spans="1:11">
      <c r="A1191" s="34">
        <v>1190</v>
      </c>
      <c r="B1191" s="34" t="s">
        <v>1497</v>
      </c>
      <c r="C1191" s="29" t="str">
        <f>VLOOKUP(B1191,教育部大学名单!$B$1:$D$2920,3,FALSE)</f>
        <v>河南省教育厅</v>
      </c>
      <c r="D1191" s="34" t="s">
        <v>692</v>
      </c>
      <c r="E1191" s="34" t="s">
        <v>1498</v>
      </c>
      <c r="F1191" s="36" t="str">
        <f>IFERROR(VLOOKUP(B1191,'985'!$B$2:$D$40,3,FALSE),"")</f>
        <v/>
      </c>
      <c r="G1191" s="32" t="str">
        <f>IFERROR(VLOOKUP(B1191,'211'!$B$2:$D$116,3,FALSE),"")</f>
        <v/>
      </c>
      <c r="H1191" s="32" t="str">
        <f>IFERROR(VLOOKUP(B1191,双一流!$B$2:$D$148,3,FALSE),"")</f>
        <v/>
      </c>
      <c r="I1191" s="32">
        <f>IFERROR(VLOOKUP(B1191,汇总!$B$2:$I$2921,8,FALSE),"")</f>
        <v>0</v>
      </c>
      <c r="J1191" s="34" t="s">
        <v>11</v>
      </c>
      <c r="K1191" s="35" t="s">
        <v>1252</v>
      </c>
    </row>
    <row r="1192" ht="33.75" spans="1:11">
      <c r="A1192" s="29">
        <v>1191</v>
      </c>
      <c r="B1192" s="29" t="s">
        <v>1499</v>
      </c>
      <c r="C1192" s="29" t="str">
        <f>VLOOKUP(B1192,教育部大学名单!$B$1:$D$2920,3,FALSE)</f>
        <v>湖北省教育厅</v>
      </c>
      <c r="D1192" s="29" t="s">
        <v>746</v>
      </c>
      <c r="E1192" s="29" t="s">
        <v>747</v>
      </c>
      <c r="F1192" s="36" t="str">
        <f>IFERROR(VLOOKUP(B1192,'985'!$B$2:$D$40,3,FALSE),"")</f>
        <v/>
      </c>
      <c r="G1192" s="32" t="str">
        <f>IFERROR(VLOOKUP(B1192,'211'!$B$2:$D$116,3,FALSE),"")</f>
        <v/>
      </c>
      <c r="H1192" s="32" t="str">
        <f>IFERROR(VLOOKUP(B1192,双一流!$B$2:$D$148,3,FALSE),"")</f>
        <v/>
      </c>
      <c r="I1192" s="32">
        <f>IFERROR(VLOOKUP(B1192,汇总!$B$2:$I$2921,8,FALSE),"")</f>
        <v>0</v>
      </c>
      <c r="J1192" s="29" t="s">
        <v>11</v>
      </c>
      <c r="K1192" s="33" t="s">
        <v>1252</v>
      </c>
    </row>
    <row r="1193" ht="33.75" spans="1:11">
      <c r="A1193" s="34">
        <v>1192</v>
      </c>
      <c r="B1193" s="34" t="s">
        <v>1500</v>
      </c>
      <c r="C1193" s="29" t="str">
        <f>VLOOKUP(B1193,教育部大学名单!$B$1:$D$2920,3,FALSE)</f>
        <v>湖北省教育厅</v>
      </c>
      <c r="D1193" s="34" t="s">
        <v>746</v>
      </c>
      <c r="E1193" s="34" t="s">
        <v>747</v>
      </c>
      <c r="F1193" s="36" t="str">
        <f>IFERROR(VLOOKUP(B1193,'985'!$B$2:$D$40,3,FALSE),"")</f>
        <v/>
      </c>
      <c r="G1193" s="32" t="str">
        <f>IFERROR(VLOOKUP(B1193,'211'!$B$2:$D$116,3,FALSE),"")</f>
        <v/>
      </c>
      <c r="H1193" s="32" t="str">
        <f>IFERROR(VLOOKUP(B1193,双一流!$B$2:$D$148,3,FALSE),"")</f>
        <v/>
      </c>
      <c r="I1193" s="32">
        <f>IFERROR(VLOOKUP(B1193,汇总!$B$2:$I$2921,8,FALSE),"")</f>
        <v>0</v>
      </c>
      <c r="J1193" s="34" t="s">
        <v>11</v>
      </c>
      <c r="K1193" s="35" t="s">
        <v>1252</v>
      </c>
    </row>
    <row r="1194" ht="33.75" spans="1:11">
      <c r="A1194" s="29">
        <v>1193</v>
      </c>
      <c r="B1194" s="29" t="s">
        <v>1501</v>
      </c>
      <c r="C1194" s="29" t="str">
        <f>VLOOKUP(B1194,教育部大学名单!$B$1:$D$2920,3,FALSE)</f>
        <v>湖北省教育厅</v>
      </c>
      <c r="D1194" s="29" t="s">
        <v>746</v>
      </c>
      <c r="E1194" s="29" t="s">
        <v>747</v>
      </c>
      <c r="F1194" s="36" t="str">
        <f>IFERROR(VLOOKUP(B1194,'985'!$B$2:$D$40,3,FALSE),"")</f>
        <v/>
      </c>
      <c r="G1194" s="32" t="str">
        <f>IFERROR(VLOOKUP(B1194,'211'!$B$2:$D$116,3,FALSE),"")</f>
        <v/>
      </c>
      <c r="H1194" s="32" t="str">
        <f>IFERROR(VLOOKUP(B1194,双一流!$B$2:$D$148,3,FALSE),"")</f>
        <v/>
      </c>
      <c r="I1194" s="32">
        <f>IFERROR(VLOOKUP(B1194,汇总!$B$2:$I$2921,8,FALSE),"")</f>
        <v>0</v>
      </c>
      <c r="J1194" s="29" t="s">
        <v>11</v>
      </c>
      <c r="K1194" s="33" t="s">
        <v>1252</v>
      </c>
    </row>
    <row r="1195" ht="33.75" spans="1:11">
      <c r="A1195" s="34">
        <v>1194</v>
      </c>
      <c r="B1195" s="34" t="s">
        <v>1502</v>
      </c>
      <c r="C1195" s="29" t="str">
        <f>VLOOKUP(B1195,教育部大学名单!$B$1:$D$2920,3,FALSE)</f>
        <v>湖北省教育厅</v>
      </c>
      <c r="D1195" s="34" t="s">
        <v>746</v>
      </c>
      <c r="E1195" s="34" t="s">
        <v>747</v>
      </c>
      <c r="F1195" s="36" t="str">
        <f>IFERROR(VLOOKUP(B1195,'985'!$B$2:$D$40,3,FALSE),"")</f>
        <v/>
      </c>
      <c r="G1195" s="32" t="str">
        <f>IFERROR(VLOOKUP(B1195,'211'!$B$2:$D$116,3,FALSE),"")</f>
        <v/>
      </c>
      <c r="H1195" s="32" t="str">
        <f>IFERROR(VLOOKUP(B1195,双一流!$B$2:$D$148,3,FALSE),"")</f>
        <v/>
      </c>
      <c r="I1195" s="32">
        <f>IFERROR(VLOOKUP(B1195,汇总!$B$2:$I$2921,8,FALSE),"")</f>
        <v>0</v>
      </c>
      <c r="J1195" s="34" t="s">
        <v>11</v>
      </c>
      <c r="K1195" s="35" t="s">
        <v>1252</v>
      </c>
    </row>
    <row r="1196" ht="33.75" spans="1:11">
      <c r="A1196" s="29">
        <v>1195</v>
      </c>
      <c r="B1196" s="29" t="s">
        <v>1503</v>
      </c>
      <c r="C1196" s="29" t="str">
        <f>VLOOKUP(B1196,教育部大学名单!$B$1:$D$2920,3,FALSE)</f>
        <v>湖北省教育厅</v>
      </c>
      <c r="D1196" s="29" t="s">
        <v>746</v>
      </c>
      <c r="E1196" s="29" t="s">
        <v>747</v>
      </c>
      <c r="F1196" s="36" t="str">
        <f>IFERROR(VLOOKUP(B1196,'985'!$B$2:$D$40,3,FALSE),"")</f>
        <v/>
      </c>
      <c r="G1196" s="32" t="str">
        <f>IFERROR(VLOOKUP(B1196,'211'!$B$2:$D$116,3,FALSE),"")</f>
        <v/>
      </c>
      <c r="H1196" s="32" t="str">
        <f>IFERROR(VLOOKUP(B1196,双一流!$B$2:$D$148,3,FALSE),"")</f>
        <v/>
      </c>
      <c r="I1196" s="32">
        <f>IFERROR(VLOOKUP(B1196,汇总!$B$2:$I$2921,8,FALSE),"")</f>
        <v>0</v>
      </c>
      <c r="J1196" s="29" t="s">
        <v>11</v>
      </c>
      <c r="K1196" s="33" t="s">
        <v>1252</v>
      </c>
    </row>
    <row r="1197" ht="33.75" spans="1:11">
      <c r="A1197" s="34">
        <v>1196</v>
      </c>
      <c r="B1197" s="34" t="s">
        <v>1504</v>
      </c>
      <c r="C1197" s="29" t="str">
        <f>VLOOKUP(B1197,教育部大学名单!$B$1:$D$2920,3,FALSE)</f>
        <v>湖北省教育厅</v>
      </c>
      <c r="D1197" s="34" t="s">
        <v>746</v>
      </c>
      <c r="E1197" s="34" t="s">
        <v>747</v>
      </c>
      <c r="F1197" s="36" t="str">
        <f>IFERROR(VLOOKUP(B1197,'985'!$B$2:$D$40,3,FALSE),"")</f>
        <v/>
      </c>
      <c r="G1197" s="32" t="str">
        <f>IFERROR(VLOOKUP(B1197,'211'!$B$2:$D$116,3,FALSE),"")</f>
        <v/>
      </c>
      <c r="H1197" s="32" t="str">
        <f>IFERROR(VLOOKUP(B1197,双一流!$B$2:$D$148,3,FALSE),"")</f>
        <v/>
      </c>
      <c r="I1197" s="32">
        <f>IFERROR(VLOOKUP(B1197,汇总!$B$2:$I$2921,8,FALSE),"")</f>
        <v>0</v>
      </c>
      <c r="J1197" s="34" t="s">
        <v>11</v>
      </c>
      <c r="K1197" s="35" t="s">
        <v>1252</v>
      </c>
    </row>
    <row r="1198" ht="33.75" spans="1:11">
      <c r="A1198" s="29">
        <v>1197</v>
      </c>
      <c r="B1198" s="29" t="s">
        <v>1505</v>
      </c>
      <c r="C1198" s="29" t="str">
        <f>VLOOKUP(B1198,教育部大学名单!$B$1:$D$2920,3,FALSE)</f>
        <v>湖北省教育厅</v>
      </c>
      <c r="D1198" s="29" t="s">
        <v>746</v>
      </c>
      <c r="E1198" s="29" t="s">
        <v>747</v>
      </c>
      <c r="F1198" s="36" t="str">
        <f>IFERROR(VLOOKUP(B1198,'985'!$B$2:$D$40,3,FALSE),"")</f>
        <v/>
      </c>
      <c r="G1198" s="32" t="str">
        <f>IFERROR(VLOOKUP(B1198,'211'!$B$2:$D$116,3,FALSE),"")</f>
        <v/>
      </c>
      <c r="H1198" s="32" t="str">
        <f>IFERROR(VLOOKUP(B1198,双一流!$B$2:$D$148,3,FALSE),"")</f>
        <v/>
      </c>
      <c r="I1198" s="32" t="str">
        <f>IFERROR(VLOOKUP(B1198,汇总!$B$2:$I$2921,8,FALSE),"")</f>
        <v>综合</v>
      </c>
      <c r="J1198" s="29" t="s">
        <v>11</v>
      </c>
      <c r="K1198" s="33" t="s">
        <v>1252</v>
      </c>
    </row>
    <row r="1199" ht="33.75" spans="1:11">
      <c r="A1199" s="34">
        <v>1198</v>
      </c>
      <c r="B1199" s="34" t="s">
        <v>1506</v>
      </c>
      <c r="C1199" s="29" t="str">
        <f>VLOOKUP(B1199,教育部大学名单!$B$1:$D$2920,3,FALSE)</f>
        <v>湖北省教育厅</v>
      </c>
      <c r="D1199" s="34" t="s">
        <v>746</v>
      </c>
      <c r="E1199" s="34" t="s">
        <v>747</v>
      </c>
      <c r="F1199" s="36" t="str">
        <f>IFERROR(VLOOKUP(B1199,'985'!$B$2:$D$40,3,FALSE),"")</f>
        <v/>
      </c>
      <c r="G1199" s="32" t="str">
        <f>IFERROR(VLOOKUP(B1199,'211'!$B$2:$D$116,3,FALSE),"")</f>
        <v/>
      </c>
      <c r="H1199" s="32" t="str">
        <f>IFERROR(VLOOKUP(B1199,双一流!$B$2:$D$148,3,FALSE),"")</f>
        <v/>
      </c>
      <c r="I1199" s="32">
        <f>IFERROR(VLOOKUP(B1199,汇总!$B$2:$I$2921,8,FALSE),"")</f>
        <v>0</v>
      </c>
      <c r="J1199" s="34" t="s">
        <v>11</v>
      </c>
      <c r="K1199" s="35" t="s">
        <v>1252</v>
      </c>
    </row>
    <row r="1200" ht="33.75" spans="1:11">
      <c r="A1200" s="29">
        <v>1199</v>
      </c>
      <c r="B1200" s="29" t="s">
        <v>1507</v>
      </c>
      <c r="C1200" s="29" t="str">
        <f>VLOOKUP(B1200,教育部大学名单!$B$1:$D$2920,3,FALSE)</f>
        <v>湖北省教育厅</v>
      </c>
      <c r="D1200" s="29" t="s">
        <v>746</v>
      </c>
      <c r="E1200" s="29" t="s">
        <v>785</v>
      </c>
      <c r="F1200" s="36" t="str">
        <f>IFERROR(VLOOKUP(B1200,'985'!$B$2:$D$40,3,FALSE),"")</f>
        <v/>
      </c>
      <c r="G1200" s="32" t="str">
        <f>IFERROR(VLOOKUP(B1200,'211'!$B$2:$D$116,3,FALSE),"")</f>
        <v/>
      </c>
      <c r="H1200" s="32" t="str">
        <f>IFERROR(VLOOKUP(B1200,双一流!$B$2:$D$148,3,FALSE),"")</f>
        <v/>
      </c>
      <c r="I1200" s="32" t="str">
        <f>IFERROR(VLOOKUP(B1200,汇总!$B$2:$I$2921,8,FALSE),"")</f>
        <v>综合</v>
      </c>
      <c r="J1200" s="29" t="s">
        <v>11</v>
      </c>
      <c r="K1200" s="33" t="s">
        <v>1252</v>
      </c>
    </row>
    <row r="1201" ht="33.75" spans="1:11">
      <c r="A1201" s="34">
        <v>1200</v>
      </c>
      <c r="B1201" s="34" t="s">
        <v>1508</v>
      </c>
      <c r="C1201" s="29" t="str">
        <f>VLOOKUP(B1201,教育部大学名单!$B$1:$D$2920,3,FALSE)</f>
        <v>湖北省教育厅</v>
      </c>
      <c r="D1201" s="34" t="s">
        <v>746</v>
      </c>
      <c r="E1201" s="34" t="s">
        <v>747</v>
      </c>
      <c r="F1201" s="36" t="str">
        <f>IFERROR(VLOOKUP(B1201,'985'!$B$2:$D$40,3,FALSE),"")</f>
        <v/>
      </c>
      <c r="G1201" s="32" t="str">
        <f>IFERROR(VLOOKUP(B1201,'211'!$B$2:$D$116,3,FALSE),"")</f>
        <v/>
      </c>
      <c r="H1201" s="32" t="str">
        <f>IFERROR(VLOOKUP(B1201,双一流!$B$2:$D$148,3,FALSE),"")</f>
        <v/>
      </c>
      <c r="I1201" s="32">
        <f>IFERROR(VLOOKUP(B1201,汇总!$B$2:$I$2921,8,FALSE),"")</f>
        <v>0</v>
      </c>
      <c r="J1201" s="34" t="s">
        <v>11</v>
      </c>
      <c r="K1201" s="35" t="s">
        <v>1252</v>
      </c>
    </row>
    <row r="1202" ht="50.25" spans="1:11">
      <c r="A1202" s="29">
        <v>1201</v>
      </c>
      <c r="B1202" s="29" t="s">
        <v>1509</v>
      </c>
      <c r="C1202" s="29" t="str">
        <f>VLOOKUP(B1202,教育部大学名单!$B$1:$D$2920,3,FALSE)</f>
        <v>湖北省教育厅</v>
      </c>
      <c r="D1202" s="29" t="s">
        <v>746</v>
      </c>
      <c r="E1202" s="29" t="s">
        <v>747</v>
      </c>
      <c r="F1202" s="36" t="str">
        <f>IFERROR(VLOOKUP(B1202,'985'!$B$2:$D$40,3,FALSE),"")</f>
        <v/>
      </c>
      <c r="G1202" s="32" t="str">
        <f>IFERROR(VLOOKUP(B1202,'211'!$B$2:$D$116,3,FALSE),"")</f>
        <v/>
      </c>
      <c r="H1202" s="32" t="str">
        <f>IFERROR(VLOOKUP(B1202,双一流!$B$2:$D$148,3,FALSE),"")</f>
        <v/>
      </c>
      <c r="I1202" s="32" t="str">
        <f>IFERROR(VLOOKUP(B1202,汇总!$B$2:$I$2921,8,FALSE),"")</f>
        <v>理工</v>
      </c>
      <c r="J1202" s="29" t="s">
        <v>11</v>
      </c>
      <c r="K1202" s="33" t="s">
        <v>1252</v>
      </c>
    </row>
    <row r="1203" ht="50.25" spans="1:11">
      <c r="A1203" s="34">
        <v>1202</v>
      </c>
      <c r="B1203" s="34" t="s">
        <v>1510</v>
      </c>
      <c r="C1203" s="29" t="str">
        <f>VLOOKUP(B1203,教育部大学名单!$B$1:$D$2920,3,FALSE)</f>
        <v>湖北省教育厅</v>
      </c>
      <c r="D1203" s="34" t="s">
        <v>746</v>
      </c>
      <c r="E1203" s="34" t="s">
        <v>747</v>
      </c>
      <c r="F1203" s="36" t="str">
        <f>IFERROR(VLOOKUP(B1203,'985'!$B$2:$D$40,3,FALSE),"")</f>
        <v/>
      </c>
      <c r="G1203" s="32" t="str">
        <f>IFERROR(VLOOKUP(B1203,'211'!$B$2:$D$116,3,FALSE),"")</f>
        <v/>
      </c>
      <c r="H1203" s="32" t="str">
        <f>IFERROR(VLOOKUP(B1203,双一流!$B$2:$D$148,3,FALSE),"")</f>
        <v/>
      </c>
      <c r="I1203" s="32" t="str">
        <f>IFERROR(VLOOKUP(B1203,汇总!$B$2:$I$2921,8,FALSE),"")</f>
        <v>理工</v>
      </c>
      <c r="J1203" s="34" t="s">
        <v>11</v>
      </c>
      <c r="K1203" s="35" t="s">
        <v>1252</v>
      </c>
    </row>
    <row r="1204" ht="50.25" spans="1:11">
      <c r="A1204" s="29">
        <v>1203</v>
      </c>
      <c r="B1204" s="29" t="s">
        <v>1511</v>
      </c>
      <c r="C1204" s="29" t="str">
        <f>VLOOKUP(B1204,教育部大学名单!$B$1:$D$2920,3,FALSE)</f>
        <v>湖北省教育厅</v>
      </c>
      <c r="D1204" s="29" t="s">
        <v>746</v>
      </c>
      <c r="E1204" s="29" t="s">
        <v>747</v>
      </c>
      <c r="F1204" s="36" t="str">
        <f>IFERROR(VLOOKUP(B1204,'985'!$B$2:$D$40,3,FALSE),"")</f>
        <v/>
      </c>
      <c r="G1204" s="32" t="str">
        <f>IFERROR(VLOOKUP(B1204,'211'!$B$2:$D$116,3,FALSE),"")</f>
        <v/>
      </c>
      <c r="H1204" s="32" t="str">
        <f>IFERROR(VLOOKUP(B1204,双一流!$B$2:$D$148,3,FALSE),"")</f>
        <v/>
      </c>
      <c r="I1204" s="32" t="str">
        <f>IFERROR(VLOOKUP(B1204,汇总!$B$2:$I$2921,8,FALSE),"")</f>
        <v>综合</v>
      </c>
      <c r="J1204" s="29" t="s">
        <v>11</v>
      </c>
      <c r="K1204" s="33" t="s">
        <v>1252</v>
      </c>
    </row>
    <row r="1205" ht="33.75" spans="1:11">
      <c r="A1205" s="34">
        <v>1204</v>
      </c>
      <c r="B1205" s="34" t="s">
        <v>1512</v>
      </c>
      <c r="C1205" s="29" t="str">
        <f>VLOOKUP(B1205,教育部大学名单!$B$1:$D$2920,3,FALSE)</f>
        <v>湖北省教育厅</v>
      </c>
      <c r="D1205" s="34" t="s">
        <v>746</v>
      </c>
      <c r="E1205" s="34" t="s">
        <v>747</v>
      </c>
      <c r="F1205" s="36" t="str">
        <f>IFERROR(VLOOKUP(B1205,'985'!$B$2:$D$40,3,FALSE),"")</f>
        <v/>
      </c>
      <c r="G1205" s="32" t="str">
        <f>IFERROR(VLOOKUP(B1205,'211'!$B$2:$D$116,3,FALSE),"")</f>
        <v/>
      </c>
      <c r="H1205" s="32" t="str">
        <f>IFERROR(VLOOKUP(B1205,双一流!$B$2:$D$148,3,FALSE),"")</f>
        <v/>
      </c>
      <c r="I1205" s="32">
        <f>IFERROR(VLOOKUP(B1205,汇总!$B$2:$I$2921,8,FALSE),"")</f>
        <v>0</v>
      </c>
      <c r="J1205" s="34" t="s">
        <v>11</v>
      </c>
      <c r="K1205" s="35" t="s">
        <v>1252</v>
      </c>
    </row>
    <row r="1206" ht="33.75" spans="1:11">
      <c r="A1206" s="29">
        <v>1205</v>
      </c>
      <c r="B1206" s="29" t="s">
        <v>1513</v>
      </c>
      <c r="C1206" s="29" t="str">
        <f>VLOOKUP(B1206,教育部大学名单!$B$1:$D$2920,3,FALSE)</f>
        <v>湖北省教育厅</v>
      </c>
      <c r="D1206" s="29" t="s">
        <v>746</v>
      </c>
      <c r="E1206" s="29" t="s">
        <v>747</v>
      </c>
      <c r="F1206" s="36" t="str">
        <f>IFERROR(VLOOKUP(B1206,'985'!$B$2:$D$40,3,FALSE),"")</f>
        <v/>
      </c>
      <c r="G1206" s="32" t="str">
        <f>IFERROR(VLOOKUP(B1206,'211'!$B$2:$D$116,3,FALSE),"")</f>
        <v/>
      </c>
      <c r="H1206" s="32" t="str">
        <f>IFERROR(VLOOKUP(B1206,双一流!$B$2:$D$148,3,FALSE),"")</f>
        <v/>
      </c>
      <c r="I1206" s="32">
        <f>IFERROR(VLOOKUP(B1206,汇总!$B$2:$I$2921,8,FALSE),"")</f>
        <v>0</v>
      </c>
      <c r="J1206" s="29" t="s">
        <v>11</v>
      </c>
      <c r="K1206" s="33" t="s">
        <v>1252</v>
      </c>
    </row>
    <row r="1207" ht="33.75" spans="1:11">
      <c r="A1207" s="34">
        <v>1206</v>
      </c>
      <c r="B1207" s="34" t="s">
        <v>1514</v>
      </c>
      <c r="C1207" s="29" t="str">
        <f>VLOOKUP(B1207,教育部大学名单!$B$1:$D$2920,3,FALSE)</f>
        <v>湖北省教育厅</v>
      </c>
      <c r="D1207" s="34" t="s">
        <v>746</v>
      </c>
      <c r="E1207" s="34" t="s">
        <v>751</v>
      </c>
      <c r="F1207" s="36" t="str">
        <f>IFERROR(VLOOKUP(B1207,'985'!$B$2:$D$40,3,FALSE),"")</f>
        <v/>
      </c>
      <c r="G1207" s="32" t="str">
        <f>IFERROR(VLOOKUP(B1207,'211'!$B$2:$D$116,3,FALSE),"")</f>
        <v/>
      </c>
      <c r="H1207" s="32" t="str">
        <f>IFERROR(VLOOKUP(B1207,双一流!$B$2:$D$148,3,FALSE),"")</f>
        <v/>
      </c>
      <c r="I1207" s="32">
        <f>IFERROR(VLOOKUP(B1207,汇总!$B$2:$I$2921,8,FALSE),"")</f>
        <v>0</v>
      </c>
      <c r="J1207" s="34" t="s">
        <v>11</v>
      </c>
      <c r="K1207" s="35" t="s">
        <v>1252</v>
      </c>
    </row>
    <row r="1208" ht="33.75" spans="1:11">
      <c r="A1208" s="29">
        <v>1207</v>
      </c>
      <c r="B1208" s="29" t="s">
        <v>1515</v>
      </c>
      <c r="C1208" s="29" t="str">
        <f>VLOOKUP(B1208,教育部大学名单!$B$1:$D$2920,3,FALSE)</f>
        <v>湖北省教育厅</v>
      </c>
      <c r="D1208" s="29" t="s">
        <v>746</v>
      </c>
      <c r="E1208" s="29" t="s">
        <v>751</v>
      </c>
      <c r="F1208" s="36" t="str">
        <f>IFERROR(VLOOKUP(B1208,'985'!$B$2:$D$40,3,FALSE),"")</f>
        <v/>
      </c>
      <c r="G1208" s="32" t="str">
        <f>IFERROR(VLOOKUP(B1208,'211'!$B$2:$D$116,3,FALSE),"")</f>
        <v/>
      </c>
      <c r="H1208" s="32" t="str">
        <f>IFERROR(VLOOKUP(B1208,双一流!$B$2:$D$148,3,FALSE),"")</f>
        <v/>
      </c>
      <c r="I1208" s="32" t="str">
        <f>IFERROR(VLOOKUP(B1208,汇总!$B$2:$I$2921,8,FALSE),"")</f>
        <v>综合</v>
      </c>
      <c r="J1208" s="29" t="s">
        <v>11</v>
      </c>
      <c r="K1208" s="33" t="s">
        <v>1252</v>
      </c>
    </row>
    <row r="1209" ht="33.75" spans="1:11">
      <c r="A1209" s="34">
        <v>1208</v>
      </c>
      <c r="B1209" s="34" t="s">
        <v>1516</v>
      </c>
      <c r="C1209" s="29" t="str">
        <f>VLOOKUP(B1209,教育部大学名单!$B$1:$D$2920,3,FALSE)</f>
        <v>湖北省教育厅</v>
      </c>
      <c r="D1209" s="34" t="s">
        <v>746</v>
      </c>
      <c r="E1209" s="34" t="s">
        <v>747</v>
      </c>
      <c r="F1209" s="36" t="str">
        <f>IFERROR(VLOOKUP(B1209,'985'!$B$2:$D$40,3,FALSE),"")</f>
        <v/>
      </c>
      <c r="G1209" s="32" t="str">
        <f>IFERROR(VLOOKUP(B1209,'211'!$B$2:$D$116,3,FALSE),"")</f>
        <v/>
      </c>
      <c r="H1209" s="32" t="str">
        <f>IFERROR(VLOOKUP(B1209,双一流!$B$2:$D$148,3,FALSE),"")</f>
        <v/>
      </c>
      <c r="I1209" s="32">
        <f>IFERROR(VLOOKUP(B1209,汇总!$B$2:$I$2921,8,FALSE),"")</f>
        <v>0</v>
      </c>
      <c r="J1209" s="34" t="s">
        <v>11</v>
      </c>
      <c r="K1209" s="35" t="s">
        <v>1252</v>
      </c>
    </row>
    <row r="1210" ht="50.25" spans="1:11">
      <c r="A1210" s="29">
        <v>1209</v>
      </c>
      <c r="B1210" s="29" t="s">
        <v>1517</v>
      </c>
      <c r="C1210" s="29" t="str">
        <f>VLOOKUP(B1210,教育部大学名单!$B$1:$D$2920,3,FALSE)</f>
        <v>湖北省教育厅</v>
      </c>
      <c r="D1210" s="29" t="s">
        <v>746</v>
      </c>
      <c r="E1210" s="29" t="s">
        <v>769</v>
      </c>
      <c r="F1210" s="36" t="str">
        <f>IFERROR(VLOOKUP(B1210,'985'!$B$2:$D$40,3,FALSE),"")</f>
        <v/>
      </c>
      <c r="G1210" s="32" t="str">
        <f>IFERROR(VLOOKUP(B1210,'211'!$B$2:$D$116,3,FALSE),"")</f>
        <v/>
      </c>
      <c r="H1210" s="32" t="str">
        <f>IFERROR(VLOOKUP(B1210,双一流!$B$2:$D$148,3,FALSE),"")</f>
        <v/>
      </c>
      <c r="I1210" s="32">
        <f>IFERROR(VLOOKUP(B1210,汇总!$B$2:$I$2921,8,FALSE),"")</f>
        <v>0</v>
      </c>
      <c r="J1210" s="29" t="s">
        <v>11</v>
      </c>
      <c r="K1210" s="33" t="s">
        <v>1252</v>
      </c>
    </row>
    <row r="1211" ht="33.75" spans="1:11">
      <c r="A1211" s="34">
        <v>1210</v>
      </c>
      <c r="B1211" s="34" t="s">
        <v>1518</v>
      </c>
      <c r="C1211" s="29" t="str">
        <f>VLOOKUP(B1211,教育部大学名单!$B$1:$D$2920,3,FALSE)</f>
        <v>湖北省教育厅</v>
      </c>
      <c r="D1211" s="34" t="s">
        <v>746</v>
      </c>
      <c r="E1211" s="34" t="s">
        <v>769</v>
      </c>
      <c r="F1211" s="36" t="str">
        <f>IFERROR(VLOOKUP(B1211,'985'!$B$2:$D$40,3,FALSE),"")</f>
        <v/>
      </c>
      <c r="G1211" s="32" t="str">
        <f>IFERROR(VLOOKUP(B1211,'211'!$B$2:$D$116,3,FALSE),"")</f>
        <v/>
      </c>
      <c r="H1211" s="32" t="str">
        <f>IFERROR(VLOOKUP(B1211,双一流!$B$2:$D$148,3,FALSE),"")</f>
        <v/>
      </c>
      <c r="I1211" s="32" t="str">
        <f>IFERROR(VLOOKUP(B1211,汇总!$B$2:$I$2921,8,FALSE),"")</f>
        <v>医药</v>
      </c>
      <c r="J1211" s="34" t="s">
        <v>11</v>
      </c>
      <c r="K1211" s="35" t="s">
        <v>1252</v>
      </c>
    </row>
    <row r="1212" ht="33.75" spans="1:11">
      <c r="A1212" s="29">
        <v>1211</v>
      </c>
      <c r="B1212" s="29" t="s">
        <v>1519</v>
      </c>
      <c r="C1212" s="29" t="str">
        <f>VLOOKUP(B1212,教育部大学名单!$B$1:$D$2920,3,FALSE)</f>
        <v>湖北省教育厅</v>
      </c>
      <c r="D1212" s="29" t="s">
        <v>746</v>
      </c>
      <c r="E1212" s="29" t="s">
        <v>767</v>
      </c>
      <c r="F1212" s="36" t="str">
        <f>IFERROR(VLOOKUP(B1212,'985'!$B$2:$D$40,3,FALSE),"")</f>
        <v/>
      </c>
      <c r="G1212" s="32" t="str">
        <f>IFERROR(VLOOKUP(B1212,'211'!$B$2:$D$116,3,FALSE),"")</f>
        <v/>
      </c>
      <c r="H1212" s="32" t="str">
        <f>IFERROR(VLOOKUP(B1212,双一流!$B$2:$D$148,3,FALSE),"")</f>
        <v/>
      </c>
      <c r="I1212" s="32">
        <f>IFERROR(VLOOKUP(B1212,汇总!$B$2:$I$2921,8,FALSE),"")</f>
        <v>0</v>
      </c>
      <c r="J1212" s="29" t="s">
        <v>11</v>
      </c>
      <c r="K1212" s="33" t="s">
        <v>1252</v>
      </c>
    </row>
    <row r="1213" ht="33.75" spans="1:11">
      <c r="A1213" s="34">
        <v>1212</v>
      </c>
      <c r="B1213" s="34" t="s">
        <v>1520</v>
      </c>
      <c r="C1213" s="29" t="str">
        <f>VLOOKUP(B1213,教育部大学名单!$B$1:$D$2920,3,FALSE)</f>
        <v>湖北省教育厅</v>
      </c>
      <c r="D1213" s="34" t="s">
        <v>746</v>
      </c>
      <c r="E1213" s="34" t="s">
        <v>747</v>
      </c>
      <c r="F1213" s="36" t="str">
        <f>IFERROR(VLOOKUP(B1213,'985'!$B$2:$D$40,3,FALSE),"")</f>
        <v/>
      </c>
      <c r="G1213" s="32" t="str">
        <f>IFERROR(VLOOKUP(B1213,'211'!$B$2:$D$116,3,FALSE),"")</f>
        <v/>
      </c>
      <c r="H1213" s="32" t="str">
        <f>IFERROR(VLOOKUP(B1213,双一流!$B$2:$D$148,3,FALSE),"")</f>
        <v/>
      </c>
      <c r="I1213" s="32" t="str">
        <f>IFERROR(VLOOKUP(B1213,汇总!$B$2:$I$2921,8,FALSE),"")</f>
        <v>财经</v>
      </c>
      <c r="J1213" s="34" t="s">
        <v>11</v>
      </c>
      <c r="K1213" s="35" t="s">
        <v>1252</v>
      </c>
    </row>
    <row r="1214" ht="50.25" spans="1:11">
      <c r="A1214" s="29">
        <v>1213</v>
      </c>
      <c r="B1214" s="29" t="s">
        <v>1521</v>
      </c>
      <c r="C1214" s="29" t="str">
        <f>VLOOKUP(B1214,教育部大学名单!$B$1:$D$2920,3,FALSE)</f>
        <v>湖北省教育厅</v>
      </c>
      <c r="D1214" s="29" t="s">
        <v>746</v>
      </c>
      <c r="E1214" s="29" t="s">
        <v>747</v>
      </c>
      <c r="F1214" s="36" t="str">
        <f>IFERROR(VLOOKUP(B1214,'985'!$B$2:$D$40,3,FALSE),"")</f>
        <v/>
      </c>
      <c r="G1214" s="32" t="str">
        <f>IFERROR(VLOOKUP(B1214,'211'!$B$2:$D$116,3,FALSE),"")</f>
        <v/>
      </c>
      <c r="H1214" s="32" t="str">
        <f>IFERROR(VLOOKUP(B1214,双一流!$B$2:$D$148,3,FALSE),"")</f>
        <v/>
      </c>
      <c r="I1214" s="32" t="str">
        <f>IFERROR(VLOOKUP(B1214,汇总!$B$2:$I$2921,8,FALSE),"")</f>
        <v>体育</v>
      </c>
      <c r="J1214" s="29" t="s">
        <v>11</v>
      </c>
      <c r="K1214" s="33" t="s">
        <v>1252</v>
      </c>
    </row>
    <row r="1215" ht="33.75" spans="1:11">
      <c r="A1215" s="34">
        <v>1214</v>
      </c>
      <c r="B1215" s="34" t="s">
        <v>1522</v>
      </c>
      <c r="C1215" s="29" t="str">
        <f>VLOOKUP(B1215,教育部大学名单!$B$1:$D$2920,3,FALSE)</f>
        <v>湖北省教育厅</v>
      </c>
      <c r="D1215" s="34" t="s">
        <v>746</v>
      </c>
      <c r="E1215" s="34" t="s">
        <v>763</v>
      </c>
      <c r="F1215" s="36" t="str">
        <f>IFERROR(VLOOKUP(B1215,'985'!$B$2:$D$40,3,FALSE),"")</f>
        <v/>
      </c>
      <c r="G1215" s="32" t="str">
        <f>IFERROR(VLOOKUP(B1215,'211'!$B$2:$D$116,3,FALSE),"")</f>
        <v/>
      </c>
      <c r="H1215" s="32" t="str">
        <f>IFERROR(VLOOKUP(B1215,双一流!$B$2:$D$148,3,FALSE),"")</f>
        <v/>
      </c>
      <c r="I1215" s="32" t="str">
        <f>IFERROR(VLOOKUP(B1215,汇总!$B$2:$I$2921,8,FALSE),"")</f>
        <v>师范</v>
      </c>
      <c r="J1215" s="34" t="s">
        <v>11</v>
      </c>
      <c r="K1215" s="35" t="s">
        <v>1252</v>
      </c>
    </row>
    <row r="1216" ht="33.75" spans="1:11">
      <c r="A1216" s="29">
        <v>1215</v>
      </c>
      <c r="B1216" s="29" t="s">
        <v>1523</v>
      </c>
      <c r="C1216" s="29" t="str">
        <f>VLOOKUP(B1216,教育部大学名单!$B$1:$D$2920,3,FALSE)</f>
        <v>湖北省教育厅</v>
      </c>
      <c r="D1216" s="29" t="s">
        <v>746</v>
      </c>
      <c r="E1216" s="29" t="s">
        <v>771</v>
      </c>
      <c r="F1216" s="36" t="str">
        <f>IFERROR(VLOOKUP(B1216,'985'!$B$2:$D$40,3,FALSE),"")</f>
        <v/>
      </c>
      <c r="G1216" s="32" t="str">
        <f>IFERROR(VLOOKUP(B1216,'211'!$B$2:$D$116,3,FALSE),"")</f>
        <v/>
      </c>
      <c r="H1216" s="32" t="str">
        <f>IFERROR(VLOOKUP(B1216,双一流!$B$2:$D$148,3,FALSE),"")</f>
        <v/>
      </c>
      <c r="I1216" s="32" t="str">
        <f>IFERROR(VLOOKUP(B1216,汇总!$B$2:$I$2921,8,FALSE),"")</f>
        <v>理工</v>
      </c>
      <c r="J1216" s="29" t="s">
        <v>11</v>
      </c>
      <c r="K1216" s="33" t="s">
        <v>1252</v>
      </c>
    </row>
    <row r="1217" ht="50.25" spans="1:11">
      <c r="A1217" s="34">
        <v>1216</v>
      </c>
      <c r="B1217" s="34" t="s">
        <v>1524</v>
      </c>
      <c r="C1217" s="29" t="str">
        <f>VLOOKUP(B1217,教育部大学名单!$B$1:$D$2920,3,FALSE)</f>
        <v>湖北省教育厅</v>
      </c>
      <c r="D1217" s="34" t="s">
        <v>746</v>
      </c>
      <c r="E1217" s="34" t="s">
        <v>778</v>
      </c>
      <c r="F1217" s="36" t="str">
        <f>IFERROR(VLOOKUP(B1217,'985'!$B$2:$D$40,3,FALSE),"")</f>
        <v/>
      </c>
      <c r="G1217" s="32" t="str">
        <f>IFERROR(VLOOKUP(B1217,'211'!$B$2:$D$116,3,FALSE),"")</f>
        <v/>
      </c>
      <c r="H1217" s="32" t="str">
        <f>IFERROR(VLOOKUP(B1217,双一流!$B$2:$D$148,3,FALSE),"")</f>
        <v/>
      </c>
      <c r="I1217" s="32" t="str">
        <f>IFERROR(VLOOKUP(B1217,汇总!$B$2:$I$2921,8,FALSE),"")</f>
        <v>综合</v>
      </c>
      <c r="J1217" s="34" t="s">
        <v>11</v>
      </c>
      <c r="K1217" s="35" t="s">
        <v>1252</v>
      </c>
    </row>
    <row r="1218" ht="33.75" spans="1:11">
      <c r="A1218" s="29">
        <v>1217</v>
      </c>
      <c r="B1218" s="29" t="s">
        <v>1525</v>
      </c>
      <c r="C1218" s="29" t="str">
        <f>VLOOKUP(B1218,教育部大学名单!$B$1:$D$2920,3,FALSE)</f>
        <v>湖北省教育厅</v>
      </c>
      <c r="D1218" s="29" t="s">
        <v>746</v>
      </c>
      <c r="E1218" s="29" t="s">
        <v>747</v>
      </c>
      <c r="F1218" s="36" t="str">
        <f>IFERROR(VLOOKUP(B1218,'985'!$B$2:$D$40,3,FALSE),"")</f>
        <v/>
      </c>
      <c r="G1218" s="32" t="str">
        <f>IFERROR(VLOOKUP(B1218,'211'!$B$2:$D$116,3,FALSE),"")</f>
        <v/>
      </c>
      <c r="H1218" s="32" t="str">
        <f>IFERROR(VLOOKUP(B1218,双一流!$B$2:$D$148,3,FALSE),"")</f>
        <v/>
      </c>
      <c r="I1218" s="32">
        <f>IFERROR(VLOOKUP(B1218,汇总!$B$2:$I$2921,8,FALSE),"")</f>
        <v>0</v>
      </c>
      <c r="J1218" s="29" t="s">
        <v>11</v>
      </c>
      <c r="K1218" s="33" t="s">
        <v>1252</v>
      </c>
    </row>
    <row r="1219" ht="33.75" spans="1:11">
      <c r="A1219" s="34">
        <v>1218</v>
      </c>
      <c r="B1219" s="34" t="s">
        <v>1526</v>
      </c>
      <c r="C1219" s="29" t="str">
        <f>VLOOKUP(B1219,教育部大学名单!$B$1:$D$2920,3,FALSE)</f>
        <v>湖北省教育厅</v>
      </c>
      <c r="D1219" s="34" t="s">
        <v>746</v>
      </c>
      <c r="E1219" s="34" t="s">
        <v>747</v>
      </c>
      <c r="F1219" s="36" t="str">
        <f>IFERROR(VLOOKUP(B1219,'985'!$B$2:$D$40,3,FALSE),"")</f>
        <v/>
      </c>
      <c r="G1219" s="32" t="str">
        <f>IFERROR(VLOOKUP(B1219,'211'!$B$2:$D$116,3,FALSE),"")</f>
        <v/>
      </c>
      <c r="H1219" s="32" t="str">
        <f>IFERROR(VLOOKUP(B1219,双一流!$B$2:$D$148,3,FALSE),"")</f>
        <v/>
      </c>
      <c r="I1219" s="32">
        <f>IFERROR(VLOOKUP(B1219,汇总!$B$2:$I$2921,8,FALSE),"")</f>
        <v>0</v>
      </c>
      <c r="J1219" s="34" t="s">
        <v>11</v>
      </c>
      <c r="K1219" s="35" t="s">
        <v>1252</v>
      </c>
    </row>
    <row r="1220" ht="33.75" spans="1:11">
      <c r="A1220" s="29">
        <v>1219</v>
      </c>
      <c r="B1220" s="29" t="s">
        <v>1527</v>
      </c>
      <c r="C1220" s="29" t="str">
        <f>VLOOKUP(B1220,教育部大学名单!$B$1:$D$2920,3,FALSE)</f>
        <v>湖北省教育厅</v>
      </c>
      <c r="D1220" s="29" t="s">
        <v>746</v>
      </c>
      <c r="E1220" s="29" t="s">
        <v>747</v>
      </c>
      <c r="F1220" s="36" t="str">
        <f>IFERROR(VLOOKUP(B1220,'985'!$B$2:$D$40,3,FALSE),"")</f>
        <v/>
      </c>
      <c r="G1220" s="32" t="str">
        <f>IFERROR(VLOOKUP(B1220,'211'!$B$2:$D$116,3,FALSE),"")</f>
        <v/>
      </c>
      <c r="H1220" s="32" t="str">
        <f>IFERROR(VLOOKUP(B1220,双一流!$B$2:$D$148,3,FALSE),"")</f>
        <v/>
      </c>
      <c r="I1220" s="32">
        <f>IFERROR(VLOOKUP(B1220,汇总!$B$2:$I$2921,8,FALSE),"")</f>
        <v>0</v>
      </c>
      <c r="J1220" s="29" t="s">
        <v>11</v>
      </c>
      <c r="K1220" s="33" t="s">
        <v>1252</v>
      </c>
    </row>
    <row r="1221" ht="33.75" spans="1:11">
      <c r="A1221" s="34">
        <v>1220</v>
      </c>
      <c r="B1221" s="34" t="s">
        <v>1528</v>
      </c>
      <c r="C1221" s="29" t="str">
        <f>VLOOKUP(B1221,教育部大学名单!$B$1:$D$2920,3,FALSE)</f>
        <v>湖北省教育厅</v>
      </c>
      <c r="D1221" s="34" t="s">
        <v>746</v>
      </c>
      <c r="E1221" s="34" t="s">
        <v>747</v>
      </c>
      <c r="F1221" s="36" t="str">
        <f>IFERROR(VLOOKUP(B1221,'985'!$B$2:$D$40,3,FALSE),"")</f>
        <v/>
      </c>
      <c r="G1221" s="32" t="str">
        <f>IFERROR(VLOOKUP(B1221,'211'!$B$2:$D$116,3,FALSE),"")</f>
        <v/>
      </c>
      <c r="H1221" s="32" t="str">
        <f>IFERROR(VLOOKUP(B1221,双一流!$B$2:$D$148,3,FALSE),"")</f>
        <v/>
      </c>
      <c r="I1221" s="32">
        <f>IFERROR(VLOOKUP(B1221,汇总!$B$2:$I$2921,8,FALSE),"")</f>
        <v>0</v>
      </c>
      <c r="J1221" s="34" t="s">
        <v>11</v>
      </c>
      <c r="K1221" s="35" t="s">
        <v>1252</v>
      </c>
    </row>
    <row r="1222" ht="33.75" spans="1:11">
      <c r="A1222" s="29">
        <v>1221</v>
      </c>
      <c r="B1222" s="29" t="s">
        <v>1529</v>
      </c>
      <c r="C1222" s="29" t="str">
        <f>VLOOKUP(B1222,教育部大学名单!$B$1:$D$2920,3,FALSE)</f>
        <v>湖北省教育厅</v>
      </c>
      <c r="D1222" s="29" t="s">
        <v>746</v>
      </c>
      <c r="E1222" s="29" t="s">
        <v>747</v>
      </c>
      <c r="F1222" s="36" t="str">
        <f>IFERROR(VLOOKUP(B1222,'985'!$B$2:$D$40,3,FALSE),"")</f>
        <v/>
      </c>
      <c r="G1222" s="32" t="str">
        <f>IFERROR(VLOOKUP(B1222,'211'!$B$2:$D$116,3,FALSE),"")</f>
        <v/>
      </c>
      <c r="H1222" s="32" t="str">
        <f>IFERROR(VLOOKUP(B1222,双一流!$B$2:$D$148,3,FALSE),"")</f>
        <v/>
      </c>
      <c r="I1222" s="32">
        <f>IFERROR(VLOOKUP(B1222,汇总!$B$2:$I$2921,8,FALSE),"")</f>
        <v>0</v>
      </c>
      <c r="J1222" s="29" t="s">
        <v>11</v>
      </c>
      <c r="K1222" s="33" t="s">
        <v>1252</v>
      </c>
    </row>
    <row r="1223" ht="33.75" spans="1:11">
      <c r="A1223" s="34">
        <v>1222</v>
      </c>
      <c r="B1223" s="34" t="s">
        <v>1530</v>
      </c>
      <c r="C1223" s="29" t="str">
        <f>VLOOKUP(B1223,教育部大学名单!$B$1:$D$2920,3,FALSE)</f>
        <v>湖北省教育厅</v>
      </c>
      <c r="D1223" s="34" t="s">
        <v>746</v>
      </c>
      <c r="E1223" s="34" t="s">
        <v>747</v>
      </c>
      <c r="F1223" s="36" t="str">
        <f>IFERROR(VLOOKUP(B1223,'985'!$B$2:$D$40,3,FALSE),"")</f>
        <v/>
      </c>
      <c r="G1223" s="32" t="str">
        <f>IFERROR(VLOOKUP(B1223,'211'!$B$2:$D$116,3,FALSE),"")</f>
        <v/>
      </c>
      <c r="H1223" s="32" t="str">
        <f>IFERROR(VLOOKUP(B1223,双一流!$B$2:$D$148,3,FALSE),"")</f>
        <v/>
      </c>
      <c r="I1223" s="32">
        <f>IFERROR(VLOOKUP(B1223,汇总!$B$2:$I$2921,8,FALSE),"")</f>
        <v>0</v>
      </c>
      <c r="J1223" s="34" t="s">
        <v>11</v>
      </c>
      <c r="K1223" s="35" t="s">
        <v>1252</v>
      </c>
    </row>
    <row r="1224" ht="33.75" spans="1:11">
      <c r="A1224" s="29">
        <v>1223</v>
      </c>
      <c r="B1224" s="29" t="s">
        <v>1531</v>
      </c>
      <c r="C1224" s="29" t="str">
        <f>VLOOKUP(B1224,教育部大学名单!$B$1:$D$2920,3,FALSE)</f>
        <v>湖南省教育厅</v>
      </c>
      <c r="D1224" s="29" t="s">
        <v>797</v>
      </c>
      <c r="E1224" s="29" t="s">
        <v>802</v>
      </c>
      <c r="F1224" s="36" t="str">
        <f>IFERROR(VLOOKUP(B1224,'985'!$B$2:$D$40,3,FALSE),"")</f>
        <v/>
      </c>
      <c r="G1224" s="32" t="str">
        <f>IFERROR(VLOOKUP(B1224,'211'!$B$2:$D$116,3,FALSE),"")</f>
        <v/>
      </c>
      <c r="H1224" s="32" t="str">
        <f>IFERROR(VLOOKUP(B1224,双一流!$B$2:$D$148,3,FALSE),"")</f>
        <v/>
      </c>
      <c r="I1224" s="32">
        <f>IFERROR(VLOOKUP(B1224,汇总!$B$2:$I$2921,8,FALSE),"")</f>
        <v>0</v>
      </c>
      <c r="J1224" s="29" t="s">
        <v>11</v>
      </c>
      <c r="K1224" s="33" t="s">
        <v>1252</v>
      </c>
    </row>
    <row r="1225" ht="33.75" spans="1:11">
      <c r="A1225" s="34">
        <v>1224</v>
      </c>
      <c r="B1225" s="34" t="s">
        <v>1532</v>
      </c>
      <c r="C1225" s="29" t="str">
        <f>VLOOKUP(B1225,教育部大学名单!$B$1:$D$2920,3,FALSE)</f>
        <v>湖南省教育厅</v>
      </c>
      <c r="D1225" s="34" t="s">
        <v>797</v>
      </c>
      <c r="E1225" s="34" t="s">
        <v>802</v>
      </c>
      <c r="F1225" s="36" t="str">
        <f>IFERROR(VLOOKUP(B1225,'985'!$B$2:$D$40,3,FALSE),"")</f>
        <v/>
      </c>
      <c r="G1225" s="32" t="str">
        <f>IFERROR(VLOOKUP(B1225,'211'!$B$2:$D$116,3,FALSE),"")</f>
        <v/>
      </c>
      <c r="H1225" s="32" t="str">
        <f>IFERROR(VLOOKUP(B1225,双一流!$B$2:$D$148,3,FALSE),"")</f>
        <v/>
      </c>
      <c r="I1225" s="32">
        <f>IFERROR(VLOOKUP(B1225,汇总!$B$2:$I$2921,8,FALSE),"")</f>
        <v>0</v>
      </c>
      <c r="J1225" s="34" t="s">
        <v>11</v>
      </c>
      <c r="K1225" s="35" t="s">
        <v>1252</v>
      </c>
    </row>
    <row r="1226" ht="33.75" spans="1:11">
      <c r="A1226" s="29">
        <v>1225</v>
      </c>
      <c r="B1226" s="29" t="s">
        <v>1533</v>
      </c>
      <c r="C1226" s="29" t="str">
        <f>VLOOKUP(B1226,教育部大学名单!$B$1:$D$2920,3,FALSE)</f>
        <v>湖南省教育厅</v>
      </c>
      <c r="D1226" s="29" t="s">
        <v>797</v>
      </c>
      <c r="E1226" s="29" t="s">
        <v>798</v>
      </c>
      <c r="F1226" s="36" t="str">
        <f>IFERROR(VLOOKUP(B1226,'985'!$B$2:$D$40,3,FALSE),"")</f>
        <v/>
      </c>
      <c r="G1226" s="32" t="str">
        <f>IFERROR(VLOOKUP(B1226,'211'!$B$2:$D$116,3,FALSE),"")</f>
        <v/>
      </c>
      <c r="H1226" s="32" t="str">
        <f>IFERROR(VLOOKUP(B1226,双一流!$B$2:$D$148,3,FALSE),"")</f>
        <v/>
      </c>
      <c r="I1226" s="32" t="str">
        <f>IFERROR(VLOOKUP(B1226,汇总!$B$2:$I$2921,8,FALSE),"")</f>
        <v>综合</v>
      </c>
      <c r="J1226" s="29" t="s">
        <v>11</v>
      </c>
      <c r="K1226" s="33" t="s">
        <v>1252</v>
      </c>
    </row>
    <row r="1227" ht="33.75" spans="1:11">
      <c r="A1227" s="34">
        <v>1226</v>
      </c>
      <c r="B1227" s="34" t="s">
        <v>1534</v>
      </c>
      <c r="C1227" s="29" t="str">
        <f>VLOOKUP(B1227,教育部大学名单!$B$1:$D$2920,3,FALSE)</f>
        <v>湖南省教育厅</v>
      </c>
      <c r="D1227" s="34" t="s">
        <v>797</v>
      </c>
      <c r="E1227" s="34" t="s">
        <v>836</v>
      </c>
      <c r="F1227" s="36" t="str">
        <f>IFERROR(VLOOKUP(B1227,'985'!$B$2:$D$40,3,FALSE),"")</f>
        <v/>
      </c>
      <c r="G1227" s="32" t="str">
        <f>IFERROR(VLOOKUP(B1227,'211'!$B$2:$D$116,3,FALSE),"")</f>
        <v/>
      </c>
      <c r="H1227" s="32" t="str">
        <f>IFERROR(VLOOKUP(B1227,双一流!$B$2:$D$148,3,FALSE),"")</f>
        <v/>
      </c>
      <c r="I1227" s="32" t="str">
        <f>IFERROR(VLOOKUP(B1227,汇总!$B$2:$I$2921,8,FALSE),"")</f>
        <v>综合</v>
      </c>
      <c r="J1227" s="34" t="s">
        <v>11</v>
      </c>
      <c r="K1227" s="35" t="s">
        <v>1252</v>
      </c>
    </row>
    <row r="1228" ht="33.75" spans="1:11">
      <c r="A1228" s="29">
        <v>1227</v>
      </c>
      <c r="B1228" s="29" t="s">
        <v>1535</v>
      </c>
      <c r="C1228" s="29" t="str">
        <f>VLOOKUP(B1228,教育部大学名单!$B$1:$D$2920,3,FALSE)</f>
        <v>湖南省教育厅</v>
      </c>
      <c r="D1228" s="29" t="s">
        <v>797</v>
      </c>
      <c r="E1228" s="29" t="s">
        <v>798</v>
      </c>
      <c r="F1228" s="36" t="str">
        <f>IFERROR(VLOOKUP(B1228,'985'!$B$2:$D$40,3,FALSE),"")</f>
        <v/>
      </c>
      <c r="G1228" s="32" t="str">
        <f>IFERROR(VLOOKUP(B1228,'211'!$B$2:$D$116,3,FALSE),"")</f>
        <v/>
      </c>
      <c r="H1228" s="32" t="str">
        <f>IFERROR(VLOOKUP(B1228,双一流!$B$2:$D$148,3,FALSE),"")</f>
        <v/>
      </c>
      <c r="I1228" s="32" t="str">
        <f>IFERROR(VLOOKUP(B1228,汇总!$B$2:$I$2921,8,FALSE),"")</f>
        <v>综合</v>
      </c>
      <c r="J1228" s="29" t="s">
        <v>11</v>
      </c>
      <c r="K1228" s="33" t="s">
        <v>1252</v>
      </c>
    </row>
    <row r="1229" ht="33.75" spans="1:11">
      <c r="A1229" s="34">
        <v>1228</v>
      </c>
      <c r="B1229" s="34" t="s">
        <v>1536</v>
      </c>
      <c r="C1229" s="29" t="str">
        <f>VLOOKUP(B1229,教育部大学名单!$B$1:$D$2920,3,FALSE)</f>
        <v>湖南省教育厅</v>
      </c>
      <c r="D1229" s="34" t="s">
        <v>797</v>
      </c>
      <c r="E1229" s="34" t="s">
        <v>815</v>
      </c>
      <c r="F1229" s="36" t="str">
        <f>IFERROR(VLOOKUP(B1229,'985'!$B$2:$D$40,3,FALSE),"")</f>
        <v/>
      </c>
      <c r="G1229" s="32" t="str">
        <f>IFERROR(VLOOKUP(B1229,'211'!$B$2:$D$116,3,FALSE),"")</f>
        <v/>
      </c>
      <c r="H1229" s="32" t="str">
        <f>IFERROR(VLOOKUP(B1229,双一流!$B$2:$D$148,3,FALSE),"")</f>
        <v/>
      </c>
      <c r="I1229" s="32" t="str">
        <f>IFERROR(VLOOKUP(B1229,汇总!$B$2:$I$2921,8,FALSE),"")</f>
        <v>综合</v>
      </c>
      <c r="J1229" s="34" t="s">
        <v>11</v>
      </c>
      <c r="K1229" s="35" t="s">
        <v>1252</v>
      </c>
    </row>
    <row r="1230" ht="33.75" spans="1:11">
      <c r="A1230" s="29">
        <v>1229</v>
      </c>
      <c r="B1230" s="29" t="s">
        <v>1537</v>
      </c>
      <c r="C1230" s="29" t="str">
        <f>VLOOKUP(B1230,教育部大学名单!$B$1:$D$2920,3,FALSE)</f>
        <v>湖南省教育厅</v>
      </c>
      <c r="D1230" s="29" t="s">
        <v>797</v>
      </c>
      <c r="E1230" s="29" t="s">
        <v>798</v>
      </c>
      <c r="F1230" s="36" t="str">
        <f>IFERROR(VLOOKUP(B1230,'985'!$B$2:$D$40,3,FALSE),"")</f>
        <v/>
      </c>
      <c r="G1230" s="32" t="str">
        <f>IFERROR(VLOOKUP(B1230,'211'!$B$2:$D$116,3,FALSE),"")</f>
        <v/>
      </c>
      <c r="H1230" s="32" t="str">
        <f>IFERROR(VLOOKUP(B1230,双一流!$B$2:$D$148,3,FALSE),"")</f>
        <v/>
      </c>
      <c r="I1230" s="32">
        <f>IFERROR(VLOOKUP(B1230,汇总!$B$2:$I$2921,8,FALSE),"")</f>
        <v>0</v>
      </c>
      <c r="J1230" s="29" t="s">
        <v>11</v>
      </c>
      <c r="K1230" s="33" t="s">
        <v>1252</v>
      </c>
    </row>
    <row r="1231" ht="50.25" spans="1:11">
      <c r="A1231" s="34">
        <v>1230</v>
      </c>
      <c r="B1231" s="34" t="s">
        <v>1538</v>
      </c>
      <c r="C1231" s="29" t="str">
        <f>VLOOKUP(B1231,教育部大学名单!$B$1:$D$2920,3,FALSE)</f>
        <v>湖南省教育厅</v>
      </c>
      <c r="D1231" s="34" t="s">
        <v>797</v>
      </c>
      <c r="E1231" s="34" t="s">
        <v>802</v>
      </c>
      <c r="F1231" s="36" t="str">
        <f>IFERROR(VLOOKUP(B1231,'985'!$B$2:$D$40,3,FALSE),"")</f>
        <v/>
      </c>
      <c r="G1231" s="32" t="str">
        <f>IFERROR(VLOOKUP(B1231,'211'!$B$2:$D$116,3,FALSE),"")</f>
        <v/>
      </c>
      <c r="H1231" s="32" t="str">
        <f>IFERROR(VLOOKUP(B1231,双一流!$B$2:$D$148,3,FALSE),"")</f>
        <v/>
      </c>
      <c r="I1231" s="32" t="str">
        <f>IFERROR(VLOOKUP(B1231,汇总!$B$2:$I$2921,8,FALSE),"")</f>
        <v>综合</v>
      </c>
      <c r="J1231" s="34" t="s">
        <v>11</v>
      </c>
      <c r="K1231" s="35" t="s">
        <v>1252</v>
      </c>
    </row>
    <row r="1232" ht="50.25" spans="1:11">
      <c r="A1232" s="29">
        <v>1231</v>
      </c>
      <c r="B1232" s="29" t="s">
        <v>1539</v>
      </c>
      <c r="C1232" s="29" t="str">
        <f>VLOOKUP(B1232,教育部大学名单!$B$1:$D$2920,3,FALSE)</f>
        <v>湖南省教育厅</v>
      </c>
      <c r="D1232" s="29" t="s">
        <v>797</v>
      </c>
      <c r="E1232" s="29" t="s">
        <v>802</v>
      </c>
      <c r="F1232" s="36" t="str">
        <f>IFERROR(VLOOKUP(B1232,'985'!$B$2:$D$40,3,FALSE),"")</f>
        <v/>
      </c>
      <c r="G1232" s="32" t="str">
        <f>IFERROR(VLOOKUP(B1232,'211'!$B$2:$D$116,3,FALSE),"")</f>
        <v/>
      </c>
      <c r="H1232" s="32" t="str">
        <f>IFERROR(VLOOKUP(B1232,双一流!$B$2:$D$148,3,FALSE),"")</f>
        <v/>
      </c>
      <c r="I1232" s="32" t="str">
        <f>IFERROR(VLOOKUP(B1232,汇总!$B$2:$I$2921,8,FALSE),"")</f>
        <v>综合</v>
      </c>
      <c r="J1232" s="29" t="s">
        <v>11</v>
      </c>
      <c r="K1232" s="33" t="s">
        <v>1252</v>
      </c>
    </row>
    <row r="1233" ht="33.75" spans="1:11">
      <c r="A1233" s="34">
        <v>1232</v>
      </c>
      <c r="B1233" s="34" t="s">
        <v>1540</v>
      </c>
      <c r="C1233" s="29" t="str">
        <f>VLOOKUP(B1233,教育部大学名单!$B$1:$D$2920,3,FALSE)</f>
        <v>湖南省教育厅</v>
      </c>
      <c r="D1233" s="34" t="s">
        <v>797</v>
      </c>
      <c r="E1233" s="34" t="s">
        <v>821</v>
      </c>
      <c r="F1233" s="36" t="str">
        <f>IFERROR(VLOOKUP(B1233,'985'!$B$2:$D$40,3,FALSE),"")</f>
        <v/>
      </c>
      <c r="G1233" s="32" t="str">
        <f>IFERROR(VLOOKUP(B1233,'211'!$B$2:$D$116,3,FALSE),"")</f>
        <v/>
      </c>
      <c r="H1233" s="32" t="str">
        <f>IFERROR(VLOOKUP(B1233,双一流!$B$2:$D$148,3,FALSE),"")</f>
        <v/>
      </c>
      <c r="I1233" s="32" t="str">
        <f>IFERROR(VLOOKUP(B1233,汇总!$B$2:$I$2921,8,FALSE),"")</f>
        <v/>
      </c>
      <c r="J1233" s="34" t="s">
        <v>11</v>
      </c>
      <c r="K1233" s="35" t="s">
        <v>1252</v>
      </c>
    </row>
    <row r="1234" ht="33.75" spans="1:11">
      <c r="A1234" s="29">
        <v>1233</v>
      </c>
      <c r="B1234" s="29" t="s">
        <v>1541</v>
      </c>
      <c r="C1234" s="29" t="str">
        <f>VLOOKUP(B1234,教育部大学名单!$B$1:$D$2920,3,FALSE)</f>
        <v>湖南省教育厅</v>
      </c>
      <c r="D1234" s="29" t="s">
        <v>797</v>
      </c>
      <c r="E1234" s="29" t="s">
        <v>811</v>
      </c>
      <c r="F1234" s="36" t="str">
        <f>IFERROR(VLOOKUP(B1234,'985'!$B$2:$D$40,3,FALSE),"")</f>
        <v/>
      </c>
      <c r="G1234" s="32" t="str">
        <f>IFERROR(VLOOKUP(B1234,'211'!$B$2:$D$116,3,FALSE),"")</f>
        <v/>
      </c>
      <c r="H1234" s="32" t="str">
        <f>IFERROR(VLOOKUP(B1234,双一流!$B$2:$D$148,3,FALSE),"")</f>
        <v/>
      </c>
      <c r="I1234" s="32" t="str">
        <f>IFERROR(VLOOKUP(B1234,汇总!$B$2:$I$2921,8,FALSE),"")</f>
        <v/>
      </c>
      <c r="J1234" s="29" t="s">
        <v>11</v>
      </c>
      <c r="K1234" s="33" t="s">
        <v>1252</v>
      </c>
    </row>
    <row r="1235" ht="33.75" spans="1:11">
      <c r="A1235" s="34">
        <v>1234</v>
      </c>
      <c r="B1235" s="34" t="s">
        <v>1542</v>
      </c>
      <c r="C1235" s="29" t="str">
        <f>VLOOKUP(B1235,教育部大学名单!$B$1:$D$2920,3,FALSE)</f>
        <v>湖南省教育厅</v>
      </c>
      <c r="D1235" s="34" t="s">
        <v>797</v>
      </c>
      <c r="E1235" s="34" t="s">
        <v>815</v>
      </c>
      <c r="F1235" s="36" t="str">
        <f>IFERROR(VLOOKUP(B1235,'985'!$B$2:$D$40,3,FALSE),"")</f>
        <v/>
      </c>
      <c r="G1235" s="32" t="str">
        <f>IFERROR(VLOOKUP(B1235,'211'!$B$2:$D$116,3,FALSE),"")</f>
        <v/>
      </c>
      <c r="H1235" s="32" t="str">
        <f>IFERROR(VLOOKUP(B1235,双一流!$B$2:$D$148,3,FALSE),"")</f>
        <v/>
      </c>
      <c r="I1235" s="32" t="str">
        <f>IFERROR(VLOOKUP(B1235,汇总!$B$2:$I$2921,8,FALSE),"")</f>
        <v>综合</v>
      </c>
      <c r="J1235" s="34" t="s">
        <v>11</v>
      </c>
      <c r="K1235" s="35" t="s">
        <v>1252</v>
      </c>
    </row>
    <row r="1236" ht="50.25" spans="1:11">
      <c r="A1236" s="29">
        <v>1235</v>
      </c>
      <c r="B1236" s="29" t="s">
        <v>1543</v>
      </c>
      <c r="C1236" s="29" t="str">
        <f>VLOOKUP(B1236,教育部大学名单!$B$1:$D$2920,3,FALSE)</f>
        <v>湖南省教育厅</v>
      </c>
      <c r="D1236" s="29" t="s">
        <v>797</v>
      </c>
      <c r="E1236" s="29" t="s">
        <v>798</v>
      </c>
      <c r="F1236" s="36" t="str">
        <f>IFERROR(VLOOKUP(B1236,'985'!$B$2:$D$40,3,FALSE),"")</f>
        <v/>
      </c>
      <c r="G1236" s="32" t="str">
        <f>IFERROR(VLOOKUP(B1236,'211'!$B$2:$D$116,3,FALSE),"")</f>
        <v/>
      </c>
      <c r="H1236" s="32" t="str">
        <f>IFERROR(VLOOKUP(B1236,双一流!$B$2:$D$148,3,FALSE),"")</f>
        <v/>
      </c>
      <c r="I1236" s="32" t="str">
        <f>IFERROR(VLOOKUP(B1236,汇总!$B$2:$I$2921,8,FALSE),"")</f>
        <v>理工</v>
      </c>
      <c r="J1236" s="29" t="s">
        <v>11</v>
      </c>
      <c r="K1236" s="33" t="s">
        <v>1252</v>
      </c>
    </row>
    <row r="1237" ht="50.25" spans="1:11">
      <c r="A1237" s="34">
        <v>1236</v>
      </c>
      <c r="B1237" s="34" t="s">
        <v>1544</v>
      </c>
      <c r="C1237" s="29" t="str">
        <f>VLOOKUP(B1237,教育部大学名单!$B$1:$D$2920,3,FALSE)</f>
        <v>湖南省教育厅</v>
      </c>
      <c r="D1237" s="34" t="s">
        <v>797</v>
      </c>
      <c r="E1237" s="34" t="s">
        <v>802</v>
      </c>
      <c r="F1237" s="36" t="str">
        <f>IFERROR(VLOOKUP(B1237,'985'!$B$2:$D$40,3,FALSE),"")</f>
        <v/>
      </c>
      <c r="G1237" s="32" t="str">
        <f>IFERROR(VLOOKUP(B1237,'211'!$B$2:$D$116,3,FALSE),"")</f>
        <v/>
      </c>
      <c r="H1237" s="32" t="str">
        <f>IFERROR(VLOOKUP(B1237,双一流!$B$2:$D$148,3,FALSE),"")</f>
        <v/>
      </c>
      <c r="I1237" s="32" t="str">
        <f>IFERROR(VLOOKUP(B1237,汇总!$B$2:$I$2921,8,FALSE),"")</f>
        <v>医药</v>
      </c>
      <c r="J1237" s="34" t="s">
        <v>11</v>
      </c>
      <c r="K1237" s="35" t="s">
        <v>1252</v>
      </c>
    </row>
    <row r="1238" ht="33.75" spans="1:11">
      <c r="A1238" s="29">
        <v>1237</v>
      </c>
      <c r="B1238" s="29" t="s">
        <v>1545</v>
      </c>
      <c r="C1238" s="29" t="str">
        <f>VLOOKUP(B1238,教育部大学名单!$B$1:$D$2920,3,FALSE)</f>
        <v>湖南省教育厅</v>
      </c>
      <c r="D1238" s="29" t="s">
        <v>797</v>
      </c>
      <c r="E1238" s="29" t="s">
        <v>1546</v>
      </c>
      <c r="F1238" s="36" t="str">
        <f>IFERROR(VLOOKUP(B1238,'985'!$B$2:$D$40,3,FALSE),"")</f>
        <v/>
      </c>
      <c r="G1238" s="32" t="str">
        <f>IFERROR(VLOOKUP(B1238,'211'!$B$2:$D$116,3,FALSE),"")</f>
        <v/>
      </c>
      <c r="H1238" s="32" t="str">
        <f>IFERROR(VLOOKUP(B1238,双一流!$B$2:$D$148,3,FALSE),"")</f>
        <v/>
      </c>
      <c r="I1238" s="32">
        <f>IFERROR(VLOOKUP(B1238,汇总!$B$2:$I$2921,8,FALSE),"")</f>
        <v>0</v>
      </c>
      <c r="J1238" s="29" t="s">
        <v>11</v>
      </c>
      <c r="K1238" s="33" t="s">
        <v>1252</v>
      </c>
    </row>
    <row r="1239" ht="33.75" spans="1:11">
      <c r="A1239" s="34">
        <v>1238</v>
      </c>
      <c r="B1239" s="34" t="s">
        <v>1547</v>
      </c>
      <c r="C1239" s="29" t="str">
        <f>VLOOKUP(B1239,教育部大学名单!$B$1:$D$2920,3,FALSE)</f>
        <v>湖南省教育厅</v>
      </c>
      <c r="D1239" s="34" t="s">
        <v>797</v>
      </c>
      <c r="E1239" s="34" t="s">
        <v>802</v>
      </c>
      <c r="F1239" s="36" t="str">
        <f>IFERROR(VLOOKUP(B1239,'985'!$B$2:$D$40,3,FALSE),"")</f>
        <v/>
      </c>
      <c r="G1239" s="32" t="str">
        <f>IFERROR(VLOOKUP(B1239,'211'!$B$2:$D$116,3,FALSE),"")</f>
        <v/>
      </c>
      <c r="H1239" s="32" t="str">
        <f>IFERROR(VLOOKUP(B1239,双一流!$B$2:$D$148,3,FALSE),"")</f>
        <v/>
      </c>
      <c r="I1239" s="32">
        <f>IFERROR(VLOOKUP(B1239,汇总!$B$2:$I$2921,8,FALSE),"")</f>
        <v>0</v>
      </c>
      <c r="J1239" s="34" t="s">
        <v>11</v>
      </c>
      <c r="K1239" s="35" t="s">
        <v>1252</v>
      </c>
    </row>
    <row r="1240" ht="33.75" spans="1:11">
      <c r="A1240" s="29">
        <v>1239</v>
      </c>
      <c r="B1240" s="29" t="s">
        <v>1548</v>
      </c>
      <c r="C1240" s="29" t="str">
        <f>VLOOKUP(B1240,教育部大学名单!$B$1:$D$2920,3,FALSE)</f>
        <v>湖南省教育厅</v>
      </c>
      <c r="D1240" s="29" t="s">
        <v>797</v>
      </c>
      <c r="E1240" s="29" t="s">
        <v>821</v>
      </c>
      <c r="F1240" s="36" t="str">
        <f>IFERROR(VLOOKUP(B1240,'985'!$B$2:$D$40,3,FALSE),"")</f>
        <v/>
      </c>
      <c r="G1240" s="32" t="str">
        <f>IFERROR(VLOOKUP(B1240,'211'!$B$2:$D$116,3,FALSE),"")</f>
        <v/>
      </c>
      <c r="H1240" s="32" t="str">
        <f>IFERROR(VLOOKUP(B1240,双一流!$B$2:$D$148,3,FALSE),"")</f>
        <v/>
      </c>
      <c r="I1240" s="32">
        <f>IFERROR(VLOOKUP(B1240,汇总!$B$2:$I$2921,8,FALSE),"")</f>
        <v>0</v>
      </c>
      <c r="J1240" s="29" t="s">
        <v>11</v>
      </c>
      <c r="K1240" s="33" t="s">
        <v>1252</v>
      </c>
    </row>
    <row r="1241" ht="33.75" spans="1:11">
      <c r="A1241" s="34">
        <v>1240</v>
      </c>
      <c r="B1241" s="34" t="s">
        <v>1549</v>
      </c>
      <c r="C1241" s="29" t="str">
        <f>VLOOKUP(B1241,教育部大学名单!$B$1:$D$2920,3,FALSE)</f>
        <v>湖南省教育厅</v>
      </c>
      <c r="D1241" s="34" t="s">
        <v>797</v>
      </c>
      <c r="E1241" s="34" t="s">
        <v>802</v>
      </c>
      <c r="F1241" s="36" t="str">
        <f>IFERROR(VLOOKUP(B1241,'985'!$B$2:$D$40,3,FALSE),"")</f>
        <v/>
      </c>
      <c r="G1241" s="32" t="str">
        <f>IFERROR(VLOOKUP(B1241,'211'!$B$2:$D$116,3,FALSE),"")</f>
        <v/>
      </c>
      <c r="H1241" s="32" t="str">
        <f>IFERROR(VLOOKUP(B1241,双一流!$B$2:$D$148,3,FALSE),"")</f>
        <v/>
      </c>
      <c r="I1241" s="32">
        <f>IFERROR(VLOOKUP(B1241,汇总!$B$2:$I$2921,8,FALSE),"")</f>
        <v>0</v>
      </c>
      <c r="J1241" s="34" t="s">
        <v>11</v>
      </c>
      <c r="K1241" s="35" t="s">
        <v>1252</v>
      </c>
    </row>
    <row r="1242" ht="33.75" spans="1:11">
      <c r="A1242" s="29">
        <v>1241</v>
      </c>
      <c r="B1242" s="29" t="s">
        <v>1550</v>
      </c>
      <c r="C1242" s="29" t="str">
        <f>VLOOKUP(B1242,教育部大学名单!$B$1:$D$2920,3,FALSE)</f>
        <v>湖南省教育厅</v>
      </c>
      <c r="D1242" s="29" t="s">
        <v>797</v>
      </c>
      <c r="E1242" s="29" t="s">
        <v>815</v>
      </c>
      <c r="F1242" s="36" t="str">
        <f>IFERROR(VLOOKUP(B1242,'985'!$B$2:$D$40,3,FALSE),"")</f>
        <v/>
      </c>
      <c r="G1242" s="32" t="str">
        <f>IFERROR(VLOOKUP(B1242,'211'!$B$2:$D$116,3,FALSE),"")</f>
        <v/>
      </c>
      <c r="H1242" s="32" t="str">
        <f>IFERROR(VLOOKUP(B1242,双一流!$B$2:$D$148,3,FALSE),"")</f>
        <v/>
      </c>
      <c r="I1242" s="32">
        <f>IFERROR(VLOOKUP(B1242,汇总!$B$2:$I$2921,8,FALSE),"")</f>
        <v>0</v>
      </c>
      <c r="J1242" s="29" t="s">
        <v>11</v>
      </c>
      <c r="K1242" s="33" t="s">
        <v>1252</v>
      </c>
    </row>
    <row r="1243" ht="33.75" spans="1:11">
      <c r="A1243" s="34">
        <v>1242</v>
      </c>
      <c r="B1243" s="34" t="s">
        <v>1551</v>
      </c>
      <c r="C1243" s="29" t="str">
        <f>VLOOKUP(B1243,教育部大学名单!$B$1:$D$2920,3,FALSE)</f>
        <v>湖南省教育厅</v>
      </c>
      <c r="D1243" s="34" t="s">
        <v>797</v>
      </c>
      <c r="E1243" s="34" t="s">
        <v>798</v>
      </c>
      <c r="F1243" s="36" t="str">
        <f>IFERROR(VLOOKUP(B1243,'985'!$B$2:$D$40,3,FALSE),"")</f>
        <v/>
      </c>
      <c r="G1243" s="32" t="str">
        <f>IFERROR(VLOOKUP(B1243,'211'!$B$2:$D$116,3,FALSE),"")</f>
        <v/>
      </c>
      <c r="H1243" s="32" t="str">
        <f>IFERROR(VLOOKUP(B1243,双一流!$B$2:$D$148,3,FALSE),"")</f>
        <v/>
      </c>
      <c r="I1243" s="32">
        <f>IFERROR(VLOOKUP(B1243,汇总!$B$2:$I$2921,8,FALSE),"")</f>
        <v>0</v>
      </c>
      <c r="J1243" s="34" t="s">
        <v>11</v>
      </c>
      <c r="K1243" s="35" t="s">
        <v>1252</v>
      </c>
    </row>
    <row r="1244" ht="33.75" spans="1:11">
      <c r="A1244" s="29">
        <v>1243</v>
      </c>
      <c r="B1244" s="29" t="s">
        <v>1552</v>
      </c>
      <c r="C1244" s="29" t="str">
        <f>VLOOKUP(B1244,教育部大学名单!$B$1:$D$2920,3,FALSE)</f>
        <v>广东省教育厅</v>
      </c>
      <c r="D1244" s="29" t="s">
        <v>844</v>
      </c>
      <c r="E1244" s="29" t="s">
        <v>845</v>
      </c>
      <c r="F1244" s="36" t="str">
        <f>IFERROR(VLOOKUP(B1244,'985'!$B$2:$D$40,3,FALSE),"")</f>
        <v/>
      </c>
      <c r="G1244" s="32" t="str">
        <f>IFERROR(VLOOKUP(B1244,'211'!$B$2:$D$116,3,FALSE),"")</f>
        <v/>
      </c>
      <c r="H1244" s="32" t="str">
        <f>IFERROR(VLOOKUP(B1244,双一流!$B$2:$D$148,3,FALSE),"")</f>
        <v/>
      </c>
      <c r="I1244" s="32">
        <f>IFERROR(VLOOKUP(B1244,汇总!$B$2:$I$2921,8,FALSE),"")</f>
        <v>0</v>
      </c>
      <c r="J1244" s="29" t="s">
        <v>11</v>
      </c>
      <c r="K1244" s="33" t="s">
        <v>1252</v>
      </c>
    </row>
    <row r="1245" ht="33.75" spans="1:11">
      <c r="A1245" s="34">
        <v>1244</v>
      </c>
      <c r="B1245" s="34" t="s">
        <v>1553</v>
      </c>
      <c r="C1245" s="29" t="str">
        <f>VLOOKUP(B1245,教育部大学名单!$B$1:$D$2920,3,FALSE)</f>
        <v>广东省教育厅</v>
      </c>
      <c r="D1245" s="34" t="s">
        <v>844</v>
      </c>
      <c r="E1245" s="34" t="s">
        <v>1554</v>
      </c>
      <c r="F1245" s="36" t="str">
        <f>IFERROR(VLOOKUP(B1245,'985'!$B$2:$D$40,3,FALSE),"")</f>
        <v/>
      </c>
      <c r="G1245" s="32" t="str">
        <f>IFERROR(VLOOKUP(B1245,'211'!$B$2:$D$116,3,FALSE),"")</f>
        <v/>
      </c>
      <c r="H1245" s="32" t="str">
        <f>IFERROR(VLOOKUP(B1245,双一流!$B$2:$D$148,3,FALSE),"")</f>
        <v/>
      </c>
      <c r="I1245" s="32">
        <f>IFERROR(VLOOKUP(B1245,汇总!$B$2:$I$2921,8,FALSE),"")</f>
        <v>0</v>
      </c>
      <c r="J1245" s="34" t="s">
        <v>11</v>
      </c>
      <c r="K1245" s="35" t="s">
        <v>1252</v>
      </c>
    </row>
    <row r="1246" ht="33.75" spans="1:11">
      <c r="A1246" s="29">
        <v>1245</v>
      </c>
      <c r="B1246" s="29" t="s">
        <v>1555</v>
      </c>
      <c r="C1246" s="29" t="str">
        <f>VLOOKUP(B1246,教育部大学名单!$B$1:$D$2920,3,FALSE)</f>
        <v>广东省教育厅</v>
      </c>
      <c r="D1246" s="29" t="s">
        <v>844</v>
      </c>
      <c r="E1246" s="29" t="s">
        <v>845</v>
      </c>
      <c r="F1246" s="36" t="str">
        <f>IFERROR(VLOOKUP(B1246,'985'!$B$2:$D$40,3,FALSE),"")</f>
        <v/>
      </c>
      <c r="G1246" s="32" t="str">
        <f>IFERROR(VLOOKUP(B1246,'211'!$B$2:$D$116,3,FALSE),"")</f>
        <v/>
      </c>
      <c r="H1246" s="32" t="str">
        <f>IFERROR(VLOOKUP(B1246,双一流!$B$2:$D$148,3,FALSE),"")</f>
        <v/>
      </c>
      <c r="I1246" s="32">
        <f>IFERROR(VLOOKUP(B1246,汇总!$B$2:$I$2921,8,FALSE),"")</f>
        <v>0</v>
      </c>
      <c r="J1246" s="29" t="s">
        <v>11</v>
      </c>
      <c r="K1246" s="33" t="s">
        <v>1252</v>
      </c>
    </row>
    <row r="1247" ht="33.75" spans="1:11">
      <c r="A1247" s="34">
        <v>1246</v>
      </c>
      <c r="B1247" s="34" t="s">
        <v>1556</v>
      </c>
      <c r="C1247" s="29" t="str">
        <f>VLOOKUP(B1247,教育部大学名单!$B$1:$D$2920,3,FALSE)</f>
        <v>广东省教育厅</v>
      </c>
      <c r="D1247" s="34" t="s">
        <v>844</v>
      </c>
      <c r="E1247" s="34" t="s">
        <v>890</v>
      </c>
      <c r="F1247" s="36" t="str">
        <f>IFERROR(VLOOKUP(B1247,'985'!$B$2:$D$40,3,FALSE),"")</f>
        <v/>
      </c>
      <c r="G1247" s="32" t="str">
        <f>IFERROR(VLOOKUP(B1247,'211'!$B$2:$D$116,3,FALSE),"")</f>
        <v/>
      </c>
      <c r="H1247" s="32" t="str">
        <f>IFERROR(VLOOKUP(B1247,双一流!$B$2:$D$148,3,FALSE),"")</f>
        <v/>
      </c>
      <c r="I1247" s="32">
        <f>IFERROR(VLOOKUP(B1247,汇总!$B$2:$I$2921,8,FALSE),"")</f>
        <v>0</v>
      </c>
      <c r="J1247" s="34" t="s">
        <v>11</v>
      </c>
      <c r="K1247" s="35" t="s">
        <v>1252</v>
      </c>
    </row>
    <row r="1248" ht="33.75" spans="1:11">
      <c r="A1248" s="29">
        <v>1247</v>
      </c>
      <c r="B1248" s="29" t="s">
        <v>1557</v>
      </c>
      <c r="C1248" s="29" t="str">
        <f>VLOOKUP(B1248,教育部大学名单!$B$1:$D$2920,3,FALSE)</f>
        <v>广东省教育厅</v>
      </c>
      <c r="D1248" s="29" t="s">
        <v>844</v>
      </c>
      <c r="E1248" s="29" t="s">
        <v>845</v>
      </c>
      <c r="F1248" s="36" t="str">
        <f>IFERROR(VLOOKUP(B1248,'985'!$B$2:$D$40,3,FALSE),"")</f>
        <v/>
      </c>
      <c r="G1248" s="32" t="str">
        <f>IFERROR(VLOOKUP(B1248,'211'!$B$2:$D$116,3,FALSE),"")</f>
        <v/>
      </c>
      <c r="H1248" s="32" t="str">
        <f>IFERROR(VLOOKUP(B1248,双一流!$B$2:$D$148,3,FALSE),"")</f>
        <v/>
      </c>
      <c r="I1248" s="32">
        <f>IFERROR(VLOOKUP(B1248,汇总!$B$2:$I$2921,8,FALSE),"")</f>
        <v>0</v>
      </c>
      <c r="J1248" s="29" t="s">
        <v>11</v>
      </c>
      <c r="K1248" s="33" t="s">
        <v>1252</v>
      </c>
    </row>
    <row r="1249" ht="33.75" spans="1:11">
      <c r="A1249" s="34">
        <v>1248</v>
      </c>
      <c r="B1249" s="34" t="s">
        <v>1558</v>
      </c>
      <c r="C1249" s="29" t="str">
        <f>VLOOKUP(B1249,教育部大学名单!$B$1:$D$2920,3,FALSE)</f>
        <v>广东省教育厅</v>
      </c>
      <c r="D1249" s="34" t="s">
        <v>844</v>
      </c>
      <c r="E1249" s="34" t="s">
        <v>845</v>
      </c>
      <c r="F1249" s="36" t="str">
        <f>IFERROR(VLOOKUP(B1249,'985'!$B$2:$D$40,3,FALSE),"")</f>
        <v/>
      </c>
      <c r="G1249" s="32" t="str">
        <f>IFERROR(VLOOKUP(B1249,'211'!$B$2:$D$116,3,FALSE),"")</f>
        <v/>
      </c>
      <c r="H1249" s="32" t="str">
        <f>IFERROR(VLOOKUP(B1249,双一流!$B$2:$D$148,3,FALSE),"")</f>
        <v/>
      </c>
      <c r="I1249" s="32">
        <f>IFERROR(VLOOKUP(B1249,汇总!$B$2:$I$2921,8,FALSE),"")</f>
        <v>0</v>
      </c>
      <c r="J1249" s="34" t="s">
        <v>11</v>
      </c>
      <c r="K1249" s="35" t="s">
        <v>1252</v>
      </c>
    </row>
    <row r="1250" ht="33.75" spans="1:11">
      <c r="A1250" s="29">
        <v>1249</v>
      </c>
      <c r="B1250" s="29" t="s">
        <v>1559</v>
      </c>
      <c r="C1250" s="29" t="str">
        <f>VLOOKUP(B1250,教育部大学名单!$B$1:$D$2920,3,FALSE)</f>
        <v>广东省教育厅</v>
      </c>
      <c r="D1250" s="29" t="s">
        <v>844</v>
      </c>
      <c r="E1250" s="29" t="s">
        <v>845</v>
      </c>
      <c r="F1250" s="36" t="str">
        <f>IFERROR(VLOOKUP(B1250,'985'!$B$2:$D$40,3,FALSE),"")</f>
        <v/>
      </c>
      <c r="G1250" s="32" t="str">
        <f>IFERROR(VLOOKUP(B1250,'211'!$B$2:$D$116,3,FALSE),"")</f>
        <v/>
      </c>
      <c r="H1250" s="32" t="str">
        <f>IFERROR(VLOOKUP(B1250,双一流!$B$2:$D$148,3,FALSE),"")</f>
        <v/>
      </c>
      <c r="I1250" s="32">
        <f>IFERROR(VLOOKUP(B1250,汇总!$B$2:$I$2921,8,FALSE),"")</f>
        <v>0</v>
      </c>
      <c r="J1250" s="29" t="s">
        <v>11</v>
      </c>
      <c r="K1250" s="33" t="s">
        <v>1252</v>
      </c>
    </row>
    <row r="1251" ht="50.25" spans="1:11">
      <c r="A1251" s="34">
        <v>1250</v>
      </c>
      <c r="B1251" s="34" t="s">
        <v>1560</v>
      </c>
      <c r="C1251" s="29" t="str">
        <f>VLOOKUP(B1251,教育部大学名单!$B$1:$D$2920,3,FALSE)</f>
        <v>广东省教育厅</v>
      </c>
      <c r="D1251" s="34" t="s">
        <v>844</v>
      </c>
      <c r="E1251" s="34" t="s">
        <v>845</v>
      </c>
      <c r="F1251" s="36" t="str">
        <f>IFERROR(VLOOKUP(B1251,'985'!$B$2:$D$40,3,FALSE),"")</f>
        <v/>
      </c>
      <c r="G1251" s="32" t="str">
        <f>IFERROR(VLOOKUP(B1251,'211'!$B$2:$D$116,3,FALSE),"")</f>
        <v/>
      </c>
      <c r="H1251" s="32" t="str">
        <f>IFERROR(VLOOKUP(B1251,双一流!$B$2:$D$148,3,FALSE),"")</f>
        <v/>
      </c>
      <c r="I1251" s="32" t="str">
        <f>IFERROR(VLOOKUP(B1251,汇总!$B$2:$I$2921,8,FALSE),"")</f>
        <v>综合</v>
      </c>
      <c r="J1251" s="34" t="s">
        <v>11</v>
      </c>
      <c r="K1251" s="35" t="s">
        <v>1252</v>
      </c>
    </row>
    <row r="1252" ht="33.75" spans="1:11">
      <c r="A1252" s="29">
        <v>1251</v>
      </c>
      <c r="B1252" s="29" t="s">
        <v>1561</v>
      </c>
      <c r="C1252" s="29" t="str">
        <f>VLOOKUP(B1252,教育部大学名单!$B$1:$D$2920,3,FALSE)</f>
        <v>广东省教育厅</v>
      </c>
      <c r="D1252" s="29" t="s">
        <v>844</v>
      </c>
      <c r="E1252" s="29" t="s">
        <v>845</v>
      </c>
      <c r="F1252" s="36" t="str">
        <f>IFERROR(VLOOKUP(B1252,'985'!$B$2:$D$40,3,FALSE),"")</f>
        <v/>
      </c>
      <c r="G1252" s="32" t="str">
        <f>IFERROR(VLOOKUP(B1252,'211'!$B$2:$D$116,3,FALSE),"")</f>
        <v/>
      </c>
      <c r="H1252" s="32" t="str">
        <f>IFERROR(VLOOKUP(B1252,双一流!$B$2:$D$148,3,FALSE),"")</f>
        <v/>
      </c>
      <c r="I1252" s="32">
        <f>IFERROR(VLOOKUP(B1252,汇总!$B$2:$I$2921,8,FALSE),"")</f>
        <v>0</v>
      </c>
      <c r="J1252" s="29" t="s">
        <v>11</v>
      </c>
      <c r="K1252" s="33" t="s">
        <v>1252</v>
      </c>
    </row>
    <row r="1253" ht="33.75" spans="1:11">
      <c r="A1253" s="34">
        <v>1252</v>
      </c>
      <c r="B1253" s="34" t="s">
        <v>1562</v>
      </c>
      <c r="C1253" s="29" t="str">
        <f>VLOOKUP(B1253,教育部大学名单!$B$1:$D$2920,3,FALSE)</f>
        <v>广东省教育厅</v>
      </c>
      <c r="D1253" s="34" t="s">
        <v>844</v>
      </c>
      <c r="E1253" s="34" t="s">
        <v>852</v>
      </c>
      <c r="F1253" s="36" t="str">
        <f>IFERROR(VLOOKUP(B1253,'985'!$B$2:$D$40,3,FALSE),"")</f>
        <v/>
      </c>
      <c r="G1253" s="32" t="str">
        <f>IFERROR(VLOOKUP(B1253,'211'!$B$2:$D$116,3,FALSE),"")</f>
        <v/>
      </c>
      <c r="H1253" s="32" t="str">
        <f>IFERROR(VLOOKUP(B1253,双一流!$B$2:$D$148,3,FALSE),"")</f>
        <v/>
      </c>
      <c r="I1253" s="32">
        <f>IFERROR(VLOOKUP(B1253,汇总!$B$2:$I$2921,8,FALSE),"")</f>
        <v>0</v>
      </c>
      <c r="J1253" s="34" t="s">
        <v>11</v>
      </c>
      <c r="K1253" s="35" t="s">
        <v>1252</v>
      </c>
    </row>
    <row r="1254" ht="33.75" spans="1:11">
      <c r="A1254" s="29">
        <v>1253</v>
      </c>
      <c r="B1254" s="29" t="s">
        <v>1563</v>
      </c>
      <c r="C1254" s="29" t="str">
        <f>VLOOKUP(B1254,教育部大学名单!$B$1:$D$2920,3,FALSE)</f>
        <v>广东省教育厅</v>
      </c>
      <c r="D1254" s="29" t="s">
        <v>844</v>
      </c>
      <c r="E1254" s="29" t="s">
        <v>845</v>
      </c>
      <c r="F1254" s="36" t="str">
        <f>IFERROR(VLOOKUP(B1254,'985'!$B$2:$D$40,3,FALSE),"")</f>
        <v/>
      </c>
      <c r="G1254" s="32" t="str">
        <f>IFERROR(VLOOKUP(B1254,'211'!$B$2:$D$116,3,FALSE),"")</f>
        <v/>
      </c>
      <c r="H1254" s="32" t="str">
        <f>IFERROR(VLOOKUP(B1254,双一流!$B$2:$D$148,3,FALSE),"")</f>
        <v/>
      </c>
      <c r="I1254" s="32" t="str">
        <f>IFERROR(VLOOKUP(B1254,汇总!$B$2:$I$2921,8,FALSE),"")</f>
        <v>综合</v>
      </c>
      <c r="J1254" s="29" t="s">
        <v>11</v>
      </c>
      <c r="K1254" s="33" t="s">
        <v>1252</v>
      </c>
    </row>
    <row r="1255" ht="33.75" spans="1:11">
      <c r="A1255" s="34">
        <v>1254</v>
      </c>
      <c r="B1255" s="34" t="s">
        <v>1564</v>
      </c>
      <c r="C1255" s="29" t="str">
        <f>VLOOKUP(B1255,教育部大学名单!$B$1:$D$2920,3,FALSE)</f>
        <v>广东省教育厅</v>
      </c>
      <c r="D1255" s="34" t="s">
        <v>844</v>
      </c>
      <c r="E1255" s="34" t="s">
        <v>845</v>
      </c>
      <c r="F1255" s="36" t="str">
        <f>IFERROR(VLOOKUP(B1255,'985'!$B$2:$D$40,3,FALSE),"")</f>
        <v/>
      </c>
      <c r="G1255" s="32" t="str">
        <f>IFERROR(VLOOKUP(B1255,'211'!$B$2:$D$116,3,FALSE),"")</f>
        <v/>
      </c>
      <c r="H1255" s="32" t="str">
        <f>IFERROR(VLOOKUP(B1255,双一流!$B$2:$D$148,3,FALSE),"")</f>
        <v/>
      </c>
      <c r="I1255" s="32">
        <f>IFERROR(VLOOKUP(B1255,汇总!$B$2:$I$2921,8,FALSE),"")</f>
        <v>0</v>
      </c>
      <c r="J1255" s="34" t="s">
        <v>11</v>
      </c>
      <c r="K1255" s="35" t="s">
        <v>1252</v>
      </c>
    </row>
    <row r="1256" ht="33.75" spans="1:11">
      <c r="A1256" s="29">
        <v>1255</v>
      </c>
      <c r="B1256" s="29" t="s">
        <v>1565</v>
      </c>
      <c r="C1256" s="29" t="str">
        <f>VLOOKUP(B1256,教育部大学名单!$B$1:$D$2920,3,FALSE)</f>
        <v>广东省教育厅</v>
      </c>
      <c r="D1256" s="29" t="s">
        <v>844</v>
      </c>
      <c r="E1256" s="29" t="s">
        <v>845</v>
      </c>
      <c r="F1256" s="36" t="str">
        <f>IFERROR(VLOOKUP(B1256,'985'!$B$2:$D$40,3,FALSE),"")</f>
        <v/>
      </c>
      <c r="G1256" s="32" t="str">
        <f>IFERROR(VLOOKUP(B1256,'211'!$B$2:$D$116,3,FALSE),"")</f>
        <v/>
      </c>
      <c r="H1256" s="32" t="str">
        <f>IFERROR(VLOOKUP(B1256,双一流!$B$2:$D$148,3,FALSE),"")</f>
        <v/>
      </c>
      <c r="I1256" s="32">
        <f>IFERROR(VLOOKUP(B1256,汇总!$B$2:$I$2921,8,FALSE),"")</f>
        <v>0</v>
      </c>
      <c r="J1256" s="29" t="s">
        <v>11</v>
      </c>
      <c r="K1256" s="33" t="s">
        <v>1252</v>
      </c>
    </row>
    <row r="1257" ht="33.75" spans="1:11">
      <c r="A1257" s="34">
        <v>1256</v>
      </c>
      <c r="B1257" s="34" t="s">
        <v>1566</v>
      </c>
      <c r="C1257" s="29" t="str">
        <f>VLOOKUP(B1257,教育部大学名单!$B$1:$D$2920,3,FALSE)</f>
        <v>广东省教育厅</v>
      </c>
      <c r="D1257" s="34" t="s">
        <v>844</v>
      </c>
      <c r="E1257" s="34" t="s">
        <v>845</v>
      </c>
      <c r="F1257" s="36" t="str">
        <f>IFERROR(VLOOKUP(B1257,'985'!$B$2:$D$40,3,FALSE),"")</f>
        <v/>
      </c>
      <c r="G1257" s="32" t="str">
        <f>IFERROR(VLOOKUP(B1257,'211'!$B$2:$D$116,3,FALSE),"")</f>
        <v/>
      </c>
      <c r="H1257" s="32" t="str">
        <f>IFERROR(VLOOKUP(B1257,双一流!$B$2:$D$148,3,FALSE),"")</f>
        <v/>
      </c>
      <c r="I1257" s="32">
        <f>IFERROR(VLOOKUP(B1257,汇总!$B$2:$I$2921,8,FALSE),"")</f>
        <v>0</v>
      </c>
      <c r="J1257" s="34" t="s">
        <v>11</v>
      </c>
      <c r="K1257" s="35" t="s">
        <v>1252</v>
      </c>
    </row>
    <row r="1258" ht="33.75" spans="1:11">
      <c r="A1258" s="29">
        <v>1257</v>
      </c>
      <c r="B1258" s="29" t="s">
        <v>1567</v>
      </c>
      <c r="C1258" s="29" t="str">
        <f>VLOOKUP(B1258,教育部大学名单!$B$1:$D$2920,3,FALSE)</f>
        <v>广东省教育厅</v>
      </c>
      <c r="D1258" s="29" t="s">
        <v>844</v>
      </c>
      <c r="E1258" s="29" t="s">
        <v>845</v>
      </c>
      <c r="F1258" s="36" t="str">
        <f>IFERROR(VLOOKUP(B1258,'985'!$B$2:$D$40,3,FALSE),"")</f>
        <v/>
      </c>
      <c r="G1258" s="32" t="str">
        <f>IFERROR(VLOOKUP(B1258,'211'!$B$2:$D$116,3,FALSE),"")</f>
        <v/>
      </c>
      <c r="H1258" s="32" t="str">
        <f>IFERROR(VLOOKUP(B1258,双一流!$B$2:$D$148,3,FALSE),"")</f>
        <v/>
      </c>
      <c r="I1258" s="32">
        <f>IFERROR(VLOOKUP(B1258,汇总!$B$2:$I$2921,8,FALSE),"")</f>
        <v>0</v>
      </c>
      <c r="J1258" s="29" t="s">
        <v>11</v>
      </c>
      <c r="K1258" s="33" t="s">
        <v>1252</v>
      </c>
    </row>
    <row r="1259" ht="33.75" spans="1:11">
      <c r="A1259" s="34">
        <v>1258</v>
      </c>
      <c r="B1259" s="34" t="s">
        <v>1568</v>
      </c>
      <c r="C1259" s="29" t="str">
        <f>VLOOKUP(B1259,教育部大学名单!$B$1:$D$2920,3,FALSE)</f>
        <v>广东省教育厅</v>
      </c>
      <c r="D1259" s="34" t="s">
        <v>844</v>
      </c>
      <c r="E1259" s="34" t="s">
        <v>1569</v>
      </c>
      <c r="F1259" s="36" t="str">
        <f>IFERROR(VLOOKUP(B1259,'985'!$B$2:$D$40,3,FALSE),"")</f>
        <v/>
      </c>
      <c r="G1259" s="32" t="str">
        <f>IFERROR(VLOOKUP(B1259,'211'!$B$2:$D$116,3,FALSE),"")</f>
        <v/>
      </c>
      <c r="H1259" s="32" t="str">
        <f>IFERROR(VLOOKUP(B1259,双一流!$B$2:$D$148,3,FALSE),"")</f>
        <v/>
      </c>
      <c r="I1259" s="32">
        <f>IFERROR(VLOOKUP(B1259,汇总!$B$2:$I$2921,8,FALSE),"")</f>
        <v>0</v>
      </c>
      <c r="J1259" s="34" t="s">
        <v>11</v>
      </c>
      <c r="K1259" s="35" t="s">
        <v>1252</v>
      </c>
    </row>
    <row r="1260" ht="33.75" spans="1:11">
      <c r="A1260" s="29">
        <v>1259</v>
      </c>
      <c r="B1260" s="29" t="s">
        <v>1570</v>
      </c>
      <c r="C1260" s="29" t="str">
        <f>VLOOKUP(B1260,教育部大学名单!$B$1:$D$2920,3,FALSE)</f>
        <v>广东省教育厅</v>
      </c>
      <c r="D1260" s="29" t="s">
        <v>844</v>
      </c>
      <c r="E1260" s="29" t="s">
        <v>1569</v>
      </c>
      <c r="F1260" s="36" t="str">
        <f>IFERROR(VLOOKUP(B1260,'985'!$B$2:$D$40,3,FALSE),"")</f>
        <v/>
      </c>
      <c r="G1260" s="32" t="str">
        <f>IFERROR(VLOOKUP(B1260,'211'!$B$2:$D$116,3,FALSE),"")</f>
        <v/>
      </c>
      <c r="H1260" s="32" t="str">
        <f>IFERROR(VLOOKUP(B1260,双一流!$B$2:$D$148,3,FALSE),"")</f>
        <v/>
      </c>
      <c r="I1260" s="32">
        <f>IFERROR(VLOOKUP(B1260,汇总!$B$2:$I$2921,8,FALSE),"")</f>
        <v>0</v>
      </c>
      <c r="J1260" s="29" t="s">
        <v>11</v>
      </c>
      <c r="K1260" s="33" t="s">
        <v>1252</v>
      </c>
    </row>
    <row r="1261" ht="33.75" spans="1:11">
      <c r="A1261" s="34">
        <v>1260</v>
      </c>
      <c r="B1261" s="34" t="s">
        <v>1571</v>
      </c>
      <c r="C1261" s="29" t="str">
        <f>VLOOKUP(B1261,教育部大学名单!$B$1:$D$2920,3,FALSE)</f>
        <v>广东省教育厅</v>
      </c>
      <c r="D1261" s="34" t="s">
        <v>844</v>
      </c>
      <c r="E1261" s="34" t="s">
        <v>845</v>
      </c>
      <c r="F1261" s="36" t="str">
        <f>IFERROR(VLOOKUP(B1261,'985'!$B$2:$D$40,3,FALSE),"")</f>
        <v/>
      </c>
      <c r="G1261" s="32" t="str">
        <f>IFERROR(VLOOKUP(B1261,'211'!$B$2:$D$116,3,FALSE),"")</f>
        <v/>
      </c>
      <c r="H1261" s="32" t="str">
        <f>IFERROR(VLOOKUP(B1261,双一流!$B$2:$D$148,3,FALSE),"")</f>
        <v/>
      </c>
      <c r="I1261" s="32">
        <f>IFERROR(VLOOKUP(B1261,汇总!$B$2:$I$2921,8,FALSE),"")</f>
        <v>0</v>
      </c>
      <c r="J1261" s="34" t="s">
        <v>11</v>
      </c>
      <c r="K1261" s="35" t="s">
        <v>1252</v>
      </c>
    </row>
    <row r="1262" ht="33.75" spans="1:11">
      <c r="A1262" s="29">
        <v>1261</v>
      </c>
      <c r="B1262" s="29" t="s">
        <v>1572</v>
      </c>
      <c r="C1262" s="29" t="str">
        <f>VLOOKUP(B1262,教育部大学名单!$B$1:$D$2920,3,FALSE)</f>
        <v>广东省教育厅</v>
      </c>
      <c r="D1262" s="29" t="s">
        <v>844</v>
      </c>
      <c r="E1262" s="29" t="s">
        <v>845</v>
      </c>
      <c r="F1262" s="36" t="str">
        <f>IFERROR(VLOOKUP(B1262,'985'!$B$2:$D$40,3,FALSE),"")</f>
        <v/>
      </c>
      <c r="G1262" s="32" t="str">
        <f>IFERROR(VLOOKUP(B1262,'211'!$B$2:$D$116,3,FALSE),"")</f>
        <v/>
      </c>
      <c r="H1262" s="32" t="str">
        <f>IFERROR(VLOOKUP(B1262,双一流!$B$2:$D$148,3,FALSE),"")</f>
        <v/>
      </c>
      <c r="I1262" s="32">
        <f>IFERROR(VLOOKUP(B1262,汇总!$B$2:$I$2921,8,FALSE),"")</f>
        <v>0</v>
      </c>
      <c r="J1262" s="29" t="s">
        <v>11</v>
      </c>
      <c r="K1262" s="33" t="s">
        <v>1252</v>
      </c>
    </row>
    <row r="1263" ht="33.75" spans="1:11">
      <c r="A1263" s="34">
        <v>1262</v>
      </c>
      <c r="B1263" s="34" t="s">
        <v>1573</v>
      </c>
      <c r="C1263" s="29" t="str">
        <f>VLOOKUP(B1263,教育部大学名单!$B$1:$D$2920,3,FALSE)</f>
        <v>广东省教育厅</v>
      </c>
      <c r="D1263" s="34" t="s">
        <v>844</v>
      </c>
      <c r="E1263" s="34" t="s">
        <v>886</v>
      </c>
      <c r="F1263" s="36" t="str">
        <f>IFERROR(VLOOKUP(B1263,'985'!$B$2:$D$40,3,FALSE),"")</f>
        <v/>
      </c>
      <c r="G1263" s="32" t="str">
        <f>IFERROR(VLOOKUP(B1263,'211'!$B$2:$D$116,3,FALSE),"")</f>
        <v/>
      </c>
      <c r="H1263" s="32" t="str">
        <f>IFERROR(VLOOKUP(B1263,双一流!$B$2:$D$148,3,FALSE),"")</f>
        <v/>
      </c>
      <c r="I1263" s="32">
        <f>IFERROR(VLOOKUP(B1263,汇总!$B$2:$I$2921,8,FALSE),"")</f>
        <v>0</v>
      </c>
      <c r="J1263" s="34" t="s">
        <v>11</v>
      </c>
      <c r="K1263" s="35" t="s">
        <v>1252</v>
      </c>
    </row>
    <row r="1264" ht="33.75" spans="1:11">
      <c r="A1264" s="29">
        <v>1263</v>
      </c>
      <c r="B1264" s="29" t="s">
        <v>1574</v>
      </c>
      <c r="C1264" s="29" t="str">
        <f>VLOOKUP(B1264,教育部大学名单!$B$1:$D$2920,3,FALSE)</f>
        <v>广东省教育厅</v>
      </c>
      <c r="D1264" s="29" t="s">
        <v>844</v>
      </c>
      <c r="E1264" s="29" t="s">
        <v>866</v>
      </c>
      <c r="F1264" s="36" t="str">
        <f>IFERROR(VLOOKUP(B1264,'985'!$B$2:$D$40,3,FALSE),"")</f>
        <v/>
      </c>
      <c r="G1264" s="32" t="str">
        <f>IFERROR(VLOOKUP(B1264,'211'!$B$2:$D$116,3,FALSE),"")</f>
        <v/>
      </c>
      <c r="H1264" s="32" t="str">
        <f>IFERROR(VLOOKUP(B1264,双一流!$B$2:$D$148,3,FALSE),"")</f>
        <v/>
      </c>
      <c r="I1264" s="32">
        <f>IFERROR(VLOOKUP(B1264,汇总!$B$2:$I$2921,8,FALSE),"")</f>
        <v>0</v>
      </c>
      <c r="J1264" s="29" t="s">
        <v>11</v>
      </c>
      <c r="K1264" s="33" t="s">
        <v>1252</v>
      </c>
    </row>
    <row r="1265" ht="33.75" spans="1:11">
      <c r="A1265" s="34">
        <v>1264</v>
      </c>
      <c r="B1265" s="34" t="s">
        <v>1575</v>
      </c>
      <c r="C1265" s="29" t="str">
        <f>VLOOKUP(B1265,教育部大学名单!$B$1:$D$2920,3,FALSE)</f>
        <v>广东省教育厅</v>
      </c>
      <c r="D1265" s="34" t="s">
        <v>844</v>
      </c>
      <c r="E1265" s="34" t="s">
        <v>866</v>
      </c>
      <c r="F1265" s="36" t="str">
        <f>IFERROR(VLOOKUP(B1265,'985'!$B$2:$D$40,3,FALSE),"")</f>
        <v/>
      </c>
      <c r="G1265" s="32" t="str">
        <f>IFERROR(VLOOKUP(B1265,'211'!$B$2:$D$116,3,FALSE),"")</f>
        <v/>
      </c>
      <c r="H1265" s="32" t="str">
        <f>IFERROR(VLOOKUP(B1265,双一流!$B$2:$D$148,3,FALSE),"")</f>
        <v/>
      </c>
      <c r="I1265" s="32">
        <f>IFERROR(VLOOKUP(B1265,汇总!$B$2:$I$2921,8,FALSE),"")</f>
        <v>0</v>
      </c>
      <c r="J1265" s="34" t="s">
        <v>11</v>
      </c>
      <c r="K1265" s="35" t="s">
        <v>1252</v>
      </c>
    </row>
    <row r="1266" ht="33.75" spans="1:11">
      <c r="A1266" s="29">
        <v>1265</v>
      </c>
      <c r="B1266" s="29" t="s">
        <v>1576</v>
      </c>
      <c r="C1266" s="29" t="str">
        <f>VLOOKUP(B1266,教育部大学名单!$B$1:$D$2920,3,FALSE)</f>
        <v>广东省教育厅</v>
      </c>
      <c r="D1266" s="29" t="s">
        <v>844</v>
      </c>
      <c r="E1266" s="29" t="s">
        <v>886</v>
      </c>
      <c r="F1266" s="36" t="str">
        <f>IFERROR(VLOOKUP(B1266,'985'!$B$2:$D$40,3,FALSE),"")</f>
        <v/>
      </c>
      <c r="G1266" s="32" t="str">
        <f>IFERROR(VLOOKUP(B1266,'211'!$B$2:$D$116,3,FALSE),"")</f>
        <v/>
      </c>
      <c r="H1266" s="32" t="str">
        <f>IFERROR(VLOOKUP(B1266,双一流!$B$2:$D$148,3,FALSE),"")</f>
        <v/>
      </c>
      <c r="I1266" s="32">
        <f>IFERROR(VLOOKUP(B1266,汇总!$B$2:$I$2921,8,FALSE),"")</f>
        <v>0</v>
      </c>
      <c r="J1266" s="29" t="s">
        <v>11</v>
      </c>
      <c r="K1266" s="33" t="s">
        <v>1252</v>
      </c>
    </row>
    <row r="1267" ht="33.75" spans="1:11">
      <c r="A1267" s="34">
        <v>1266</v>
      </c>
      <c r="B1267" s="34" t="s">
        <v>1577</v>
      </c>
      <c r="C1267" s="29" t="str">
        <f>VLOOKUP(B1267,教育部大学名单!$B$1:$D$2920,3,FALSE)</f>
        <v>广东省教育厅</v>
      </c>
      <c r="D1267" s="34" t="s">
        <v>844</v>
      </c>
      <c r="E1267" s="34" t="s">
        <v>845</v>
      </c>
      <c r="F1267" s="36" t="str">
        <f>IFERROR(VLOOKUP(B1267,'985'!$B$2:$D$40,3,FALSE),"")</f>
        <v/>
      </c>
      <c r="G1267" s="32" t="str">
        <f>IFERROR(VLOOKUP(B1267,'211'!$B$2:$D$116,3,FALSE),"")</f>
        <v/>
      </c>
      <c r="H1267" s="32" t="str">
        <f>IFERROR(VLOOKUP(B1267,双一流!$B$2:$D$148,3,FALSE),"")</f>
        <v/>
      </c>
      <c r="I1267" s="32">
        <f>IFERROR(VLOOKUP(B1267,汇总!$B$2:$I$2921,8,FALSE),"")</f>
        <v>0</v>
      </c>
      <c r="J1267" s="34" t="s">
        <v>11</v>
      </c>
      <c r="K1267" s="35" t="s">
        <v>1252</v>
      </c>
    </row>
    <row r="1268" ht="33.75" spans="1:11">
      <c r="A1268" s="29">
        <v>1267</v>
      </c>
      <c r="B1268" s="29" t="s">
        <v>1578</v>
      </c>
      <c r="C1268" s="29" t="str">
        <f>VLOOKUP(B1268,教育部大学名单!$B$1:$D$2920,3,FALSE)</f>
        <v>广西壮族自治区教育厅</v>
      </c>
      <c r="D1268" s="29" t="s">
        <v>902</v>
      </c>
      <c r="E1268" s="29" t="s">
        <v>903</v>
      </c>
      <c r="F1268" s="36" t="str">
        <f>IFERROR(VLOOKUP(B1268,'985'!$B$2:$D$40,3,FALSE),"")</f>
        <v/>
      </c>
      <c r="G1268" s="32" t="str">
        <f>IFERROR(VLOOKUP(B1268,'211'!$B$2:$D$116,3,FALSE),"")</f>
        <v/>
      </c>
      <c r="H1268" s="32" t="str">
        <f>IFERROR(VLOOKUP(B1268,双一流!$B$2:$D$148,3,FALSE),"")</f>
        <v/>
      </c>
      <c r="I1268" s="32">
        <f>IFERROR(VLOOKUP(B1268,汇总!$B$2:$I$2921,8,FALSE),"")</f>
        <v>0</v>
      </c>
      <c r="J1268" s="29" t="s">
        <v>11</v>
      </c>
      <c r="K1268" s="33" t="s">
        <v>1252</v>
      </c>
    </row>
    <row r="1269" ht="33.75" spans="1:11">
      <c r="A1269" s="34">
        <v>1268</v>
      </c>
      <c r="B1269" s="34" t="s">
        <v>1579</v>
      </c>
      <c r="C1269" s="29" t="str">
        <f>VLOOKUP(B1269,教育部大学名单!$B$1:$D$2920,3,FALSE)</f>
        <v>广西壮族自治区教育厅</v>
      </c>
      <c r="D1269" s="34" t="s">
        <v>902</v>
      </c>
      <c r="E1269" s="34" t="s">
        <v>1580</v>
      </c>
      <c r="F1269" s="36" t="str">
        <f>IFERROR(VLOOKUP(B1269,'985'!$B$2:$D$40,3,FALSE),"")</f>
        <v/>
      </c>
      <c r="G1269" s="32" t="str">
        <f>IFERROR(VLOOKUP(B1269,'211'!$B$2:$D$116,3,FALSE),"")</f>
        <v/>
      </c>
      <c r="H1269" s="32" t="str">
        <f>IFERROR(VLOOKUP(B1269,双一流!$B$2:$D$148,3,FALSE),"")</f>
        <v/>
      </c>
      <c r="I1269" s="32">
        <f>IFERROR(VLOOKUP(B1269,汇总!$B$2:$I$2921,8,FALSE),"")</f>
        <v>0</v>
      </c>
      <c r="J1269" s="34" t="s">
        <v>11</v>
      </c>
      <c r="K1269" s="35" t="s">
        <v>1252</v>
      </c>
    </row>
    <row r="1270" ht="33.75" spans="1:11">
      <c r="A1270" s="29">
        <v>1269</v>
      </c>
      <c r="B1270" s="29" t="s">
        <v>1581</v>
      </c>
      <c r="C1270" s="29" t="str">
        <f>VLOOKUP(B1270,教育部大学名单!$B$1:$D$2920,3,FALSE)</f>
        <v>广西壮族自治区教育厅</v>
      </c>
      <c r="D1270" s="29" t="s">
        <v>902</v>
      </c>
      <c r="E1270" s="29" t="s">
        <v>905</v>
      </c>
      <c r="F1270" s="36" t="str">
        <f>IFERROR(VLOOKUP(B1270,'985'!$B$2:$D$40,3,FALSE),"")</f>
        <v/>
      </c>
      <c r="G1270" s="32" t="str">
        <f>IFERROR(VLOOKUP(B1270,'211'!$B$2:$D$116,3,FALSE),"")</f>
        <v/>
      </c>
      <c r="H1270" s="32" t="str">
        <f>IFERROR(VLOOKUP(B1270,双一流!$B$2:$D$148,3,FALSE),"")</f>
        <v/>
      </c>
      <c r="I1270" s="32">
        <f>IFERROR(VLOOKUP(B1270,汇总!$B$2:$I$2921,8,FALSE),"")</f>
        <v>0</v>
      </c>
      <c r="J1270" s="29" t="s">
        <v>11</v>
      </c>
      <c r="K1270" s="33" t="s">
        <v>1252</v>
      </c>
    </row>
    <row r="1271" ht="50.25" spans="1:11">
      <c r="A1271" s="34">
        <v>1270</v>
      </c>
      <c r="B1271" s="34" t="s">
        <v>1582</v>
      </c>
      <c r="C1271" s="29" t="str">
        <f>VLOOKUP(B1271,教育部大学名单!$B$1:$D$2920,3,FALSE)</f>
        <v>广西壮族自治区教育厅</v>
      </c>
      <c r="D1271" s="34" t="s">
        <v>902</v>
      </c>
      <c r="E1271" s="34" t="s">
        <v>903</v>
      </c>
      <c r="F1271" s="36" t="str">
        <f>IFERROR(VLOOKUP(B1271,'985'!$B$2:$D$40,3,FALSE),"")</f>
        <v/>
      </c>
      <c r="G1271" s="32" t="str">
        <f>IFERROR(VLOOKUP(B1271,'211'!$B$2:$D$116,3,FALSE),"")</f>
        <v/>
      </c>
      <c r="H1271" s="32" t="str">
        <f>IFERROR(VLOOKUP(B1271,双一流!$B$2:$D$148,3,FALSE),"")</f>
        <v/>
      </c>
      <c r="I1271" s="32" t="str">
        <f>IFERROR(VLOOKUP(B1271,汇总!$B$2:$I$2921,8,FALSE),"")</f>
        <v>综合</v>
      </c>
      <c r="J1271" s="34" t="s">
        <v>11</v>
      </c>
      <c r="K1271" s="35" t="s">
        <v>1252</v>
      </c>
    </row>
    <row r="1272" ht="33.75" spans="1:11">
      <c r="A1272" s="29">
        <v>1271</v>
      </c>
      <c r="B1272" s="29" t="s">
        <v>1583</v>
      </c>
      <c r="C1272" s="29" t="str">
        <f>VLOOKUP(B1272,教育部大学名单!$B$1:$D$2920,3,FALSE)</f>
        <v>广西壮族自治区教育厅</v>
      </c>
      <c r="D1272" s="29" t="s">
        <v>902</v>
      </c>
      <c r="E1272" s="29" t="s">
        <v>907</v>
      </c>
      <c r="F1272" s="36" t="str">
        <f>IFERROR(VLOOKUP(B1272,'985'!$B$2:$D$40,3,FALSE),"")</f>
        <v/>
      </c>
      <c r="G1272" s="32" t="str">
        <f>IFERROR(VLOOKUP(B1272,'211'!$B$2:$D$116,3,FALSE),"")</f>
        <v/>
      </c>
      <c r="H1272" s="32" t="str">
        <f>IFERROR(VLOOKUP(B1272,双一流!$B$2:$D$148,3,FALSE),"")</f>
        <v/>
      </c>
      <c r="I1272" s="32">
        <f>IFERROR(VLOOKUP(B1272,汇总!$B$2:$I$2921,8,FALSE),"")</f>
        <v>0</v>
      </c>
      <c r="J1272" s="29" t="s">
        <v>11</v>
      </c>
      <c r="K1272" s="33" t="s">
        <v>1252</v>
      </c>
    </row>
    <row r="1273" ht="33.75" spans="1:11">
      <c r="A1273" s="34">
        <v>1272</v>
      </c>
      <c r="B1273" s="34" t="s">
        <v>1584</v>
      </c>
      <c r="C1273" s="29" t="str">
        <f>VLOOKUP(B1273,教育部大学名单!$B$1:$D$2920,3,FALSE)</f>
        <v>广西壮族自治区教育厅</v>
      </c>
      <c r="D1273" s="34" t="s">
        <v>902</v>
      </c>
      <c r="E1273" s="34" t="s">
        <v>903</v>
      </c>
      <c r="F1273" s="36" t="str">
        <f>IFERROR(VLOOKUP(B1273,'985'!$B$2:$D$40,3,FALSE),"")</f>
        <v/>
      </c>
      <c r="G1273" s="32" t="str">
        <f>IFERROR(VLOOKUP(B1273,'211'!$B$2:$D$116,3,FALSE),"")</f>
        <v/>
      </c>
      <c r="H1273" s="32" t="str">
        <f>IFERROR(VLOOKUP(B1273,双一流!$B$2:$D$148,3,FALSE),"")</f>
        <v/>
      </c>
      <c r="I1273" s="32" t="str">
        <f>IFERROR(VLOOKUP(B1273,汇总!$B$2:$I$2921,8,FALSE),"")</f>
        <v>综合</v>
      </c>
      <c r="J1273" s="34" t="s">
        <v>11</v>
      </c>
      <c r="K1273" s="35" t="s">
        <v>1252</v>
      </c>
    </row>
    <row r="1274" ht="50.25" spans="1:11">
      <c r="A1274" s="29">
        <v>1273</v>
      </c>
      <c r="B1274" s="29" t="s">
        <v>1585</v>
      </c>
      <c r="C1274" s="29" t="str">
        <f>VLOOKUP(B1274,教育部大学名单!$B$1:$D$2920,3,FALSE)</f>
        <v>广西壮族自治区教育厅</v>
      </c>
      <c r="D1274" s="29" t="s">
        <v>902</v>
      </c>
      <c r="E1274" s="29" t="s">
        <v>903</v>
      </c>
      <c r="F1274" s="36" t="str">
        <f>IFERROR(VLOOKUP(B1274,'985'!$B$2:$D$40,3,FALSE),"")</f>
        <v/>
      </c>
      <c r="G1274" s="32" t="str">
        <f>IFERROR(VLOOKUP(B1274,'211'!$B$2:$D$116,3,FALSE),"")</f>
        <v/>
      </c>
      <c r="H1274" s="32" t="str">
        <f>IFERROR(VLOOKUP(B1274,双一流!$B$2:$D$148,3,FALSE),"")</f>
        <v/>
      </c>
      <c r="I1274" s="32" t="str">
        <f>IFERROR(VLOOKUP(B1274,汇总!$B$2:$I$2921,8,FALSE),"")</f>
        <v>医药</v>
      </c>
      <c r="J1274" s="29" t="s">
        <v>11</v>
      </c>
      <c r="K1274" s="33" t="s">
        <v>1252</v>
      </c>
    </row>
    <row r="1275" ht="33.75" spans="1:11">
      <c r="A1275" s="34">
        <v>1274</v>
      </c>
      <c r="B1275" s="34" t="s">
        <v>1586</v>
      </c>
      <c r="C1275" s="29" t="str">
        <f>VLOOKUP(B1275,教育部大学名单!$B$1:$D$2920,3,FALSE)</f>
        <v>广西壮族自治区教育厅</v>
      </c>
      <c r="D1275" s="34" t="s">
        <v>902</v>
      </c>
      <c r="E1275" s="34" t="s">
        <v>907</v>
      </c>
      <c r="F1275" s="36" t="str">
        <f>IFERROR(VLOOKUP(B1275,'985'!$B$2:$D$40,3,FALSE),"")</f>
        <v/>
      </c>
      <c r="G1275" s="32" t="str">
        <f>IFERROR(VLOOKUP(B1275,'211'!$B$2:$D$116,3,FALSE),"")</f>
        <v/>
      </c>
      <c r="H1275" s="32" t="str">
        <f>IFERROR(VLOOKUP(B1275,双一流!$B$2:$D$148,3,FALSE),"")</f>
        <v/>
      </c>
      <c r="I1275" s="32">
        <f>IFERROR(VLOOKUP(B1275,汇总!$B$2:$I$2921,8,FALSE),"")</f>
        <v>0</v>
      </c>
      <c r="J1275" s="34" t="s">
        <v>11</v>
      </c>
      <c r="K1275" s="35" t="s">
        <v>1252</v>
      </c>
    </row>
    <row r="1276" ht="33.75" spans="1:11">
      <c r="A1276" s="29">
        <v>1275</v>
      </c>
      <c r="B1276" s="29" t="s">
        <v>1587</v>
      </c>
      <c r="C1276" s="29" t="str">
        <f>VLOOKUP(B1276,教育部大学名单!$B$1:$D$2920,3,FALSE)</f>
        <v>广西壮族自治区教育厅</v>
      </c>
      <c r="D1276" s="29" t="s">
        <v>902</v>
      </c>
      <c r="E1276" s="29" t="s">
        <v>907</v>
      </c>
      <c r="F1276" s="36" t="str">
        <f>IFERROR(VLOOKUP(B1276,'985'!$B$2:$D$40,3,FALSE),"")</f>
        <v/>
      </c>
      <c r="G1276" s="32" t="str">
        <f>IFERROR(VLOOKUP(B1276,'211'!$B$2:$D$116,3,FALSE),"")</f>
        <v/>
      </c>
      <c r="H1276" s="32" t="str">
        <f>IFERROR(VLOOKUP(B1276,双一流!$B$2:$D$148,3,FALSE),"")</f>
        <v/>
      </c>
      <c r="I1276" s="32">
        <f>IFERROR(VLOOKUP(B1276,汇总!$B$2:$I$2921,8,FALSE),"")</f>
        <v>0</v>
      </c>
      <c r="J1276" s="29" t="s">
        <v>11</v>
      </c>
      <c r="K1276" s="33" t="s">
        <v>1252</v>
      </c>
    </row>
    <row r="1277" ht="33.75" spans="1:11">
      <c r="A1277" s="34">
        <v>1276</v>
      </c>
      <c r="B1277" s="34" t="s">
        <v>1588</v>
      </c>
      <c r="C1277" s="29" t="str">
        <f>VLOOKUP(B1277,教育部大学名单!$B$1:$D$2920,3,FALSE)</f>
        <v>广西壮族自治区教育厅</v>
      </c>
      <c r="D1277" s="34" t="s">
        <v>902</v>
      </c>
      <c r="E1277" s="34" t="s">
        <v>903</v>
      </c>
      <c r="F1277" s="36" t="str">
        <f>IFERROR(VLOOKUP(B1277,'985'!$B$2:$D$40,3,FALSE),"")</f>
        <v/>
      </c>
      <c r="G1277" s="32" t="str">
        <f>IFERROR(VLOOKUP(B1277,'211'!$B$2:$D$116,3,FALSE),"")</f>
        <v/>
      </c>
      <c r="H1277" s="32" t="str">
        <f>IFERROR(VLOOKUP(B1277,双一流!$B$2:$D$148,3,FALSE),"")</f>
        <v/>
      </c>
      <c r="I1277" s="32">
        <f>IFERROR(VLOOKUP(B1277,汇总!$B$2:$I$2921,8,FALSE),"")</f>
        <v>0</v>
      </c>
      <c r="J1277" s="34" t="s">
        <v>11</v>
      </c>
      <c r="K1277" s="35" t="s">
        <v>1252</v>
      </c>
    </row>
    <row r="1278" ht="50.25" spans="1:11">
      <c r="A1278" s="29">
        <v>1277</v>
      </c>
      <c r="B1278" s="29" t="s">
        <v>1589</v>
      </c>
      <c r="C1278" s="29" t="str">
        <f>VLOOKUP(B1278,教育部大学名单!$B$1:$D$2920,3,FALSE)</f>
        <v>广西壮族自治区教育厅</v>
      </c>
      <c r="D1278" s="29" t="s">
        <v>902</v>
      </c>
      <c r="E1278" s="29" t="s">
        <v>1580</v>
      </c>
      <c r="F1278" s="36" t="str">
        <f>IFERROR(VLOOKUP(B1278,'985'!$B$2:$D$40,3,FALSE),"")</f>
        <v/>
      </c>
      <c r="G1278" s="32" t="str">
        <f>IFERROR(VLOOKUP(B1278,'211'!$B$2:$D$116,3,FALSE),"")</f>
        <v/>
      </c>
      <c r="H1278" s="32" t="str">
        <f>IFERROR(VLOOKUP(B1278,双一流!$B$2:$D$148,3,FALSE),"")</f>
        <v/>
      </c>
      <c r="I1278" s="32">
        <f>IFERROR(VLOOKUP(B1278,汇总!$B$2:$I$2921,8,FALSE),"")</f>
        <v>0</v>
      </c>
      <c r="J1278" s="29" t="s">
        <v>11</v>
      </c>
      <c r="K1278" s="33" t="s">
        <v>1252</v>
      </c>
    </row>
    <row r="1279" ht="33.75" spans="1:11">
      <c r="A1279" s="34">
        <v>1278</v>
      </c>
      <c r="B1279" s="34" t="s">
        <v>1590</v>
      </c>
      <c r="C1279" s="29" t="str">
        <f>VLOOKUP(B1279,教育部大学名单!$B$1:$D$2920,3,FALSE)</f>
        <v>广西壮族自治区教育厅</v>
      </c>
      <c r="D1279" s="34" t="s">
        <v>902</v>
      </c>
      <c r="E1279" s="34" t="s">
        <v>917</v>
      </c>
      <c r="F1279" s="36" t="str">
        <f>IFERROR(VLOOKUP(B1279,'985'!$B$2:$D$40,3,FALSE),"")</f>
        <v/>
      </c>
      <c r="G1279" s="32" t="str">
        <f>IFERROR(VLOOKUP(B1279,'211'!$B$2:$D$116,3,FALSE),"")</f>
        <v/>
      </c>
      <c r="H1279" s="32" t="str">
        <f>IFERROR(VLOOKUP(B1279,双一流!$B$2:$D$148,3,FALSE),"")</f>
        <v/>
      </c>
      <c r="I1279" s="32">
        <f>IFERROR(VLOOKUP(B1279,汇总!$B$2:$I$2921,8,FALSE),"")</f>
        <v>0</v>
      </c>
      <c r="J1279" s="34" t="s">
        <v>11</v>
      </c>
      <c r="K1279" s="35" t="s">
        <v>1252</v>
      </c>
    </row>
    <row r="1280" ht="33.75" spans="1:11">
      <c r="A1280" s="29">
        <v>1279</v>
      </c>
      <c r="B1280" s="29" t="s">
        <v>1591</v>
      </c>
      <c r="C1280" s="29" t="str">
        <f>VLOOKUP(B1280,教育部大学名单!$B$1:$D$2920,3,FALSE)</f>
        <v>海南省教育厅</v>
      </c>
      <c r="D1280" s="29" t="s">
        <v>943</v>
      </c>
      <c r="E1280" s="29" t="s">
        <v>944</v>
      </c>
      <c r="F1280" s="36" t="str">
        <f>IFERROR(VLOOKUP(B1280,'985'!$B$2:$D$40,3,FALSE),"")</f>
        <v/>
      </c>
      <c r="G1280" s="32" t="str">
        <f>IFERROR(VLOOKUP(B1280,'211'!$B$2:$D$116,3,FALSE),"")</f>
        <v/>
      </c>
      <c r="H1280" s="32" t="str">
        <f>IFERROR(VLOOKUP(B1280,双一流!$B$2:$D$148,3,FALSE),"")</f>
        <v/>
      </c>
      <c r="I1280" s="32">
        <f>IFERROR(VLOOKUP(B1280,汇总!$B$2:$I$2921,8,FALSE),"")</f>
        <v>0</v>
      </c>
      <c r="J1280" s="29" t="s">
        <v>11</v>
      </c>
      <c r="K1280" s="33" t="s">
        <v>1252</v>
      </c>
    </row>
    <row r="1281" ht="33.75" spans="1:11">
      <c r="A1281" s="34">
        <v>1280</v>
      </c>
      <c r="B1281" s="34" t="s">
        <v>1592</v>
      </c>
      <c r="C1281" s="29" t="str">
        <f>VLOOKUP(B1281,教育部大学名单!$B$1:$D$2920,3,FALSE)</f>
        <v>海南省教育厅</v>
      </c>
      <c r="D1281" s="34" t="s">
        <v>943</v>
      </c>
      <c r="E1281" s="34" t="s">
        <v>946</v>
      </c>
      <c r="F1281" s="36" t="str">
        <f>IFERROR(VLOOKUP(B1281,'985'!$B$2:$D$40,3,FALSE),"")</f>
        <v/>
      </c>
      <c r="G1281" s="32" t="str">
        <f>IFERROR(VLOOKUP(B1281,'211'!$B$2:$D$116,3,FALSE),"")</f>
        <v/>
      </c>
      <c r="H1281" s="32" t="str">
        <f>IFERROR(VLOOKUP(B1281,双一流!$B$2:$D$148,3,FALSE),"")</f>
        <v/>
      </c>
      <c r="I1281" s="32">
        <f>IFERROR(VLOOKUP(B1281,汇总!$B$2:$I$2921,8,FALSE),"")</f>
        <v>0</v>
      </c>
      <c r="J1281" s="34" t="s">
        <v>11</v>
      </c>
      <c r="K1281" s="35" t="s">
        <v>1252</v>
      </c>
    </row>
    <row r="1282" ht="33.75" spans="1:11">
      <c r="A1282" s="29">
        <v>1281</v>
      </c>
      <c r="B1282" s="29" t="s">
        <v>1593</v>
      </c>
      <c r="C1282" s="29" t="str">
        <f>VLOOKUP(B1282,教育部大学名单!$B$1:$D$2920,3,FALSE)</f>
        <v>海南省教育厅</v>
      </c>
      <c r="D1282" s="29" t="s">
        <v>943</v>
      </c>
      <c r="E1282" s="29" t="s">
        <v>944</v>
      </c>
      <c r="F1282" s="36" t="str">
        <f>IFERROR(VLOOKUP(B1282,'985'!$B$2:$D$40,3,FALSE),"")</f>
        <v/>
      </c>
      <c r="G1282" s="32" t="str">
        <f>IFERROR(VLOOKUP(B1282,'211'!$B$2:$D$116,3,FALSE),"")</f>
        <v/>
      </c>
      <c r="H1282" s="32" t="str">
        <f>IFERROR(VLOOKUP(B1282,双一流!$B$2:$D$148,3,FALSE),"")</f>
        <v/>
      </c>
      <c r="I1282" s="32">
        <f>IFERROR(VLOOKUP(B1282,汇总!$B$2:$I$2921,8,FALSE),"")</f>
        <v>0</v>
      </c>
      <c r="J1282" s="29" t="s">
        <v>11</v>
      </c>
      <c r="K1282" s="33" t="s">
        <v>1252</v>
      </c>
    </row>
    <row r="1283" ht="33.75" spans="1:11">
      <c r="A1283" s="34">
        <v>1282</v>
      </c>
      <c r="B1283" s="34" t="s">
        <v>1594</v>
      </c>
      <c r="C1283" s="29" t="str">
        <f>VLOOKUP(B1283,教育部大学名单!$B$1:$D$2920,3,FALSE)</f>
        <v>重庆市教委</v>
      </c>
      <c r="D1283" s="34" t="s">
        <v>951</v>
      </c>
      <c r="E1283" s="34" t="s">
        <v>951</v>
      </c>
      <c r="F1283" s="36" t="str">
        <f>IFERROR(VLOOKUP(B1283,'985'!$B$2:$D$40,3,FALSE),"")</f>
        <v/>
      </c>
      <c r="G1283" s="32" t="str">
        <f>IFERROR(VLOOKUP(B1283,'211'!$B$2:$D$116,3,FALSE),"")</f>
        <v/>
      </c>
      <c r="H1283" s="32" t="str">
        <f>IFERROR(VLOOKUP(B1283,双一流!$B$2:$D$148,3,FALSE),"")</f>
        <v/>
      </c>
      <c r="I1283" s="32">
        <f>IFERROR(VLOOKUP(B1283,汇总!$B$2:$I$2921,8,FALSE),"")</f>
        <v>0</v>
      </c>
      <c r="J1283" s="34" t="s">
        <v>11</v>
      </c>
      <c r="K1283" s="35" t="s">
        <v>1252</v>
      </c>
    </row>
    <row r="1284" ht="33.75" spans="1:11">
      <c r="A1284" s="29">
        <v>1283</v>
      </c>
      <c r="B1284" s="29" t="s">
        <v>1595</v>
      </c>
      <c r="C1284" s="29" t="str">
        <f>VLOOKUP(B1284,教育部大学名单!$B$1:$D$2920,3,FALSE)</f>
        <v>重庆市教委</v>
      </c>
      <c r="D1284" s="29" t="s">
        <v>951</v>
      </c>
      <c r="E1284" s="29" t="s">
        <v>951</v>
      </c>
      <c r="F1284" s="36" t="str">
        <f>IFERROR(VLOOKUP(B1284,'985'!$B$2:$D$40,3,FALSE),"")</f>
        <v/>
      </c>
      <c r="G1284" s="32" t="str">
        <f>IFERROR(VLOOKUP(B1284,'211'!$B$2:$D$116,3,FALSE),"")</f>
        <v/>
      </c>
      <c r="H1284" s="32" t="str">
        <f>IFERROR(VLOOKUP(B1284,双一流!$B$2:$D$148,3,FALSE),"")</f>
        <v/>
      </c>
      <c r="I1284" s="32">
        <f>IFERROR(VLOOKUP(B1284,汇总!$B$2:$I$2921,8,FALSE),"")</f>
        <v>0</v>
      </c>
      <c r="J1284" s="29" t="s">
        <v>11</v>
      </c>
      <c r="K1284" s="33" t="s">
        <v>1252</v>
      </c>
    </row>
    <row r="1285" ht="33.75" spans="1:11">
      <c r="A1285" s="34">
        <v>1284</v>
      </c>
      <c r="B1285" s="34" t="s">
        <v>1596</v>
      </c>
      <c r="C1285" s="29" t="str">
        <f>VLOOKUP(B1285,教育部大学名单!$B$1:$D$2920,3,FALSE)</f>
        <v>重庆市教委</v>
      </c>
      <c r="D1285" s="34" t="s">
        <v>951</v>
      </c>
      <c r="E1285" s="34" t="s">
        <v>951</v>
      </c>
      <c r="F1285" s="36" t="str">
        <f>IFERROR(VLOOKUP(B1285,'985'!$B$2:$D$40,3,FALSE),"")</f>
        <v/>
      </c>
      <c r="G1285" s="32" t="str">
        <f>IFERROR(VLOOKUP(B1285,'211'!$B$2:$D$116,3,FALSE),"")</f>
        <v/>
      </c>
      <c r="H1285" s="32" t="str">
        <f>IFERROR(VLOOKUP(B1285,双一流!$B$2:$D$148,3,FALSE),"")</f>
        <v/>
      </c>
      <c r="I1285" s="32">
        <f>IFERROR(VLOOKUP(B1285,汇总!$B$2:$I$2921,8,FALSE),"")</f>
        <v>0</v>
      </c>
      <c r="J1285" s="34" t="s">
        <v>11</v>
      </c>
      <c r="K1285" s="35" t="s">
        <v>1252</v>
      </c>
    </row>
    <row r="1286" ht="33.75" spans="1:11">
      <c r="A1286" s="29">
        <v>1285</v>
      </c>
      <c r="B1286" s="29" t="s">
        <v>1597</v>
      </c>
      <c r="C1286" s="29" t="str">
        <f>VLOOKUP(B1286,教育部大学名单!$B$1:$D$2920,3,FALSE)</f>
        <v>重庆市教委</v>
      </c>
      <c r="D1286" s="29" t="s">
        <v>951</v>
      </c>
      <c r="E1286" s="29" t="s">
        <v>951</v>
      </c>
      <c r="F1286" s="36" t="str">
        <f>IFERROR(VLOOKUP(B1286,'985'!$B$2:$D$40,3,FALSE),"")</f>
        <v/>
      </c>
      <c r="G1286" s="32" t="str">
        <f>IFERROR(VLOOKUP(B1286,'211'!$B$2:$D$116,3,FALSE),"")</f>
        <v/>
      </c>
      <c r="H1286" s="32" t="str">
        <f>IFERROR(VLOOKUP(B1286,双一流!$B$2:$D$148,3,FALSE),"")</f>
        <v/>
      </c>
      <c r="I1286" s="32">
        <f>IFERROR(VLOOKUP(B1286,汇总!$B$2:$I$2921,8,FALSE),"")</f>
        <v>0</v>
      </c>
      <c r="J1286" s="29" t="s">
        <v>11</v>
      </c>
      <c r="K1286" s="33" t="s">
        <v>1252</v>
      </c>
    </row>
    <row r="1287" ht="33.75" spans="1:11">
      <c r="A1287" s="34">
        <v>1286</v>
      </c>
      <c r="B1287" s="34" t="s">
        <v>1598</v>
      </c>
      <c r="C1287" s="29" t="str">
        <f>VLOOKUP(B1287,教育部大学名单!$B$1:$D$2920,3,FALSE)</f>
        <v>重庆市教委</v>
      </c>
      <c r="D1287" s="34" t="s">
        <v>951</v>
      </c>
      <c r="E1287" s="34" t="s">
        <v>951</v>
      </c>
      <c r="F1287" s="36" t="str">
        <f>IFERROR(VLOOKUP(B1287,'985'!$B$2:$D$40,3,FALSE),"")</f>
        <v/>
      </c>
      <c r="G1287" s="32" t="str">
        <f>IFERROR(VLOOKUP(B1287,'211'!$B$2:$D$116,3,FALSE),"")</f>
        <v/>
      </c>
      <c r="H1287" s="32" t="str">
        <f>IFERROR(VLOOKUP(B1287,双一流!$B$2:$D$148,3,FALSE),"")</f>
        <v/>
      </c>
      <c r="I1287" s="32">
        <f>IFERROR(VLOOKUP(B1287,汇总!$B$2:$I$2921,8,FALSE),"")</f>
        <v>0</v>
      </c>
      <c r="J1287" s="34" t="s">
        <v>11</v>
      </c>
      <c r="K1287" s="35" t="s">
        <v>1252</v>
      </c>
    </row>
    <row r="1288" ht="33.75" spans="1:11">
      <c r="A1288" s="29">
        <v>1287</v>
      </c>
      <c r="B1288" s="29" t="s">
        <v>1599</v>
      </c>
      <c r="C1288" s="29" t="str">
        <f>VLOOKUP(B1288,教育部大学名单!$B$1:$D$2920,3,FALSE)</f>
        <v>重庆市教委</v>
      </c>
      <c r="D1288" s="29" t="s">
        <v>951</v>
      </c>
      <c r="E1288" s="29" t="s">
        <v>951</v>
      </c>
      <c r="F1288" s="36" t="str">
        <f>IFERROR(VLOOKUP(B1288,'985'!$B$2:$D$40,3,FALSE),"")</f>
        <v/>
      </c>
      <c r="G1288" s="32" t="str">
        <f>IFERROR(VLOOKUP(B1288,'211'!$B$2:$D$116,3,FALSE),"")</f>
        <v/>
      </c>
      <c r="H1288" s="32" t="str">
        <f>IFERROR(VLOOKUP(B1288,双一流!$B$2:$D$148,3,FALSE),"")</f>
        <v/>
      </c>
      <c r="I1288" s="32">
        <f>IFERROR(VLOOKUP(B1288,汇总!$B$2:$I$2921,8,FALSE),"")</f>
        <v>0</v>
      </c>
      <c r="J1288" s="29" t="s">
        <v>11</v>
      </c>
      <c r="K1288" s="33" t="s">
        <v>1252</v>
      </c>
    </row>
    <row r="1289" ht="33.75" spans="1:11">
      <c r="A1289" s="34">
        <v>1288</v>
      </c>
      <c r="B1289" s="34" t="s">
        <v>1600</v>
      </c>
      <c r="C1289" s="29" t="str">
        <f>VLOOKUP(B1289,教育部大学名单!$B$1:$D$2920,3,FALSE)</f>
        <v>重庆市教委</v>
      </c>
      <c r="D1289" s="34" t="s">
        <v>951</v>
      </c>
      <c r="E1289" s="34" t="s">
        <v>951</v>
      </c>
      <c r="F1289" s="36" t="str">
        <f>IFERROR(VLOOKUP(B1289,'985'!$B$2:$D$40,3,FALSE),"")</f>
        <v/>
      </c>
      <c r="G1289" s="32" t="str">
        <f>IFERROR(VLOOKUP(B1289,'211'!$B$2:$D$116,3,FALSE),"")</f>
        <v/>
      </c>
      <c r="H1289" s="32" t="str">
        <f>IFERROR(VLOOKUP(B1289,双一流!$B$2:$D$148,3,FALSE),"")</f>
        <v/>
      </c>
      <c r="I1289" s="32">
        <f>IFERROR(VLOOKUP(B1289,汇总!$B$2:$I$2921,8,FALSE),"")</f>
        <v>0</v>
      </c>
      <c r="J1289" s="34" t="s">
        <v>11</v>
      </c>
      <c r="K1289" s="35" t="s">
        <v>1252</v>
      </c>
    </row>
    <row r="1290" ht="33.75" spans="1:11">
      <c r="A1290" s="29">
        <v>1289</v>
      </c>
      <c r="B1290" s="29" t="s">
        <v>1601</v>
      </c>
      <c r="C1290" s="29" t="str">
        <f>VLOOKUP(B1290,教育部大学名单!$B$1:$D$2920,3,FALSE)</f>
        <v>重庆市教委</v>
      </c>
      <c r="D1290" s="29" t="s">
        <v>951</v>
      </c>
      <c r="E1290" s="29" t="s">
        <v>951</v>
      </c>
      <c r="F1290" s="36" t="str">
        <f>IFERROR(VLOOKUP(B1290,'985'!$B$2:$D$40,3,FALSE),"")</f>
        <v/>
      </c>
      <c r="G1290" s="32" t="str">
        <f>IFERROR(VLOOKUP(B1290,'211'!$B$2:$D$116,3,FALSE),"")</f>
        <v/>
      </c>
      <c r="H1290" s="32" t="str">
        <f>IFERROR(VLOOKUP(B1290,双一流!$B$2:$D$148,3,FALSE),"")</f>
        <v/>
      </c>
      <c r="I1290" s="32" t="str">
        <f>IFERROR(VLOOKUP(B1290,汇总!$B$2:$I$2921,8,FALSE),"")</f>
        <v>财经</v>
      </c>
      <c r="J1290" s="29" t="s">
        <v>11</v>
      </c>
      <c r="K1290" s="33" t="s">
        <v>1252</v>
      </c>
    </row>
    <row r="1291" ht="33.75" spans="1:11">
      <c r="A1291" s="34">
        <v>1290</v>
      </c>
      <c r="B1291" s="34" t="s">
        <v>1602</v>
      </c>
      <c r="C1291" s="29" t="str">
        <f>VLOOKUP(B1291,教育部大学名单!$B$1:$D$2920,3,FALSE)</f>
        <v>重庆市教委</v>
      </c>
      <c r="D1291" s="34" t="s">
        <v>951</v>
      </c>
      <c r="E1291" s="34" t="s">
        <v>951</v>
      </c>
      <c r="F1291" s="36" t="str">
        <f>IFERROR(VLOOKUP(B1291,'985'!$B$2:$D$40,3,FALSE),"")</f>
        <v/>
      </c>
      <c r="G1291" s="32" t="str">
        <f>IFERROR(VLOOKUP(B1291,'211'!$B$2:$D$116,3,FALSE),"")</f>
        <v/>
      </c>
      <c r="H1291" s="32" t="str">
        <f>IFERROR(VLOOKUP(B1291,双一流!$B$2:$D$148,3,FALSE),"")</f>
        <v/>
      </c>
      <c r="I1291" s="32">
        <f>IFERROR(VLOOKUP(B1291,汇总!$B$2:$I$2921,8,FALSE),"")</f>
        <v>0</v>
      </c>
      <c r="J1291" s="34" t="s">
        <v>11</v>
      </c>
      <c r="K1291" s="35" t="s">
        <v>1252</v>
      </c>
    </row>
    <row r="1292" ht="33.75" spans="1:11">
      <c r="A1292" s="29">
        <v>1291</v>
      </c>
      <c r="B1292" s="29" t="s">
        <v>1603</v>
      </c>
      <c r="C1292" s="29" t="str">
        <f>VLOOKUP(B1292,教育部大学名单!$B$1:$D$2920,3,FALSE)</f>
        <v>四川省教育厅</v>
      </c>
      <c r="D1292" s="29" t="s">
        <v>971</v>
      </c>
      <c r="E1292" s="29" t="s">
        <v>972</v>
      </c>
      <c r="F1292" s="36" t="str">
        <f>IFERROR(VLOOKUP(B1292,'985'!$B$2:$D$40,3,FALSE),"")</f>
        <v/>
      </c>
      <c r="G1292" s="32" t="str">
        <f>IFERROR(VLOOKUP(B1292,'211'!$B$2:$D$116,3,FALSE),"")</f>
        <v/>
      </c>
      <c r="H1292" s="32" t="str">
        <f>IFERROR(VLOOKUP(B1292,双一流!$B$2:$D$148,3,FALSE),"")</f>
        <v/>
      </c>
      <c r="I1292" s="32">
        <f>IFERROR(VLOOKUP(B1292,汇总!$B$2:$I$2921,8,FALSE),"")</f>
        <v>0</v>
      </c>
      <c r="J1292" s="29" t="s">
        <v>11</v>
      </c>
      <c r="K1292" s="33" t="s">
        <v>1252</v>
      </c>
    </row>
    <row r="1293" ht="33.75" spans="1:11">
      <c r="A1293" s="34">
        <v>1292</v>
      </c>
      <c r="B1293" s="34" t="s">
        <v>1604</v>
      </c>
      <c r="C1293" s="29" t="str">
        <f>VLOOKUP(B1293,教育部大学名单!$B$1:$D$2920,3,FALSE)</f>
        <v>四川省教育厅</v>
      </c>
      <c r="D1293" s="34" t="s">
        <v>971</v>
      </c>
      <c r="E1293" s="34" t="s">
        <v>972</v>
      </c>
      <c r="F1293" s="36" t="str">
        <f>IFERROR(VLOOKUP(B1293,'985'!$B$2:$D$40,3,FALSE),"")</f>
        <v/>
      </c>
      <c r="G1293" s="32" t="str">
        <f>IFERROR(VLOOKUP(B1293,'211'!$B$2:$D$116,3,FALSE),"")</f>
        <v/>
      </c>
      <c r="H1293" s="32" t="str">
        <f>IFERROR(VLOOKUP(B1293,双一流!$B$2:$D$148,3,FALSE),"")</f>
        <v/>
      </c>
      <c r="I1293" s="32">
        <f>IFERROR(VLOOKUP(B1293,汇总!$B$2:$I$2921,8,FALSE),"")</f>
        <v>0</v>
      </c>
      <c r="J1293" s="34" t="s">
        <v>11</v>
      </c>
      <c r="K1293" s="35" t="s">
        <v>1252</v>
      </c>
    </row>
    <row r="1294" ht="33.75" spans="1:11">
      <c r="A1294" s="29">
        <v>1293</v>
      </c>
      <c r="B1294" s="29" t="s">
        <v>1605</v>
      </c>
      <c r="C1294" s="29" t="str">
        <f>VLOOKUP(B1294,教育部大学名单!$B$1:$D$2920,3,FALSE)</f>
        <v>四川省教育厅</v>
      </c>
      <c r="D1294" s="29" t="s">
        <v>971</v>
      </c>
      <c r="E1294" s="29" t="s">
        <v>972</v>
      </c>
      <c r="F1294" s="36" t="str">
        <f>IFERROR(VLOOKUP(B1294,'985'!$B$2:$D$40,3,FALSE),"")</f>
        <v/>
      </c>
      <c r="G1294" s="32" t="str">
        <f>IFERROR(VLOOKUP(B1294,'211'!$B$2:$D$116,3,FALSE),"")</f>
        <v/>
      </c>
      <c r="H1294" s="32" t="str">
        <f>IFERROR(VLOOKUP(B1294,双一流!$B$2:$D$148,3,FALSE),"")</f>
        <v/>
      </c>
      <c r="I1294" s="32" t="str">
        <f>IFERROR(VLOOKUP(B1294,汇总!$B$2:$I$2921,8,FALSE),"")</f>
        <v>综合</v>
      </c>
      <c r="J1294" s="29" t="s">
        <v>11</v>
      </c>
      <c r="K1294" s="33" t="s">
        <v>1252</v>
      </c>
    </row>
    <row r="1295" ht="50.25" spans="1:11">
      <c r="A1295" s="34">
        <v>1294</v>
      </c>
      <c r="B1295" s="34" t="s">
        <v>1606</v>
      </c>
      <c r="C1295" s="29" t="str">
        <f>VLOOKUP(B1295,教育部大学名单!$B$1:$D$2920,3,FALSE)</f>
        <v>四川省教育厅</v>
      </c>
      <c r="D1295" s="34" t="s">
        <v>971</v>
      </c>
      <c r="E1295" s="34" t="s">
        <v>1006</v>
      </c>
      <c r="F1295" s="36" t="str">
        <f>IFERROR(VLOOKUP(B1295,'985'!$B$2:$D$40,3,FALSE),"")</f>
        <v/>
      </c>
      <c r="G1295" s="32" t="str">
        <f>IFERROR(VLOOKUP(B1295,'211'!$B$2:$D$116,3,FALSE),"")</f>
        <v/>
      </c>
      <c r="H1295" s="32" t="str">
        <f>IFERROR(VLOOKUP(B1295,双一流!$B$2:$D$148,3,FALSE),"")</f>
        <v/>
      </c>
      <c r="I1295" s="32" t="str">
        <f>IFERROR(VLOOKUP(B1295,汇总!$B$2:$I$2921,8,FALSE),"")</f>
        <v>理工</v>
      </c>
      <c r="J1295" s="34" t="s">
        <v>11</v>
      </c>
      <c r="K1295" s="35" t="s">
        <v>1252</v>
      </c>
    </row>
    <row r="1296" ht="33.75" spans="1:11">
      <c r="A1296" s="29">
        <v>1295</v>
      </c>
      <c r="B1296" s="29" t="s">
        <v>1607</v>
      </c>
      <c r="C1296" s="29" t="str">
        <f>VLOOKUP(B1296,教育部大学名单!$B$1:$D$2920,3,FALSE)</f>
        <v>四川省教育厅</v>
      </c>
      <c r="D1296" s="29" t="s">
        <v>971</v>
      </c>
      <c r="E1296" s="29" t="s">
        <v>972</v>
      </c>
      <c r="F1296" s="36" t="str">
        <f>IFERROR(VLOOKUP(B1296,'985'!$B$2:$D$40,3,FALSE),"")</f>
        <v/>
      </c>
      <c r="G1296" s="32" t="str">
        <f>IFERROR(VLOOKUP(B1296,'211'!$B$2:$D$116,3,FALSE),"")</f>
        <v/>
      </c>
      <c r="H1296" s="32" t="str">
        <f>IFERROR(VLOOKUP(B1296,双一流!$B$2:$D$148,3,FALSE),"")</f>
        <v/>
      </c>
      <c r="I1296" s="32">
        <f>IFERROR(VLOOKUP(B1296,汇总!$B$2:$I$2921,8,FALSE),"")</f>
        <v>0</v>
      </c>
      <c r="J1296" s="29" t="s">
        <v>11</v>
      </c>
      <c r="K1296" s="33" t="s">
        <v>1252</v>
      </c>
    </row>
    <row r="1297" ht="33.75" spans="1:11">
      <c r="A1297" s="34">
        <v>1296</v>
      </c>
      <c r="B1297" s="34" t="s">
        <v>1608</v>
      </c>
      <c r="C1297" s="29" t="str">
        <f>VLOOKUP(B1297,教育部大学名单!$B$1:$D$2920,3,FALSE)</f>
        <v>四川省教育厅</v>
      </c>
      <c r="D1297" s="34" t="s">
        <v>971</v>
      </c>
      <c r="E1297" s="34" t="s">
        <v>972</v>
      </c>
      <c r="F1297" s="36" t="str">
        <f>IFERROR(VLOOKUP(B1297,'985'!$B$2:$D$40,3,FALSE),"")</f>
        <v/>
      </c>
      <c r="G1297" s="32" t="str">
        <f>IFERROR(VLOOKUP(B1297,'211'!$B$2:$D$116,3,FALSE),"")</f>
        <v/>
      </c>
      <c r="H1297" s="32" t="str">
        <f>IFERROR(VLOOKUP(B1297,双一流!$B$2:$D$148,3,FALSE),"")</f>
        <v/>
      </c>
      <c r="I1297" s="32">
        <f>IFERROR(VLOOKUP(B1297,汇总!$B$2:$I$2921,8,FALSE),"")</f>
        <v>0</v>
      </c>
      <c r="J1297" s="34" t="s">
        <v>11</v>
      </c>
      <c r="K1297" s="35" t="s">
        <v>1252</v>
      </c>
    </row>
    <row r="1298" ht="33.75" spans="1:11">
      <c r="A1298" s="29">
        <v>1297</v>
      </c>
      <c r="B1298" s="29" t="s">
        <v>1609</v>
      </c>
      <c r="C1298" s="29" t="str">
        <f>VLOOKUP(B1298,教育部大学名单!$B$1:$D$2920,3,FALSE)</f>
        <v>四川省教育厅</v>
      </c>
      <c r="D1298" s="29" t="s">
        <v>971</v>
      </c>
      <c r="E1298" s="29" t="s">
        <v>972</v>
      </c>
      <c r="F1298" s="36" t="str">
        <f>IFERROR(VLOOKUP(B1298,'985'!$B$2:$D$40,3,FALSE),"")</f>
        <v/>
      </c>
      <c r="G1298" s="32" t="str">
        <f>IFERROR(VLOOKUP(B1298,'211'!$B$2:$D$116,3,FALSE),"")</f>
        <v/>
      </c>
      <c r="H1298" s="32" t="str">
        <f>IFERROR(VLOOKUP(B1298,双一流!$B$2:$D$148,3,FALSE),"")</f>
        <v/>
      </c>
      <c r="I1298" s="32">
        <f>IFERROR(VLOOKUP(B1298,汇总!$B$2:$I$2921,8,FALSE),"")</f>
        <v>0</v>
      </c>
      <c r="J1298" s="29" t="s">
        <v>11</v>
      </c>
      <c r="K1298" s="33" t="s">
        <v>1252</v>
      </c>
    </row>
    <row r="1299" ht="33.75" spans="1:11">
      <c r="A1299" s="34">
        <v>1298</v>
      </c>
      <c r="B1299" s="34" t="s">
        <v>1610</v>
      </c>
      <c r="C1299" s="29" t="str">
        <f>VLOOKUP(B1299,教育部大学名单!$B$1:$D$2920,3,FALSE)</f>
        <v>四川省教育厅</v>
      </c>
      <c r="D1299" s="34" t="s">
        <v>971</v>
      </c>
      <c r="E1299" s="34" t="s">
        <v>972</v>
      </c>
      <c r="F1299" s="36" t="str">
        <f>IFERROR(VLOOKUP(B1299,'985'!$B$2:$D$40,3,FALSE),"")</f>
        <v/>
      </c>
      <c r="G1299" s="32" t="str">
        <f>IFERROR(VLOOKUP(B1299,'211'!$B$2:$D$116,3,FALSE),"")</f>
        <v/>
      </c>
      <c r="H1299" s="32" t="str">
        <f>IFERROR(VLOOKUP(B1299,双一流!$B$2:$D$148,3,FALSE),"")</f>
        <v/>
      </c>
      <c r="I1299" s="32">
        <f>IFERROR(VLOOKUP(B1299,汇总!$B$2:$I$2921,8,FALSE),"")</f>
        <v>0</v>
      </c>
      <c r="J1299" s="34" t="s">
        <v>11</v>
      </c>
      <c r="K1299" s="35" t="s">
        <v>1252</v>
      </c>
    </row>
    <row r="1300" ht="33.75" spans="1:11">
      <c r="A1300" s="29">
        <v>1299</v>
      </c>
      <c r="B1300" s="29" t="s">
        <v>1611</v>
      </c>
      <c r="C1300" s="29" t="str">
        <f>VLOOKUP(B1300,教育部大学名单!$B$1:$D$2920,3,FALSE)</f>
        <v>四川省教育厅</v>
      </c>
      <c r="D1300" s="29" t="s">
        <v>971</v>
      </c>
      <c r="E1300" s="29" t="s">
        <v>972</v>
      </c>
      <c r="F1300" s="36" t="str">
        <f>IFERROR(VLOOKUP(B1300,'985'!$B$2:$D$40,3,FALSE),"")</f>
        <v/>
      </c>
      <c r="G1300" s="32" t="str">
        <f>IFERROR(VLOOKUP(B1300,'211'!$B$2:$D$116,3,FALSE),"")</f>
        <v/>
      </c>
      <c r="H1300" s="32" t="str">
        <f>IFERROR(VLOOKUP(B1300,双一流!$B$2:$D$148,3,FALSE),"")</f>
        <v/>
      </c>
      <c r="I1300" s="32">
        <f>IFERROR(VLOOKUP(B1300,汇总!$B$2:$I$2921,8,FALSE),"")</f>
        <v>0</v>
      </c>
      <c r="J1300" s="29" t="s">
        <v>11</v>
      </c>
      <c r="K1300" s="33" t="s">
        <v>1252</v>
      </c>
    </row>
    <row r="1301" ht="33.75" spans="1:11">
      <c r="A1301" s="34">
        <v>1300</v>
      </c>
      <c r="B1301" s="34" t="s">
        <v>1612</v>
      </c>
      <c r="C1301" s="29" t="str">
        <f>VLOOKUP(B1301,教育部大学名单!$B$1:$D$2920,3,FALSE)</f>
        <v>四川省教育厅</v>
      </c>
      <c r="D1301" s="34" t="s">
        <v>971</v>
      </c>
      <c r="E1301" s="34" t="s">
        <v>984</v>
      </c>
      <c r="F1301" s="36" t="str">
        <f>IFERROR(VLOOKUP(B1301,'985'!$B$2:$D$40,3,FALSE),"")</f>
        <v/>
      </c>
      <c r="G1301" s="32" t="str">
        <f>IFERROR(VLOOKUP(B1301,'211'!$B$2:$D$116,3,FALSE),"")</f>
        <v/>
      </c>
      <c r="H1301" s="32" t="str">
        <f>IFERROR(VLOOKUP(B1301,双一流!$B$2:$D$148,3,FALSE),"")</f>
        <v/>
      </c>
      <c r="I1301" s="32">
        <f>IFERROR(VLOOKUP(B1301,汇总!$B$2:$I$2921,8,FALSE),"")</f>
        <v>0</v>
      </c>
      <c r="J1301" s="34" t="s">
        <v>11</v>
      </c>
      <c r="K1301" s="35" t="s">
        <v>1252</v>
      </c>
    </row>
    <row r="1302" ht="33.75" spans="1:11">
      <c r="A1302" s="29">
        <v>1301</v>
      </c>
      <c r="B1302" s="29" t="s">
        <v>1613</v>
      </c>
      <c r="C1302" s="29" t="str">
        <f>VLOOKUP(B1302,教育部大学名单!$B$1:$D$2920,3,FALSE)</f>
        <v>四川省教育厅</v>
      </c>
      <c r="D1302" s="29" t="s">
        <v>971</v>
      </c>
      <c r="E1302" s="29" t="s">
        <v>972</v>
      </c>
      <c r="F1302" s="36" t="str">
        <f>IFERROR(VLOOKUP(B1302,'985'!$B$2:$D$40,3,FALSE),"")</f>
        <v/>
      </c>
      <c r="G1302" s="32" t="str">
        <f>IFERROR(VLOOKUP(B1302,'211'!$B$2:$D$116,3,FALSE),"")</f>
        <v/>
      </c>
      <c r="H1302" s="32" t="str">
        <f>IFERROR(VLOOKUP(B1302,双一流!$B$2:$D$148,3,FALSE),"")</f>
        <v/>
      </c>
      <c r="I1302" s="32">
        <f>IFERROR(VLOOKUP(B1302,汇总!$B$2:$I$2921,8,FALSE),"")</f>
        <v>0</v>
      </c>
      <c r="J1302" s="29" t="s">
        <v>11</v>
      </c>
      <c r="K1302" s="33" t="s">
        <v>1252</v>
      </c>
    </row>
    <row r="1303" ht="33.75" spans="1:11">
      <c r="A1303" s="34">
        <v>1302</v>
      </c>
      <c r="B1303" s="34" t="s">
        <v>1614</v>
      </c>
      <c r="C1303" s="29" t="str">
        <f>VLOOKUP(B1303,教育部大学名单!$B$1:$D$2920,3,FALSE)</f>
        <v>四川省教育厅</v>
      </c>
      <c r="D1303" s="34" t="s">
        <v>971</v>
      </c>
      <c r="E1303" s="34" t="s">
        <v>978</v>
      </c>
      <c r="F1303" s="36" t="str">
        <f>IFERROR(VLOOKUP(B1303,'985'!$B$2:$D$40,3,FALSE),"")</f>
        <v/>
      </c>
      <c r="G1303" s="32" t="str">
        <f>IFERROR(VLOOKUP(B1303,'211'!$B$2:$D$116,3,FALSE),"")</f>
        <v/>
      </c>
      <c r="H1303" s="32" t="str">
        <f>IFERROR(VLOOKUP(B1303,双一流!$B$2:$D$148,3,FALSE),"")</f>
        <v/>
      </c>
      <c r="I1303" s="32" t="str">
        <f>IFERROR(VLOOKUP(B1303,汇总!$B$2:$I$2921,8,FALSE),"")</f>
        <v>综合</v>
      </c>
      <c r="J1303" s="34" t="s">
        <v>11</v>
      </c>
      <c r="K1303" s="35" t="s">
        <v>1252</v>
      </c>
    </row>
    <row r="1304" ht="33.75" spans="1:11">
      <c r="A1304" s="29">
        <v>1303</v>
      </c>
      <c r="B1304" s="29" t="s">
        <v>1615</v>
      </c>
      <c r="C1304" s="29" t="str">
        <f>VLOOKUP(B1304,教育部大学名单!$B$1:$D$2920,3,FALSE)</f>
        <v>四川省教育厅</v>
      </c>
      <c r="D1304" s="29" t="s">
        <v>971</v>
      </c>
      <c r="E1304" s="29" t="s">
        <v>1616</v>
      </c>
      <c r="F1304" s="36" t="str">
        <f>IFERROR(VLOOKUP(B1304,'985'!$B$2:$D$40,3,FALSE),"")</f>
        <v/>
      </c>
      <c r="G1304" s="32" t="str">
        <f>IFERROR(VLOOKUP(B1304,'211'!$B$2:$D$116,3,FALSE),"")</f>
        <v/>
      </c>
      <c r="H1304" s="32" t="str">
        <f>IFERROR(VLOOKUP(B1304,双一流!$B$2:$D$148,3,FALSE),"")</f>
        <v/>
      </c>
      <c r="I1304" s="32" t="str">
        <f>IFERROR(VLOOKUP(B1304,汇总!$B$2:$I$2921,8,FALSE),"")</f>
        <v>综合</v>
      </c>
      <c r="J1304" s="29" t="s">
        <v>11</v>
      </c>
      <c r="K1304" s="33" t="s">
        <v>1252</v>
      </c>
    </row>
    <row r="1305" ht="33.75" spans="1:11">
      <c r="A1305" s="34">
        <v>1304</v>
      </c>
      <c r="B1305" s="34" t="s">
        <v>1617</v>
      </c>
      <c r="C1305" s="29" t="str">
        <f>VLOOKUP(B1305,教育部大学名单!$B$1:$D$2920,3,FALSE)</f>
        <v>四川省教育厅</v>
      </c>
      <c r="D1305" s="34" t="s">
        <v>971</v>
      </c>
      <c r="E1305" s="34" t="s">
        <v>978</v>
      </c>
      <c r="F1305" s="36" t="str">
        <f>IFERROR(VLOOKUP(B1305,'985'!$B$2:$D$40,3,FALSE),"")</f>
        <v/>
      </c>
      <c r="G1305" s="32" t="str">
        <f>IFERROR(VLOOKUP(B1305,'211'!$B$2:$D$116,3,FALSE),"")</f>
        <v/>
      </c>
      <c r="H1305" s="32" t="str">
        <f>IFERROR(VLOOKUP(B1305,双一流!$B$2:$D$148,3,FALSE),"")</f>
        <v/>
      </c>
      <c r="I1305" s="32">
        <f>IFERROR(VLOOKUP(B1305,汇总!$B$2:$I$2921,8,FALSE),"")</f>
        <v>0</v>
      </c>
      <c r="J1305" s="34" t="s">
        <v>11</v>
      </c>
      <c r="K1305" s="35" t="s">
        <v>1252</v>
      </c>
    </row>
    <row r="1306" ht="33.75" spans="1:11">
      <c r="A1306" s="29">
        <v>1305</v>
      </c>
      <c r="B1306" s="29" t="s">
        <v>1618</v>
      </c>
      <c r="C1306" s="29" t="str">
        <f>VLOOKUP(B1306,教育部大学名单!$B$1:$D$2920,3,FALSE)</f>
        <v>四川省教育厅</v>
      </c>
      <c r="D1306" s="29" t="s">
        <v>971</v>
      </c>
      <c r="E1306" s="29" t="s">
        <v>978</v>
      </c>
      <c r="F1306" s="36" t="str">
        <f>IFERROR(VLOOKUP(B1306,'985'!$B$2:$D$40,3,FALSE),"")</f>
        <v/>
      </c>
      <c r="G1306" s="32" t="str">
        <f>IFERROR(VLOOKUP(B1306,'211'!$B$2:$D$116,3,FALSE),"")</f>
        <v/>
      </c>
      <c r="H1306" s="32" t="str">
        <f>IFERROR(VLOOKUP(B1306,双一流!$B$2:$D$148,3,FALSE),"")</f>
        <v/>
      </c>
      <c r="I1306" s="32">
        <f>IFERROR(VLOOKUP(B1306,汇总!$B$2:$I$2921,8,FALSE),"")</f>
        <v>0</v>
      </c>
      <c r="J1306" s="29" t="s">
        <v>11</v>
      </c>
      <c r="K1306" s="33" t="s">
        <v>1252</v>
      </c>
    </row>
    <row r="1307" ht="33.75" spans="1:11">
      <c r="A1307" s="34">
        <v>1306</v>
      </c>
      <c r="B1307" s="34" t="s">
        <v>1619</v>
      </c>
      <c r="C1307" s="29" t="str">
        <f>VLOOKUP(B1307,教育部大学名单!$B$1:$D$2920,3,FALSE)</f>
        <v>四川省教育厅</v>
      </c>
      <c r="D1307" s="34" t="s">
        <v>971</v>
      </c>
      <c r="E1307" s="34" t="s">
        <v>993</v>
      </c>
      <c r="F1307" s="36" t="str">
        <f>IFERROR(VLOOKUP(B1307,'985'!$B$2:$D$40,3,FALSE),"")</f>
        <v/>
      </c>
      <c r="G1307" s="32" t="str">
        <f>IFERROR(VLOOKUP(B1307,'211'!$B$2:$D$116,3,FALSE),"")</f>
        <v/>
      </c>
      <c r="H1307" s="32" t="str">
        <f>IFERROR(VLOOKUP(B1307,双一流!$B$2:$D$148,3,FALSE),"")</f>
        <v/>
      </c>
      <c r="I1307" s="32" t="str">
        <f>IFERROR(VLOOKUP(B1307,汇总!$B$2:$I$2921,8,FALSE),"")</f>
        <v>理工</v>
      </c>
      <c r="J1307" s="34" t="s">
        <v>11</v>
      </c>
      <c r="K1307" s="35" t="s">
        <v>1252</v>
      </c>
    </row>
    <row r="1308" ht="33.75" spans="1:11">
      <c r="A1308" s="29">
        <v>1307</v>
      </c>
      <c r="B1308" s="29" t="s">
        <v>1620</v>
      </c>
      <c r="C1308" s="29" t="str">
        <f>VLOOKUP(B1308,教育部大学名单!$B$1:$D$2920,3,FALSE)</f>
        <v>四川省教育厅</v>
      </c>
      <c r="D1308" s="29" t="s">
        <v>971</v>
      </c>
      <c r="E1308" s="29" t="s">
        <v>972</v>
      </c>
      <c r="F1308" s="36" t="str">
        <f>IFERROR(VLOOKUP(B1308,'985'!$B$2:$D$40,3,FALSE),"")</f>
        <v/>
      </c>
      <c r="G1308" s="32" t="str">
        <f>IFERROR(VLOOKUP(B1308,'211'!$B$2:$D$116,3,FALSE),"")</f>
        <v/>
      </c>
      <c r="H1308" s="32" t="str">
        <f>IFERROR(VLOOKUP(B1308,双一流!$B$2:$D$148,3,FALSE),"")</f>
        <v/>
      </c>
      <c r="I1308" s="32">
        <f>IFERROR(VLOOKUP(B1308,汇总!$B$2:$I$2921,8,FALSE),"")</f>
        <v>0</v>
      </c>
      <c r="J1308" s="29" t="s">
        <v>11</v>
      </c>
      <c r="K1308" s="33" t="s">
        <v>1252</v>
      </c>
    </row>
    <row r="1309" ht="33.75" spans="1:11">
      <c r="A1309" s="34">
        <v>1308</v>
      </c>
      <c r="B1309" s="34" t="s">
        <v>1621</v>
      </c>
      <c r="C1309" s="29" t="str">
        <f>VLOOKUP(B1309,教育部大学名单!$B$1:$D$2920,3,FALSE)</f>
        <v>四川省教育厅</v>
      </c>
      <c r="D1309" s="34" t="s">
        <v>971</v>
      </c>
      <c r="E1309" s="34" t="s">
        <v>972</v>
      </c>
      <c r="F1309" s="36" t="str">
        <f>IFERROR(VLOOKUP(B1309,'985'!$B$2:$D$40,3,FALSE),"")</f>
        <v/>
      </c>
      <c r="G1309" s="32" t="str">
        <f>IFERROR(VLOOKUP(B1309,'211'!$B$2:$D$116,3,FALSE),"")</f>
        <v/>
      </c>
      <c r="H1309" s="32" t="str">
        <f>IFERROR(VLOOKUP(B1309,双一流!$B$2:$D$148,3,FALSE),"")</f>
        <v/>
      </c>
      <c r="I1309" s="32">
        <f>IFERROR(VLOOKUP(B1309,汇总!$B$2:$I$2921,8,FALSE),"")</f>
        <v>0</v>
      </c>
      <c r="J1309" s="34" t="s">
        <v>11</v>
      </c>
      <c r="K1309" s="35" t="s">
        <v>1252</v>
      </c>
    </row>
    <row r="1310" ht="50.25" spans="1:11">
      <c r="A1310" s="29">
        <v>1309</v>
      </c>
      <c r="B1310" s="29" t="s">
        <v>1622</v>
      </c>
      <c r="C1310" s="29" t="str">
        <f>VLOOKUP(B1310,教育部大学名单!$B$1:$D$2920,3,FALSE)</f>
        <v>贵州省教育厅</v>
      </c>
      <c r="D1310" s="29" t="s">
        <v>1026</v>
      </c>
      <c r="E1310" s="29" t="s">
        <v>1027</v>
      </c>
      <c r="F1310" s="36" t="str">
        <f>IFERROR(VLOOKUP(B1310,'985'!$B$2:$D$40,3,FALSE),"")</f>
        <v/>
      </c>
      <c r="G1310" s="32" t="str">
        <f>IFERROR(VLOOKUP(B1310,'211'!$B$2:$D$116,3,FALSE),"")</f>
        <v/>
      </c>
      <c r="H1310" s="32" t="str">
        <f>IFERROR(VLOOKUP(B1310,双一流!$B$2:$D$148,3,FALSE),"")</f>
        <v/>
      </c>
      <c r="I1310" s="32" t="str">
        <f>IFERROR(VLOOKUP(B1310,汇总!$B$2:$I$2921,8,FALSE),"")</f>
        <v>医药</v>
      </c>
      <c r="J1310" s="29" t="s">
        <v>11</v>
      </c>
      <c r="K1310" s="33" t="s">
        <v>1252</v>
      </c>
    </row>
    <row r="1311" ht="33.75" spans="1:11">
      <c r="A1311" s="34">
        <v>1310</v>
      </c>
      <c r="B1311" s="34" t="s">
        <v>1623</v>
      </c>
      <c r="C1311" s="29" t="str">
        <f>VLOOKUP(B1311,教育部大学名单!$B$1:$D$2920,3,FALSE)</f>
        <v>贵州省教育厅</v>
      </c>
      <c r="D1311" s="34" t="s">
        <v>1026</v>
      </c>
      <c r="E1311" s="34" t="s">
        <v>1045</v>
      </c>
      <c r="F1311" s="36" t="str">
        <f>IFERROR(VLOOKUP(B1311,'985'!$B$2:$D$40,3,FALSE),"")</f>
        <v/>
      </c>
      <c r="G1311" s="32" t="str">
        <f>IFERROR(VLOOKUP(B1311,'211'!$B$2:$D$116,3,FALSE),"")</f>
        <v/>
      </c>
      <c r="H1311" s="32" t="str">
        <f>IFERROR(VLOOKUP(B1311,双一流!$B$2:$D$148,3,FALSE),"")</f>
        <v/>
      </c>
      <c r="I1311" s="32">
        <f>IFERROR(VLOOKUP(B1311,汇总!$B$2:$I$2921,8,FALSE),"")</f>
        <v>0</v>
      </c>
      <c r="J1311" s="34" t="s">
        <v>11</v>
      </c>
      <c r="K1311" s="35" t="s">
        <v>1252</v>
      </c>
    </row>
    <row r="1312" ht="33.75" spans="1:11">
      <c r="A1312" s="29">
        <v>1311</v>
      </c>
      <c r="B1312" s="29" t="s">
        <v>1624</v>
      </c>
      <c r="C1312" s="29" t="str">
        <f>VLOOKUP(B1312,教育部大学名单!$B$1:$D$2920,3,FALSE)</f>
        <v>贵州省教育厅</v>
      </c>
      <c r="D1312" s="29" t="s">
        <v>1026</v>
      </c>
      <c r="E1312" s="29" t="s">
        <v>1045</v>
      </c>
      <c r="F1312" s="36" t="str">
        <f>IFERROR(VLOOKUP(B1312,'985'!$B$2:$D$40,3,FALSE),"")</f>
        <v/>
      </c>
      <c r="G1312" s="32" t="str">
        <f>IFERROR(VLOOKUP(B1312,'211'!$B$2:$D$116,3,FALSE),"")</f>
        <v/>
      </c>
      <c r="H1312" s="32" t="str">
        <f>IFERROR(VLOOKUP(B1312,双一流!$B$2:$D$148,3,FALSE),"")</f>
        <v/>
      </c>
      <c r="I1312" s="32">
        <f>IFERROR(VLOOKUP(B1312,汇总!$B$2:$I$2921,8,FALSE),"")</f>
        <v>0</v>
      </c>
      <c r="J1312" s="29" t="s">
        <v>11</v>
      </c>
      <c r="K1312" s="33" t="s">
        <v>1252</v>
      </c>
    </row>
    <row r="1313" ht="33.75" spans="1:11">
      <c r="A1313" s="34">
        <v>1312</v>
      </c>
      <c r="B1313" s="34" t="s">
        <v>1625</v>
      </c>
      <c r="C1313" s="29" t="str">
        <f>VLOOKUP(B1313,教育部大学名单!$B$1:$D$2920,3,FALSE)</f>
        <v>贵州省教育厅</v>
      </c>
      <c r="D1313" s="34" t="s">
        <v>1026</v>
      </c>
      <c r="E1313" s="34" t="s">
        <v>1027</v>
      </c>
      <c r="F1313" s="36" t="str">
        <f>IFERROR(VLOOKUP(B1313,'985'!$B$2:$D$40,3,FALSE),"")</f>
        <v/>
      </c>
      <c r="G1313" s="32" t="str">
        <f>IFERROR(VLOOKUP(B1313,'211'!$B$2:$D$116,3,FALSE),"")</f>
        <v/>
      </c>
      <c r="H1313" s="32" t="str">
        <f>IFERROR(VLOOKUP(B1313,双一流!$B$2:$D$148,3,FALSE),"")</f>
        <v/>
      </c>
      <c r="I1313" s="32">
        <f>IFERROR(VLOOKUP(B1313,汇总!$B$2:$I$2921,8,FALSE),"")</f>
        <v>0</v>
      </c>
      <c r="J1313" s="34" t="s">
        <v>11</v>
      </c>
      <c r="K1313" s="35" t="s">
        <v>1252</v>
      </c>
    </row>
    <row r="1314" ht="33.75" spans="1:11">
      <c r="A1314" s="29">
        <v>1313</v>
      </c>
      <c r="B1314" s="29" t="s">
        <v>1626</v>
      </c>
      <c r="C1314" s="29" t="str">
        <f>VLOOKUP(B1314,教育部大学名单!$B$1:$D$2920,3,FALSE)</f>
        <v>贵州省教育厅</v>
      </c>
      <c r="D1314" s="29" t="s">
        <v>1026</v>
      </c>
      <c r="E1314" s="29" t="s">
        <v>1027</v>
      </c>
      <c r="F1314" s="36" t="str">
        <f>IFERROR(VLOOKUP(B1314,'985'!$B$2:$D$40,3,FALSE),"")</f>
        <v/>
      </c>
      <c r="G1314" s="32" t="str">
        <f>IFERROR(VLOOKUP(B1314,'211'!$B$2:$D$116,3,FALSE),"")</f>
        <v/>
      </c>
      <c r="H1314" s="32" t="str">
        <f>IFERROR(VLOOKUP(B1314,双一流!$B$2:$D$148,3,FALSE),"")</f>
        <v/>
      </c>
      <c r="I1314" s="32">
        <f>IFERROR(VLOOKUP(B1314,汇总!$B$2:$I$2921,8,FALSE),"")</f>
        <v>0</v>
      </c>
      <c r="J1314" s="29" t="s">
        <v>11</v>
      </c>
      <c r="K1314" s="33" t="s">
        <v>1252</v>
      </c>
    </row>
    <row r="1315" ht="50.25" spans="1:11">
      <c r="A1315" s="34">
        <v>1314</v>
      </c>
      <c r="B1315" s="34" t="s">
        <v>1627</v>
      </c>
      <c r="C1315" s="29" t="str">
        <f>VLOOKUP(B1315,教育部大学名单!$B$1:$D$2920,3,FALSE)</f>
        <v>贵州省教育厅</v>
      </c>
      <c r="D1315" s="34" t="s">
        <v>1026</v>
      </c>
      <c r="E1315" s="34" t="s">
        <v>1030</v>
      </c>
      <c r="F1315" s="36" t="str">
        <f>IFERROR(VLOOKUP(B1315,'985'!$B$2:$D$40,3,FALSE),"")</f>
        <v/>
      </c>
      <c r="G1315" s="32" t="str">
        <f>IFERROR(VLOOKUP(B1315,'211'!$B$2:$D$116,3,FALSE),"")</f>
        <v/>
      </c>
      <c r="H1315" s="32" t="str">
        <f>IFERROR(VLOOKUP(B1315,双一流!$B$2:$D$148,3,FALSE),"")</f>
        <v/>
      </c>
      <c r="I1315" s="32" t="str">
        <f>IFERROR(VLOOKUP(B1315,汇总!$B$2:$I$2921,8,FALSE),"")</f>
        <v>医药</v>
      </c>
      <c r="J1315" s="34" t="s">
        <v>11</v>
      </c>
      <c r="K1315" s="35" t="s">
        <v>1252</v>
      </c>
    </row>
    <row r="1316" ht="50.25" spans="1:11">
      <c r="A1316" s="29">
        <v>1315</v>
      </c>
      <c r="B1316" s="29" t="s">
        <v>1628</v>
      </c>
      <c r="C1316" s="29" t="str">
        <f>VLOOKUP(B1316,教育部大学名单!$B$1:$D$2920,3,FALSE)</f>
        <v>贵州省教育厅</v>
      </c>
      <c r="D1316" s="29" t="s">
        <v>1026</v>
      </c>
      <c r="E1316" s="29" t="s">
        <v>1027</v>
      </c>
      <c r="F1316" s="36" t="str">
        <f>IFERROR(VLOOKUP(B1316,'985'!$B$2:$D$40,3,FALSE),"")</f>
        <v/>
      </c>
      <c r="G1316" s="32" t="str">
        <f>IFERROR(VLOOKUP(B1316,'211'!$B$2:$D$116,3,FALSE),"")</f>
        <v/>
      </c>
      <c r="H1316" s="32" t="str">
        <f>IFERROR(VLOOKUP(B1316,双一流!$B$2:$D$148,3,FALSE),"")</f>
        <v/>
      </c>
      <c r="I1316" s="32" t="str">
        <f>IFERROR(VLOOKUP(B1316,汇总!$B$2:$I$2921,8,FALSE),"")</f>
        <v>医药</v>
      </c>
      <c r="J1316" s="29" t="s">
        <v>11</v>
      </c>
      <c r="K1316" s="33" t="s">
        <v>1252</v>
      </c>
    </row>
    <row r="1317" ht="33.75" spans="1:11">
      <c r="A1317" s="34">
        <v>1316</v>
      </c>
      <c r="B1317" s="34" t="s">
        <v>1629</v>
      </c>
      <c r="C1317" s="29" t="str">
        <f>VLOOKUP(B1317,教育部大学名单!$B$1:$D$2920,3,FALSE)</f>
        <v>贵州省教育厅</v>
      </c>
      <c r="D1317" s="34" t="s">
        <v>1026</v>
      </c>
      <c r="E1317" s="34" t="s">
        <v>1030</v>
      </c>
      <c r="F1317" s="36" t="str">
        <f>IFERROR(VLOOKUP(B1317,'985'!$B$2:$D$40,3,FALSE),"")</f>
        <v/>
      </c>
      <c r="G1317" s="32" t="str">
        <f>IFERROR(VLOOKUP(B1317,'211'!$B$2:$D$116,3,FALSE),"")</f>
        <v/>
      </c>
      <c r="H1317" s="32" t="str">
        <f>IFERROR(VLOOKUP(B1317,双一流!$B$2:$D$148,3,FALSE),"")</f>
        <v/>
      </c>
      <c r="I1317" s="32">
        <f>IFERROR(VLOOKUP(B1317,汇总!$B$2:$I$2921,8,FALSE),"")</f>
        <v>0</v>
      </c>
      <c r="J1317" s="34" t="s">
        <v>11</v>
      </c>
      <c r="K1317" s="35" t="s">
        <v>1252</v>
      </c>
    </row>
    <row r="1318" ht="33.75" spans="1:11">
      <c r="A1318" s="29">
        <v>1317</v>
      </c>
      <c r="B1318" s="29" t="s">
        <v>1630</v>
      </c>
      <c r="C1318" s="29" t="e">
        <f>VLOOKUP(B1318,教育部大学名单!$B$1:$D$2920,3,FALSE)</f>
        <v>#N/A</v>
      </c>
      <c r="D1318" s="29" t="s">
        <v>1026</v>
      </c>
      <c r="E1318" s="29" t="s">
        <v>1027</v>
      </c>
      <c r="F1318" s="36" t="str">
        <f>IFERROR(VLOOKUP(B1318,'985'!$B$2:$D$40,3,FALSE),"")</f>
        <v/>
      </c>
      <c r="G1318" s="32" t="str">
        <f>IFERROR(VLOOKUP(B1318,'211'!$B$2:$D$116,3,FALSE),"")</f>
        <v/>
      </c>
      <c r="H1318" s="32" t="str">
        <f>IFERROR(VLOOKUP(B1318,双一流!$B$2:$D$148,3,FALSE),"")</f>
        <v/>
      </c>
      <c r="I1318" s="32" t="str">
        <f>IFERROR(VLOOKUP(B1318,汇总!$B$2:$I$2921,8,FALSE),"")</f>
        <v/>
      </c>
      <c r="J1318" s="29" t="s">
        <v>11</v>
      </c>
      <c r="K1318" s="33" t="s">
        <v>1252</v>
      </c>
    </row>
    <row r="1319" ht="33.75" spans="1:11">
      <c r="A1319" s="34">
        <v>1318</v>
      </c>
      <c r="B1319" s="34" t="s">
        <v>1631</v>
      </c>
      <c r="C1319" s="29" t="str">
        <f>VLOOKUP(B1319,教育部大学名单!$B$1:$D$2920,3,FALSE)</f>
        <v>云南省教育厅</v>
      </c>
      <c r="D1319" s="34" t="s">
        <v>1060</v>
      </c>
      <c r="E1319" s="34" t="s">
        <v>1061</v>
      </c>
      <c r="F1319" s="36" t="str">
        <f>IFERROR(VLOOKUP(B1319,'985'!$B$2:$D$40,3,FALSE),"")</f>
        <v/>
      </c>
      <c r="G1319" s="32" t="str">
        <f>IFERROR(VLOOKUP(B1319,'211'!$B$2:$D$116,3,FALSE),"")</f>
        <v/>
      </c>
      <c r="H1319" s="32" t="str">
        <f>IFERROR(VLOOKUP(B1319,双一流!$B$2:$D$148,3,FALSE),"")</f>
        <v/>
      </c>
      <c r="I1319" s="32">
        <f>IFERROR(VLOOKUP(B1319,汇总!$B$2:$I$2921,8,FALSE),"")</f>
        <v>0</v>
      </c>
      <c r="J1319" s="34" t="s">
        <v>11</v>
      </c>
      <c r="K1319" s="35" t="s">
        <v>1252</v>
      </c>
    </row>
    <row r="1320" ht="33.75" spans="1:11">
      <c r="A1320" s="29">
        <v>1319</v>
      </c>
      <c r="B1320" s="29" t="s">
        <v>1632</v>
      </c>
      <c r="C1320" s="29" t="str">
        <f>VLOOKUP(B1320,教育部大学名单!$B$1:$D$2920,3,FALSE)</f>
        <v>云南省教育厅</v>
      </c>
      <c r="D1320" s="29" t="s">
        <v>1060</v>
      </c>
      <c r="E1320" s="29" t="s">
        <v>1061</v>
      </c>
      <c r="F1320" s="36" t="str">
        <f>IFERROR(VLOOKUP(B1320,'985'!$B$2:$D$40,3,FALSE),"")</f>
        <v/>
      </c>
      <c r="G1320" s="32" t="str">
        <f>IFERROR(VLOOKUP(B1320,'211'!$B$2:$D$116,3,FALSE),"")</f>
        <v/>
      </c>
      <c r="H1320" s="32" t="str">
        <f>IFERROR(VLOOKUP(B1320,双一流!$B$2:$D$148,3,FALSE),"")</f>
        <v/>
      </c>
      <c r="I1320" s="32">
        <f>IFERROR(VLOOKUP(B1320,汇总!$B$2:$I$2921,8,FALSE),"")</f>
        <v>0</v>
      </c>
      <c r="J1320" s="29" t="s">
        <v>11</v>
      </c>
      <c r="K1320" s="33" t="s">
        <v>1252</v>
      </c>
    </row>
    <row r="1321" ht="33.75" spans="1:11">
      <c r="A1321" s="34">
        <v>1320</v>
      </c>
      <c r="B1321" s="34" t="s">
        <v>1633</v>
      </c>
      <c r="C1321" s="29" t="str">
        <f>VLOOKUP(B1321,教育部大学名单!$B$1:$D$2920,3,FALSE)</f>
        <v>云南省教育厅</v>
      </c>
      <c r="D1321" s="34" t="s">
        <v>1060</v>
      </c>
      <c r="E1321" s="34" t="s">
        <v>1097</v>
      </c>
      <c r="F1321" s="36" t="str">
        <f>IFERROR(VLOOKUP(B1321,'985'!$B$2:$D$40,3,FALSE),"")</f>
        <v/>
      </c>
      <c r="G1321" s="32" t="str">
        <f>IFERROR(VLOOKUP(B1321,'211'!$B$2:$D$116,3,FALSE),"")</f>
        <v/>
      </c>
      <c r="H1321" s="32" t="str">
        <f>IFERROR(VLOOKUP(B1321,双一流!$B$2:$D$148,3,FALSE),"")</f>
        <v/>
      </c>
      <c r="I1321" s="32">
        <f>IFERROR(VLOOKUP(B1321,汇总!$B$2:$I$2921,8,FALSE),"")</f>
        <v>0</v>
      </c>
      <c r="J1321" s="34" t="s">
        <v>11</v>
      </c>
      <c r="K1321" s="35" t="s">
        <v>1252</v>
      </c>
    </row>
    <row r="1322" ht="33.75" spans="1:11">
      <c r="A1322" s="29">
        <v>1321</v>
      </c>
      <c r="B1322" s="29" t="s">
        <v>1634</v>
      </c>
      <c r="C1322" s="29" t="str">
        <f>VLOOKUP(B1322,教育部大学名单!$B$1:$D$2920,3,FALSE)</f>
        <v>云南省教育厅</v>
      </c>
      <c r="D1322" s="29" t="s">
        <v>1060</v>
      </c>
      <c r="E1322" s="29" t="s">
        <v>1061</v>
      </c>
      <c r="F1322" s="36" t="str">
        <f>IFERROR(VLOOKUP(B1322,'985'!$B$2:$D$40,3,FALSE),"")</f>
        <v/>
      </c>
      <c r="G1322" s="32" t="str">
        <f>IFERROR(VLOOKUP(B1322,'211'!$B$2:$D$116,3,FALSE),"")</f>
        <v/>
      </c>
      <c r="H1322" s="32" t="str">
        <f>IFERROR(VLOOKUP(B1322,双一流!$B$2:$D$148,3,FALSE),"")</f>
        <v/>
      </c>
      <c r="I1322" s="32" t="str">
        <f>IFERROR(VLOOKUP(B1322,汇总!$B$2:$I$2921,8,FALSE),"")</f>
        <v>理工</v>
      </c>
      <c r="J1322" s="29" t="s">
        <v>11</v>
      </c>
      <c r="K1322" s="33" t="s">
        <v>1252</v>
      </c>
    </row>
    <row r="1323" ht="33.75" spans="1:11">
      <c r="A1323" s="34">
        <v>1322</v>
      </c>
      <c r="B1323" s="34" t="s">
        <v>1635</v>
      </c>
      <c r="C1323" s="29" t="str">
        <f>VLOOKUP(B1323,教育部大学名单!$B$1:$D$2920,3,FALSE)</f>
        <v>云南省教育厅</v>
      </c>
      <c r="D1323" s="34" t="s">
        <v>1060</v>
      </c>
      <c r="E1323" s="34" t="s">
        <v>1061</v>
      </c>
      <c r="F1323" s="36" t="str">
        <f>IFERROR(VLOOKUP(B1323,'985'!$B$2:$D$40,3,FALSE),"")</f>
        <v/>
      </c>
      <c r="G1323" s="32" t="str">
        <f>IFERROR(VLOOKUP(B1323,'211'!$B$2:$D$116,3,FALSE),"")</f>
        <v/>
      </c>
      <c r="H1323" s="32" t="str">
        <f>IFERROR(VLOOKUP(B1323,双一流!$B$2:$D$148,3,FALSE),"")</f>
        <v/>
      </c>
      <c r="I1323" s="32">
        <f>IFERROR(VLOOKUP(B1323,汇总!$B$2:$I$2921,8,FALSE),"")</f>
        <v>0</v>
      </c>
      <c r="J1323" s="34" t="s">
        <v>11</v>
      </c>
      <c r="K1323" s="35" t="s">
        <v>1252</v>
      </c>
    </row>
    <row r="1324" ht="33.75" spans="1:11">
      <c r="A1324" s="29">
        <v>1323</v>
      </c>
      <c r="B1324" s="29" t="s">
        <v>1636</v>
      </c>
      <c r="C1324" s="29" t="str">
        <f>VLOOKUP(B1324,教育部大学名单!$B$1:$D$2920,3,FALSE)</f>
        <v>云南省教育厅</v>
      </c>
      <c r="D1324" s="29" t="s">
        <v>1060</v>
      </c>
      <c r="E1324" s="29" t="s">
        <v>1061</v>
      </c>
      <c r="F1324" s="36" t="str">
        <f>IFERROR(VLOOKUP(B1324,'985'!$B$2:$D$40,3,FALSE),"")</f>
        <v/>
      </c>
      <c r="G1324" s="32" t="str">
        <f>IFERROR(VLOOKUP(B1324,'211'!$B$2:$D$116,3,FALSE),"")</f>
        <v/>
      </c>
      <c r="H1324" s="32" t="str">
        <f>IFERROR(VLOOKUP(B1324,双一流!$B$2:$D$148,3,FALSE),"")</f>
        <v/>
      </c>
      <c r="I1324" s="32">
        <f>IFERROR(VLOOKUP(B1324,汇总!$B$2:$I$2921,8,FALSE),"")</f>
        <v>0</v>
      </c>
      <c r="J1324" s="29" t="s">
        <v>11</v>
      </c>
      <c r="K1324" s="33" t="s">
        <v>1252</v>
      </c>
    </row>
    <row r="1325" ht="33.75" spans="1:11">
      <c r="A1325" s="34">
        <v>1324</v>
      </c>
      <c r="B1325" s="34" t="s">
        <v>1637</v>
      </c>
      <c r="C1325" s="29" t="str">
        <f>VLOOKUP(B1325,教育部大学名单!$B$1:$D$2920,3,FALSE)</f>
        <v>云南省教育厅</v>
      </c>
      <c r="D1325" s="34" t="s">
        <v>1060</v>
      </c>
      <c r="E1325" s="34" t="s">
        <v>1061</v>
      </c>
      <c r="F1325" s="36" t="str">
        <f>IFERROR(VLOOKUP(B1325,'985'!$B$2:$D$40,3,FALSE),"")</f>
        <v/>
      </c>
      <c r="G1325" s="32" t="str">
        <f>IFERROR(VLOOKUP(B1325,'211'!$B$2:$D$116,3,FALSE),"")</f>
        <v/>
      </c>
      <c r="H1325" s="32" t="str">
        <f>IFERROR(VLOOKUP(B1325,双一流!$B$2:$D$148,3,FALSE),"")</f>
        <v/>
      </c>
      <c r="I1325" s="32" t="str">
        <f>IFERROR(VLOOKUP(B1325,汇总!$B$2:$I$2921,8,FALSE),"")</f>
        <v>医药</v>
      </c>
      <c r="J1325" s="34" t="s">
        <v>11</v>
      </c>
      <c r="K1325" s="35" t="s">
        <v>1252</v>
      </c>
    </row>
    <row r="1326" ht="33.75" spans="1:11">
      <c r="A1326" s="29">
        <v>1325</v>
      </c>
      <c r="B1326" s="29" t="s">
        <v>1638</v>
      </c>
      <c r="C1326" s="29" t="str">
        <f>VLOOKUP(B1326,教育部大学名单!$B$1:$D$2920,3,FALSE)</f>
        <v>云南省教育厅</v>
      </c>
      <c r="D1326" s="29" t="s">
        <v>1060</v>
      </c>
      <c r="E1326" s="29" t="s">
        <v>1061</v>
      </c>
      <c r="F1326" s="36" t="str">
        <f>IFERROR(VLOOKUP(B1326,'985'!$B$2:$D$40,3,FALSE),"")</f>
        <v/>
      </c>
      <c r="G1326" s="32" t="str">
        <f>IFERROR(VLOOKUP(B1326,'211'!$B$2:$D$116,3,FALSE),"")</f>
        <v/>
      </c>
      <c r="H1326" s="32" t="str">
        <f>IFERROR(VLOOKUP(B1326,双一流!$B$2:$D$148,3,FALSE),"")</f>
        <v/>
      </c>
      <c r="I1326" s="32">
        <f>IFERROR(VLOOKUP(B1326,汇总!$B$2:$I$2921,8,FALSE),"")</f>
        <v>0</v>
      </c>
      <c r="J1326" s="29" t="s">
        <v>11</v>
      </c>
      <c r="K1326" s="33" t="s">
        <v>1252</v>
      </c>
    </row>
    <row r="1327" ht="33.75" spans="1:11">
      <c r="A1327" s="34">
        <v>1326</v>
      </c>
      <c r="B1327" s="34" t="s">
        <v>1639</v>
      </c>
      <c r="C1327" s="29" t="str">
        <f>VLOOKUP(B1327,教育部大学名单!$B$1:$D$2920,3,FALSE)</f>
        <v>云南省教育厅</v>
      </c>
      <c r="D1327" s="34" t="s">
        <v>1060</v>
      </c>
      <c r="E1327" s="34" t="s">
        <v>1061</v>
      </c>
      <c r="F1327" s="36" t="str">
        <f>IFERROR(VLOOKUP(B1327,'985'!$B$2:$D$40,3,FALSE),"")</f>
        <v/>
      </c>
      <c r="G1327" s="32" t="str">
        <f>IFERROR(VLOOKUP(B1327,'211'!$B$2:$D$116,3,FALSE),"")</f>
        <v/>
      </c>
      <c r="H1327" s="32" t="str">
        <f>IFERROR(VLOOKUP(B1327,双一流!$B$2:$D$148,3,FALSE),"")</f>
        <v/>
      </c>
      <c r="I1327" s="32">
        <f>IFERROR(VLOOKUP(B1327,汇总!$B$2:$I$2921,8,FALSE),"")</f>
        <v>0</v>
      </c>
      <c r="J1327" s="34" t="s">
        <v>11</v>
      </c>
      <c r="K1327" s="35" t="s">
        <v>1252</v>
      </c>
    </row>
    <row r="1328" ht="33.75" spans="1:11">
      <c r="A1328" s="29">
        <v>1327</v>
      </c>
      <c r="B1328" s="29" t="s">
        <v>1640</v>
      </c>
      <c r="C1328" s="29" t="e">
        <f>VLOOKUP(B1328,教育部大学名单!$B$1:$D$2920,3,FALSE)</f>
        <v>#N/A</v>
      </c>
      <c r="D1328" s="29" t="s">
        <v>1060</v>
      </c>
      <c r="E1328" s="29" t="s">
        <v>1061</v>
      </c>
      <c r="F1328" s="36" t="str">
        <f>IFERROR(VLOOKUP(B1328,'985'!$B$2:$D$40,3,FALSE),"")</f>
        <v/>
      </c>
      <c r="G1328" s="32" t="str">
        <f>IFERROR(VLOOKUP(B1328,'211'!$B$2:$D$116,3,FALSE),"")</f>
        <v/>
      </c>
      <c r="H1328" s="32" t="str">
        <f>IFERROR(VLOOKUP(B1328,双一流!$B$2:$D$148,3,FALSE),"")</f>
        <v/>
      </c>
      <c r="I1328" s="32" t="str">
        <f>IFERROR(VLOOKUP(B1328,汇总!$B$2:$I$2921,8,FALSE),"")</f>
        <v/>
      </c>
      <c r="J1328" s="29" t="s">
        <v>11</v>
      </c>
      <c r="K1328" s="33" t="s">
        <v>1252</v>
      </c>
    </row>
    <row r="1329" ht="33.75" spans="1:11">
      <c r="A1329" s="34">
        <v>1328</v>
      </c>
      <c r="B1329" s="34" t="s">
        <v>1641</v>
      </c>
      <c r="C1329" s="29" t="str">
        <f>VLOOKUP(B1329,教育部大学名单!$B$1:$D$2920,3,FALSE)</f>
        <v>陕西省教育厅</v>
      </c>
      <c r="D1329" s="34" t="s">
        <v>1106</v>
      </c>
      <c r="E1329" s="34" t="s">
        <v>1111</v>
      </c>
      <c r="F1329" s="36" t="str">
        <f>IFERROR(VLOOKUP(B1329,'985'!$B$2:$D$40,3,FALSE),"")</f>
        <v/>
      </c>
      <c r="G1329" s="32" t="str">
        <f>IFERROR(VLOOKUP(B1329,'211'!$B$2:$D$116,3,FALSE),"")</f>
        <v/>
      </c>
      <c r="H1329" s="32" t="str">
        <f>IFERROR(VLOOKUP(B1329,双一流!$B$2:$D$148,3,FALSE),"")</f>
        <v/>
      </c>
      <c r="I1329" s="32">
        <f>IFERROR(VLOOKUP(B1329,汇总!$B$2:$I$2921,8,FALSE),"")</f>
        <v>0</v>
      </c>
      <c r="J1329" s="34" t="s">
        <v>11</v>
      </c>
      <c r="K1329" s="35" t="s">
        <v>1252</v>
      </c>
    </row>
    <row r="1330" ht="33.75" spans="1:11">
      <c r="A1330" s="29">
        <v>1329</v>
      </c>
      <c r="B1330" s="29" t="s">
        <v>1642</v>
      </c>
      <c r="C1330" s="29" t="str">
        <f>VLOOKUP(B1330,教育部大学名单!$B$1:$D$2920,3,FALSE)</f>
        <v>陕西省教育厅</v>
      </c>
      <c r="D1330" s="29" t="s">
        <v>1106</v>
      </c>
      <c r="E1330" s="29" t="s">
        <v>1111</v>
      </c>
      <c r="F1330" s="36" t="str">
        <f>IFERROR(VLOOKUP(B1330,'985'!$B$2:$D$40,3,FALSE),"")</f>
        <v/>
      </c>
      <c r="G1330" s="32" t="str">
        <f>IFERROR(VLOOKUP(B1330,'211'!$B$2:$D$116,3,FALSE),"")</f>
        <v/>
      </c>
      <c r="H1330" s="32" t="str">
        <f>IFERROR(VLOOKUP(B1330,双一流!$B$2:$D$148,3,FALSE),"")</f>
        <v/>
      </c>
      <c r="I1330" s="32">
        <f>IFERROR(VLOOKUP(B1330,汇总!$B$2:$I$2921,8,FALSE),"")</f>
        <v>0</v>
      </c>
      <c r="J1330" s="29" t="s">
        <v>11</v>
      </c>
      <c r="K1330" s="33" t="s">
        <v>1252</v>
      </c>
    </row>
    <row r="1331" ht="33.75" spans="1:11">
      <c r="A1331" s="34">
        <v>1330</v>
      </c>
      <c r="B1331" s="34" t="s">
        <v>1643</v>
      </c>
      <c r="C1331" s="29" t="str">
        <f>VLOOKUP(B1331,教育部大学名单!$B$1:$D$2920,3,FALSE)</f>
        <v>陕西省教育厅</v>
      </c>
      <c r="D1331" s="34" t="s">
        <v>1106</v>
      </c>
      <c r="E1331" s="34" t="s">
        <v>1111</v>
      </c>
      <c r="F1331" s="36" t="str">
        <f>IFERROR(VLOOKUP(B1331,'985'!$B$2:$D$40,3,FALSE),"")</f>
        <v/>
      </c>
      <c r="G1331" s="32" t="str">
        <f>IFERROR(VLOOKUP(B1331,'211'!$B$2:$D$116,3,FALSE),"")</f>
        <v/>
      </c>
      <c r="H1331" s="32" t="str">
        <f>IFERROR(VLOOKUP(B1331,双一流!$B$2:$D$148,3,FALSE),"")</f>
        <v/>
      </c>
      <c r="I1331" s="32">
        <f>IFERROR(VLOOKUP(B1331,汇总!$B$2:$I$2921,8,FALSE),"")</f>
        <v>0</v>
      </c>
      <c r="J1331" s="34" t="s">
        <v>11</v>
      </c>
      <c r="K1331" s="35" t="s">
        <v>1252</v>
      </c>
    </row>
    <row r="1332" ht="33.75" spans="1:11">
      <c r="A1332" s="29">
        <v>1331</v>
      </c>
      <c r="B1332" s="29" t="s">
        <v>1644</v>
      </c>
      <c r="C1332" s="29" t="str">
        <f>VLOOKUP(B1332,教育部大学名单!$B$1:$D$2920,3,FALSE)</f>
        <v>陕西省教育厅</v>
      </c>
      <c r="D1332" s="29" t="s">
        <v>1106</v>
      </c>
      <c r="E1332" s="29" t="s">
        <v>1111</v>
      </c>
      <c r="F1332" s="36" t="str">
        <f>IFERROR(VLOOKUP(B1332,'985'!$B$2:$D$40,3,FALSE),"")</f>
        <v/>
      </c>
      <c r="G1332" s="32" t="str">
        <f>IFERROR(VLOOKUP(B1332,'211'!$B$2:$D$116,3,FALSE),"")</f>
        <v/>
      </c>
      <c r="H1332" s="32" t="str">
        <f>IFERROR(VLOOKUP(B1332,双一流!$B$2:$D$148,3,FALSE),"")</f>
        <v/>
      </c>
      <c r="I1332" s="32">
        <f>IFERROR(VLOOKUP(B1332,汇总!$B$2:$I$2921,8,FALSE),"")</f>
        <v>0</v>
      </c>
      <c r="J1332" s="29" t="s">
        <v>11</v>
      </c>
      <c r="K1332" s="33" t="s">
        <v>1252</v>
      </c>
    </row>
    <row r="1333" ht="33.75" spans="1:11">
      <c r="A1333" s="34">
        <v>1332</v>
      </c>
      <c r="B1333" s="34" t="s">
        <v>1645</v>
      </c>
      <c r="C1333" s="29" t="str">
        <f>VLOOKUP(B1333,教育部大学名单!$B$1:$D$2920,3,FALSE)</f>
        <v>陕西省教育厅</v>
      </c>
      <c r="D1333" s="34" t="s">
        <v>1106</v>
      </c>
      <c r="E1333" s="34" t="s">
        <v>1111</v>
      </c>
      <c r="F1333" s="36" t="str">
        <f>IFERROR(VLOOKUP(B1333,'985'!$B$2:$D$40,3,FALSE),"")</f>
        <v/>
      </c>
      <c r="G1333" s="32" t="str">
        <f>IFERROR(VLOOKUP(B1333,'211'!$B$2:$D$116,3,FALSE),"")</f>
        <v/>
      </c>
      <c r="H1333" s="32" t="str">
        <f>IFERROR(VLOOKUP(B1333,双一流!$B$2:$D$148,3,FALSE),"")</f>
        <v/>
      </c>
      <c r="I1333" s="32">
        <f>IFERROR(VLOOKUP(B1333,汇总!$B$2:$I$2921,8,FALSE),"")</f>
        <v>0</v>
      </c>
      <c r="J1333" s="34" t="s">
        <v>11</v>
      </c>
      <c r="K1333" s="35" t="s">
        <v>1252</v>
      </c>
    </row>
    <row r="1334" ht="33.75" spans="1:11">
      <c r="A1334" s="29">
        <v>1333</v>
      </c>
      <c r="B1334" s="29" t="s">
        <v>1646</v>
      </c>
      <c r="C1334" s="29" t="str">
        <f>VLOOKUP(B1334,教育部大学名单!$B$1:$D$2920,3,FALSE)</f>
        <v>陕西省教育厅</v>
      </c>
      <c r="D1334" s="29" t="s">
        <v>1106</v>
      </c>
      <c r="E1334" s="29" t="s">
        <v>1111</v>
      </c>
      <c r="F1334" s="36" t="str">
        <f>IFERROR(VLOOKUP(B1334,'985'!$B$2:$D$40,3,FALSE),"")</f>
        <v/>
      </c>
      <c r="G1334" s="32" t="str">
        <f>IFERROR(VLOOKUP(B1334,'211'!$B$2:$D$116,3,FALSE),"")</f>
        <v/>
      </c>
      <c r="H1334" s="32" t="str">
        <f>IFERROR(VLOOKUP(B1334,双一流!$B$2:$D$148,3,FALSE),"")</f>
        <v/>
      </c>
      <c r="I1334" s="32">
        <f>IFERROR(VLOOKUP(B1334,汇总!$B$2:$I$2921,8,FALSE),"")</f>
        <v>0</v>
      </c>
      <c r="J1334" s="29" t="s">
        <v>11</v>
      </c>
      <c r="K1334" s="33" t="s">
        <v>1252</v>
      </c>
    </row>
    <row r="1335" ht="33.75" spans="1:11">
      <c r="A1335" s="34">
        <v>1334</v>
      </c>
      <c r="B1335" s="34" t="s">
        <v>1647</v>
      </c>
      <c r="C1335" s="29" t="str">
        <f>VLOOKUP(B1335,教育部大学名单!$B$1:$D$2920,3,FALSE)</f>
        <v>陕西省教育厅</v>
      </c>
      <c r="D1335" s="34" t="s">
        <v>1106</v>
      </c>
      <c r="E1335" s="34" t="s">
        <v>1107</v>
      </c>
      <c r="F1335" s="36" t="str">
        <f>IFERROR(VLOOKUP(B1335,'985'!$B$2:$D$40,3,FALSE),"")</f>
        <v/>
      </c>
      <c r="G1335" s="32" t="str">
        <f>IFERROR(VLOOKUP(B1335,'211'!$B$2:$D$116,3,FALSE),"")</f>
        <v/>
      </c>
      <c r="H1335" s="32" t="str">
        <f>IFERROR(VLOOKUP(B1335,双一流!$B$2:$D$148,3,FALSE),"")</f>
        <v/>
      </c>
      <c r="I1335" s="32">
        <f>IFERROR(VLOOKUP(B1335,汇总!$B$2:$I$2921,8,FALSE),"")</f>
        <v>0</v>
      </c>
      <c r="J1335" s="34" t="s">
        <v>11</v>
      </c>
      <c r="K1335" s="35" t="s">
        <v>1252</v>
      </c>
    </row>
    <row r="1336" ht="33.75" spans="1:11">
      <c r="A1336" s="29">
        <v>1335</v>
      </c>
      <c r="B1336" s="29" t="s">
        <v>1648</v>
      </c>
      <c r="C1336" s="29" t="str">
        <f>VLOOKUP(B1336,教育部大学名单!$B$1:$D$2920,3,FALSE)</f>
        <v>陕西省教育厅</v>
      </c>
      <c r="D1336" s="29" t="s">
        <v>1106</v>
      </c>
      <c r="E1336" s="29" t="s">
        <v>1107</v>
      </c>
      <c r="F1336" s="36" t="str">
        <f>IFERROR(VLOOKUP(B1336,'985'!$B$2:$D$40,3,FALSE),"")</f>
        <v/>
      </c>
      <c r="G1336" s="32" t="str">
        <f>IFERROR(VLOOKUP(B1336,'211'!$B$2:$D$116,3,FALSE),"")</f>
        <v/>
      </c>
      <c r="H1336" s="32" t="str">
        <f>IFERROR(VLOOKUP(B1336,双一流!$B$2:$D$148,3,FALSE),"")</f>
        <v/>
      </c>
      <c r="I1336" s="32">
        <f>IFERROR(VLOOKUP(B1336,汇总!$B$2:$I$2921,8,FALSE),"")</f>
        <v>0</v>
      </c>
      <c r="J1336" s="29" t="s">
        <v>11</v>
      </c>
      <c r="K1336" s="33" t="s">
        <v>1252</v>
      </c>
    </row>
    <row r="1337" ht="33.75" spans="1:11">
      <c r="A1337" s="34">
        <v>1336</v>
      </c>
      <c r="B1337" s="34" t="s">
        <v>1649</v>
      </c>
      <c r="C1337" s="29" t="str">
        <f>VLOOKUP(B1337,教育部大学名单!$B$1:$D$2920,3,FALSE)</f>
        <v>陕西省教育厅</v>
      </c>
      <c r="D1337" s="34" t="s">
        <v>1106</v>
      </c>
      <c r="E1337" s="34" t="s">
        <v>1111</v>
      </c>
      <c r="F1337" s="36" t="str">
        <f>IFERROR(VLOOKUP(B1337,'985'!$B$2:$D$40,3,FALSE),"")</f>
        <v/>
      </c>
      <c r="G1337" s="32" t="str">
        <f>IFERROR(VLOOKUP(B1337,'211'!$B$2:$D$116,3,FALSE),"")</f>
        <v/>
      </c>
      <c r="H1337" s="32" t="str">
        <f>IFERROR(VLOOKUP(B1337,双一流!$B$2:$D$148,3,FALSE),"")</f>
        <v/>
      </c>
      <c r="I1337" s="32">
        <f>IFERROR(VLOOKUP(B1337,汇总!$B$2:$I$2921,8,FALSE),"")</f>
        <v>0</v>
      </c>
      <c r="J1337" s="34" t="s">
        <v>11</v>
      </c>
      <c r="K1337" s="35" t="s">
        <v>1252</v>
      </c>
    </row>
    <row r="1338" ht="33.75" spans="1:11">
      <c r="A1338" s="29">
        <v>1337</v>
      </c>
      <c r="B1338" s="29" t="s">
        <v>1650</v>
      </c>
      <c r="C1338" s="29" t="str">
        <f>VLOOKUP(B1338,教育部大学名单!$B$1:$D$2920,3,FALSE)</f>
        <v>陕西省教育厅</v>
      </c>
      <c r="D1338" s="29" t="s">
        <v>1106</v>
      </c>
      <c r="E1338" s="29" t="s">
        <v>1111</v>
      </c>
      <c r="F1338" s="36" t="str">
        <f>IFERROR(VLOOKUP(B1338,'985'!$B$2:$D$40,3,FALSE),"")</f>
        <v/>
      </c>
      <c r="G1338" s="32" t="str">
        <f>IFERROR(VLOOKUP(B1338,'211'!$B$2:$D$116,3,FALSE),"")</f>
        <v/>
      </c>
      <c r="H1338" s="32" t="str">
        <f>IFERROR(VLOOKUP(B1338,双一流!$B$2:$D$148,3,FALSE),"")</f>
        <v/>
      </c>
      <c r="I1338" s="32" t="str">
        <f>IFERROR(VLOOKUP(B1338,汇总!$B$2:$I$2921,8,FALSE),"")</f>
        <v>综合</v>
      </c>
      <c r="J1338" s="29" t="s">
        <v>11</v>
      </c>
      <c r="K1338" s="33" t="s">
        <v>1252</v>
      </c>
    </row>
    <row r="1339" ht="33.75" spans="1:11">
      <c r="A1339" s="34">
        <v>1338</v>
      </c>
      <c r="B1339" s="34" t="s">
        <v>1651</v>
      </c>
      <c r="C1339" s="29" t="str">
        <f>VLOOKUP(B1339,教育部大学名单!$B$1:$D$2920,3,FALSE)</f>
        <v>陕西省教育厅</v>
      </c>
      <c r="D1339" s="34" t="s">
        <v>1106</v>
      </c>
      <c r="E1339" s="34" t="s">
        <v>1111</v>
      </c>
      <c r="F1339" s="36" t="str">
        <f>IFERROR(VLOOKUP(B1339,'985'!$B$2:$D$40,3,FALSE),"")</f>
        <v/>
      </c>
      <c r="G1339" s="32" t="str">
        <f>IFERROR(VLOOKUP(B1339,'211'!$B$2:$D$116,3,FALSE),"")</f>
        <v/>
      </c>
      <c r="H1339" s="32" t="str">
        <f>IFERROR(VLOOKUP(B1339,双一流!$B$2:$D$148,3,FALSE),"")</f>
        <v/>
      </c>
      <c r="I1339" s="32" t="str">
        <f>IFERROR(VLOOKUP(B1339,汇总!$B$2:$I$2921,8,FALSE),"")</f>
        <v>综合</v>
      </c>
      <c r="J1339" s="34" t="s">
        <v>11</v>
      </c>
      <c r="K1339" s="35" t="s">
        <v>1252</v>
      </c>
    </row>
    <row r="1340" ht="50.25" spans="1:11">
      <c r="A1340" s="29">
        <v>1339</v>
      </c>
      <c r="B1340" s="29" t="s">
        <v>1652</v>
      </c>
      <c r="C1340" s="29" t="str">
        <f>VLOOKUP(B1340,教育部大学名单!$B$1:$D$2920,3,FALSE)</f>
        <v>陕西省教育厅</v>
      </c>
      <c r="D1340" s="29" t="s">
        <v>1106</v>
      </c>
      <c r="E1340" s="29" t="s">
        <v>1111</v>
      </c>
      <c r="F1340" s="36" t="str">
        <f>IFERROR(VLOOKUP(B1340,'985'!$B$2:$D$40,3,FALSE),"")</f>
        <v/>
      </c>
      <c r="G1340" s="32" t="str">
        <f>IFERROR(VLOOKUP(B1340,'211'!$B$2:$D$116,3,FALSE),"")</f>
        <v/>
      </c>
      <c r="H1340" s="32" t="str">
        <f>IFERROR(VLOOKUP(B1340,双一流!$B$2:$D$148,3,FALSE),"")</f>
        <v/>
      </c>
      <c r="I1340" s="32" t="str">
        <f>IFERROR(VLOOKUP(B1340,汇总!$B$2:$I$2921,8,FALSE),"")</f>
        <v>理工</v>
      </c>
      <c r="J1340" s="29" t="s">
        <v>11</v>
      </c>
      <c r="K1340" s="33" t="s">
        <v>1252</v>
      </c>
    </row>
    <row r="1341" ht="33.75" spans="1:11">
      <c r="A1341" s="34">
        <v>1340</v>
      </c>
      <c r="B1341" s="34" t="s">
        <v>1653</v>
      </c>
      <c r="C1341" s="29" t="str">
        <f>VLOOKUP(B1341,教育部大学名单!$B$1:$D$2920,3,FALSE)</f>
        <v>陕西省教育厅</v>
      </c>
      <c r="D1341" s="34" t="s">
        <v>1106</v>
      </c>
      <c r="E1341" s="34" t="s">
        <v>1111</v>
      </c>
      <c r="F1341" s="36" t="str">
        <f>IFERROR(VLOOKUP(B1341,'985'!$B$2:$D$40,3,FALSE),"")</f>
        <v/>
      </c>
      <c r="G1341" s="32" t="str">
        <f>IFERROR(VLOOKUP(B1341,'211'!$B$2:$D$116,3,FALSE),"")</f>
        <v/>
      </c>
      <c r="H1341" s="32" t="str">
        <f>IFERROR(VLOOKUP(B1341,双一流!$B$2:$D$148,3,FALSE),"")</f>
        <v/>
      </c>
      <c r="I1341" s="32" t="str">
        <f>IFERROR(VLOOKUP(B1341,汇总!$B$2:$I$2921,8,FALSE),"")</f>
        <v>财经</v>
      </c>
      <c r="J1341" s="34" t="s">
        <v>11</v>
      </c>
      <c r="K1341" s="35" t="s">
        <v>1252</v>
      </c>
    </row>
    <row r="1342" ht="33.75" spans="1:11">
      <c r="A1342" s="29">
        <v>1341</v>
      </c>
      <c r="B1342" s="29" t="s">
        <v>1654</v>
      </c>
      <c r="C1342" s="29" t="str">
        <f>VLOOKUP(B1342,教育部大学名单!$B$1:$D$2920,3,FALSE)</f>
        <v>陕西省教育厅</v>
      </c>
      <c r="D1342" s="29" t="s">
        <v>1106</v>
      </c>
      <c r="E1342" s="29" t="s">
        <v>1107</v>
      </c>
      <c r="F1342" s="36" t="str">
        <f>IFERROR(VLOOKUP(B1342,'985'!$B$2:$D$40,3,FALSE),"")</f>
        <v/>
      </c>
      <c r="G1342" s="32" t="str">
        <f>IFERROR(VLOOKUP(B1342,'211'!$B$2:$D$116,3,FALSE),"")</f>
        <v/>
      </c>
      <c r="H1342" s="32" t="str">
        <f>IFERROR(VLOOKUP(B1342,双一流!$B$2:$D$148,3,FALSE),"")</f>
        <v/>
      </c>
      <c r="I1342" s="32" t="str">
        <f>IFERROR(VLOOKUP(B1342,汇总!$B$2:$I$2921,8,FALSE),"")</f>
        <v>综合</v>
      </c>
      <c r="J1342" s="29" t="s">
        <v>11</v>
      </c>
      <c r="K1342" s="33" t="s">
        <v>1252</v>
      </c>
    </row>
    <row r="1343" ht="33.75" spans="1:11">
      <c r="A1343" s="34">
        <v>1342</v>
      </c>
      <c r="B1343" s="34" t="s">
        <v>1655</v>
      </c>
      <c r="C1343" s="29" t="str">
        <f>VLOOKUP(B1343,教育部大学名单!$B$1:$D$2920,3,FALSE)</f>
        <v>陕西省教育厅</v>
      </c>
      <c r="D1343" s="34" t="s">
        <v>1106</v>
      </c>
      <c r="E1343" s="34" t="s">
        <v>1111</v>
      </c>
      <c r="F1343" s="36" t="str">
        <f>IFERROR(VLOOKUP(B1343,'985'!$B$2:$D$40,3,FALSE),"")</f>
        <v/>
      </c>
      <c r="G1343" s="32" t="str">
        <f>IFERROR(VLOOKUP(B1343,'211'!$B$2:$D$116,3,FALSE),"")</f>
        <v/>
      </c>
      <c r="H1343" s="32" t="str">
        <f>IFERROR(VLOOKUP(B1343,双一流!$B$2:$D$148,3,FALSE),"")</f>
        <v/>
      </c>
      <c r="I1343" s="32">
        <f>IFERROR(VLOOKUP(B1343,汇总!$B$2:$I$2921,8,FALSE),"")</f>
        <v>0</v>
      </c>
      <c r="J1343" s="34" t="s">
        <v>11</v>
      </c>
      <c r="K1343" s="35" t="s">
        <v>1252</v>
      </c>
    </row>
    <row r="1344" ht="33.75" spans="1:11">
      <c r="A1344" s="29">
        <v>1343</v>
      </c>
      <c r="B1344" s="29" t="s">
        <v>1656</v>
      </c>
      <c r="C1344" s="29" t="str">
        <f>VLOOKUP(B1344,教育部大学名单!$B$1:$D$2920,3,FALSE)</f>
        <v>陕西省教育厅</v>
      </c>
      <c r="D1344" s="29" t="s">
        <v>1106</v>
      </c>
      <c r="E1344" s="29" t="s">
        <v>1111</v>
      </c>
      <c r="F1344" s="36" t="str">
        <f>IFERROR(VLOOKUP(B1344,'985'!$B$2:$D$40,3,FALSE),"")</f>
        <v/>
      </c>
      <c r="G1344" s="32" t="str">
        <f>IFERROR(VLOOKUP(B1344,'211'!$B$2:$D$116,3,FALSE),"")</f>
        <v/>
      </c>
      <c r="H1344" s="32" t="str">
        <f>IFERROR(VLOOKUP(B1344,双一流!$B$2:$D$148,3,FALSE),"")</f>
        <v/>
      </c>
      <c r="I1344" s="32" t="str">
        <f>IFERROR(VLOOKUP(B1344,汇总!$B$2:$I$2921,8,FALSE),"")</f>
        <v>综合</v>
      </c>
      <c r="J1344" s="29" t="s">
        <v>11</v>
      </c>
      <c r="K1344" s="33" t="s">
        <v>1252</v>
      </c>
    </row>
    <row r="1345" ht="50.25" spans="1:11">
      <c r="A1345" s="34">
        <v>1344</v>
      </c>
      <c r="B1345" s="34" t="s">
        <v>1657</v>
      </c>
      <c r="C1345" s="29" t="str">
        <f>VLOOKUP(B1345,教育部大学名单!$B$1:$D$2920,3,FALSE)</f>
        <v>陕西省教育厅</v>
      </c>
      <c r="D1345" s="34" t="s">
        <v>1106</v>
      </c>
      <c r="E1345" s="34" t="s">
        <v>1111</v>
      </c>
      <c r="F1345" s="36" t="str">
        <f>IFERROR(VLOOKUP(B1345,'985'!$B$2:$D$40,3,FALSE),"")</f>
        <v/>
      </c>
      <c r="G1345" s="32" t="str">
        <f>IFERROR(VLOOKUP(B1345,'211'!$B$2:$D$116,3,FALSE),"")</f>
        <v/>
      </c>
      <c r="H1345" s="32" t="str">
        <f>IFERROR(VLOOKUP(B1345,双一流!$B$2:$D$148,3,FALSE),"")</f>
        <v/>
      </c>
      <c r="I1345" s="32">
        <f>IFERROR(VLOOKUP(B1345,汇总!$B$2:$I$2921,8,FALSE),"")</f>
        <v>0</v>
      </c>
      <c r="J1345" s="34" t="s">
        <v>11</v>
      </c>
      <c r="K1345" s="35" t="s">
        <v>1252</v>
      </c>
    </row>
    <row r="1346" ht="33.75" spans="1:11">
      <c r="A1346" s="29">
        <v>1345</v>
      </c>
      <c r="B1346" s="29" t="s">
        <v>1658</v>
      </c>
      <c r="C1346" s="29" t="str">
        <f>VLOOKUP(B1346,教育部大学名单!$B$1:$D$2920,3,FALSE)</f>
        <v>陕西省教育厅</v>
      </c>
      <c r="D1346" s="29" t="s">
        <v>1106</v>
      </c>
      <c r="E1346" s="29" t="s">
        <v>1111</v>
      </c>
      <c r="F1346" s="36" t="str">
        <f>IFERROR(VLOOKUP(B1346,'985'!$B$2:$D$40,3,FALSE),"")</f>
        <v/>
      </c>
      <c r="G1346" s="32" t="str">
        <f>IFERROR(VLOOKUP(B1346,'211'!$B$2:$D$116,3,FALSE),"")</f>
        <v/>
      </c>
      <c r="H1346" s="32" t="str">
        <f>IFERROR(VLOOKUP(B1346,双一流!$B$2:$D$148,3,FALSE),"")</f>
        <v/>
      </c>
      <c r="I1346" s="32">
        <f>IFERROR(VLOOKUP(B1346,汇总!$B$2:$I$2921,8,FALSE),"")</f>
        <v>0</v>
      </c>
      <c r="J1346" s="29" t="s">
        <v>11</v>
      </c>
      <c r="K1346" s="33" t="s">
        <v>1252</v>
      </c>
    </row>
    <row r="1347" ht="33.75" spans="1:11">
      <c r="A1347" s="34">
        <v>1346</v>
      </c>
      <c r="B1347" s="34" t="s">
        <v>1659</v>
      </c>
      <c r="C1347" s="29" t="str">
        <f>VLOOKUP(B1347,教育部大学名单!$B$1:$D$2920,3,FALSE)</f>
        <v>陕西省教育厅</v>
      </c>
      <c r="D1347" s="34" t="s">
        <v>1106</v>
      </c>
      <c r="E1347" s="34" t="s">
        <v>1111</v>
      </c>
      <c r="F1347" s="36" t="str">
        <f>IFERROR(VLOOKUP(B1347,'985'!$B$2:$D$40,3,FALSE),"")</f>
        <v/>
      </c>
      <c r="G1347" s="32" t="str">
        <f>IFERROR(VLOOKUP(B1347,'211'!$B$2:$D$116,3,FALSE),"")</f>
        <v/>
      </c>
      <c r="H1347" s="32" t="str">
        <f>IFERROR(VLOOKUP(B1347,双一流!$B$2:$D$148,3,FALSE),"")</f>
        <v/>
      </c>
      <c r="I1347" s="32">
        <f>IFERROR(VLOOKUP(B1347,汇总!$B$2:$I$2921,8,FALSE),"")</f>
        <v>0</v>
      </c>
      <c r="J1347" s="34" t="s">
        <v>11</v>
      </c>
      <c r="K1347" s="35" t="s">
        <v>1252</v>
      </c>
    </row>
    <row r="1348" ht="33.75" spans="1:11">
      <c r="A1348" s="29">
        <v>1347</v>
      </c>
      <c r="B1348" s="29" t="s">
        <v>1660</v>
      </c>
      <c r="C1348" s="29" t="str">
        <f>VLOOKUP(B1348,教育部大学名单!$B$1:$D$2920,3,FALSE)</f>
        <v>陕西省教育厅</v>
      </c>
      <c r="D1348" s="29" t="s">
        <v>1106</v>
      </c>
      <c r="E1348" s="29" t="s">
        <v>1111</v>
      </c>
      <c r="F1348" s="36" t="str">
        <f>IFERROR(VLOOKUP(B1348,'985'!$B$2:$D$40,3,FALSE),"")</f>
        <v/>
      </c>
      <c r="G1348" s="32" t="str">
        <f>IFERROR(VLOOKUP(B1348,'211'!$B$2:$D$116,3,FALSE),"")</f>
        <v/>
      </c>
      <c r="H1348" s="32" t="str">
        <f>IFERROR(VLOOKUP(B1348,双一流!$B$2:$D$148,3,FALSE),"")</f>
        <v/>
      </c>
      <c r="I1348" s="32">
        <f>IFERROR(VLOOKUP(B1348,汇总!$B$2:$I$2921,8,FALSE),"")</f>
        <v>0</v>
      </c>
      <c r="J1348" s="29" t="s">
        <v>11</v>
      </c>
      <c r="K1348" s="33" t="s">
        <v>1252</v>
      </c>
    </row>
    <row r="1349" ht="33.75" spans="1:11">
      <c r="A1349" s="34">
        <v>1348</v>
      </c>
      <c r="B1349" s="34" t="s">
        <v>1661</v>
      </c>
      <c r="C1349" s="29" t="str">
        <f>VLOOKUP(B1349,教育部大学名单!$B$1:$D$2920,3,FALSE)</f>
        <v>陕西省教育厅</v>
      </c>
      <c r="D1349" s="34" t="s">
        <v>1106</v>
      </c>
      <c r="E1349" s="34" t="s">
        <v>1111</v>
      </c>
      <c r="F1349" s="36" t="str">
        <f>IFERROR(VLOOKUP(B1349,'985'!$B$2:$D$40,3,FALSE),"")</f>
        <v/>
      </c>
      <c r="G1349" s="32" t="str">
        <f>IFERROR(VLOOKUP(B1349,'211'!$B$2:$D$116,3,FALSE),"")</f>
        <v/>
      </c>
      <c r="H1349" s="32" t="str">
        <f>IFERROR(VLOOKUP(B1349,双一流!$B$2:$D$148,3,FALSE),"")</f>
        <v/>
      </c>
      <c r="I1349" s="32">
        <f>IFERROR(VLOOKUP(B1349,汇总!$B$2:$I$2921,8,FALSE),"")</f>
        <v>0</v>
      </c>
      <c r="J1349" s="34" t="s">
        <v>11</v>
      </c>
      <c r="K1349" s="35" t="s">
        <v>1252</v>
      </c>
    </row>
    <row r="1350" ht="33.75" spans="1:11">
      <c r="A1350" s="29">
        <v>1349</v>
      </c>
      <c r="B1350" s="29" t="s">
        <v>1662</v>
      </c>
      <c r="C1350" s="29" t="str">
        <f>VLOOKUP(B1350,教育部大学名单!$B$1:$D$2920,3,FALSE)</f>
        <v>陕西省教育厅</v>
      </c>
      <c r="D1350" s="29" t="s">
        <v>1106</v>
      </c>
      <c r="E1350" s="29" t="s">
        <v>1111</v>
      </c>
      <c r="F1350" s="36" t="str">
        <f>IFERROR(VLOOKUP(B1350,'985'!$B$2:$D$40,3,FALSE),"")</f>
        <v/>
      </c>
      <c r="G1350" s="32" t="str">
        <f>IFERROR(VLOOKUP(B1350,'211'!$B$2:$D$116,3,FALSE),"")</f>
        <v/>
      </c>
      <c r="H1350" s="32" t="str">
        <f>IFERROR(VLOOKUP(B1350,双一流!$B$2:$D$148,3,FALSE),"")</f>
        <v/>
      </c>
      <c r="I1350" s="32" t="str">
        <f>IFERROR(VLOOKUP(B1350,汇总!$B$2:$I$2921,8,FALSE),"")</f>
        <v>理工</v>
      </c>
      <c r="J1350" s="29" t="s">
        <v>11</v>
      </c>
      <c r="K1350" s="33" t="s">
        <v>1252</v>
      </c>
    </row>
    <row r="1351" ht="33.75" spans="1:11">
      <c r="A1351" s="34">
        <v>1350</v>
      </c>
      <c r="B1351" s="34" t="s">
        <v>1663</v>
      </c>
      <c r="C1351" s="29" t="str">
        <f>VLOOKUP(B1351,教育部大学名单!$B$1:$D$2920,3,FALSE)</f>
        <v>陕西省教育厅</v>
      </c>
      <c r="D1351" s="34" t="s">
        <v>1106</v>
      </c>
      <c r="E1351" s="34" t="s">
        <v>1111</v>
      </c>
      <c r="F1351" s="36" t="str">
        <f>IFERROR(VLOOKUP(B1351,'985'!$B$2:$D$40,3,FALSE),"")</f>
        <v/>
      </c>
      <c r="G1351" s="32" t="str">
        <f>IFERROR(VLOOKUP(B1351,'211'!$B$2:$D$116,3,FALSE),"")</f>
        <v/>
      </c>
      <c r="H1351" s="32" t="str">
        <f>IFERROR(VLOOKUP(B1351,双一流!$B$2:$D$148,3,FALSE),"")</f>
        <v/>
      </c>
      <c r="I1351" s="32" t="str">
        <f>IFERROR(VLOOKUP(B1351,汇总!$B$2:$I$2921,8,FALSE),"")</f>
        <v>理工</v>
      </c>
      <c r="J1351" s="34" t="s">
        <v>11</v>
      </c>
      <c r="K1351" s="35" t="s">
        <v>1252</v>
      </c>
    </row>
    <row r="1352" ht="33.75" spans="1:11">
      <c r="A1352" s="29">
        <v>1351</v>
      </c>
      <c r="B1352" s="29" t="s">
        <v>1664</v>
      </c>
      <c r="C1352" s="29" t="str">
        <f>VLOOKUP(B1352,教育部大学名单!$B$1:$D$2920,3,FALSE)</f>
        <v>甘肃省教育厅</v>
      </c>
      <c r="D1352" s="29" t="s">
        <v>1156</v>
      </c>
      <c r="E1352" s="29" t="s">
        <v>1157</v>
      </c>
      <c r="F1352" s="36" t="str">
        <f>IFERROR(VLOOKUP(B1352,'985'!$B$2:$D$40,3,FALSE),"")</f>
        <v/>
      </c>
      <c r="G1352" s="32" t="str">
        <f>IFERROR(VLOOKUP(B1352,'211'!$B$2:$D$116,3,FALSE),"")</f>
        <v/>
      </c>
      <c r="H1352" s="32" t="str">
        <f>IFERROR(VLOOKUP(B1352,双一流!$B$2:$D$148,3,FALSE),"")</f>
        <v/>
      </c>
      <c r="I1352" s="32">
        <f>IFERROR(VLOOKUP(B1352,汇总!$B$2:$I$2921,8,FALSE),"")</f>
        <v>0</v>
      </c>
      <c r="J1352" s="29" t="s">
        <v>11</v>
      </c>
      <c r="K1352" s="33" t="s">
        <v>1252</v>
      </c>
    </row>
    <row r="1353" ht="33.75" spans="1:11">
      <c r="A1353" s="34">
        <v>1352</v>
      </c>
      <c r="B1353" s="34" t="s">
        <v>1665</v>
      </c>
      <c r="C1353" s="29" t="str">
        <f>VLOOKUP(B1353,教育部大学名单!$B$1:$D$2920,3,FALSE)</f>
        <v>甘肃省教育厅</v>
      </c>
      <c r="D1353" s="34" t="s">
        <v>1156</v>
      </c>
      <c r="E1353" s="34" t="s">
        <v>1157</v>
      </c>
      <c r="F1353" s="36" t="str">
        <f>IFERROR(VLOOKUP(B1353,'985'!$B$2:$D$40,3,FALSE),"")</f>
        <v/>
      </c>
      <c r="G1353" s="32" t="str">
        <f>IFERROR(VLOOKUP(B1353,'211'!$B$2:$D$116,3,FALSE),"")</f>
        <v/>
      </c>
      <c r="H1353" s="32" t="str">
        <f>IFERROR(VLOOKUP(B1353,双一流!$B$2:$D$148,3,FALSE),"")</f>
        <v/>
      </c>
      <c r="I1353" s="32">
        <f>IFERROR(VLOOKUP(B1353,汇总!$B$2:$I$2921,8,FALSE),"")</f>
        <v>0</v>
      </c>
      <c r="J1353" s="34" t="s">
        <v>11</v>
      </c>
      <c r="K1353" s="35" t="s">
        <v>1252</v>
      </c>
    </row>
    <row r="1354" ht="33.75" spans="1:11">
      <c r="A1354" s="29">
        <v>1353</v>
      </c>
      <c r="B1354" s="29" t="s">
        <v>1666</v>
      </c>
      <c r="C1354" s="29" t="str">
        <f>VLOOKUP(B1354,教育部大学名单!$B$1:$D$2920,3,FALSE)</f>
        <v>甘肃省教育厅</v>
      </c>
      <c r="D1354" s="29" t="s">
        <v>1156</v>
      </c>
      <c r="E1354" s="29" t="s">
        <v>1157</v>
      </c>
      <c r="F1354" s="36" t="str">
        <f>IFERROR(VLOOKUP(B1354,'985'!$B$2:$D$40,3,FALSE),"")</f>
        <v/>
      </c>
      <c r="G1354" s="32" t="str">
        <f>IFERROR(VLOOKUP(B1354,'211'!$B$2:$D$116,3,FALSE),"")</f>
        <v/>
      </c>
      <c r="H1354" s="32" t="str">
        <f>IFERROR(VLOOKUP(B1354,双一流!$B$2:$D$148,3,FALSE),"")</f>
        <v/>
      </c>
      <c r="I1354" s="32">
        <f>IFERROR(VLOOKUP(B1354,汇总!$B$2:$I$2921,8,FALSE),"")</f>
        <v>0</v>
      </c>
      <c r="J1354" s="29" t="s">
        <v>11</v>
      </c>
      <c r="K1354" s="33" t="s">
        <v>1252</v>
      </c>
    </row>
    <row r="1355" ht="33.75" spans="1:11">
      <c r="A1355" s="34">
        <v>1354</v>
      </c>
      <c r="B1355" s="34" t="s">
        <v>1667</v>
      </c>
      <c r="C1355" s="29" t="str">
        <f>VLOOKUP(B1355,教育部大学名单!$B$1:$D$2920,3,FALSE)</f>
        <v>青海省教育厅</v>
      </c>
      <c r="D1355" s="34" t="s">
        <v>1191</v>
      </c>
      <c r="E1355" s="34" t="s">
        <v>1192</v>
      </c>
      <c r="F1355" s="36" t="str">
        <f>IFERROR(VLOOKUP(B1355,'985'!$B$2:$D$40,3,FALSE),"")</f>
        <v/>
      </c>
      <c r="G1355" s="32" t="str">
        <f>IFERROR(VLOOKUP(B1355,'211'!$B$2:$D$116,3,FALSE),"")</f>
        <v/>
      </c>
      <c r="H1355" s="32" t="str">
        <f>IFERROR(VLOOKUP(B1355,双一流!$B$2:$D$148,3,FALSE),"")</f>
        <v/>
      </c>
      <c r="I1355" s="32" t="str">
        <f>IFERROR(VLOOKUP(B1355,汇总!$B$2:$I$2921,8,FALSE),"")</f>
        <v>综合</v>
      </c>
      <c r="J1355" s="34" t="s">
        <v>11</v>
      </c>
      <c r="K1355" s="35" t="s">
        <v>1252</v>
      </c>
    </row>
    <row r="1356" ht="33.75" spans="1:11">
      <c r="A1356" s="29">
        <v>1355</v>
      </c>
      <c r="B1356" s="29" t="s">
        <v>1668</v>
      </c>
      <c r="C1356" s="29" t="str">
        <f>VLOOKUP(B1356,教育部大学名单!$B$1:$D$2920,3,FALSE)</f>
        <v>宁夏回族自治区教育厅</v>
      </c>
      <c r="D1356" s="29" t="s">
        <v>1197</v>
      </c>
      <c r="E1356" s="29" t="s">
        <v>1669</v>
      </c>
      <c r="F1356" s="36" t="str">
        <f>IFERROR(VLOOKUP(B1356,'985'!$B$2:$D$40,3,FALSE),"")</f>
        <v/>
      </c>
      <c r="G1356" s="32" t="str">
        <f>IFERROR(VLOOKUP(B1356,'211'!$B$2:$D$116,3,FALSE),"")</f>
        <v/>
      </c>
      <c r="H1356" s="32" t="str">
        <f>IFERROR(VLOOKUP(B1356,双一流!$B$2:$D$148,3,FALSE),"")</f>
        <v/>
      </c>
      <c r="I1356" s="32">
        <f>IFERROR(VLOOKUP(B1356,汇总!$B$2:$I$2921,8,FALSE),"")</f>
        <v>0</v>
      </c>
      <c r="J1356" s="29" t="s">
        <v>11</v>
      </c>
      <c r="K1356" s="33" t="s">
        <v>1252</v>
      </c>
    </row>
    <row r="1357" ht="33.75" spans="1:11">
      <c r="A1357" s="34">
        <v>1356</v>
      </c>
      <c r="B1357" s="34" t="s">
        <v>1670</v>
      </c>
      <c r="C1357" s="29" t="str">
        <f>VLOOKUP(B1357,教育部大学名单!$B$1:$D$2920,3,FALSE)</f>
        <v>宁夏回族自治区教育厅</v>
      </c>
      <c r="D1357" s="34" t="s">
        <v>1197</v>
      </c>
      <c r="E1357" s="34" t="s">
        <v>1198</v>
      </c>
      <c r="F1357" s="36" t="str">
        <f>IFERROR(VLOOKUP(B1357,'985'!$B$2:$D$40,3,FALSE),"")</f>
        <v/>
      </c>
      <c r="G1357" s="32" t="str">
        <f>IFERROR(VLOOKUP(B1357,'211'!$B$2:$D$116,3,FALSE),"")</f>
        <v/>
      </c>
      <c r="H1357" s="32" t="str">
        <f>IFERROR(VLOOKUP(B1357,双一流!$B$2:$D$148,3,FALSE),"")</f>
        <v/>
      </c>
      <c r="I1357" s="32" t="str">
        <f>IFERROR(VLOOKUP(B1357,汇总!$B$2:$I$2921,8,FALSE),"")</f>
        <v>综合</v>
      </c>
      <c r="J1357" s="34" t="s">
        <v>11</v>
      </c>
      <c r="K1357" s="35" t="s">
        <v>1252</v>
      </c>
    </row>
    <row r="1358" ht="33.75" spans="1:11">
      <c r="A1358" s="29">
        <v>1357</v>
      </c>
      <c r="B1358" s="29" t="s">
        <v>1671</v>
      </c>
      <c r="C1358" s="29" t="str">
        <f>VLOOKUP(B1358,教育部大学名单!$B$1:$D$2920,3,FALSE)</f>
        <v>宁夏回族自治区教育厅</v>
      </c>
      <c r="D1358" s="29" t="s">
        <v>1197</v>
      </c>
      <c r="E1358" s="29" t="s">
        <v>1198</v>
      </c>
      <c r="F1358" s="36" t="str">
        <f>IFERROR(VLOOKUP(B1358,'985'!$B$2:$D$40,3,FALSE),"")</f>
        <v/>
      </c>
      <c r="G1358" s="32" t="str">
        <f>IFERROR(VLOOKUP(B1358,'211'!$B$2:$D$116,3,FALSE),"")</f>
        <v/>
      </c>
      <c r="H1358" s="32" t="str">
        <f>IFERROR(VLOOKUP(B1358,双一流!$B$2:$D$148,3,FALSE),"")</f>
        <v/>
      </c>
      <c r="I1358" s="32">
        <f>IFERROR(VLOOKUP(B1358,汇总!$B$2:$I$2921,8,FALSE),"")</f>
        <v>0</v>
      </c>
      <c r="J1358" s="29" t="s">
        <v>11</v>
      </c>
      <c r="K1358" s="33" t="s">
        <v>1252</v>
      </c>
    </row>
    <row r="1359" ht="33.75" spans="1:11">
      <c r="A1359" s="34">
        <v>1358</v>
      </c>
      <c r="B1359" s="34" t="s">
        <v>1672</v>
      </c>
      <c r="C1359" s="29" t="str">
        <f>VLOOKUP(B1359,教育部大学名单!$B$1:$D$2920,3,FALSE)</f>
        <v>宁夏回族自治区教育厅</v>
      </c>
      <c r="D1359" s="34" t="s">
        <v>1197</v>
      </c>
      <c r="E1359" s="34" t="s">
        <v>1198</v>
      </c>
      <c r="F1359" s="36" t="str">
        <f>IFERROR(VLOOKUP(B1359,'985'!$B$2:$D$40,3,FALSE),"")</f>
        <v/>
      </c>
      <c r="G1359" s="32" t="str">
        <f>IFERROR(VLOOKUP(B1359,'211'!$B$2:$D$116,3,FALSE),"")</f>
        <v/>
      </c>
      <c r="H1359" s="32" t="str">
        <f>IFERROR(VLOOKUP(B1359,双一流!$B$2:$D$148,3,FALSE),"")</f>
        <v/>
      </c>
      <c r="I1359" s="32">
        <f>IFERROR(VLOOKUP(B1359,汇总!$B$2:$I$2921,8,FALSE),"")</f>
        <v>0</v>
      </c>
      <c r="J1359" s="34" t="s">
        <v>11</v>
      </c>
      <c r="K1359" s="35" t="s">
        <v>1252</v>
      </c>
    </row>
    <row r="1360" ht="50.25" spans="1:11">
      <c r="A1360" s="29">
        <v>1359</v>
      </c>
      <c r="B1360" s="29" t="s">
        <v>1673</v>
      </c>
      <c r="C1360" s="29" t="str">
        <f>VLOOKUP(B1360,教育部大学名单!$B$1:$D$2920,3,FALSE)</f>
        <v>新疆维吾尔自治区教育厅</v>
      </c>
      <c r="D1360" s="29" t="s">
        <v>1206</v>
      </c>
      <c r="E1360" s="29" t="s">
        <v>1207</v>
      </c>
      <c r="F1360" s="36" t="str">
        <f>IFERROR(VLOOKUP(B1360,'985'!$B$2:$D$40,3,FALSE),"")</f>
        <v/>
      </c>
      <c r="G1360" s="32" t="str">
        <f>IFERROR(VLOOKUP(B1360,'211'!$B$2:$D$116,3,FALSE),"")</f>
        <v/>
      </c>
      <c r="H1360" s="32" t="str">
        <f>IFERROR(VLOOKUP(B1360,双一流!$B$2:$D$148,3,FALSE),"")</f>
        <v/>
      </c>
      <c r="I1360" s="32">
        <f>IFERROR(VLOOKUP(B1360,汇总!$B$2:$I$2921,8,FALSE),"")</f>
        <v>0</v>
      </c>
      <c r="J1360" s="29" t="s">
        <v>11</v>
      </c>
      <c r="K1360" s="33" t="s">
        <v>1252</v>
      </c>
    </row>
    <row r="1361" ht="50.25" spans="1:11">
      <c r="A1361" s="34">
        <v>1360</v>
      </c>
      <c r="B1361" s="34" t="s">
        <v>1674</v>
      </c>
      <c r="C1361" s="29" t="str">
        <f>VLOOKUP(B1361,教育部大学名单!$B$1:$D$2920,3,FALSE)</f>
        <v>新疆维吾尔自治区教育厅</v>
      </c>
      <c r="D1361" s="34" t="s">
        <v>1206</v>
      </c>
      <c r="E1361" s="34" t="s">
        <v>1207</v>
      </c>
      <c r="F1361" s="36" t="str">
        <f>IFERROR(VLOOKUP(B1361,'985'!$B$2:$D$40,3,FALSE),"")</f>
        <v/>
      </c>
      <c r="G1361" s="32" t="str">
        <f>IFERROR(VLOOKUP(B1361,'211'!$B$2:$D$116,3,FALSE),"")</f>
        <v/>
      </c>
      <c r="H1361" s="32" t="str">
        <f>IFERROR(VLOOKUP(B1361,双一流!$B$2:$D$148,3,FALSE),"")</f>
        <v/>
      </c>
      <c r="I1361" s="32">
        <f>IFERROR(VLOOKUP(B1361,汇总!$B$2:$I$2921,8,FALSE),"")</f>
        <v>0</v>
      </c>
      <c r="J1361" s="34" t="s">
        <v>11</v>
      </c>
      <c r="K1361" s="35" t="s">
        <v>1252</v>
      </c>
    </row>
    <row r="1362" ht="33.75" spans="1:11">
      <c r="A1362" s="29">
        <v>1361</v>
      </c>
      <c r="B1362" s="29" t="s">
        <v>1675</v>
      </c>
      <c r="C1362" s="29" t="str">
        <f>VLOOKUP(B1362,教育部大学名单!$B$1:$D$2920,3,FALSE)</f>
        <v>河南省教育厅</v>
      </c>
      <c r="D1362" s="29" t="s">
        <v>692</v>
      </c>
      <c r="E1362" s="29" t="s">
        <v>693</v>
      </c>
      <c r="F1362" s="36" t="str">
        <f>IFERROR(VLOOKUP(B1362,'985'!$B$2:$D$40,3,FALSE),"")</f>
        <v/>
      </c>
      <c r="G1362" s="32" t="str">
        <f>IFERROR(VLOOKUP(B1362,'211'!$B$2:$D$116,3,FALSE),"")</f>
        <v/>
      </c>
      <c r="H1362" s="32" t="str">
        <f>IFERROR(VLOOKUP(B1362,双一流!$B$2:$D$148,3,FALSE),"")</f>
        <v/>
      </c>
      <c r="I1362" s="32">
        <f>IFERROR(VLOOKUP(B1362,汇总!$B$2:$I$2921,8,FALSE),"")</f>
        <v>0</v>
      </c>
      <c r="J1362" s="29" t="s">
        <v>11</v>
      </c>
      <c r="K1362" s="33" t="s">
        <v>1252</v>
      </c>
    </row>
    <row r="1363" ht="33.75" spans="1:11">
      <c r="A1363" s="34">
        <v>1362</v>
      </c>
      <c r="B1363" s="34" t="s">
        <v>1676</v>
      </c>
      <c r="C1363" s="29" t="str">
        <f>VLOOKUP(B1363,教育部大学名单!$B$1:$D$2920,3,FALSE)</f>
        <v>福建省教育厅</v>
      </c>
      <c r="D1363" s="34" t="s">
        <v>553</v>
      </c>
      <c r="E1363" s="34" t="s">
        <v>558</v>
      </c>
      <c r="F1363" s="36" t="str">
        <f>IFERROR(VLOOKUP(B1363,'985'!$B$2:$D$40,3,FALSE),"")</f>
        <v/>
      </c>
      <c r="G1363" s="32" t="str">
        <f>IFERROR(VLOOKUP(B1363,'211'!$B$2:$D$116,3,FALSE),"")</f>
        <v/>
      </c>
      <c r="H1363" s="32" t="str">
        <f>IFERROR(VLOOKUP(B1363,双一流!$B$2:$D$148,3,FALSE),"")</f>
        <v/>
      </c>
      <c r="I1363" s="32" t="str">
        <f>IFERROR(VLOOKUP(B1363,汇总!$B$2:$I$2921,8,FALSE),"")</f>
        <v/>
      </c>
      <c r="J1363" s="34" t="s">
        <v>11</v>
      </c>
      <c r="K1363" s="35" t="s">
        <v>1252</v>
      </c>
    </row>
    <row r="1364" ht="33.75" spans="1:11">
      <c r="A1364" s="29">
        <v>1363</v>
      </c>
      <c r="B1364" s="29" t="s">
        <v>1677</v>
      </c>
      <c r="C1364" s="29" t="str">
        <f>VLOOKUP(B1364,教育部大学名单!$B$1:$D$2920,3,FALSE)</f>
        <v>湖北省教育厅</v>
      </c>
      <c r="D1364" s="29" t="s">
        <v>746</v>
      </c>
      <c r="E1364" s="29" t="s">
        <v>785</v>
      </c>
      <c r="F1364" s="36" t="str">
        <f>IFERROR(VLOOKUP(B1364,'985'!$B$2:$D$40,3,FALSE),"")</f>
        <v/>
      </c>
      <c r="G1364" s="32" t="str">
        <f>IFERROR(VLOOKUP(B1364,'211'!$B$2:$D$116,3,FALSE),"")</f>
        <v/>
      </c>
      <c r="H1364" s="32" t="str">
        <f>IFERROR(VLOOKUP(B1364,双一流!$B$2:$D$148,3,FALSE),"")</f>
        <v/>
      </c>
      <c r="I1364" s="32" t="str">
        <f>IFERROR(VLOOKUP(B1364,汇总!$B$2:$I$2921,8,FALSE),"")</f>
        <v/>
      </c>
      <c r="J1364" s="29" t="s">
        <v>11</v>
      </c>
      <c r="K1364" s="33" t="s">
        <v>1252</v>
      </c>
    </row>
    <row r="1365" ht="33.75" spans="1:11">
      <c r="A1365" s="34">
        <v>1364</v>
      </c>
      <c r="B1365" s="34" t="s">
        <v>1678</v>
      </c>
      <c r="C1365" s="29" t="str">
        <f>VLOOKUP(B1365,教育部大学名单!$B$1:$D$2920,3,FALSE)</f>
        <v>湖南省教育厅</v>
      </c>
      <c r="D1365" s="34" t="s">
        <v>797</v>
      </c>
      <c r="E1365" s="34" t="s">
        <v>802</v>
      </c>
      <c r="F1365" s="36" t="str">
        <f>IFERROR(VLOOKUP(B1365,'985'!$B$2:$D$40,3,FALSE),"")</f>
        <v/>
      </c>
      <c r="G1365" s="32" t="str">
        <f>IFERROR(VLOOKUP(B1365,'211'!$B$2:$D$116,3,FALSE),"")</f>
        <v/>
      </c>
      <c r="H1365" s="32" t="str">
        <f>IFERROR(VLOOKUP(B1365,双一流!$B$2:$D$148,3,FALSE),"")</f>
        <v/>
      </c>
      <c r="I1365" s="32" t="str">
        <f>IFERROR(VLOOKUP(B1365,汇总!$B$2:$I$2921,8,FALSE),"")</f>
        <v/>
      </c>
      <c r="J1365" s="34" t="s">
        <v>11</v>
      </c>
      <c r="K1365" s="35" t="s">
        <v>1252</v>
      </c>
    </row>
    <row r="1366" ht="50.25" spans="1:11">
      <c r="A1366" s="29">
        <v>1365</v>
      </c>
      <c r="B1366" s="29" t="s">
        <v>1679</v>
      </c>
      <c r="C1366" s="29" t="str">
        <f>VLOOKUP(B1366,教育部大学名单!$B$1:$D$2920,3,FALSE)</f>
        <v>新疆生产建设兵团教育局</v>
      </c>
      <c r="D1366" s="29" t="s">
        <v>1206</v>
      </c>
      <c r="E1366" s="29" t="s">
        <v>1209</v>
      </c>
      <c r="F1366" s="36" t="str">
        <f>IFERROR(VLOOKUP(B1366,'985'!$B$2:$D$40,3,FALSE),"")</f>
        <v/>
      </c>
      <c r="G1366" s="32" t="str">
        <f>IFERROR(VLOOKUP(B1366,'211'!$B$2:$D$116,3,FALSE),"")</f>
        <v/>
      </c>
      <c r="H1366" s="32" t="str">
        <f>IFERROR(VLOOKUP(B1366,双一流!$B$2:$D$148,3,FALSE),"")</f>
        <v/>
      </c>
      <c r="I1366" s="32" t="str">
        <f>IFERROR(VLOOKUP(B1366,汇总!$B$2:$I$2921,8,FALSE),"")</f>
        <v/>
      </c>
      <c r="J1366" s="29" t="s">
        <v>11</v>
      </c>
      <c r="K1366" s="33" t="s">
        <v>1252</v>
      </c>
    </row>
    <row r="1367" ht="33.75" spans="1:11">
      <c r="A1367" s="34">
        <v>1366</v>
      </c>
      <c r="B1367" s="34" t="s">
        <v>1680</v>
      </c>
      <c r="C1367" s="29" t="str">
        <f>VLOOKUP(B1367,教育部大学名单!$B$1:$D$2920,3,FALSE)</f>
        <v>浙江省教育厅</v>
      </c>
      <c r="D1367" s="34" t="s">
        <v>448</v>
      </c>
      <c r="E1367" s="34" t="s">
        <v>477</v>
      </c>
      <c r="F1367" s="36" t="str">
        <f>IFERROR(VLOOKUP(B1367,'985'!$B$2:$D$40,3,FALSE),"")</f>
        <v/>
      </c>
      <c r="G1367" s="32" t="str">
        <f>IFERROR(VLOOKUP(B1367,'211'!$B$2:$D$116,3,FALSE),"")</f>
        <v/>
      </c>
      <c r="H1367" s="32" t="str">
        <f>IFERROR(VLOOKUP(B1367,双一流!$B$2:$D$148,3,FALSE),"")</f>
        <v/>
      </c>
      <c r="I1367" s="32" t="str">
        <f>IFERROR(VLOOKUP(B1367,汇总!$B$2:$I$2921,8,FALSE),"")</f>
        <v/>
      </c>
      <c r="J1367" s="34" t="s">
        <v>11</v>
      </c>
      <c r="K1367" s="35" t="s">
        <v>1252</v>
      </c>
    </row>
    <row r="1368" ht="33.75" spans="1:11">
      <c r="A1368" s="29">
        <v>1367</v>
      </c>
      <c r="B1368" s="29" t="s">
        <v>1681</v>
      </c>
      <c r="C1368" s="29" t="e">
        <f>VLOOKUP(B1368,教育部大学名单!$B$1:$D$2920,3,FALSE)</f>
        <v>#N/A</v>
      </c>
      <c r="D1368" s="29" t="s">
        <v>844</v>
      </c>
      <c r="E1368" s="29" t="s">
        <v>1569</v>
      </c>
      <c r="F1368" s="36" t="str">
        <f>IFERROR(VLOOKUP(B1368,'985'!$B$2:$D$40,3,FALSE),"")</f>
        <v/>
      </c>
      <c r="G1368" s="32" t="str">
        <f>IFERROR(VLOOKUP(B1368,'211'!$B$2:$D$116,3,FALSE),"")</f>
        <v/>
      </c>
      <c r="H1368" s="32" t="str">
        <f>IFERROR(VLOOKUP(B1368,双一流!$B$2:$D$148,3,FALSE),"")</f>
        <v/>
      </c>
      <c r="I1368" s="32" t="str">
        <f>IFERROR(VLOOKUP(B1368,汇总!$B$2:$I$2921,8,FALSE),"")</f>
        <v/>
      </c>
      <c r="J1368" s="29" t="s">
        <v>11</v>
      </c>
      <c r="K1368" s="33" t="s">
        <v>1682</v>
      </c>
    </row>
    <row r="1369" ht="33.75" spans="1:11">
      <c r="A1369" s="34">
        <v>1368</v>
      </c>
      <c r="B1369" s="34" t="s">
        <v>1683</v>
      </c>
      <c r="C1369" s="29" t="str">
        <f>VLOOKUP(B1369,教育部大学名单!$B$1:$D$2920,3,FALSE)</f>
        <v>广东省教育厅</v>
      </c>
      <c r="D1369" s="34" t="s">
        <v>844</v>
      </c>
      <c r="E1369" s="34" t="s">
        <v>874</v>
      </c>
      <c r="F1369" s="36" t="str">
        <f>IFERROR(VLOOKUP(B1369,'985'!$B$2:$D$40,3,FALSE),"")</f>
        <v/>
      </c>
      <c r="G1369" s="32" t="str">
        <f>IFERROR(VLOOKUP(B1369,'211'!$B$2:$D$116,3,FALSE),"")</f>
        <v/>
      </c>
      <c r="H1369" s="32" t="str">
        <f>IFERROR(VLOOKUP(B1369,双一流!$B$2:$D$148,3,FALSE),"")</f>
        <v/>
      </c>
      <c r="I1369" s="32">
        <f>IFERROR(VLOOKUP(B1369,汇总!$B$2:$I$2921,8,FALSE),"")</f>
        <v>0</v>
      </c>
      <c r="J1369" s="34" t="s">
        <v>11</v>
      </c>
      <c r="K1369" s="35" t="s">
        <v>1682</v>
      </c>
    </row>
    <row r="1370" ht="33.75" spans="1:11">
      <c r="A1370" s="29">
        <v>1369</v>
      </c>
      <c r="B1370" s="29" t="s">
        <v>1684</v>
      </c>
      <c r="C1370" s="29" t="str">
        <f>VLOOKUP(B1370,教育部大学名单!$B$1:$D$2920,3,FALSE)</f>
        <v>广东省教育厅</v>
      </c>
      <c r="D1370" s="29" t="s">
        <v>844</v>
      </c>
      <c r="E1370" s="29" t="s">
        <v>845</v>
      </c>
      <c r="F1370" s="36" t="str">
        <f>IFERROR(VLOOKUP(B1370,'985'!$B$2:$D$40,3,FALSE),"")</f>
        <v/>
      </c>
      <c r="G1370" s="32" t="str">
        <f>IFERROR(VLOOKUP(B1370,'211'!$B$2:$D$116,3,FALSE),"")</f>
        <v/>
      </c>
      <c r="H1370" s="32" t="str">
        <f>IFERROR(VLOOKUP(B1370,双一流!$B$2:$D$148,3,FALSE),"")</f>
        <v/>
      </c>
      <c r="I1370" s="32">
        <f>IFERROR(VLOOKUP(B1370,汇总!$B$2:$I$2921,8,FALSE),"")</f>
        <v>0</v>
      </c>
      <c r="J1370" s="29" t="s">
        <v>11</v>
      </c>
      <c r="K1370" s="33" t="s">
        <v>1682</v>
      </c>
    </row>
    <row r="1371" ht="33.75" spans="1:11">
      <c r="A1371" s="34">
        <v>1370</v>
      </c>
      <c r="B1371" s="34" t="s">
        <v>1685</v>
      </c>
      <c r="C1371" s="29" t="str">
        <f>VLOOKUP(B1371,教育部大学名单!$B$1:$D$2920,3,FALSE)</f>
        <v>广东省教育厅</v>
      </c>
      <c r="D1371" s="34" t="s">
        <v>844</v>
      </c>
      <c r="E1371" s="34" t="s">
        <v>886</v>
      </c>
      <c r="F1371" s="36" t="str">
        <f>IFERROR(VLOOKUP(B1371,'985'!$B$2:$D$40,3,FALSE),"")</f>
        <v/>
      </c>
      <c r="G1371" s="32" t="str">
        <f>IFERROR(VLOOKUP(B1371,'211'!$B$2:$D$116,3,FALSE),"")</f>
        <v/>
      </c>
      <c r="H1371" s="32" t="str">
        <f>IFERROR(VLOOKUP(B1371,双一流!$B$2:$D$148,3,FALSE),"")</f>
        <v/>
      </c>
      <c r="I1371" s="32">
        <f>IFERROR(VLOOKUP(B1371,汇总!$B$2:$I$2921,8,FALSE),"")</f>
        <v>0</v>
      </c>
      <c r="J1371" s="34" t="s">
        <v>11</v>
      </c>
      <c r="K1371" s="35" t="s">
        <v>1682</v>
      </c>
    </row>
    <row r="1372" ht="33.75" spans="1:11">
      <c r="A1372" s="29">
        <v>1371</v>
      </c>
      <c r="B1372" s="29" t="s">
        <v>1686</v>
      </c>
      <c r="C1372" s="29" t="str">
        <f>VLOOKUP(B1372,教育部大学名单!$B$1:$D$2920,3,FALSE)</f>
        <v>上海市教委</v>
      </c>
      <c r="D1372" s="29" t="s">
        <v>347</v>
      </c>
      <c r="E1372" s="29" t="s">
        <v>347</v>
      </c>
      <c r="F1372" s="36" t="str">
        <f>IFERROR(VLOOKUP(B1372,'985'!$B$2:$D$40,3,FALSE),"")</f>
        <v/>
      </c>
      <c r="G1372" s="32" t="str">
        <f>IFERROR(VLOOKUP(B1372,'211'!$B$2:$D$116,3,FALSE),"")</f>
        <v/>
      </c>
      <c r="H1372" s="32" t="str">
        <f>IFERROR(VLOOKUP(B1372,双一流!$B$2:$D$148,3,FALSE),"")</f>
        <v/>
      </c>
      <c r="I1372" s="32">
        <f>IFERROR(VLOOKUP(B1372,汇总!$B$2:$I$2921,8,FALSE),"")</f>
        <v>0</v>
      </c>
      <c r="J1372" s="29" t="s">
        <v>11</v>
      </c>
      <c r="K1372" s="33" t="s">
        <v>1687</v>
      </c>
    </row>
    <row r="1373" ht="33.75" spans="1:11">
      <c r="A1373" s="34">
        <v>1372</v>
      </c>
      <c r="B1373" s="34" t="s">
        <v>1688</v>
      </c>
      <c r="C1373" s="29" t="str">
        <f>VLOOKUP(B1373,教育部大学名单!$B$1:$D$2920,3,FALSE)</f>
        <v>江苏省教育厅</v>
      </c>
      <c r="D1373" s="34" t="s">
        <v>379</v>
      </c>
      <c r="E1373" s="34" t="s">
        <v>382</v>
      </c>
      <c r="F1373" s="36" t="str">
        <f>IFERROR(VLOOKUP(B1373,'985'!$B$2:$D$40,3,FALSE),"")</f>
        <v/>
      </c>
      <c r="G1373" s="32" t="str">
        <f>IFERROR(VLOOKUP(B1373,'211'!$B$2:$D$116,3,FALSE),"")</f>
        <v/>
      </c>
      <c r="H1373" s="32" t="str">
        <f>IFERROR(VLOOKUP(B1373,双一流!$B$2:$D$148,3,FALSE),"")</f>
        <v/>
      </c>
      <c r="I1373" s="32">
        <f>IFERROR(VLOOKUP(B1373,汇总!$B$2:$I$2921,8,FALSE),"")</f>
        <v>0</v>
      </c>
      <c r="J1373" s="34" t="s">
        <v>11</v>
      </c>
      <c r="K1373" s="35" t="s">
        <v>1687</v>
      </c>
    </row>
    <row r="1374" ht="33.75" spans="1:11">
      <c r="A1374" s="29">
        <v>1373</v>
      </c>
      <c r="B1374" s="29" t="s">
        <v>1689</v>
      </c>
      <c r="C1374" s="29" t="str">
        <f>VLOOKUP(B1374,教育部大学名单!$B$1:$D$2920,3,FALSE)</f>
        <v>江苏省教育厅</v>
      </c>
      <c r="D1374" s="29" t="s">
        <v>379</v>
      </c>
      <c r="E1374" s="29" t="s">
        <v>1690</v>
      </c>
      <c r="F1374" s="36" t="str">
        <f>IFERROR(VLOOKUP(B1374,'985'!$B$2:$D$40,3,FALSE),"")</f>
        <v/>
      </c>
      <c r="G1374" s="32" t="str">
        <f>IFERROR(VLOOKUP(B1374,'211'!$B$2:$D$116,3,FALSE),"")</f>
        <v/>
      </c>
      <c r="H1374" s="32" t="str">
        <f>IFERROR(VLOOKUP(B1374,双一流!$B$2:$D$148,3,FALSE),"")</f>
        <v/>
      </c>
      <c r="I1374" s="32">
        <f>IFERROR(VLOOKUP(B1374,汇总!$B$2:$I$2921,8,FALSE),"")</f>
        <v>0</v>
      </c>
      <c r="J1374" s="29" t="s">
        <v>11</v>
      </c>
      <c r="K1374" s="33" t="s">
        <v>1687</v>
      </c>
    </row>
    <row r="1375" ht="33.75" spans="1:11">
      <c r="A1375" s="34">
        <v>1374</v>
      </c>
      <c r="B1375" s="34" t="s">
        <v>1691</v>
      </c>
      <c r="C1375" s="29" t="str">
        <f>VLOOKUP(B1375,教育部大学名单!$B$1:$D$2920,3,FALSE)</f>
        <v>浙江省教育厅</v>
      </c>
      <c r="D1375" s="34" t="s">
        <v>448</v>
      </c>
      <c r="E1375" s="34" t="s">
        <v>477</v>
      </c>
      <c r="F1375" s="36" t="str">
        <f>IFERROR(VLOOKUP(B1375,'985'!$B$2:$D$40,3,FALSE),"")</f>
        <v/>
      </c>
      <c r="G1375" s="32" t="str">
        <f>IFERROR(VLOOKUP(B1375,'211'!$B$2:$D$116,3,FALSE),"")</f>
        <v/>
      </c>
      <c r="H1375" s="32" t="str">
        <f>IFERROR(VLOOKUP(B1375,双一流!$B$2:$D$148,3,FALSE),"")</f>
        <v/>
      </c>
      <c r="I1375" s="32">
        <f>IFERROR(VLOOKUP(B1375,汇总!$B$2:$I$2921,8,FALSE),"")</f>
        <v>0</v>
      </c>
      <c r="J1375" s="34" t="s">
        <v>11</v>
      </c>
      <c r="K1375" s="35" t="s">
        <v>1687</v>
      </c>
    </row>
    <row r="1376" ht="33.75" spans="1:11">
      <c r="A1376" s="29">
        <v>1375</v>
      </c>
      <c r="B1376" s="29" t="s">
        <v>1692</v>
      </c>
      <c r="C1376" s="29" t="str">
        <f>VLOOKUP(B1376,教育部大学名单!$B$1:$D$2920,3,FALSE)</f>
        <v>浙江省教育厅</v>
      </c>
      <c r="D1376" s="29" t="s">
        <v>448</v>
      </c>
      <c r="E1376" s="29" t="s">
        <v>457</v>
      </c>
      <c r="F1376" s="36" t="str">
        <f>IFERROR(VLOOKUP(B1376,'985'!$B$2:$D$40,3,FALSE),"")</f>
        <v/>
      </c>
      <c r="G1376" s="32" t="str">
        <f>IFERROR(VLOOKUP(B1376,'211'!$B$2:$D$116,3,FALSE),"")</f>
        <v/>
      </c>
      <c r="H1376" s="32" t="str">
        <f>IFERROR(VLOOKUP(B1376,双一流!$B$2:$D$148,3,FALSE),"")</f>
        <v/>
      </c>
      <c r="I1376" s="32">
        <f>IFERROR(VLOOKUP(B1376,汇总!$B$2:$I$2921,8,FALSE),"")</f>
        <v>0</v>
      </c>
      <c r="J1376" s="29" t="s">
        <v>11</v>
      </c>
      <c r="K1376" s="33" t="s">
        <v>1687</v>
      </c>
    </row>
    <row r="1377" ht="33.75" spans="1:11">
      <c r="A1377" s="34">
        <v>1376</v>
      </c>
      <c r="B1377" s="34" t="s">
        <v>1693</v>
      </c>
      <c r="C1377" s="29" t="str">
        <f>VLOOKUP(B1377,教育部大学名单!$B$1:$D$2920,3,FALSE)</f>
        <v>广东省教育厅</v>
      </c>
      <c r="D1377" s="34" t="s">
        <v>844</v>
      </c>
      <c r="E1377" s="34" t="s">
        <v>874</v>
      </c>
      <c r="F1377" s="36" t="str">
        <f>IFERROR(VLOOKUP(B1377,'985'!$B$2:$D$40,3,FALSE),"")</f>
        <v/>
      </c>
      <c r="G1377" s="32" t="str">
        <f>IFERROR(VLOOKUP(B1377,'211'!$B$2:$D$116,3,FALSE),"")</f>
        <v/>
      </c>
      <c r="H1377" s="32" t="str">
        <f>IFERROR(VLOOKUP(B1377,双一流!$B$2:$D$148,3,FALSE),"")</f>
        <v/>
      </c>
      <c r="I1377" s="32">
        <f>IFERROR(VLOOKUP(B1377,汇总!$B$2:$I$2921,8,FALSE),"")</f>
        <v>0</v>
      </c>
      <c r="J1377" s="34" t="s">
        <v>11</v>
      </c>
      <c r="K1377" s="35" t="s">
        <v>1687</v>
      </c>
    </row>
    <row r="1378" ht="33.75" spans="1:11">
      <c r="A1378" s="29">
        <v>1377</v>
      </c>
      <c r="B1378" s="29" t="s">
        <v>1694</v>
      </c>
      <c r="C1378" s="29" t="str">
        <f>VLOOKUP(B1378,教育部大学名单!$B$1:$D$2920,3,FALSE)</f>
        <v>广东省教育厅</v>
      </c>
      <c r="D1378" s="29" t="s">
        <v>844</v>
      </c>
      <c r="E1378" s="29" t="s">
        <v>848</v>
      </c>
      <c r="F1378" s="36" t="str">
        <f>IFERROR(VLOOKUP(B1378,'985'!$B$2:$D$40,3,FALSE),"")</f>
        <v/>
      </c>
      <c r="G1378" s="32" t="str">
        <f>IFERROR(VLOOKUP(B1378,'211'!$B$2:$D$116,3,FALSE),"")</f>
        <v/>
      </c>
      <c r="H1378" s="32" t="str">
        <f>IFERROR(VLOOKUP(B1378,双一流!$B$2:$D$148,3,FALSE),"")</f>
        <v/>
      </c>
      <c r="I1378" s="32">
        <f>IFERROR(VLOOKUP(B1378,汇总!$B$2:$I$2921,8,FALSE),"")</f>
        <v>0</v>
      </c>
      <c r="J1378" s="29" t="s">
        <v>11</v>
      </c>
      <c r="K1378" s="33" t="s">
        <v>1687</v>
      </c>
    </row>
    <row r="1379" ht="116.25" spans="1:11">
      <c r="A1379" s="34">
        <v>1378</v>
      </c>
      <c r="B1379" s="34" t="s">
        <v>1695</v>
      </c>
      <c r="C1379" s="29" t="str">
        <f>VLOOKUP(B1379,教育部大学名单!$B$1:$D$2920,3,FALSE)</f>
        <v>海南省教育厅</v>
      </c>
      <c r="D1379" s="34" t="s">
        <v>943</v>
      </c>
      <c r="E1379" s="34" t="s">
        <v>1696</v>
      </c>
      <c r="F1379" s="36" t="str">
        <f>IFERROR(VLOOKUP(B1379,'985'!$B$2:$D$40,3,FALSE),"")</f>
        <v/>
      </c>
      <c r="G1379" s="32" t="str">
        <f>IFERROR(VLOOKUP(B1379,'211'!$B$2:$D$116,3,FALSE),"")</f>
        <v/>
      </c>
      <c r="H1379" s="32" t="str">
        <f>IFERROR(VLOOKUP(B1379,双一流!$B$2:$D$148,3,FALSE),"")</f>
        <v/>
      </c>
      <c r="I1379" s="32">
        <f>IFERROR(VLOOKUP(B1379,汇总!$B$2:$I$2921,8,FALSE),"")</f>
        <v>0</v>
      </c>
      <c r="J1379" s="34" t="s">
        <v>11</v>
      </c>
      <c r="K1379" s="35" t="s">
        <v>1697</v>
      </c>
    </row>
    <row r="1380" ht="116.25" spans="1:11">
      <c r="A1380" s="29">
        <v>1379</v>
      </c>
      <c r="B1380" s="29" t="s">
        <v>1698</v>
      </c>
      <c r="C1380" s="29" t="str">
        <f>VLOOKUP(B1380,教育部大学名单!$B$1:$D$2920,3,FALSE)</f>
        <v>海南省</v>
      </c>
      <c r="D1380" s="29" t="s">
        <v>943</v>
      </c>
      <c r="E1380" s="29" t="s">
        <v>946</v>
      </c>
      <c r="F1380" s="36" t="str">
        <f>IFERROR(VLOOKUP(B1380,'985'!$B$2:$D$40,3,FALSE),"")</f>
        <v/>
      </c>
      <c r="G1380" s="32" t="str">
        <f>IFERROR(VLOOKUP(B1380,'211'!$B$2:$D$116,3,FALSE),"")</f>
        <v/>
      </c>
      <c r="H1380" s="32" t="str">
        <f>IFERROR(VLOOKUP(B1380,双一流!$B$2:$D$148,3,FALSE),"")</f>
        <v/>
      </c>
      <c r="I1380" s="32" t="str">
        <f>IFERROR(VLOOKUP(B1380,汇总!$B$2:$I$2921,8,FALSE),"")</f>
        <v/>
      </c>
      <c r="J1380" s="29" t="s">
        <v>11</v>
      </c>
      <c r="K1380" s="33" t="s">
        <v>1697</v>
      </c>
    </row>
    <row r="1381" ht="33.75" spans="1:11">
      <c r="A1381" s="34">
        <v>1380</v>
      </c>
      <c r="B1381" s="29" t="s">
        <v>1699</v>
      </c>
      <c r="C1381" s="29" t="str">
        <f>VLOOKUP(B1381,教育部大学名单!$B$1:$D$2920,3,FALSE)</f>
        <v>北京市</v>
      </c>
      <c r="D1381" s="29" t="s">
        <v>10</v>
      </c>
      <c r="E1381" s="29" t="s">
        <v>10</v>
      </c>
      <c r="F1381" s="36" t="str">
        <f>IFERROR(VLOOKUP(B1381,'985'!$B$2:$D$40,3,FALSE),"")</f>
        <v/>
      </c>
      <c r="G1381" s="32" t="str">
        <f>IFERROR(VLOOKUP(B1381,'211'!$B$2:$D$116,3,FALSE),"")</f>
        <v/>
      </c>
      <c r="H1381" s="32" t="str">
        <f>IFERROR(VLOOKUP(B1381,双一流!$B$2:$D$148,3,FALSE),"")</f>
        <v/>
      </c>
      <c r="I1381" s="32" t="str">
        <f>IFERROR(VLOOKUP(B1381,汇总!$B$2:$I$2921,8,FALSE),"")</f>
        <v>理工</v>
      </c>
      <c r="J1381" s="29" t="s">
        <v>1700</v>
      </c>
      <c r="K1381" s="29" t="s">
        <v>12</v>
      </c>
    </row>
    <row r="1382" ht="33.75" spans="1:11">
      <c r="A1382" s="29">
        <v>1381</v>
      </c>
      <c r="B1382" s="34" t="s">
        <v>1701</v>
      </c>
      <c r="C1382" s="29" t="str">
        <f>VLOOKUP(B1382,教育部大学名单!$B$1:$D$2920,3,FALSE)</f>
        <v>北京市</v>
      </c>
      <c r="D1382" s="34" t="s">
        <v>10</v>
      </c>
      <c r="E1382" s="34" t="s">
        <v>10</v>
      </c>
      <c r="F1382" s="36" t="str">
        <f>IFERROR(VLOOKUP(B1382,'985'!$B$2:$D$40,3,FALSE),"")</f>
        <v/>
      </c>
      <c r="G1382" s="32" t="str">
        <f>IFERROR(VLOOKUP(B1382,'211'!$B$2:$D$116,3,FALSE),"")</f>
        <v/>
      </c>
      <c r="H1382" s="32" t="str">
        <f>IFERROR(VLOOKUP(B1382,双一流!$B$2:$D$148,3,FALSE),"")</f>
        <v/>
      </c>
      <c r="I1382" s="32" t="str">
        <f>IFERROR(VLOOKUP(B1382,汇总!$B$2:$I$2921,8,FALSE),"")</f>
        <v>理工</v>
      </c>
      <c r="J1382" s="34" t="s">
        <v>1700</v>
      </c>
      <c r="K1382" s="34" t="s">
        <v>12</v>
      </c>
    </row>
    <row r="1383" ht="33.75" spans="1:11">
      <c r="A1383" s="34">
        <v>1382</v>
      </c>
      <c r="B1383" s="29" t="s">
        <v>1702</v>
      </c>
      <c r="C1383" s="29" t="str">
        <f>VLOOKUP(B1383,教育部大学名单!$B$1:$D$2920,3,FALSE)</f>
        <v>北京市</v>
      </c>
      <c r="D1383" s="29" t="s">
        <v>10</v>
      </c>
      <c r="E1383" s="29" t="s">
        <v>10</v>
      </c>
      <c r="F1383" s="36" t="str">
        <f>IFERROR(VLOOKUP(B1383,'985'!$B$2:$D$40,3,FALSE),"")</f>
        <v/>
      </c>
      <c r="G1383" s="32" t="str">
        <f>IFERROR(VLOOKUP(B1383,'211'!$B$2:$D$116,3,FALSE),"")</f>
        <v/>
      </c>
      <c r="H1383" s="32" t="str">
        <f>IFERROR(VLOOKUP(B1383,双一流!$B$2:$D$148,3,FALSE),"")</f>
        <v/>
      </c>
      <c r="I1383" s="32" t="str">
        <f>IFERROR(VLOOKUP(B1383,汇总!$B$2:$I$2921,8,FALSE),"")</f>
        <v>理工</v>
      </c>
      <c r="J1383" s="29" t="s">
        <v>1700</v>
      </c>
      <c r="K1383" s="29" t="s">
        <v>12</v>
      </c>
    </row>
    <row r="1384" ht="33.75" spans="1:11">
      <c r="A1384" s="29">
        <v>1383</v>
      </c>
      <c r="B1384" s="34" t="s">
        <v>1703</v>
      </c>
      <c r="C1384" s="29" t="str">
        <f>VLOOKUP(B1384,教育部大学名单!$B$1:$D$2920,3,FALSE)</f>
        <v>北京市</v>
      </c>
      <c r="D1384" s="34" t="s">
        <v>10</v>
      </c>
      <c r="E1384" s="34" t="s">
        <v>10</v>
      </c>
      <c r="F1384" s="36" t="str">
        <f>IFERROR(VLOOKUP(B1384,'985'!$B$2:$D$40,3,FALSE),"")</f>
        <v/>
      </c>
      <c r="G1384" s="32" t="str">
        <f>IFERROR(VLOOKUP(B1384,'211'!$B$2:$D$116,3,FALSE),"")</f>
        <v/>
      </c>
      <c r="H1384" s="32" t="str">
        <f>IFERROR(VLOOKUP(B1384,双一流!$B$2:$D$148,3,FALSE),"")</f>
        <v/>
      </c>
      <c r="I1384" s="32" t="str">
        <f>IFERROR(VLOOKUP(B1384,汇总!$B$2:$I$2921,8,FALSE),"")</f>
        <v>理工</v>
      </c>
      <c r="J1384" s="34" t="s">
        <v>1700</v>
      </c>
      <c r="K1384" s="34" t="s">
        <v>12</v>
      </c>
    </row>
    <row r="1385" ht="33.75" spans="1:11">
      <c r="A1385" s="34">
        <v>1384</v>
      </c>
      <c r="B1385" s="29" t="s">
        <v>1704</v>
      </c>
      <c r="C1385" s="29" t="str">
        <f>VLOOKUP(B1385,教育部大学名单!$B$1:$D$2920,3,FALSE)</f>
        <v>北京市</v>
      </c>
      <c r="D1385" s="29" t="s">
        <v>10</v>
      </c>
      <c r="E1385" s="29" t="s">
        <v>10</v>
      </c>
      <c r="F1385" s="36" t="str">
        <f>IFERROR(VLOOKUP(B1385,'985'!$B$2:$D$40,3,FALSE),"")</f>
        <v/>
      </c>
      <c r="G1385" s="32" t="str">
        <f>IFERROR(VLOOKUP(B1385,'211'!$B$2:$D$116,3,FALSE),"")</f>
        <v/>
      </c>
      <c r="H1385" s="32" t="str">
        <f>IFERROR(VLOOKUP(B1385,双一流!$B$2:$D$148,3,FALSE),"")</f>
        <v/>
      </c>
      <c r="I1385" s="32" t="str">
        <f>IFERROR(VLOOKUP(B1385,汇总!$B$2:$I$2921,8,FALSE),"")</f>
        <v>综合</v>
      </c>
      <c r="J1385" s="29" t="s">
        <v>1700</v>
      </c>
      <c r="K1385" s="29" t="s">
        <v>12</v>
      </c>
    </row>
    <row r="1386" ht="33.75" spans="1:11">
      <c r="A1386" s="29">
        <v>1385</v>
      </c>
      <c r="B1386" s="34" t="s">
        <v>1705</v>
      </c>
      <c r="C1386" s="29" t="str">
        <f>VLOOKUP(B1386,教育部大学名单!$B$1:$D$2920,3,FALSE)</f>
        <v>北京市</v>
      </c>
      <c r="D1386" s="34" t="s">
        <v>10</v>
      </c>
      <c r="E1386" s="34" t="s">
        <v>10</v>
      </c>
      <c r="F1386" s="36" t="str">
        <f>IFERROR(VLOOKUP(B1386,'985'!$B$2:$D$40,3,FALSE),"")</f>
        <v/>
      </c>
      <c r="G1386" s="32" t="str">
        <f>IFERROR(VLOOKUP(B1386,'211'!$B$2:$D$116,3,FALSE),"")</f>
        <v/>
      </c>
      <c r="H1386" s="32" t="str">
        <f>IFERROR(VLOOKUP(B1386,双一流!$B$2:$D$148,3,FALSE),"")</f>
        <v/>
      </c>
      <c r="I1386" s="32" t="str">
        <f>IFERROR(VLOOKUP(B1386,汇总!$B$2:$I$2921,8,FALSE),"")</f>
        <v>农林</v>
      </c>
      <c r="J1386" s="34" t="s">
        <v>1700</v>
      </c>
      <c r="K1386" s="34" t="s">
        <v>12</v>
      </c>
    </row>
    <row r="1387" ht="33.75" spans="1:11">
      <c r="A1387" s="34">
        <v>1386</v>
      </c>
      <c r="B1387" s="29" t="s">
        <v>1706</v>
      </c>
      <c r="C1387" s="29" t="str">
        <f>VLOOKUP(B1387,教育部大学名单!$B$1:$D$2920,3,FALSE)</f>
        <v>北京市</v>
      </c>
      <c r="D1387" s="29" t="s">
        <v>10</v>
      </c>
      <c r="E1387" s="29" t="s">
        <v>10</v>
      </c>
      <c r="F1387" s="36" t="str">
        <f>IFERROR(VLOOKUP(B1387,'985'!$B$2:$D$40,3,FALSE),"")</f>
        <v/>
      </c>
      <c r="G1387" s="32" t="str">
        <f>IFERROR(VLOOKUP(B1387,'211'!$B$2:$D$116,3,FALSE),"")</f>
        <v/>
      </c>
      <c r="H1387" s="32" t="str">
        <f>IFERROR(VLOOKUP(B1387,双一流!$B$2:$D$148,3,FALSE),"")</f>
        <v/>
      </c>
      <c r="I1387" s="32" t="str">
        <f>IFERROR(VLOOKUP(B1387,汇总!$B$2:$I$2921,8,FALSE),"")</f>
        <v>政法</v>
      </c>
      <c r="J1387" s="29" t="s">
        <v>1700</v>
      </c>
      <c r="K1387" s="29" t="s">
        <v>12</v>
      </c>
    </row>
    <row r="1388" ht="33.75" spans="1:11">
      <c r="A1388" s="29">
        <v>1387</v>
      </c>
      <c r="B1388" s="34" t="s">
        <v>1707</v>
      </c>
      <c r="C1388" s="29" t="str">
        <f>VLOOKUP(B1388,教育部大学名单!$B$1:$D$2920,3,FALSE)</f>
        <v>北京市</v>
      </c>
      <c r="D1388" s="34" t="s">
        <v>10</v>
      </c>
      <c r="E1388" s="34" t="s">
        <v>10</v>
      </c>
      <c r="F1388" s="36" t="str">
        <f>IFERROR(VLOOKUP(B1388,'985'!$B$2:$D$40,3,FALSE),"")</f>
        <v/>
      </c>
      <c r="G1388" s="32" t="str">
        <f>IFERROR(VLOOKUP(B1388,'211'!$B$2:$D$116,3,FALSE),"")</f>
        <v/>
      </c>
      <c r="H1388" s="32" t="str">
        <f>IFERROR(VLOOKUP(B1388,双一流!$B$2:$D$148,3,FALSE),"")</f>
        <v/>
      </c>
      <c r="I1388" s="32" t="str">
        <f>IFERROR(VLOOKUP(B1388,汇总!$B$2:$I$2921,8,FALSE),"")</f>
        <v>财经</v>
      </c>
      <c r="J1388" s="34" t="s">
        <v>1700</v>
      </c>
      <c r="K1388" s="34" t="s">
        <v>12</v>
      </c>
    </row>
    <row r="1389" ht="33.75" spans="1:11">
      <c r="A1389" s="34">
        <v>1388</v>
      </c>
      <c r="B1389" s="29" t="s">
        <v>1708</v>
      </c>
      <c r="C1389" s="29" t="str">
        <f>VLOOKUP(B1389,教育部大学名单!$B$1:$D$2920,3,FALSE)</f>
        <v>北京市</v>
      </c>
      <c r="D1389" s="29" t="s">
        <v>10</v>
      </c>
      <c r="E1389" s="29" t="s">
        <v>10</v>
      </c>
      <c r="F1389" s="36" t="str">
        <f>IFERROR(VLOOKUP(B1389,'985'!$B$2:$D$40,3,FALSE),"")</f>
        <v/>
      </c>
      <c r="G1389" s="32" t="str">
        <f>IFERROR(VLOOKUP(B1389,'211'!$B$2:$D$116,3,FALSE),"")</f>
        <v/>
      </c>
      <c r="H1389" s="32" t="str">
        <f>IFERROR(VLOOKUP(B1389,双一流!$B$2:$D$148,3,FALSE),"")</f>
        <v/>
      </c>
      <c r="I1389" s="32" t="str">
        <f>IFERROR(VLOOKUP(B1389,汇总!$B$2:$I$2921,8,FALSE),"")</f>
        <v>艺术</v>
      </c>
      <c r="J1389" s="29" t="s">
        <v>1700</v>
      </c>
      <c r="K1389" s="29" t="s">
        <v>12</v>
      </c>
    </row>
    <row r="1390" ht="33.75" spans="1:11">
      <c r="A1390" s="29">
        <v>1389</v>
      </c>
      <c r="B1390" s="34" t="s">
        <v>1709</v>
      </c>
      <c r="C1390" s="29" t="str">
        <f>VLOOKUP(B1390,教育部大学名单!$B$1:$D$2920,3,FALSE)</f>
        <v>北京市</v>
      </c>
      <c r="D1390" s="34" t="s">
        <v>10</v>
      </c>
      <c r="E1390" s="34" t="s">
        <v>10</v>
      </c>
      <c r="F1390" s="36" t="str">
        <f>IFERROR(VLOOKUP(B1390,'985'!$B$2:$D$40,3,FALSE),"")</f>
        <v/>
      </c>
      <c r="G1390" s="32" t="str">
        <f>IFERROR(VLOOKUP(B1390,'211'!$B$2:$D$116,3,FALSE),"")</f>
        <v/>
      </c>
      <c r="H1390" s="32" t="str">
        <f>IFERROR(VLOOKUP(B1390,双一流!$B$2:$D$148,3,FALSE),"")</f>
        <v/>
      </c>
      <c r="I1390" s="32" t="str">
        <f>IFERROR(VLOOKUP(B1390,汇总!$B$2:$I$2921,8,FALSE),"")</f>
        <v>财经</v>
      </c>
      <c r="J1390" s="34" t="s">
        <v>1700</v>
      </c>
      <c r="K1390" s="34" t="s">
        <v>12</v>
      </c>
    </row>
    <row r="1391" ht="33.75" spans="1:11">
      <c r="A1391" s="34">
        <v>1390</v>
      </c>
      <c r="B1391" s="29" t="s">
        <v>1710</v>
      </c>
      <c r="C1391" s="29" t="str">
        <f>VLOOKUP(B1391,教育部大学名单!$B$1:$D$2920,3,FALSE)</f>
        <v>北京市</v>
      </c>
      <c r="D1391" s="29" t="s">
        <v>10</v>
      </c>
      <c r="E1391" s="29" t="s">
        <v>10</v>
      </c>
      <c r="F1391" s="36" t="str">
        <f>IFERROR(VLOOKUP(B1391,'985'!$B$2:$D$40,3,FALSE),"")</f>
        <v/>
      </c>
      <c r="G1391" s="32" t="str">
        <f>IFERROR(VLOOKUP(B1391,'211'!$B$2:$D$116,3,FALSE),"")</f>
        <v/>
      </c>
      <c r="H1391" s="32" t="str">
        <f>IFERROR(VLOOKUP(B1391,双一流!$B$2:$D$148,3,FALSE),"")</f>
        <v/>
      </c>
      <c r="I1391" s="32" t="str">
        <f>IFERROR(VLOOKUP(B1391,汇总!$B$2:$I$2921,8,FALSE),"")</f>
        <v>管理</v>
      </c>
      <c r="J1391" s="29" t="s">
        <v>1700</v>
      </c>
      <c r="K1391" s="29" t="s">
        <v>12</v>
      </c>
    </row>
    <row r="1392" ht="33.75" spans="1:11">
      <c r="A1392" s="29">
        <v>1391</v>
      </c>
      <c r="B1392" s="34" t="s">
        <v>1711</v>
      </c>
      <c r="C1392" s="29" t="str">
        <f>VLOOKUP(B1392,教育部大学名单!$B$1:$D$2920,3,FALSE)</f>
        <v>北京市</v>
      </c>
      <c r="D1392" s="34" t="s">
        <v>10</v>
      </c>
      <c r="E1392" s="34" t="s">
        <v>10</v>
      </c>
      <c r="F1392" s="36" t="str">
        <f>IFERROR(VLOOKUP(B1392,'985'!$B$2:$D$40,3,FALSE),"")</f>
        <v/>
      </c>
      <c r="G1392" s="32" t="str">
        <f>IFERROR(VLOOKUP(B1392,'211'!$B$2:$D$116,3,FALSE),"")</f>
        <v/>
      </c>
      <c r="H1392" s="32" t="str">
        <f>IFERROR(VLOOKUP(B1392,双一流!$B$2:$D$148,3,FALSE),"")</f>
        <v/>
      </c>
      <c r="I1392" s="32" t="str">
        <f>IFERROR(VLOOKUP(B1392,汇总!$B$2:$I$2921,8,FALSE),"")</f>
        <v>体育</v>
      </c>
      <c r="J1392" s="34" t="s">
        <v>1700</v>
      </c>
      <c r="K1392" s="34" t="s">
        <v>12</v>
      </c>
    </row>
    <row r="1393" ht="33.75" spans="1:11">
      <c r="A1393" s="34">
        <v>1392</v>
      </c>
      <c r="B1393" s="29" t="s">
        <v>1712</v>
      </c>
      <c r="C1393" s="29" t="str">
        <f>VLOOKUP(B1393,教育部大学名单!$B$1:$D$2920,3,FALSE)</f>
        <v>北京市</v>
      </c>
      <c r="D1393" s="29" t="s">
        <v>10</v>
      </c>
      <c r="E1393" s="29" t="s">
        <v>10</v>
      </c>
      <c r="F1393" s="36" t="str">
        <f>IFERROR(VLOOKUP(B1393,'985'!$B$2:$D$40,3,FALSE),"")</f>
        <v/>
      </c>
      <c r="G1393" s="32" t="str">
        <f>IFERROR(VLOOKUP(B1393,'211'!$B$2:$D$116,3,FALSE),"")</f>
        <v/>
      </c>
      <c r="H1393" s="32" t="str">
        <f>IFERROR(VLOOKUP(B1393,双一流!$B$2:$D$148,3,FALSE),"")</f>
        <v/>
      </c>
      <c r="I1393" s="32" t="str">
        <f>IFERROR(VLOOKUP(B1393,汇总!$B$2:$I$2921,8,FALSE),"")</f>
        <v>综合</v>
      </c>
      <c r="J1393" s="29" t="s">
        <v>1700</v>
      </c>
      <c r="K1393" s="29" t="s">
        <v>12</v>
      </c>
    </row>
    <row r="1394" ht="33.75" spans="1:11">
      <c r="A1394" s="29">
        <v>1393</v>
      </c>
      <c r="B1394" s="34" t="s">
        <v>1713</v>
      </c>
      <c r="C1394" s="29" t="str">
        <f>VLOOKUP(B1394,教育部大学名单!$B$1:$D$2920,3,FALSE)</f>
        <v>北京市</v>
      </c>
      <c r="D1394" s="34" t="s">
        <v>10</v>
      </c>
      <c r="E1394" s="34" t="s">
        <v>10</v>
      </c>
      <c r="F1394" s="36" t="str">
        <f>IFERROR(VLOOKUP(B1394,'985'!$B$2:$D$40,3,FALSE),"")</f>
        <v/>
      </c>
      <c r="G1394" s="32" t="str">
        <f>IFERROR(VLOOKUP(B1394,'211'!$B$2:$D$116,3,FALSE),"")</f>
        <v/>
      </c>
      <c r="H1394" s="32" t="str">
        <f>IFERROR(VLOOKUP(B1394,双一流!$B$2:$D$148,3,FALSE),"")</f>
        <v/>
      </c>
      <c r="I1394" s="32" t="str">
        <f>IFERROR(VLOOKUP(B1394,汇总!$B$2:$I$2921,8,FALSE),"")</f>
        <v>医药</v>
      </c>
      <c r="J1394" s="34" t="s">
        <v>1700</v>
      </c>
      <c r="K1394" s="34" t="s">
        <v>12</v>
      </c>
    </row>
    <row r="1395" ht="33.75" spans="1:11">
      <c r="A1395" s="34">
        <v>1394</v>
      </c>
      <c r="B1395" s="29" t="s">
        <v>1714</v>
      </c>
      <c r="C1395" s="29" t="str">
        <f>VLOOKUP(B1395,教育部大学名单!$B$1:$D$2920,3,FALSE)</f>
        <v>天津市</v>
      </c>
      <c r="D1395" s="29" t="s">
        <v>76</v>
      </c>
      <c r="E1395" s="29" t="s">
        <v>76</v>
      </c>
      <c r="F1395" s="36" t="str">
        <f>IFERROR(VLOOKUP(B1395,'985'!$B$2:$D$40,3,FALSE),"")</f>
        <v/>
      </c>
      <c r="G1395" s="32" t="str">
        <f>IFERROR(VLOOKUP(B1395,'211'!$B$2:$D$116,3,FALSE),"")</f>
        <v/>
      </c>
      <c r="H1395" s="32" t="str">
        <f>IFERROR(VLOOKUP(B1395,双一流!$B$2:$D$148,3,FALSE),"")</f>
        <v/>
      </c>
      <c r="I1395" s="32" t="str">
        <f>IFERROR(VLOOKUP(B1395,汇总!$B$2:$I$2921,8,FALSE),"")</f>
        <v>综合</v>
      </c>
      <c r="J1395" s="29" t="s">
        <v>1700</v>
      </c>
      <c r="K1395" s="29" t="s">
        <v>12</v>
      </c>
    </row>
    <row r="1396" ht="33.75" spans="1:11">
      <c r="A1396" s="29">
        <v>1395</v>
      </c>
      <c r="B1396" s="34" t="s">
        <v>1715</v>
      </c>
      <c r="C1396" s="29" t="str">
        <f>VLOOKUP(B1396,教育部大学名单!$B$1:$D$2920,3,FALSE)</f>
        <v>天津市</v>
      </c>
      <c r="D1396" s="34" t="s">
        <v>76</v>
      </c>
      <c r="E1396" s="34" t="s">
        <v>76</v>
      </c>
      <c r="F1396" s="36" t="str">
        <f>IFERROR(VLOOKUP(B1396,'985'!$B$2:$D$40,3,FALSE),"")</f>
        <v/>
      </c>
      <c r="G1396" s="32" t="str">
        <f>IFERROR(VLOOKUP(B1396,'211'!$B$2:$D$116,3,FALSE),"")</f>
        <v/>
      </c>
      <c r="H1396" s="32" t="str">
        <f>IFERROR(VLOOKUP(B1396,双一流!$B$2:$D$148,3,FALSE),"")</f>
        <v/>
      </c>
      <c r="I1396" s="32">
        <f>IFERROR(VLOOKUP(B1396,汇总!$B$2:$I$2921,8,FALSE),"")</f>
        <v>0</v>
      </c>
      <c r="J1396" s="34" t="s">
        <v>1700</v>
      </c>
      <c r="K1396" s="34" t="s">
        <v>12</v>
      </c>
    </row>
    <row r="1397" ht="33.75" spans="1:11">
      <c r="A1397" s="34">
        <v>1396</v>
      </c>
      <c r="B1397" s="29" t="s">
        <v>1716</v>
      </c>
      <c r="C1397" s="29" t="str">
        <f>VLOOKUP(B1397,教育部大学名单!$B$1:$D$2920,3,FALSE)</f>
        <v>天津市</v>
      </c>
      <c r="D1397" s="29" t="s">
        <v>76</v>
      </c>
      <c r="E1397" s="29" t="s">
        <v>76</v>
      </c>
      <c r="F1397" s="36" t="str">
        <f>IFERROR(VLOOKUP(B1397,'985'!$B$2:$D$40,3,FALSE),"")</f>
        <v/>
      </c>
      <c r="G1397" s="32" t="str">
        <f>IFERROR(VLOOKUP(B1397,'211'!$B$2:$D$116,3,FALSE),"")</f>
        <v/>
      </c>
      <c r="H1397" s="32" t="str">
        <f>IFERROR(VLOOKUP(B1397,双一流!$B$2:$D$148,3,FALSE),"")</f>
        <v/>
      </c>
      <c r="I1397" s="32" t="str">
        <f>IFERROR(VLOOKUP(B1397,汇总!$B$2:$I$2921,8,FALSE),"")</f>
        <v>综合</v>
      </c>
      <c r="J1397" s="29" t="s">
        <v>1700</v>
      </c>
      <c r="K1397" s="29" t="s">
        <v>12</v>
      </c>
    </row>
    <row r="1398" ht="50.25" spans="1:11">
      <c r="A1398" s="29">
        <v>1397</v>
      </c>
      <c r="B1398" s="34" t="s">
        <v>1717</v>
      </c>
      <c r="C1398" s="29" t="str">
        <f>VLOOKUP(B1398,教育部大学名单!$B$1:$D$2920,3,FALSE)</f>
        <v>天津市</v>
      </c>
      <c r="D1398" s="34" t="s">
        <v>76</v>
      </c>
      <c r="E1398" s="34" t="s">
        <v>76</v>
      </c>
      <c r="F1398" s="36" t="str">
        <f>IFERROR(VLOOKUP(B1398,'985'!$B$2:$D$40,3,FALSE),"")</f>
        <v/>
      </c>
      <c r="G1398" s="32" t="str">
        <f>IFERROR(VLOOKUP(B1398,'211'!$B$2:$D$116,3,FALSE),"")</f>
        <v/>
      </c>
      <c r="H1398" s="32" t="str">
        <f>IFERROR(VLOOKUP(B1398,双一流!$B$2:$D$148,3,FALSE),"")</f>
        <v/>
      </c>
      <c r="I1398" s="32" t="str">
        <f>IFERROR(VLOOKUP(B1398,汇总!$B$2:$I$2921,8,FALSE),"")</f>
        <v>理工</v>
      </c>
      <c r="J1398" s="34" t="s">
        <v>1700</v>
      </c>
      <c r="K1398" s="34" t="s">
        <v>12</v>
      </c>
    </row>
    <row r="1399" ht="33.75" spans="1:11">
      <c r="A1399" s="34">
        <v>1398</v>
      </c>
      <c r="B1399" s="29" t="s">
        <v>1718</v>
      </c>
      <c r="C1399" s="29" t="str">
        <f>VLOOKUP(B1399,教育部大学名单!$B$1:$D$2920,3,FALSE)</f>
        <v>天津市</v>
      </c>
      <c r="D1399" s="29" t="s">
        <v>76</v>
      </c>
      <c r="E1399" s="29" t="s">
        <v>76</v>
      </c>
      <c r="F1399" s="36" t="str">
        <f>IFERROR(VLOOKUP(B1399,'985'!$B$2:$D$40,3,FALSE),"")</f>
        <v/>
      </c>
      <c r="G1399" s="32" t="str">
        <f>IFERROR(VLOOKUP(B1399,'211'!$B$2:$D$116,3,FALSE),"")</f>
        <v/>
      </c>
      <c r="H1399" s="32" t="str">
        <f>IFERROR(VLOOKUP(B1399,双一流!$B$2:$D$148,3,FALSE),"")</f>
        <v/>
      </c>
      <c r="I1399" s="32" t="str">
        <f>IFERROR(VLOOKUP(B1399,汇总!$B$2:$I$2921,8,FALSE),"")</f>
        <v>理工</v>
      </c>
      <c r="J1399" s="29" t="s">
        <v>1700</v>
      </c>
      <c r="K1399" s="29" t="s">
        <v>12</v>
      </c>
    </row>
    <row r="1400" ht="33.75" spans="1:11">
      <c r="A1400" s="29">
        <v>1399</v>
      </c>
      <c r="B1400" s="34" t="s">
        <v>1719</v>
      </c>
      <c r="C1400" s="29" t="str">
        <f>VLOOKUP(B1400,教育部大学名单!$B$1:$D$2920,3,FALSE)</f>
        <v>天津市</v>
      </c>
      <c r="D1400" s="34" t="s">
        <v>76</v>
      </c>
      <c r="E1400" s="34" t="s">
        <v>76</v>
      </c>
      <c r="F1400" s="36" t="str">
        <f>IFERROR(VLOOKUP(B1400,'985'!$B$2:$D$40,3,FALSE),"")</f>
        <v/>
      </c>
      <c r="G1400" s="32" t="str">
        <f>IFERROR(VLOOKUP(B1400,'211'!$B$2:$D$116,3,FALSE),"")</f>
        <v/>
      </c>
      <c r="H1400" s="32" t="str">
        <f>IFERROR(VLOOKUP(B1400,双一流!$B$2:$D$148,3,FALSE),"")</f>
        <v/>
      </c>
      <c r="I1400" s="32" t="str">
        <f>IFERROR(VLOOKUP(B1400,汇总!$B$2:$I$2921,8,FALSE),"")</f>
        <v>综合</v>
      </c>
      <c r="J1400" s="34" t="s">
        <v>1700</v>
      </c>
      <c r="K1400" s="34" t="s">
        <v>12</v>
      </c>
    </row>
    <row r="1401" ht="33.75" spans="1:11">
      <c r="A1401" s="34">
        <v>1400</v>
      </c>
      <c r="B1401" s="29" t="s">
        <v>1720</v>
      </c>
      <c r="C1401" s="29" t="str">
        <f>VLOOKUP(B1401,教育部大学名单!$B$1:$D$2920,3,FALSE)</f>
        <v>天津市</v>
      </c>
      <c r="D1401" s="29" t="s">
        <v>76</v>
      </c>
      <c r="E1401" s="29" t="s">
        <v>76</v>
      </c>
      <c r="F1401" s="36" t="str">
        <f>IFERROR(VLOOKUP(B1401,'985'!$B$2:$D$40,3,FALSE),"")</f>
        <v/>
      </c>
      <c r="G1401" s="32" t="str">
        <f>IFERROR(VLOOKUP(B1401,'211'!$B$2:$D$116,3,FALSE),"")</f>
        <v/>
      </c>
      <c r="H1401" s="32" t="str">
        <f>IFERROR(VLOOKUP(B1401,双一流!$B$2:$D$148,3,FALSE),"")</f>
        <v/>
      </c>
      <c r="I1401" s="32" t="str">
        <f>IFERROR(VLOOKUP(B1401,汇总!$B$2:$I$2921,8,FALSE),"")</f>
        <v>理工</v>
      </c>
      <c r="J1401" s="29" t="s">
        <v>1700</v>
      </c>
      <c r="K1401" s="29" t="s">
        <v>12</v>
      </c>
    </row>
    <row r="1402" ht="33.75" spans="1:11">
      <c r="A1402" s="29">
        <v>1401</v>
      </c>
      <c r="B1402" s="34" t="s">
        <v>1721</v>
      </c>
      <c r="C1402" s="29" t="str">
        <f>VLOOKUP(B1402,教育部大学名单!$B$1:$D$2920,3,FALSE)</f>
        <v>天津市</v>
      </c>
      <c r="D1402" s="34" t="s">
        <v>76</v>
      </c>
      <c r="E1402" s="34" t="s">
        <v>76</v>
      </c>
      <c r="F1402" s="36" t="str">
        <f>IFERROR(VLOOKUP(B1402,'985'!$B$2:$D$40,3,FALSE),"")</f>
        <v/>
      </c>
      <c r="G1402" s="32" t="str">
        <f>IFERROR(VLOOKUP(B1402,'211'!$B$2:$D$116,3,FALSE),"")</f>
        <v/>
      </c>
      <c r="H1402" s="32" t="str">
        <f>IFERROR(VLOOKUP(B1402,双一流!$B$2:$D$148,3,FALSE),"")</f>
        <v/>
      </c>
      <c r="I1402" s="32" t="str">
        <f>IFERROR(VLOOKUP(B1402,汇总!$B$2:$I$2921,8,FALSE),"")</f>
        <v>财经</v>
      </c>
      <c r="J1402" s="34" t="s">
        <v>1700</v>
      </c>
      <c r="K1402" s="34" t="s">
        <v>12</v>
      </c>
    </row>
    <row r="1403" ht="50.25" spans="1:11">
      <c r="A1403" s="34">
        <v>1402</v>
      </c>
      <c r="B1403" s="29" t="s">
        <v>1722</v>
      </c>
      <c r="C1403" s="29" t="str">
        <f>VLOOKUP(B1403,教育部大学名单!$B$1:$D$2920,3,FALSE)</f>
        <v>天津市</v>
      </c>
      <c r="D1403" s="29" t="s">
        <v>76</v>
      </c>
      <c r="E1403" s="29" t="s">
        <v>76</v>
      </c>
      <c r="F1403" s="36" t="str">
        <f>IFERROR(VLOOKUP(B1403,'985'!$B$2:$D$40,3,FALSE),"")</f>
        <v/>
      </c>
      <c r="G1403" s="32" t="str">
        <f>IFERROR(VLOOKUP(B1403,'211'!$B$2:$D$116,3,FALSE),"")</f>
        <v/>
      </c>
      <c r="H1403" s="32" t="str">
        <f>IFERROR(VLOOKUP(B1403,双一流!$B$2:$D$148,3,FALSE),"")</f>
        <v/>
      </c>
      <c r="I1403" s="32" t="str">
        <f>IFERROR(VLOOKUP(B1403,汇总!$B$2:$I$2921,8,FALSE),"")</f>
        <v>综合</v>
      </c>
      <c r="J1403" s="29" t="s">
        <v>1700</v>
      </c>
      <c r="K1403" s="29" t="s">
        <v>12</v>
      </c>
    </row>
    <row r="1404" ht="33.75" spans="1:11">
      <c r="A1404" s="29">
        <v>1403</v>
      </c>
      <c r="B1404" s="34" t="s">
        <v>1723</v>
      </c>
      <c r="C1404" s="29" t="str">
        <f>VLOOKUP(B1404,教育部大学名单!$B$1:$D$2920,3,FALSE)</f>
        <v>天津市</v>
      </c>
      <c r="D1404" s="34" t="s">
        <v>76</v>
      </c>
      <c r="E1404" s="34" t="s">
        <v>76</v>
      </c>
      <c r="F1404" s="36" t="str">
        <f>IFERROR(VLOOKUP(B1404,'985'!$B$2:$D$40,3,FALSE),"")</f>
        <v/>
      </c>
      <c r="G1404" s="32" t="str">
        <f>IFERROR(VLOOKUP(B1404,'211'!$B$2:$D$116,3,FALSE),"")</f>
        <v/>
      </c>
      <c r="H1404" s="32" t="str">
        <f>IFERROR(VLOOKUP(B1404,双一流!$B$2:$D$148,3,FALSE),"")</f>
        <v/>
      </c>
      <c r="I1404" s="32" t="str">
        <f>IFERROR(VLOOKUP(B1404,汇总!$B$2:$I$2921,8,FALSE),"")</f>
        <v>医药</v>
      </c>
      <c r="J1404" s="34" t="s">
        <v>1700</v>
      </c>
      <c r="K1404" s="34" t="s">
        <v>12</v>
      </c>
    </row>
    <row r="1405" ht="50.25" spans="1:11">
      <c r="A1405" s="34">
        <v>1404</v>
      </c>
      <c r="B1405" s="29" t="s">
        <v>1724</v>
      </c>
      <c r="C1405" s="29" t="str">
        <f>VLOOKUP(B1405,教育部大学名单!$B$1:$D$2920,3,FALSE)</f>
        <v>天津市</v>
      </c>
      <c r="D1405" s="29" t="s">
        <v>76</v>
      </c>
      <c r="E1405" s="29" t="s">
        <v>76</v>
      </c>
      <c r="F1405" s="36" t="str">
        <f>IFERROR(VLOOKUP(B1405,'985'!$B$2:$D$40,3,FALSE),"")</f>
        <v/>
      </c>
      <c r="G1405" s="32" t="str">
        <f>IFERROR(VLOOKUP(B1405,'211'!$B$2:$D$116,3,FALSE),"")</f>
        <v/>
      </c>
      <c r="H1405" s="32" t="str">
        <f>IFERROR(VLOOKUP(B1405,双一流!$B$2:$D$148,3,FALSE),"")</f>
        <v/>
      </c>
      <c r="I1405" s="32">
        <f>IFERROR(VLOOKUP(B1405,汇总!$B$2:$I$2921,8,FALSE),"")</f>
        <v>0</v>
      </c>
      <c r="J1405" s="29" t="s">
        <v>1700</v>
      </c>
      <c r="K1405" s="29" t="s">
        <v>12</v>
      </c>
    </row>
    <row r="1406" ht="33.75" spans="1:11">
      <c r="A1406" s="29">
        <v>1405</v>
      </c>
      <c r="B1406" s="34" t="s">
        <v>1725</v>
      </c>
      <c r="C1406" s="29" t="str">
        <f>VLOOKUP(B1406,教育部大学名单!$B$1:$D$2920,3,FALSE)</f>
        <v>天津市</v>
      </c>
      <c r="D1406" s="34" t="s">
        <v>76</v>
      </c>
      <c r="E1406" s="34" t="s">
        <v>76</v>
      </c>
      <c r="F1406" s="36" t="str">
        <f>IFERROR(VLOOKUP(B1406,'985'!$B$2:$D$40,3,FALSE),"")</f>
        <v/>
      </c>
      <c r="G1406" s="32" t="str">
        <f>IFERROR(VLOOKUP(B1406,'211'!$B$2:$D$116,3,FALSE),"")</f>
        <v/>
      </c>
      <c r="H1406" s="32" t="str">
        <f>IFERROR(VLOOKUP(B1406,双一流!$B$2:$D$148,3,FALSE),"")</f>
        <v/>
      </c>
      <c r="I1406" s="32" t="str">
        <f>IFERROR(VLOOKUP(B1406,汇总!$B$2:$I$2921,8,FALSE),"")</f>
        <v>艺术</v>
      </c>
      <c r="J1406" s="34" t="s">
        <v>1700</v>
      </c>
      <c r="K1406" s="34" t="s">
        <v>12</v>
      </c>
    </row>
    <row r="1407" ht="33.75" spans="1:11">
      <c r="A1407" s="34">
        <v>1406</v>
      </c>
      <c r="B1407" s="29" t="s">
        <v>1726</v>
      </c>
      <c r="C1407" s="29" t="str">
        <f>VLOOKUP(B1407,教育部大学名单!$B$1:$D$2920,3,FALSE)</f>
        <v>天津市</v>
      </c>
      <c r="D1407" s="29" t="s">
        <v>76</v>
      </c>
      <c r="E1407" s="29" t="s">
        <v>76</v>
      </c>
      <c r="F1407" s="36" t="str">
        <f>IFERROR(VLOOKUP(B1407,'985'!$B$2:$D$40,3,FALSE),"")</f>
        <v/>
      </c>
      <c r="G1407" s="32" t="str">
        <f>IFERROR(VLOOKUP(B1407,'211'!$B$2:$D$116,3,FALSE),"")</f>
        <v/>
      </c>
      <c r="H1407" s="32" t="str">
        <f>IFERROR(VLOOKUP(B1407,双一流!$B$2:$D$148,3,FALSE),"")</f>
        <v/>
      </c>
      <c r="I1407" s="32" t="str">
        <f>IFERROR(VLOOKUP(B1407,汇总!$B$2:$I$2921,8,FALSE),"")</f>
        <v>理工</v>
      </c>
      <c r="J1407" s="29" t="s">
        <v>1700</v>
      </c>
      <c r="K1407" s="29" t="s">
        <v>12</v>
      </c>
    </row>
    <row r="1408" ht="33.75" spans="1:11">
      <c r="A1408" s="29">
        <v>1407</v>
      </c>
      <c r="B1408" s="34" t="s">
        <v>1727</v>
      </c>
      <c r="C1408" s="29" t="str">
        <f>VLOOKUP(B1408,教育部大学名单!$B$1:$D$2920,3,FALSE)</f>
        <v>天津市</v>
      </c>
      <c r="D1408" s="34" t="s">
        <v>76</v>
      </c>
      <c r="E1408" s="34" t="s">
        <v>76</v>
      </c>
      <c r="F1408" s="36" t="str">
        <f>IFERROR(VLOOKUP(B1408,'985'!$B$2:$D$40,3,FALSE),"")</f>
        <v/>
      </c>
      <c r="G1408" s="32" t="str">
        <f>IFERROR(VLOOKUP(B1408,'211'!$B$2:$D$116,3,FALSE),"")</f>
        <v/>
      </c>
      <c r="H1408" s="32" t="str">
        <f>IFERROR(VLOOKUP(B1408,双一流!$B$2:$D$148,3,FALSE),"")</f>
        <v/>
      </c>
      <c r="I1408" s="32" t="str">
        <f>IFERROR(VLOOKUP(B1408,汇总!$B$2:$I$2921,8,FALSE),"")</f>
        <v>理工</v>
      </c>
      <c r="J1408" s="34" t="s">
        <v>1700</v>
      </c>
      <c r="K1408" s="34" t="s">
        <v>12</v>
      </c>
    </row>
    <row r="1409" ht="33.75" spans="1:11">
      <c r="A1409" s="34">
        <v>1408</v>
      </c>
      <c r="B1409" s="29" t="s">
        <v>1728</v>
      </c>
      <c r="C1409" s="29" t="str">
        <f>VLOOKUP(B1409,教育部大学名单!$B$1:$D$2920,3,FALSE)</f>
        <v>天津市</v>
      </c>
      <c r="D1409" s="29" t="s">
        <v>76</v>
      </c>
      <c r="E1409" s="29" t="s">
        <v>76</v>
      </c>
      <c r="F1409" s="36" t="str">
        <f>IFERROR(VLOOKUP(B1409,'985'!$B$2:$D$40,3,FALSE),"")</f>
        <v/>
      </c>
      <c r="G1409" s="32" t="str">
        <f>IFERROR(VLOOKUP(B1409,'211'!$B$2:$D$116,3,FALSE),"")</f>
        <v/>
      </c>
      <c r="H1409" s="32" t="str">
        <f>IFERROR(VLOOKUP(B1409,双一流!$B$2:$D$148,3,FALSE),"")</f>
        <v/>
      </c>
      <c r="I1409" s="32" t="str">
        <f>IFERROR(VLOOKUP(B1409,汇总!$B$2:$I$2921,8,FALSE),"")</f>
        <v>理工</v>
      </c>
      <c r="J1409" s="29" t="s">
        <v>1700</v>
      </c>
      <c r="K1409" s="29" t="s">
        <v>12</v>
      </c>
    </row>
    <row r="1410" ht="33.75" spans="1:11">
      <c r="A1410" s="29">
        <v>1409</v>
      </c>
      <c r="B1410" s="34" t="s">
        <v>1729</v>
      </c>
      <c r="C1410" s="29" t="str">
        <f>VLOOKUP(B1410,教育部大学名单!$B$1:$D$2920,3,FALSE)</f>
        <v>天津市</v>
      </c>
      <c r="D1410" s="34" t="s">
        <v>76</v>
      </c>
      <c r="E1410" s="34" t="s">
        <v>76</v>
      </c>
      <c r="F1410" s="36" t="str">
        <f>IFERROR(VLOOKUP(B1410,'985'!$B$2:$D$40,3,FALSE),"")</f>
        <v/>
      </c>
      <c r="G1410" s="32" t="str">
        <f>IFERROR(VLOOKUP(B1410,'211'!$B$2:$D$116,3,FALSE),"")</f>
        <v/>
      </c>
      <c r="H1410" s="32" t="str">
        <f>IFERROR(VLOOKUP(B1410,双一流!$B$2:$D$148,3,FALSE),"")</f>
        <v/>
      </c>
      <c r="I1410" s="32" t="str">
        <f>IFERROR(VLOOKUP(B1410,汇总!$B$2:$I$2921,8,FALSE),"")</f>
        <v>综合</v>
      </c>
      <c r="J1410" s="34" t="s">
        <v>1700</v>
      </c>
      <c r="K1410" s="34" t="s">
        <v>12</v>
      </c>
    </row>
    <row r="1411" ht="33.75" spans="1:11">
      <c r="A1411" s="34">
        <v>1410</v>
      </c>
      <c r="B1411" s="29" t="s">
        <v>1730</v>
      </c>
      <c r="C1411" s="29" t="str">
        <f>VLOOKUP(B1411,教育部大学名单!$B$1:$D$2920,3,FALSE)</f>
        <v>天津市</v>
      </c>
      <c r="D1411" s="29" t="s">
        <v>76</v>
      </c>
      <c r="E1411" s="29" t="s">
        <v>76</v>
      </c>
      <c r="F1411" s="36" t="str">
        <f>IFERROR(VLOOKUP(B1411,'985'!$B$2:$D$40,3,FALSE),"")</f>
        <v/>
      </c>
      <c r="G1411" s="32" t="str">
        <f>IFERROR(VLOOKUP(B1411,'211'!$B$2:$D$116,3,FALSE),"")</f>
        <v/>
      </c>
      <c r="H1411" s="32" t="str">
        <f>IFERROR(VLOOKUP(B1411,双一流!$B$2:$D$148,3,FALSE),"")</f>
        <v/>
      </c>
      <c r="I1411" s="32" t="str">
        <f>IFERROR(VLOOKUP(B1411,汇总!$B$2:$I$2921,8,FALSE),"")</f>
        <v>理工</v>
      </c>
      <c r="J1411" s="29" t="s">
        <v>1700</v>
      </c>
      <c r="K1411" s="29" t="s">
        <v>12</v>
      </c>
    </row>
    <row r="1412" ht="33.75" spans="1:11">
      <c r="A1412" s="29">
        <v>1411</v>
      </c>
      <c r="B1412" s="34" t="s">
        <v>1731</v>
      </c>
      <c r="C1412" s="29" t="str">
        <f>VLOOKUP(B1412,教育部大学名单!$B$1:$D$2920,3,FALSE)</f>
        <v>天津市</v>
      </c>
      <c r="D1412" s="34" t="s">
        <v>76</v>
      </c>
      <c r="E1412" s="34" t="s">
        <v>76</v>
      </c>
      <c r="F1412" s="36" t="str">
        <f>IFERROR(VLOOKUP(B1412,'985'!$B$2:$D$40,3,FALSE),"")</f>
        <v/>
      </c>
      <c r="G1412" s="32" t="str">
        <f>IFERROR(VLOOKUP(B1412,'211'!$B$2:$D$116,3,FALSE),"")</f>
        <v/>
      </c>
      <c r="H1412" s="32" t="str">
        <f>IFERROR(VLOOKUP(B1412,双一流!$B$2:$D$148,3,FALSE),"")</f>
        <v/>
      </c>
      <c r="I1412" s="32" t="str">
        <f>IFERROR(VLOOKUP(B1412,汇总!$B$2:$I$2921,8,FALSE),"")</f>
        <v>艺术</v>
      </c>
      <c r="J1412" s="34" t="s">
        <v>1700</v>
      </c>
      <c r="K1412" s="34" t="s">
        <v>12</v>
      </c>
    </row>
    <row r="1413" ht="50.25" spans="1:11">
      <c r="A1413" s="34">
        <v>1412</v>
      </c>
      <c r="B1413" s="29" t="s">
        <v>1732</v>
      </c>
      <c r="C1413" s="29" t="str">
        <f>VLOOKUP(B1413,教育部大学名单!$B$1:$D$2920,3,FALSE)</f>
        <v>天津市</v>
      </c>
      <c r="D1413" s="29" t="s">
        <v>76</v>
      </c>
      <c r="E1413" s="29" t="s">
        <v>76</v>
      </c>
      <c r="F1413" s="36" t="str">
        <f>IFERROR(VLOOKUP(B1413,'985'!$B$2:$D$40,3,FALSE),"")</f>
        <v/>
      </c>
      <c r="G1413" s="32" t="str">
        <f>IFERROR(VLOOKUP(B1413,'211'!$B$2:$D$116,3,FALSE),"")</f>
        <v/>
      </c>
      <c r="H1413" s="32" t="str">
        <f>IFERROR(VLOOKUP(B1413,双一流!$B$2:$D$148,3,FALSE),"")</f>
        <v/>
      </c>
      <c r="I1413" s="32" t="str">
        <f>IFERROR(VLOOKUP(B1413,汇总!$B$2:$I$2921,8,FALSE),"")</f>
        <v>综合</v>
      </c>
      <c r="J1413" s="29" t="s">
        <v>1700</v>
      </c>
      <c r="K1413" s="29" t="s">
        <v>12</v>
      </c>
    </row>
    <row r="1414" ht="50.25" spans="1:11">
      <c r="A1414" s="29">
        <v>1413</v>
      </c>
      <c r="B1414" s="34" t="s">
        <v>1733</v>
      </c>
      <c r="C1414" s="29" t="str">
        <f>VLOOKUP(B1414,教育部大学名单!$B$1:$D$2920,3,FALSE)</f>
        <v>天津市</v>
      </c>
      <c r="D1414" s="34" t="s">
        <v>76</v>
      </c>
      <c r="E1414" s="34" t="s">
        <v>76</v>
      </c>
      <c r="F1414" s="36" t="str">
        <f>IFERROR(VLOOKUP(B1414,'985'!$B$2:$D$40,3,FALSE),"")</f>
        <v/>
      </c>
      <c r="G1414" s="32" t="str">
        <f>IFERROR(VLOOKUP(B1414,'211'!$B$2:$D$116,3,FALSE),"")</f>
        <v/>
      </c>
      <c r="H1414" s="32" t="str">
        <f>IFERROR(VLOOKUP(B1414,双一流!$B$2:$D$148,3,FALSE),"")</f>
        <v/>
      </c>
      <c r="I1414" s="32">
        <f>IFERROR(VLOOKUP(B1414,汇总!$B$2:$I$2921,8,FALSE),"")</f>
        <v>0</v>
      </c>
      <c r="J1414" s="34" t="s">
        <v>1700</v>
      </c>
      <c r="K1414" s="34" t="s">
        <v>12</v>
      </c>
    </row>
    <row r="1415" ht="33.75" spans="1:11">
      <c r="A1415" s="34">
        <v>1414</v>
      </c>
      <c r="B1415" s="29" t="s">
        <v>1734</v>
      </c>
      <c r="C1415" s="29" t="str">
        <f>VLOOKUP(B1415,教育部大学名单!$B$1:$D$2920,3,FALSE)</f>
        <v>天津市</v>
      </c>
      <c r="D1415" s="29" t="s">
        <v>76</v>
      </c>
      <c r="E1415" s="29" t="s">
        <v>76</v>
      </c>
      <c r="F1415" s="36" t="str">
        <f>IFERROR(VLOOKUP(B1415,'985'!$B$2:$D$40,3,FALSE),"")</f>
        <v/>
      </c>
      <c r="G1415" s="32" t="str">
        <f>IFERROR(VLOOKUP(B1415,'211'!$B$2:$D$116,3,FALSE),"")</f>
        <v/>
      </c>
      <c r="H1415" s="32" t="str">
        <f>IFERROR(VLOOKUP(B1415,双一流!$B$2:$D$148,3,FALSE),"")</f>
        <v/>
      </c>
      <c r="I1415" s="32" t="str">
        <f>IFERROR(VLOOKUP(B1415,汇总!$B$2:$I$2921,8,FALSE),"")</f>
        <v>综合</v>
      </c>
      <c r="J1415" s="29" t="s">
        <v>1700</v>
      </c>
      <c r="K1415" s="29" t="s">
        <v>12</v>
      </c>
    </row>
    <row r="1416" ht="33.75" spans="1:11">
      <c r="A1416" s="29">
        <v>1415</v>
      </c>
      <c r="B1416" s="34" t="s">
        <v>1735</v>
      </c>
      <c r="C1416" s="29" t="str">
        <f>VLOOKUP(B1416,教育部大学名单!$B$1:$D$2920,3,FALSE)</f>
        <v>天津市</v>
      </c>
      <c r="D1416" s="34" t="s">
        <v>76</v>
      </c>
      <c r="E1416" s="34" t="s">
        <v>76</v>
      </c>
      <c r="F1416" s="36" t="str">
        <f>IFERROR(VLOOKUP(B1416,'985'!$B$2:$D$40,3,FALSE),"")</f>
        <v/>
      </c>
      <c r="G1416" s="32" t="str">
        <f>IFERROR(VLOOKUP(B1416,'211'!$B$2:$D$116,3,FALSE),"")</f>
        <v/>
      </c>
      <c r="H1416" s="32" t="str">
        <f>IFERROR(VLOOKUP(B1416,双一流!$B$2:$D$148,3,FALSE),"")</f>
        <v/>
      </c>
      <c r="I1416" s="32">
        <f>IFERROR(VLOOKUP(B1416,汇总!$B$2:$I$2921,8,FALSE),"")</f>
        <v>0</v>
      </c>
      <c r="J1416" s="34" t="s">
        <v>1700</v>
      </c>
      <c r="K1416" s="34" t="s">
        <v>12</v>
      </c>
    </row>
    <row r="1417" ht="33.75" spans="1:11">
      <c r="A1417" s="34">
        <v>1416</v>
      </c>
      <c r="B1417" s="29" t="s">
        <v>1736</v>
      </c>
      <c r="C1417" s="29" t="str">
        <f>VLOOKUP(B1417,教育部大学名单!$B$1:$D$2920,3,FALSE)</f>
        <v>天津市</v>
      </c>
      <c r="D1417" s="29" t="s">
        <v>76</v>
      </c>
      <c r="E1417" s="29" t="s">
        <v>76</v>
      </c>
      <c r="F1417" s="36" t="str">
        <f>IFERROR(VLOOKUP(B1417,'985'!$B$2:$D$40,3,FALSE),"")</f>
        <v/>
      </c>
      <c r="G1417" s="32" t="str">
        <f>IFERROR(VLOOKUP(B1417,'211'!$B$2:$D$116,3,FALSE),"")</f>
        <v/>
      </c>
      <c r="H1417" s="32" t="str">
        <f>IFERROR(VLOOKUP(B1417,双一流!$B$2:$D$148,3,FALSE),"")</f>
        <v/>
      </c>
      <c r="I1417" s="32" t="str">
        <f>IFERROR(VLOOKUP(B1417,汇总!$B$2:$I$2921,8,FALSE),"")</f>
        <v>体育</v>
      </c>
      <c r="J1417" s="29" t="s">
        <v>1700</v>
      </c>
      <c r="K1417" s="29" t="s">
        <v>12</v>
      </c>
    </row>
    <row r="1418" ht="33.75" spans="1:11">
      <c r="A1418" s="29">
        <v>1417</v>
      </c>
      <c r="B1418" s="34" t="s">
        <v>1737</v>
      </c>
      <c r="C1418" s="29" t="str">
        <f>VLOOKUP(B1418,教育部大学名单!$B$1:$D$2920,3,FALSE)</f>
        <v>河北省</v>
      </c>
      <c r="D1418" s="34" t="s">
        <v>98</v>
      </c>
      <c r="E1418" s="34" t="s">
        <v>101</v>
      </c>
      <c r="F1418" s="36" t="str">
        <f>IFERROR(VLOOKUP(B1418,'985'!$B$2:$D$40,3,FALSE),"")</f>
        <v/>
      </c>
      <c r="G1418" s="32" t="str">
        <f>IFERROR(VLOOKUP(B1418,'211'!$B$2:$D$116,3,FALSE),"")</f>
        <v/>
      </c>
      <c r="H1418" s="32" t="str">
        <f>IFERROR(VLOOKUP(B1418,双一流!$B$2:$D$148,3,FALSE),"")</f>
        <v/>
      </c>
      <c r="I1418" s="32" t="str">
        <f>IFERROR(VLOOKUP(B1418,汇总!$B$2:$I$2921,8,FALSE),"")</f>
        <v>理工</v>
      </c>
      <c r="J1418" s="34" t="s">
        <v>1700</v>
      </c>
      <c r="K1418" s="34" t="s">
        <v>12</v>
      </c>
    </row>
    <row r="1419" ht="33.75" spans="1:11">
      <c r="A1419" s="34">
        <v>1418</v>
      </c>
      <c r="B1419" s="29" t="s">
        <v>1738</v>
      </c>
      <c r="C1419" s="29" t="str">
        <f>VLOOKUP(B1419,教育部大学名单!$B$1:$D$2920,3,FALSE)</f>
        <v>河北省</v>
      </c>
      <c r="D1419" s="29" t="s">
        <v>98</v>
      </c>
      <c r="E1419" s="29" t="s">
        <v>103</v>
      </c>
      <c r="F1419" s="36" t="str">
        <f>IFERROR(VLOOKUP(B1419,'985'!$B$2:$D$40,3,FALSE),"")</f>
        <v/>
      </c>
      <c r="G1419" s="32" t="str">
        <f>IFERROR(VLOOKUP(B1419,'211'!$B$2:$D$116,3,FALSE),"")</f>
        <v/>
      </c>
      <c r="H1419" s="32" t="str">
        <f>IFERROR(VLOOKUP(B1419,双一流!$B$2:$D$148,3,FALSE),"")</f>
        <v/>
      </c>
      <c r="I1419" s="32" t="str">
        <f>IFERROR(VLOOKUP(B1419,汇总!$B$2:$I$2921,8,FALSE),"")</f>
        <v>综合</v>
      </c>
      <c r="J1419" s="29" t="s">
        <v>1700</v>
      </c>
      <c r="K1419" s="29" t="s">
        <v>12</v>
      </c>
    </row>
    <row r="1420" ht="33.75" spans="1:11">
      <c r="A1420" s="29">
        <v>1419</v>
      </c>
      <c r="B1420" s="34" t="s">
        <v>1739</v>
      </c>
      <c r="C1420" s="29" t="str">
        <f>VLOOKUP(B1420,教育部大学名单!$B$1:$D$2920,3,FALSE)</f>
        <v>河北省</v>
      </c>
      <c r="D1420" s="34" t="s">
        <v>98</v>
      </c>
      <c r="E1420" s="34" t="s">
        <v>109</v>
      </c>
      <c r="F1420" s="36" t="str">
        <f>IFERROR(VLOOKUP(B1420,'985'!$B$2:$D$40,3,FALSE),"")</f>
        <v/>
      </c>
      <c r="G1420" s="32" t="str">
        <f>IFERROR(VLOOKUP(B1420,'211'!$B$2:$D$116,3,FALSE),"")</f>
        <v/>
      </c>
      <c r="H1420" s="32" t="str">
        <f>IFERROR(VLOOKUP(B1420,双一流!$B$2:$D$148,3,FALSE),"")</f>
        <v/>
      </c>
      <c r="I1420" s="32" t="str">
        <f>IFERROR(VLOOKUP(B1420,汇总!$B$2:$I$2921,8,FALSE),"")</f>
        <v>综合</v>
      </c>
      <c r="J1420" s="34" t="s">
        <v>1700</v>
      </c>
      <c r="K1420" s="34" t="s">
        <v>12</v>
      </c>
    </row>
    <row r="1421" ht="33.75" spans="1:11">
      <c r="A1421" s="34">
        <v>1420</v>
      </c>
      <c r="B1421" s="29" t="s">
        <v>1740</v>
      </c>
      <c r="C1421" s="29" t="str">
        <f>VLOOKUP(B1421,教育部大学名单!$B$1:$D$2920,3,FALSE)</f>
        <v>河北省</v>
      </c>
      <c r="D1421" s="29" t="s">
        <v>98</v>
      </c>
      <c r="E1421" s="29" t="s">
        <v>99</v>
      </c>
      <c r="F1421" s="36" t="str">
        <f>IFERROR(VLOOKUP(B1421,'985'!$B$2:$D$40,3,FALSE),"")</f>
        <v/>
      </c>
      <c r="G1421" s="32" t="str">
        <f>IFERROR(VLOOKUP(B1421,'211'!$B$2:$D$116,3,FALSE),"")</f>
        <v/>
      </c>
      <c r="H1421" s="32" t="str">
        <f>IFERROR(VLOOKUP(B1421,双一流!$B$2:$D$148,3,FALSE),"")</f>
        <v/>
      </c>
      <c r="I1421" s="32" t="str">
        <f>IFERROR(VLOOKUP(B1421,汇总!$B$2:$I$2921,8,FALSE),"")</f>
        <v>理工</v>
      </c>
      <c r="J1421" s="29" t="s">
        <v>1700</v>
      </c>
      <c r="K1421" s="29" t="s">
        <v>12</v>
      </c>
    </row>
    <row r="1422" ht="33.75" spans="1:11">
      <c r="A1422" s="29">
        <v>1421</v>
      </c>
      <c r="B1422" s="34" t="s">
        <v>1741</v>
      </c>
      <c r="C1422" s="29" t="str">
        <f>VLOOKUP(B1422,教育部大学名单!$B$1:$D$2920,3,FALSE)</f>
        <v>河北省</v>
      </c>
      <c r="D1422" s="34" t="s">
        <v>98</v>
      </c>
      <c r="E1422" s="34" t="s">
        <v>122</v>
      </c>
      <c r="F1422" s="36" t="str">
        <f>IFERROR(VLOOKUP(B1422,'985'!$B$2:$D$40,3,FALSE),"")</f>
        <v/>
      </c>
      <c r="G1422" s="32" t="str">
        <f>IFERROR(VLOOKUP(B1422,'211'!$B$2:$D$116,3,FALSE),"")</f>
        <v/>
      </c>
      <c r="H1422" s="32" t="str">
        <f>IFERROR(VLOOKUP(B1422,双一流!$B$2:$D$148,3,FALSE),"")</f>
        <v/>
      </c>
      <c r="I1422" s="32">
        <f>IFERROR(VLOOKUP(B1422,汇总!$B$2:$I$2921,8,FALSE),"")</f>
        <v>0</v>
      </c>
      <c r="J1422" s="34" t="s">
        <v>1700</v>
      </c>
      <c r="K1422" s="34" t="s">
        <v>12</v>
      </c>
    </row>
    <row r="1423" ht="33.75" spans="1:11">
      <c r="A1423" s="34">
        <v>1422</v>
      </c>
      <c r="B1423" s="29" t="s">
        <v>1742</v>
      </c>
      <c r="C1423" s="29" t="str">
        <f>VLOOKUP(B1423,教育部大学名单!$B$1:$D$2920,3,FALSE)</f>
        <v>河北省</v>
      </c>
      <c r="D1423" s="29" t="s">
        <v>98</v>
      </c>
      <c r="E1423" s="29" t="s">
        <v>132</v>
      </c>
      <c r="F1423" s="36" t="str">
        <f>IFERROR(VLOOKUP(B1423,'985'!$B$2:$D$40,3,FALSE),"")</f>
        <v/>
      </c>
      <c r="G1423" s="32" t="str">
        <f>IFERROR(VLOOKUP(B1423,'211'!$B$2:$D$116,3,FALSE),"")</f>
        <v/>
      </c>
      <c r="H1423" s="32" t="str">
        <f>IFERROR(VLOOKUP(B1423,双一流!$B$2:$D$148,3,FALSE),"")</f>
        <v/>
      </c>
      <c r="I1423" s="32" t="str">
        <f>IFERROR(VLOOKUP(B1423,汇总!$B$2:$I$2921,8,FALSE),"")</f>
        <v>理工</v>
      </c>
      <c r="J1423" s="29" t="s">
        <v>1700</v>
      </c>
      <c r="K1423" s="29" t="s">
        <v>12</v>
      </c>
    </row>
    <row r="1424" ht="33.75" spans="1:11">
      <c r="A1424" s="29">
        <v>1423</v>
      </c>
      <c r="B1424" s="34" t="s">
        <v>1743</v>
      </c>
      <c r="C1424" s="29" t="str">
        <f>VLOOKUP(B1424,教育部大学名单!$B$1:$D$2920,3,FALSE)</f>
        <v>河北省</v>
      </c>
      <c r="D1424" s="34" t="s">
        <v>98</v>
      </c>
      <c r="E1424" s="34" t="s">
        <v>103</v>
      </c>
      <c r="F1424" s="36" t="str">
        <f>IFERROR(VLOOKUP(B1424,'985'!$B$2:$D$40,3,FALSE),"")</f>
        <v/>
      </c>
      <c r="G1424" s="32" t="str">
        <f>IFERROR(VLOOKUP(B1424,'211'!$B$2:$D$116,3,FALSE),"")</f>
        <v/>
      </c>
      <c r="H1424" s="32" t="str">
        <f>IFERROR(VLOOKUP(B1424,双一流!$B$2:$D$148,3,FALSE),"")</f>
        <v/>
      </c>
      <c r="I1424" s="32" t="str">
        <f>IFERROR(VLOOKUP(B1424,汇总!$B$2:$I$2921,8,FALSE),"")</f>
        <v>政法</v>
      </c>
      <c r="J1424" s="34" t="s">
        <v>1700</v>
      </c>
      <c r="K1424" s="34" t="s">
        <v>12</v>
      </c>
    </row>
    <row r="1425" ht="33.75" spans="1:11">
      <c r="A1425" s="34">
        <v>1424</v>
      </c>
      <c r="B1425" s="29" t="s">
        <v>1744</v>
      </c>
      <c r="C1425" s="29" t="str">
        <f>VLOOKUP(B1425,教育部大学名单!$B$1:$D$2920,3,FALSE)</f>
        <v>河北省</v>
      </c>
      <c r="D1425" s="29" t="s">
        <v>98</v>
      </c>
      <c r="E1425" s="29" t="s">
        <v>111</v>
      </c>
      <c r="F1425" s="36" t="str">
        <f>IFERROR(VLOOKUP(B1425,'985'!$B$2:$D$40,3,FALSE),"")</f>
        <v/>
      </c>
      <c r="G1425" s="32" t="str">
        <f>IFERROR(VLOOKUP(B1425,'211'!$B$2:$D$116,3,FALSE),"")</f>
        <v/>
      </c>
      <c r="H1425" s="32" t="str">
        <f>IFERROR(VLOOKUP(B1425,双一流!$B$2:$D$148,3,FALSE),"")</f>
        <v/>
      </c>
      <c r="I1425" s="32" t="str">
        <f>IFERROR(VLOOKUP(B1425,汇总!$B$2:$I$2921,8,FALSE),"")</f>
        <v>综合</v>
      </c>
      <c r="J1425" s="29" t="s">
        <v>1700</v>
      </c>
      <c r="K1425" s="29" t="s">
        <v>12</v>
      </c>
    </row>
    <row r="1426" ht="33.75" spans="1:11">
      <c r="A1426" s="29">
        <v>1425</v>
      </c>
      <c r="B1426" s="34" t="s">
        <v>1745</v>
      </c>
      <c r="C1426" s="29" t="str">
        <f>VLOOKUP(B1426,教育部大学名单!$B$1:$D$2920,3,FALSE)</f>
        <v>河北省</v>
      </c>
      <c r="D1426" s="34" t="s">
        <v>98</v>
      </c>
      <c r="E1426" s="34" t="s">
        <v>106</v>
      </c>
      <c r="F1426" s="36" t="str">
        <f>IFERROR(VLOOKUP(B1426,'985'!$B$2:$D$40,3,FALSE),"")</f>
        <v/>
      </c>
      <c r="G1426" s="32" t="str">
        <f>IFERROR(VLOOKUP(B1426,'211'!$B$2:$D$116,3,FALSE),"")</f>
        <v/>
      </c>
      <c r="H1426" s="32" t="str">
        <f>IFERROR(VLOOKUP(B1426,双一流!$B$2:$D$148,3,FALSE),"")</f>
        <v/>
      </c>
      <c r="I1426" s="32" t="str">
        <f>IFERROR(VLOOKUP(B1426,汇总!$B$2:$I$2921,8,FALSE),"")</f>
        <v>理工</v>
      </c>
      <c r="J1426" s="34" t="s">
        <v>1700</v>
      </c>
      <c r="K1426" s="34" t="s">
        <v>12</v>
      </c>
    </row>
    <row r="1427" ht="50.25" spans="1:11">
      <c r="A1427" s="34">
        <v>1426</v>
      </c>
      <c r="B1427" s="29" t="s">
        <v>1746</v>
      </c>
      <c r="C1427" s="29" t="str">
        <f>VLOOKUP(B1427,教育部大学名单!$B$1:$D$2920,3,FALSE)</f>
        <v>河北省</v>
      </c>
      <c r="D1427" s="29" t="s">
        <v>98</v>
      </c>
      <c r="E1427" s="29" t="s">
        <v>103</v>
      </c>
      <c r="F1427" s="36" t="str">
        <f>IFERROR(VLOOKUP(B1427,'985'!$B$2:$D$40,3,FALSE),"")</f>
        <v/>
      </c>
      <c r="G1427" s="32" t="str">
        <f>IFERROR(VLOOKUP(B1427,'211'!$B$2:$D$116,3,FALSE),"")</f>
        <v/>
      </c>
      <c r="H1427" s="32" t="str">
        <f>IFERROR(VLOOKUP(B1427,双一流!$B$2:$D$148,3,FALSE),"")</f>
        <v/>
      </c>
      <c r="I1427" s="32" t="str">
        <f>IFERROR(VLOOKUP(B1427,汇总!$B$2:$I$2921,8,FALSE),"")</f>
        <v>理工</v>
      </c>
      <c r="J1427" s="29" t="s">
        <v>1700</v>
      </c>
      <c r="K1427" s="29" t="s">
        <v>12</v>
      </c>
    </row>
    <row r="1428" ht="33.75" spans="1:11">
      <c r="A1428" s="29">
        <v>1427</v>
      </c>
      <c r="B1428" s="34" t="s">
        <v>1747</v>
      </c>
      <c r="C1428" s="29" t="str">
        <f>VLOOKUP(B1428,教育部大学名单!$B$1:$D$2920,3,FALSE)</f>
        <v>河北省</v>
      </c>
      <c r="D1428" s="34" t="s">
        <v>98</v>
      </c>
      <c r="E1428" s="34" t="s">
        <v>99</v>
      </c>
      <c r="F1428" s="36" t="str">
        <f>IFERROR(VLOOKUP(B1428,'985'!$B$2:$D$40,3,FALSE),"")</f>
        <v/>
      </c>
      <c r="G1428" s="32" t="str">
        <f>IFERROR(VLOOKUP(B1428,'211'!$B$2:$D$116,3,FALSE),"")</f>
        <v/>
      </c>
      <c r="H1428" s="32" t="str">
        <f>IFERROR(VLOOKUP(B1428,双一流!$B$2:$D$148,3,FALSE),"")</f>
        <v/>
      </c>
      <c r="I1428" s="32" t="str">
        <f>IFERROR(VLOOKUP(B1428,汇总!$B$2:$I$2921,8,FALSE),"")</f>
        <v>综合</v>
      </c>
      <c r="J1428" s="34" t="s">
        <v>1700</v>
      </c>
      <c r="K1428" s="34" t="s">
        <v>12</v>
      </c>
    </row>
    <row r="1429" ht="33.75" spans="1:11">
      <c r="A1429" s="34">
        <v>1428</v>
      </c>
      <c r="B1429" s="29" t="s">
        <v>1748</v>
      </c>
      <c r="C1429" s="29" t="str">
        <f>VLOOKUP(B1429,教育部大学名单!$B$1:$D$2920,3,FALSE)</f>
        <v>河北省</v>
      </c>
      <c r="D1429" s="29" t="s">
        <v>98</v>
      </c>
      <c r="E1429" s="29" t="s">
        <v>132</v>
      </c>
      <c r="F1429" s="36" t="str">
        <f>IFERROR(VLOOKUP(B1429,'985'!$B$2:$D$40,3,FALSE),"")</f>
        <v/>
      </c>
      <c r="G1429" s="32" t="str">
        <f>IFERROR(VLOOKUP(B1429,'211'!$B$2:$D$116,3,FALSE),"")</f>
        <v/>
      </c>
      <c r="H1429" s="32" t="str">
        <f>IFERROR(VLOOKUP(B1429,双一流!$B$2:$D$148,3,FALSE),"")</f>
        <v/>
      </c>
      <c r="I1429" s="32" t="str">
        <f>IFERROR(VLOOKUP(B1429,汇总!$B$2:$I$2921,8,FALSE),"")</f>
        <v>理工</v>
      </c>
      <c r="J1429" s="29" t="s">
        <v>1700</v>
      </c>
      <c r="K1429" s="29" t="s">
        <v>12</v>
      </c>
    </row>
    <row r="1430" ht="33.75" spans="1:11">
      <c r="A1430" s="29">
        <v>1429</v>
      </c>
      <c r="B1430" s="34" t="s">
        <v>1749</v>
      </c>
      <c r="C1430" s="29" t="str">
        <f>VLOOKUP(B1430,教育部大学名单!$B$1:$D$2920,3,FALSE)</f>
        <v>河北省</v>
      </c>
      <c r="D1430" s="34" t="s">
        <v>98</v>
      </c>
      <c r="E1430" s="34" t="s">
        <v>106</v>
      </c>
      <c r="F1430" s="36" t="str">
        <f>IFERROR(VLOOKUP(B1430,'985'!$B$2:$D$40,3,FALSE),"")</f>
        <v/>
      </c>
      <c r="G1430" s="32" t="str">
        <f>IFERROR(VLOOKUP(B1430,'211'!$B$2:$D$116,3,FALSE),"")</f>
        <v/>
      </c>
      <c r="H1430" s="32" t="str">
        <f>IFERROR(VLOOKUP(B1430,双一流!$B$2:$D$148,3,FALSE),"")</f>
        <v/>
      </c>
      <c r="I1430" s="32" t="str">
        <f>IFERROR(VLOOKUP(B1430,汇总!$B$2:$I$2921,8,FALSE),"")</f>
        <v>综合</v>
      </c>
      <c r="J1430" s="34" t="s">
        <v>1700</v>
      </c>
      <c r="K1430" s="34" t="s">
        <v>12</v>
      </c>
    </row>
    <row r="1431" ht="33.75" spans="1:11">
      <c r="A1431" s="34">
        <v>1430</v>
      </c>
      <c r="B1431" s="29" t="s">
        <v>1750</v>
      </c>
      <c r="C1431" s="29" t="str">
        <f>VLOOKUP(B1431,教育部大学名单!$B$1:$D$2920,3,FALSE)</f>
        <v>河北省</v>
      </c>
      <c r="D1431" s="29" t="s">
        <v>98</v>
      </c>
      <c r="E1431" s="29" t="s">
        <v>124</v>
      </c>
      <c r="F1431" s="36" t="str">
        <f>IFERROR(VLOOKUP(B1431,'985'!$B$2:$D$40,3,FALSE),"")</f>
        <v/>
      </c>
      <c r="G1431" s="32" t="str">
        <f>IFERROR(VLOOKUP(B1431,'211'!$B$2:$D$116,3,FALSE),"")</f>
        <v/>
      </c>
      <c r="H1431" s="32" t="str">
        <f>IFERROR(VLOOKUP(B1431,双一流!$B$2:$D$148,3,FALSE),"")</f>
        <v/>
      </c>
      <c r="I1431" s="32" t="str">
        <f>IFERROR(VLOOKUP(B1431,汇总!$B$2:$I$2921,8,FALSE),"")</f>
        <v>综合</v>
      </c>
      <c r="J1431" s="29" t="s">
        <v>1700</v>
      </c>
      <c r="K1431" s="29" t="s">
        <v>12</v>
      </c>
    </row>
    <row r="1432" ht="33.75" spans="1:11">
      <c r="A1432" s="29">
        <v>1431</v>
      </c>
      <c r="B1432" s="34" t="s">
        <v>1751</v>
      </c>
      <c r="C1432" s="29" t="str">
        <f>VLOOKUP(B1432,教育部大学名单!$B$1:$D$2920,3,FALSE)</f>
        <v>河北省</v>
      </c>
      <c r="D1432" s="34" t="s">
        <v>98</v>
      </c>
      <c r="E1432" s="34" t="s">
        <v>103</v>
      </c>
      <c r="F1432" s="36" t="str">
        <f>IFERROR(VLOOKUP(B1432,'985'!$B$2:$D$40,3,FALSE),"")</f>
        <v/>
      </c>
      <c r="G1432" s="32" t="str">
        <f>IFERROR(VLOOKUP(B1432,'211'!$B$2:$D$116,3,FALSE),"")</f>
        <v/>
      </c>
      <c r="H1432" s="32" t="str">
        <f>IFERROR(VLOOKUP(B1432,双一流!$B$2:$D$148,3,FALSE),"")</f>
        <v/>
      </c>
      <c r="I1432" s="32" t="str">
        <f>IFERROR(VLOOKUP(B1432,汇总!$B$2:$I$2921,8,FALSE),"")</f>
        <v>艺术</v>
      </c>
      <c r="J1432" s="34" t="s">
        <v>1700</v>
      </c>
      <c r="K1432" s="34" t="s">
        <v>12</v>
      </c>
    </row>
    <row r="1433" ht="33.75" spans="1:11">
      <c r="A1433" s="34">
        <v>1432</v>
      </c>
      <c r="B1433" s="29" t="s">
        <v>1752</v>
      </c>
      <c r="C1433" s="29" t="str">
        <f>VLOOKUP(B1433,教育部大学名单!$B$1:$D$2920,3,FALSE)</f>
        <v>河北省</v>
      </c>
      <c r="D1433" s="29" t="s">
        <v>98</v>
      </c>
      <c r="E1433" s="29" t="s">
        <v>116</v>
      </c>
      <c r="F1433" s="36" t="str">
        <f>IFERROR(VLOOKUP(B1433,'985'!$B$2:$D$40,3,FALSE),"")</f>
        <v/>
      </c>
      <c r="G1433" s="32" t="str">
        <f>IFERROR(VLOOKUP(B1433,'211'!$B$2:$D$116,3,FALSE),"")</f>
        <v/>
      </c>
      <c r="H1433" s="32" t="str">
        <f>IFERROR(VLOOKUP(B1433,双一流!$B$2:$D$148,3,FALSE),"")</f>
        <v/>
      </c>
      <c r="I1433" s="32" t="str">
        <f>IFERROR(VLOOKUP(B1433,汇总!$B$2:$I$2921,8,FALSE),"")</f>
        <v>综合</v>
      </c>
      <c r="J1433" s="29" t="s">
        <v>1700</v>
      </c>
      <c r="K1433" s="29" t="s">
        <v>12</v>
      </c>
    </row>
    <row r="1434" ht="33.75" spans="1:11">
      <c r="A1434" s="29">
        <v>1433</v>
      </c>
      <c r="B1434" s="34" t="s">
        <v>1753</v>
      </c>
      <c r="C1434" s="29" t="str">
        <f>VLOOKUP(B1434,教育部大学名单!$B$1:$D$2920,3,FALSE)</f>
        <v>河北省</v>
      </c>
      <c r="D1434" s="34" t="s">
        <v>98</v>
      </c>
      <c r="E1434" s="34" t="s">
        <v>103</v>
      </c>
      <c r="F1434" s="36" t="str">
        <f>IFERROR(VLOOKUP(B1434,'985'!$B$2:$D$40,3,FALSE),"")</f>
        <v/>
      </c>
      <c r="G1434" s="32" t="str">
        <f>IFERROR(VLOOKUP(B1434,'211'!$B$2:$D$116,3,FALSE),"")</f>
        <v/>
      </c>
      <c r="H1434" s="32" t="str">
        <f>IFERROR(VLOOKUP(B1434,双一流!$B$2:$D$148,3,FALSE),"")</f>
        <v/>
      </c>
      <c r="I1434" s="32" t="str">
        <f>IFERROR(VLOOKUP(B1434,汇总!$B$2:$I$2921,8,FALSE),"")</f>
        <v>理工</v>
      </c>
      <c r="J1434" s="34" t="s">
        <v>1700</v>
      </c>
      <c r="K1434" s="34" t="s">
        <v>12</v>
      </c>
    </row>
    <row r="1435" ht="50.25" spans="1:11">
      <c r="A1435" s="34">
        <v>1434</v>
      </c>
      <c r="B1435" s="29" t="s">
        <v>1754</v>
      </c>
      <c r="C1435" s="29" t="str">
        <f>VLOOKUP(B1435,教育部大学名单!$B$1:$D$2920,3,FALSE)</f>
        <v>河北省</v>
      </c>
      <c r="D1435" s="29" t="s">
        <v>98</v>
      </c>
      <c r="E1435" s="29" t="s">
        <v>103</v>
      </c>
      <c r="F1435" s="36" t="str">
        <f>IFERROR(VLOOKUP(B1435,'985'!$B$2:$D$40,3,FALSE),"")</f>
        <v/>
      </c>
      <c r="G1435" s="32" t="str">
        <f>IFERROR(VLOOKUP(B1435,'211'!$B$2:$D$116,3,FALSE),"")</f>
        <v/>
      </c>
      <c r="H1435" s="32" t="str">
        <f>IFERROR(VLOOKUP(B1435,双一流!$B$2:$D$148,3,FALSE),"")</f>
        <v/>
      </c>
      <c r="I1435" s="32" t="str">
        <f>IFERROR(VLOOKUP(B1435,汇总!$B$2:$I$2921,8,FALSE),"")</f>
        <v>医药</v>
      </c>
      <c r="J1435" s="29" t="s">
        <v>1700</v>
      </c>
      <c r="K1435" s="29" t="s">
        <v>12</v>
      </c>
    </row>
    <row r="1436" ht="50.25" spans="1:11">
      <c r="A1436" s="29">
        <v>1435</v>
      </c>
      <c r="B1436" s="34" t="s">
        <v>1755</v>
      </c>
      <c r="C1436" s="29" t="str">
        <f>VLOOKUP(B1436,教育部大学名单!$B$1:$D$2920,3,FALSE)</f>
        <v>河北省</v>
      </c>
      <c r="D1436" s="34" t="s">
        <v>98</v>
      </c>
      <c r="E1436" s="34" t="s">
        <v>103</v>
      </c>
      <c r="F1436" s="36" t="str">
        <f>IFERROR(VLOOKUP(B1436,'985'!$B$2:$D$40,3,FALSE),"")</f>
        <v/>
      </c>
      <c r="G1436" s="32" t="str">
        <f>IFERROR(VLOOKUP(B1436,'211'!$B$2:$D$116,3,FALSE),"")</f>
        <v/>
      </c>
      <c r="H1436" s="32" t="str">
        <f>IFERROR(VLOOKUP(B1436,双一流!$B$2:$D$148,3,FALSE),"")</f>
        <v/>
      </c>
      <c r="I1436" s="32" t="str">
        <f>IFERROR(VLOOKUP(B1436,汇总!$B$2:$I$2921,8,FALSE),"")</f>
        <v>理工</v>
      </c>
      <c r="J1436" s="34" t="s">
        <v>1700</v>
      </c>
      <c r="K1436" s="34" t="s">
        <v>12</v>
      </c>
    </row>
    <row r="1437" ht="33.75" spans="1:11">
      <c r="A1437" s="34">
        <v>1436</v>
      </c>
      <c r="B1437" s="29" t="s">
        <v>1756</v>
      </c>
      <c r="C1437" s="29" t="str">
        <f>VLOOKUP(B1437,教育部大学名单!$B$1:$D$2920,3,FALSE)</f>
        <v>河北省</v>
      </c>
      <c r="D1437" s="29" t="s">
        <v>98</v>
      </c>
      <c r="E1437" s="29" t="s">
        <v>132</v>
      </c>
      <c r="F1437" s="36" t="str">
        <f>IFERROR(VLOOKUP(B1437,'985'!$B$2:$D$40,3,FALSE),"")</f>
        <v/>
      </c>
      <c r="G1437" s="32" t="str">
        <f>IFERROR(VLOOKUP(B1437,'211'!$B$2:$D$116,3,FALSE),"")</f>
        <v/>
      </c>
      <c r="H1437" s="32" t="str">
        <f>IFERROR(VLOOKUP(B1437,双一流!$B$2:$D$148,3,FALSE),"")</f>
        <v/>
      </c>
      <c r="I1437" s="32" t="str">
        <f>IFERROR(VLOOKUP(B1437,汇总!$B$2:$I$2921,8,FALSE),"")</f>
        <v>语言</v>
      </c>
      <c r="J1437" s="29" t="s">
        <v>1700</v>
      </c>
      <c r="K1437" s="29" t="s">
        <v>12</v>
      </c>
    </row>
    <row r="1438" ht="33.75" spans="1:11">
      <c r="A1438" s="29">
        <v>1437</v>
      </c>
      <c r="B1438" s="34" t="s">
        <v>1757</v>
      </c>
      <c r="C1438" s="29" t="str">
        <f>VLOOKUP(B1438,教育部大学名单!$B$1:$D$2920,3,FALSE)</f>
        <v>河北省</v>
      </c>
      <c r="D1438" s="34" t="s">
        <v>98</v>
      </c>
      <c r="E1438" s="34" t="s">
        <v>99</v>
      </c>
      <c r="F1438" s="36" t="str">
        <f>IFERROR(VLOOKUP(B1438,'985'!$B$2:$D$40,3,FALSE),"")</f>
        <v/>
      </c>
      <c r="G1438" s="32" t="str">
        <f>IFERROR(VLOOKUP(B1438,'211'!$B$2:$D$116,3,FALSE),"")</f>
        <v/>
      </c>
      <c r="H1438" s="32" t="str">
        <f>IFERROR(VLOOKUP(B1438,双一流!$B$2:$D$148,3,FALSE),"")</f>
        <v/>
      </c>
      <c r="I1438" s="32" t="str">
        <f>IFERROR(VLOOKUP(B1438,汇总!$B$2:$I$2921,8,FALSE),"")</f>
        <v>理工</v>
      </c>
      <c r="J1438" s="34" t="s">
        <v>1700</v>
      </c>
      <c r="K1438" s="34" t="s">
        <v>12</v>
      </c>
    </row>
    <row r="1439" ht="33.75" spans="1:11">
      <c r="A1439" s="34">
        <v>1438</v>
      </c>
      <c r="B1439" s="29" t="s">
        <v>1758</v>
      </c>
      <c r="C1439" s="29" t="str">
        <f>VLOOKUP(B1439,教育部大学名单!$B$1:$D$2920,3,FALSE)</f>
        <v>河北省</v>
      </c>
      <c r="D1439" s="29" t="s">
        <v>98</v>
      </c>
      <c r="E1439" s="29" t="s">
        <v>128</v>
      </c>
      <c r="F1439" s="36" t="str">
        <f>IFERROR(VLOOKUP(B1439,'985'!$B$2:$D$40,3,FALSE),"")</f>
        <v/>
      </c>
      <c r="G1439" s="32" t="str">
        <f>IFERROR(VLOOKUP(B1439,'211'!$B$2:$D$116,3,FALSE),"")</f>
        <v/>
      </c>
      <c r="H1439" s="32" t="str">
        <f>IFERROR(VLOOKUP(B1439,双一流!$B$2:$D$148,3,FALSE),"")</f>
        <v/>
      </c>
      <c r="I1439" s="32" t="str">
        <f>IFERROR(VLOOKUP(B1439,汇总!$B$2:$I$2921,8,FALSE),"")</f>
        <v>理工</v>
      </c>
      <c r="J1439" s="29" t="s">
        <v>1700</v>
      </c>
      <c r="K1439" s="29" t="s">
        <v>12</v>
      </c>
    </row>
    <row r="1440" ht="33.75" spans="1:11">
      <c r="A1440" s="29">
        <v>1439</v>
      </c>
      <c r="B1440" s="34" t="s">
        <v>1759</v>
      </c>
      <c r="C1440" s="29" t="str">
        <f>VLOOKUP(B1440,教育部大学名单!$B$1:$D$2920,3,FALSE)</f>
        <v>河北省</v>
      </c>
      <c r="D1440" s="34" t="s">
        <v>98</v>
      </c>
      <c r="E1440" s="34" t="s">
        <v>111</v>
      </c>
      <c r="F1440" s="36" t="str">
        <f>IFERROR(VLOOKUP(B1440,'985'!$B$2:$D$40,3,FALSE),"")</f>
        <v/>
      </c>
      <c r="G1440" s="32" t="str">
        <f>IFERROR(VLOOKUP(B1440,'211'!$B$2:$D$116,3,FALSE),"")</f>
        <v/>
      </c>
      <c r="H1440" s="32" t="str">
        <f>IFERROR(VLOOKUP(B1440,双一流!$B$2:$D$148,3,FALSE),"")</f>
        <v/>
      </c>
      <c r="I1440" s="32">
        <f>IFERROR(VLOOKUP(B1440,汇总!$B$2:$I$2921,8,FALSE),"")</f>
        <v>0</v>
      </c>
      <c r="J1440" s="34" t="s">
        <v>1700</v>
      </c>
      <c r="K1440" s="34" t="s">
        <v>12</v>
      </c>
    </row>
    <row r="1441" ht="33.75" spans="1:11">
      <c r="A1441" s="34">
        <v>1440</v>
      </c>
      <c r="B1441" s="29" t="s">
        <v>1760</v>
      </c>
      <c r="C1441" s="29" t="str">
        <f>VLOOKUP(B1441,教育部大学名单!$B$1:$D$2920,3,FALSE)</f>
        <v>河北省</v>
      </c>
      <c r="D1441" s="29" t="s">
        <v>98</v>
      </c>
      <c r="E1441" s="29" t="s">
        <v>122</v>
      </c>
      <c r="F1441" s="36" t="str">
        <f>IFERROR(VLOOKUP(B1441,'985'!$B$2:$D$40,3,FALSE),"")</f>
        <v/>
      </c>
      <c r="G1441" s="32" t="str">
        <f>IFERROR(VLOOKUP(B1441,'211'!$B$2:$D$116,3,FALSE),"")</f>
        <v/>
      </c>
      <c r="H1441" s="32" t="str">
        <f>IFERROR(VLOOKUP(B1441,双一流!$B$2:$D$148,3,FALSE),"")</f>
        <v/>
      </c>
      <c r="I1441" s="32" t="str">
        <f>IFERROR(VLOOKUP(B1441,汇总!$B$2:$I$2921,8,FALSE),"")</f>
        <v>综合</v>
      </c>
      <c r="J1441" s="29" t="s">
        <v>1700</v>
      </c>
      <c r="K1441" s="29" t="s">
        <v>12</v>
      </c>
    </row>
    <row r="1442" ht="33.75" spans="1:11">
      <c r="A1442" s="29">
        <v>1441</v>
      </c>
      <c r="B1442" s="34" t="s">
        <v>1761</v>
      </c>
      <c r="C1442" s="29" t="str">
        <f>VLOOKUP(B1442,教育部大学名单!$B$1:$D$2920,3,FALSE)</f>
        <v>河北省</v>
      </c>
      <c r="D1442" s="34" t="s">
        <v>98</v>
      </c>
      <c r="E1442" s="34" t="s">
        <v>106</v>
      </c>
      <c r="F1442" s="36" t="str">
        <f>IFERROR(VLOOKUP(B1442,'985'!$B$2:$D$40,3,FALSE),"")</f>
        <v/>
      </c>
      <c r="G1442" s="32" t="str">
        <f>IFERROR(VLOOKUP(B1442,'211'!$B$2:$D$116,3,FALSE),"")</f>
        <v/>
      </c>
      <c r="H1442" s="32" t="str">
        <f>IFERROR(VLOOKUP(B1442,双一流!$B$2:$D$148,3,FALSE),"")</f>
        <v/>
      </c>
      <c r="I1442" s="32" t="str">
        <f>IFERROR(VLOOKUP(B1442,汇总!$B$2:$I$2921,8,FALSE),"")</f>
        <v>理工</v>
      </c>
      <c r="J1442" s="34" t="s">
        <v>1700</v>
      </c>
      <c r="K1442" s="34" t="s">
        <v>12</v>
      </c>
    </row>
    <row r="1443" ht="50.25" spans="1:11">
      <c r="A1443" s="34">
        <v>1442</v>
      </c>
      <c r="B1443" s="29" t="s">
        <v>1762</v>
      </c>
      <c r="C1443" s="29" t="str">
        <f>VLOOKUP(B1443,教育部大学名单!$B$1:$D$2920,3,FALSE)</f>
        <v>河北省</v>
      </c>
      <c r="D1443" s="29" t="s">
        <v>98</v>
      </c>
      <c r="E1443" s="29" t="s">
        <v>103</v>
      </c>
      <c r="F1443" s="36" t="str">
        <f>IFERROR(VLOOKUP(B1443,'985'!$B$2:$D$40,3,FALSE),"")</f>
        <v/>
      </c>
      <c r="G1443" s="32" t="str">
        <f>IFERROR(VLOOKUP(B1443,'211'!$B$2:$D$116,3,FALSE),"")</f>
        <v/>
      </c>
      <c r="H1443" s="32" t="str">
        <f>IFERROR(VLOOKUP(B1443,双一流!$B$2:$D$148,3,FALSE),"")</f>
        <v/>
      </c>
      <c r="I1443" s="32" t="str">
        <f>IFERROR(VLOOKUP(B1443,汇总!$B$2:$I$2921,8,FALSE),"")</f>
        <v>理工</v>
      </c>
      <c r="J1443" s="29" t="s">
        <v>1700</v>
      </c>
      <c r="K1443" s="29" t="s">
        <v>12</v>
      </c>
    </row>
    <row r="1444" ht="33.75" spans="1:11">
      <c r="A1444" s="29">
        <v>1443</v>
      </c>
      <c r="B1444" s="34" t="s">
        <v>1763</v>
      </c>
      <c r="C1444" s="29" t="str">
        <f>VLOOKUP(B1444,教育部大学名单!$B$1:$D$2920,3,FALSE)</f>
        <v>河北省</v>
      </c>
      <c r="D1444" s="34" t="s">
        <v>98</v>
      </c>
      <c r="E1444" s="34" t="s">
        <v>103</v>
      </c>
      <c r="F1444" s="36" t="str">
        <f>IFERROR(VLOOKUP(B1444,'985'!$B$2:$D$40,3,FALSE),"")</f>
        <v/>
      </c>
      <c r="G1444" s="32" t="str">
        <f>IFERROR(VLOOKUP(B1444,'211'!$B$2:$D$116,3,FALSE),"")</f>
        <v/>
      </c>
      <c r="H1444" s="32" t="str">
        <f>IFERROR(VLOOKUP(B1444,双一流!$B$2:$D$148,3,FALSE),"")</f>
        <v/>
      </c>
      <c r="I1444" s="32" t="str">
        <f>IFERROR(VLOOKUP(B1444,汇总!$B$2:$I$2921,8,FALSE),"")</f>
        <v>政法</v>
      </c>
      <c r="J1444" s="34" t="s">
        <v>1700</v>
      </c>
      <c r="K1444" s="34" t="s">
        <v>12</v>
      </c>
    </row>
    <row r="1445" ht="33.75" spans="1:11">
      <c r="A1445" s="34">
        <v>1444</v>
      </c>
      <c r="B1445" s="29" t="s">
        <v>1764</v>
      </c>
      <c r="C1445" s="29" t="str">
        <f>VLOOKUP(B1445,教育部大学名单!$B$1:$D$2920,3,FALSE)</f>
        <v>河北省</v>
      </c>
      <c r="D1445" s="29" t="s">
        <v>98</v>
      </c>
      <c r="E1445" s="29" t="s">
        <v>101</v>
      </c>
      <c r="F1445" s="36" t="str">
        <f>IFERROR(VLOOKUP(B1445,'985'!$B$2:$D$40,3,FALSE),"")</f>
        <v/>
      </c>
      <c r="G1445" s="32" t="str">
        <f>IFERROR(VLOOKUP(B1445,'211'!$B$2:$D$116,3,FALSE),"")</f>
        <v/>
      </c>
      <c r="H1445" s="32" t="str">
        <f>IFERROR(VLOOKUP(B1445,双一流!$B$2:$D$148,3,FALSE),"")</f>
        <v/>
      </c>
      <c r="I1445" s="32" t="str">
        <f>IFERROR(VLOOKUP(B1445,汇总!$B$2:$I$2921,8,FALSE),"")</f>
        <v>政法</v>
      </c>
      <c r="J1445" s="29" t="s">
        <v>1700</v>
      </c>
      <c r="K1445" s="29" t="s">
        <v>12</v>
      </c>
    </row>
    <row r="1446" ht="33.75" spans="1:11">
      <c r="A1446" s="29">
        <v>1445</v>
      </c>
      <c r="B1446" s="34" t="s">
        <v>1765</v>
      </c>
      <c r="C1446" s="29" t="str">
        <f>VLOOKUP(B1446,教育部大学名单!$B$1:$D$2920,3,FALSE)</f>
        <v>河北省</v>
      </c>
      <c r="D1446" s="34" t="s">
        <v>98</v>
      </c>
      <c r="E1446" s="34" t="s">
        <v>111</v>
      </c>
      <c r="F1446" s="36" t="str">
        <f>IFERROR(VLOOKUP(B1446,'985'!$B$2:$D$40,3,FALSE),"")</f>
        <v/>
      </c>
      <c r="G1446" s="32" t="str">
        <f>IFERROR(VLOOKUP(B1446,'211'!$B$2:$D$116,3,FALSE),"")</f>
        <v/>
      </c>
      <c r="H1446" s="32" t="str">
        <f>IFERROR(VLOOKUP(B1446,双一流!$B$2:$D$148,3,FALSE),"")</f>
        <v/>
      </c>
      <c r="I1446" s="32" t="str">
        <f>IFERROR(VLOOKUP(B1446,汇总!$B$2:$I$2921,8,FALSE),"")</f>
        <v>医药</v>
      </c>
      <c r="J1446" s="34" t="s">
        <v>1700</v>
      </c>
      <c r="K1446" s="34" t="s">
        <v>12</v>
      </c>
    </row>
    <row r="1447" ht="33.75" spans="1:11">
      <c r="A1447" s="34">
        <v>1446</v>
      </c>
      <c r="B1447" s="29" t="s">
        <v>1766</v>
      </c>
      <c r="C1447" s="29" t="str">
        <f>VLOOKUP(B1447,教育部大学名单!$B$1:$D$2920,3,FALSE)</f>
        <v>河北省</v>
      </c>
      <c r="D1447" s="29" t="s">
        <v>98</v>
      </c>
      <c r="E1447" s="29" t="s">
        <v>103</v>
      </c>
      <c r="F1447" s="36" t="str">
        <f>IFERROR(VLOOKUP(B1447,'985'!$B$2:$D$40,3,FALSE),"")</f>
        <v/>
      </c>
      <c r="G1447" s="32" t="str">
        <f>IFERROR(VLOOKUP(B1447,'211'!$B$2:$D$116,3,FALSE),"")</f>
        <v/>
      </c>
      <c r="H1447" s="32" t="str">
        <f>IFERROR(VLOOKUP(B1447,双一流!$B$2:$D$148,3,FALSE),"")</f>
        <v/>
      </c>
      <c r="I1447" s="32" t="str">
        <f>IFERROR(VLOOKUP(B1447,汇总!$B$2:$I$2921,8,FALSE),"")</f>
        <v>语言</v>
      </c>
      <c r="J1447" s="29" t="s">
        <v>1700</v>
      </c>
      <c r="K1447" s="29" t="s">
        <v>12</v>
      </c>
    </row>
    <row r="1448" ht="33.75" spans="1:11">
      <c r="A1448" s="29">
        <v>1447</v>
      </c>
      <c r="B1448" s="34" t="s">
        <v>1767</v>
      </c>
      <c r="C1448" s="29" t="str">
        <f>VLOOKUP(B1448,教育部大学名单!$B$1:$D$2920,3,FALSE)</f>
        <v>河北省</v>
      </c>
      <c r="D1448" s="34" t="s">
        <v>98</v>
      </c>
      <c r="E1448" s="34" t="s">
        <v>99</v>
      </c>
      <c r="F1448" s="36" t="str">
        <f>IFERROR(VLOOKUP(B1448,'985'!$B$2:$D$40,3,FALSE),"")</f>
        <v/>
      </c>
      <c r="G1448" s="32" t="str">
        <f>IFERROR(VLOOKUP(B1448,'211'!$B$2:$D$116,3,FALSE),"")</f>
        <v/>
      </c>
      <c r="H1448" s="32" t="str">
        <f>IFERROR(VLOOKUP(B1448,双一流!$B$2:$D$148,3,FALSE),"")</f>
        <v/>
      </c>
      <c r="I1448" s="32" t="str">
        <f>IFERROR(VLOOKUP(B1448,汇总!$B$2:$I$2921,8,FALSE),"")</f>
        <v>综合</v>
      </c>
      <c r="J1448" s="34" t="s">
        <v>1700</v>
      </c>
      <c r="K1448" s="34" t="s">
        <v>12</v>
      </c>
    </row>
    <row r="1449" ht="50.25" spans="1:11">
      <c r="A1449" s="34">
        <v>1448</v>
      </c>
      <c r="B1449" s="29" t="s">
        <v>1768</v>
      </c>
      <c r="C1449" s="29" t="str">
        <f>VLOOKUP(B1449,教育部大学名单!$B$1:$D$2920,3,FALSE)</f>
        <v>河北省</v>
      </c>
      <c r="D1449" s="29" t="s">
        <v>98</v>
      </c>
      <c r="E1449" s="29" t="s">
        <v>103</v>
      </c>
      <c r="F1449" s="36" t="str">
        <f>IFERROR(VLOOKUP(B1449,'985'!$B$2:$D$40,3,FALSE),"")</f>
        <v/>
      </c>
      <c r="G1449" s="32" t="str">
        <f>IFERROR(VLOOKUP(B1449,'211'!$B$2:$D$116,3,FALSE),"")</f>
        <v/>
      </c>
      <c r="H1449" s="32" t="str">
        <f>IFERROR(VLOOKUP(B1449,双一流!$B$2:$D$148,3,FALSE),"")</f>
        <v/>
      </c>
      <c r="I1449" s="32" t="str">
        <f>IFERROR(VLOOKUP(B1449,汇总!$B$2:$I$2921,8,FALSE),"")</f>
        <v>综合</v>
      </c>
      <c r="J1449" s="29" t="s">
        <v>1700</v>
      </c>
      <c r="K1449" s="29" t="s">
        <v>12</v>
      </c>
    </row>
    <row r="1450" ht="33.75" spans="1:11">
      <c r="A1450" s="29">
        <v>1449</v>
      </c>
      <c r="B1450" s="34" t="s">
        <v>1769</v>
      </c>
      <c r="C1450" s="29" t="str">
        <f>VLOOKUP(B1450,教育部大学名单!$B$1:$D$2920,3,FALSE)</f>
        <v>河北省</v>
      </c>
      <c r="D1450" s="34" t="s">
        <v>98</v>
      </c>
      <c r="E1450" s="34" t="s">
        <v>103</v>
      </c>
      <c r="F1450" s="36" t="str">
        <f>IFERROR(VLOOKUP(B1450,'985'!$B$2:$D$40,3,FALSE),"")</f>
        <v/>
      </c>
      <c r="G1450" s="32" t="str">
        <f>IFERROR(VLOOKUP(B1450,'211'!$B$2:$D$116,3,FALSE),"")</f>
        <v/>
      </c>
      <c r="H1450" s="32" t="str">
        <f>IFERROR(VLOOKUP(B1450,双一流!$B$2:$D$148,3,FALSE),"")</f>
        <v/>
      </c>
      <c r="I1450" s="32">
        <f>IFERROR(VLOOKUP(B1450,汇总!$B$2:$I$2921,8,FALSE),"")</f>
        <v>0</v>
      </c>
      <c r="J1450" s="34" t="s">
        <v>1700</v>
      </c>
      <c r="K1450" s="34" t="s">
        <v>12</v>
      </c>
    </row>
    <row r="1451" ht="50.25" spans="1:11">
      <c r="A1451" s="34">
        <v>1450</v>
      </c>
      <c r="B1451" s="29" t="s">
        <v>1770</v>
      </c>
      <c r="C1451" s="29" t="str">
        <f>VLOOKUP(B1451,教育部大学名单!$B$1:$D$2920,3,FALSE)</f>
        <v>河北省</v>
      </c>
      <c r="D1451" s="29" t="s">
        <v>98</v>
      </c>
      <c r="E1451" s="29" t="s">
        <v>111</v>
      </c>
      <c r="F1451" s="36" t="str">
        <f>IFERROR(VLOOKUP(B1451,'985'!$B$2:$D$40,3,FALSE),"")</f>
        <v/>
      </c>
      <c r="G1451" s="32" t="str">
        <f>IFERROR(VLOOKUP(B1451,'211'!$B$2:$D$116,3,FALSE),"")</f>
        <v/>
      </c>
      <c r="H1451" s="32" t="str">
        <f>IFERROR(VLOOKUP(B1451,双一流!$B$2:$D$148,3,FALSE),"")</f>
        <v/>
      </c>
      <c r="I1451" s="32" t="str">
        <f>IFERROR(VLOOKUP(B1451,汇总!$B$2:$I$2921,8,FALSE),"")</f>
        <v>师范</v>
      </c>
      <c r="J1451" s="29" t="s">
        <v>1700</v>
      </c>
      <c r="K1451" s="29" t="s">
        <v>12</v>
      </c>
    </row>
    <row r="1452" ht="33.75" spans="1:11">
      <c r="A1452" s="29">
        <v>1451</v>
      </c>
      <c r="B1452" s="34" t="s">
        <v>1771</v>
      </c>
      <c r="C1452" s="29" t="str">
        <f>VLOOKUP(B1452,教育部大学名单!$B$1:$D$2920,3,FALSE)</f>
        <v>河北省</v>
      </c>
      <c r="D1452" s="34" t="s">
        <v>98</v>
      </c>
      <c r="E1452" s="34" t="s">
        <v>109</v>
      </c>
      <c r="F1452" s="36" t="str">
        <f>IFERROR(VLOOKUP(B1452,'985'!$B$2:$D$40,3,FALSE),"")</f>
        <v/>
      </c>
      <c r="G1452" s="32" t="str">
        <f>IFERROR(VLOOKUP(B1452,'211'!$B$2:$D$116,3,FALSE),"")</f>
        <v/>
      </c>
      <c r="H1452" s="32" t="str">
        <f>IFERROR(VLOOKUP(B1452,双一流!$B$2:$D$148,3,FALSE),"")</f>
        <v/>
      </c>
      <c r="I1452" s="32" t="str">
        <f>IFERROR(VLOOKUP(B1452,汇总!$B$2:$I$2921,8,FALSE),"")</f>
        <v>综合</v>
      </c>
      <c r="J1452" s="34" t="s">
        <v>1700</v>
      </c>
      <c r="K1452" s="34" t="s">
        <v>12</v>
      </c>
    </row>
    <row r="1453" ht="33.75" spans="1:11">
      <c r="A1453" s="34">
        <v>1452</v>
      </c>
      <c r="B1453" s="29" t="s">
        <v>1772</v>
      </c>
      <c r="C1453" s="29" t="str">
        <f>VLOOKUP(B1453,教育部大学名单!$B$1:$D$2920,3,FALSE)</f>
        <v>河北省</v>
      </c>
      <c r="D1453" s="29" t="s">
        <v>98</v>
      </c>
      <c r="E1453" s="29" t="s">
        <v>122</v>
      </c>
      <c r="F1453" s="36" t="str">
        <f>IFERROR(VLOOKUP(B1453,'985'!$B$2:$D$40,3,FALSE),"")</f>
        <v/>
      </c>
      <c r="G1453" s="32" t="str">
        <f>IFERROR(VLOOKUP(B1453,'211'!$B$2:$D$116,3,FALSE),"")</f>
        <v/>
      </c>
      <c r="H1453" s="32" t="str">
        <f>IFERROR(VLOOKUP(B1453,双一流!$B$2:$D$148,3,FALSE),"")</f>
        <v/>
      </c>
      <c r="I1453" s="32">
        <f>IFERROR(VLOOKUP(B1453,汇总!$B$2:$I$2921,8,FALSE),"")</f>
        <v>0</v>
      </c>
      <c r="J1453" s="29" t="s">
        <v>1700</v>
      </c>
      <c r="K1453" s="29" t="s">
        <v>12</v>
      </c>
    </row>
    <row r="1454" ht="33.75" spans="1:11">
      <c r="A1454" s="29">
        <v>1453</v>
      </c>
      <c r="B1454" s="34" t="s">
        <v>1773</v>
      </c>
      <c r="C1454" s="29" t="str">
        <f>VLOOKUP(B1454,教育部大学名单!$B$1:$D$2920,3,FALSE)</f>
        <v>河北省</v>
      </c>
      <c r="D1454" s="34" t="s">
        <v>98</v>
      </c>
      <c r="E1454" s="34" t="s">
        <v>116</v>
      </c>
      <c r="F1454" s="36" t="str">
        <f>IFERROR(VLOOKUP(B1454,'985'!$B$2:$D$40,3,FALSE),"")</f>
        <v/>
      </c>
      <c r="G1454" s="32" t="str">
        <f>IFERROR(VLOOKUP(B1454,'211'!$B$2:$D$116,3,FALSE),"")</f>
        <v/>
      </c>
      <c r="H1454" s="32" t="str">
        <f>IFERROR(VLOOKUP(B1454,双一流!$B$2:$D$148,3,FALSE),"")</f>
        <v/>
      </c>
      <c r="I1454" s="32" t="str">
        <f>IFERROR(VLOOKUP(B1454,汇总!$B$2:$I$2921,8,FALSE),"")</f>
        <v>医药</v>
      </c>
      <c r="J1454" s="34" t="s">
        <v>1700</v>
      </c>
      <c r="K1454" s="34" t="s">
        <v>12</v>
      </c>
    </row>
    <row r="1455" ht="50.25" spans="1:11">
      <c r="A1455" s="34">
        <v>1454</v>
      </c>
      <c r="B1455" s="29" t="s">
        <v>1774</v>
      </c>
      <c r="C1455" s="29" t="str">
        <f>VLOOKUP(B1455,教育部大学名单!$B$1:$D$2920,3,FALSE)</f>
        <v>河北省</v>
      </c>
      <c r="D1455" s="29" t="s">
        <v>98</v>
      </c>
      <c r="E1455" s="29" t="s">
        <v>103</v>
      </c>
      <c r="F1455" s="36" t="str">
        <f>IFERROR(VLOOKUP(B1455,'985'!$B$2:$D$40,3,FALSE),"")</f>
        <v/>
      </c>
      <c r="G1455" s="32" t="str">
        <f>IFERROR(VLOOKUP(B1455,'211'!$B$2:$D$116,3,FALSE),"")</f>
        <v/>
      </c>
      <c r="H1455" s="32" t="str">
        <f>IFERROR(VLOOKUP(B1455,双一流!$B$2:$D$148,3,FALSE),"")</f>
        <v/>
      </c>
      <c r="I1455" s="32" t="str">
        <f>IFERROR(VLOOKUP(B1455,汇总!$B$2:$I$2921,8,FALSE),"")</f>
        <v>师范</v>
      </c>
      <c r="J1455" s="29" t="s">
        <v>1700</v>
      </c>
      <c r="K1455" s="29" t="s">
        <v>12</v>
      </c>
    </row>
    <row r="1456" ht="33.75" spans="1:11">
      <c r="A1456" s="29">
        <v>1455</v>
      </c>
      <c r="B1456" s="34" t="s">
        <v>1775</v>
      </c>
      <c r="C1456" s="29" t="str">
        <f>VLOOKUP(B1456,教育部大学名单!$B$1:$D$2920,3,FALSE)</f>
        <v>河北省</v>
      </c>
      <c r="D1456" s="34" t="s">
        <v>98</v>
      </c>
      <c r="E1456" s="34" t="s">
        <v>122</v>
      </c>
      <c r="F1456" s="36" t="str">
        <f>IFERROR(VLOOKUP(B1456,'985'!$B$2:$D$40,3,FALSE),"")</f>
        <v/>
      </c>
      <c r="G1456" s="32" t="str">
        <f>IFERROR(VLOOKUP(B1456,'211'!$B$2:$D$116,3,FALSE),"")</f>
        <v/>
      </c>
      <c r="H1456" s="32" t="str">
        <f>IFERROR(VLOOKUP(B1456,双一流!$B$2:$D$148,3,FALSE),"")</f>
        <v/>
      </c>
      <c r="I1456" s="32">
        <f>IFERROR(VLOOKUP(B1456,汇总!$B$2:$I$2921,8,FALSE),"")</f>
        <v>0</v>
      </c>
      <c r="J1456" s="34" t="s">
        <v>1700</v>
      </c>
      <c r="K1456" s="34" t="s">
        <v>12</v>
      </c>
    </row>
    <row r="1457" ht="50.25" spans="1:11">
      <c r="A1457" s="34">
        <v>1456</v>
      </c>
      <c r="B1457" s="29" t="s">
        <v>1776</v>
      </c>
      <c r="C1457" s="29" t="str">
        <f>VLOOKUP(B1457,教育部大学名单!$B$1:$D$2920,3,FALSE)</f>
        <v>河北省</v>
      </c>
      <c r="D1457" s="29" t="s">
        <v>98</v>
      </c>
      <c r="E1457" s="29" t="s">
        <v>103</v>
      </c>
      <c r="F1457" s="36" t="str">
        <f>IFERROR(VLOOKUP(B1457,'985'!$B$2:$D$40,3,FALSE),"")</f>
        <v/>
      </c>
      <c r="G1457" s="32" t="str">
        <f>IFERROR(VLOOKUP(B1457,'211'!$B$2:$D$116,3,FALSE),"")</f>
        <v/>
      </c>
      <c r="H1457" s="32" t="str">
        <f>IFERROR(VLOOKUP(B1457,双一流!$B$2:$D$148,3,FALSE),"")</f>
        <v/>
      </c>
      <c r="I1457" s="32" t="str">
        <f>IFERROR(VLOOKUP(B1457,汇总!$B$2:$I$2921,8,FALSE),"")</f>
        <v>理工</v>
      </c>
      <c r="J1457" s="29" t="s">
        <v>1700</v>
      </c>
      <c r="K1457" s="29" t="s">
        <v>12</v>
      </c>
    </row>
    <row r="1458" ht="50.25" spans="1:11">
      <c r="A1458" s="29">
        <v>1457</v>
      </c>
      <c r="B1458" s="34" t="s">
        <v>1777</v>
      </c>
      <c r="C1458" s="29" t="str">
        <f>VLOOKUP(B1458,教育部大学名单!$B$1:$D$2920,3,FALSE)</f>
        <v>河北省</v>
      </c>
      <c r="D1458" s="34" t="s">
        <v>98</v>
      </c>
      <c r="E1458" s="34" t="s">
        <v>99</v>
      </c>
      <c r="F1458" s="36" t="str">
        <f>IFERROR(VLOOKUP(B1458,'985'!$B$2:$D$40,3,FALSE),"")</f>
        <v/>
      </c>
      <c r="G1458" s="32" t="str">
        <f>IFERROR(VLOOKUP(B1458,'211'!$B$2:$D$116,3,FALSE),"")</f>
        <v/>
      </c>
      <c r="H1458" s="32" t="str">
        <f>IFERROR(VLOOKUP(B1458,双一流!$B$2:$D$148,3,FALSE),"")</f>
        <v/>
      </c>
      <c r="I1458" s="32">
        <f>IFERROR(VLOOKUP(B1458,汇总!$B$2:$I$2921,8,FALSE),"")</f>
        <v>0</v>
      </c>
      <c r="J1458" s="34" t="s">
        <v>1700</v>
      </c>
      <c r="K1458" s="34" t="s">
        <v>12</v>
      </c>
    </row>
    <row r="1459" ht="33.75" spans="1:11">
      <c r="A1459" s="34">
        <v>1458</v>
      </c>
      <c r="B1459" s="29" t="s">
        <v>1778</v>
      </c>
      <c r="C1459" s="29" t="str">
        <f>VLOOKUP(B1459,教育部大学名单!$B$1:$D$2920,3,FALSE)</f>
        <v>河北省</v>
      </c>
      <c r="D1459" s="29" t="s">
        <v>98</v>
      </c>
      <c r="E1459" s="29" t="s">
        <v>99</v>
      </c>
      <c r="F1459" s="36" t="str">
        <f>IFERROR(VLOOKUP(B1459,'985'!$B$2:$D$40,3,FALSE),"")</f>
        <v/>
      </c>
      <c r="G1459" s="32" t="str">
        <f>IFERROR(VLOOKUP(B1459,'211'!$B$2:$D$116,3,FALSE),"")</f>
        <v/>
      </c>
      <c r="H1459" s="32" t="str">
        <f>IFERROR(VLOOKUP(B1459,双一流!$B$2:$D$148,3,FALSE),"")</f>
        <v/>
      </c>
      <c r="I1459" s="32">
        <f>IFERROR(VLOOKUP(B1459,汇总!$B$2:$I$2921,8,FALSE),"")</f>
        <v>0</v>
      </c>
      <c r="J1459" s="29" t="s">
        <v>1700</v>
      </c>
      <c r="K1459" s="29" t="s">
        <v>12</v>
      </c>
    </row>
    <row r="1460" ht="50.25" spans="1:11">
      <c r="A1460" s="29">
        <v>1459</v>
      </c>
      <c r="B1460" s="34" t="s">
        <v>1779</v>
      </c>
      <c r="C1460" s="29" t="str">
        <f>VLOOKUP(B1460,教育部大学名单!$B$1:$D$2920,3,FALSE)</f>
        <v>河北省</v>
      </c>
      <c r="D1460" s="34" t="s">
        <v>98</v>
      </c>
      <c r="E1460" s="34" t="s">
        <v>106</v>
      </c>
      <c r="F1460" s="36" t="str">
        <f>IFERROR(VLOOKUP(B1460,'985'!$B$2:$D$40,3,FALSE),"")</f>
        <v/>
      </c>
      <c r="G1460" s="32" t="str">
        <f>IFERROR(VLOOKUP(B1460,'211'!$B$2:$D$116,3,FALSE),"")</f>
        <v/>
      </c>
      <c r="H1460" s="32" t="str">
        <f>IFERROR(VLOOKUP(B1460,双一流!$B$2:$D$148,3,FALSE),"")</f>
        <v/>
      </c>
      <c r="I1460" s="32">
        <f>IFERROR(VLOOKUP(B1460,汇总!$B$2:$I$2921,8,FALSE),"")</f>
        <v>0</v>
      </c>
      <c r="J1460" s="34" t="s">
        <v>1700</v>
      </c>
      <c r="K1460" s="34" t="s">
        <v>12</v>
      </c>
    </row>
    <row r="1461" ht="33.75" spans="1:11">
      <c r="A1461" s="34">
        <v>1460</v>
      </c>
      <c r="B1461" s="29" t="s">
        <v>1780</v>
      </c>
      <c r="C1461" s="29" t="str">
        <f>VLOOKUP(B1461,教育部大学名单!$B$1:$D$2920,3,FALSE)</f>
        <v>河北省</v>
      </c>
      <c r="D1461" s="29" t="s">
        <v>98</v>
      </c>
      <c r="E1461" s="29" t="s">
        <v>116</v>
      </c>
      <c r="F1461" s="36" t="str">
        <f>IFERROR(VLOOKUP(B1461,'985'!$B$2:$D$40,3,FALSE),"")</f>
        <v/>
      </c>
      <c r="G1461" s="32" t="str">
        <f>IFERROR(VLOOKUP(B1461,'211'!$B$2:$D$116,3,FALSE),"")</f>
        <v/>
      </c>
      <c r="H1461" s="32" t="str">
        <f>IFERROR(VLOOKUP(B1461,双一流!$B$2:$D$148,3,FALSE),"")</f>
        <v/>
      </c>
      <c r="I1461" s="32">
        <f>IFERROR(VLOOKUP(B1461,汇总!$B$2:$I$2921,8,FALSE),"")</f>
        <v>0</v>
      </c>
      <c r="J1461" s="29" t="s">
        <v>1700</v>
      </c>
      <c r="K1461" s="29" t="s">
        <v>12</v>
      </c>
    </row>
    <row r="1462" ht="50.25" spans="1:11">
      <c r="A1462" s="29">
        <v>1461</v>
      </c>
      <c r="B1462" s="34" t="s">
        <v>1781</v>
      </c>
      <c r="C1462" s="29" t="str">
        <f>VLOOKUP(B1462,教育部大学名单!$B$1:$D$2920,3,FALSE)</f>
        <v>河北省</v>
      </c>
      <c r="D1462" s="34" t="s">
        <v>98</v>
      </c>
      <c r="E1462" s="34" t="s">
        <v>101</v>
      </c>
      <c r="F1462" s="36" t="str">
        <f>IFERROR(VLOOKUP(B1462,'985'!$B$2:$D$40,3,FALSE),"")</f>
        <v/>
      </c>
      <c r="G1462" s="32" t="str">
        <f>IFERROR(VLOOKUP(B1462,'211'!$B$2:$D$116,3,FALSE),"")</f>
        <v/>
      </c>
      <c r="H1462" s="32" t="str">
        <f>IFERROR(VLOOKUP(B1462,双一流!$B$2:$D$148,3,FALSE),"")</f>
        <v/>
      </c>
      <c r="I1462" s="32">
        <f>IFERROR(VLOOKUP(B1462,汇总!$B$2:$I$2921,8,FALSE),"")</f>
        <v>0</v>
      </c>
      <c r="J1462" s="34" t="s">
        <v>1700</v>
      </c>
      <c r="K1462" s="34" t="s">
        <v>12</v>
      </c>
    </row>
    <row r="1463" ht="33.75" spans="1:11">
      <c r="A1463" s="34">
        <v>1462</v>
      </c>
      <c r="B1463" s="29" t="s">
        <v>1782</v>
      </c>
      <c r="C1463" s="29" t="str">
        <f>VLOOKUP(B1463,教育部大学名单!$B$1:$D$2920,3,FALSE)</f>
        <v>河北省</v>
      </c>
      <c r="D1463" s="29" t="s">
        <v>98</v>
      </c>
      <c r="E1463" s="29" t="s">
        <v>101</v>
      </c>
      <c r="F1463" s="36" t="str">
        <f>IFERROR(VLOOKUP(B1463,'985'!$B$2:$D$40,3,FALSE),"")</f>
        <v/>
      </c>
      <c r="G1463" s="32" t="str">
        <f>IFERROR(VLOOKUP(B1463,'211'!$B$2:$D$116,3,FALSE),"")</f>
        <v/>
      </c>
      <c r="H1463" s="32" t="str">
        <f>IFERROR(VLOOKUP(B1463,双一流!$B$2:$D$148,3,FALSE),"")</f>
        <v/>
      </c>
      <c r="I1463" s="32">
        <f>IFERROR(VLOOKUP(B1463,汇总!$B$2:$I$2921,8,FALSE),"")</f>
        <v>0</v>
      </c>
      <c r="J1463" s="29" t="s">
        <v>1700</v>
      </c>
      <c r="K1463" s="29" t="s">
        <v>12</v>
      </c>
    </row>
    <row r="1464" ht="50.25" spans="1:11">
      <c r="A1464" s="29">
        <v>1463</v>
      </c>
      <c r="B1464" s="34" t="s">
        <v>1783</v>
      </c>
      <c r="C1464" s="29" t="str">
        <f>VLOOKUP(B1464,教育部大学名单!$B$1:$D$2920,3,FALSE)</f>
        <v>山西省</v>
      </c>
      <c r="D1464" s="34" t="s">
        <v>151</v>
      </c>
      <c r="E1464" s="34" t="s">
        <v>152</v>
      </c>
      <c r="F1464" s="36" t="str">
        <f>IFERROR(VLOOKUP(B1464,'985'!$B$2:$D$40,3,FALSE),"")</f>
        <v/>
      </c>
      <c r="G1464" s="32" t="str">
        <f>IFERROR(VLOOKUP(B1464,'211'!$B$2:$D$116,3,FALSE),"")</f>
        <v/>
      </c>
      <c r="H1464" s="32" t="str">
        <f>IFERROR(VLOOKUP(B1464,双一流!$B$2:$D$148,3,FALSE),"")</f>
        <v/>
      </c>
      <c r="I1464" s="32" t="str">
        <f>IFERROR(VLOOKUP(B1464,汇总!$B$2:$I$2921,8,FALSE),"")</f>
        <v>财经</v>
      </c>
      <c r="J1464" s="34" t="s">
        <v>1700</v>
      </c>
      <c r="K1464" s="34" t="s">
        <v>12</v>
      </c>
    </row>
    <row r="1465" ht="33.75" spans="1:11">
      <c r="A1465" s="34">
        <v>1464</v>
      </c>
      <c r="B1465" s="29" t="s">
        <v>1784</v>
      </c>
      <c r="C1465" s="29" t="str">
        <f>VLOOKUP(B1465,教育部大学名单!$B$1:$D$2920,3,FALSE)</f>
        <v>山西省</v>
      </c>
      <c r="D1465" s="29" t="s">
        <v>151</v>
      </c>
      <c r="E1465" s="29" t="s">
        <v>160</v>
      </c>
      <c r="F1465" s="36" t="str">
        <f>IFERROR(VLOOKUP(B1465,'985'!$B$2:$D$40,3,FALSE),"")</f>
        <v/>
      </c>
      <c r="G1465" s="32" t="str">
        <f>IFERROR(VLOOKUP(B1465,'211'!$B$2:$D$116,3,FALSE),"")</f>
        <v/>
      </c>
      <c r="H1465" s="32" t="str">
        <f>IFERROR(VLOOKUP(B1465,双一流!$B$2:$D$148,3,FALSE),"")</f>
        <v/>
      </c>
      <c r="I1465" s="32" t="str">
        <f>IFERROR(VLOOKUP(B1465,汇总!$B$2:$I$2921,8,FALSE),"")</f>
        <v>理工</v>
      </c>
      <c r="J1465" s="29" t="s">
        <v>1700</v>
      </c>
      <c r="K1465" s="29" t="s">
        <v>12</v>
      </c>
    </row>
    <row r="1466" ht="33.75" spans="1:11">
      <c r="A1466" s="29">
        <v>1465</v>
      </c>
      <c r="B1466" s="34" t="s">
        <v>1785</v>
      </c>
      <c r="C1466" s="29" t="str">
        <f>VLOOKUP(B1466,教育部大学名单!$B$1:$D$2920,3,FALSE)</f>
        <v>山西省</v>
      </c>
      <c r="D1466" s="34" t="s">
        <v>151</v>
      </c>
      <c r="E1466" s="34" t="s">
        <v>183</v>
      </c>
      <c r="F1466" s="36" t="str">
        <f>IFERROR(VLOOKUP(B1466,'985'!$B$2:$D$40,3,FALSE),"")</f>
        <v/>
      </c>
      <c r="G1466" s="32" t="str">
        <f>IFERROR(VLOOKUP(B1466,'211'!$B$2:$D$116,3,FALSE),"")</f>
        <v/>
      </c>
      <c r="H1466" s="32" t="str">
        <f>IFERROR(VLOOKUP(B1466,双一流!$B$2:$D$148,3,FALSE),"")</f>
        <v/>
      </c>
      <c r="I1466" s="32" t="str">
        <f>IFERROR(VLOOKUP(B1466,汇总!$B$2:$I$2921,8,FALSE),"")</f>
        <v>综合</v>
      </c>
      <c r="J1466" s="34" t="s">
        <v>1700</v>
      </c>
      <c r="K1466" s="34" t="s">
        <v>12</v>
      </c>
    </row>
    <row r="1467" ht="33.75" spans="1:11">
      <c r="A1467" s="34">
        <v>1466</v>
      </c>
      <c r="B1467" s="29" t="s">
        <v>1786</v>
      </c>
      <c r="C1467" s="29" t="str">
        <f>VLOOKUP(B1467,教育部大学名单!$B$1:$D$2920,3,FALSE)</f>
        <v>山西省</v>
      </c>
      <c r="D1467" s="29" t="s">
        <v>151</v>
      </c>
      <c r="E1467" s="29" t="s">
        <v>152</v>
      </c>
      <c r="F1467" s="36" t="str">
        <f>IFERROR(VLOOKUP(B1467,'985'!$B$2:$D$40,3,FALSE),"")</f>
        <v/>
      </c>
      <c r="G1467" s="32" t="str">
        <f>IFERROR(VLOOKUP(B1467,'211'!$B$2:$D$116,3,FALSE),"")</f>
        <v/>
      </c>
      <c r="H1467" s="32" t="str">
        <f>IFERROR(VLOOKUP(B1467,双一流!$B$2:$D$148,3,FALSE),"")</f>
        <v/>
      </c>
      <c r="I1467" s="32" t="str">
        <f>IFERROR(VLOOKUP(B1467,汇总!$B$2:$I$2921,8,FALSE),"")</f>
        <v>医药</v>
      </c>
      <c r="J1467" s="29" t="s">
        <v>1700</v>
      </c>
      <c r="K1467" s="29" t="s">
        <v>12</v>
      </c>
    </row>
    <row r="1468" ht="33.75" spans="1:11">
      <c r="A1468" s="29">
        <v>1467</v>
      </c>
      <c r="B1468" s="34" t="s">
        <v>1787</v>
      </c>
      <c r="C1468" s="29" t="str">
        <f>VLOOKUP(B1468,教育部大学名单!$B$1:$D$2920,3,FALSE)</f>
        <v>山西省</v>
      </c>
      <c r="D1468" s="34" t="s">
        <v>151</v>
      </c>
      <c r="E1468" s="34" t="s">
        <v>164</v>
      </c>
      <c r="F1468" s="36" t="str">
        <f>IFERROR(VLOOKUP(B1468,'985'!$B$2:$D$40,3,FALSE),"")</f>
        <v/>
      </c>
      <c r="G1468" s="32" t="str">
        <f>IFERROR(VLOOKUP(B1468,'211'!$B$2:$D$116,3,FALSE),"")</f>
        <v/>
      </c>
      <c r="H1468" s="32" t="str">
        <f>IFERROR(VLOOKUP(B1468,双一流!$B$2:$D$148,3,FALSE),"")</f>
        <v/>
      </c>
      <c r="I1468" s="32" t="str">
        <f>IFERROR(VLOOKUP(B1468,汇总!$B$2:$I$2921,8,FALSE),"")</f>
        <v>理工</v>
      </c>
      <c r="J1468" s="34" t="s">
        <v>1700</v>
      </c>
      <c r="K1468" s="34" t="s">
        <v>12</v>
      </c>
    </row>
    <row r="1469" ht="33.75" spans="1:11">
      <c r="A1469" s="34">
        <v>1468</v>
      </c>
      <c r="B1469" s="29" t="s">
        <v>1788</v>
      </c>
      <c r="C1469" s="29" t="str">
        <f>VLOOKUP(B1469,教育部大学名单!$B$1:$D$2920,3,FALSE)</f>
        <v>山西省</v>
      </c>
      <c r="D1469" s="29" t="s">
        <v>151</v>
      </c>
      <c r="E1469" s="29" t="s">
        <v>160</v>
      </c>
      <c r="F1469" s="36" t="str">
        <f>IFERROR(VLOOKUP(B1469,'985'!$B$2:$D$40,3,FALSE),"")</f>
        <v/>
      </c>
      <c r="G1469" s="32" t="str">
        <f>IFERROR(VLOOKUP(B1469,'211'!$B$2:$D$116,3,FALSE),"")</f>
        <v/>
      </c>
      <c r="H1469" s="32" t="str">
        <f>IFERROR(VLOOKUP(B1469,双一流!$B$2:$D$148,3,FALSE),"")</f>
        <v/>
      </c>
      <c r="I1469" s="32" t="str">
        <f>IFERROR(VLOOKUP(B1469,汇总!$B$2:$I$2921,8,FALSE),"")</f>
        <v>理工</v>
      </c>
      <c r="J1469" s="29" t="s">
        <v>1700</v>
      </c>
      <c r="K1469" s="29" t="s">
        <v>12</v>
      </c>
    </row>
    <row r="1470" ht="33.75" spans="1:11">
      <c r="A1470" s="29">
        <v>1469</v>
      </c>
      <c r="B1470" s="34" t="s">
        <v>1789</v>
      </c>
      <c r="C1470" s="29" t="str">
        <f>VLOOKUP(B1470,教育部大学名单!$B$1:$D$2920,3,FALSE)</f>
        <v>山西省</v>
      </c>
      <c r="D1470" s="34" t="s">
        <v>151</v>
      </c>
      <c r="E1470" s="34" t="s">
        <v>152</v>
      </c>
      <c r="F1470" s="36" t="str">
        <f>IFERROR(VLOOKUP(B1470,'985'!$B$2:$D$40,3,FALSE),"")</f>
        <v/>
      </c>
      <c r="G1470" s="32" t="str">
        <f>IFERROR(VLOOKUP(B1470,'211'!$B$2:$D$116,3,FALSE),"")</f>
        <v/>
      </c>
      <c r="H1470" s="32" t="str">
        <f>IFERROR(VLOOKUP(B1470,双一流!$B$2:$D$148,3,FALSE),"")</f>
        <v/>
      </c>
      <c r="I1470" s="32" t="str">
        <f>IFERROR(VLOOKUP(B1470,汇总!$B$2:$I$2921,8,FALSE),"")</f>
        <v>财经</v>
      </c>
      <c r="J1470" s="34" t="s">
        <v>1700</v>
      </c>
      <c r="K1470" s="34" t="s">
        <v>12</v>
      </c>
    </row>
    <row r="1471" ht="33.75" spans="1:11">
      <c r="A1471" s="34">
        <v>1470</v>
      </c>
      <c r="B1471" s="29" t="s">
        <v>1790</v>
      </c>
      <c r="C1471" s="29" t="str">
        <f>VLOOKUP(B1471,教育部大学名单!$B$1:$D$2920,3,FALSE)</f>
        <v>山西省</v>
      </c>
      <c r="D1471" s="29" t="s">
        <v>151</v>
      </c>
      <c r="E1471" s="29" t="s">
        <v>152</v>
      </c>
      <c r="F1471" s="36" t="str">
        <f>IFERROR(VLOOKUP(B1471,'985'!$B$2:$D$40,3,FALSE),"")</f>
        <v/>
      </c>
      <c r="G1471" s="32" t="str">
        <f>IFERROR(VLOOKUP(B1471,'211'!$B$2:$D$116,3,FALSE),"")</f>
        <v/>
      </c>
      <c r="H1471" s="32" t="str">
        <f>IFERROR(VLOOKUP(B1471,双一流!$B$2:$D$148,3,FALSE),"")</f>
        <v/>
      </c>
      <c r="I1471" s="32" t="str">
        <f>IFERROR(VLOOKUP(B1471,汇总!$B$2:$I$2921,8,FALSE),"")</f>
        <v>农林</v>
      </c>
      <c r="J1471" s="29" t="s">
        <v>1700</v>
      </c>
      <c r="K1471" s="29" t="s">
        <v>12</v>
      </c>
    </row>
    <row r="1472" ht="33.75" spans="1:11">
      <c r="A1472" s="29">
        <v>1471</v>
      </c>
      <c r="B1472" s="34" t="s">
        <v>1791</v>
      </c>
      <c r="C1472" s="29" t="str">
        <f>VLOOKUP(B1472,教育部大学名单!$B$1:$D$2920,3,FALSE)</f>
        <v>山西省</v>
      </c>
      <c r="D1472" s="34" t="s">
        <v>151</v>
      </c>
      <c r="E1472" s="34" t="s">
        <v>168</v>
      </c>
      <c r="F1472" s="36" t="str">
        <f>IFERROR(VLOOKUP(B1472,'985'!$B$2:$D$40,3,FALSE),"")</f>
        <v/>
      </c>
      <c r="G1472" s="32" t="str">
        <f>IFERROR(VLOOKUP(B1472,'211'!$B$2:$D$116,3,FALSE),"")</f>
        <v/>
      </c>
      <c r="H1472" s="32" t="str">
        <f>IFERROR(VLOOKUP(B1472,双一流!$B$2:$D$148,3,FALSE),"")</f>
        <v/>
      </c>
      <c r="I1472" s="32" t="str">
        <f>IFERROR(VLOOKUP(B1472,汇总!$B$2:$I$2921,8,FALSE),"")</f>
        <v>理工</v>
      </c>
      <c r="J1472" s="34" t="s">
        <v>1700</v>
      </c>
      <c r="K1472" s="34" t="s">
        <v>12</v>
      </c>
    </row>
    <row r="1473" ht="33.75" spans="1:11">
      <c r="A1473" s="34">
        <v>1472</v>
      </c>
      <c r="B1473" s="29" t="s">
        <v>1792</v>
      </c>
      <c r="C1473" s="29" t="str">
        <f>VLOOKUP(B1473,教育部大学名单!$B$1:$D$2920,3,FALSE)</f>
        <v>山西省</v>
      </c>
      <c r="D1473" s="29" t="s">
        <v>151</v>
      </c>
      <c r="E1473" s="29" t="s">
        <v>187</v>
      </c>
      <c r="F1473" s="36" t="str">
        <f>IFERROR(VLOOKUP(B1473,'985'!$B$2:$D$40,3,FALSE),"")</f>
        <v/>
      </c>
      <c r="G1473" s="32" t="str">
        <f>IFERROR(VLOOKUP(B1473,'211'!$B$2:$D$116,3,FALSE),"")</f>
        <v/>
      </c>
      <c r="H1473" s="32" t="str">
        <f>IFERROR(VLOOKUP(B1473,双一流!$B$2:$D$148,3,FALSE),"")</f>
        <v/>
      </c>
      <c r="I1473" s="32" t="str">
        <f>IFERROR(VLOOKUP(B1473,汇总!$B$2:$I$2921,8,FALSE),"")</f>
        <v>综合</v>
      </c>
      <c r="J1473" s="29" t="s">
        <v>1700</v>
      </c>
      <c r="K1473" s="29" t="s">
        <v>12</v>
      </c>
    </row>
    <row r="1474" ht="33.75" spans="1:11">
      <c r="A1474" s="29">
        <v>1473</v>
      </c>
      <c r="B1474" s="34" t="s">
        <v>1793</v>
      </c>
      <c r="C1474" s="29" t="str">
        <f>VLOOKUP(B1474,教育部大学名单!$B$1:$D$2920,3,FALSE)</f>
        <v>山西省</v>
      </c>
      <c r="D1474" s="34" t="s">
        <v>151</v>
      </c>
      <c r="E1474" s="34" t="s">
        <v>181</v>
      </c>
      <c r="F1474" s="36" t="str">
        <f>IFERROR(VLOOKUP(B1474,'985'!$B$2:$D$40,3,FALSE),"")</f>
        <v/>
      </c>
      <c r="G1474" s="32" t="str">
        <f>IFERROR(VLOOKUP(B1474,'211'!$B$2:$D$116,3,FALSE),"")</f>
        <v/>
      </c>
      <c r="H1474" s="32" t="str">
        <f>IFERROR(VLOOKUP(B1474,双一流!$B$2:$D$148,3,FALSE),"")</f>
        <v/>
      </c>
      <c r="I1474" s="32" t="str">
        <f>IFERROR(VLOOKUP(B1474,汇总!$B$2:$I$2921,8,FALSE),"")</f>
        <v>综合</v>
      </c>
      <c r="J1474" s="34" t="s">
        <v>1700</v>
      </c>
      <c r="K1474" s="34" t="s">
        <v>12</v>
      </c>
    </row>
    <row r="1475" ht="33.75" spans="1:11">
      <c r="A1475" s="34">
        <v>1474</v>
      </c>
      <c r="B1475" s="29" t="s">
        <v>1794</v>
      </c>
      <c r="C1475" s="29" t="str">
        <f>VLOOKUP(B1475,教育部大学名单!$B$1:$D$2920,3,FALSE)</f>
        <v>山西省</v>
      </c>
      <c r="D1475" s="29" t="s">
        <v>151</v>
      </c>
      <c r="E1475" s="29" t="s">
        <v>152</v>
      </c>
      <c r="F1475" s="36" t="str">
        <f>IFERROR(VLOOKUP(B1475,'985'!$B$2:$D$40,3,FALSE),"")</f>
        <v/>
      </c>
      <c r="G1475" s="32" t="str">
        <f>IFERROR(VLOOKUP(B1475,'211'!$B$2:$D$116,3,FALSE),"")</f>
        <v/>
      </c>
      <c r="H1475" s="32" t="str">
        <f>IFERROR(VLOOKUP(B1475,双一流!$B$2:$D$148,3,FALSE),"")</f>
        <v/>
      </c>
      <c r="I1475" s="32" t="str">
        <f>IFERROR(VLOOKUP(B1475,汇总!$B$2:$I$2921,8,FALSE),"")</f>
        <v>理工</v>
      </c>
      <c r="J1475" s="29" t="s">
        <v>1700</v>
      </c>
      <c r="K1475" s="29" t="s">
        <v>12</v>
      </c>
    </row>
    <row r="1476" ht="33.75" spans="1:11">
      <c r="A1476" s="29">
        <v>1475</v>
      </c>
      <c r="B1476" s="34" t="s">
        <v>1795</v>
      </c>
      <c r="C1476" s="29" t="str">
        <f>VLOOKUP(B1476,教育部大学名单!$B$1:$D$2920,3,FALSE)</f>
        <v>山西省</v>
      </c>
      <c r="D1476" s="34" t="s">
        <v>151</v>
      </c>
      <c r="E1476" s="34" t="s">
        <v>152</v>
      </c>
      <c r="F1476" s="36" t="str">
        <f>IFERROR(VLOOKUP(B1476,'985'!$B$2:$D$40,3,FALSE),"")</f>
        <v/>
      </c>
      <c r="G1476" s="32" t="str">
        <f>IFERROR(VLOOKUP(B1476,'211'!$B$2:$D$116,3,FALSE),"")</f>
        <v/>
      </c>
      <c r="H1476" s="32" t="str">
        <f>IFERROR(VLOOKUP(B1476,双一流!$B$2:$D$148,3,FALSE),"")</f>
        <v/>
      </c>
      <c r="I1476" s="32" t="str">
        <f>IFERROR(VLOOKUP(B1476,汇总!$B$2:$I$2921,8,FALSE),"")</f>
        <v>财经</v>
      </c>
      <c r="J1476" s="34" t="s">
        <v>1700</v>
      </c>
      <c r="K1476" s="34" t="s">
        <v>12</v>
      </c>
    </row>
    <row r="1477" ht="33.75" spans="1:11">
      <c r="A1477" s="34">
        <v>1476</v>
      </c>
      <c r="B1477" s="29" t="s">
        <v>1796</v>
      </c>
      <c r="C1477" s="29" t="str">
        <f>VLOOKUP(B1477,教育部大学名单!$B$1:$D$2920,3,FALSE)</f>
        <v>山西省</v>
      </c>
      <c r="D1477" s="29" t="s">
        <v>151</v>
      </c>
      <c r="E1477" s="29" t="s">
        <v>152</v>
      </c>
      <c r="F1477" s="36" t="str">
        <f>IFERROR(VLOOKUP(B1477,'985'!$B$2:$D$40,3,FALSE),"")</f>
        <v/>
      </c>
      <c r="G1477" s="32" t="str">
        <f>IFERROR(VLOOKUP(B1477,'211'!$B$2:$D$116,3,FALSE),"")</f>
        <v/>
      </c>
      <c r="H1477" s="32" t="str">
        <f>IFERROR(VLOOKUP(B1477,双一流!$B$2:$D$148,3,FALSE),"")</f>
        <v/>
      </c>
      <c r="I1477" s="32" t="str">
        <f>IFERROR(VLOOKUP(B1477,汇总!$B$2:$I$2921,8,FALSE),"")</f>
        <v>综合</v>
      </c>
      <c r="J1477" s="29" t="s">
        <v>1700</v>
      </c>
      <c r="K1477" s="29" t="s">
        <v>12</v>
      </c>
    </row>
    <row r="1478" ht="33.75" spans="1:11">
      <c r="A1478" s="29">
        <v>1477</v>
      </c>
      <c r="B1478" s="34" t="s">
        <v>1797</v>
      </c>
      <c r="C1478" s="29" t="str">
        <f>VLOOKUP(B1478,教育部大学名单!$B$1:$D$2920,3,FALSE)</f>
        <v>山西省</v>
      </c>
      <c r="D1478" s="34" t="s">
        <v>151</v>
      </c>
      <c r="E1478" s="34" t="s">
        <v>152</v>
      </c>
      <c r="F1478" s="36" t="str">
        <f>IFERROR(VLOOKUP(B1478,'985'!$B$2:$D$40,3,FALSE),"")</f>
        <v/>
      </c>
      <c r="G1478" s="32" t="str">
        <f>IFERROR(VLOOKUP(B1478,'211'!$B$2:$D$116,3,FALSE),"")</f>
        <v/>
      </c>
      <c r="H1478" s="32" t="str">
        <f>IFERROR(VLOOKUP(B1478,双一流!$B$2:$D$148,3,FALSE),"")</f>
        <v/>
      </c>
      <c r="I1478" s="32" t="str">
        <f>IFERROR(VLOOKUP(B1478,汇总!$B$2:$I$2921,8,FALSE),"")</f>
        <v>体育</v>
      </c>
      <c r="J1478" s="34" t="s">
        <v>1700</v>
      </c>
      <c r="K1478" s="34" t="s">
        <v>12</v>
      </c>
    </row>
    <row r="1479" ht="33.75" spans="1:11">
      <c r="A1479" s="34">
        <v>1478</v>
      </c>
      <c r="B1479" s="29" t="s">
        <v>1798</v>
      </c>
      <c r="C1479" s="29" t="str">
        <f>VLOOKUP(B1479,教育部大学名单!$B$1:$D$2920,3,FALSE)</f>
        <v>山西省</v>
      </c>
      <c r="D1479" s="29" t="s">
        <v>151</v>
      </c>
      <c r="E1479" s="29" t="s">
        <v>152</v>
      </c>
      <c r="F1479" s="36" t="str">
        <f>IFERROR(VLOOKUP(B1479,'985'!$B$2:$D$40,3,FALSE),"")</f>
        <v/>
      </c>
      <c r="G1479" s="32" t="str">
        <f>IFERROR(VLOOKUP(B1479,'211'!$B$2:$D$116,3,FALSE),"")</f>
        <v/>
      </c>
      <c r="H1479" s="32" t="str">
        <f>IFERROR(VLOOKUP(B1479,双一流!$B$2:$D$148,3,FALSE),"")</f>
        <v/>
      </c>
      <c r="I1479" s="32" t="str">
        <f>IFERROR(VLOOKUP(B1479,汇总!$B$2:$I$2921,8,FALSE),"")</f>
        <v>政法</v>
      </c>
      <c r="J1479" s="29" t="s">
        <v>1700</v>
      </c>
      <c r="K1479" s="29" t="s">
        <v>12</v>
      </c>
    </row>
    <row r="1480" ht="33.75" spans="1:11">
      <c r="A1480" s="29">
        <v>1479</v>
      </c>
      <c r="B1480" s="34" t="s">
        <v>1799</v>
      </c>
      <c r="C1480" s="29" t="str">
        <f>VLOOKUP(B1480,教育部大学名单!$B$1:$D$2920,3,FALSE)</f>
        <v>山西省</v>
      </c>
      <c r="D1480" s="34" t="s">
        <v>151</v>
      </c>
      <c r="E1480" s="34" t="s">
        <v>152</v>
      </c>
      <c r="F1480" s="36" t="str">
        <f>IFERROR(VLOOKUP(B1480,'985'!$B$2:$D$40,3,FALSE),"")</f>
        <v/>
      </c>
      <c r="G1480" s="32" t="str">
        <f>IFERROR(VLOOKUP(B1480,'211'!$B$2:$D$116,3,FALSE),"")</f>
        <v/>
      </c>
      <c r="H1480" s="32" t="str">
        <f>IFERROR(VLOOKUP(B1480,双一流!$B$2:$D$148,3,FALSE),"")</f>
        <v/>
      </c>
      <c r="I1480" s="32">
        <f>IFERROR(VLOOKUP(B1480,汇总!$B$2:$I$2921,8,FALSE),"")</f>
        <v>0</v>
      </c>
      <c r="J1480" s="34" t="s">
        <v>1700</v>
      </c>
      <c r="K1480" s="34" t="s">
        <v>12</v>
      </c>
    </row>
    <row r="1481" ht="33.75" spans="1:11">
      <c r="A1481" s="34">
        <v>1480</v>
      </c>
      <c r="B1481" s="29" t="s">
        <v>1800</v>
      </c>
      <c r="C1481" s="29" t="str">
        <f>VLOOKUP(B1481,教育部大学名单!$B$1:$D$2920,3,FALSE)</f>
        <v>山西省</v>
      </c>
      <c r="D1481" s="29" t="s">
        <v>151</v>
      </c>
      <c r="E1481" s="29" t="s">
        <v>160</v>
      </c>
      <c r="F1481" s="36" t="str">
        <f>IFERROR(VLOOKUP(B1481,'985'!$B$2:$D$40,3,FALSE),"")</f>
        <v/>
      </c>
      <c r="G1481" s="32" t="str">
        <f>IFERROR(VLOOKUP(B1481,'211'!$B$2:$D$116,3,FALSE),"")</f>
        <v/>
      </c>
      <c r="H1481" s="32" t="str">
        <f>IFERROR(VLOOKUP(B1481,双一流!$B$2:$D$148,3,FALSE),"")</f>
        <v/>
      </c>
      <c r="I1481" s="32">
        <f>IFERROR(VLOOKUP(B1481,汇总!$B$2:$I$2921,8,FALSE),"")</f>
        <v>0</v>
      </c>
      <c r="J1481" s="29" t="s">
        <v>1700</v>
      </c>
      <c r="K1481" s="29" t="s">
        <v>12</v>
      </c>
    </row>
    <row r="1482" ht="33.75" spans="1:11">
      <c r="A1482" s="29">
        <v>1481</v>
      </c>
      <c r="B1482" s="34" t="s">
        <v>1801</v>
      </c>
      <c r="C1482" s="29" t="str">
        <f>VLOOKUP(B1482,教育部大学名单!$B$1:$D$2920,3,FALSE)</f>
        <v>山西省</v>
      </c>
      <c r="D1482" s="34" t="s">
        <v>151</v>
      </c>
      <c r="E1482" s="34" t="s">
        <v>181</v>
      </c>
      <c r="F1482" s="36" t="str">
        <f>IFERROR(VLOOKUP(B1482,'985'!$B$2:$D$40,3,FALSE),"")</f>
        <v/>
      </c>
      <c r="G1482" s="32" t="str">
        <f>IFERROR(VLOOKUP(B1482,'211'!$B$2:$D$116,3,FALSE),"")</f>
        <v/>
      </c>
      <c r="H1482" s="32" t="str">
        <f>IFERROR(VLOOKUP(B1482,双一流!$B$2:$D$148,3,FALSE),"")</f>
        <v/>
      </c>
      <c r="I1482" s="32">
        <f>IFERROR(VLOOKUP(B1482,汇总!$B$2:$I$2921,8,FALSE),"")</f>
        <v>0</v>
      </c>
      <c r="J1482" s="34" t="s">
        <v>1700</v>
      </c>
      <c r="K1482" s="34" t="s">
        <v>12</v>
      </c>
    </row>
    <row r="1483" ht="33.75" spans="1:11">
      <c r="A1483" s="34">
        <v>1482</v>
      </c>
      <c r="B1483" s="29" t="s">
        <v>1802</v>
      </c>
      <c r="C1483" s="29" t="str">
        <f>VLOOKUP(B1483,教育部大学名单!$B$1:$D$2920,3,FALSE)</f>
        <v>山西省</v>
      </c>
      <c r="D1483" s="29" t="s">
        <v>151</v>
      </c>
      <c r="E1483" s="29" t="s">
        <v>152</v>
      </c>
      <c r="F1483" s="36" t="str">
        <f>IFERROR(VLOOKUP(B1483,'985'!$B$2:$D$40,3,FALSE),"")</f>
        <v/>
      </c>
      <c r="G1483" s="32" t="str">
        <f>IFERROR(VLOOKUP(B1483,'211'!$B$2:$D$116,3,FALSE),"")</f>
        <v/>
      </c>
      <c r="H1483" s="32" t="str">
        <f>IFERROR(VLOOKUP(B1483,双一流!$B$2:$D$148,3,FALSE),"")</f>
        <v/>
      </c>
      <c r="I1483" s="32" t="str">
        <f>IFERROR(VLOOKUP(B1483,汇总!$B$2:$I$2921,8,FALSE),"")</f>
        <v>理工</v>
      </c>
      <c r="J1483" s="29" t="s">
        <v>1700</v>
      </c>
      <c r="K1483" s="29" t="s">
        <v>12</v>
      </c>
    </row>
    <row r="1484" ht="33.75" spans="1:11">
      <c r="A1484" s="29">
        <v>1483</v>
      </c>
      <c r="B1484" s="34" t="s">
        <v>1803</v>
      </c>
      <c r="C1484" s="29" t="str">
        <f>VLOOKUP(B1484,教育部大学名单!$B$1:$D$2920,3,FALSE)</f>
        <v>山西省</v>
      </c>
      <c r="D1484" s="34" t="s">
        <v>151</v>
      </c>
      <c r="E1484" s="34" t="s">
        <v>170</v>
      </c>
      <c r="F1484" s="36" t="str">
        <f>IFERROR(VLOOKUP(B1484,'985'!$B$2:$D$40,3,FALSE),"")</f>
        <v/>
      </c>
      <c r="G1484" s="32" t="str">
        <f>IFERROR(VLOOKUP(B1484,'211'!$B$2:$D$116,3,FALSE),"")</f>
        <v/>
      </c>
      <c r="H1484" s="32" t="str">
        <f>IFERROR(VLOOKUP(B1484,双一流!$B$2:$D$148,3,FALSE),"")</f>
        <v/>
      </c>
      <c r="I1484" s="32" t="str">
        <f>IFERROR(VLOOKUP(B1484,汇总!$B$2:$I$2921,8,FALSE),"")</f>
        <v>综合</v>
      </c>
      <c r="J1484" s="34" t="s">
        <v>1700</v>
      </c>
      <c r="K1484" s="34" t="s">
        <v>12</v>
      </c>
    </row>
    <row r="1485" ht="33.75" spans="1:11">
      <c r="A1485" s="34">
        <v>1484</v>
      </c>
      <c r="B1485" s="29" t="s">
        <v>1804</v>
      </c>
      <c r="C1485" s="29" t="str">
        <f>VLOOKUP(B1485,教育部大学名单!$B$1:$D$2920,3,FALSE)</f>
        <v>山西省</v>
      </c>
      <c r="D1485" s="29" t="s">
        <v>151</v>
      </c>
      <c r="E1485" s="29" t="s">
        <v>157</v>
      </c>
      <c r="F1485" s="36" t="str">
        <f>IFERROR(VLOOKUP(B1485,'985'!$B$2:$D$40,3,FALSE),"")</f>
        <v/>
      </c>
      <c r="G1485" s="32" t="str">
        <f>IFERROR(VLOOKUP(B1485,'211'!$B$2:$D$116,3,FALSE),"")</f>
        <v/>
      </c>
      <c r="H1485" s="32" t="str">
        <f>IFERROR(VLOOKUP(B1485,双一流!$B$2:$D$148,3,FALSE),"")</f>
        <v/>
      </c>
      <c r="I1485" s="32" t="str">
        <f>IFERROR(VLOOKUP(B1485,汇总!$B$2:$I$2921,8,FALSE),"")</f>
        <v>综合</v>
      </c>
      <c r="J1485" s="29" t="s">
        <v>1700</v>
      </c>
      <c r="K1485" s="29" t="s">
        <v>12</v>
      </c>
    </row>
    <row r="1486" ht="50.25" spans="1:11">
      <c r="A1486" s="29">
        <v>1485</v>
      </c>
      <c r="B1486" s="34" t="s">
        <v>1805</v>
      </c>
      <c r="C1486" s="29" t="str">
        <f>VLOOKUP(B1486,教育部大学名单!$B$1:$D$2920,3,FALSE)</f>
        <v>山西省</v>
      </c>
      <c r="D1486" s="34" t="s">
        <v>151</v>
      </c>
      <c r="E1486" s="34" t="s">
        <v>168</v>
      </c>
      <c r="F1486" s="36" t="str">
        <f>IFERROR(VLOOKUP(B1486,'985'!$B$2:$D$40,3,FALSE),"")</f>
        <v/>
      </c>
      <c r="G1486" s="32" t="str">
        <f>IFERROR(VLOOKUP(B1486,'211'!$B$2:$D$116,3,FALSE),"")</f>
        <v/>
      </c>
      <c r="H1486" s="32" t="str">
        <f>IFERROR(VLOOKUP(B1486,双一流!$B$2:$D$148,3,FALSE),"")</f>
        <v/>
      </c>
      <c r="I1486" s="32">
        <f>IFERROR(VLOOKUP(B1486,汇总!$B$2:$I$2921,8,FALSE),"")</f>
        <v>0</v>
      </c>
      <c r="J1486" s="34" t="s">
        <v>1700</v>
      </c>
      <c r="K1486" s="34" t="s">
        <v>12</v>
      </c>
    </row>
    <row r="1487" ht="50.25" spans="1:11">
      <c r="A1487" s="34">
        <v>1486</v>
      </c>
      <c r="B1487" s="29" t="s">
        <v>1806</v>
      </c>
      <c r="C1487" s="29" t="str">
        <f>VLOOKUP(B1487,教育部大学名单!$B$1:$D$2920,3,FALSE)</f>
        <v>山西省</v>
      </c>
      <c r="D1487" s="29" t="s">
        <v>151</v>
      </c>
      <c r="E1487" s="29" t="s">
        <v>168</v>
      </c>
      <c r="F1487" s="36" t="str">
        <f>IFERROR(VLOOKUP(B1487,'985'!$B$2:$D$40,3,FALSE),"")</f>
        <v/>
      </c>
      <c r="G1487" s="32" t="str">
        <f>IFERROR(VLOOKUP(B1487,'211'!$B$2:$D$116,3,FALSE),"")</f>
        <v/>
      </c>
      <c r="H1487" s="32" t="str">
        <f>IFERROR(VLOOKUP(B1487,双一流!$B$2:$D$148,3,FALSE),"")</f>
        <v/>
      </c>
      <c r="I1487" s="32" t="str">
        <f>IFERROR(VLOOKUP(B1487,汇总!$B$2:$I$2921,8,FALSE),"")</f>
        <v>师范</v>
      </c>
      <c r="J1487" s="29" t="s">
        <v>1700</v>
      </c>
      <c r="K1487" s="29" t="s">
        <v>12</v>
      </c>
    </row>
    <row r="1488" ht="33.75" spans="1:11">
      <c r="A1488" s="29">
        <v>1487</v>
      </c>
      <c r="B1488" s="34" t="s">
        <v>1807</v>
      </c>
      <c r="C1488" s="29" t="str">
        <f>VLOOKUP(B1488,教育部大学名单!$B$1:$D$2920,3,FALSE)</f>
        <v>山西省</v>
      </c>
      <c r="D1488" s="34" t="s">
        <v>151</v>
      </c>
      <c r="E1488" s="34" t="s">
        <v>152</v>
      </c>
      <c r="F1488" s="36" t="str">
        <f>IFERROR(VLOOKUP(B1488,'985'!$B$2:$D$40,3,FALSE),"")</f>
        <v/>
      </c>
      <c r="G1488" s="32" t="str">
        <f>IFERROR(VLOOKUP(B1488,'211'!$B$2:$D$116,3,FALSE),"")</f>
        <v/>
      </c>
      <c r="H1488" s="32" t="str">
        <f>IFERROR(VLOOKUP(B1488,双一流!$B$2:$D$148,3,FALSE),"")</f>
        <v/>
      </c>
      <c r="I1488" s="32" t="str">
        <f>IFERROR(VLOOKUP(B1488,汇总!$B$2:$I$2921,8,FALSE),"")</f>
        <v>财经</v>
      </c>
      <c r="J1488" s="34" t="s">
        <v>1700</v>
      </c>
      <c r="K1488" s="34" t="s">
        <v>12</v>
      </c>
    </row>
    <row r="1489" ht="33.75" spans="1:11">
      <c r="A1489" s="34">
        <v>1488</v>
      </c>
      <c r="B1489" s="29" t="s">
        <v>1808</v>
      </c>
      <c r="C1489" s="29" t="str">
        <f>VLOOKUP(B1489,教育部大学名单!$B$1:$D$2920,3,FALSE)</f>
        <v>山西省</v>
      </c>
      <c r="D1489" s="29" t="s">
        <v>151</v>
      </c>
      <c r="E1489" s="29" t="s">
        <v>179</v>
      </c>
      <c r="F1489" s="36" t="str">
        <f>IFERROR(VLOOKUP(B1489,'985'!$B$2:$D$40,3,FALSE),"")</f>
        <v/>
      </c>
      <c r="G1489" s="32" t="str">
        <f>IFERROR(VLOOKUP(B1489,'211'!$B$2:$D$116,3,FALSE),"")</f>
        <v/>
      </c>
      <c r="H1489" s="32" t="str">
        <f>IFERROR(VLOOKUP(B1489,双一流!$B$2:$D$148,3,FALSE),"")</f>
        <v/>
      </c>
      <c r="I1489" s="32">
        <f>IFERROR(VLOOKUP(B1489,汇总!$B$2:$I$2921,8,FALSE),"")</f>
        <v>0</v>
      </c>
      <c r="J1489" s="29" t="s">
        <v>1700</v>
      </c>
      <c r="K1489" s="29" t="s">
        <v>12</v>
      </c>
    </row>
    <row r="1490" ht="33.75" spans="1:11">
      <c r="A1490" s="29">
        <v>1489</v>
      </c>
      <c r="B1490" s="34" t="s">
        <v>1809</v>
      </c>
      <c r="C1490" s="29" t="str">
        <f>VLOOKUP(B1490,教育部大学名单!$B$1:$D$2920,3,FALSE)</f>
        <v>山西省</v>
      </c>
      <c r="D1490" s="34" t="s">
        <v>151</v>
      </c>
      <c r="E1490" s="34" t="s">
        <v>152</v>
      </c>
      <c r="F1490" s="36" t="str">
        <f>IFERROR(VLOOKUP(B1490,'985'!$B$2:$D$40,3,FALSE),"")</f>
        <v/>
      </c>
      <c r="G1490" s="32" t="str">
        <f>IFERROR(VLOOKUP(B1490,'211'!$B$2:$D$116,3,FALSE),"")</f>
        <v/>
      </c>
      <c r="H1490" s="32" t="str">
        <f>IFERROR(VLOOKUP(B1490,双一流!$B$2:$D$148,3,FALSE),"")</f>
        <v/>
      </c>
      <c r="I1490" s="32" t="str">
        <f>IFERROR(VLOOKUP(B1490,汇总!$B$2:$I$2921,8,FALSE),"")</f>
        <v>理工</v>
      </c>
      <c r="J1490" s="34" t="s">
        <v>1700</v>
      </c>
      <c r="K1490" s="34" t="s">
        <v>12</v>
      </c>
    </row>
    <row r="1491" ht="33.75" spans="1:11">
      <c r="A1491" s="34">
        <v>1490</v>
      </c>
      <c r="B1491" s="29" t="s">
        <v>1810</v>
      </c>
      <c r="C1491" s="29" t="str">
        <f>VLOOKUP(B1491,教育部大学名单!$B$1:$D$2920,3,FALSE)</f>
        <v>山西省</v>
      </c>
      <c r="D1491" s="29" t="s">
        <v>151</v>
      </c>
      <c r="E1491" s="29" t="s">
        <v>157</v>
      </c>
      <c r="F1491" s="36" t="str">
        <f>IFERROR(VLOOKUP(B1491,'985'!$B$2:$D$40,3,FALSE),"")</f>
        <v/>
      </c>
      <c r="G1491" s="32" t="str">
        <f>IFERROR(VLOOKUP(B1491,'211'!$B$2:$D$116,3,FALSE),"")</f>
        <v/>
      </c>
      <c r="H1491" s="32" t="str">
        <f>IFERROR(VLOOKUP(B1491,双一流!$B$2:$D$148,3,FALSE),"")</f>
        <v/>
      </c>
      <c r="I1491" s="32" t="str">
        <f>IFERROR(VLOOKUP(B1491,汇总!$B$2:$I$2921,8,FALSE),"")</f>
        <v>师范</v>
      </c>
      <c r="J1491" s="29" t="s">
        <v>1700</v>
      </c>
      <c r="K1491" s="29" t="s">
        <v>12</v>
      </c>
    </row>
    <row r="1492" ht="33.75" spans="1:11">
      <c r="A1492" s="29">
        <v>1491</v>
      </c>
      <c r="B1492" s="34" t="s">
        <v>1811</v>
      </c>
      <c r="C1492" s="29" t="str">
        <f>VLOOKUP(B1492,教育部大学名单!$B$1:$D$2920,3,FALSE)</f>
        <v>山西省</v>
      </c>
      <c r="D1492" s="34" t="s">
        <v>151</v>
      </c>
      <c r="E1492" s="34" t="s">
        <v>187</v>
      </c>
      <c r="F1492" s="36" t="str">
        <f>IFERROR(VLOOKUP(B1492,'985'!$B$2:$D$40,3,FALSE),"")</f>
        <v/>
      </c>
      <c r="G1492" s="32" t="str">
        <f>IFERROR(VLOOKUP(B1492,'211'!$B$2:$D$116,3,FALSE),"")</f>
        <v/>
      </c>
      <c r="H1492" s="32" t="str">
        <f>IFERROR(VLOOKUP(B1492,双一流!$B$2:$D$148,3,FALSE),"")</f>
        <v/>
      </c>
      <c r="I1492" s="32">
        <f>IFERROR(VLOOKUP(B1492,汇总!$B$2:$I$2921,8,FALSE),"")</f>
        <v>0</v>
      </c>
      <c r="J1492" s="34" t="s">
        <v>1700</v>
      </c>
      <c r="K1492" s="34" t="s">
        <v>12</v>
      </c>
    </row>
    <row r="1493" ht="33.75" spans="1:11">
      <c r="A1493" s="34">
        <v>1492</v>
      </c>
      <c r="B1493" s="29" t="s">
        <v>1812</v>
      </c>
      <c r="C1493" s="29" t="str">
        <f>VLOOKUP(B1493,教育部大学名单!$B$1:$D$2920,3,FALSE)</f>
        <v>山西省</v>
      </c>
      <c r="D1493" s="29" t="s">
        <v>151</v>
      </c>
      <c r="E1493" s="29" t="s">
        <v>168</v>
      </c>
      <c r="F1493" s="36" t="str">
        <f>IFERROR(VLOOKUP(B1493,'985'!$B$2:$D$40,3,FALSE),"")</f>
        <v/>
      </c>
      <c r="G1493" s="32" t="str">
        <f>IFERROR(VLOOKUP(B1493,'211'!$B$2:$D$116,3,FALSE),"")</f>
        <v/>
      </c>
      <c r="H1493" s="32" t="str">
        <f>IFERROR(VLOOKUP(B1493,双一流!$B$2:$D$148,3,FALSE),"")</f>
        <v/>
      </c>
      <c r="I1493" s="32" t="str">
        <f>IFERROR(VLOOKUP(B1493,汇总!$B$2:$I$2921,8,FALSE),"")</f>
        <v>医药</v>
      </c>
      <c r="J1493" s="29" t="s">
        <v>1700</v>
      </c>
      <c r="K1493" s="29" t="s">
        <v>12</v>
      </c>
    </row>
    <row r="1494" ht="33.75" spans="1:11">
      <c r="A1494" s="29">
        <v>1493</v>
      </c>
      <c r="B1494" s="34" t="s">
        <v>1813</v>
      </c>
      <c r="C1494" s="29" t="str">
        <f>VLOOKUP(B1494,教育部大学名单!$B$1:$D$2920,3,FALSE)</f>
        <v>山西省</v>
      </c>
      <c r="D1494" s="34" t="s">
        <v>151</v>
      </c>
      <c r="E1494" s="34" t="s">
        <v>168</v>
      </c>
      <c r="F1494" s="36" t="str">
        <f>IFERROR(VLOOKUP(B1494,'985'!$B$2:$D$40,3,FALSE),"")</f>
        <v/>
      </c>
      <c r="G1494" s="32" t="str">
        <f>IFERROR(VLOOKUP(B1494,'211'!$B$2:$D$116,3,FALSE),"")</f>
        <v/>
      </c>
      <c r="H1494" s="32" t="str">
        <f>IFERROR(VLOOKUP(B1494,双一流!$B$2:$D$148,3,FALSE),"")</f>
        <v/>
      </c>
      <c r="I1494" s="32" t="str">
        <f>IFERROR(VLOOKUP(B1494,汇总!$B$2:$I$2921,8,FALSE),"")</f>
        <v>师范</v>
      </c>
      <c r="J1494" s="34" t="s">
        <v>1700</v>
      </c>
      <c r="K1494" s="34" t="s">
        <v>12</v>
      </c>
    </row>
    <row r="1495" ht="33.75" spans="1:11">
      <c r="A1495" s="34">
        <v>1494</v>
      </c>
      <c r="B1495" s="29" t="s">
        <v>1814</v>
      </c>
      <c r="C1495" s="29" t="str">
        <f>VLOOKUP(B1495,教育部大学名单!$B$1:$D$2920,3,FALSE)</f>
        <v>山西省</v>
      </c>
      <c r="D1495" s="29" t="s">
        <v>151</v>
      </c>
      <c r="E1495" s="29" t="s">
        <v>179</v>
      </c>
      <c r="F1495" s="36" t="str">
        <f>IFERROR(VLOOKUP(B1495,'985'!$B$2:$D$40,3,FALSE),"")</f>
        <v/>
      </c>
      <c r="G1495" s="32" t="str">
        <f>IFERROR(VLOOKUP(B1495,'211'!$B$2:$D$116,3,FALSE),"")</f>
        <v/>
      </c>
      <c r="H1495" s="32" t="str">
        <f>IFERROR(VLOOKUP(B1495,双一流!$B$2:$D$148,3,FALSE),"")</f>
        <v/>
      </c>
      <c r="I1495" s="32" t="str">
        <f>IFERROR(VLOOKUP(B1495,汇总!$B$2:$I$2921,8,FALSE),"")</f>
        <v>师范</v>
      </c>
      <c r="J1495" s="29" t="s">
        <v>1700</v>
      </c>
      <c r="K1495" s="29" t="s">
        <v>12</v>
      </c>
    </row>
    <row r="1496" ht="33.75" spans="1:11">
      <c r="A1496" s="29">
        <v>1495</v>
      </c>
      <c r="B1496" s="34" t="s">
        <v>1815</v>
      </c>
      <c r="C1496" s="29" t="str">
        <f>VLOOKUP(B1496,教育部大学名单!$B$1:$D$2920,3,FALSE)</f>
        <v>山西省</v>
      </c>
      <c r="D1496" s="34" t="s">
        <v>151</v>
      </c>
      <c r="E1496" s="34" t="s">
        <v>174</v>
      </c>
      <c r="F1496" s="36" t="str">
        <f>IFERROR(VLOOKUP(B1496,'985'!$B$2:$D$40,3,FALSE),"")</f>
        <v/>
      </c>
      <c r="G1496" s="32" t="str">
        <f>IFERROR(VLOOKUP(B1496,'211'!$B$2:$D$116,3,FALSE),"")</f>
        <v/>
      </c>
      <c r="H1496" s="32" t="str">
        <f>IFERROR(VLOOKUP(B1496,双一流!$B$2:$D$148,3,FALSE),"")</f>
        <v/>
      </c>
      <c r="I1496" s="32">
        <f>IFERROR(VLOOKUP(B1496,汇总!$B$2:$I$2921,8,FALSE),"")</f>
        <v>0</v>
      </c>
      <c r="J1496" s="34" t="s">
        <v>1700</v>
      </c>
      <c r="K1496" s="34" t="s">
        <v>12</v>
      </c>
    </row>
    <row r="1497" ht="33.75" spans="1:11">
      <c r="A1497" s="34">
        <v>1496</v>
      </c>
      <c r="B1497" s="29" t="s">
        <v>1816</v>
      </c>
      <c r="C1497" s="29" t="str">
        <f>VLOOKUP(B1497,教育部大学名单!$B$1:$D$2920,3,FALSE)</f>
        <v>山西省</v>
      </c>
      <c r="D1497" s="29" t="s">
        <v>151</v>
      </c>
      <c r="E1497" s="29" t="s">
        <v>164</v>
      </c>
      <c r="F1497" s="36" t="str">
        <f>IFERROR(VLOOKUP(B1497,'985'!$B$2:$D$40,3,FALSE),"")</f>
        <v/>
      </c>
      <c r="G1497" s="32" t="str">
        <f>IFERROR(VLOOKUP(B1497,'211'!$B$2:$D$116,3,FALSE),"")</f>
        <v/>
      </c>
      <c r="H1497" s="32" t="str">
        <f>IFERROR(VLOOKUP(B1497,双一流!$B$2:$D$148,3,FALSE),"")</f>
        <v/>
      </c>
      <c r="I1497" s="32">
        <f>IFERROR(VLOOKUP(B1497,汇总!$B$2:$I$2921,8,FALSE),"")</f>
        <v>0</v>
      </c>
      <c r="J1497" s="29" t="s">
        <v>1700</v>
      </c>
      <c r="K1497" s="29" t="s">
        <v>12</v>
      </c>
    </row>
    <row r="1498" ht="50.25" spans="1:11">
      <c r="A1498" s="29">
        <v>1497</v>
      </c>
      <c r="B1498" s="34" t="s">
        <v>1817</v>
      </c>
      <c r="C1498" s="29" t="str">
        <f>VLOOKUP(B1498,教育部大学名单!$B$1:$D$2920,3,FALSE)</f>
        <v>山西省</v>
      </c>
      <c r="D1498" s="34" t="s">
        <v>151</v>
      </c>
      <c r="E1498" s="34" t="s">
        <v>152</v>
      </c>
      <c r="F1498" s="36" t="str">
        <f>IFERROR(VLOOKUP(B1498,'985'!$B$2:$D$40,3,FALSE),"")</f>
        <v/>
      </c>
      <c r="G1498" s="32" t="str">
        <f>IFERROR(VLOOKUP(B1498,'211'!$B$2:$D$116,3,FALSE),"")</f>
        <v/>
      </c>
      <c r="H1498" s="32" t="str">
        <f>IFERROR(VLOOKUP(B1498,双一流!$B$2:$D$148,3,FALSE),"")</f>
        <v/>
      </c>
      <c r="I1498" s="32">
        <f>IFERROR(VLOOKUP(B1498,汇总!$B$2:$I$2921,8,FALSE),"")</f>
        <v>0</v>
      </c>
      <c r="J1498" s="34" t="s">
        <v>1700</v>
      </c>
      <c r="K1498" s="34" t="s">
        <v>12</v>
      </c>
    </row>
    <row r="1499" ht="33.75" spans="1:11">
      <c r="A1499" s="34">
        <v>1498</v>
      </c>
      <c r="B1499" s="29" t="s">
        <v>1818</v>
      </c>
      <c r="C1499" s="29" t="str">
        <f>VLOOKUP(B1499,教育部大学名单!$B$1:$D$2920,3,FALSE)</f>
        <v>山西省</v>
      </c>
      <c r="D1499" s="29" t="s">
        <v>151</v>
      </c>
      <c r="E1499" s="29" t="s">
        <v>152</v>
      </c>
      <c r="F1499" s="36" t="str">
        <f>IFERROR(VLOOKUP(B1499,'985'!$B$2:$D$40,3,FALSE),"")</f>
        <v/>
      </c>
      <c r="G1499" s="32" t="str">
        <f>IFERROR(VLOOKUP(B1499,'211'!$B$2:$D$116,3,FALSE),"")</f>
        <v/>
      </c>
      <c r="H1499" s="32" t="str">
        <f>IFERROR(VLOOKUP(B1499,双一流!$B$2:$D$148,3,FALSE),"")</f>
        <v/>
      </c>
      <c r="I1499" s="32" t="str">
        <f>IFERROR(VLOOKUP(B1499,汇总!$B$2:$I$2921,8,FALSE),"")</f>
        <v>理工</v>
      </c>
      <c r="J1499" s="29" t="s">
        <v>1700</v>
      </c>
      <c r="K1499" s="29" t="s">
        <v>12</v>
      </c>
    </row>
    <row r="1500" ht="50.25" spans="1:11">
      <c r="A1500" s="29">
        <v>1499</v>
      </c>
      <c r="B1500" s="34" t="s">
        <v>1819</v>
      </c>
      <c r="C1500" s="29" t="str">
        <f>VLOOKUP(B1500,教育部大学名单!$B$1:$D$2920,3,FALSE)</f>
        <v>山西省</v>
      </c>
      <c r="D1500" s="34" t="s">
        <v>151</v>
      </c>
      <c r="E1500" s="34" t="s">
        <v>160</v>
      </c>
      <c r="F1500" s="36" t="str">
        <f>IFERROR(VLOOKUP(B1500,'985'!$B$2:$D$40,3,FALSE),"")</f>
        <v/>
      </c>
      <c r="G1500" s="32" t="str">
        <f>IFERROR(VLOOKUP(B1500,'211'!$B$2:$D$116,3,FALSE),"")</f>
        <v/>
      </c>
      <c r="H1500" s="32" t="str">
        <f>IFERROR(VLOOKUP(B1500,双一流!$B$2:$D$148,3,FALSE),"")</f>
        <v/>
      </c>
      <c r="I1500" s="32">
        <f>IFERROR(VLOOKUP(B1500,汇总!$B$2:$I$2921,8,FALSE),"")</f>
        <v>0</v>
      </c>
      <c r="J1500" s="34" t="s">
        <v>1700</v>
      </c>
      <c r="K1500" s="34" t="s">
        <v>12</v>
      </c>
    </row>
    <row r="1501" ht="50.25" spans="1:11">
      <c r="A1501" s="34">
        <v>1500</v>
      </c>
      <c r="B1501" s="29" t="s">
        <v>1820</v>
      </c>
      <c r="C1501" s="29" t="str">
        <f>VLOOKUP(B1501,教育部大学名单!$B$1:$D$2920,3,FALSE)</f>
        <v>山西省</v>
      </c>
      <c r="D1501" s="29" t="s">
        <v>151</v>
      </c>
      <c r="E1501" s="29" t="s">
        <v>164</v>
      </c>
      <c r="F1501" s="36" t="str">
        <f>IFERROR(VLOOKUP(B1501,'985'!$B$2:$D$40,3,FALSE),"")</f>
        <v/>
      </c>
      <c r="G1501" s="32" t="str">
        <f>IFERROR(VLOOKUP(B1501,'211'!$B$2:$D$116,3,FALSE),"")</f>
        <v/>
      </c>
      <c r="H1501" s="32" t="str">
        <f>IFERROR(VLOOKUP(B1501,双一流!$B$2:$D$148,3,FALSE),"")</f>
        <v/>
      </c>
      <c r="I1501" s="32">
        <f>IFERROR(VLOOKUP(B1501,汇总!$B$2:$I$2921,8,FALSE),"")</f>
        <v>0</v>
      </c>
      <c r="J1501" s="29" t="s">
        <v>1700</v>
      </c>
      <c r="K1501" s="29" t="s">
        <v>12</v>
      </c>
    </row>
    <row r="1502" ht="33.75" spans="1:11">
      <c r="A1502" s="29">
        <v>1501</v>
      </c>
      <c r="B1502" s="34" t="s">
        <v>1821</v>
      </c>
      <c r="C1502" s="29" t="str">
        <f>VLOOKUP(B1502,教育部大学名单!$B$1:$D$2920,3,FALSE)</f>
        <v>山西省</v>
      </c>
      <c r="D1502" s="34" t="s">
        <v>151</v>
      </c>
      <c r="E1502" s="34" t="s">
        <v>179</v>
      </c>
      <c r="F1502" s="36" t="str">
        <f>IFERROR(VLOOKUP(B1502,'985'!$B$2:$D$40,3,FALSE),"")</f>
        <v/>
      </c>
      <c r="G1502" s="32" t="str">
        <f>IFERROR(VLOOKUP(B1502,'211'!$B$2:$D$116,3,FALSE),"")</f>
        <v/>
      </c>
      <c r="H1502" s="32" t="str">
        <f>IFERROR(VLOOKUP(B1502,双一流!$B$2:$D$148,3,FALSE),"")</f>
        <v/>
      </c>
      <c r="I1502" s="32">
        <f>IFERROR(VLOOKUP(B1502,汇总!$B$2:$I$2921,8,FALSE),"")</f>
        <v>0</v>
      </c>
      <c r="J1502" s="34" t="s">
        <v>1700</v>
      </c>
      <c r="K1502" s="34" t="s">
        <v>12</v>
      </c>
    </row>
    <row r="1503" ht="33.75" spans="1:11">
      <c r="A1503" s="34">
        <v>1502</v>
      </c>
      <c r="B1503" s="29" t="s">
        <v>1822</v>
      </c>
      <c r="C1503" s="29" t="str">
        <f>VLOOKUP(B1503,教育部大学名单!$B$1:$D$2920,3,FALSE)</f>
        <v>山西省</v>
      </c>
      <c r="D1503" s="29" t="s">
        <v>151</v>
      </c>
      <c r="E1503" s="29" t="s">
        <v>152</v>
      </c>
      <c r="F1503" s="36" t="str">
        <f>IFERROR(VLOOKUP(B1503,'985'!$B$2:$D$40,3,FALSE),"")</f>
        <v/>
      </c>
      <c r="G1503" s="32" t="str">
        <f>IFERROR(VLOOKUP(B1503,'211'!$B$2:$D$116,3,FALSE),"")</f>
        <v/>
      </c>
      <c r="H1503" s="32" t="str">
        <f>IFERROR(VLOOKUP(B1503,双一流!$B$2:$D$148,3,FALSE),"")</f>
        <v/>
      </c>
      <c r="I1503" s="32" t="str">
        <f>IFERROR(VLOOKUP(B1503,汇总!$B$2:$I$2921,8,FALSE),"")</f>
        <v>医药</v>
      </c>
      <c r="J1503" s="29" t="s">
        <v>1700</v>
      </c>
      <c r="K1503" s="29" t="s">
        <v>12</v>
      </c>
    </row>
    <row r="1504" ht="33.75" spans="1:11">
      <c r="A1504" s="29">
        <v>1503</v>
      </c>
      <c r="B1504" s="34" t="s">
        <v>1823</v>
      </c>
      <c r="C1504" s="29" t="str">
        <f>VLOOKUP(B1504,教育部大学名单!$B$1:$D$2920,3,FALSE)</f>
        <v>内蒙古自治区</v>
      </c>
      <c r="D1504" s="34" t="s">
        <v>191</v>
      </c>
      <c r="E1504" s="34" t="s">
        <v>194</v>
      </c>
      <c r="F1504" s="36" t="str">
        <f>IFERROR(VLOOKUP(B1504,'985'!$B$2:$D$40,3,FALSE),"")</f>
        <v/>
      </c>
      <c r="G1504" s="32" t="str">
        <f>IFERROR(VLOOKUP(B1504,'211'!$B$2:$D$116,3,FALSE),"")</f>
        <v/>
      </c>
      <c r="H1504" s="32" t="str">
        <f>IFERROR(VLOOKUP(B1504,双一流!$B$2:$D$148,3,FALSE),"")</f>
        <v/>
      </c>
      <c r="I1504" s="32" t="str">
        <f>IFERROR(VLOOKUP(B1504,汇总!$B$2:$I$2921,8,FALSE),"")</f>
        <v>理工</v>
      </c>
      <c r="J1504" s="34" t="s">
        <v>1700</v>
      </c>
      <c r="K1504" s="34" t="s">
        <v>12</v>
      </c>
    </row>
    <row r="1505" ht="33.75" spans="1:11">
      <c r="A1505" s="34">
        <v>1504</v>
      </c>
      <c r="B1505" s="29" t="s">
        <v>1824</v>
      </c>
      <c r="C1505" s="29" t="str">
        <f>VLOOKUP(B1505,教育部大学名单!$B$1:$D$2920,3,FALSE)</f>
        <v>内蒙古自治区</v>
      </c>
      <c r="D1505" s="29" t="s">
        <v>191</v>
      </c>
      <c r="E1505" s="29" t="s">
        <v>194</v>
      </c>
      <c r="F1505" s="36" t="str">
        <f>IFERROR(VLOOKUP(B1505,'985'!$B$2:$D$40,3,FALSE),"")</f>
        <v/>
      </c>
      <c r="G1505" s="32" t="str">
        <f>IFERROR(VLOOKUP(B1505,'211'!$B$2:$D$116,3,FALSE),"")</f>
        <v/>
      </c>
      <c r="H1505" s="32" t="str">
        <f>IFERROR(VLOOKUP(B1505,双一流!$B$2:$D$148,3,FALSE),"")</f>
        <v/>
      </c>
      <c r="I1505" s="32" t="str">
        <f>IFERROR(VLOOKUP(B1505,汇总!$B$2:$I$2921,8,FALSE),"")</f>
        <v>理工</v>
      </c>
      <c r="J1505" s="29" t="s">
        <v>1700</v>
      </c>
      <c r="K1505" s="29" t="s">
        <v>12</v>
      </c>
    </row>
    <row r="1506" ht="50.25" spans="1:11">
      <c r="A1506" s="29">
        <v>1505</v>
      </c>
      <c r="B1506" s="34" t="s">
        <v>1825</v>
      </c>
      <c r="C1506" s="29" t="str">
        <f>VLOOKUP(B1506,教育部大学名单!$B$1:$D$2920,3,FALSE)</f>
        <v>内蒙古自治区</v>
      </c>
      <c r="D1506" s="34" t="s">
        <v>191</v>
      </c>
      <c r="E1506" s="34" t="s">
        <v>192</v>
      </c>
      <c r="F1506" s="36" t="str">
        <f>IFERROR(VLOOKUP(B1506,'985'!$B$2:$D$40,3,FALSE),"")</f>
        <v/>
      </c>
      <c r="G1506" s="32" t="str">
        <f>IFERROR(VLOOKUP(B1506,'211'!$B$2:$D$116,3,FALSE),"")</f>
        <v/>
      </c>
      <c r="H1506" s="32" t="str">
        <f>IFERROR(VLOOKUP(B1506,双一流!$B$2:$D$148,3,FALSE),"")</f>
        <v/>
      </c>
      <c r="I1506" s="32" t="str">
        <f>IFERROR(VLOOKUP(B1506,汇总!$B$2:$I$2921,8,FALSE),"")</f>
        <v>理工</v>
      </c>
      <c r="J1506" s="34" t="s">
        <v>1700</v>
      </c>
      <c r="K1506" s="34" t="s">
        <v>12</v>
      </c>
    </row>
    <row r="1507" ht="50.25" spans="1:11">
      <c r="A1507" s="34">
        <v>1506</v>
      </c>
      <c r="B1507" s="29" t="s">
        <v>1826</v>
      </c>
      <c r="C1507" s="29" t="str">
        <f>VLOOKUP(B1507,教育部大学名单!$B$1:$D$2920,3,FALSE)</f>
        <v>内蒙古自治区</v>
      </c>
      <c r="D1507" s="29" t="s">
        <v>191</v>
      </c>
      <c r="E1507" s="29" t="s">
        <v>192</v>
      </c>
      <c r="F1507" s="36" t="str">
        <f>IFERROR(VLOOKUP(B1507,'985'!$B$2:$D$40,3,FALSE),"")</f>
        <v/>
      </c>
      <c r="G1507" s="32" t="str">
        <f>IFERROR(VLOOKUP(B1507,'211'!$B$2:$D$116,3,FALSE),"")</f>
        <v/>
      </c>
      <c r="H1507" s="32" t="str">
        <f>IFERROR(VLOOKUP(B1507,双一流!$B$2:$D$148,3,FALSE),"")</f>
        <v/>
      </c>
      <c r="I1507" s="32" t="str">
        <f>IFERROR(VLOOKUP(B1507,汇总!$B$2:$I$2921,8,FALSE),"")</f>
        <v>理工</v>
      </c>
      <c r="J1507" s="29" t="s">
        <v>1700</v>
      </c>
      <c r="K1507" s="29" t="s">
        <v>12</v>
      </c>
    </row>
    <row r="1508" ht="33.75" spans="1:11">
      <c r="A1508" s="29">
        <v>1507</v>
      </c>
      <c r="B1508" s="34" t="s">
        <v>1827</v>
      </c>
      <c r="C1508" s="29" t="str">
        <f>VLOOKUP(B1508,教育部大学名单!$B$1:$D$2920,3,FALSE)</f>
        <v>内蒙古自治区</v>
      </c>
      <c r="D1508" s="34" t="s">
        <v>191</v>
      </c>
      <c r="E1508" s="34" t="s">
        <v>192</v>
      </c>
      <c r="F1508" s="36" t="str">
        <f>IFERROR(VLOOKUP(B1508,'985'!$B$2:$D$40,3,FALSE),"")</f>
        <v/>
      </c>
      <c r="G1508" s="32" t="str">
        <f>IFERROR(VLOOKUP(B1508,'211'!$B$2:$D$116,3,FALSE),"")</f>
        <v/>
      </c>
      <c r="H1508" s="32" t="str">
        <f>IFERROR(VLOOKUP(B1508,双一流!$B$2:$D$148,3,FALSE),"")</f>
        <v/>
      </c>
      <c r="I1508" s="32" t="str">
        <f>IFERROR(VLOOKUP(B1508,汇总!$B$2:$I$2921,8,FALSE),"")</f>
        <v>理工</v>
      </c>
      <c r="J1508" s="34" t="s">
        <v>1700</v>
      </c>
      <c r="K1508" s="34" t="s">
        <v>12</v>
      </c>
    </row>
    <row r="1509" ht="33.75" spans="1:11">
      <c r="A1509" s="34">
        <v>1508</v>
      </c>
      <c r="B1509" s="29" t="s">
        <v>1828</v>
      </c>
      <c r="C1509" s="29" t="str">
        <f>VLOOKUP(B1509,教育部大学名单!$B$1:$D$2920,3,FALSE)</f>
        <v>内蒙古自治区</v>
      </c>
      <c r="D1509" s="29" t="s">
        <v>191</v>
      </c>
      <c r="E1509" s="29" t="s">
        <v>192</v>
      </c>
      <c r="F1509" s="36" t="str">
        <f>IFERROR(VLOOKUP(B1509,'985'!$B$2:$D$40,3,FALSE),"")</f>
        <v/>
      </c>
      <c r="G1509" s="32" t="str">
        <f>IFERROR(VLOOKUP(B1509,'211'!$B$2:$D$116,3,FALSE),"")</f>
        <v/>
      </c>
      <c r="H1509" s="32" t="str">
        <f>IFERROR(VLOOKUP(B1509,双一流!$B$2:$D$148,3,FALSE),"")</f>
        <v/>
      </c>
      <c r="I1509" s="32" t="str">
        <f>IFERROR(VLOOKUP(B1509,汇总!$B$2:$I$2921,8,FALSE),"")</f>
        <v>综合</v>
      </c>
      <c r="J1509" s="29" t="s">
        <v>1700</v>
      </c>
      <c r="K1509" s="29" t="s">
        <v>12</v>
      </c>
    </row>
    <row r="1510" ht="33.75" spans="1:11">
      <c r="A1510" s="29">
        <v>1509</v>
      </c>
      <c r="B1510" s="34" t="s">
        <v>1829</v>
      </c>
      <c r="C1510" s="29" t="str">
        <f>VLOOKUP(B1510,教育部大学名单!$B$1:$D$2920,3,FALSE)</f>
        <v>内蒙古自治区</v>
      </c>
      <c r="D1510" s="34" t="s">
        <v>191</v>
      </c>
      <c r="E1510" s="34" t="s">
        <v>1830</v>
      </c>
      <c r="F1510" s="36" t="str">
        <f>IFERROR(VLOOKUP(B1510,'985'!$B$2:$D$40,3,FALSE),"")</f>
        <v/>
      </c>
      <c r="G1510" s="32" t="str">
        <f>IFERROR(VLOOKUP(B1510,'211'!$B$2:$D$116,3,FALSE),"")</f>
        <v/>
      </c>
      <c r="H1510" s="32" t="str">
        <f>IFERROR(VLOOKUP(B1510,双一流!$B$2:$D$148,3,FALSE),"")</f>
        <v/>
      </c>
      <c r="I1510" s="32" t="str">
        <f>IFERROR(VLOOKUP(B1510,汇总!$B$2:$I$2921,8,FALSE),"")</f>
        <v>综合</v>
      </c>
      <c r="J1510" s="34" t="s">
        <v>1700</v>
      </c>
      <c r="K1510" s="34" t="s">
        <v>12</v>
      </c>
    </row>
    <row r="1511" ht="33.75" spans="1:11">
      <c r="A1511" s="34">
        <v>1510</v>
      </c>
      <c r="B1511" s="29" t="s">
        <v>1831</v>
      </c>
      <c r="C1511" s="29" t="str">
        <f>VLOOKUP(B1511,教育部大学名单!$B$1:$D$2920,3,FALSE)</f>
        <v>内蒙古自治区</v>
      </c>
      <c r="D1511" s="29" t="s">
        <v>191</v>
      </c>
      <c r="E1511" s="29" t="s">
        <v>192</v>
      </c>
      <c r="F1511" s="36" t="str">
        <f>IFERROR(VLOOKUP(B1511,'985'!$B$2:$D$40,3,FALSE),"")</f>
        <v/>
      </c>
      <c r="G1511" s="32" t="str">
        <f>IFERROR(VLOOKUP(B1511,'211'!$B$2:$D$116,3,FALSE),"")</f>
        <v/>
      </c>
      <c r="H1511" s="32" t="str">
        <f>IFERROR(VLOOKUP(B1511,双一流!$B$2:$D$148,3,FALSE),"")</f>
        <v/>
      </c>
      <c r="I1511" s="32">
        <f>IFERROR(VLOOKUP(B1511,汇总!$B$2:$I$2921,8,FALSE),"")</f>
        <v>0</v>
      </c>
      <c r="J1511" s="29" t="s">
        <v>1700</v>
      </c>
      <c r="K1511" s="29" t="s">
        <v>12</v>
      </c>
    </row>
    <row r="1512" ht="33.75" spans="1:11">
      <c r="A1512" s="29">
        <v>1511</v>
      </c>
      <c r="B1512" s="34" t="s">
        <v>1832</v>
      </c>
      <c r="C1512" s="29" t="str">
        <f>VLOOKUP(B1512,教育部大学名单!$B$1:$D$2920,3,FALSE)</f>
        <v>内蒙古自治区</v>
      </c>
      <c r="D1512" s="34" t="s">
        <v>191</v>
      </c>
      <c r="E1512" s="34" t="s">
        <v>207</v>
      </c>
      <c r="F1512" s="36" t="str">
        <f>IFERROR(VLOOKUP(B1512,'985'!$B$2:$D$40,3,FALSE),"")</f>
        <v/>
      </c>
      <c r="G1512" s="32" t="str">
        <f>IFERROR(VLOOKUP(B1512,'211'!$B$2:$D$116,3,FALSE),"")</f>
        <v/>
      </c>
      <c r="H1512" s="32" t="str">
        <f>IFERROR(VLOOKUP(B1512,双一流!$B$2:$D$148,3,FALSE),"")</f>
        <v/>
      </c>
      <c r="I1512" s="32" t="str">
        <f>IFERROR(VLOOKUP(B1512,汇总!$B$2:$I$2921,8,FALSE),"")</f>
        <v>综合</v>
      </c>
      <c r="J1512" s="34" t="s">
        <v>1700</v>
      </c>
      <c r="K1512" s="34" t="s">
        <v>12</v>
      </c>
    </row>
    <row r="1513" ht="33.75" spans="1:11">
      <c r="A1513" s="34">
        <v>1512</v>
      </c>
      <c r="B1513" s="29" t="s">
        <v>1833</v>
      </c>
      <c r="C1513" s="29" t="str">
        <f>VLOOKUP(B1513,教育部大学名单!$B$1:$D$2920,3,FALSE)</f>
        <v>内蒙古自治区</v>
      </c>
      <c r="D1513" s="29" t="s">
        <v>191</v>
      </c>
      <c r="E1513" s="29" t="s">
        <v>200</v>
      </c>
      <c r="F1513" s="36" t="str">
        <f>IFERROR(VLOOKUP(B1513,'985'!$B$2:$D$40,3,FALSE),"")</f>
        <v/>
      </c>
      <c r="G1513" s="32" t="str">
        <f>IFERROR(VLOOKUP(B1513,'211'!$B$2:$D$116,3,FALSE),"")</f>
        <v/>
      </c>
      <c r="H1513" s="32" t="str">
        <f>IFERROR(VLOOKUP(B1513,双一流!$B$2:$D$148,3,FALSE),"")</f>
        <v/>
      </c>
      <c r="I1513" s="32" t="str">
        <f>IFERROR(VLOOKUP(B1513,汇总!$B$2:$I$2921,8,FALSE),"")</f>
        <v>综合</v>
      </c>
      <c r="J1513" s="29" t="s">
        <v>1700</v>
      </c>
      <c r="K1513" s="29" t="s">
        <v>12</v>
      </c>
    </row>
    <row r="1514" ht="33.75" spans="1:11">
      <c r="A1514" s="29">
        <v>1513</v>
      </c>
      <c r="B1514" s="34" t="s">
        <v>1834</v>
      </c>
      <c r="C1514" s="29" t="str">
        <f>VLOOKUP(B1514,教育部大学名单!$B$1:$D$2920,3,FALSE)</f>
        <v>内蒙古自治区</v>
      </c>
      <c r="D1514" s="34" t="s">
        <v>191</v>
      </c>
      <c r="E1514" s="34" t="s">
        <v>200</v>
      </c>
      <c r="F1514" s="36" t="str">
        <f>IFERROR(VLOOKUP(B1514,'985'!$B$2:$D$40,3,FALSE),"")</f>
        <v/>
      </c>
      <c r="G1514" s="32" t="str">
        <f>IFERROR(VLOOKUP(B1514,'211'!$B$2:$D$116,3,FALSE),"")</f>
        <v/>
      </c>
      <c r="H1514" s="32" t="str">
        <f>IFERROR(VLOOKUP(B1514,双一流!$B$2:$D$148,3,FALSE),"")</f>
        <v/>
      </c>
      <c r="I1514" s="32">
        <f>IFERROR(VLOOKUP(B1514,汇总!$B$2:$I$2921,8,FALSE),"")</f>
        <v>0</v>
      </c>
      <c r="J1514" s="34" t="s">
        <v>1700</v>
      </c>
      <c r="K1514" s="34" t="s">
        <v>12</v>
      </c>
    </row>
    <row r="1515" ht="50.25" spans="1:11">
      <c r="A1515" s="34">
        <v>1514</v>
      </c>
      <c r="B1515" s="29" t="s">
        <v>1835</v>
      </c>
      <c r="C1515" s="29" t="str">
        <f>VLOOKUP(B1515,教育部大学名单!$B$1:$D$2920,3,FALSE)</f>
        <v>内蒙古自治区</v>
      </c>
      <c r="D1515" s="29" t="s">
        <v>191</v>
      </c>
      <c r="E1515" s="29" t="s">
        <v>202</v>
      </c>
      <c r="F1515" s="36" t="str">
        <f>IFERROR(VLOOKUP(B1515,'985'!$B$2:$D$40,3,FALSE),"")</f>
        <v/>
      </c>
      <c r="G1515" s="32" t="str">
        <f>IFERROR(VLOOKUP(B1515,'211'!$B$2:$D$116,3,FALSE),"")</f>
        <v/>
      </c>
      <c r="H1515" s="32" t="str">
        <f>IFERROR(VLOOKUP(B1515,双一流!$B$2:$D$148,3,FALSE),"")</f>
        <v/>
      </c>
      <c r="I1515" s="32" t="str">
        <f>IFERROR(VLOOKUP(B1515,汇总!$B$2:$I$2921,8,FALSE),"")</f>
        <v>理工</v>
      </c>
      <c r="J1515" s="29" t="s">
        <v>1700</v>
      </c>
      <c r="K1515" s="29" t="s">
        <v>12</v>
      </c>
    </row>
    <row r="1516" ht="33.75" spans="1:11">
      <c r="A1516" s="29">
        <v>1515</v>
      </c>
      <c r="B1516" s="34" t="s">
        <v>1836</v>
      </c>
      <c r="C1516" s="29" t="str">
        <f>VLOOKUP(B1516,教育部大学名单!$B$1:$D$2920,3,FALSE)</f>
        <v>内蒙古自治区</v>
      </c>
      <c r="D1516" s="34" t="s">
        <v>191</v>
      </c>
      <c r="E1516" s="34" t="s">
        <v>194</v>
      </c>
      <c r="F1516" s="36" t="str">
        <f>IFERROR(VLOOKUP(B1516,'985'!$B$2:$D$40,3,FALSE),"")</f>
        <v/>
      </c>
      <c r="G1516" s="32" t="str">
        <f>IFERROR(VLOOKUP(B1516,'211'!$B$2:$D$116,3,FALSE),"")</f>
        <v/>
      </c>
      <c r="H1516" s="32" t="str">
        <f>IFERROR(VLOOKUP(B1516,双一流!$B$2:$D$148,3,FALSE),"")</f>
        <v/>
      </c>
      <c r="I1516" s="32" t="str">
        <f>IFERROR(VLOOKUP(B1516,汇总!$B$2:$I$2921,8,FALSE),"")</f>
        <v>理工</v>
      </c>
      <c r="J1516" s="34" t="s">
        <v>1700</v>
      </c>
      <c r="K1516" s="34" t="s">
        <v>12</v>
      </c>
    </row>
    <row r="1517" ht="33.75" spans="1:11">
      <c r="A1517" s="34">
        <v>1516</v>
      </c>
      <c r="B1517" s="29" t="s">
        <v>1837</v>
      </c>
      <c r="C1517" s="29" t="str">
        <f>VLOOKUP(B1517,教育部大学名单!$B$1:$D$2920,3,FALSE)</f>
        <v>内蒙古自治区</v>
      </c>
      <c r="D1517" s="29" t="s">
        <v>191</v>
      </c>
      <c r="E1517" s="29" t="s">
        <v>1838</v>
      </c>
      <c r="F1517" s="36" t="str">
        <f>IFERROR(VLOOKUP(B1517,'985'!$B$2:$D$40,3,FALSE),"")</f>
        <v/>
      </c>
      <c r="G1517" s="32" t="str">
        <f>IFERROR(VLOOKUP(B1517,'211'!$B$2:$D$116,3,FALSE),"")</f>
        <v/>
      </c>
      <c r="H1517" s="32" t="str">
        <f>IFERROR(VLOOKUP(B1517,双一流!$B$2:$D$148,3,FALSE),"")</f>
        <v/>
      </c>
      <c r="I1517" s="32" t="str">
        <f>IFERROR(VLOOKUP(B1517,汇总!$B$2:$I$2921,8,FALSE),"")</f>
        <v>理工</v>
      </c>
      <c r="J1517" s="29" t="s">
        <v>1700</v>
      </c>
      <c r="K1517" s="29" t="s">
        <v>12</v>
      </c>
    </row>
    <row r="1518" ht="33.75" spans="1:11">
      <c r="A1518" s="29">
        <v>1517</v>
      </c>
      <c r="B1518" s="34" t="s">
        <v>1839</v>
      </c>
      <c r="C1518" s="29" t="str">
        <f>VLOOKUP(B1518,教育部大学名单!$B$1:$D$2920,3,FALSE)</f>
        <v>内蒙古自治区</v>
      </c>
      <c r="D1518" s="34" t="s">
        <v>191</v>
      </c>
      <c r="E1518" s="34" t="s">
        <v>194</v>
      </c>
      <c r="F1518" s="36" t="str">
        <f>IFERROR(VLOOKUP(B1518,'985'!$B$2:$D$40,3,FALSE),"")</f>
        <v/>
      </c>
      <c r="G1518" s="32" t="str">
        <f>IFERROR(VLOOKUP(B1518,'211'!$B$2:$D$116,3,FALSE),"")</f>
        <v/>
      </c>
      <c r="H1518" s="32" t="str">
        <f>IFERROR(VLOOKUP(B1518,双一流!$B$2:$D$148,3,FALSE),"")</f>
        <v/>
      </c>
      <c r="I1518" s="32" t="str">
        <f>IFERROR(VLOOKUP(B1518,汇总!$B$2:$I$2921,8,FALSE),"")</f>
        <v>理工</v>
      </c>
      <c r="J1518" s="34" t="s">
        <v>1700</v>
      </c>
      <c r="K1518" s="34" t="s">
        <v>12</v>
      </c>
    </row>
    <row r="1519" ht="50.25" spans="1:11">
      <c r="A1519" s="34">
        <v>1518</v>
      </c>
      <c r="B1519" s="29" t="s">
        <v>1840</v>
      </c>
      <c r="C1519" s="29" t="str">
        <f>VLOOKUP(B1519,教育部大学名单!$B$1:$D$2920,3,FALSE)</f>
        <v>内蒙古自治区</v>
      </c>
      <c r="D1519" s="29" t="s">
        <v>191</v>
      </c>
      <c r="E1519" s="29" t="s">
        <v>207</v>
      </c>
      <c r="F1519" s="36" t="str">
        <f>IFERROR(VLOOKUP(B1519,'985'!$B$2:$D$40,3,FALSE),"")</f>
        <v/>
      </c>
      <c r="G1519" s="32" t="str">
        <f>IFERROR(VLOOKUP(B1519,'211'!$B$2:$D$116,3,FALSE),"")</f>
        <v/>
      </c>
      <c r="H1519" s="32" t="str">
        <f>IFERROR(VLOOKUP(B1519,双一流!$B$2:$D$148,3,FALSE),"")</f>
        <v/>
      </c>
      <c r="I1519" s="32">
        <f>IFERROR(VLOOKUP(B1519,汇总!$B$2:$I$2921,8,FALSE),"")</f>
        <v>0</v>
      </c>
      <c r="J1519" s="29" t="s">
        <v>1700</v>
      </c>
      <c r="K1519" s="29" t="s">
        <v>12</v>
      </c>
    </row>
    <row r="1520" ht="33.75" spans="1:11">
      <c r="A1520" s="29">
        <v>1519</v>
      </c>
      <c r="B1520" s="34" t="s">
        <v>1841</v>
      </c>
      <c r="C1520" s="29" t="str">
        <f>VLOOKUP(B1520,教育部大学名单!$B$1:$D$2920,3,FALSE)</f>
        <v>内蒙古自治区</v>
      </c>
      <c r="D1520" s="34" t="s">
        <v>191</v>
      </c>
      <c r="E1520" s="34" t="s">
        <v>213</v>
      </c>
      <c r="F1520" s="36" t="str">
        <f>IFERROR(VLOOKUP(B1520,'985'!$B$2:$D$40,3,FALSE),"")</f>
        <v/>
      </c>
      <c r="G1520" s="32" t="str">
        <f>IFERROR(VLOOKUP(B1520,'211'!$B$2:$D$116,3,FALSE),"")</f>
        <v/>
      </c>
      <c r="H1520" s="32" t="str">
        <f>IFERROR(VLOOKUP(B1520,双一流!$B$2:$D$148,3,FALSE),"")</f>
        <v/>
      </c>
      <c r="I1520" s="32" t="str">
        <f>IFERROR(VLOOKUP(B1520,汇总!$B$2:$I$2921,8,FALSE),"")</f>
        <v>综合</v>
      </c>
      <c r="J1520" s="34" t="s">
        <v>1700</v>
      </c>
      <c r="K1520" s="34" t="s">
        <v>12</v>
      </c>
    </row>
    <row r="1521" ht="33.75" spans="1:11">
      <c r="A1521" s="34">
        <v>1520</v>
      </c>
      <c r="B1521" s="29" t="s">
        <v>1842</v>
      </c>
      <c r="C1521" s="29" t="str">
        <f>VLOOKUP(B1521,教育部大学名单!$B$1:$D$2920,3,FALSE)</f>
        <v>内蒙古自治区</v>
      </c>
      <c r="D1521" s="29" t="s">
        <v>191</v>
      </c>
      <c r="E1521" s="29" t="s">
        <v>205</v>
      </c>
      <c r="F1521" s="36" t="str">
        <f>IFERROR(VLOOKUP(B1521,'985'!$B$2:$D$40,3,FALSE),"")</f>
        <v/>
      </c>
      <c r="G1521" s="32" t="str">
        <f>IFERROR(VLOOKUP(B1521,'211'!$B$2:$D$116,3,FALSE),"")</f>
        <v/>
      </c>
      <c r="H1521" s="32" t="str">
        <f>IFERROR(VLOOKUP(B1521,双一流!$B$2:$D$148,3,FALSE),"")</f>
        <v/>
      </c>
      <c r="I1521" s="32" t="str">
        <f>IFERROR(VLOOKUP(B1521,汇总!$B$2:$I$2921,8,FALSE),"")</f>
        <v>综合</v>
      </c>
      <c r="J1521" s="29" t="s">
        <v>1700</v>
      </c>
      <c r="K1521" s="29" t="s">
        <v>12</v>
      </c>
    </row>
    <row r="1522" ht="33.75" spans="1:11">
      <c r="A1522" s="29">
        <v>1521</v>
      </c>
      <c r="B1522" s="34" t="s">
        <v>1843</v>
      </c>
      <c r="C1522" s="29" t="str">
        <f>VLOOKUP(B1522,教育部大学名单!$B$1:$D$2920,3,FALSE)</f>
        <v>内蒙古自治区</v>
      </c>
      <c r="D1522" s="34" t="s">
        <v>191</v>
      </c>
      <c r="E1522" s="34" t="s">
        <v>205</v>
      </c>
      <c r="F1522" s="36" t="str">
        <f>IFERROR(VLOOKUP(B1522,'985'!$B$2:$D$40,3,FALSE),"")</f>
        <v/>
      </c>
      <c r="G1522" s="32" t="str">
        <f>IFERROR(VLOOKUP(B1522,'211'!$B$2:$D$116,3,FALSE),"")</f>
        <v/>
      </c>
      <c r="H1522" s="32" t="str">
        <f>IFERROR(VLOOKUP(B1522,双一流!$B$2:$D$148,3,FALSE),"")</f>
        <v/>
      </c>
      <c r="I1522" s="32">
        <f>IFERROR(VLOOKUP(B1522,汇总!$B$2:$I$2921,8,FALSE),"")</f>
        <v>0</v>
      </c>
      <c r="J1522" s="34" t="s">
        <v>1700</v>
      </c>
      <c r="K1522" s="34" t="s">
        <v>12</v>
      </c>
    </row>
    <row r="1523" ht="33.75" spans="1:11">
      <c r="A1523" s="34">
        <v>1522</v>
      </c>
      <c r="B1523" s="29" t="s">
        <v>1844</v>
      </c>
      <c r="C1523" s="29" t="str">
        <f>VLOOKUP(B1523,教育部大学名单!$B$1:$D$2920,3,FALSE)</f>
        <v>内蒙古自治区</v>
      </c>
      <c r="D1523" s="29" t="s">
        <v>191</v>
      </c>
      <c r="E1523" s="29" t="s">
        <v>202</v>
      </c>
      <c r="F1523" s="36" t="str">
        <f>IFERROR(VLOOKUP(B1523,'985'!$B$2:$D$40,3,FALSE),"")</f>
        <v/>
      </c>
      <c r="G1523" s="32" t="str">
        <f>IFERROR(VLOOKUP(B1523,'211'!$B$2:$D$116,3,FALSE),"")</f>
        <v/>
      </c>
      <c r="H1523" s="32" t="str">
        <f>IFERROR(VLOOKUP(B1523,双一流!$B$2:$D$148,3,FALSE),"")</f>
        <v/>
      </c>
      <c r="I1523" s="32" t="str">
        <f>IFERROR(VLOOKUP(B1523,汇总!$B$2:$I$2921,8,FALSE),"")</f>
        <v>理工</v>
      </c>
      <c r="J1523" s="29" t="s">
        <v>1700</v>
      </c>
      <c r="K1523" s="29" t="s">
        <v>12</v>
      </c>
    </row>
    <row r="1524" ht="33.75" spans="1:11">
      <c r="A1524" s="29">
        <v>1523</v>
      </c>
      <c r="B1524" s="34" t="s">
        <v>1845</v>
      </c>
      <c r="C1524" s="29" t="str">
        <f>VLOOKUP(B1524,教育部大学名单!$B$1:$D$2920,3,FALSE)</f>
        <v>内蒙古自治区</v>
      </c>
      <c r="D1524" s="34" t="s">
        <v>191</v>
      </c>
      <c r="E1524" s="34" t="s">
        <v>1846</v>
      </c>
      <c r="F1524" s="36" t="str">
        <f>IFERROR(VLOOKUP(B1524,'985'!$B$2:$D$40,3,FALSE),"")</f>
        <v/>
      </c>
      <c r="G1524" s="32" t="str">
        <f>IFERROR(VLOOKUP(B1524,'211'!$B$2:$D$116,3,FALSE),"")</f>
        <v/>
      </c>
      <c r="H1524" s="32" t="str">
        <f>IFERROR(VLOOKUP(B1524,双一流!$B$2:$D$148,3,FALSE),"")</f>
        <v/>
      </c>
      <c r="I1524" s="32" t="str">
        <f>IFERROR(VLOOKUP(B1524,汇总!$B$2:$I$2921,8,FALSE),"")</f>
        <v>综合</v>
      </c>
      <c r="J1524" s="34" t="s">
        <v>1700</v>
      </c>
      <c r="K1524" s="34" t="s">
        <v>12</v>
      </c>
    </row>
    <row r="1525" ht="50.25" spans="1:11">
      <c r="A1525" s="34">
        <v>1524</v>
      </c>
      <c r="B1525" s="29" t="s">
        <v>1847</v>
      </c>
      <c r="C1525" s="29" t="str">
        <f>VLOOKUP(B1525,教育部大学名单!$B$1:$D$2920,3,FALSE)</f>
        <v>内蒙古自治区</v>
      </c>
      <c r="D1525" s="29" t="s">
        <v>191</v>
      </c>
      <c r="E1525" s="29" t="s">
        <v>213</v>
      </c>
      <c r="F1525" s="36" t="str">
        <f>IFERROR(VLOOKUP(B1525,'985'!$B$2:$D$40,3,FALSE),"")</f>
        <v/>
      </c>
      <c r="G1525" s="32" t="str">
        <f>IFERROR(VLOOKUP(B1525,'211'!$B$2:$D$116,3,FALSE),"")</f>
        <v/>
      </c>
      <c r="H1525" s="32" t="str">
        <f>IFERROR(VLOOKUP(B1525,双一流!$B$2:$D$148,3,FALSE),"")</f>
        <v/>
      </c>
      <c r="I1525" s="32">
        <f>IFERROR(VLOOKUP(B1525,汇总!$B$2:$I$2921,8,FALSE),"")</f>
        <v>0</v>
      </c>
      <c r="J1525" s="29" t="s">
        <v>1700</v>
      </c>
      <c r="K1525" s="29" t="s">
        <v>12</v>
      </c>
    </row>
    <row r="1526" ht="50.25" spans="1:11">
      <c r="A1526" s="29">
        <v>1525</v>
      </c>
      <c r="B1526" s="34" t="s">
        <v>1848</v>
      </c>
      <c r="C1526" s="29" t="str">
        <f>VLOOKUP(B1526,教育部大学名单!$B$1:$D$2920,3,FALSE)</f>
        <v>内蒙古自治区</v>
      </c>
      <c r="D1526" s="34" t="s">
        <v>191</v>
      </c>
      <c r="E1526" s="34" t="s">
        <v>213</v>
      </c>
      <c r="F1526" s="36" t="str">
        <f>IFERROR(VLOOKUP(B1526,'985'!$B$2:$D$40,3,FALSE),"")</f>
        <v/>
      </c>
      <c r="G1526" s="32" t="str">
        <f>IFERROR(VLOOKUP(B1526,'211'!$B$2:$D$116,3,FALSE),"")</f>
        <v/>
      </c>
      <c r="H1526" s="32" t="str">
        <f>IFERROR(VLOOKUP(B1526,双一流!$B$2:$D$148,3,FALSE),"")</f>
        <v/>
      </c>
      <c r="I1526" s="32">
        <f>IFERROR(VLOOKUP(B1526,汇总!$B$2:$I$2921,8,FALSE),"")</f>
        <v>0</v>
      </c>
      <c r="J1526" s="34" t="s">
        <v>1700</v>
      </c>
      <c r="K1526" s="34" t="s">
        <v>12</v>
      </c>
    </row>
    <row r="1527" ht="33.75" spans="1:11">
      <c r="A1527" s="34">
        <v>1526</v>
      </c>
      <c r="B1527" s="29" t="s">
        <v>1849</v>
      </c>
      <c r="C1527" s="29" t="str">
        <f>VLOOKUP(B1527,教育部大学名单!$B$1:$D$2920,3,FALSE)</f>
        <v>内蒙古自治区</v>
      </c>
      <c r="D1527" s="29" t="s">
        <v>191</v>
      </c>
      <c r="E1527" s="29" t="s">
        <v>205</v>
      </c>
      <c r="F1527" s="36" t="str">
        <f>IFERROR(VLOOKUP(B1527,'985'!$B$2:$D$40,3,FALSE),"")</f>
        <v/>
      </c>
      <c r="G1527" s="32" t="str">
        <f>IFERROR(VLOOKUP(B1527,'211'!$B$2:$D$116,3,FALSE),"")</f>
        <v/>
      </c>
      <c r="H1527" s="32" t="str">
        <f>IFERROR(VLOOKUP(B1527,双一流!$B$2:$D$148,3,FALSE),"")</f>
        <v/>
      </c>
      <c r="I1527" s="32">
        <f>IFERROR(VLOOKUP(B1527,汇总!$B$2:$I$2921,8,FALSE),"")</f>
        <v>0</v>
      </c>
      <c r="J1527" s="29" t="s">
        <v>1700</v>
      </c>
      <c r="K1527" s="29" t="s">
        <v>12</v>
      </c>
    </row>
    <row r="1528" ht="33.75" spans="1:11">
      <c r="A1528" s="29">
        <v>1527</v>
      </c>
      <c r="B1528" s="34" t="s">
        <v>1850</v>
      </c>
      <c r="C1528" s="29" t="str">
        <f>VLOOKUP(B1528,教育部大学名单!$B$1:$D$2920,3,FALSE)</f>
        <v>内蒙古自治区</v>
      </c>
      <c r="D1528" s="34" t="s">
        <v>191</v>
      </c>
      <c r="E1528" s="34" t="s">
        <v>202</v>
      </c>
      <c r="F1528" s="36" t="str">
        <f>IFERROR(VLOOKUP(B1528,'985'!$B$2:$D$40,3,FALSE),"")</f>
        <v/>
      </c>
      <c r="G1528" s="32" t="str">
        <f>IFERROR(VLOOKUP(B1528,'211'!$B$2:$D$116,3,FALSE),"")</f>
        <v/>
      </c>
      <c r="H1528" s="32" t="str">
        <f>IFERROR(VLOOKUP(B1528,双一流!$B$2:$D$148,3,FALSE),"")</f>
        <v/>
      </c>
      <c r="I1528" s="32">
        <f>IFERROR(VLOOKUP(B1528,汇总!$B$2:$I$2921,8,FALSE),"")</f>
        <v>0</v>
      </c>
      <c r="J1528" s="34" t="s">
        <v>1700</v>
      </c>
      <c r="K1528" s="34" t="s">
        <v>12</v>
      </c>
    </row>
    <row r="1529" ht="33.75" spans="1:11">
      <c r="A1529" s="34">
        <v>1528</v>
      </c>
      <c r="B1529" s="29" t="s">
        <v>1851</v>
      </c>
      <c r="C1529" s="29" t="str">
        <f>VLOOKUP(B1529,教育部大学名单!$B$1:$D$2920,3,FALSE)</f>
        <v>辽宁省</v>
      </c>
      <c r="D1529" s="29" t="s">
        <v>220</v>
      </c>
      <c r="E1529" s="29" t="s">
        <v>233</v>
      </c>
      <c r="F1529" s="36" t="str">
        <f>IFERROR(VLOOKUP(B1529,'985'!$B$2:$D$40,3,FALSE),"")</f>
        <v/>
      </c>
      <c r="G1529" s="32" t="str">
        <f>IFERROR(VLOOKUP(B1529,'211'!$B$2:$D$116,3,FALSE),"")</f>
        <v/>
      </c>
      <c r="H1529" s="32" t="str">
        <f>IFERROR(VLOOKUP(B1529,双一流!$B$2:$D$148,3,FALSE),"")</f>
        <v/>
      </c>
      <c r="I1529" s="32" t="str">
        <f>IFERROR(VLOOKUP(B1529,汇总!$B$2:$I$2921,8,FALSE),"")</f>
        <v>师范</v>
      </c>
      <c r="J1529" s="29" t="s">
        <v>1700</v>
      </c>
      <c r="K1529" s="29" t="s">
        <v>12</v>
      </c>
    </row>
    <row r="1530" ht="33.75" spans="1:11">
      <c r="A1530" s="29">
        <v>1529</v>
      </c>
      <c r="B1530" s="34" t="s">
        <v>1852</v>
      </c>
      <c r="C1530" s="29" t="str">
        <f>VLOOKUP(B1530,教育部大学名单!$B$1:$D$2920,3,FALSE)</f>
        <v>辽宁省</v>
      </c>
      <c r="D1530" s="34" t="s">
        <v>220</v>
      </c>
      <c r="E1530" s="34" t="s">
        <v>240</v>
      </c>
      <c r="F1530" s="36" t="str">
        <f>IFERROR(VLOOKUP(B1530,'985'!$B$2:$D$40,3,FALSE),"")</f>
        <v/>
      </c>
      <c r="G1530" s="32" t="str">
        <f>IFERROR(VLOOKUP(B1530,'211'!$B$2:$D$116,3,FALSE),"")</f>
        <v/>
      </c>
      <c r="H1530" s="32" t="str">
        <f>IFERROR(VLOOKUP(B1530,双一流!$B$2:$D$148,3,FALSE),"")</f>
        <v/>
      </c>
      <c r="I1530" s="32" t="str">
        <f>IFERROR(VLOOKUP(B1530,汇总!$B$2:$I$2921,8,FALSE),"")</f>
        <v>师范</v>
      </c>
      <c r="J1530" s="34" t="s">
        <v>1700</v>
      </c>
      <c r="K1530" s="34" t="s">
        <v>12</v>
      </c>
    </row>
    <row r="1531" ht="33.75" spans="1:11">
      <c r="A1531" s="34">
        <v>1530</v>
      </c>
      <c r="B1531" s="29" t="s">
        <v>1853</v>
      </c>
      <c r="C1531" s="29" t="str">
        <f>VLOOKUP(B1531,教育部大学名单!$B$1:$D$2920,3,FALSE)</f>
        <v>辽宁省</v>
      </c>
      <c r="D1531" s="29" t="s">
        <v>220</v>
      </c>
      <c r="E1531" s="29" t="s">
        <v>269</v>
      </c>
      <c r="F1531" s="36" t="str">
        <f>IFERROR(VLOOKUP(B1531,'985'!$B$2:$D$40,3,FALSE),"")</f>
        <v/>
      </c>
      <c r="G1531" s="32" t="str">
        <f>IFERROR(VLOOKUP(B1531,'211'!$B$2:$D$116,3,FALSE),"")</f>
        <v/>
      </c>
      <c r="H1531" s="32" t="str">
        <f>IFERROR(VLOOKUP(B1531,双一流!$B$2:$D$148,3,FALSE),"")</f>
        <v/>
      </c>
      <c r="I1531" s="32" t="str">
        <f>IFERROR(VLOOKUP(B1531,汇总!$B$2:$I$2921,8,FALSE),"")</f>
        <v>综合</v>
      </c>
      <c r="J1531" s="29" t="s">
        <v>1700</v>
      </c>
      <c r="K1531" s="29" t="s">
        <v>12</v>
      </c>
    </row>
    <row r="1532" ht="33.75" spans="1:11">
      <c r="A1532" s="29">
        <v>1531</v>
      </c>
      <c r="B1532" s="34" t="s">
        <v>1854</v>
      </c>
      <c r="C1532" s="29" t="str">
        <f>VLOOKUP(B1532,教育部大学名单!$B$1:$D$2920,3,FALSE)</f>
        <v>辽宁省</v>
      </c>
      <c r="D1532" s="34" t="s">
        <v>220</v>
      </c>
      <c r="E1532" s="34" t="s">
        <v>1855</v>
      </c>
      <c r="F1532" s="36" t="str">
        <f>IFERROR(VLOOKUP(B1532,'985'!$B$2:$D$40,3,FALSE),"")</f>
        <v/>
      </c>
      <c r="G1532" s="32" t="str">
        <f>IFERROR(VLOOKUP(B1532,'211'!$B$2:$D$116,3,FALSE),"")</f>
        <v/>
      </c>
      <c r="H1532" s="32" t="str">
        <f>IFERROR(VLOOKUP(B1532,双一流!$B$2:$D$148,3,FALSE),"")</f>
        <v/>
      </c>
      <c r="I1532" s="32" t="str">
        <f>IFERROR(VLOOKUP(B1532,汇总!$B$2:$I$2921,8,FALSE),"")</f>
        <v>师范</v>
      </c>
      <c r="J1532" s="34" t="s">
        <v>1700</v>
      </c>
      <c r="K1532" s="34" t="s">
        <v>12</v>
      </c>
    </row>
    <row r="1533" ht="33.75" spans="1:11">
      <c r="A1533" s="34">
        <v>1532</v>
      </c>
      <c r="B1533" s="29" t="s">
        <v>1856</v>
      </c>
      <c r="C1533" s="29" t="str">
        <f>VLOOKUP(B1533,教育部大学名单!$B$1:$D$2920,3,FALSE)</f>
        <v>辽宁省</v>
      </c>
      <c r="D1533" s="29" t="s">
        <v>220</v>
      </c>
      <c r="E1533" s="29" t="s">
        <v>223</v>
      </c>
      <c r="F1533" s="36" t="str">
        <f>IFERROR(VLOOKUP(B1533,'985'!$B$2:$D$40,3,FALSE),"")</f>
        <v/>
      </c>
      <c r="G1533" s="32" t="str">
        <f>IFERROR(VLOOKUP(B1533,'211'!$B$2:$D$116,3,FALSE),"")</f>
        <v/>
      </c>
      <c r="H1533" s="32" t="str">
        <f>IFERROR(VLOOKUP(B1533,双一流!$B$2:$D$148,3,FALSE),"")</f>
        <v/>
      </c>
      <c r="I1533" s="32" t="str">
        <f>IFERROR(VLOOKUP(B1533,汇总!$B$2:$I$2921,8,FALSE),"")</f>
        <v>综合</v>
      </c>
      <c r="J1533" s="29" t="s">
        <v>1700</v>
      </c>
      <c r="K1533" s="29" t="s">
        <v>12</v>
      </c>
    </row>
    <row r="1534" ht="33.75" spans="1:11">
      <c r="A1534" s="29">
        <v>1533</v>
      </c>
      <c r="B1534" s="34" t="s">
        <v>1857</v>
      </c>
      <c r="C1534" s="29" t="str">
        <f>VLOOKUP(B1534,教育部大学名单!$B$1:$D$2920,3,FALSE)</f>
        <v>辽宁省</v>
      </c>
      <c r="D1534" s="34" t="s">
        <v>220</v>
      </c>
      <c r="E1534" s="34" t="s">
        <v>269</v>
      </c>
      <c r="F1534" s="36" t="str">
        <f>IFERROR(VLOOKUP(B1534,'985'!$B$2:$D$40,3,FALSE),"")</f>
        <v/>
      </c>
      <c r="G1534" s="32" t="str">
        <f>IFERROR(VLOOKUP(B1534,'211'!$B$2:$D$116,3,FALSE),"")</f>
        <v/>
      </c>
      <c r="H1534" s="32" t="str">
        <f>IFERROR(VLOOKUP(B1534,双一流!$B$2:$D$148,3,FALSE),"")</f>
        <v/>
      </c>
      <c r="I1534" s="32" t="str">
        <f>IFERROR(VLOOKUP(B1534,汇总!$B$2:$I$2921,8,FALSE),"")</f>
        <v>农林</v>
      </c>
      <c r="J1534" s="34" t="s">
        <v>1700</v>
      </c>
      <c r="K1534" s="34" t="s">
        <v>12</v>
      </c>
    </row>
    <row r="1535" ht="33.75" spans="1:11">
      <c r="A1535" s="34">
        <v>1534</v>
      </c>
      <c r="B1535" s="29" t="s">
        <v>1858</v>
      </c>
      <c r="C1535" s="29" t="str">
        <f>VLOOKUP(B1535,教育部大学名单!$B$1:$D$2920,3,FALSE)</f>
        <v>辽宁省</v>
      </c>
      <c r="D1535" s="29" t="s">
        <v>220</v>
      </c>
      <c r="E1535" s="29" t="s">
        <v>233</v>
      </c>
      <c r="F1535" s="36" t="str">
        <f>IFERROR(VLOOKUP(B1535,'985'!$B$2:$D$40,3,FALSE),"")</f>
        <v/>
      </c>
      <c r="G1535" s="32" t="str">
        <f>IFERROR(VLOOKUP(B1535,'211'!$B$2:$D$116,3,FALSE),"")</f>
        <v/>
      </c>
      <c r="H1535" s="32" t="str">
        <f>IFERROR(VLOOKUP(B1535,双一流!$B$2:$D$148,3,FALSE),"")</f>
        <v/>
      </c>
      <c r="I1535" s="32" t="str">
        <f>IFERROR(VLOOKUP(B1535,汇总!$B$2:$I$2921,8,FALSE),"")</f>
        <v>综合</v>
      </c>
      <c r="J1535" s="29" t="s">
        <v>1700</v>
      </c>
      <c r="K1535" s="29" t="s">
        <v>12</v>
      </c>
    </row>
    <row r="1536" ht="33.75" spans="1:11">
      <c r="A1536" s="29">
        <v>1535</v>
      </c>
      <c r="B1536" s="34" t="s">
        <v>1859</v>
      </c>
      <c r="C1536" s="29" t="str">
        <f>VLOOKUP(B1536,教育部大学名单!$B$1:$D$2920,3,FALSE)</f>
        <v>辽宁省</v>
      </c>
      <c r="D1536" s="34" t="s">
        <v>220</v>
      </c>
      <c r="E1536" s="34" t="s">
        <v>1303</v>
      </c>
      <c r="F1536" s="36" t="str">
        <f>IFERROR(VLOOKUP(B1536,'985'!$B$2:$D$40,3,FALSE),"")</f>
        <v/>
      </c>
      <c r="G1536" s="32" t="str">
        <f>IFERROR(VLOOKUP(B1536,'211'!$B$2:$D$116,3,FALSE),"")</f>
        <v/>
      </c>
      <c r="H1536" s="32" t="str">
        <f>IFERROR(VLOOKUP(B1536,双一流!$B$2:$D$148,3,FALSE),"")</f>
        <v/>
      </c>
      <c r="I1536" s="32" t="str">
        <f>IFERROR(VLOOKUP(B1536,汇总!$B$2:$I$2921,8,FALSE),"")</f>
        <v>综合</v>
      </c>
      <c r="J1536" s="34" t="s">
        <v>1700</v>
      </c>
      <c r="K1536" s="34" t="s">
        <v>12</v>
      </c>
    </row>
    <row r="1537" ht="33.75" spans="1:11">
      <c r="A1537" s="34">
        <v>1536</v>
      </c>
      <c r="B1537" s="29" t="s">
        <v>1860</v>
      </c>
      <c r="C1537" s="29" t="str">
        <f>VLOOKUP(B1537,教育部大学名单!$B$1:$D$2920,3,FALSE)</f>
        <v>辽宁省</v>
      </c>
      <c r="D1537" s="29" t="s">
        <v>220</v>
      </c>
      <c r="E1537" s="29" t="s">
        <v>231</v>
      </c>
      <c r="F1537" s="36" t="str">
        <f>IFERROR(VLOOKUP(B1537,'985'!$B$2:$D$40,3,FALSE),"")</f>
        <v/>
      </c>
      <c r="G1537" s="32" t="str">
        <f>IFERROR(VLOOKUP(B1537,'211'!$B$2:$D$116,3,FALSE),"")</f>
        <v/>
      </c>
      <c r="H1537" s="32" t="str">
        <f>IFERROR(VLOOKUP(B1537,双一流!$B$2:$D$148,3,FALSE),"")</f>
        <v/>
      </c>
      <c r="I1537" s="32" t="str">
        <f>IFERROR(VLOOKUP(B1537,汇总!$B$2:$I$2921,8,FALSE),"")</f>
        <v>综合</v>
      </c>
      <c r="J1537" s="29" t="s">
        <v>1700</v>
      </c>
      <c r="K1537" s="29" t="s">
        <v>12</v>
      </c>
    </row>
    <row r="1538" ht="50.25" spans="1:11">
      <c r="A1538" s="29">
        <v>1537</v>
      </c>
      <c r="B1538" s="34" t="s">
        <v>1861</v>
      </c>
      <c r="C1538" s="29" t="str">
        <f>VLOOKUP(B1538,教育部大学名单!$B$1:$D$2920,3,FALSE)</f>
        <v>辽宁省</v>
      </c>
      <c r="D1538" s="34" t="s">
        <v>220</v>
      </c>
      <c r="E1538" s="34" t="s">
        <v>221</v>
      </c>
      <c r="F1538" s="36" t="str">
        <f>IFERROR(VLOOKUP(B1538,'985'!$B$2:$D$40,3,FALSE),"")</f>
        <v/>
      </c>
      <c r="G1538" s="32" t="str">
        <f>IFERROR(VLOOKUP(B1538,'211'!$B$2:$D$116,3,FALSE),"")</f>
        <v/>
      </c>
      <c r="H1538" s="32" t="str">
        <f>IFERROR(VLOOKUP(B1538,双一流!$B$2:$D$148,3,FALSE),"")</f>
        <v/>
      </c>
      <c r="I1538" s="32" t="str">
        <f>IFERROR(VLOOKUP(B1538,汇总!$B$2:$I$2921,8,FALSE),"")</f>
        <v>理工</v>
      </c>
      <c r="J1538" s="34" t="s">
        <v>1700</v>
      </c>
      <c r="K1538" s="34" t="s">
        <v>12</v>
      </c>
    </row>
    <row r="1539" ht="33.75" spans="1:11">
      <c r="A1539" s="34">
        <v>1538</v>
      </c>
      <c r="B1539" s="29" t="s">
        <v>1862</v>
      </c>
      <c r="C1539" s="29" t="str">
        <f>VLOOKUP(B1539,教育部大学名单!$B$1:$D$2920,3,FALSE)</f>
        <v>辽宁省</v>
      </c>
      <c r="D1539" s="29" t="s">
        <v>220</v>
      </c>
      <c r="E1539" s="29" t="s">
        <v>223</v>
      </c>
      <c r="F1539" s="36" t="str">
        <f>IFERROR(VLOOKUP(B1539,'985'!$B$2:$D$40,3,FALSE),"")</f>
        <v/>
      </c>
      <c r="G1539" s="32" t="str">
        <f>IFERROR(VLOOKUP(B1539,'211'!$B$2:$D$116,3,FALSE),"")</f>
        <v/>
      </c>
      <c r="H1539" s="32" t="str">
        <f>IFERROR(VLOOKUP(B1539,双一流!$B$2:$D$148,3,FALSE),"")</f>
        <v/>
      </c>
      <c r="I1539" s="32">
        <f>IFERROR(VLOOKUP(B1539,汇总!$B$2:$I$2921,8,FALSE),"")</f>
        <v>0</v>
      </c>
      <c r="J1539" s="29" t="s">
        <v>1700</v>
      </c>
      <c r="K1539" s="29" t="s">
        <v>12</v>
      </c>
    </row>
    <row r="1540" ht="33.75" spans="1:11">
      <c r="A1540" s="29">
        <v>1539</v>
      </c>
      <c r="B1540" s="34" t="s">
        <v>1863</v>
      </c>
      <c r="C1540" s="29" t="str">
        <f>VLOOKUP(B1540,教育部大学名单!$B$1:$D$2920,3,FALSE)</f>
        <v>辽宁省</v>
      </c>
      <c r="D1540" s="34" t="s">
        <v>220</v>
      </c>
      <c r="E1540" s="34" t="s">
        <v>1864</v>
      </c>
      <c r="F1540" s="36" t="str">
        <f>IFERROR(VLOOKUP(B1540,'985'!$B$2:$D$40,3,FALSE),"")</f>
        <v/>
      </c>
      <c r="G1540" s="32" t="str">
        <f>IFERROR(VLOOKUP(B1540,'211'!$B$2:$D$116,3,FALSE),"")</f>
        <v/>
      </c>
      <c r="H1540" s="32" t="str">
        <f>IFERROR(VLOOKUP(B1540,双一流!$B$2:$D$148,3,FALSE),"")</f>
        <v/>
      </c>
      <c r="I1540" s="32" t="str">
        <f>IFERROR(VLOOKUP(B1540,汇总!$B$2:$I$2921,8,FALSE),"")</f>
        <v>综合</v>
      </c>
      <c r="J1540" s="34" t="s">
        <v>1700</v>
      </c>
      <c r="K1540" s="34" t="s">
        <v>12</v>
      </c>
    </row>
    <row r="1541" ht="33.75" spans="1:11">
      <c r="A1541" s="34">
        <v>1540</v>
      </c>
      <c r="B1541" s="29" t="s">
        <v>1865</v>
      </c>
      <c r="C1541" s="29" t="str">
        <f>VLOOKUP(B1541,教育部大学名单!$B$1:$D$2920,3,FALSE)</f>
        <v>辽宁省</v>
      </c>
      <c r="D1541" s="29" t="s">
        <v>220</v>
      </c>
      <c r="E1541" s="29" t="s">
        <v>221</v>
      </c>
      <c r="F1541" s="36" t="str">
        <f>IFERROR(VLOOKUP(B1541,'985'!$B$2:$D$40,3,FALSE),"")</f>
        <v/>
      </c>
      <c r="G1541" s="32" t="str">
        <f>IFERROR(VLOOKUP(B1541,'211'!$B$2:$D$116,3,FALSE),"")</f>
        <v/>
      </c>
      <c r="H1541" s="32" t="str">
        <f>IFERROR(VLOOKUP(B1541,双一流!$B$2:$D$148,3,FALSE),"")</f>
        <v/>
      </c>
      <c r="I1541" s="32">
        <f>IFERROR(VLOOKUP(B1541,汇总!$B$2:$I$2921,8,FALSE),"")</f>
        <v>0</v>
      </c>
      <c r="J1541" s="29" t="s">
        <v>1700</v>
      </c>
      <c r="K1541" s="29" t="s">
        <v>12</v>
      </c>
    </row>
    <row r="1542" ht="50.25" spans="1:11">
      <c r="A1542" s="29">
        <v>1541</v>
      </c>
      <c r="B1542" s="34" t="s">
        <v>1866</v>
      </c>
      <c r="C1542" s="29" t="str">
        <f>VLOOKUP(B1542,教育部大学名单!$B$1:$D$2920,3,FALSE)</f>
        <v>辽宁省</v>
      </c>
      <c r="D1542" s="34" t="s">
        <v>220</v>
      </c>
      <c r="E1542" s="34" t="s">
        <v>221</v>
      </c>
      <c r="F1542" s="36" t="str">
        <f>IFERROR(VLOOKUP(B1542,'985'!$B$2:$D$40,3,FALSE),"")</f>
        <v/>
      </c>
      <c r="G1542" s="32" t="str">
        <f>IFERROR(VLOOKUP(B1542,'211'!$B$2:$D$116,3,FALSE),"")</f>
        <v/>
      </c>
      <c r="H1542" s="32" t="str">
        <f>IFERROR(VLOOKUP(B1542,双一流!$B$2:$D$148,3,FALSE),"")</f>
        <v/>
      </c>
      <c r="I1542" s="32">
        <f>IFERROR(VLOOKUP(B1542,汇总!$B$2:$I$2921,8,FALSE),"")</f>
        <v>0</v>
      </c>
      <c r="J1542" s="34" t="s">
        <v>1700</v>
      </c>
      <c r="K1542" s="34" t="s">
        <v>12</v>
      </c>
    </row>
    <row r="1543" ht="33.75" spans="1:11">
      <c r="A1543" s="34">
        <v>1542</v>
      </c>
      <c r="B1543" s="29" t="s">
        <v>1867</v>
      </c>
      <c r="C1543" s="29" t="str">
        <f>VLOOKUP(B1543,教育部大学名单!$B$1:$D$2920,3,FALSE)</f>
        <v>辽宁省</v>
      </c>
      <c r="D1543" s="29" t="s">
        <v>220</v>
      </c>
      <c r="E1543" s="29" t="s">
        <v>1855</v>
      </c>
      <c r="F1543" s="36" t="str">
        <f>IFERROR(VLOOKUP(B1543,'985'!$B$2:$D$40,3,FALSE),"")</f>
        <v/>
      </c>
      <c r="G1543" s="32" t="str">
        <f>IFERROR(VLOOKUP(B1543,'211'!$B$2:$D$116,3,FALSE),"")</f>
        <v/>
      </c>
      <c r="H1543" s="32" t="str">
        <f>IFERROR(VLOOKUP(B1543,双一流!$B$2:$D$148,3,FALSE),"")</f>
        <v/>
      </c>
      <c r="I1543" s="32" t="str">
        <f>IFERROR(VLOOKUP(B1543,汇总!$B$2:$I$2921,8,FALSE),"")</f>
        <v>综合</v>
      </c>
      <c r="J1543" s="29" t="s">
        <v>1700</v>
      </c>
      <c r="K1543" s="29" t="s">
        <v>12</v>
      </c>
    </row>
    <row r="1544" ht="33.75" spans="1:11">
      <c r="A1544" s="29">
        <v>1543</v>
      </c>
      <c r="B1544" s="34" t="s">
        <v>1868</v>
      </c>
      <c r="C1544" s="29" t="str">
        <f>VLOOKUP(B1544,教育部大学名单!$B$1:$D$2920,3,FALSE)</f>
        <v>辽宁省</v>
      </c>
      <c r="D1544" s="34" t="s">
        <v>220</v>
      </c>
      <c r="E1544" s="34" t="s">
        <v>221</v>
      </c>
      <c r="F1544" s="36" t="str">
        <f>IFERROR(VLOOKUP(B1544,'985'!$B$2:$D$40,3,FALSE),"")</f>
        <v/>
      </c>
      <c r="G1544" s="32" t="str">
        <f>IFERROR(VLOOKUP(B1544,'211'!$B$2:$D$116,3,FALSE),"")</f>
        <v/>
      </c>
      <c r="H1544" s="32" t="str">
        <f>IFERROR(VLOOKUP(B1544,双一流!$B$2:$D$148,3,FALSE),"")</f>
        <v/>
      </c>
      <c r="I1544" s="32" t="str">
        <f>IFERROR(VLOOKUP(B1544,汇总!$B$2:$I$2921,8,FALSE),"")</f>
        <v>农林</v>
      </c>
      <c r="J1544" s="34" t="s">
        <v>1700</v>
      </c>
      <c r="K1544" s="34" t="s">
        <v>12</v>
      </c>
    </row>
    <row r="1545" ht="33.75" spans="1:11">
      <c r="A1545" s="34">
        <v>1544</v>
      </c>
      <c r="B1545" s="29" t="s">
        <v>1869</v>
      </c>
      <c r="C1545" s="29" t="str">
        <f>VLOOKUP(B1545,教育部大学名单!$B$1:$D$2920,3,FALSE)</f>
        <v>辽宁省</v>
      </c>
      <c r="D1545" s="29" t="s">
        <v>220</v>
      </c>
      <c r="E1545" s="29" t="s">
        <v>221</v>
      </c>
      <c r="F1545" s="36" t="str">
        <f>IFERROR(VLOOKUP(B1545,'985'!$B$2:$D$40,3,FALSE),"")</f>
        <v/>
      </c>
      <c r="G1545" s="32" t="str">
        <f>IFERROR(VLOOKUP(B1545,'211'!$B$2:$D$116,3,FALSE),"")</f>
        <v/>
      </c>
      <c r="H1545" s="32" t="str">
        <f>IFERROR(VLOOKUP(B1545,双一流!$B$2:$D$148,3,FALSE),"")</f>
        <v/>
      </c>
      <c r="I1545" s="32" t="str">
        <f>IFERROR(VLOOKUP(B1545,汇总!$B$2:$I$2921,8,FALSE),"")</f>
        <v>综合</v>
      </c>
      <c r="J1545" s="29" t="s">
        <v>1700</v>
      </c>
      <c r="K1545" s="29" t="s">
        <v>12</v>
      </c>
    </row>
    <row r="1546" ht="33.75" spans="1:11">
      <c r="A1546" s="29">
        <v>1545</v>
      </c>
      <c r="B1546" s="34" t="s">
        <v>1870</v>
      </c>
      <c r="C1546" s="29" t="str">
        <f>VLOOKUP(B1546,教育部大学名单!$B$1:$D$2920,3,FALSE)</f>
        <v>辽宁省</v>
      </c>
      <c r="D1546" s="34" t="s">
        <v>220</v>
      </c>
      <c r="E1546" s="34" t="s">
        <v>221</v>
      </c>
      <c r="F1546" s="36" t="str">
        <f>IFERROR(VLOOKUP(B1546,'985'!$B$2:$D$40,3,FALSE),"")</f>
        <v/>
      </c>
      <c r="G1546" s="32" t="str">
        <f>IFERROR(VLOOKUP(B1546,'211'!$B$2:$D$116,3,FALSE),"")</f>
        <v/>
      </c>
      <c r="H1546" s="32" t="str">
        <f>IFERROR(VLOOKUP(B1546,双一流!$B$2:$D$148,3,FALSE),"")</f>
        <v/>
      </c>
      <c r="I1546" s="32" t="str">
        <f>IFERROR(VLOOKUP(B1546,汇总!$B$2:$I$2921,8,FALSE),"")</f>
        <v>财经</v>
      </c>
      <c r="J1546" s="34" t="s">
        <v>1700</v>
      </c>
      <c r="K1546" s="34" t="s">
        <v>12</v>
      </c>
    </row>
    <row r="1547" ht="33.75" spans="1:11">
      <c r="A1547" s="34">
        <v>1546</v>
      </c>
      <c r="B1547" s="29" t="s">
        <v>1871</v>
      </c>
      <c r="C1547" s="29" t="str">
        <f>VLOOKUP(B1547,教育部大学名单!$B$1:$D$2920,3,FALSE)</f>
        <v>辽宁省</v>
      </c>
      <c r="D1547" s="29" t="s">
        <v>220</v>
      </c>
      <c r="E1547" s="29" t="s">
        <v>221</v>
      </c>
      <c r="F1547" s="36" t="str">
        <f>IFERROR(VLOOKUP(B1547,'985'!$B$2:$D$40,3,FALSE),"")</f>
        <v/>
      </c>
      <c r="G1547" s="32" t="str">
        <f>IFERROR(VLOOKUP(B1547,'211'!$B$2:$D$116,3,FALSE),"")</f>
        <v/>
      </c>
      <c r="H1547" s="32" t="str">
        <f>IFERROR(VLOOKUP(B1547,双一流!$B$2:$D$148,3,FALSE),"")</f>
        <v/>
      </c>
      <c r="I1547" s="32" t="str">
        <f>IFERROR(VLOOKUP(B1547,汇总!$B$2:$I$2921,8,FALSE),"")</f>
        <v>理工</v>
      </c>
      <c r="J1547" s="29" t="s">
        <v>1700</v>
      </c>
      <c r="K1547" s="29" t="s">
        <v>12</v>
      </c>
    </row>
    <row r="1548" ht="33.75" spans="1:11">
      <c r="A1548" s="29">
        <v>1547</v>
      </c>
      <c r="B1548" s="34" t="s">
        <v>1872</v>
      </c>
      <c r="C1548" s="29" t="str">
        <f>VLOOKUP(B1548,教育部大学名单!$B$1:$D$2920,3,FALSE)</f>
        <v>辽宁省</v>
      </c>
      <c r="D1548" s="34" t="s">
        <v>220</v>
      </c>
      <c r="E1548" s="34" t="s">
        <v>266</v>
      </c>
      <c r="F1548" s="36" t="str">
        <f>IFERROR(VLOOKUP(B1548,'985'!$B$2:$D$40,3,FALSE),"")</f>
        <v/>
      </c>
      <c r="G1548" s="32" t="str">
        <f>IFERROR(VLOOKUP(B1548,'211'!$B$2:$D$116,3,FALSE),"")</f>
        <v/>
      </c>
      <c r="H1548" s="32" t="str">
        <f>IFERROR(VLOOKUP(B1548,双一流!$B$2:$D$148,3,FALSE),"")</f>
        <v/>
      </c>
      <c r="I1548" s="32" t="str">
        <f>IFERROR(VLOOKUP(B1548,汇总!$B$2:$I$2921,8,FALSE),"")</f>
        <v>理工</v>
      </c>
      <c r="J1548" s="34" t="s">
        <v>1700</v>
      </c>
      <c r="K1548" s="34" t="s">
        <v>12</v>
      </c>
    </row>
    <row r="1549" ht="33.75" spans="1:11">
      <c r="A1549" s="34">
        <v>1548</v>
      </c>
      <c r="B1549" s="29" t="s">
        <v>1873</v>
      </c>
      <c r="C1549" s="29" t="str">
        <f>VLOOKUP(B1549,教育部大学名单!$B$1:$D$2920,3,FALSE)</f>
        <v>辽宁省</v>
      </c>
      <c r="D1549" s="29" t="s">
        <v>220</v>
      </c>
      <c r="E1549" s="29" t="s">
        <v>221</v>
      </c>
      <c r="F1549" s="36" t="str">
        <f>IFERROR(VLOOKUP(B1549,'985'!$B$2:$D$40,3,FALSE),"")</f>
        <v/>
      </c>
      <c r="G1549" s="32" t="str">
        <f>IFERROR(VLOOKUP(B1549,'211'!$B$2:$D$116,3,FALSE),"")</f>
        <v/>
      </c>
      <c r="H1549" s="32" t="str">
        <f>IFERROR(VLOOKUP(B1549,双一流!$B$2:$D$148,3,FALSE),"")</f>
        <v/>
      </c>
      <c r="I1549" s="32" t="str">
        <f>IFERROR(VLOOKUP(B1549,汇总!$B$2:$I$2921,8,FALSE),"")</f>
        <v>财经</v>
      </c>
      <c r="J1549" s="29" t="s">
        <v>1700</v>
      </c>
      <c r="K1549" s="29" t="s">
        <v>12</v>
      </c>
    </row>
    <row r="1550" ht="33.75" spans="1:11">
      <c r="A1550" s="29">
        <v>1549</v>
      </c>
      <c r="B1550" s="34" t="s">
        <v>1874</v>
      </c>
      <c r="C1550" s="29" t="str">
        <f>VLOOKUP(B1550,教育部大学名单!$B$1:$D$2920,3,FALSE)</f>
        <v>辽宁省</v>
      </c>
      <c r="D1550" s="34" t="s">
        <v>220</v>
      </c>
      <c r="E1550" s="34" t="s">
        <v>240</v>
      </c>
      <c r="F1550" s="36" t="str">
        <f>IFERROR(VLOOKUP(B1550,'985'!$B$2:$D$40,3,FALSE),"")</f>
        <v/>
      </c>
      <c r="G1550" s="32" t="str">
        <f>IFERROR(VLOOKUP(B1550,'211'!$B$2:$D$116,3,FALSE),"")</f>
        <v/>
      </c>
      <c r="H1550" s="32" t="str">
        <f>IFERROR(VLOOKUP(B1550,双一流!$B$2:$D$148,3,FALSE),"")</f>
        <v/>
      </c>
      <c r="I1550" s="32" t="str">
        <f>IFERROR(VLOOKUP(B1550,汇总!$B$2:$I$2921,8,FALSE),"")</f>
        <v>理工</v>
      </c>
      <c r="J1550" s="34" t="s">
        <v>1700</v>
      </c>
      <c r="K1550" s="34" t="s">
        <v>12</v>
      </c>
    </row>
    <row r="1551" ht="33.75" spans="1:11">
      <c r="A1551" s="34">
        <v>1550</v>
      </c>
      <c r="B1551" s="29" t="s">
        <v>1875</v>
      </c>
      <c r="C1551" s="29" t="e">
        <f>VLOOKUP(B1551,教育部大学名单!$B$1:$D$2920,3,FALSE)</f>
        <v>#N/A</v>
      </c>
      <c r="D1551" s="29" t="s">
        <v>220</v>
      </c>
      <c r="E1551" s="29" t="s">
        <v>1321</v>
      </c>
      <c r="F1551" s="36" t="str">
        <f>IFERROR(VLOOKUP(B1551,'985'!$B$2:$D$40,3,FALSE),"")</f>
        <v/>
      </c>
      <c r="G1551" s="32" t="str">
        <f>IFERROR(VLOOKUP(B1551,'211'!$B$2:$D$116,3,FALSE),"")</f>
        <v/>
      </c>
      <c r="H1551" s="32" t="str">
        <f>IFERROR(VLOOKUP(B1551,双一流!$B$2:$D$148,3,FALSE),"")</f>
        <v/>
      </c>
      <c r="I1551" s="32" t="str">
        <f>IFERROR(VLOOKUP(B1551,汇总!$B$2:$I$2921,8,FALSE),"")</f>
        <v>理工</v>
      </c>
      <c r="J1551" s="29" t="s">
        <v>1700</v>
      </c>
      <c r="K1551" s="29" t="s">
        <v>12</v>
      </c>
    </row>
    <row r="1552" ht="33.75" spans="1:11">
      <c r="A1552" s="29">
        <v>1551</v>
      </c>
      <c r="B1552" s="34" t="s">
        <v>1876</v>
      </c>
      <c r="C1552" s="29" t="str">
        <f>VLOOKUP(B1552,教育部大学名单!$B$1:$D$2920,3,FALSE)</f>
        <v>辽宁省</v>
      </c>
      <c r="D1552" s="34" t="s">
        <v>220</v>
      </c>
      <c r="E1552" s="34" t="s">
        <v>221</v>
      </c>
      <c r="F1552" s="36" t="str">
        <f>IFERROR(VLOOKUP(B1552,'985'!$B$2:$D$40,3,FALSE),"")</f>
        <v/>
      </c>
      <c r="G1552" s="32" t="str">
        <f>IFERROR(VLOOKUP(B1552,'211'!$B$2:$D$116,3,FALSE),"")</f>
        <v/>
      </c>
      <c r="H1552" s="32" t="str">
        <f>IFERROR(VLOOKUP(B1552,双一流!$B$2:$D$148,3,FALSE),"")</f>
        <v/>
      </c>
      <c r="I1552" s="32">
        <f>IFERROR(VLOOKUP(B1552,汇总!$B$2:$I$2921,8,FALSE),"")</f>
        <v>0</v>
      </c>
      <c r="J1552" s="34" t="s">
        <v>1700</v>
      </c>
      <c r="K1552" s="34" t="s">
        <v>12</v>
      </c>
    </row>
    <row r="1553" ht="50.25" spans="1:11">
      <c r="A1553" s="34">
        <v>1552</v>
      </c>
      <c r="B1553" s="29" t="s">
        <v>1877</v>
      </c>
      <c r="C1553" s="29" t="str">
        <f>VLOOKUP(B1553,教育部大学名单!$B$1:$D$2920,3,FALSE)</f>
        <v>辽宁省</v>
      </c>
      <c r="D1553" s="29" t="s">
        <v>220</v>
      </c>
      <c r="E1553" s="29" t="s">
        <v>221</v>
      </c>
      <c r="F1553" s="36" t="str">
        <f>IFERROR(VLOOKUP(B1553,'985'!$B$2:$D$40,3,FALSE),"")</f>
        <v/>
      </c>
      <c r="G1553" s="32" t="str">
        <f>IFERROR(VLOOKUP(B1553,'211'!$B$2:$D$116,3,FALSE),"")</f>
        <v/>
      </c>
      <c r="H1553" s="32" t="str">
        <f>IFERROR(VLOOKUP(B1553,双一流!$B$2:$D$148,3,FALSE),"")</f>
        <v/>
      </c>
      <c r="I1553" s="32" t="str">
        <f>IFERROR(VLOOKUP(B1553,汇总!$B$2:$I$2921,8,FALSE),"")</f>
        <v>理工</v>
      </c>
      <c r="J1553" s="29" t="s">
        <v>1700</v>
      </c>
      <c r="K1553" s="29" t="s">
        <v>12</v>
      </c>
    </row>
    <row r="1554" ht="33.75" spans="1:11">
      <c r="A1554" s="29">
        <v>1553</v>
      </c>
      <c r="B1554" s="34" t="s">
        <v>1878</v>
      </c>
      <c r="C1554" s="29" t="str">
        <f>VLOOKUP(B1554,教育部大学名单!$B$1:$D$2920,3,FALSE)</f>
        <v>辽宁省</v>
      </c>
      <c r="D1554" s="34" t="s">
        <v>220</v>
      </c>
      <c r="E1554" s="34" t="s">
        <v>1864</v>
      </c>
      <c r="F1554" s="36" t="str">
        <f>IFERROR(VLOOKUP(B1554,'985'!$B$2:$D$40,3,FALSE),"")</f>
        <v/>
      </c>
      <c r="G1554" s="32" t="str">
        <f>IFERROR(VLOOKUP(B1554,'211'!$B$2:$D$116,3,FALSE),"")</f>
        <v/>
      </c>
      <c r="H1554" s="32" t="str">
        <f>IFERROR(VLOOKUP(B1554,双一流!$B$2:$D$148,3,FALSE),"")</f>
        <v/>
      </c>
      <c r="I1554" s="32">
        <f>IFERROR(VLOOKUP(B1554,汇总!$B$2:$I$2921,8,FALSE),"")</f>
        <v>0</v>
      </c>
      <c r="J1554" s="34" t="s">
        <v>1700</v>
      </c>
      <c r="K1554" s="34" t="s">
        <v>12</v>
      </c>
    </row>
    <row r="1555" ht="33.75" spans="1:11">
      <c r="A1555" s="34">
        <v>1554</v>
      </c>
      <c r="B1555" s="29" t="s">
        <v>1879</v>
      </c>
      <c r="C1555" s="29" t="str">
        <f>VLOOKUP(B1555,教育部大学名单!$B$1:$D$2920,3,FALSE)</f>
        <v>辽宁省</v>
      </c>
      <c r="D1555" s="29" t="s">
        <v>220</v>
      </c>
      <c r="E1555" s="29" t="s">
        <v>266</v>
      </c>
      <c r="F1555" s="36" t="str">
        <f>IFERROR(VLOOKUP(B1555,'985'!$B$2:$D$40,3,FALSE),"")</f>
        <v/>
      </c>
      <c r="G1555" s="32" t="str">
        <f>IFERROR(VLOOKUP(B1555,'211'!$B$2:$D$116,3,FALSE),"")</f>
        <v/>
      </c>
      <c r="H1555" s="32" t="str">
        <f>IFERROR(VLOOKUP(B1555,双一流!$B$2:$D$148,3,FALSE),"")</f>
        <v/>
      </c>
      <c r="I1555" s="32" t="str">
        <f>IFERROR(VLOOKUP(B1555,汇总!$B$2:$I$2921,8,FALSE),"")</f>
        <v>理工</v>
      </c>
      <c r="J1555" s="29" t="s">
        <v>1700</v>
      </c>
      <c r="K1555" s="29" t="s">
        <v>12</v>
      </c>
    </row>
    <row r="1556" ht="33.75" spans="1:11">
      <c r="A1556" s="29">
        <v>1555</v>
      </c>
      <c r="B1556" s="34" t="s">
        <v>1880</v>
      </c>
      <c r="C1556" s="29" t="str">
        <f>VLOOKUP(B1556,教育部大学名单!$B$1:$D$2920,3,FALSE)</f>
        <v>辽宁省</v>
      </c>
      <c r="D1556" s="34" t="s">
        <v>220</v>
      </c>
      <c r="E1556" s="34" t="s">
        <v>240</v>
      </c>
      <c r="F1556" s="36" t="str">
        <f>IFERROR(VLOOKUP(B1556,'985'!$B$2:$D$40,3,FALSE),"")</f>
        <v/>
      </c>
      <c r="G1556" s="32" t="str">
        <f>IFERROR(VLOOKUP(B1556,'211'!$B$2:$D$116,3,FALSE),"")</f>
        <v/>
      </c>
      <c r="H1556" s="32" t="str">
        <f>IFERROR(VLOOKUP(B1556,双一流!$B$2:$D$148,3,FALSE),"")</f>
        <v/>
      </c>
      <c r="I1556" s="32" t="str">
        <f>IFERROR(VLOOKUP(B1556,汇总!$B$2:$I$2921,8,FALSE),"")</f>
        <v>理工</v>
      </c>
      <c r="J1556" s="34" t="s">
        <v>1700</v>
      </c>
      <c r="K1556" s="34" t="s">
        <v>12</v>
      </c>
    </row>
    <row r="1557" ht="33.75" spans="1:11">
      <c r="A1557" s="34">
        <v>1556</v>
      </c>
      <c r="B1557" s="29" t="s">
        <v>1881</v>
      </c>
      <c r="C1557" s="29" t="str">
        <f>VLOOKUP(B1557,教育部大学名单!$B$1:$D$2920,3,FALSE)</f>
        <v>辽宁省</v>
      </c>
      <c r="D1557" s="29" t="s">
        <v>220</v>
      </c>
      <c r="E1557" s="29" t="s">
        <v>1303</v>
      </c>
      <c r="F1557" s="36" t="str">
        <f>IFERROR(VLOOKUP(B1557,'985'!$B$2:$D$40,3,FALSE),"")</f>
        <v/>
      </c>
      <c r="G1557" s="32" t="str">
        <f>IFERROR(VLOOKUP(B1557,'211'!$B$2:$D$116,3,FALSE),"")</f>
        <v/>
      </c>
      <c r="H1557" s="32" t="str">
        <f>IFERROR(VLOOKUP(B1557,双一流!$B$2:$D$148,3,FALSE),"")</f>
        <v/>
      </c>
      <c r="I1557" s="32" t="str">
        <f>IFERROR(VLOOKUP(B1557,汇总!$B$2:$I$2921,8,FALSE),"")</f>
        <v>理工</v>
      </c>
      <c r="J1557" s="29" t="s">
        <v>1700</v>
      </c>
      <c r="K1557" s="29" t="s">
        <v>12</v>
      </c>
    </row>
    <row r="1558" ht="50.25" spans="1:11">
      <c r="A1558" s="29">
        <v>1557</v>
      </c>
      <c r="B1558" s="34" t="s">
        <v>1882</v>
      </c>
      <c r="C1558" s="29" t="str">
        <f>VLOOKUP(B1558,教育部大学名单!$B$1:$D$2920,3,FALSE)</f>
        <v>辽宁省</v>
      </c>
      <c r="D1558" s="34" t="s">
        <v>220</v>
      </c>
      <c r="E1558" s="34" t="s">
        <v>221</v>
      </c>
      <c r="F1558" s="36" t="str">
        <f>IFERROR(VLOOKUP(B1558,'985'!$B$2:$D$40,3,FALSE),"")</f>
        <v/>
      </c>
      <c r="G1558" s="32" t="str">
        <f>IFERROR(VLOOKUP(B1558,'211'!$B$2:$D$116,3,FALSE),"")</f>
        <v/>
      </c>
      <c r="H1558" s="32" t="str">
        <f>IFERROR(VLOOKUP(B1558,双一流!$B$2:$D$148,3,FALSE),"")</f>
        <v/>
      </c>
      <c r="I1558" s="32" t="str">
        <f>IFERROR(VLOOKUP(B1558,汇总!$B$2:$I$2921,8,FALSE),"")</f>
        <v>财经</v>
      </c>
      <c r="J1558" s="34" t="s">
        <v>1700</v>
      </c>
      <c r="K1558" s="34" t="s">
        <v>12</v>
      </c>
    </row>
    <row r="1559" ht="33.75" spans="1:11">
      <c r="A1559" s="34">
        <v>1558</v>
      </c>
      <c r="B1559" s="29" t="s">
        <v>1883</v>
      </c>
      <c r="C1559" s="29" t="str">
        <f>VLOOKUP(B1559,教育部大学名单!$B$1:$D$2920,3,FALSE)</f>
        <v>辽宁省</v>
      </c>
      <c r="D1559" s="29" t="s">
        <v>220</v>
      </c>
      <c r="E1559" s="29" t="s">
        <v>262</v>
      </c>
      <c r="F1559" s="36" t="str">
        <f>IFERROR(VLOOKUP(B1559,'985'!$B$2:$D$40,3,FALSE),"")</f>
        <v/>
      </c>
      <c r="G1559" s="32" t="str">
        <f>IFERROR(VLOOKUP(B1559,'211'!$B$2:$D$116,3,FALSE),"")</f>
        <v/>
      </c>
      <c r="H1559" s="32" t="str">
        <f>IFERROR(VLOOKUP(B1559,双一流!$B$2:$D$148,3,FALSE),"")</f>
        <v/>
      </c>
      <c r="I1559" s="32" t="str">
        <f>IFERROR(VLOOKUP(B1559,汇总!$B$2:$I$2921,8,FALSE),"")</f>
        <v>理工</v>
      </c>
      <c r="J1559" s="29" t="s">
        <v>1700</v>
      </c>
      <c r="K1559" s="29" t="s">
        <v>12</v>
      </c>
    </row>
    <row r="1560" ht="33.75" spans="1:11">
      <c r="A1560" s="29">
        <v>1559</v>
      </c>
      <c r="B1560" s="34" t="s">
        <v>1884</v>
      </c>
      <c r="C1560" s="29" t="str">
        <f>VLOOKUP(B1560,教育部大学名单!$B$1:$D$2920,3,FALSE)</f>
        <v>辽宁省</v>
      </c>
      <c r="D1560" s="34" t="s">
        <v>220</v>
      </c>
      <c r="E1560" s="34" t="s">
        <v>1855</v>
      </c>
      <c r="F1560" s="36" t="str">
        <f>IFERROR(VLOOKUP(B1560,'985'!$B$2:$D$40,3,FALSE),"")</f>
        <v/>
      </c>
      <c r="G1560" s="32" t="str">
        <f>IFERROR(VLOOKUP(B1560,'211'!$B$2:$D$116,3,FALSE),"")</f>
        <v/>
      </c>
      <c r="H1560" s="32" t="str">
        <f>IFERROR(VLOOKUP(B1560,双一流!$B$2:$D$148,3,FALSE),"")</f>
        <v/>
      </c>
      <c r="I1560" s="32" t="str">
        <f>IFERROR(VLOOKUP(B1560,汇总!$B$2:$I$2921,8,FALSE),"")</f>
        <v>理工</v>
      </c>
      <c r="J1560" s="34" t="s">
        <v>1700</v>
      </c>
      <c r="K1560" s="34" t="s">
        <v>12</v>
      </c>
    </row>
    <row r="1561" ht="50.25" spans="1:11">
      <c r="A1561" s="34">
        <v>1560</v>
      </c>
      <c r="B1561" s="29" t="s">
        <v>1885</v>
      </c>
      <c r="C1561" s="29" t="str">
        <f>VLOOKUP(B1561,教育部大学名单!$B$1:$D$2920,3,FALSE)</f>
        <v>辽宁省</v>
      </c>
      <c r="D1561" s="29" t="s">
        <v>220</v>
      </c>
      <c r="E1561" s="29" t="s">
        <v>221</v>
      </c>
      <c r="F1561" s="36" t="str">
        <f>IFERROR(VLOOKUP(B1561,'985'!$B$2:$D$40,3,FALSE),"")</f>
        <v/>
      </c>
      <c r="G1561" s="32" t="str">
        <f>IFERROR(VLOOKUP(B1561,'211'!$B$2:$D$116,3,FALSE),"")</f>
        <v/>
      </c>
      <c r="H1561" s="32" t="str">
        <f>IFERROR(VLOOKUP(B1561,双一流!$B$2:$D$148,3,FALSE),"")</f>
        <v/>
      </c>
      <c r="I1561" s="32" t="str">
        <f>IFERROR(VLOOKUP(B1561,汇总!$B$2:$I$2921,8,FALSE),"")</f>
        <v>理工</v>
      </c>
      <c r="J1561" s="29" t="s">
        <v>1700</v>
      </c>
      <c r="K1561" s="29" t="s">
        <v>12</v>
      </c>
    </row>
    <row r="1562" ht="33.75" spans="1:11">
      <c r="A1562" s="29">
        <v>1561</v>
      </c>
      <c r="B1562" s="34" t="s">
        <v>1886</v>
      </c>
      <c r="C1562" s="29" t="str">
        <f>VLOOKUP(B1562,教育部大学名单!$B$1:$D$2920,3,FALSE)</f>
        <v>辽宁省</v>
      </c>
      <c r="D1562" s="34" t="s">
        <v>220</v>
      </c>
      <c r="E1562" s="34" t="s">
        <v>221</v>
      </c>
      <c r="F1562" s="36" t="str">
        <f>IFERROR(VLOOKUP(B1562,'985'!$B$2:$D$40,3,FALSE),"")</f>
        <v/>
      </c>
      <c r="G1562" s="32" t="str">
        <f>IFERROR(VLOOKUP(B1562,'211'!$B$2:$D$116,3,FALSE),"")</f>
        <v/>
      </c>
      <c r="H1562" s="32" t="str">
        <f>IFERROR(VLOOKUP(B1562,双一流!$B$2:$D$148,3,FALSE),"")</f>
        <v/>
      </c>
      <c r="I1562" s="32" t="str">
        <f>IFERROR(VLOOKUP(B1562,汇总!$B$2:$I$2921,8,FALSE),"")</f>
        <v>医药</v>
      </c>
      <c r="J1562" s="34" t="s">
        <v>1700</v>
      </c>
      <c r="K1562" s="34" t="s">
        <v>12</v>
      </c>
    </row>
    <row r="1563" ht="33.75" spans="1:11">
      <c r="A1563" s="34">
        <v>1562</v>
      </c>
      <c r="B1563" s="29" t="s">
        <v>1887</v>
      </c>
      <c r="C1563" s="29" t="str">
        <f>VLOOKUP(B1563,教育部大学名单!$B$1:$D$2920,3,FALSE)</f>
        <v>辽宁省</v>
      </c>
      <c r="D1563" s="29" t="s">
        <v>220</v>
      </c>
      <c r="E1563" s="29" t="s">
        <v>1855</v>
      </c>
      <c r="F1563" s="36" t="str">
        <f>IFERROR(VLOOKUP(B1563,'985'!$B$2:$D$40,3,FALSE),"")</f>
        <v/>
      </c>
      <c r="G1563" s="32" t="str">
        <f>IFERROR(VLOOKUP(B1563,'211'!$B$2:$D$116,3,FALSE),"")</f>
        <v/>
      </c>
      <c r="H1563" s="32" t="str">
        <f>IFERROR(VLOOKUP(B1563,双一流!$B$2:$D$148,3,FALSE),"")</f>
        <v/>
      </c>
      <c r="I1563" s="32">
        <f>IFERROR(VLOOKUP(B1563,汇总!$B$2:$I$2921,8,FALSE),"")</f>
        <v>0</v>
      </c>
      <c r="J1563" s="29" t="s">
        <v>1700</v>
      </c>
      <c r="K1563" s="29" t="s">
        <v>12</v>
      </c>
    </row>
    <row r="1564" ht="33.75" spans="1:11">
      <c r="A1564" s="29">
        <v>1563</v>
      </c>
      <c r="B1564" s="34" t="s">
        <v>1888</v>
      </c>
      <c r="C1564" s="29" t="str">
        <f>VLOOKUP(B1564,教育部大学名单!$B$1:$D$2920,3,FALSE)</f>
        <v>辽宁省</v>
      </c>
      <c r="D1564" s="34" t="s">
        <v>220</v>
      </c>
      <c r="E1564" s="34" t="s">
        <v>221</v>
      </c>
      <c r="F1564" s="36" t="str">
        <f>IFERROR(VLOOKUP(B1564,'985'!$B$2:$D$40,3,FALSE),"")</f>
        <v/>
      </c>
      <c r="G1564" s="32" t="str">
        <f>IFERROR(VLOOKUP(B1564,'211'!$B$2:$D$116,3,FALSE),"")</f>
        <v/>
      </c>
      <c r="H1564" s="32" t="str">
        <f>IFERROR(VLOOKUP(B1564,双一流!$B$2:$D$148,3,FALSE),"")</f>
        <v/>
      </c>
      <c r="I1564" s="32">
        <f>IFERROR(VLOOKUP(B1564,汇总!$B$2:$I$2921,8,FALSE),"")</f>
        <v>0</v>
      </c>
      <c r="J1564" s="34" t="s">
        <v>1700</v>
      </c>
      <c r="K1564" s="34" t="s">
        <v>12</v>
      </c>
    </row>
    <row r="1565" ht="50.25" spans="1:11">
      <c r="A1565" s="34">
        <v>1564</v>
      </c>
      <c r="B1565" s="29" t="s">
        <v>1889</v>
      </c>
      <c r="C1565" s="29" t="str">
        <f>VLOOKUP(B1565,教育部大学名单!$B$1:$D$2920,3,FALSE)</f>
        <v>辽宁省</v>
      </c>
      <c r="D1565" s="29" t="s">
        <v>220</v>
      </c>
      <c r="E1565" s="29" t="s">
        <v>221</v>
      </c>
      <c r="F1565" s="36" t="str">
        <f>IFERROR(VLOOKUP(B1565,'985'!$B$2:$D$40,3,FALSE),"")</f>
        <v/>
      </c>
      <c r="G1565" s="32" t="str">
        <f>IFERROR(VLOOKUP(B1565,'211'!$B$2:$D$116,3,FALSE),"")</f>
        <v/>
      </c>
      <c r="H1565" s="32" t="str">
        <f>IFERROR(VLOOKUP(B1565,双一流!$B$2:$D$148,3,FALSE),"")</f>
        <v/>
      </c>
      <c r="I1565" s="32">
        <f>IFERROR(VLOOKUP(B1565,汇总!$B$2:$I$2921,8,FALSE),"")</f>
        <v>0</v>
      </c>
      <c r="J1565" s="29" t="s">
        <v>1700</v>
      </c>
      <c r="K1565" s="29" t="s">
        <v>12</v>
      </c>
    </row>
    <row r="1566" ht="33.75" spans="1:11">
      <c r="A1566" s="29">
        <v>1565</v>
      </c>
      <c r="B1566" s="34" t="s">
        <v>1890</v>
      </c>
      <c r="C1566" s="29" t="str">
        <f>VLOOKUP(B1566,教育部大学名单!$B$1:$D$2920,3,FALSE)</f>
        <v>辽宁省</v>
      </c>
      <c r="D1566" s="34" t="s">
        <v>220</v>
      </c>
      <c r="E1566" s="34" t="s">
        <v>223</v>
      </c>
      <c r="F1566" s="36" t="str">
        <f>IFERROR(VLOOKUP(B1566,'985'!$B$2:$D$40,3,FALSE),"")</f>
        <v/>
      </c>
      <c r="G1566" s="32" t="str">
        <f>IFERROR(VLOOKUP(B1566,'211'!$B$2:$D$116,3,FALSE),"")</f>
        <v/>
      </c>
      <c r="H1566" s="32" t="str">
        <f>IFERROR(VLOOKUP(B1566,双一流!$B$2:$D$148,3,FALSE),"")</f>
        <v/>
      </c>
      <c r="I1566" s="32" t="str">
        <f>IFERROR(VLOOKUP(B1566,汇总!$B$2:$I$2921,8,FALSE),"")</f>
        <v>综合</v>
      </c>
      <c r="J1566" s="34" t="s">
        <v>1700</v>
      </c>
      <c r="K1566" s="34" t="s">
        <v>12</v>
      </c>
    </row>
    <row r="1567" ht="50.25" spans="1:11">
      <c r="A1567" s="34">
        <v>1566</v>
      </c>
      <c r="B1567" s="29" t="s">
        <v>1891</v>
      </c>
      <c r="C1567" s="29" t="str">
        <f>VLOOKUP(B1567,教育部大学名单!$B$1:$D$2920,3,FALSE)</f>
        <v>辽宁省</v>
      </c>
      <c r="D1567" s="29" t="s">
        <v>220</v>
      </c>
      <c r="E1567" s="29" t="s">
        <v>221</v>
      </c>
      <c r="F1567" s="36" t="str">
        <f>IFERROR(VLOOKUP(B1567,'985'!$B$2:$D$40,3,FALSE),"")</f>
        <v/>
      </c>
      <c r="G1567" s="32" t="str">
        <f>IFERROR(VLOOKUP(B1567,'211'!$B$2:$D$116,3,FALSE),"")</f>
        <v/>
      </c>
      <c r="H1567" s="32" t="str">
        <f>IFERROR(VLOOKUP(B1567,双一流!$B$2:$D$148,3,FALSE),"")</f>
        <v/>
      </c>
      <c r="I1567" s="32">
        <f>IFERROR(VLOOKUP(B1567,汇总!$B$2:$I$2921,8,FALSE),"")</f>
        <v>0</v>
      </c>
      <c r="J1567" s="29" t="s">
        <v>1700</v>
      </c>
      <c r="K1567" s="29" t="s">
        <v>12</v>
      </c>
    </row>
    <row r="1568" ht="33.75" spans="1:11">
      <c r="A1568" s="29">
        <v>1567</v>
      </c>
      <c r="B1568" s="34" t="s">
        <v>1892</v>
      </c>
      <c r="C1568" s="29" t="str">
        <f>VLOOKUP(B1568,教育部大学名单!$B$1:$D$2920,3,FALSE)</f>
        <v>辽宁省</v>
      </c>
      <c r="D1568" s="34" t="s">
        <v>220</v>
      </c>
      <c r="E1568" s="34" t="s">
        <v>221</v>
      </c>
      <c r="F1568" s="36" t="str">
        <f>IFERROR(VLOOKUP(B1568,'985'!$B$2:$D$40,3,FALSE),"")</f>
        <v/>
      </c>
      <c r="G1568" s="32" t="str">
        <f>IFERROR(VLOOKUP(B1568,'211'!$B$2:$D$116,3,FALSE),"")</f>
        <v/>
      </c>
      <c r="H1568" s="32" t="str">
        <f>IFERROR(VLOOKUP(B1568,双一流!$B$2:$D$148,3,FALSE),"")</f>
        <v/>
      </c>
      <c r="I1568" s="32">
        <f>IFERROR(VLOOKUP(B1568,汇总!$B$2:$I$2921,8,FALSE),"")</f>
        <v>0</v>
      </c>
      <c r="J1568" s="34" t="s">
        <v>1700</v>
      </c>
      <c r="K1568" s="34" t="s">
        <v>12</v>
      </c>
    </row>
    <row r="1569" ht="33.75" spans="1:11">
      <c r="A1569" s="34">
        <v>1568</v>
      </c>
      <c r="B1569" s="29" t="s">
        <v>1893</v>
      </c>
      <c r="C1569" s="29" t="str">
        <f>VLOOKUP(B1569,教育部大学名单!$B$1:$D$2920,3,FALSE)</f>
        <v>辽宁省</v>
      </c>
      <c r="D1569" s="29" t="s">
        <v>220</v>
      </c>
      <c r="E1569" s="29" t="s">
        <v>229</v>
      </c>
      <c r="F1569" s="36" t="str">
        <f>IFERROR(VLOOKUP(B1569,'985'!$B$2:$D$40,3,FALSE),"")</f>
        <v/>
      </c>
      <c r="G1569" s="32" t="str">
        <f>IFERROR(VLOOKUP(B1569,'211'!$B$2:$D$116,3,FALSE),"")</f>
        <v/>
      </c>
      <c r="H1569" s="32" t="str">
        <f>IFERROR(VLOOKUP(B1569,双一流!$B$2:$D$148,3,FALSE),"")</f>
        <v/>
      </c>
      <c r="I1569" s="32">
        <f>IFERROR(VLOOKUP(B1569,汇总!$B$2:$I$2921,8,FALSE),"")</f>
        <v>0</v>
      </c>
      <c r="J1569" s="29" t="s">
        <v>1700</v>
      </c>
      <c r="K1569" s="29" t="s">
        <v>12</v>
      </c>
    </row>
    <row r="1570" ht="33.75" spans="1:11">
      <c r="A1570" s="29">
        <v>1569</v>
      </c>
      <c r="B1570" s="34" t="s">
        <v>1894</v>
      </c>
      <c r="C1570" s="29" t="str">
        <f>VLOOKUP(B1570,教育部大学名单!$B$1:$D$2920,3,FALSE)</f>
        <v>吉林省</v>
      </c>
      <c r="D1570" s="34" t="s">
        <v>273</v>
      </c>
      <c r="E1570" s="34" t="s">
        <v>274</v>
      </c>
      <c r="F1570" s="36" t="str">
        <f>IFERROR(VLOOKUP(B1570,'985'!$B$2:$D$40,3,FALSE),"")</f>
        <v/>
      </c>
      <c r="G1570" s="32" t="str">
        <f>IFERROR(VLOOKUP(B1570,'211'!$B$2:$D$116,3,FALSE),"")</f>
        <v/>
      </c>
      <c r="H1570" s="32" t="str">
        <f>IFERROR(VLOOKUP(B1570,双一流!$B$2:$D$148,3,FALSE),"")</f>
        <v/>
      </c>
      <c r="I1570" s="32">
        <f>IFERROR(VLOOKUP(B1570,汇总!$B$2:$I$2921,8,FALSE),"")</f>
        <v>0</v>
      </c>
      <c r="J1570" s="34" t="s">
        <v>1700</v>
      </c>
      <c r="K1570" s="34" t="s">
        <v>12</v>
      </c>
    </row>
    <row r="1571" ht="33.75" spans="1:11">
      <c r="A1571" s="34">
        <v>1570</v>
      </c>
      <c r="B1571" s="29" t="s">
        <v>1895</v>
      </c>
      <c r="C1571" s="29" t="str">
        <f>VLOOKUP(B1571,教育部大学名单!$B$1:$D$2920,3,FALSE)</f>
        <v>吉林省</v>
      </c>
      <c r="D1571" s="29" t="s">
        <v>273</v>
      </c>
      <c r="E1571" s="29" t="s">
        <v>1896</v>
      </c>
      <c r="F1571" s="36" t="str">
        <f>IFERROR(VLOOKUP(B1571,'985'!$B$2:$D$40,3,FALSE),"")</f>
        <v/>
      </c>
      <c r="G1571" s="32" t="str">
        <f>IFERROR(VLOOKUP(B1571,'211'!$B$2:$D$116,3,FALSE),"")</f>
        <v/>
      </c>
      <c r="H1571" s="32" t="str">
        <f>IFERROR(VLOOKUP(B1571,双一流!$B$2:$D$148,3,FALSE),"")</f>
        <v/>
      </c>
      <c r="I1571" s="32" t="str">
        <f>IFERROR(VLOOKUP(B1571,汇总!$B$2:$I$2921,8,FALSE),"")</f>
        <v>理工</v>
      </c>
      <c r="J1571" s="29" t="s">
        <v>1700</v>
      </c>
      <c r="K1571" s="29" t="s">
        <v>12</v>
      </c>
    </row>
    <row r="1572" ht="33.75" spans="1:11">
      <c r="A1572" s="29">
        <v>1571</v>
      </c>
      <c r="B1572" s="34" t="s">
        <v>1897</v>
      </c>
      <c r="C1572" s="29" t="str">
        <f>VLOOKUP(B1572,教育部大学名单!$B$1:$D$2920,3,FALSE)</f>
        <v>吉林省</v>
      </c>
      <c r="D1572" s="34" t="s">
        <v>273</v>
      </c>
      <c r="E1572" s="34" t="s">
        <v>290</v>
      </c>
      <c r="F1572" s="36" t="str">
        <f>IFERROR(VLOOKUP(B1572,'985'!$B$2:$D$40,3,FALSE),"")</f>
        <v/>
      </c>
      <c r="G1572" s="32" t="str">
        <f>IFERROR(VLOOKUP(B1572,'211'!$B$2:$D$116,3,FALSE),"")</f>
        <v/>
      </c>
      <c r="H1572" s="32" t="str">
        <f>IFERROR(VLOOKUP(B1572,双一流!$B$2:$D$148,3,FALSE),"")</f>
        <v/>
      </c>
      <c r="I1572" s="32" t="str">
        <f>IFERROR(VLOOKUP(B1572,汇总!$B$2:$I$2921,8,FALSE),"")</f>
        <v>理工</v>
      </c>
      <c r="J1572" s="34" t="s">
        <v>1700</v>
      </c>
      <c r="K1572" s="34" t="s">
        <v>12</v>
      </c>
    </row>
    <row r="1573" ht="33.75" spans="1:11">
      <c r="A1573" s="34">
        <v>1572</v>
      </c>
      <c r="B1573" s="29" t="s">
        <v>1898</v>
      </c>
      <c r="C1573" s="29" t="str">
        <f>VLOOKUP(B1573,教育部大学名单!$B$1:$D$2920,3,FALSE)</f>
        <v>吉林省</v>
      </c>
      <c r="D1573" s="29" t="s">
        <v>273</v>
      </c>
      <c r="E1573" s="29" t="s">
        <v>274</v>
      </c>
      <c r="F1573" s="36" t="str">
        <f>IFERROR(VLOOKUP(B1573,'985'!$B$2:$D$40,3,FALSE),"")</f>
        <v/>
      </c>
      <c r="G1573" s="32" t="str">
        <f>IFERROR(VLOOKUP(B1573,'211'!$B$2:$D$116,3,FALSE),"")</f>
        <v/>
      </c>
      <c r="H1573" s="32" t="str">
        <f>IFERROR(VLOOKUP(B1573,双一流!$B$2:$D$148,3,FALSE),"")</f>
        <v/>
      </c>
      <c r="I1573" s="32" t="str">
        <f>IFERROR(VLOOKUP(B1573,汇总!$B$2:$I$2921,8,FALSE),"")</f>
        <v>财经</v>
      </c>
      <c r="J1573" s="29" t="s">
        <v>1700</v>
      </c>
      <c r="K1573" s="29" t="s">
        <v>12</v>
      </c>
    </row>
    <row r="1574" ht="33.75" spans="1:11">
      <c r="A1574" s="29">
        <v>1573</v>
      </c>
      <c r="B1574" s="34" t="s">
        <v>1899</v>
      </c>
      <c r="C1574" s="29" t="str">
        <f>VLOOKUP(B1574,教育部大学名单!$B$1:$D$2920,3,FALSE)</f>
        <v>吉林省</v>
      </c>
      <c r="D1574" s="34" t="s">
        <v>273</v>
      </c>
      <c r="E1574" s="34" t="s">
        <v>274</v>
      </c>
      <c r="F1574" s="36" t="str">
        <f>IFERROR(VLOOKUP(B1574,'985'!$B$2:$D$40,3,FALSE),"")</f>
        <v/>
      </c>
      <c r="G1574" s="32" t="str">
        <f>IFERROR(VLOOKUP(B1574,'211'!$B$2:$D$116,3,FALSE),"")</f>
        <v/>
      </c>
      <c r="H1574" s="32" t="str">
        <f>IFERROR(VLOOKUP(B1574,双一流!$B$2:$D$148,3,FALSE),"")</f>
        <v/>
      </c>
      <c r="I1574" s="32" t="str">
        <f>IFERROR(VLOOKUP(B1574,汇总!$B$2:$I$2921,8,FALSE),"")</f>
        <v>医药</v>
      </c>
      <c r="J1574" s="34" t="s">
        <v>1700</v>
      </c>
      <c r="K1574" s="34" t="s">
        <v>12</v>
      </c>
    </row>
    <row r="1575" ht="33.75" spans="1:11">
      <c r="A1575" s="34">
        <v>1574</v>
      </c>
      <c r="B1575" s="29" t="s">
        <v>1900</v>
      </c>
      <c r="C1575" s="29" t="str">
        <f>VLOOKUP(B1575,教育部大学名单!$B$1:$D$2920,3,FALSE)</f>
        <v>吉林省</v>
      </c>
      <c r="D1575" s="29" t="s">
        <v>273</v>
      </c>
      <c r="E1575" s="29" t="s">
        <v>274</v>
      </c>
      <c r="F1575" s="36" t="str">
        <f>IFERROR(VLOOKUP(B1575,'985'!$B$2:$D$40,3,FALSE),"")</f>
        <v/>
      </c>
      <c r="G1575" s="32" t="str">
        <f>IFERROR(VLOOKUP(B1575,'211'!$B$2:$D$116,3,FALSE),"")</f>
        <v/>
      </c>
      <c r="H1575" s="32" t="str">
        <f>IFERROR(VLOOKUP(B1575,双一流!$B$2:$D$148,3,FALSE),"")</f>
        <v/>
      </c>
      <c r="I1575" s="32" t="str">
        <f>IFERROR(VLOOKUP(B1575,汇总!$B$2:$I$2921,8,FALSE),"")</f>
        <v>理工</v>
      </c>
      <c r="J1575" s="29" t="s">
        <v>1700</v>
      </c>
      <c r="K1575" s="29" t="s">
        <v>12</v>
      </c>
    </row>
    <row r="1576" ht="33.75" spans="1:11">
      <c r="A1576" s="29">
        <v>1575</v>
      </c>
      <c r="B1576" s="34" t="s">
        <v>1901</v>
      </c>
      <c r="C1576" s="29" t="str">
        <f>VLOOKUP(B1576,教育部大学名单!$B$1:$D$2920,3,FALSE)</f>
        <v>吉林省</v>
      </c>
      <c r="D1576" s="34" t="s">
        <v>273</v>
      </c>
      <c r="E1576" s="34" t="s">
        <v>274</v>
      </c>
      <c r="F1576" s="36" t="str">
        <f>IFERROR(VLOOKUP(B1576,'985'!$B$2:$D$40,3,FALSE),"")</f>
        <v/>
      </c>
      <c r="G1576" s="32" t="str">
        <f>IFERROR(VLOOKUP(B1576,'211'!$B$2:$D$116,3,FALSE),"")</f>
        <v/>
      </c>
      <c r="H1576" s="32" t="str">
        <f>IFERROR(VLOOKUP(B1576,双一流!$B$2:$D$148,3,FALSE),"")</f>
        <v/>
      </c>
      <c r="I1576" s="32" t="str">
        <f>IFERROR(VLOOKUP(B1576,汇总!$B$2:$I$2921,8,FALSE),"")</f>
        <v>政法</v>
      </c>
      <c r="J1576" s="34" t="s">
        <v>1700</v>
      </c>
      <c r="K1576" s="34" t="s">
        <v>12</v>
      </c>
    </row>
    <row r="1577" ht="50.25" spans="1:11">
      <c r="A1577" s="34">
        <v>1576</v>
      </c>
      <c r="B1577" s="29" t="s">
        <v>1902</v>
      </c>
      <c r="C1577" s="29" t="str">
        <f>VLOOKUP(B1577,教育部大学名单!$B$1:$D$2920,3,FALSE)</f>
        <v>吉林省</v>
      </c>
      <c r="D1577" s="29" t="s">
        <v>273</v>
      </c>
      <c r="E1577" s="29" t="s">
        <v>279</v>
      </c>
      <c r="F1577" s="36" t="str">
        <f>IFERROR(VLOOKUP(B1577,'985'!$B$2:$D$40,3,FALSE),"")</f>
        <v/>
      </c>
      <c r="G1577" s="32" t="str">
        <f>IFERROR(VLOOKUP(B1577,'211'!$B$2:$D$116,3,FALSE),"")</f>
        <v/>
      </c>
      <c r="H1577" s="32" t="str">
        <f>IFERROR(VLOOKUP(B1577,双一流!$B$2:$D$148,3,FALSE),"")</f>
        <v/>
      </c>
      <c r="I1577" s="32" t="str">
        <f>IFERROR(VLOOKUP(B1577,汇总!$B$2:$I$2921,8,FALSE),"")</f>
        <v>理工</v>
      </c>
      <c r="J1577" s="29" t="s">
        <v>1700</v>
      </c>
      <c r="K1577" s="29" t="s">
        <v>12</v>
      </c>
    </row>
    <row r="1578" ht="33.75" spans="1:11">
      <c r="A1578" s="29">
        <v>1577</v>
      </c>
      <c r="B1578" s="34" t="s">
        <v>1903</v>
      </c>
      <c r="C1578" s="29" t="str">
        <f>VLOOKUP(B1578,教育部大学名单!$B$1:$D$2920,3,FALSE)</f>
        <v>吉林省</v>
      </c>
      <c r="D1578" s="34" t="s">
        <v>273</v>
      </c>
      <c r="E1578" s="34" t="s">
        <v>279</v>
      </c>
      <c r="F1578" s="36" t="str">
        <f>IFERROR(VLOOKUP(B1578,'985'!$B$2:$D$40,3,FALSE),"")</f>
        <v/>
      </c>
      <c r="G1578" s="32" t="str">
        <f>IFERROR(VLOOKUP(B1578,'211'!$B$2:$D$116,3,FALSE),"")</f>
        <v/>
      </c>
      <c r="H1578" s="32" t="str">
        <f>IFERROR(VLOOKUP(B1578,双一流!$B$2:$D$148,3,FALSE),"")</f>
        <v/>
      </c>
      <c r="I1578" s="32" t="str">
        <f>IFERROR(VLOOKUP(B1578,汇总!$B$2:$I$2921,8,FALSE),"")</f>
        <v>理工</v>
      </c>
      <c r="J1578" s="34" t="s">
        <v>1700</v>
      </c>
      <c r="K1578" s="34" t="s">
        <v>12</v>
      </c>
    </row>
    <row r="1579" ht="33.75" spans="1:11">
      <c r="A1579" s="34">
        <v>1578</v>
      </c>
      <c r="B1579" s="29" t="s">
        <v>1904</v>
      </c>
      <c r="C1579" s="29" t="str">
        <f>VLOOKUP(B1579,教育部大学名单!$B$1:$D$2920,3,FALSE)</f>
        <v>吉林省</v>
      </c>
      <c r="D1579" s="29" t="s">
        <v>273</v>
      </c>
      <c r="E1579" s="29" t="s">
        <v>290</v>
      </c>
      <c r="F1579" s="36" t="str">
        <f>IFERROR(VLOOKUP(B1579,'985'!$B$2:$D$40,3,FALSE),"")</f>
        <v/>
      </c>
      <c r="G1579" s="32" t="str">
        <f>IFERROR(VLOOKUP(B1579,'211'!$B$2:$D$116,3,FALSE),"")</f>
        <v/>
      </c>
      <c r="H1579" s="32" t="str">
        <f>IFERROR(VLOOKUP(B1579,双一流!$B$2:$D$148,3,FALSE),"")</f>
        <v/>
      </c>
      <c r="I1579" s="32" t="str">
        <f>IFERROR(VLOOKUP(B1579,汇总!$B$2:$I$2921,8,FALSE),"")</f>
        <v>理工</v>
      </c>
      <c r="J1579" s="29" t="s">
        <v>1700</v>
      </c>
      <c r="K1579" s="29" t="s">
        <v>12</v>
      </c>
    </row>
    <row r="1580" ht="33.75" spans="1:11">
      <c r="A1580" s="29">
        <v>1579</v>
      </c>
      <c r="B1580" s="34" t="s">
        <v>1905</v>
      </c>
      <c r="C1580" s="29" t="str">
        <f>VLOOKUP(B1580,教育部大学名单!$B$1:$D$2920,3,FALSE)</f>
        <v>吉林省</v>
      </c>
      <c r="D1580" s="34" t="s">
        <v>273</v>
      </c>
      <c r="E1580" s="34" t="s">
        <v>294</v>
      </c>
      <c r="F1580" s="36" t="str">
        <f>IFERROR(VLOOKUP(B1580,'985'!$B$2:$D$40,3,FALSE),"")</f>
        <v/>
      </c>
      <c r="G1580" s="32" t="str">
        <f>IFERROR(VLOOKUP(B1580,'211'!$B$2:$D$116,3,FALSE),"")</f>
        <v/>
      </c>
      <c r="H1580" s="32" t="str">
        <f>IFERROR(VLOOKUP(B1580,双一流!$B$2:$D$148,3,FALSE),"")</f>
        <v/>
      </c>
      <c r="I1580" s="32" t="str">
        <f>IFERROR(VLOOKUP(B1580,汇总!$B$2:$I$2921,8,FALSE),"")</f>
        <v>医药</v>
      </c>
      <c r="J1580" s="34" t="s">
        <v>1700</v>
      </c>
      <c r="K1580" s="34" t="s">
        <v>12</v>
      </c>
    </row>
    <row r="1581" ht="33.75" spans="1:11">
      <c r="A1581" s="34">
        <v>1580</v>
      </c>
      <c r="B1581" s="29" t="s">
        <v>1906</v>
      </c>
      <c r="C1581" s="29" t="str">
        <f>VLOOKUP(B1581,教育部大学名单!$B$1:$D$2920,3,FALSE)</f>
        <v>吉林省</v>
      </c>
      <c r="D1581" s="29" t="s">
        <v>273</v>
      </c>
      <c r="E1581" s="29" t="s">
        <v>1907</v>
      </c>
      <c r="F1581" s="36" t="str">
        <f>IFERROR(VLOOKUP(B1581,'985'!$B$2:$D$40,3,FALSE),"")</f>
        <v/>
      </c>
      <c r="G1581" s="32" t="str">
        <f>IFERROR(VLOOKUP(B1581,'211'!$B$2:$D$116,3,FALSE),"")</f>
        <v/>
      </c>
      <c r="H1581" s="32" t="str">
        <f>IFERROR(VLOOKUP(B1581,双一流!$B$2:$D$148,3,FALSE),"")</f>
        <v/>
      </c>
      <c r="I1581" s="32">
        <f>IFERROR(VLOOKUP(B1581,汇总!$B$2:$I$2921,8,FALSE),"")</f>
        <v>0</v>
      </c>
      <c r="J1581" s="29" t="s">
        <v>1700</v>
      </c>
      <c r="K1581" s="29" t="s">
        <v>12</v>
      </c>
    </row>
    <row r="1582" ht="33.75" spans="1:11">
      <c r="A1582" s="29">
        <v>1581</v>
      </c>
      <c r="B1582" s="34" t="s">
        <v>1908</v>
      </c>
      <c r="C1582" s="29" t="str">
        <f>VLOOKUP(B1582,教育部大学名单!$B$1:$D$2920,3,FALSE)</f>
        <v>吉林省</v>
      </c>
      <c r="D1582" s="34" t="s">
        <v>273</v>
      </c>
      <c r="E1582" s="34" t="s">
        <v>294</v>
      </c>
      <c r="F1582" s="36" t="str">
        <f>IFERROR(VLOOKUP(B1582,'985'!$B$2:$D$40,3,FALSE),"")</f>
        <v/>
      </c>
      <c r="G1582" s="32" t="str">
        <f>IFERROR(VLOOKUP(B1582,'211'!$B$2:$D$116,3,FALSE),"")</f>
        <v/>
      </c>
      <c r="H1582" s="32" t="str">
        <f>IFERROR(VLOOKUP(B1582,双一流!$B$2:$D$148,3,FALSE),"")</f>
        <v/>
      </c>
      <c r="I1582" s="32">
        <f>IFERROR(VLOOKUP(B1582,汇总!$B$2:$I$2921,8,FALSE),"")</f>
        <v>0</v>
      </c>
      <c r="J1582" s="34" t="s">
        <v>1700</v>
      </c>
      <c r="K1582" s="34" t="s">
        <v>12</v>
      </c>
    </row>
    <row r="1583" ht="33.75" spans="1:11">
      <c r="A1583" s="34">
        <v>1582</v>
      </c>
      <c r="B1583" s="29" t="s">
        <v>1909</v>
      </c>
      <c r="C1583" s="29" t="str">
        <f>VLOOKUP(B1583,教育部大学名单!$B$1:$D$2920,3,FALSE)</f>
        <v>吉林省</v>
      </c>
      <c r="D1583" s="29" t="s">
        <v>273</v>
      </c>
      <c r="E1583" s="29" t="s">
        <v>1910</v>
      </c>
      <c r="F1583" s="36" t="str">
        <f>IFERROR(VLOOKUP(B1583,'985'!$B$2:$D$40,3,FALSE),"")</f>
        <v/>
      </c>
      <c r="G1583" s="32" t="str">
        <f>IFERROR(VLOOKUP(B1583,'211'!$B$2:$D$116,3,FALSE),"")</f>
        <v/>
      </c>
      <c r="H1583" s="32" t="str">
        <f>IFERROR(VLOOKUP(B1583,双一流!$B$2:$D$148,3,FALSE),"")</f>
        <v/>
      </c>
      <c r="I1583" s="32">
        <f>IFERROR(VLOOKUP(B1583,汇总!$B$2:$I$2921,8,FALSE),"")</f>
        <v>0</v>
      </c>
      <c r="J1583" s="29" t="s">
        <v>1700</v>
      </c>
      <c r="K1583" s="29" t="s">
        <v>12</v>
      </c>
    </row>
    <row r="1584" ht="33.75" spans="1:11">
      <c r="A1584" s="29">
        <v>1583</v>
      </c>
      <c r="B1584" s="34" t="s">
        <v>1911</v>
      </c>
      <c r="C1584" s="29" t="str">
        <f>VLOOKUP(B1584,教育部大学名单!$B$1:$D$2920,3,FALSE)</f>
        <v>吉林省</v>
      </c>
      <c r="D1584" s="34" t="s">
        <v>273</v>
      </c>
      <c r="E1584" s="34" t="s">
        <v>276</v>
      </c>
      <c r="F1584" s="36" t="str">
        <f>IFERROR(VLOOKUP(B1584,'985'!$B$2:$D$40,3,FALSE),"")</f>
        <v/>
      </c>
      <c r="G1584" s="32" t="str">
        <f>IFERROR(VLOOKUP(B1584,'211'!$B$2:$D$116,3,FALSE),"")</f>
        <v/>
      </c>
      <c r="H1584" s="32" t="str">
        <f>IFERROR(VLOOKUP(B1584,双一流!$B$2:$D$148,3,FALSE),"")</f>
        <v/>
      </c>
      <c r="I1584" s="32">
        <f>IFERROR(VLOOKUP(B1584,汇总!$B$2:$I$2921,8,FALSE),"")</f>
        <v>0</v>
      </c>
      <c r="J1584" s="34" t="s">
        <v>1700</v>
      </c>
      <c r="K1584" s="34" t="s">
        <v>12</v>
      </c>
    </row>
    <row r="1585" ht="33.75" spans="1:11">
      <c r="A1585" s="34">
        <v>1584</v>
      </c>
      <c r="B1585" s="29" t="s">
        <v>1912</v>
      </c>
      <c r="C1585" s="29" t="str">
        <f>VLOOKUP(B1585,教育部大学名单!$B$1:$D$2920,3,FALSE)</f>
        <v>吉林省</v>
      </c>
      <c r="D1585" s="29" t="s">
        <v>273</v>
      </c>
      <c r="E1585" s="29" t="s">
        <v>274</v>
      </c>
      <c r="F1585" s="36" t="str">
        <f>IFERROR(VLOOKUP(B1585,'985'!$B$2:$D$40,3,FALSE),"")</f>
        <v/>
      </c>
      <c r="G1585" s="32" t="str">
        <f>IFERROR(VLOOKUP(B1585,'211'!$B$2:$D$116,3,FALSE),"")</f>
        <v/>
      </c>
      <c r="H1585" s="32" t="str">
        <f>IFERROR(VLOOKUP(B1585,双一流!$B$2:$D$148,3,FALSE),"")</f>
        <v/>
      </c>
      <c r="I1585" s="32">
        <f>IFERROR(VLOOKUP(B1585,汇总!$B$2:$I$2921,8,FALSE),"")</f>
        <v>0</v>
      </c>
      <c r="J1585" s="29" t="s">
        <v>1700</v>
      </c>
      <c r="K1585" s="29" t="s">
        <v>12</v>
      </c>
    </row>
    <row r="1586" ht="50.25" spans="1:11">
      <c r="A1586" s="29">
        <v>1585</v>
      </c>
      <c r="B1586" s="34" t="s">
        <v>1913</v>
      </c>
      <c r="C1586" s="29" t="str">
        <f>VLOOKUP(B1586,教育部大学名单!$B$1:$D$2920,3,FALSE)</f>
        <v>吉林省</v>
      </c>
      <c r="D1586" s="34" t="s">
        <v>273</v>
      </c>
      <c r="E1586" s="34" t="s">
        <v>279</v>
      </c>
      <c r="F1586" s="36" t="str">
        <f>IFERROR(VLOOKUP(B1586,'985'!$B$2:$D$40,3,FALSE),"")</f>
        <v/>
      </c>
      <c r="G1586" s="32" t="str">
        <f>IFERROR(VLOOKUP(B1586,'211'!$B$2:$D$116,3,FALSE),"")</f>
        <v/>
      </c>
      <c r="H1586" s="32" t="str">
        <f>IFERROR(VLOOKUP(B1586,双一流!$B$2:$D$148,3,FALSE),"")</f>
        <v/>
      </c>
      <c r="I1586" s="32">
        <f>IFERROR(VLOOKUP(B1586,汇总!$B$2:$I$2921,8,FALSE),"")</f>
        <v>0</v>
      </c>
      <c r="J1586" s="34" t="s">
        <v>1700</v>
      </c>
      <c r="K1586" s="34" t="s">
        <v>12</v>
      </c>
    </row>
    <row r="1587" ht="33.75" spans="1:11">
      <c r="A1587" s="34">
        <v>1586</v>
      </c>
      <c r="B1587" s="29" t="s">
        <v>1914</v>
      </c>
      <c r="C1587" s="29" t="str">
        <f>VLOOKUP(B1587,教育部大学名单!$B$1:$D$2920,3,FALSE)</f>
        <v>吉林省</v>
      </c>
      <c r="D1587" s="29" t="s">
        <v>273</v>
      </c>
      <c r="E1587" s="29" t="s">
        <v>288</v>
      </c>
      <c r="F1587" s="36" t="str">
        <f>IFERROR(VLOOKUP(B1587,'985'!$B$2:$D$40,3,FALSE),"")</f>
        <v/>
      </c>
      <c r="G1587" s="32" t="str">
        <f>IFERROR(VLOOKUP(B1587,'211'!$B$2:$D$116,3,FALSE),"")</f>
        <v/>
      </c>
      <c r="H1587" s="32" t="str">
        <f>IFERROR(VLOOKUP(B1587,双一流!$B$2:$D$148,3,FALSE),"")</f>
        <v/>
      </c>
      <c r="I1587" s="32">
        <f>IFERROR(VLOOKUP(B1587,汇总!$B$2:$I$2921,8,FALSE),"")</f>
        <v>0</v>
      </c>
      <c r="J1587" s="29" t="s">
        <v>1700</v>
      </c>
      <c r="K1587" s="29" t="s">
        <v>12</v>
      </c>
    </row>
    <row r="1588" ht="50.25" spans="1:11">
      <c r="A1588" s="29">
        <v>1587</v>
      </c>
      <c r="B1588" s="34" t="s">
        <v>1915</v>
      </c>
      <c r="C1588" s="29" t="str">
        <f>VLOOKUP(B1588,教育部大学名单!$B$1:$D$2920,3,FALSE)</f>
        <v>黑龙江省</v>
      </c>
      <c r="D1588" s="34" t="s">
        <v>308</v>
      </c>
      <c r="E1588" s="34" t="s">
        <v>327</v>
      </c>
      <c r="F1588" s="36" t="str">
        <f>IFERROR(VLOOKUP(B1588,'985'!$B$2:$D$40,3,FALSE),"")</f>
        <v/>
      </c>
      <c r="G1588" s="32" t="str">
        <f>IFERROR(VLOOKUP(B1588,'211'!$B$2:$D$116,3,FALSE),"")</f>
        <v/>
      </c>
      <c r="H1588" s="32" t="str">
        <f>IFERROR(VLOOKUP(B1588,双一流!$B$2:$D$148,3,FALSE),"")</f>
        <v/>
      </c>
      <c r="I1588" s="32" t="str">
        <f>IFERROR(VLOOKUP(B1588,汇总!$B$2:$I$2921,8,FALSE),"")</f>
        <v>师范</v>
      </c>
      <c r="J1588" s="34" t="s">
        <v>1700</v>
      </c>
      <c r="K1588" s="34" t="s">
        <v>12</v>
      </c>
    </row>
    <row r="1589" ht="33.75" spans="1:11">
      <c r="A1589" s="34">
        <v>1588</v>
      </c>
      <c r="B1589" s="29" t="s">
        <v>1916</v>
      </c>
      <c r="C1589" s="29" t="str">
        <f>VLOOKUP(B1589,教育部大学名单!$B$1:$D$2920,3,FALSE)</f>
        <v>黑龙江省</v>
      </c>
      <c r="D1589" s="29" t="s">
        <v>308</v>
      </c>
      <c r="E1589" s="29" t="s">
        <v>1917</v>
      </c>
      <c r="F1589" s="36" t="str">
        <f>IFERROR(VLOOKUP(B1589,'985'!$B$2:$D$40,3,FALSE),"")</f>
        <v/>
      </c>
      <c r="G1589" s="32" t="str">
        <f>IFERROR(VLOOKUP(B1589,'211'!$B$2:$D$116,3,FALSE),"")</f>
        <v/>
      </c>
      <c r="H1589" s="32" t="str">
        <f>IFERROR(VLOOKUP(B1589,双一流!$B$2:$D$148,3,FALSE),"")</f>
        <v/>
      </c>
      <c r="I1589" s="32" t="str">
        <f>IFERROR(VLOOKUP(B1589,汇总!$B$2:$I$2921,8,FALSE),"")</f>
        <v>综合</v>
      </c>
      <c r="J1589" s="29" t="s">
        <v>1700</v>
      </c>
      <c r="K1589" s="29" t="s">
        <v>12</v>
      </c>
    </row>
    <row r="1590" ht="17.25" spans="1:11">
      <c r="A1590" s="29">
        <v>1589</v>
      </c>
      <c r="B1590" s="34" t="s">
        <v>1918</v>
      </c>
      <c r="C1590" s="29" t="str">
        <f>VLOOKUP(B1590,教育部大学名单!$B$1:$D$2920,3,FALSE)</f>
        <v>黑龙江省</v>
      </c>
      <c r="D1590" s="34" t="s">
        <v>308</v>
      </c>
      <c r="E1590" s="34" t="s">
        <v>324</v>
      </c>
      <c r="F1590" s="36" t="str">
        <f>IFERROR(VLOOKUP(B1590,'985'!$B$2:$D$40,3,FALSE),"")</f>
        <v/>
      </c>
      <c r="G1590" s="32" t="str">
        <f>IFERROR(VLOOKUP(B1590,'211'!$B$2:$D$116,3,FALSE),"")</f>
        <v/>
      </c>
      <c r="H1590" s="32" t="str">
        <f>IFERROR(VLOOKUP(B1590,双一流!$B$2:$D$148,3,FALSE),"")</f>
        <v/>
      </c>
      <c r="I1590" s="32" t="str">
        <f>IFERROR(VLOOKUP(B1590,汇总!$B$2:$I$2921,8,FALSE),"")</f>
        <v>综合</v>
      </c>
      <c r="J1590" s="34" t="s">
        <v>1700</v>
      </c>
      <c r="K1590" s="34" t="s">
        <v>12</v>
      </c>
    </row>
    <row r="1591" ht="33.75" spans="1:11">
      <c r="A1591" s="34">
        <v>1590</v>
      </c>
      <c r="B1591" s="29" t="s">
        <v>1919</v>
      </c>
      <c r="C1591" s="29" t="str">
        <f>VLOOKUP(B1591,教育部大学名单!$B$1:$D$2920,3,FALSE)</f>
        <v>黑龙江省</v>
      </c>
      <c r="D1591" s="29" t="s">
        <v>308</v>
      </c>
      <c r="E1591" s="29" t="s">
        <v>309</v>
      </c>
      <c r="F1591" s="36" t="str">
        <f>IFERROR(VLOOKUP(B1591,'985'!$B$2:$D$40,3,FALSE),"")</f>
        <v/>
      </c>
      <c r="G1591" s="32" t="str">
        <f>IFERROR(VLOOKUP(B1591,'211'!$B$2:$D$116,3,FALSE),"")</f>
        <v/>
      </c>
      <c r="H1591" s="32" t="str">
        <f>IFERROR(VLOOKUP(B1591,双一流!$B$2:$D$148,3,FALSE),"")</f>
        <v/>
      </c>
      <c r="I1591" s="32" t="str">
        <f>IFERROR(VLOOKUP(B1591,汇总!$B$2:$I$2921,8,FALSE),"")</f>
        <v>综合</v>
      </c>
      <c r="J1591" s="29" t="s">
        <v>1700</v>
      </c>
      <c r="K1591" s="29" t="s">
        <v>12</v>
      </c>
    </row>
    <row r="1592" ht="33.75" spans="1:11">
      <c r="A1592" s="29">
        <v>1591</v>
      </c>
      <c r="B1592" s="34" t="s">
        <v>1920</v>
      </c>
      <c r="C1592" s="29" t="str">
        <f>VLOOKUP(B1592,教育部大学名单!$B$1:$D$2920,3,FALSE)</f>
        <v>黑龙江省</v>
      </c>
      <c r="D1592" s="34" t="s">
        <v>308</v>
      </c>
      <c r="E1592" s="34" t="s">
        <v>309</v>
      </c>
      <c r="F1592" s="36" t="str">
        <f>IFERROR(VLOOKUP(B1592,'985'!$B$2:$D$40,3,FALSE),"")</f>
        <v/>
      </c>
      <c r="G1592" s="32" t="str">
        <f>IFERROR(VLOOKUP(B1592,'211'!$B$2:$D$116,3,FALSE),"")</f>
        <v/>
      </c>
      <c r="H1592" s="32" t="str">
        <f>IFERROR(VLOOKUP(B1592,双一流!$B$2:$D$148,3,FALSE),"")</f>
        <v/>
      </c>
      <c r="I1592" s="32">
        <f>IFERROR(VLOOKUP(B1592,汇总!$B$2:$I$2921,8,FALSE),"")</f>
        <v>0</v>
      </c>
      <c r="J1592" s="34" t="s">
        <v>1700</v>
      </c>
      <c r="K1592" s="34" t="s">
        <v>12</v>
      </c>
    </row>
    <row r="1593" ht="33.75" spans="1:11">
      <c r="A1593" s="34">
        <v>1592</v>
      </c>
      <c r="B1593" s="29" t="s">
        <v>1921</v>
      </c>
      <c r="C1593" s="29" t="str">
        <f>VLOOKUP(B1593,教育部大学名单!$B$1:$D$2920,3,FALSE)</f>
        <v>黑龙江省</v>
      </c>
      <c r="D1593" s="29" t="s">
        <v>308</v>
      </c>
      <c r="E1593" s="29" t="s">
        <v>315</v>
      </c>
      <c r="F1593" s="36" t="str">
        <f>IFERROR(VLOOKUP(B1593,'985'!$B$2:$D$40,3,FALSE),"")</f>
        <v/>
      </c>
      <c r="G1593" s="32" t="str">
        <f>IFERROR(VLOOKUP(B1593,'211'!$B$2:$D$116,3,FALSE),"")</f>
        <v/>
      </c>
      <c r="H1593" s="32" t="str">
        <f>IFERROR(VLOOKUP(B1593,双一流!$B$2:$D$148,3,FALSE),"")</f>
        <v/>
      </c>
      <c r="I1593" s="32" t="str">
        <f>IFERROR(VLOOKUP(B1593,汇总!$B$2:$I$2921,8,FALSE),"")</f>
        <v>理工</v>
      </c>
      <c r="J1593" s="29" t="s">
        <v>1700</v>
      </c>
      <c r="K1593" s="29" t="s">
        <v>12</v>
      </c>
    </row>
    <row r="1594" ht="50.25" spans="1:11">
      <c r="A1594" s="29">
        <v>1593</v>
      </c>
      <c r="B1594" s="34" t="s">
        <v>1922</v>
      </c>
      <c r="C1594" s="29" t="str">
        <f>VLOOKUP(B1594,教育部大学名单!$B$1:$D$2920,3,FALSE)</f>
        <v>黑龙江省</v>
      </c>
      <c r="D1594" s="34" t="s">
        <v>308</v>
      </c>
      <c r="E1594" s="34" t="s">
        <v>324</v>
      </c>
      <c r="F1594" s="36" t="str">
        <f>IFERROR(VLOOKUP(B1594,'985'!$B$2:$D$40,3,FALSE),"")</f>
        <v/>
      </c>
      <c r="G1594" s="32" t="str">
        <f>IFERROR(VLOOKUP(B1594,'211'!$B$2:$D$116,3,FALSE),"")</f>
        <v/>
      </c>
      <c r="H1594" s="32" t="str">
        <f>IFERROR(VLOOKUP(B1594,双一流!$B$2:$D$148,3,FALSE),"")</f>
        <v/>
      </c>
      <c r="I1594" s="32" t="str">
        <f>IFERROR(VLOOKUP(B1594,汇总!$B$2:$I$2921,8,FALSE),"")</f>
        <v>综合</v>
      </c>
      <c r="J1594" s="34" t="s">
        <v>1700</v>
      </c>
      <c r="K1594" s="34" t="s">
        <v>12</v>
      </c>
    </row>
    <row r="1595" ht="50.25" spans="1:11">
      <c r="A1595" s="34">
        <v>1594</v>
      </c>
      <c r="B1595" s="29" t="s">
        <v>1923</v>
      </c>
      <c r="C1595" s="29" t="str">
        <f>VLOOKUP(B1595,教育部大学名单!$B$1:$D$2920,3,FALSE)</f>
        <v>黑龙江省</v>
      </c>
      <c r="D1595" s="29" t="s">
        <v>308</v>
      </c>
      <c r="E1595" s="29" t="s">
        <v>317</v>
      </c>
      <c r="F1595" s="36" t="str">
        <f>IFERROR(VLOOKUP(B1595,'985'!$B$2:$D$40,3,FALSE),"")</f>
        <v/>
      </c>
      <c r="G1595" s="32" t="str">
        <f>IFERROR(VLOOKUP(B1595,'211'!$B$2:$D$116,3,FALSE),"")</f>
        <v/>
      </c>
      <c r="H1595" s="32" t="str">
        <f>IFERROR(VLOOKUP(B1595,双一流!$B$2:$D$148,3,FALSE),"")</f>
        <v/>
      </c>
      <c r="I1595" s="32" t="str">
        <f>IFERROR(VLOOKUP(B1595,汇总!$B$2:$I$2921,8,FALSE),"")</f>
        <v>农林</v>
      </c>
      <c r="J1595" s="29" t="s">
        <v>1700</v>
      </c>
      <c r="K1595" s="29" t="s">
        <v>12</v>
      </c>
    </row>
    <row r="1596" ht="33.75" spans="1:11">
      <c r="A1596" s="29">
        <v>1595</v>
      </c>
      <c r="B1596" s="34" t="s">
        <v>1924</v>
      </c>
      <c r="C1596" s="29" t="str">
        <f>VLOOKUP(B1596,教育部大学名单!$B$1:$D$2920,3,FALSE)</f>
        <v>黑龙江省</v>
      </c>
      <c r="D1596" s="34" t="s">
        <v>308</v>
      </c>
      <c r="E1596" s="34" t="s">
        <v>309</v>
      </c>
      <c r="F1596" s="36" t="str">
        <f>IFERROR(VLOOKUP(B1596,'985'!$B$2:$D$40,3,FALSE),"")</f>
        <v/>
      </c>
      <c r="G1596" s="32" t="str">
        <f>IFERROR(VLOOKUP(B1596,'211'!$B$2:$D$116,3,FALSE),"")</f>
        <v/>
      </c>
      <c r="H1596" s="32" t="str">
        <f>IFERROR(VLOOKUP(B1596,双一流!$B$2:$D$148,3,FALSE),"")</f>
        <v/>
      </c>
      <c r="I1596" s="32" t="str">
        <f>IFERROR(VLOOKUP(B1596,汇总!$B$2:$I$2921,8,FALSE),"")</f>
        <v>综合</v>
      </c>
      <c r="J1596" s="34" t="s">
        <v>1700</v>
      </c>
      <c r="K1596" s="34" t="s">
        <v>12</v>
      </c>
    </row>
    <row r="1597" ht="50.25" spans="1:11">
      <c r="A1597" s="34">
        <v>1596</v>
      </c>
      <c r="B1597" s="29" t="s">
        <v>1925</v>
      </c>
      <c r="C1597" s="29" t="str">
        <f>VLOOKUP(B1597,教育部大学名单!$B$1:$D$2920,3,FALSE)</f>
        <v>黑龙江省</v>
      </c>
      <c r="D1597" s="29" t="s">
        <v>308</v>
      </c>
      <c r="E1597" s="29" t="s">
        <v>309</v>
      </c>
      <c r="F1597" s="36" t="str">
        <f>IFERROR(VLOOKUP(B1597,'985'!$B$2:$D$40,3,FALSE),"")</f>
        <v/>
      </c>
      <c r="G1597" s="32" t="str">
        <f>IFERROR(VLOOKUP(B1597,'211'!$B$2:$D$116,3,FALSE),"")</f>
        <v/>
      </c>
      <c r="H1597" s="32" t="str">
        <f>IFERROR(VLOOKUP(B1597,双一流!$B$2:$D$148,3,FALSE),"")</f>
        <v/>
      </c>
      <c r="I1597" s="32" t="str">
        <f>IFERROR(VLOOKUP(B1597,汇总!$B$2:$I$2921,8,FALSE),"")</f>
        <v>政法</v>
      </c>
      <c r="J1597" s="29" t="s">
        <v>1700</v>
      </c>
      <c r="K1597" s="29" t="s">
        <v>12</v>
      </c>
    </row>
    <row r="1598" ht="33.75" spans="1:11">
      <c r="A1598" s="29">
        <v>1597</v>
      </c>
      <c r="B1598" s="34" t="s">
        <v>1926</v>
      </c>
      <c r="C1598" s="29" t="str">
        <f>VLOOKUP(B1598,教育部大学名单!$B$1:$D$2920,3,FALSE)</f>
        <v>黑龙江省</v>
      </c>
      <c r="D1598" s="34" t="s">
        <v>308</v>
      </c>
      <c r="E1598" s="34" t="s">
        <v>1927</v>
      </c>
      <c r="F1598" s="36" t="str">
        <f>IFERROR(VLOOKUP(B1598,'985'!$B$2:$D$40,3,FALSE),"")</f>
        <v/>
      </c>
      <c r="G1598" s="32" t="str">
        <f>IFERROR(VLOOKUP(B1598,'211'!$B$2:$D$116,3,FALSE),"")</f>
        <v/>
      </c>
      <c r="H1598" s="32" t="str">
        <f>IFERROR(VLOOKUP(B1598,双一流!$B$2:$D$148,3,FALSE),"")</f>
        <v/>
      </c>
      <c r="I1598" s="32" t="str">
        <f>IFERROR(VLOOKUP(B1598,汇总!$B$2:$I$2921,8,FALSE),"")</f>
        <v>师范</v>
      </c>
      <c r="J1598" s="34" t="s">
        <v>1700</v>
      </c>
      <c r="K1598" s="34" t="s">
        <v>12</v>
      </c>
    </row>
    <row r="1599" ht="50.25" spans="1:11">
      <c r="A1599" s="34">
        <v>1598</v>
      </c>
      <c r="B1599" s="29" t="s">
        <v>1928</v>
      </c>
      <c r="C1599" s="29" t="str">
        <f>VLOOKUP(B1599,教育部大学名单!$B$1:$D$2920,3,FALSE)</f>
        <v>黑龙江省</v>
      </c>
      <c r="D1599" s="29" t="s">
        <v>308</v>
      </c>
      <c r="E1599" s="29" t="s">
        <v>309</v>
      </c>
      <c r="F1599" s="36" t="str">
        <f>IFERROR(VLOOKUP(B1599,'985'!$B$2:$D$40,3,FALSE),"")</f>
        <v/>
      </c>
      <c r="G1599" s="32" t="str">
        <f>IFERROR(VLOOKUP(B1599,'211'!$B$2:$D$116,3,FALSE),"")</f>
        <v/>
      </c>
      <c r="H1599" s="32" t="str">
        <f>IFERROR(VLOOKUP(B1599,双一流!$B$2:$D$148,3,FALSE),"")</f>
        <v/>
      </c>
      <c r="I1599" s="32" t="str">
        <f>IFERROR(VLOOKUP(B1599,汇总!$B$2:$I$2921,8,FALSE),"")</f>
        <v>理工</v>
      </c>
      <c r="J1599" s="29" t="s">
        <v>1700</v>
      </c>
      <c r="K1599" s="29" t="s">
        <v>12</v>
      </c>
    </row>
    <row r="1600" ht="50.25" spans="1:11">
      <c r="A1600" s="29">
        <v>1599</v>
      </c>
      <c r="B1600" s="34" t="s">
        <v>1929</v>
      </c>
      <c r="C1600" s="29" t="str">
        <f>VLOOKUP(B1600,教育部大学名单!$B$1:$D$2920,3,FALSE)</f>
        <v>黑龙江省</v>
      </c>
      <c r="D1600" s="34" t="s">
        <v>308</v>
      </c>
      <c r="E1600" s="34" t="s">
        <v>309</v>
      </c>
      <c r="F1600" s="36" t="str">
        <f>IFERROR(VLOOKUP(B1600,'985'!$B$2:$D$40,3,FALSE),"")</f>
        <v/>
      </c>
      <c r="G1600" s="32" t="str">
        <f>IFERROR(VLOOKUP(B1600,'211'!$B$2:$D$116,3,FALSE),"")</f>
        <v/>
      </c>
      <c r="H1600" s="32" t="str">
        <f>IFERROR(VLOOKUP(B1600,双一流!$B$2:$D$148,3,FALSE),"")</f>
        <v/>
      </c>
      <c r="I1600" s="32" t="str">
        <f>IFERROR(VLOOKUP(B1600,汇总!$B$2:$I$2921,8,FALSE),"")</f>
        <v>理工</v>
      </c>
      <c r="J1600" s="34" t="s">
        <v>1700</v>
      </c>
      <c r="K1600" s="34" t="s">
        <v>12</v>
      </c>
    </row>
    <row r="1601" ht="33.75" spans="1:11">
      <c r="A1601" s="34">
        <v>1600</v>
      </c>
      <c r="B1601" s="29" t="s">
        <v>1930</v>
      </c>
      <c r="C1601" s="29" t="str">
        <f>VLOOKUP(B1601,教育部大学名单!$B$1:$D$2920,3,FALSE)</f>
        <v>黑龙江省</v>
      </c>
      <c r="D1601" s="29" t="s">
        <v>308</v>
      </c>
      <c r="E1601" s="29" t="s">
        <v>1931</v>
      </c>
      <c r="F1601" s="36" t="str">
        <f>IFERROR(VLOOKUP(B1601,'985'!$B$2:$D$40,3,FALSE),"")</f>
        <v/>
      </c>
      <c r="G1601" s="32" t="str">
        <f>IFERROR(VLOOKUP(B1601,'211'!$B$2:$D$116,3,FALSE),"")</f>
        <v/>
      </c>
      <c r="H1601" s="32" t="str">
        <f>IFERROR(VLOOKUP(B1601,双一流!$B$2:$D$148,3,FALSE),"")</f>
        <v/>
      </c>
      <c r="I1601" s="32" t="str">
        <f>IFERROR(VLOOKUP(B1601,汇总!$B$2:$I$2921,8,FALSE),"")</f>
        <v>综合</v>
      </c>
      <c r="J1601" s="29" t="s">
        <v>1700</v>
      </c>
      <c r="K1601" s="29" t="s">
        <v>12</v>
      </c>
    </row>
    <row r="1602" ht="50.25" spans="1:11">
      <c r="A1602" s="29">
        <v>1601</v>
      </c>
      <c r="B1602" s="34" t="s">
        <v>1932</v>
      </c>
      <c r="C1602" s="29" t="str">
        <f>VLOOKUP(B1602,教育部大学名单!$B$1:$D$2920,3,FALSE)</f>
        <v>黑龙江省</v>
      </c>
      <c r="D1602" s="34" t="s">
        <v>308</v>
      </c>
      <c r="E1602" s="34" t="s">
        <v>324</v>
      </c>
      <c r="F1602" s="36" t="str">
        <f>IFERROR(VLOOKUP(B1602,'985'!$B$2:$D$40,3,FALSE),"")</f>
        <v/>
      </c>
      <c r="G1602" s="32" t="str">
        <f>IFERROR(VLOOKUP(B1602,'211'!$B$2:$D$116,3,FALSE),"")</f>
        <v/>
      </c>
      <c r="H1602" s="32" t="str">
        <f>IFERROR(VLOOKUP(B1602,双一流!$B$2:$D$148,3,FALSE),"")</f>
        <v/>
      </c>
      <c r="I1602" s="32" t="str">
        <f>IFERROR(VLOOKUP(B1602,汇总!$B$2:$I$2921,8,FALSE),"")</f>
        <v>农林</v>
      </c>
      <c r="J1602" s="34" t="s">
        <v>1700</v>
      </c>
      <c r="K1602" s="34" t="s">
        <v>12</v>
      </c>
    </row>
    <row r="1603" ht="33.75" spans="1:11">
      <c r="A1603" s="34">
        <v>1602</v>
      </c>
      <c r="B1603" s="29" t="s">
        <v>1933</v>
      </c>
      <c r="C1603" s="29" t="str">
        <f>VLOOKUP(B1603,教育部大学名单!$B$1:$D$2920,3,FALSE)</f>
        <v>黑龙江省</v>
      </c>
      <c r="D1603" s="29" t="s">
        <v>308</v>
      </c>
      <c r="E1603" s="29" t="s">
        <v>324</v>
      </c>
      <c r="F1603" s="36" t="str">
        <f>IFERROR(VLOOKUP(B1603,'985'!$B$2:$D$40,3,FALSE),"")</f>
        <v/>
      </c>
      <c r="G1603" s="32" t="str">
        <f>IFERROR(VLOOKUP(B1603,'211'!$B$2:$D$116,3,FALSE),"")</f>
        <v/>
      </c>
      <c r="H1603" s="32" t="str">
        <f>IFERROR(VLOOKUP(B1603,双一流!$B$2:$D$148,3,FALSE),"")</f>
        <v/>
      </c>
      <c r="I1603" s="32">
        <f>IFERROR(VLOOKUP(B1603,汇总!$B$2:$I$2921,8,FALSE),"")</f>
        <v>0</v>
      </c>
      <c r="J1603" s="29" t="s">
        <v>1700</v>
      </c>
      <c r="K1603" s="29" t="s">
        <v>12</v>
      </c>
    </row>
    <row r="1604" ht="50.25" spans="1:11">
      <c r="A1604" s="29">
        <v>1603</v>
      </c>
      <c r="B1604" s="34" t="s">
        <v>1934</v>
      </c>
      <c r="C1604" s="29" t="str">
        <f>VLOOKUP(B1604,教育部大学名单!$B$1:$D$2920,3,FALSE)</f>
        <v>黑龙江省</v>
      </c>
      <c r="D1604" s="34" t="s">
        <v>308</v>
      </c>
      <c r="E1604" s="34" t="s">
        <v>309</v>
      </c>
      <c r="F1604" s="36" t="str">
        <f>IFERROR(VLOOKUP(B1604,'985'!$B$2:$D$40,3,FALSE),"")</f>
        <v/>
      </c>
      <c r="G1604" s="32" t="str">
        <f>IFERROR(VLOOKUP(B1604,'211'!$B$2:$D$116,3,FALSE),"")</f>
        <v/>
      </c>
      <c r="H1604" s="32" t="str">
        <f>IFERROR(VLOOKUP(B1604,双一流!$B$2:$D$148,3,FALSE),"")</f>
        <v/>
      </c>
      <c r="I1604" s="32" t="str">
        <f>IFERROR(VLOOKUP(B1604,汇总!$B$2:$I$2921,8,FALSE),"")</f>
        <v>政法</v>
      </c>
      <c r="J1604" s="34" t="s">
        <v>1700</v>
      </c>
      <c r="K1604" s="34" t="s">
        <v>12</v>
      </c>
    </row>
    <row r="1605" ht="50.25" spans="1:11">
      <c r="A1605" s="34">
        <v>1604</v>
      </c>
      <c r="B1605" s="29" t="s">
        <v>1935</v>
      </c>
      <c r="C1605" s="29" t="str">
        <f>VLOOKUP(B1605,教育部大学名单!$B$1:$D$2920,3,FALSE)</f>
        <v>黑龙江省</v>
      </c>
      <c r="D1605" s="29" t="s">
        <v>308</v>
      </c>
      <c r="E1605" s="29" t="s">
        <v>309</v>
      </c>
      <c r="F1605" s="36" t="str">
        <f>IFERROR(VLOOKUP(B1605,'985'!$B$2:$D$40,3,FALSE),"")</f>
        <v/>
      </c>
      <c r="G1605" s="32" t="str">
        <f>IFERROR(VLOOKUP(B1605,'211'!$B$2:$D$116,3,FALSE),"")</f>
        <v/>
      </c>
      <c r="H1605" s="32" t="str">
        <f>IFERROR(VLOOKUP(B1605,双一流!$B$2:$D$148,3,FALSE),"")</f>
        <v/>
      </c>
      <c r="I1605" s="32" t="str">
        <f>IFERROR(VLOOKUP(B1605,汇总!$B$2:$I$2921,8,FALSE),"")</f>
        <v>管理</v>
      </c>
      <c r="J1605" s="29" t="s">
        <v>1700</v>
      </c>
      <c r="K1605" s="29" t="s">
        <v>12</v>
      </c>
    </row>
    <row r="1606" ht="50.25" spans="1:11">
      <c r="A1606" s="29">
        <v>1605</v>
      </c>
      <c r="B1606" s="34" t="s">
        <v>1936</v>
      </c>
      <c r="C1606" s="29" t="str">
        <f>VLOOKUP(B1606,教育部大学名单!$B$1:$D$2920,3,FALSE)</f>
        <v>黑龙江省</v>
      </c>
      <c r="D1606" s="34" t="s">
        <v>308</v>
      </c>
      <c r="E1606" s="34" t="s">
        <v>309</v>
      </c>
      <c r="F1606" s="36" t="str">
        <f>IFERROR(VLOOKUP(B1606,'985'!$B$2:$D$40,3,FALSE),"")</f>
        <v/>
      </c>
      <c r="G1606" s="32" t="str">
        <f>IFERROR(VLOOKUP(B1606,'211'!$B$2:$D$116,3,FALSE),"")</f>
        <v/>
      </c>
      <c r="H1606" s="32" t="str">
        <f>IFERROR(VLOOKUP(B1606,双一流!$B$2:$D$148,3,FALSE),"")</f>
        <v/>
      </c>
      <c r="I1606" s="32" t="str">
        <f>IFERROR(VLOOKUP(B1606,汇总!$B$2:$I$2921,8,FALSE),"")</f>
        <v>农林</v>
      </c>
      <c r="J1606" s="34" t="s">
        <v>1700</v>
      </c>
      <c r="K1606" s="34" t="s">
        <v>12</v>
      </c>
    </row>
    <row r="1607" ht="33.75" spans="1:11">
      <c r="A1607" s="34">
        <v>1606</v>
      </c>
      <c r="B1607" s="29" t="s">
        <v>1937</v>
      </c>
      <c r="C1607" s="29" t="str">
        <f>VLOOKUP(B1607,教育部大学名单!$B$1:$D$2920,3,FALSE)</f>
        <v>黑龙江省</v>
      </c>
      <c r="D1607" s="29" t="s">
        <v>308</v>
      </c>
      <c r="E1607" s="29" t="s">
        <v>1938</v>
      </c>
      <c r="F1607" s="36" t="str">
        <f>IFERROR(VLOOKUP(B1607,'985'!$B$2:$D$40,3,FALSE),"")</f>
        <v/>
      </c>
      <c r="G1607" s="32" t="str">
        <f>IFERROR(VLOOKUP(B1607,'211'!$B$2:$D$116,3,FALSE),"")</f>
        <v/>
      </c>
      <c r="H1607" s="32" t="str">
        <f>IFERROR(VLOOKUP(B1607,双一流!$B$2:$D$148,3,FALSE),"")</f>
        <v/>
      </c>
      <c r="I1607" s="32">
        <f>IFERROR(VLOOKUP(B1607,汇总!$B$2:$I$2921,8,FALSE),"")</f>
        <v>0</v>
      </c>
      <c r="J1607" s="29" t="s">
        <v>1700</v>
      </c>
      <c r="K1607" s="29" t="s">
        <v>12</v>
      </c>
    </row>
    <row r="1608" ht="33.75" spans="1:11">
      <c r="A1608" s="29">
        <v>1607</v>
      </c>
      <c r="B1608" s="34" t="s">
        <v>1939</v>
      </c>
      <c r="C1608" s="29" t="str">
        <f>VLOOKUP(B1608,教育部大学名单!$B$1:$D$2920,3,FALSE)</f>
        <v>黑龙江省</v>
      </c>
      <c r="D1608" s="34" t="s">
        <v>308</v>
      </c>
      <c r="E1608" s="34" t="s">
        <v>1940</v>
      </c>
      <c r="F1608" s="36" t="str">
        <f>IFERROR(VLOOKUP(B1608,'985'!$B$2:$D$40,3,FALSE),"")</f>
        <v/>
      </c>
      <c r="G1608" s="32" t="str">
        <f>IFERROR(VLOOKUP(B1608,'211'!$B$2:$D$116,3,FALSE),"")</f>
        <v/>
      </c>
      <c r="H1608" s="32" t="str">
        <f>IFERROR(VLOOKUP(B1608,双一流!$B$2:$D$148,3,FALSE),"")</f>
        <v/>
      </c>
      <c r="I1608" s="32" t="str">
        <f>IFERROR(VLOOKUP(B1608,汇总!$B$2:$I$2921,8,FALSE),"")</f>
        <v>综合</v>
      </c>
      <c r="J1608" s="34" t="s">
        <v>1700</v>
      </c>
      <c r="K1608" s="34" t="s">
        <v>12</v>
      </c>
    </row>
    <row r="1609" ht="33.75" spans="1:11">
      <c r="A1609" s="34">
        <v>1608</v>
      </c>
      <c r="B1609" s="29" t="s">
        <v>1941</v>
      </c>
      <c r="C1609" s="29" t="str">
        <f>VLOOKUP(B1609,教育部大学名单!$B$1:$D$2920,3,FALSE)</f>
        <v>黑龙江省</v>
      </c>
      <c r="D1609" s="29" t="s">
        <v>308</v>
      </c>
      <c r="E1609" s="29" t="s">
        <v>309</v>
      </c>
      <c r="F1609" s="36" t="str">
        <f>IFERROR(VLOOKUP(B1609,'985'!$B$2:$D$40,3,FALSE),"")</f>
        <v/>
      </c>
      <c r="G1609" s="32" t="str">
        <f>IFERROR(VLOOKUP(B1609,'211'!$B$2:$D$116,3,FALSE),"")</f>
        <v/>
      </c>
      <c r="H1609" s="32" t="str">
        <f>IFERROR(VLOOKUP(B1609,双一流!$B$2:$D$148,3,FALSE),"")</f>
        <v/>
      </c>
      <c r="I1609" s="32" t="str">
        <f>IFERROR(VLOOKUP(B1609,汇总!$B$2:$I$2921,8,FALSE),"")</f>
        <v>民族</v>
      </c>
      <c r="J1609" s="29" t="s">
        <v>1700</v>
      </c>
      <c r="K1609" s="29" t="s">
        <v>12</v>
      </c>
    </row>
    <row r="1610" ht="33.75" spans="1:11">
      <c r="A1610" s="29">
        <v>1609</v>
      </c>
      <c r="B1610" s="34" t="s">
        <v>1942</v>
      </c>
      <c r="C1610" s="29" t="str">
        <f>VLOOKUP(B1610,教育部大学名单!$B$1:$D$2920,3,FALSE)</f>
        <v>黑龙江省</v>
      </c>
      <c r="D1610" s="34" t="s">
        <v>308</v>
      </c>
      <c r="E1610" s="34" t="s">
        <v>315</v>
      </c>
      <c r="F1610" s="36" t="str">
        <f>IFERROR(VLOOKUP(B1610,'985'!$B$2:$D$40,3,FALSE),"")</f>
        <v/>
      </c>
      <c r="G1610" s="32" t="str">
        <f>IFERROR(VLOOKUP(B1610,'211'!$B$2:$D$116,3,FALSE),"")</f>
        <v/>
      </c>
      <c r="H1610" s="32" t="str">
        <f>IFERROR(VLOOKUP(B1610,双一流!$B$2:$D$148,3,FALSE),"")</f>
        <v/>
      </c>
      <c r="I1610" s="32" t="str">
        <f>IFERROR(VLOOKUP(B1610,汇总!$B$2:$I$2921,8,FALSE),"")</f>
        <v>医药</v>
      </c>
      <c r="J1610" s="34" t="s">
        <v>1700</v>
      </c>
      <c r="K1610" s="34" t="s">
        <v>12</v>
      </c>
    </row>
    <row r="1611" ht="50.25" spans="1:11">
      <c r="A1611" s="34">
        <v>1610</v>
      </c>
      <c r="B1611" s="29" t="s">
        <v>1943</v>
      </c>
      <c r="C1611" s="29" t="str">
        <f>VLOOKUP(B1611,教育部大学名单!$B$1:$D$2920,3,FALSE)</f>
        <v>黑龙江省</v>
      </c>
      <c r="D1611" s="29" t="s">
        <v>308</v>
      </c>
      <c r="E1611" s="29" t="s">
        <v>309</v>
      </c>
      <c r="F1611" s="36" t="str">
        <f>IFERROR(VLOOKUP(B1611,'985'!$B$2:$D$40,3,FALSE),"")</f>
        <v/>
      </c>
      <c r="G1611" s="32" t="str">
        <f>IFERROR(VLOOKUP(B1611,'211'!$B$2:$D$116,3,FALSE),"")</f>
        <v/>
      </c>
      <c r="H1611" s="32" t="str">
        <f>IFERROR(VLOOKUP(B1611,双一流!$B$2:$D$148,3,FALSE),"")</f>
        <v/>
      </c>
      <c r="I1611" s="32" t="str">
        <f>IFERROR(VLOOKUP(B1611,汇总!$B$2:$I$2921,8,FALSE),"")</f>
        <v>理工</v>
      </c>
      <c r="J1611" s="29" t="s">
        <v>1700</v>
      </c>
      <c r="K1611" s="29" t="s">
        <v>12</v>
      </c>
    </row>
    <row r="1612" ht="50.25" spans="1:11">
      <c r="A1612" s="29">
        <v>1611</v>
      </c>
      <c r="B1612" s="34" t="s">
        <v>1944</v>
      </c>
      <c r="C1612" s="29" t="str">
        <f>VLOOKUP(B1612,教育部大学名单!$B$1:$D$2920,3,FALSE)</f>
        <v>黑龙江省</v>
      </c>
      <c r="D1612" s="34" t="s">
        <v>308</v>
      </c>
      <c r="E1612" s="34" t="s">
        <v>324</v>
      </c>
      <c r="F1612" s="36" t="str">
        <f>IFERROR(VLOOKUP(B1612,'985'!$B$2:$D$40,3,FALSE),"")</f>
        <v/>
      </c>
      <c r="G1612" s="32" t="str">
        <f>IFERROR(VLOOKUP(B1612,'211'!$B$2:$D$116,3,FALSE),"")</f>
        <v/>
      </c>
      <c r="H1612" s="32" t="str">
        <f>IFERROR(VLOOKUP(B1612,双一流!$B$2:$D$148,3,FALSE),"")</f>
        <v/>
      </c>
      <c r="I1612" s="32" t="str">
        <f>IFERROR(VLOOKUP(B1612,汇总!$B$2:$I$2921,8,FALSE),"")</f>
        <v>师范</v>
      </c>
      <c r="J1612" s="34" t="s">
        <v>1700</v>
      </c>
      <c r="K1612" s="34" t="s">
        <v>12</v>
      </c>
    </row>
    <row r="1613" ht="50.25" spans="1:11">
      <c r="A1613" s="34">
        <v>1612</v>
      </c>
      <c r="B1613" s="29" t="s">
        <v>1945</v>
      </c>
      <c r="C1613" s="29" t="str">
        <f>VLOOKUP(B1613,教育部大学名单!$B$1:$D$2920,3,FALSE)</f>
        <v>黑龙江省</v>
      </c>
      <c r="D1613" s="29" t="s">
        <v>308</v>
      </c>
      <c r="E1613" s="29" t="s">
        <v>309</v>
      </c>
      <c r="F1613" s="36" t="str">
        <f>IFERROR(VLOOKUP(B1613,'985'!$B$2:$D$40,3,FALSE),"")</f>
        <v/>
      </c>
      <c r="G1613" s="32" t="str">
        <f>IFERROR(VLOOKUP(B1613,'211'!$B$2:$D$116,3,FALSE),"")</f>
        <v/>
      </c>
      <c r="H1613" s="32" t="str">
        <f>IFERROR(VLOOKUP(B1613,双一流!$B$2:$D$148,3,FALSE),"")</f>
        <v/>
      </c>
      <c r="I1613" s="32" t="str">
        <f>IFERROR(VLOOKUP(B1613,汇总!$B$2:$I$2921,8,FALSE),"")</f>
        <v>综合</v>
      </c>
      <c r="J1613" s="29" t="s">
        <v>1700</v>
      </c>
      <c r="K1613" s="29" t="s">
        <v>12</v>
      </c>
    </row>
    <row r="1614" ht="33.75" spans="1:11">
      <c r="A1614" s="29">
        <v>1613</v>
      </c>
      <c r="B1614" s="34" t="s">
        <v>1946</v>
      </c>
      <c r="C1614" s="29" t="str">
        <f>VLOOKUP(B1614,教育部大学名单!$B$1:$D$2920,3,FALSE)</f>
        <v>黑龙江省</v>
      </c>
      <c r="D1614" s="34" t="s">
        <v>308</v>
      </c>
      <c r="E1614" s="34" t="s">
        <v>317</v>
      </c>
      <c r="F1614" s="36" t="str">
        <f>IFERROR(VLOOKUP(B1614,'985'!$B$2:$D$40,3,FALSE),"")</f>
        <v/>
      </c>
      <c r="G1614" s="32" t="str">
        <f>IFERROR(VLOOKUP(B1614,'211'!$B$2:$D$116,3,FALSE),"")</f>
        <v/>
      </c>
      <c r="H1614" s="32" t="str">
        <f>IFERROR(VLOOKUP(B1614,双一流!$B$2:$D$148,3,FALSE),"")</f>
        <v/>
      </c>
      <c r="I1614" s="32" t="str">
        <f>IFERROR(VLOOKUP(B1614,汇总!$B$2:$I$2921,8,FALSE),"")</f>
        <v>综合</v>
      </c>
      <c r="J1614" s="34" t="s">
        <v>1700</v>
      </c>
      <c r="K1614" s="34" t="s">
        <v>12</v>
      </c>
    </row>
    <row r="1615" ht="50.25" spans="1:11">
      <c r="A1615" s="34">
        <v>1614</v>
      </c>
      <c r="B1615" s="29" t="s">
        <v>1947</v>
      </c>
      <c r="C1615" s="29" t="str">
        <f>VLOOKUP(B1615,教育部大学名单!$B$1:$D$2920,3,FALSE)</f>
        <v>黑龙江省</v>
      </c>
      <c r="D1615" s="29" t="s">
        <v>308</v>
      </c>
      <c r="E1615" s="29" t="s">
        <v>309</v>
      </c>
      <c r="F1615" s="36" t="str">
        <f>IFERROR(VLOOKUP(B1615,'985'!$B$2:$D$40,3,FALSE),"")</f>
        <v/>
      </c>
      <c r="G1615" s="32" t="str">
        <f>IFERROR(VLOOKUP(B1615,'211'!$B$2:$D$116,3,FALSE),"")</f>
        <v/>
      </c>
      <c r="H1615" s="32" t="str">
        <f>IFERROR(VLOOKUP(B1615,双一流!$B$2:$D$148,3,FALSE),"")</f>
        <v/>
      </c>
      <c r="I1615" s="32" t="str">
        <f>IFERROR(VLOOKUP(B1615,汇总!$B$2:$I$2921,8,FALSE),"")</f>
        <v>医药</v>
      </c>
      <c r="J1615" s="29" t="s">
        <v>1700</v>
      </c>
      <c r="K1615" s="29" t="s">
        <v>12</v>
      </c>
    </row>
    <row r="1616" ht="50.25" spans="1:11">
      <c r="A1616" s="29">
        <v>1615</v>
      </c>
      <c r="B1616" s="34" t="s">
        <v>1948</v>
      </c>
      <c r="C1616" s="29" t="str">
        <f>VLOOKUP(B1616,教育部大学名单!$B$1:$D$2920,3,FALSE)</f>
        <v>黑龙江省</v>
      </c>
      <c r="D1616" s="34" t="s">
        <v>308</v>
      </c>
      <c r="E1616" s="34" t="s">
        <v>309</v>
      </c>
      <c r="F1616" s="36" t="str">
        <f>IFERROR(VLOOKUP(B1616,'985'!$B$2:$D$40,3,FALSE),"")</f>
        <v/>
      </c>
      <c r="G1616" s="32" t="str">
        <f>IFERROR(VLOOKUP(B1616,'211'!$B$2:$D$116,3,FALSE),"")</f>
        <v/>
      </c>
      <c r="H1616" s="32" t="str">
        <f>IFERROR(VLOOKUP(B1616,双一流!$B$2:$D$148,3,FALSE),"")</f>
        <v/>
      </c>
      <c r="I1616" s="32" t="str">
        <f>IFERROR(VLOOKUP(B1616,汇总!$B$2:$I$2921,8,FALSE),"")</f>
        <v>师范</v>
      </c>
      <c r="J1616" s="34" t="s">
        <v>1700</v>
      </c>
      <c r="K1616" s="34" t="s">
        <v>12</v>
      </c>
    </row>
    <row r="1617" ht="50.25" spans="1:11">
      <c r="A1617" s="34">
        <v>1616</v>
      </c>
      <c r="B1617" s="29" t="s">
        <v>1949</v>
      </c>
      <c r="C1617" s="29" t="str">
        <f>VLOOKUP(B1617,教育部大学名单!$B$1:$D$2920,3,FALSE)</f>
        <v>黑龙江省</v>
      </c>
      <c r="D1617" s="29" t="s">
        <v>308</v>
      </c>
      <c r="E1617" s="29" t="s">
        <v>309</v>
      </c>
      <c r="F1617" s="36" t="str">
        <f>IFERROR(VLOOKUP(B1617,'985'!$B$2:$D$40,3,FALSE),"")</f>
        <v/>
      </c>
      <c r="G1617" s="32" t="str">
        <f>IFERROR(VLOOKUP(B1617,'211'!$B$2:$D$116,3,FALSE),"")</f>
        <v/>
      </c>
      <c r="H1617" s="32" t="str">
        <f>IFERROR(VLOOKUP(B1617,双一流!$B$2:$D$148,3,FALSE),"")</f>
        <v/>
      </c>
      <c r="I1617" s="32">
        <f>IFERROR(VLOOKUP(B1617,汇总!$B$2:$I$2921,8,FALSE),"")</f>
        <v>0</v>
      </c>
      <c r="J1617" s="29" t="s">
        <v>1700</v>
      </c>
      <c r="K1617" s="29" t="s">
        <v>12</v>
      </c>
    </row>
    <row r="1618" ht="33.75" spans="1:11">
      <c r="A1618" s="29">
        <v>1617</v>
      </c>
      <c r="B1618" s="34" t="s">
        <v>1950</v>
      </c>
      <c r="C1618" s="29" t="str">
        <f>VLOOKUP(B1618,教育部大学名单!$B$1:$D$2920,3,FALSE)</f>
        <v>上海市</v>
      </c>
      <c r="D1618" s="34" t="s">
        <v>347</v>
      </c>
      <c r="E1618" s="34" t="s">
        <v>347</v>
      </c>
      <c r="F1618" s="36" t="str">
        <f>IFERROR(VLOOKUP(B1618,'985'!$B$2:$D$40,3,FALSE),"")</f>
        <v/>
      </c>
      <c r="G1618" s="32" t="str">
        <f>IFERROR(VLOOKUP(B1618,'211'!$B$2:$D$116,3,FALSE),"")</f>
        <v/>
      </c>
      <c r="H1618" s="32" t="str">
        <f>IFERROR(VLOOKUP(B1618,双一流!$B$2:$D$148,3,FALSE),"")</f>
        <v/>
      </c>
      <c r="I1618" s="32" t="str">
        <f>IFERROR(VLOOKUP(B1618,汇总!$B$2:$I$2921,8,FALSE),"")</f>
        <v>综合</v>
      </c>
      <c r="J1618" s="34" t="s">
        <v>1700</v>
      </c>
      <c r="K1618" s="34" t="s">
        <v>12</v>
      </c>
    </row>
    <row r="1619" ht="50.25" spans="1:11">
      <c r="A1619" s="34">
        <v>1618</v>
      </c>
      <c r="B1619" s="29" t="s">
        <v>1951</v>
      </c>
      <c r="C1619" s="29" t="str">
        <f>VLOOKUP(B1619,教育部大学名单!$B$1:$D$2920,3,FALSE)</f>
        <v>上海市</v>
      </c>
      <c r="D1619" s="29" t="s">
        <v>347</v>
      </c>
      <c r="E1619" s="29" t="s">
        <v>347</v>
      </c>
      <c r="F1619" s="36" t="str">
        <f>IFERROR(VLOOKUP(B1619,'985'!$B$2:$D$40,3,FALSE),"")</f>
        <v/>
      </c>
      <c r="G1619" s="32" t="str">
        <f>IFERROR(VLOOKUP(B1619,'211'!$B$2:$D$116,3,FALSE),"")</f>
        <v/>
      </c>
      <c r="H1619" s="32" t="str">
        <f>IFERROR(VLOOKUP(B1619,双一流!$B$2:$D$148,3,FALSE),"")</f>
        <v/>
      </c>
      <c r="I1619" s="32" t="str">
        <f>IFERROR(VLOOKUP(B1619,汇总!$B$2:$I$2921,8,FALSE),"")</f>
        <v>综合</v>
      </c>
      <c r="J1619" s="29" t="s">
        <v>1700</v>
      </c>
      <c r="K1619" s="29" t="s">
        <v>12</v>
      </c>
    </row>
    <row r="1620" ht="33.75" spans="1:11">
      <c r="A1620" s="29">
        <v>1619</v>
      </c>
      <c r="B1620" s="34" t="s">
        <v>1952</v>
      </c>
      <c r="C1620" s="29" t="str">
        <f>VLOOKUP(B1620,教育部大学名单!$B$1:$D$2920,3,FALSE)</f>
        <v>上海市</v>
      </c>
      <c r="D1620" s="34" t="s">
        <v>347</v>
      </c>
      <c r="E1620" s="34" t="s">
        <v>347</v>
      </c>
      <c r="F1620" s="36" t="str">
        <f>IFERROR(VLOOKUP(B1620,'985'!$B$2:$D$40,3,FALSE),"")</f>
        <v/>
      </c>
      <c r="G1620" s="32" t="str">
        <f>IFERROR(VLOOKUP(B1620,'211'!$B$2:$D$116,3,FALSE),"")</f>
        <v/>
      </c>
      <c r="H1620" s="32" t="str">
        <f>IFERROR(VLOOKUP(B1620,双一流!$B$2:$D$148,3,FALSE),"")</f>
        <v/>
      </c>
      <c r="I1620" s="32" t="str">
        <f>IFERROR(VLOOKUP(B1620,汇总!$B$2:$I$2921,8,FALSE),"")</f>
        <v>综合</v>
      </c>
      <c r="J1620" s="34" t="s">
        <v>1700</v>
      </c>
      <c r="K1620" s="34" t="s">
        <v>12</v>
      </c>
    </row>
    <row r="1621" ht="33.75" spans="1:11">
      <c r="A1621" s="34">
        <v>1620</v>
      </c>
      <c r="B1621" s="29" t="s">
        <v>1953</v>
      </c>
      <c r="C1621" s="29" t="str">
        <f>VLOOKUP(B1621,教育部大学名单!$B$1:$D$2920,3,FALSE)</f>
        <v>上海市</v>
      </c>
      <c r="D1621" s="29" t="s">
        <v>347</v>
      </c>
      <c r="E1621" s="29" t="s">
        <v>347</v>
      </c>
      <c r="F1621" s="36" t="str">
        <f>IFERROR(VLOOKUP(B1621,'985'!$B$2:$D$40,3,FALSE),"")</f>
        <v/>
      </c>
      <c r="G1621" s="32" t="str">
        <f>IFERROR(VLOOKUP(B1621,'211'!$B$2:$D$116,3,FALSE),"")</f>
        <v/>
      </c>
      <c r="H1621" s="32" t="str">
        <f>IFERROR(VLOOKUP(B1621,双一流!$B$2:$D$148,3,FALSE),"")</f>
        <v/>
      </c>
      <c r="I1621" s="32" t="str">
        <f>IFERROR(VLOOKUP(B1621,汇总!$B$2:$I$2921,8,FALSE),"")</f>
        <v>综合</v>
      </c>
      <c r="J1621" s="29" t="s">
        <v>1700</v>
      </c>
      <c r="K1621" s="29" t="s">
        <v>12</v>
      </c>
    </row>
    <row r="1622" ht="33.75" spans="1:11">
      <c r="A1622" s="29">
        <v>1621</v>
      </c>
      <c r="B1622" s="34" t="s">
        <v>1954</v>
      </c>
      <c r="C1622" s="29" t="str">
        <f>VLOOKUP(B1622,教育部大学名单!$B$1:$D$2920,3,FALSE)</f>
        <v>上海市</v>
      </c>
      <c r="D1622" s="34" t="s">
        <v>347</v>
      </c>
      <c r="E1622" s="34" t="s">
        <v>347</v>
      </c>
      <c r="F1622" s="36" t="str">
        <f>IFERROR(VLOOKUP(B1622,'985'!$B$2:$D$40,3,FALSE),"")</f>
        <v/>
      </c>
      <c r="G1622" s="32" t="str">
        <f>IFERROR(VLOOKUP(B1622,'211'!$B$2:$D$116,3,FALSE),"")</f>
        <v/>
      </c>
      <c r="H1622" s="32" t="str">
        <f>IFERROR(VLOOKUP(B1622,双一流!$B$2:$D$148,3,FALSE),"")</f>
        <v/>
      </c>
      <c r="I1622" s="32" t="str">
        <f>IFERROR(VLOOKUP(B1622,汇总!$B$2:$I$2921,8,FALSE),"")</f>
        <v>理工</v>
      </c>
      <c r="J1622" s="34" t="s">
        <v>1700</v>
      </c>
      <c r="K1622" s="34" t="s">
        <v>12</v>
      </c>
    </row>
    <row r="1623" ht="33.75" spans="1:11">
      <c r="A1623" s="34">
        <v>1622</v>
      </c>
      <c r="B1623" s="29" t="s">
        <v>1955</v>
      </c>
      <c r="C1623" s="29" t="str">
        <f>VLOOKUP(B1623,教育部大学名单!$B$1:$D$2920,3,FALSE)</f>
        <v>上海市</v>
      </c>
      <c r="D1623" s="29" t="s">
        <v>347</v>
      </c>
      <c r="E1623" s="29" t="s">
        <v>347</v>
      </c>
      <c r="F1623" s="36" t="str">
        <f>IFERROR(VLOOKUP(B1623,'985'!$B$2:$D$40,3,FALSE),"")</f>
        <v/>
      </c>
      <c r="G1623" s="32" t="str">
        <f>IFERROR(VLOOKUP(B1623,'211'!$B$2:$D$116,3,FALSE),"")</f>
        <v/>
      </c>
      <c r="H1623" s="32" t="str">
        <f>IFERROR(VLOOKUP(B1623,双一流!$B$2:$D$148,3,FALSE),"")</f>
        <v/>
      </c>
      <c r="I1623" s="32" t="str">
        <f>IFERROR(VLOOKUP(B1623,汇总!$B$2:$I$2921,8,FALSE),"")</f>
        <v>理工</v>
      </c>
      <c r="J1623" s="29" t="s">
        <v>1700</v>
      </c>
      <c r="K1623" s="29" t="s">
        <v>12</v>
      </c>
    </row>
    <row r="1624" ht="50.25" spans="1:11">
      <c r="A1624" s="29">
        <v>1623</v>
      </c>
      <c r="B1624" s="34" t="s">
        <v>1956</v>
      </c>
      <c r="C1624" s="29" t="str">
        <f>VLOOKUP(B1624,教育部大学名单!$B$1:$D$2920,3,FALSE)</f>
        <v>上海市</v>
      </c>
      <c r="D1624" s="34" t="s">
        <v>347</v>
      </c>
      <c r="E1624" s="34" t="s">
        <v>347</v>
      </c>
      <c r="F1624" s="36" t="str">
        <f>IFERROR(VLOOKUP(B1624,'985'!$B$2:$D$40,3,FALSE),"")</f>
        <v/>
      </c>
      <c r="G1624" s="32" t="str">
        <f>IFERROR(VLOOKUP(B1624,'211'!$B$2:$D$116,3,FALSE),"")</f>
        <v/>
      </c>
      <c r="H1624" s="32" t="str">
        <f>IFERROR(VLOOKUP(B1624,双一流!$B$2:$D$148,3,FALSE),"")</f>
        <v/>
      </c>
      <c r="I1624" s="32" t="str">
        <f>IFERROR(VLOOKUP(B1624,汇总!$B$2:$I$2921,8,FALSE),"")</f>
        <v>理工</v>
      </c>
      <c r="J1624" s="34" t="s">
        <v>1700</v>
      </c>
      <c r="K1624" s="34" t="s">
        <v>12</v>
      </c>
    </row>
    <row r="1625" ht="33.75" spans="1:11">
      <c r="A1625" s="34">
        <v>1624</v>
      </c>
      <c r="B1625" s="29" t="s">
        <v>1957</v>
      </c>
      <c r="C1625" s="29" t="str">
        <f>VLOOKUP(B1625,教育部大学名单!$B$1:$D$2920,3,FALSE)</f>
        <v>上海市</v>
      </c>
      <c r="D1625" s="29" t="s">
        <v>347</v>
      </c>
      <c r="E1625" s="29" t="s">
        <v>347</v>
      </c>
      <c r="F1625" s="36" t="str">
        <f>IFERROR(VLOOKUP(B1625,'985'!$B$2:$D$40,3,FALSE),"")</f>
        <v/>
      </c>
      <c r="G1625" s="32" t="str">
        <f>IFERROR(VLOOKUP(B1625,'211'!$B$2:$D$116,3,FALSE),"")</f>
        <v/>
      </c>
      <c r="H1625" s="32" t="str">
        <f>IFERROR(VLOOKUP(B1625,双一流!$B$2:$D$148,3,FALSE),"")</f>
        <v/>
      </c>
      <c r="I1625" s="32" t="str">
        <f>IFERROR(VLOOKUP(B1625,汇总!$B$2:$I$2921,8,FALSE),"")</f>
        <v>艺术</v>
      </c>
      <c r="J1625" s="29" t="s">
        <v>1700</v>
      </c>
      <c r="K1625" s="29" t="s">
        <v>12</v>
      </c>
    </row>
    <row r="1626" ht="33.75" spans="1:11">
      <c r="A1626" s="29">
        <v>1625</v>
      </c>
      <c r="B1626" s="34" t="s">
        <v>1958</v>
      </c>
      <c r="C1626" s="29" t="str">
        <f>VLOOKUP(B1626,教育部大学名单!$B$1:$D$2920,3,FALSE)</f>
        <v>上海市</v>
      </c>
      <c r="D1626" s="34" t="s">
        <v>347</v>
      </c>
      <c r="E1626" s="34" t="s">
        <v>347</v>
      </c>
      <c r="F1626" s="36" t="str">
        <f>IFERROR(VLOOKUP(B1626,'985'!$B$2:$D$40,3,FALSE),"")</f>
        <v/>
      </c>
      <c r="G1626" s="32" t="str">
        <f>IFERROR(VLOOKUP(B1626,'211'!$B$2:$D$116,3,FALSE),"")</f>
        <v/>
      </c>
      <c r="H1626" s="32" t="str">
        <f>IFERROR(VLOOKUP(B1626,双一流!$B$2:$D$148,3,FALSE),"")</f>
        <v/>
      </c>
      <c r="I1626" s="32" t="str">
        <f>IFERROR(VLOOKUP(B1626,汇总!$B$2:$I$2921,8,FALSE),"")</f>
        <v>理工</v>
      </c>
      <c r="J1626" s="34" t="s">
        <v>1700</v>
      </c>
      <c r="K1626" s="34" t="s">
        <v>12</v>
      </c>
    </row>
    <row r="1627" ht="33.75" spans="1:11">
      <c r="A1627" s="34">
        <v>1626</v>
      </c>
      <c r="B1627" s="29" t="s">
        <v>1959</v>
      </c>
      <c r="C1627" s="29" t="str">
        <f>VLOOKUP(B1627,教育部大学名单!$B$1:$D$2920,3,FALSE)</f>
        <v>上海市</v>
      </c>
      <c r="D1627" s="29" t="s">
        <v>347</v>
      </c>
      <c r="E1627" s="29" t="s">
        <v>347</v>
      </c>
      <c r="F1627" s="36" t="str">
        <f>IFERROR(VLOOKUP(B1627,'985'!$B$2:$D$40,3,FALSE),"")</f>
        <v/>
      </c>
      <c r="G1627" s="32" t="str">
        <f>IFERROR(VLOOKUP(B1627,'211'!$B$2:$D$116,3,FALSE),"")</f>
        <v/>
      </c>
      <c r="H1627" s="32" t="str">
        <f>IFERROR(VLOOKUP(B1627,双一流!$B$2:$D$148,3,FALSE),"")</f>
        <v/>
      </c>
      <c r="I1627" s="32" t="str">
        <f>IFERROR(VLOOKUP(B1627,汇总!$B$2:$I$2921,8,FALSE),"")</f>
        <v>农林</v>
      </c>
      <c r="J1627" s="29" t="s">
        <v>1700</v>
      </c>
      <c r="K1627" s="29" t="s">
        <v>12</v>
      </c>
    </row>
    <row r="1628" ht="33.75" spans="1:11">
      <c r="A1628" s="29">
        <v>1627</v>
      </c>
      <c r="B1628" s="34" t="s">
        <v>1960</v>
      </c>
      <c r="C1628" s="29" t="str">
        <f>VLOOKUP(B1628,教育部大学名单!$B$1:$D$2920,3,FALSE)</f>
        <v>上海市</v>
      </c>
      <c r="D1628" s="34" t="s">
        <v>347</v>
      </c>
      <c r="E1628" s="34" t="s">
        <v>347</v>
      </c>
      <c r="F1628" s="36" t="str">
        <f>IFERROR(VLOOKUP(B1628,'985'!$B$2:$D$40,3,FALSE),"")</f>
        <v/>
      </c>
      <c r="G1628" s="32" t="str">
        <f>IFERROR(VLOOKUP(B1628,'211'!$B$2:$D$116,3,FALSE),"")</f>
        <v/>
      </c>
      <c r="H1628" s="32" t="str">
        <f>IFERROR(VLOOKUP(B1628,双一流!$B$2:$D$148,3,FALSE),"")</f>
        <v/>
      </c>
      <c r="I1628" s="32">
        <f>IFERROR(VLOOKUP(B1628,汇总!$B$2:$I$2921,8,FALSE),"")</f>
        <v>0</v>
      </c>
      <c r="J1628" s="34" t="s">
        <v>1700</v>
      </c>
      <c r="K1628" s="34" t="s">
        <v>12</v>
      </c>
    </row>
    <row r="1629" ht="50.25" spans="1:11">
      <c r="A1629" s="34">
        <v>1628</v>
      </c>
      <c r="B1629" s="29" t="s">
        <v>1961</v>
      </c>
      <c r="C1629" s="29" t="str">
        <f>VLOOKUP(B1629,教育部大学名单!$B$1:$D$2920,3,FALSE)</f>
        <v>交通运输部（中国民用航空局）</v>
      </c>
      <c r="D1629" s="29" t="s">
        <v>347</v>
      </c>
      <c r="E1629" s="29" t="s">
        <v>347</v>
      </c>
      <c r="F1629" s="36" t="str">
        <f>IFERROR(VLOOKUP(B1629,'985'!$B$2:$D$40,3,FALSE),"")</f>
        <v/>
      </c>
      <c r="G1629" s="32" t="str">
        <f>IFERROR(VLOOKUP(B1629,'211'!$B$2:$D$116,3,FALSE),"")</f>
        <v/>
      </c>
      <c r="H1629" s="32" t="str">
        <f>IFERROR(VLOOKUP(B1629,双一流!$B$2:$D$148,3,FALSE),"")</f>
        <v/>
      </c>
      <c r="I1629" s="32" t="str">
        <f>IFERROR(VLOOKUP(B1629,汇总!$B$2:$I$2921,8,FALSE),"")</f>
        <v>理工</v>
      </c>
      <c r="J1629" s="29" t="s">
        <v>1700</v>
      </c>
      <c r="K1629" s="29" t="s">
        <v>12</v>
      </c>
    </row>
    <row r="1630" ht="33.75" spans="1:11">
      <c r="A1630" s="29">
        <v>1629</v>
      </c>
      <c r="B1630" s="34" t="s">
        <v>1962</v>
      </c>
      <c r="C1630" s="29" t="str">
        <f>VLOOKUP(B1630,教育部大学名单!$B$1:$D$2920,3,FALSE)</f>
        <v>上海市</v>
      </c>
      <c r="D1630" s="34" t="s">
        <v>347</v>
      </c>
      <c r="E1630" s="34" t="s">
        <v>347</v>
      </c>
      <c r="F1630" s="36" t="str">
        <f>IFERROR(VLOOKUP(B1630,'985'!$B$2:$D$40,3,FALSE),"")</f>
        <v/>
      </c>
      <c r="G1630" s="32" t="str">
        <f>IFERROR(VLOOKUP(B1630,'211'!$B$2:$D$116,3,FALSE),"")</f>
        <v/>
      </c>
      <c r="H1630" s="32" t="str">
        <f>IFERROR(VLOOKUP(B1630,双一流!$B$2:$D$148,3,FALSE),"")</f>
        <v/>
      </c>
      <c r="I1630" s="32">
        <f>IFERROR(VLOOKUP(B1630,汇总!$B$2:$I$2921,8,FALSE),"")</f>
        <v>0</v>
      </c>
      <c r="J1630" s="34" t="s">
        <v>1700</v>
      </c>
      <c r="K1630" s="34" t="s">
        <v>12</v>
      </c>
    </row>
    <row r="1631" ht="50.25" spans="1:11">
      <c r="A1631" s="34">
        <v>1630</v>
      </c>
      <c r="B1631" s="29" t="s">
        <v>1963</v>
      </c>
      <c r="C1631" s="29" t="str">
        <f>VLOOKUP(B1631,教育部大学名单!$B$1:$D$2920,3,FALSE)</f>
        <v>江苏省</v>
      </c>
      <c r="D1631" s="29" t="s">
        <v>379</v>
      </c>
      <c r="E1631" s="29" t="s">
        <v>403</v>
      </c>
      <c r="F1631" s="36" t="str">
        <f>IFERROR(VLOOKUP(B1631,'985'!$B$2:$D$40,3,FALSE),"")</f>
        <v/>
      </c>
      <c r="G1631" s="32" t="str">
        <f>IFERROR(VLOOKUP(B1631,'211'!$B$2:$D$116,3,FALSE),"")</f>
        <v/>
      </c>
      <c r="H1631" s="32" t="str">
        <f>IFERROR(VLOOKUP(B1631,双一流!$B$2:$D$148,3,FALSE),"")</f>
        <v/>
      </c>
      <c r="I1631" s="32" t="str">
        <f>IFERROR(VLOOKUP(B1631,汇总!$B$2:$I$2921,8,FALSE),"")</f>
        <v>师范</v>
      </c>
      <c r="J1631" s="29" t="s">
        <v>1700</v>
      </c>
      <c r="K1631" s="29" t="s">
        <v>12</v>
      </c>
    </row>
    <row r="1632" ht="50.25" spans="1:11">
      <c r="A1632" s="29">
        <v>1631</v>
      </c>
      <c r="B1632" s="34" t="s">
        <v>1964</v>
      </c>
      <c r="C1632" s="29" t="str">
        <f>VLOOKUP(B1632,教育部大学名单!$B$1:$D$2920,3,FALSE)</f>
        <v>江苏省</v>
      </c>
      <c r="D1632" s="34" t="s">
        <v>379</v>
      </c>
      <c r="E1632" s="34" t="s">
        <v>382</v>
      </c>
      <c r="F1632" s="36" t="str">
        <f>IFERROR(VLOOKUP(B1632,'985'!$B$2:$D$40,3,FALSE),"")</f>
        <v/>
      </c>
      <c r="G1632" s="32" t="str">
        <f>IFERROR(VLOOKUP(B1632,'211'!$B$2:$D$116,3,FALSE),"")</f>
        <v/>
      </c>
      <c r="H1632" s="32" t="str">
        <f>IFERROR(VLOOKUP(B1632,双一流!$B$2:$D$148,3,FALSE),"")</f>
        <v/>
      </c>
      <c r="I1632" s="32" t="str">
        <f>IFERROR(VLOOKUP(B1632,汇总!$B$2:$I$2921,8,FALSE),"")</f>
        <v>师范</v>
      </c>
      <c r="J1632" s="34" t="s">
        <v>1700</v>
      </c>
      <c r="K1632" s="34" t="s">
        <v>12</v>
      </c>
    </row>
    <row r="1633" ht="33.75" spans="1:11">
      <c r="A1633" s="34">
        <v>1632</v>
      </c>
      <c r="B1633" s="29" t="s">
        <v>1965</v>
      </c>
      <c r="C1633" s="29" t="str">
        <f>VLOOKUP(B1633,教育部大学名单!$B$1:$D$2920,3,FALSE)</f>
        <v>江苏省</v>
      </c>
      <c r="D1633" s="29" t="s">
        <v>379</v>
      </c>
      <c r="E1633" s="29" t="s">
        <v>401</v>
      </c>
      <c r="F1633" s="36" t="str">
        <f>IFERROR(VLOOKUP(B1633,'985'!$B$2:$D$40,3,FALSE),"")</f>
        <v/>
      </c>
      <c r="G1633" s="32" t="str">
        <f>IFERROR(VLOOKUP(B1633,'211'!$B$2:$D$116,3,FALSE),"")</f>
        <v/>
      </c>
      <c r="H1633" s="32" t="str">
        <f>IFERROR(VLOOKUP(B1633,双一流!$B$2:$D$148,3,FALSE),"")</f>
        <v/>
      </c>
      <c r="I1633" s="32" t="str">
        <f>IFERROR(VLOOKUP(B1633,汇总!$B$2:$I$2921,8,FALSE),"")</f>
        <v>综合</v>
      </c>
      <c r="J1633" s="29" t="s">
        <v>1700</v>
      </c>
      <c r="K1633" s="29" t="s">
        <v>12</v>
      </c>
    </row>
    <row r="1634" ht="50.25" spans="1:11">
      <c r="A1634" s="29">
        <v>1633</v>
      </c>
      <c r="B1634" s="34" t="s">
        <v>1966</v>
      </c>
      <c r="C1634" s="29" t="str">
        <f>VLOOKUP(B1634,教育部大学名单!$B$1:$D$2920,3,FALSE)</f>
        <v>江苏省</v>
      </c>
      <c r="D1634" s="34" t="s">
        <v>379</v>
      </c>
      <c r="E1634" s="34" t="s">
        <v>382</v>
      </c>
      <c r="F1634" s="36" t="str">
        <f>IFERROR(VLOOKUP(B1634,'985'!$B$2:$D$40,3,FALSE),"")</f>
        <v/>
      </c>
      <c r="G1634" s="32" t="str">
        <f>IFERROR(VLOOKUP(B1634,'211'!$B$2:$D$116,3,FALSE),"")</f>
        <v/>
      </c>
      <c r="H1634" s="32" t="str">
        <f>IFERROR(VLOOKUP(B1634,双一流!$B$2:$D$148,3,FALSE),"")</f>
        <v/>
      </c>
      <c r="I1634" s="32" t="str">
        <f>IFERROR(VLOOKUP(B1634,汇总!$B$2:$I$2921,8,FALSE),"")</f>
        <v>艺术</v>
      </c>
      <c r="J1634" s="34" t="s">
        <v>1700</v>
      </c>
      <c r="K1634" s="34" t="s">
        <v>12</v>
      </c>
    </row>
    <row r="1635" ht="33.75" spans="1:11">
      <c r="A1635" s="34">
        <v>1634</v>
      </c>
      <c r="B1635" s="29" t="s">
        <v>1967</v>
      </c>
      <c r="C1635" s="29" t="str">
        <f>VLOOKUP(B1635,教育部大学名单!$B$1:$D$2920,3,FALSE)</f>
        <v>江苏省</v>
      </c>
      <c r="D1635" s="29" t="s">
        <v>379</v>
      </c>
      <c r="E1635" s="29" t="s">
        <v>430</v>
      </c>
      <c r="F1635" s="36" t="str">
        <f>IFERROR(VLOOKUP(B1635,'985'!$B$2:$D$40,3,FALSE),"")</f>
        <v/>
      </c>
      <c r="G1635" s="32" t="str">
        <f>IFERROR(VLOOKUP(B1635,'211'!$B$2:$D$116,3,FALSE),"")</f>
        <v/>
      </c>
      <c r="H1635" s="32" t="str">
        <f>IFERROR(VLOOKUP(B1635,双一流!$B$2:$D$148,3,FALSE),"")</f>
        <v/>
      </c>
      <c r="I1635" s="32" t="str">
        <f>IFERROR(VLOOKUP(B1635,汇总!$B$2:$I$2921,8,FALSE),"")</f>
        <v>综合</v>
      </c>
      <c r="J1635" s="29" t="s">
        <v>1700</v>
      </c>
      <c r="K1635" s="29" t="s">
        <v>12</v>
      </c>
    </row>
    <row r="1636" ht="33.75" spans="1:11">
      <c r="A1636" s="29">
        <v>1635</v>
      </c>
      <c r="B1636" s="34" t="s">
        <v>1968</v>
      </c>
      <c r="C1636" s="29" t="str">
        <f>VLOOKUP(B1636,教育部大学名单!$B$1:$D$2920,3,FALSE)</f>
        <v>江苏省</v>
      </c>
      <c r="D1636" s="34" t="s">
        <v>379</v>
      </c>
      <c r="E1636" s="34" t="s">
        <v>387</v>
      </c>
      <c r="F1636" s="36" t="str">
        <f>IFERROR(VLOOKUP(B1636,'985'!$B$2:$D$40,3,FALSE),"")</f>
        <v/>
      </c>
      <c r="G1636" s="32" t="str">
        <f>IFERROR(VLOOKUP(B1636,'211'!$B$2:$D$116,3,FALSE),"")</f>
        <v/>
      </c>
      <c r="H1636" s="32" t="str">
        <f>IFERROR(VLOOKUP(B1636,双一流!$B$2:$D$148,3,FALSE),"")</f>
        <v/>
      </c>
      <c r="I1636" s="32" t="str">
        <f>IFERROR(VLOOKUP(B1636,汇总!$B$2:$I$2921,8,FALSE),"")</f>
        <v>综合</v>
      </c>
      <c r="J1636" s="34" t="s">
        <v>1700</v>
      </c>
      <c r="K1636" s="34" t="s">
        <v>12</v>
      </c>
    </row>
    <row r="1637" ht="33.75" spans="1:11">
      <c r="A1637" s="34">
        <v>1636</v>
      </c>
      <c r="B1637" s="29" t="s">
        <v>1969</v>
      </c>
      <c r="C1637" s="29" t="str">
        <f>VLOOKUP(B1637,教育部大学名单!$B$1:$D$2920,3,FALSE)</f>
        <v>江苏省</v>
      </c>
      <c r="D1637" s="29" t="s">
        <v>379</v>
      </c>
      <c r="E1637" s="29" t="s">
        <v>401</v>
      </c>
      <c r="F1637" s="36" t="str">
        <f>IFERROR(VLOOKUP(B1637,'985'!$B$2:$D$40,3,FALSE),"")</f>
        <v/>
      </c>
      <c r="G1637" s="32" t="str">
        <f>IFERROR(VLOOKUP(B1637,'211'!$B$2:$D$116,3,FALSE),"")</f>
        <v/>
      </c>
      <c r="H1637" s="32" t="str">
        <f>IFERROR(VLOOKUP(B1637,双一流!$B$2:$D$148,3,FALSE),"")</f>
        <v/>
      </c>
      <c r="I1637" s="32" t="str">
        <f>IFERROR(VLOOKUP(B1637,汇总!$B$2:$I$2921,8,FALSE),"")</f>
        <v>综合</v>
      </c>
      <c r="J1637" s="29" t="s">
        <v>1700</v>
      </c>
      <c r="K1637" s="29" t="s">
        <v>12</v>
      </c>
    </row>
    <row r="1638" ht="33.75" spans="1:11">
      <c r="A1638" s="29">
        <v>1637</v>
      </c>
      <c r="B1638" s="34" t="s">
        <v>1970</v>
      </c>
      <c r="C1638" s="29" t="str">
        <f>VLOOKUP(B1638,教育部大学名单!$B$1:$D$2920,3,FALSE)</f>
        <v>江苏省</v>
      </c>
      <c r="D1638" s="34" t="s">
        <v>379</v>
      </c>
      <c r="E1638" s="34" t="s">
        <v>382</v>
      </c>
      <c r="F1638" s="36" t="str">
        <f>IFERROR(VLOOKUP(B1638,'985'!$B$2:$D$40,3,FALSE),"")</f>
        <v/>
      </c>
      <c r="G1638" s="32" t="str">
        <f>IFERROR(VLOOKUP(B1638,'211'!$B$2:$D$116,3,FALSE),"")</f>
        <v/>
      </c>
      <c r="H1638" s="32" t="str">
        <f>IFERROR(VLOOKUP(B1638,双一流!$B$2:$D$148,3,FALSE),"")</f>
        <v/>
      </c>
      <c r="I1638" s="32" t="str">
        <f>IFERROR(VLOOKUP(B1638,汇总!$B$2:$I$2921,8,FALSE),"")</f>
        <v>理工</v>
      </c>
      <c r="J1638" s="34" t="s">
        <v>1700</v>
      </c>
      <c r="K1638" s="34" t="s">
        <v>12</v>
      </c>
    </row>
    <row r="1639" ht="33.75" spans="1:11">
      <c r="A1639" s="34">
        <v>1638</v>
      </c>
      <c r="B1639" s="29" t="s">
        <v>1971</v>
      </c>
      <c r="C1639" s="29" t="str">
        <f>VLOOKUP(B1639,教育部大学名单!$B$1:$D$2920,3,FALSE)</f>
        <v>江苏省</v>
      </c>
      <c r="D1639" s="29" t="s">
        <v>379</v>
      </c>
      <c r="E1639" s="29" t="s">
        <v>380</v>
      </c>
      <c r="F1639" s="36" t="str">
        <f>IFERROR(VLOOKUP(B1639,'985'!$B$2:$D$40,3,FALSE),"")</f>
        <v/>
      </c>
      <c r="G1639" s="32" t="str">
        <f>IFERROR(VLOOKUP(B1639,'211'!$B$2:$D$116,3,FALSE),"")</f>
        <v/>
      </c>
      <c r="H1639" s="32" t="str">
        <f>IFERROR(VLOOKUP(B1639,双一流!$B$2:$D$148,3,FALSE),"")</f>
        <v/>
      </c>
      <c r="I1639" s="32" t="str">
        <f>IFERROR(VLOOKUP(B1639,汇总!$B$2:$I$2921,8,FALSE),"")</f>
        <v>财经</v>
      </c>
      <c r="J1639" s="29" t="s">
        <v>1700</v>
      </c>
      <c r="K1639" s="29" t="s">
        <v>12</v>
      </c>
    </row>
    <row r="1640" ht="33.75" spans="1:11">
      <c r="A1640" s="29">
        <v>1639</v>
      </c>
      <c r="B1640" s="34" t="s">
        <v>1972</v>
      </c>
      <c r="C1640" s="29" t="str">
        <f>VLOOKUP(B1640,教育部大学名单!$B$1:$D$2920,3,FALSE)</f>
        <v>江苏省</v>
      </c>
      <c r="D1640" s="34" t="s">
        <v>379</v>
      </c>
      <c r="E1640" s="34" t="s">
        <v>435</v>
      </c>
      <c r="F1640" s="36" t="str">
        <f>IFERROR(VLOOKUP(B1640,'985'!$B$2:$D$40,3,FALSE),"")</f>
        <v/>
      </c>
      <c r="G1640" s="32" t="str">
        <f>IFERROR(VLOOKUP(B1640,'211'!$B$2:$D$116,3,FALSE),"")</f>
        <v/>
      </c>
      <c r="H1640" s="32" t="str">
        <f>IFERROR(VLOOKUP(B1640,双一流!$B$2:$D$148,3,FALSE),"")</f>
        <v/>
      </c>
      <c r="I1640" s="32" t="str">
        <f>IFERROR(VLOOKUP(B1640,汇总!$B$2:$I$2921,8,FALSE),"")</f>
        <v>综合</v>
      </c>
      <c r="J1640" s="34" t="s">
        <v>1700</v>
      </c>
      <c r="K1640" s="34" t="s">
        <v>12</v>
      </c>
    </row>
    <row r="1641" ht="33.75" spans="1:11">
      <c r="A1641" s="34">
        <v>1640</v>
      </c>
      <c r="B1641" s="29" t="s">
        <v>1973</v>
      </c>
      <c r="C1641" s="29" t="str">
        <f>VLOOKUP(B1641,教育部大学名单!$B$1:$D$2920,3,FALSE)</f>
        <v>江苏省</v>
      </c>
      <c r="D1641" s="29" t="s">
        <v>379</v>
      </c>
      <c r="E1641" s="29" t="s">
        <v>392</v>
      </c>
      <c r="F1641" s="36" t="str">
        <f>IFERROR(VLOOKUP(B1641,'985'!$B$2:$D$40,3,FALSE),"")</f>
        <v/>
      </c>
      <c r="G1641" s="32" t="str">
        <f>IFERROR(VLOOKUP(B1641,'211'!$B$2:$D$116,3,FALSE),"")</f>
        <v/>
      </c>
      <c r="H1641" s="32" t="str">
        <f>IFERROR(VLOOKUP(B1641,双一流!$B$2:$D$148,3,FALSE),"")</f>
        <v/>
      </c>
      <c r="I1641" s="32" t="str">
        <f>IFERROR(VLOOKUP(B1641,汇总!$B$2:$I$2921,8,FALSE),"")</f>
        <v>综合</v>
      </c>
      <c r="J1641" s="29" t="s">
        <v>1700</v>
      </c>
      <c r="K1641" s="29" t="s">
        <v>12</v>
      </c>
    </row>
    <row r="1642" ht="33.75" spans="1:11">
      <c r="A1642" s="29">
        <v>1641</v>
      </c>
      <c r="B1642" s="34" t="s">
        <v>1974</v>
      </c>
      <c r="C1642" s="29" t="str">
        <f>VLOOKUP(B1642,教育部大学名单!$B$1:$D$2920,3,FALSE)</f>
        <v>江苏省</v>
      </c>
      <c r="D1642" s="34" t="s">
        <v>379</v>
      </c>
      <c r="E1642" s="34" t="s">
        <v>380</v>
      </c>
      <c r="F1642" s="36" t="str">
        <f>IFERROR(VLOOKUP(B1642,'985'!$B$2:$D$40,3,FALSE),"")</f>
        <v/>
      </c>
      <c r="G1642" s="32" t="str">
        <f>IFERROR(VLOOKUP(B1642,'211'!$B$2:$D$116,3,FALSE),"")</f>
        <v/>
      </c>
      <c r="H1642" s="32" t="str">
        <f>IFERROR(VLOOKUP(B1642,双一流!$B$2:$D$148,3,FALSE),"")</f>
        <v/>
      </c>
      <c r="I1642" s="32">
        <f>IFERROR(VLOOKUP(B1642,汇总!$B$2:$I$2921,8,FALSE),"")</f>
        <v>0</v>
      </c>
      <c r="J1642" s="34" t="s">
        <v>1700</v>
      </c>
      <c r="K1642" s="34" t="s">
        <v>12</v>
      </c>
    </row>
    <row r="1643" ht="33.75" spans="1:11">
      <c r="A1643" s="34">
        <v>1642</v>
      </c>
      <c r="B1643" s="29" t="s">
        <v>1975</v>
      </c>
      <c r="C1643" s="29" t="str">
        <f>VLOOKUP(B1643,教育部大学名单!$B$1:$D$2920,3,FALSE)</f>
        <v>江苏省</v>
      </c>
      <c r="D1643" s="29" t="s">
        <v>379</v>
      </c>
      <c r="E1643" s="29" t="s">
        <v>380</v>
      </c>
      <c r="F1643" s="36" t="str">
        <f>IFERROR(VLOOKUP(B1643,'985'!$B$2:$D$40,3,FALSE),"")</f>
        <v/>
      </c>
      <c r="G1643" s="32" t="str">
        <f>IFERROR(VLOOKUP(B1643,'211'!$B$2:$D$116,3,FALSE),"")</f>
        <v/>
      </c>
      <c r="H1643" s="32" t="str">
        <f>IFERROR(VLOOKUP(B1643,双一流!$B$2:$D$148,3,FALSE),"")</f>
        <v/>
      </c>
      <c r="I1643" s="32" t="str">
        <f>IFERROR(VLOOKUP(B1643,汇总!$B$2:$I$2921,8,FALSE),"")</f>
        <v>综合</v>
      </c>
      <c r="J1643" s="29" t="s">
        <v>1700</v>
      </c>
      <c r="K1643" s="29" t="s">
        <v>12</v>
      </c>
    </row>
    <row r="1644" ht="33.75" spans="1:11">
      <c r="A1644" s="29">
        <v>1643</v>
      </c>
      <c r="B1644" s="34" t="s">
        <v>1976</v>
      </c>
      <c r="C1644" s="29" t="str">
        <f>VLOOKUP(B1644,教育部大学名单!$B$1:$D$2920,3,FALSE)</f>
        <v>江苏省</v>
      </c>
      <c r="D1644" s="34" t="s">
        <v>379</v>
      </c>
      <c r="E1644" s="34" t="s">
        <v>396</v>
      </c>
      <c r="F1644" s="36" t="str">
        <f>IFERROR(VLOOKUP(B1644,'985'!$B$2:$D$40,3,FALSE),"")</f>
        <v/>
      </c>
      <c r="G1644" s="32" t="str">
        <f>IFERROR(VLOOKUP(B1644,'211'!$B$2:$D$116,3,FALSE),"")</f>
        <v/>
      </c>
      <c r="H1644" s="32" t="str">
        <f>IFERROR(VLOOKUP(B1644,双一流!$B$2:$D$148,3,FALSE),"")</f>
        <v/>
      </c>
      <c r="I1644" s="32" t="str">
        <f>IFERROR(VLOOKUP(B1644,汇总!$B$2:$I$2921,8,FALSE),"")</f>
        <v>综合</v>
      </c>
      <c r="J1644" s="34" t="s">
        <v>1700</v>
      </c>
      <c r="K1644" s="34" t="s">
        <v>12</v>
      </c>
    </row>
    <row r="1645" ht="33.75" spans="1:11">
      <c r="A1645" s="34">
        <v>1644</v>
      </c>
      <c r="B1645" s="29" t="s">
        <v>1977</v>
      </c>
      <c r="C1645" s="29" t="str">
        <f>VLOOKUP(B1645,教育部大学名单!$B$1:$D$2920,3,FALSE)</f>
        <v>江苏省</v>
      </c>
      <c r="D1645" s="29" t="s">
        <v>379</v>
      </c>
      <c r="E1645" s="29" t="s">
        <v>403</v>
      </c>
      <c r="F1645" s="36" t="str">
        <f>IFERROR(VLOOKUP(B1645,'985'!$B$2:$D$40,3,FALSE),"")</f>
        <v/>
      </c>
      <c r="G1645" s="32" t="str">
        <f>IFERROR(VLOOKUP(B1645,'211'!$B$2:$D$116,3,FALSE),"")</f>
        <v/>
      </c>
      <c r="H1645" s="32" t="str">
        <f>IFERROR(VLOOKUP(B1645,双一流!$B$2:$D$148,3,FALSE),"")</f>
        <v/>
      </c>
      <c r="I1645" s="32" t="str">
        <f>IFERROR(VLOOKUP(B1645,汇总!$B$2:$I$2921,8,FALSE),"")</f>
        <v>医药</v>
      </c>
      <c r="J1645" s="29" t="s">
        <v>1700</v>
      </c>
      <c r="K1645" s="29" t="s">
        <v>12</v>
      </c>
    </row>
    <row r="1646" ht="50.25" spans="1:11">
      <c r="A1646" s="29">
        <v>1645</v>
      </c>
      <c r="B1646" s="34" t="s">
        <v>1978</v>
      </c>
      <c r="C1646" s="29" t="str">
        <f>VLOOKUP(B1646,教育部大学名单!$B$1:$D$2920,3,FALSE)</f>
        <v>江苏省</v>
      </c>
      <c r="D1646" s="34" t="s">
        <v>379</v>
      </c>
      <c r="E1646" s="34" t="s">
        <v>424</v>
      </c>
      <c r="F1646" s="36" t="str">
        <f>IFERROR(VLOOKUP(B1646,'985'!$B$2:$D$40,3,FALSE),"")</f>
        <v/>
      </c>
      <c r="G1646" s="32" t="str">
        <f>IFERROR(VLOOKUP(B1646,'211'!$B$2:$D$116,3,FALSE),"")</f>
        <v/>
      </c>
      <c r="H1646" s="32" t="str">
        <f>IFERROR(VLOOKUP(B1646,双一流!$B$2:$D$148,3,FALSE),"")</f>
        <v/>
      </c>
      <c r="I1646" s="32">
        <f>IFERROR(VLOOKUP(B1646,汇总!$B$2:$I$2921,8,FALSE),"")</f>
        <v>0</v>
      </c>
      <c r="J1646" s="34" t="s">
        <v>1700</v>
      </c>
      <c r="K1646" s="34" t="s">
        <v>12</v>
      </c>
    </row>
    <row r="1647" ht="33.75" spans="1:11">
      <c r="A1647" s="34">
        <v>1646</v>
      </c>
      <c r="B1647" s="29" t="s">
        <v>1979</v>
      </c>
      <c r="C1647" s="29" t="str">
        <f>VLOOKUP(B1647,教育部大学名单!$B$1:$D$2920,3,FALSE)</f>
        <v>江苏省</v>
      </c>
      <c r="D1647" s="29" t="s">
        <v>379</v>
      </c>
      <c r="E1647" s="29" t="s">
        <v>401</v>
      </c>
      <c r="F1647" s="36" t="str">
        <f>IFERROR(VLOOKUP(B1647,'985'!$B$2:$D$40,3,FALSE),"")</f>
        <v/>
      </c>
      <c r="G1647" s="32" t="str">
        <f>IFERROR(VLOOKUP(B1647,'211'!$B$2:$D$116,3,FALSE),"")</f>
        <v/>
      </c>
      <c r="H1647" s="32" t="str">
        <f>IFERROR(VLOOKUP(B1647,双一流!$B$2:$D$148,3,FALSE),"")</f>
        <v/>
      </c>
      <c r="I1647" s="32" t="str">
        <f>IFERROR(VLOOKUP(B1647,汇总!$B$2:$I$2921,8,FALSE),"")</f>
        <v>理工</v>
      </c>
      <c r="J1647" s="29" t="s">
        <v>1700</v>
      </c>
      <c r="K1647" s="29" t="s">
        <v>12</v>
      </c>
    </row>
    <row r="1648" ht="33.75" spans="1:11">
      <c r="A1648" s="29">
        <v>1647</v>
      </c>
      <c r="B1648" s="34" t="s">
        <v>1980</v>
      </c>
      <c r="C1648" s="29" t="str">
        <f>VLOOKUP(B1648,教育部大学名单!$B$1:$D$2920,3,FALSE)</f>
        <v>江苏省</v>
      </c>
      <c r="D1648" s="34" t="s">
        <v>379</v>
      </c>
      <c r="E1648" s="34" t="s">
        <v>382</v>
      </c>
      <c r="F1648" s="36" t="str">
        <f>IFERROR(VLOOKUP(B1648,'985'!$B$2:$D$40,3,FALSE),"")</f>
        <v/>
      </c>
      <c r="G1648" s="32" t="str">
        <f>IFERROR(VLOOKUP(B1648,'211'!$B$2:$D$116,3,FALSE),"")</f>
        <v/>
      </c>
      <c r="H1648" s="32" t="str">
        <f>IFERROR(VLOOKUP(B1648,双一流!$B$2:$D$148,3,FALSE),"")</f>
        <v/>
      </c>
      <c r="I1648" s="32" t="str">
        <f>IFERROR(VLOOKUP(B1648,汇总!$B$2:$I$2921,8,FALSE),"")</f>
        <v>财经</v>
      </c>
      <c r="J1648" s="34" t="s">
        <v>1700</v>
      </c>
      <c r="K1648" s="34" t="s">
        <v>12</v>
      </c>
    </row>
    <row r="1649" ht="33.75" spans="1:11">
      <c r="A1649" s="34">
        <v>1648</v>
      </c>
      <c r="B1649" s="29" t="s">
        <v>1981</v>
      </c>
      <c r="C1649" s="29" t="str">
        <f>VLOOKUP(B1649,教育部大学名单!$B$1:$D$2920,3,FALSE)</f>
        <v>江苏省</v>
      </c>
      <c r="D1649" s="29" t="s">
        <v>379</v>
      </c>
      <c r="E1649" s="29" t="s">
        <v>382</v>
      </c>
      <c r="F1649" s="36" t="str">
        <f>IFERROR(VLOOKUP(B1649,'985'!$B$2:$D$40,3,FALSE),"")</f>
        <v/>
      </c>
      <c r="G1649" s="32" t="str">
        <f>IFERROR(VLOOKUP(B1649,'211'!$B$2:$D$116,3,FALSE),"")</f>
        <v/>
      </c>
      <c r="H1649" s="32" t="str">
        <f>IFERROR(VLOOKUP(B1649,双一流!$B$2:$D$148,3,FALSE),"")</f>
        <v/>
      </c>
      <c r="I1649" s="32" t="str">
        <f>IFERROR(VLOOKUP(B1649,汇总!$B$2:$I$2921,8,FALSE),"")</f>
        <v>理工</v>
      </c>
      <c r="J1649" s="29" t="s">
        <v>1700</v>
      </c>
      <c r="K1649" s="29" t="s">
        <v>12</v>
      </c>
    </row>
    <row r="1650" ht="33.75" spans="1:11">
      <c r="A1650" s="29">
        <v>1649</v>
      </c>
      <c r="B1650" s="34" t="s">
        <v>1982</v>
      </c>
      <c r="C1650" s="29" t="str">
        <f>VLOOKUP(B1650,教育部大学名单!$B$1:$D$2920,3,FALSE)</f>
        <v>江苏省</v>
      </c>
      <c r="D1650" s="34" t="s">
        <v>379</v>
      </c>
      <c r="E1650" s="34" t="s">
        <v>382</v>
      </c>
      <c r="F1650" s="36" t="str">
        <f>IFERROR(VLOOKUP(B1650,'985'!$B$2:$D$40,3,FALSE),"")</f>
        <v/>
      </c>
      <c r="G1650" s="32" t="str">
        <f>IFERROR(VLOOKUP(B1650,'211'!$B$2:$D$116,3,FALSE),"")</f>
        <v/>
      </c>
      <c r="H1650" s="32" t="str">
        <f>IFERROR(VLOOKUP(B1650,双一流!$B$2:$D$148,3,FALSE),"")</f>
        <v/>
      </c>
      <c r="I1650" s="32" t="str">
        <f>IFERROR(VLOOKUP(B1650,汇总!$B$2:$I$2921,8,FALSE),"")</f>
        <v>医药</v>
      </c>
      <c r="J1650" s="34" t="s">
        <v>1700</v>
      </c>
      <c r="K1650" s="34" t="s">
        <v>12</v>
      </c>
    </row>
    <row r="1651" ht="33.75" spans="1:11">
      <c r="A1651" s="34">
        <v>1650</v>
      </c>
      <c r="B1651" s="29" t="s">
        <v>1983</v>
      </c>
      <c r="C1651" s="29" t="str">
        <f>VLOOKUP(B1651,教育部大学名单!$B$1:$D$2920,3,FALSE)</f>
        <v>江苏省</v>
      </c>
      <c r="D1651" s="29" t="s">
        <v>379</v>
      </c>
      <c r="E1651" s="29" t="s">
        <v>396</v>
      </c>
      <c r="F1651" s="36" t="str">
        <f>IFERROR(VLOOKUP(B1651,'985'!$B$2:$D$40,3,FALSE),"")</f>
        <v/>
      </c>
      <c r="G1651" s="32" t="str">
        <f>IFERROR(VLOOKUP(B1651,'211'!$B$2:$D$116,3,FALSE),"")</f>
        <v/>
      </c>
      <c r="H1651" s="32" t="str">
        <f>IFERROR(VLOOKUP(B1651,双一流!$B$2:$D$148,3,FALSE),"")</f>
        <v/>
      </c>
      <c r="I1651" s="32" t="str">
        <f>IFERROR(VLOOKUP(B1651,汇总!$B$2:$I$2921,8,FALSE),"")</f>
        <v>财经</v>
      </c>
      <c r="J1651" s="29" t="s">
        <v>1700</v>
      </c>
      <c r="K1651" s="29" t="s">
        <v>12</v>
      </c>
    </row>
    <row r="1652" ht="33.75" spans="1:11">
      <c r="A1652" s="29">
        <v>1651</v>
      </c>
      <c r="B1652" s="34" t="s">
        <v>1984</v>
      </c>
      <c r="C1652" s="29" t="str">
        <f>VLOOKUP(B1652,教育部大学名单!$B$1:$D$2920,3,FALSE)</f>
        <v>江苏省</v>
      </c>
      <c r="D1652" s="34" t="s">
        <v>379</v>
      </c>
      <c r="E1652" s="34" t="s">
        <v>401</v>
      </c>
      <c r="F1652" s="36" t="str">
        <f>IFERROR(VLOOKUP(B1652,'985'!$B$2:$D$40,3,FALSE),"")</f>
        <v/>
      </c>
      <c r="G1652" s="32" t="str">
        <f>IFERROR(VLOOKUP(B1652,'211'!$B$2:$D$116,3,FALSE),"")</f>
        <v/>
      </c>
      <c r="H1652" s="32" t="str">
        <f>IFERROR(VLOOKUP(B1652,双一流!$B$2:$D$148,3,FALSE),"")</f>
        <v/>
      </c>
      <c r="I1652" s="32" t="str">
        <f>IFERROR(VLOOKUP(B1652,汇总!$B$2:$I$2921,8,FALSE),"")</f>
        <v>理工</v>
      </c>
      <c r="J1652" s="34" t="s">
        <v>1700</v>
      </c>
      <c r="K1652" s="34" t="s">
        <v>12</v>
      </c>
    </row>
    <row r="1653" ht="33.75" spans="1:11">
      <c r="A1653" s="34">
        <v>1652</v>
      </c>
      <c r="B1653" s="29" t="s">
        <v>1985</v>
      </c>
      <c r="C1653" s="29" t="str">
        <f>VLOOKUP(B1653,教育部大学名单!$B$1:$D$2920,3,FALSE)</f>
        <v>江苏省</v>
      </c>
      <c r="D1653" s="29" t="s">
        <v>379</v>
      </c>
      <c r="E1653" s="29" t="s">
        <v>380</v>
      </c>
      <c r="F1653" s="36" t="str">
        <f>IFERROR(VLOOKUP(B1653,'985'!$B$2:$D$40,3,FALSE),"")</f>
        <v/>
      </c>
      <c r="G1653" s="32" t="str">
        <f>IFERROR(VLOOKUP(B1653,'211'!$B$2:$D$116,3,FALSE),"")</f>
        <v/>
      </c>
      <c r="H1653" s="32" t="str">
        <f>IFERROR(VLOOKUP(B1653,双一流!$B$2:$D$148,3,FALSE),"")</f>
        <v/>
      </c>
      <c r="I1653" s="32" t="str">
        <f>IFERROR(VLOOKUP(B1653,汇总!$B$2:$I$2921,8,FALSE),"")</f>
        <v>理工</v>
      </c>
      <c r="J1653" s="29" t="s">
        <v>1700</v>
      </c>
      <c r="K1653" s="29" t="s">
        <v>12</v>
      </c>
    </row>
    <row r="1654" ht="33.75" spans="1:11">
      <c r="A1654" s="29">
        <v>1653</v>
      </c>
      <c r="B1654" s="34" t="s">
        <v>1986</v>
      </c>
      <c r="C1654" s="29" t="str">
        <f>VLOOKUP(B1654,教育部大学名单!$B$1:$D$2920,3,FALSE)</f>
        <v>江苏省</v>
      </c>
      <c r="D1654" s="34" t="s">
        <v>379</v>
      </c>
      <c r="E1654" s="34" t="s">
        <v>412</v>
      </c>
      <c r="F1654" s="36" t="str">
        <f>IFERROR(VLOOKUP(B1654,'985'!$B$2:$D$40,3,FALSE),"")</f>
        <v/>
      </c>
      <c r="G1654" s="32" t="str">
        <f>IFERROR(VLOOKUP(B1654,'211'!$B$2:$D$116,3,FALSE),"")</f>
        <v/>
      </c>
      <c r="H1654" s="32" t="str">
        <f>IFERROR(VLOOKUP(B1654,双一流!$B$2:$D$148,3,FALSE),"")</f>
        <v/>
      </c>
      <c r="I1654" s="32" t="str">
        <f>IFERROR(VLOOKUP(B1654,汇总!$B$2:$I$2921,8,FALSE),"")</f>
        <v>综合</v>
      </c>
      <c r="J1654" s="34" t="s">
        <v>1700</v>
      </c>
      <c r="K1654" s="34" t="s">
        <v>12</v>
      </c>
    </row>
    <row r="1655" ht="33.75" spans="1:11">
      <c r="A1655" s="34">
        <v>1654</v>
      </c>
      <c r="B1655" s="29" t="s">
        <v>1987</v>
      </c>
      <c r="C1655" s="29" t="str">
        <f>VLOOKUP(B1655,教育部大学名单!$B$1:$D$2920,3,FALSE)</f>
        <v>江苏省</v>
      </c>
      <c r="D1655" s="29" t="s">
        <v>379</v>
      </c>
      <c r="E1655" s="29" t="s">
        <v>435</v>
      </c>
      <c r="F1655" s="36" t="str">
        <f>IFERROR(VLOOKUP(B1655,'985'!$B$2:$D$40,3,FALSE),"")</f>
        <v/>
      </c>
      <c r="G1655" s="32" t="str">
        <f>IFERROR(VLOOKUP(B1655,'211'!$B$2:$D$116,3,FALSE),"")</f>
        <v/>
      </c>
      <c r="H1655" s="32" t="str">
        <f>IFERROR(VLOOKUP(B1655,双一流!$B$2:$D$148,3,FALSE),"")</f>
        <v/>
      </c>
      <c r="I1655" s="32" t="str">
        <f>IFERROR(VLOOKUP(B1655,汇总!$B$2:$I$2921,8,FALSE),"")</f>
        <v>农林</v>
      </c>
      <c r="J1655" s="29" t="s">
        <v>1700</v>
      </c>
      <c r="K1655" s="29" t="s">
        <v>12</v>
      </c>
    </row>
    <row r="1656" ht="50.25" spans="1:11">
      <c r="A1656" s="29">
        <v>1655</v>
      </c>
      <c r="B1656" s="34" t="s">
        <v>1988</v>
      </c>
      <c r="C1656" s="29" t="str">
        <f>VLOOKUP(B1656,教育部大学名单!$B$1:$D$2920,3,FALSE)</f>
        <v>江苏省</v>
      </c>
      <c r="D1656" s="34" t="s">
        <v>379</v>
      </c>
      <c r="E1656" s="34" t="s">
        <v>392</v>
      </c>
      <c r="F1656" s="36" t="str">
        <f>IFERROR(VLOOKUP(B1656,'985'!$B$2:$D$40,3,FALSE),"")</f>
        <v/>
      </c>
      <c r="G1656" s="32" t="str">
        <f>IFERROR(VLOOKUP(B1656,'211'!$B$2:$D$116,3,FALSE),"")</f>
        <v/>
      </c>
      <c r="H1656" s="32" t="str">
        <f>IFERROR(VLOOKUP(B1656,双一流!$B$2:$D$148,3,FALSE),"")</f>
        <v/>
      </c>
      <c r="I1656" s="32" t="str">
        <f>IFERROR(VLOOKUP(B1656,汇总!$B$2:$I$2921,8,FALSE),"")</f>
        <v>理工</v>
      </c>
      <c r="J1656" s="34" t="s">
        <v>1700</v>
      </c>
      <c r="K1656" s="34" t="s">
        <v>12</v>
      </c>
    </row>
    <row r="1657" ht="33.75" spans="1:11">
      <c r="A1657" s="34">
        <v>1656</v>
      </c>
      <c r="B1657" s="29" t="s">
        <v>1989</v>
      </c>
      <c r="C1657" s="29" t="str">
        <f>VLOOKUP(B1657,教育部大学名单!$B$1:$D$2920,3,FALSE)</f>
        <v>江苏省</v>
      </c>
      <c r="D1657" s="29" t="s">
        <v>379</v>
      </c>
      <c r="E1657" s="29" t="s">
        <v>382</v>
      </c>
      <c r="F1657" s="36" t="str">
        <f>IFERROR(VLOOKUP(B1657,'985'!$B$2:$D$40,3,FALSE),"")</f>
        <v/>
      </c>
      <c r="G1657" s="32" t="str">
        <f>IFERROR(VLOOKUP(B1657,'211'!$B$2:$D$116,3,FALSE),"")</f>
        <v/>
      </c>
      <c r="H1657" s="32" t="str">
        <f>IFERROR(VLOOKUP(B1657,双一流!$B$2:$D$148,3,FALSE),"")</f>
        <v/>
      </c>
      <c r="I1657" s="32" t="str">
        <f>IFERROR(VLOOKUP(B1657,汇总!$B$2:$I$2921,8,FALSE),"")</f>
        <v>农林</v>
      </c>
      <c r="J1657" s="29" t="s">
        <v>1700</v>
      </c>
      <c r="K1657" s="29" t="s">
        <v>12</v>
      </c>
    </row>
    <row r="1658" ht="50.25" spans="1:11">
      <c r="A1658" s="29">
        <v>1657</v>
      </c>
      <c r="B1658" s="34" t="s">
        <v>1990</v>
      </c>
      <c r="C1658" s="29" t="str">
        <f>VLOOKUP(B1658,教育部大学名单!$B$1:$D$2920,3,FALSE)</f>
        <v>江苏省</v>
      </c>
      <c r="D1658" s="34" t="s">
        <v>379</v>
      </c>
      <c r="E1658" s="34" t="s">
        <v>382</v>
      </c>
      <c r="F1658" s="36" t="str">
        <f>IFERROR(VLOOKUP(B1658,'985'!$B$2:$D$40,3,FALSE),"")</f>
        <v/>
      </c>
      <c r="G1658" s="32" t="str">
        <f>IFERROR(VLOOKUP(B1658,'211'!$B$2:$D$116,3,FALSE),"")</f>
        <v/>
      </c>
      <c r="H1658" s="32" t="str">
        <f>IFERROR(VLOOKUP(B1658,双一流!$B$2:$D$148,3,FALSE),"")</f>
        <v/>
      </c>
      <c r="I1658" s="32" t="str">
        <f>IFERROR(VLOOKUP(B1658,汇总!$B$2:$I$2921,8,FALSE),"")</f>
        <v>综合</v>
      </c>
      <c r="J1658" s="34" t="s">
        <v>1700</v>
      </c>
      <c r="K1658" s="34" t="s">
        <v>12</v>
      </c>
    </row>
    <row r="1659" ht="33.75" spans="1:11">
      <c r="A1659" s="34">
        <v>1658</v>
      </c>
      <c r="B1659" s="29" t="s">
        <v>1991</v>
      </c>
      <c r="C1659" s="29" t="str">
        <f>VLOOKUP(B1659,教育部大学名单!$B$1:$D$2920,3,FALSE)</f>
        <v>江苏省</v>
      </c>
      <c r="D1659" s="29" t="s">
        <v>379</v>
      </c>
      <c r="E1659" s="29" t="s">
        <v>380</v>
      </c>
      <c r="F1659" s="36" t="str">
        <f>IFERROR(VLOOKUP(B1659,'985'!$B$2:$D$40,3,FALSE),"")</f>
        <v/>
      </c>
      <c r="G1659" s="32" t="str">
        <f>IFERROR(VLOOKUP(B1659,'211'!$B$2:$D$116,3,FALSE),"")</f>
        <v/>
      </c>
      <c r="H1659" s="32" t="str">
        <f>IFERROR(VLOOKUP(B1659,双一流!$B$2:$D$148,3,FALSE),"")</f>
        <v/>
      </c>
      <c r="I1659" s="32" t="str">
        <f>IFERROR(VLOOKUP(B1659,汇总!$B$2:$I$2921,8,FALSE),"")</f>
        <v>理工</v>
      </c>
      <c r="J1659" s="29" t="s">
        <v>1700</v>
      </c>
      <c r="K1659" s="29" t="s">
        <v>12</v>
      </c>
    </row>
    <row r="1660" ht="33.75" spans="1:11">
      <c r="A1660" s="29">
        <v>1659</v>
      </c>
      <c r="B1660" s="34" t="s">
        <v>1992</v>
      </c>
      <c r="C1660" s="29" t="str">
        <f>VLOOKUP(B1660,教育部大学名单!$B$1:$D$2920,3,FALSE)</f>
        <v>江苏省</v>
      </c>
      <c r="D1660" s="34" t="s">
        <v>379</v>
      </c>
      <c r="E1660" s="34" t="s">
        <v>392</v>
      </c>
      <c r="F1660" s="36" t="str">
        <f>IFERROR(VLOOKUP(B1660,'985'!$B$2:$D$40,3,FALSE),"")</f>
        <v/>
      </c>
      <c r="G1660" s="32" t="str">
        <f>IFERROR(VLOOKUP(B1660,'211'!$B$2:$D$116,3,FALSE),"")</f>
        <v/>
      </c>
      <c r="H1660" s="32" t="str">
        <f>IFERROR(VLOOKUP(B1660,双一流!$B$2:$D$148,3,FALSE),"")</f>
        <v/>
      </c>
      <c r="I1660" s="32" t="str">
        <f>IFERROR(VLOOKUP(B1660,汇总!$B$2:$I$2921,8,FALSE),"")</f>
        <v>理工</v>
      </c>
      <c r="J1660" s="34" t="s">
        <v>1700</v>
      </c>
      <c r="K1660" s="34" t="s">
        <v>12</v>
      </c>
    </row>
    <row r="1661" ht="33.75" spans="1:11">
      <c r="A1661" s="34">
        <v>1660</v>
      </c>
      <c r="B1661" s="29" t="s">
        <v>1993</v>
      </c>
      <c r="C1661" s="29" t="str">
        <f>VLOOKUP(B1661,教育部大学名单!$B$1:$D$2920,3,FALSE)</f>
        <v>江苏省</v>
      </c>
      <c r="D1661" s="29" t="s">
        <v>379</v>
      </c>
      <c r="E1661" s="29" t="s">
        <v>392</v>
      </c>
      <c r="F1661" s="36" t="str">
        <f>IFERROR(VLOOKUP(B1661,'985'!$B$2:$D$40,3,FALSE),"")</f>
        <v/>
      </c>
      <c r="G1661" s="32" t="str">
        <f>IFERROR(VLOOKUP(B1661,'211'!$B$2:$D$116,3,FALSE),"")</f>
        <v/>
      </c>
      <c r="H1661" s="32" t="str">
        <f>IFERROR(VLOOKUP(B1661,双一流!$B$2:$D$148,3,FALSE),"")</f>
        <v/>
      </c>
      <c r="I1661" s="32" t="str">
        <f>IFERROR(VLOOKUP(B1661,汇总!$B$2:$I$2921,8,FALSE),"")</f>
        <v>理工</v>
      </c>
      <c r="J1661" s="29" t="s">
        <v>1700</v>
      </c>
      <c r="K1661" s="29" t="s">
        <v>12</v>
      </c>
    </row>
    <row r="1662" ht="33.75" spans="1:11">
      <c r="A1662" s="29">
        <v>1661</v>
      </c>
      <c r="B1662" s="34" t="s">
        <v>1994</v>
      </c>
      <c r="C1662" s="29" t="str">
        <f>VLOOKUP(B1662,教育部大学名单!$B$1:$D$2920,3,FALSE)</f>
        <v>江苏省</v>
      </c>
      <c r="D1662" s="34" t="s">
        <v>379</v>
      </c>
      <c r="E1662" s="34" t="s">
        <v>387</v>
      </c>
      <c r="F1662" s="36" t="str">
        <f>IFERROR(VLOOKUP(B1662,'985'!$B$2:$D$40,3,FALSE),"")</f>
        <v/>
      </c>
      <c r="G1662" s="32" t="str">
        <f>IFERROR(VLOOKUP(B1662,'211'!$B$2:$D$116,3,FALSE),"")</f>
        <v/>
      </c>
      <c r="H1662" s="32" t="str">
        <f>IFERROR(VLOOKUP(B1662,双一流!$B$2:$D$148,3,FALSE),"")</f>
        <v/>
      </c>
      <c r="I1662" s="32" t="str">
        <f>IFERROR(VLOOKUP(B1662,汇总!$B$2:$I$2921,8,FALSE),"")</f>
        <v>农林</v>
      </c>
      <c r="J1662" s="34" t="s">
        <v>1700</v>
      </c>
      <c r="K1662" s="34" t="s">
        <v>12</v>
      </c>
    </row>
    <row r="1663" ht="50.25" spans="1:11">
      <c r="A1663" s="34">
        <v>1662</v>
      </c>
      <c r="B1663" s="29" t="s">
        <v>1995</v>
      </c>
      <c r="C1663" s="29" t="str">
        <f>VLOOKUP(B1663,教育部大学名单!$B$1:$D$2920,3,FALSE)</f>
        <v>江苏省</v>
      </c>
      <c r="D1663" s="29" t="s">
        <v>379</v>
      </c>
      <c r="E1663" s="29" t="s">
        <v>412</v>
      </c>
      <c r="F1663" s="36" t="str">
        <f>IFERROR(VLOOKUP(B1663,'985'!$B$2:$D$40,3,FALSE),"")</f>
        <v/>
      </c>
      <c r="G1663" s="32" t="str">
        <f>IFERROR(VLOOKUP(B1663,'211'!$B$2:$D$116,3,FALSE),"")</f>
        <v/>
      </c>
      <c r="H1663" s="32" t="str">
        <f>IFERROR(VLOOKUP(B1663,双一流!$B$2:$D$148,3,FALSE),"")</f>
        <v/>
      </c>
      <c r="I1663" s="32" t="str">
        <f>IFERROR(VLOOKUP(B1663,汇总!$B$2:$I$2921,8,FALSE),"")</f>
        <v>综合</v>
      </c>
      <c r="J1663" s="29" t="s">
        <v>1700</v>
      </c>
      <c r="K1663" s="29" t="s">
        <v>12</v>
      </c>
    </row>
    <row r="1664" ht="33.75" spans="1:11">
      <c r="A1664" s="29">
        <v>1663</v>
      </c>
      <c r="B1664" s="34" t="s">
        <v>1996</v>
      </c>
      <c r="C1664" s="29" t="str">
        <f>VLOOKUP(B1664,教育部大学名单!$B$1:$D$2920,3,FALSE)</f>
        <v>江苏省</v>
      </c>
      <c r="D1664" s="34" t="s">
        <v>379</v>
      </c>
      <c r="E1664" s="34" t="s">
        <v>380</v>
      </c>
      <c r="F1664" s="36" t="str">
        <f>IFERROR(VLOOKUP(B1664,'985'!$B$2:$D$40,3,FALSE),"")</f>
        <v/>
      </c>
      <c r="G1664" s="32" t="str">
        <f>IFERROR(VLOOKUP(B1664,'211'!$B$2:$D$116,3,FALSE),"")</f>
        <v/>
      </c>
      <c r="H1664" s="32" t="str">
        <f>IFERROR(VLOOKUP(B1664,双一流!$B$2:$D$148,3,FALSE),"")</f>
        <v/>
      </c>
      <c r="I1664" s="32" t="str">
        <f>IFERROR(VLOOKUP(B1664,汇总!$B$2:$I$2921,8,FALSE),"")</f>
        <v>理工</v>
      </c>
      <c r="J1664" s="34" t="s">
        <v>1700</v>
      </c>
      <c r="K1664" s="34" t="s">
        <v>12</v>
      </c>
    </row>
    <row r="1665" ht="33.75" spans="1:11">
      <c r="A1665" s="34">
        <v>1664</v>
      </c>
      <c r="B1665" s="29" t="s">
        <v>1997</v>
      </c>
      <c r="C1665" s="29" t="str">
        <f>VLOOKUP(B1665,教育部大学名单!$B$1:$D$2920,3,FALSE)</f>
        <v>江苏省</v>
      </c>
      <c r="D1665" s="29" t="s">
        <v>379</v>
      </c>
      <c r="E1665" s="29" t="s">
        <v>389</v>
      </c>
      <c r="F1665" s="36" t="str">
        <f>IFERROR(VLOOKUP(B1665,'985'!$B$2:$D$40,3,FALSE),"")</f>
        <v/>
      </c>
      <c r="G1665" s="32" t="str">
        <f>IFERROR(VLOOKUP(B1665,'211'!$B$2:$D$116,3,FALSE),"")</f>
        <v/>
      </c>
      <c r="H1665" s="32" t="str">
        <f>IFERROR(VLOOKUP(B1665,双一流!$B$2:$D$148,3,FALSE),"")</f>
        <v/>
      </c>
      <c r="I1665" s="32" t="str">
        <f>IFERROR(VLOOKUP(B1665,汇总!$B$2:$I$2921,8,FALSE),"")</f>
        <v>理工</v>
      </c>
      <c r="J1665" s="29" t="s">
        <v>1700</v>
      </c>
      <c r="K1665" s="29" t="s">
        <v>12</v>
      </c>
    </row>
    <row r="1666" ht="33.75" spans="1:11">
      <c r="A1666" s="29">
        <v>1665</v>
      </c>
      <c r="B1666" s="34" t="s">
        <v>1998</v>
      </c>
      <c r="C1666" s="29" t="str">
        <f>VLOOKUP(B1666,教育部大学名单!$B$1:$D$2920,3,FALSE)</f>
        <v>江苏省</v>
      </c>
      <c r="D1666" s="34" t="s">
        <v>379</v>
      </c>
      <c r="E1666" s="34" t="s">
        <v>396</v>
      </c>
      <c r="F1666" s="36" t="str">
        <f>IFERROR(VLOOKUP(B1666,'985'!$B$2:$D$40,3,FALSE),"")</f>
        <v/>
      </c>
      <c r="G1666" s="32" t="str">
        <f>IFERROR(VLOOKUP(B1666,'211'!$B$2:$D$116,3,FALSE),"")</f>
        <v/>
      </c>
      <c r="H1666" s="32" t="str">
        <f>IFERROR(VLOOKUP(B1666,双一流!$B$2:$D$148,3,FALSE),"")</f>
        <v/>
      </c>
      <c r="I1666" s="32" t="str">
        <f>IFERROR(VLOOKUP(B1666,汇总!$B$2:$I$2921,8,FALSE),"")</f>
        <v>理工</v>
      </c>
      <c r="J1666" s="34" t="s">
        <v>1700</v>
      </c>
      <c r="K1666" s="34" t="s">
        <v>12</v>
      </c>
    </row>
    <row r="1667" ht="33.75" spans="1:11">
      <c r="A1667" s="34">
        <v>1666</v>
      </c>
      <c r="B1667" s="29" t="s">
        <v>1999</v>
      </c>
      <c r="C1667" s="29" t="str">
        <f>VLOOKUP(B1667,教育部大学名单!$B$1:$D$2920,3,FALSE)</f>
        <v>江苏省</v>
      </c>
      <c r="D1667" s="29" t="s">
        <v>379</v>
      </c>
      <c r="E1667" s="29" t="s">
        <v>440</v>
      </c>
      <c r="F1667" s="36" t="str">
        <f>IFERROR(VLOOKUP(B1667,'985'!$B$2:$D$40,3,FALSE),"")</f>
        <v/>
      </c>
      <c r="G1667" s="32" t="str">
        <f>IFERROR(VLOOKUP(B1667,'211'!$B$2:$D$116,3,FALSE),"")</f>
        <v/>
      </c>
      <c r="H1667" s="32" t="str">
        <f>IFERROR(VLOOKUP(B1667,双一流!$B$2:$D$148,3,FALSE),"")</f>
        <v/>
      </c>
      <c r="I1667" s="32">
        <f>IFERROR(VLOOKUP(B1667,汇总!$B$2:$I$2921,8,FALSE),"")</f>
        <v>0</v>
      </c>
      <c r="J1667" s="29" t="s">
        <v>1700</v>
      </c>
      <c r="K1667" s="29" t="s">
        <v>12</v>
      </c>
    </row>
    <row r="1668" ht="33.75" spans="1:11">
      <c r="A1668" s="29">
        <v>1667</v>
      </c>
      <c r="B1668" s="34" t="s">
        <v>2000</v>
      </c>
      <c r="C1668" s="29" t="str">
        <f>VLOOKUP(B1668,教育部大学名单!$B$1:$D$2920,3,FALSE)</f>
        <v>江苏省</v>
      </c>
      <c r="D1668" s="34" t="s">
        <v>379</v>
      </c>
      <c r="E1668" s="34" t="s">
        <v>380</v>
      </c>
      <c r="F1668" s="36" t="str">
        <f>IFERROR(VLOOKUP(B1668,'985'!$B$2:$D$40,3,FALSE),"")</f>
        <v/>
      </c>
      <c r="G1668" s="32" t="str">
        <f>IFERROR(VLOOKUP(B1668,'211'!$B$2:$D$116,3,FALSE),"")</f>
        <v/>
      </c>
      <c r="H1668" s="32" t="str">
        <f>IFERROR(VLOOKUP(B1668,双一流!$B$2:$D$148,3,FALSE),"")</f>
        <v/>
      </c>
      <c r="I1668" s="32" t="str">
        <f>IFERROR(VLOOKUP(B1668,汇总!$B$2:$I$2921,8,FALSE),"")</f>
        <v>综合</v>
      </c>
      <c r="J1668" s="34" t="s">
        <v>1700</v>
      </c>
      <c r="K1668" s="34" t="s">
        <v>12</v>
      </c>
    </row>
    <row r="1669" ht="33.75" spans="1:11">
      <c r="A1669" s="34">
        <v>1668</v>
      </c>
      <c r="B1669" s="29" t="s">
        <v>2001</v>
      </c>
      <c r="C1669" s="29" t="str">
        <f>VLOOKUP(B1669,教育部大学名单!$B$1:$D$2920,3,FALSE)</f>
        <v>江苏省</v>
      </c>
      <c r="D1669" s="29" t="s">
        <v>379</v>
      </c>
      <c r="E1669" s="29" t="s">
        <v>392</v>
      </c>
      <c r="F1669" s="36" t="str">
        <f>IFERROR(VLOOKUP(B1669,'985'!$B$2:$D$40,3,FALSE),"")</f>
        <v/>
      </c>
      <c r="G1669" s="32" t="str">
        <f>IFERROR(VLOOKUP(B1669,'211'!$B$2:$D$116,3,FALSE),"")</f>
        <v/>
      </c>
      <c r="H1669" s="32" t="str">
        <f>IFERROR(VLOOKUP(B1669,双一流!$B$2:$D$148,3,FALSE),"")</f>
        <v/>
      </c>
      <c r="I1669" s="32" t="str">
        <f>IFERROR(VLOOKUP(B1669,汇总!$B$2:$I$2921,8,FALSE),"")</f>
        <v>综合</v>
      </c>
      <c r="J1669" s="29" t="s">
        <v>1700</v>
      </c>
      <c r="K1669" s="29" t="s">
        <v>12</v>
      </c>
    </row>
    <row r="1670" ht="33.75" spans="1:11">
      <c r="A1670" s="29">
        <v>1669</v>
      </c>
      <c r="B1670" s="34" t="s">
        <v>2002</v>
      </c>
      <c r="C1670" s="29" t="str">
        <f>VLOOKUP(B1670,教育部大学名单!$B$1:$D$2920,3,FALSE)</f>
        <v>江苏省</v>
      </c>
      <c r="D1670" s="34" t="s">
        <v>379</v>
      </c>
      <c r="E1670" s="34" t="s">
        <v>396</v>
      </c>
      <c r="F1670" s="36" t="str">
        <f>IFERROR(VLOOKUP(B1670,'985'!$B$2:$D$40,3,FALSE),"")</f>
        <v/>
      </c>
      <c r="G1670" s="32" t="str">
        <f>IFERROR(VLOOKUP(B1670,'211'!$B$2:$D$116,3,FALSE),"")</f>
        <v/>
      </c>
      <c r="H1670" s="32" t="str">
        <f>IFERROR(VLOOKUP(B1670,双一流!$B$2:$D$148,3,FALSE),"")</f>
        <v/>
      </c>
      <c r="I1670" s="32" t="str">
        <f>IFERROR(VLOOKUP(B1670,汇总!$B$2:$I$2921,8,FALSE),"")</f>
        <v>综合</v>
      </c>
      <c r="J1670" s="34" t="s">
        <v>1700</v>
      </c>
      <c r="K1670" s="34" t="s">
        <v>12</v>
      </c>
    </row>
    <row r="1671" ht="33.75" spans="1:11">
      <c r="A1671" s="34">
        <v>1670</v>
      </c>
      <c r="B1671" s="29" t="s">
        <v>2003</v>
      </c>
      <c r="C1671" s="29" t="str">
        <f>VLOOKUP(B1671,教育部大学名单!$B$1:$D$2920,3,FALSE)</f>
        <v>江苏省</v>
      </c>
      <c r="D1671" s="29" t="s">
        <v>379</v>
      </c>
      <c r="E1671" s="29" t="s">
        <v>396</v>
      </c>
      <c r="F1671" s="36" t="str">
        <f>IFERROR(VLOOKUP(B1671,'985'!$B$2:$D$40,3,FALSE),"")</f>
        <v/>
      </c>
      <c r="G1671" s="32" t="str">
        <f>IFERROR(VLOOKUP(B1671,'211'!$B$2:$D$116,3,FALSE),"")</f>
        <v/>
      </c>
      <c r="H1671" s="32" t="str">
        <f>IFERROR(VLOOKUP(B1671,双一流!$B$2:$D$148,3,FALSE),"")</f>
        <v/>
      </c>
      <c r="I1671" s="32" t="str">
        <f>IFERROR(VLOOKUP(B1671,汇总!$B$2:$I$2921,8,FALSE),"")</f>
        <v>综合</v>
      </c>
      <c r="J1671" s="29" t="s">
        <v>1700</v>
      </c>
      <c r="K1671" s="29" t="s">
        <v>12</v>
      </c>
    </row>
    <row r="1672" ht="33.75" spans="1:11">
      <c r="A1672" s="29">
        <v>1671</v>
      </c>
      <c r="B1672" s="34" t="s">
        <v>2004</v>
      </c>
      <c r="C1672" s="29" t="str">
        <f>VLOOKUP(B1672,教育部大学名单!$B$1:$D$2920,3,FALSE)</f>
        <v>江苏省</v>
      </c>
      <c r="D1672" s="34" t="s">
        <v>379</v>
      </c>
      <c r="E1672" s="34" t="s">
        <v>396</v>
      </c>
      <c r="F1672" s="36" t="str">
        <f>IFERROR(VLOOKUP(B1672,'985'!$B$2:$D$40,3,FALSE),"")</f>
        <v/>
      </c>
      <c r="G1672" s="32" t="str">
        <f>IFERROR(VLOOKUP(B1672,'211'!$B$2:$D$116,3,FALSE),"")</f>
        <v/>
      </c>
      <c r="H1672" s="32" t="str">
        <f>IFERROR(VLOOKUP(B1672,双一流!$B$2:$D$148,3,FALSE),"")</f>
        <v/>
      </c>
      <c r="I1672" s="32" t="str">
        <f>IFERROR(VLOOKUP(B1672,汇总!$B$2:$I$2921,8,FALSE),"")</f>
        <v>艺术</v>
      </c>
      <c r="J1672" s="34" t="s">
        <v>1700</v>
      </c>
      <c r="K1672" s="34" t="s">
        <v>12</v>
      </c>
    </row>
    <row r="1673" ht="33.75" spans="1:11">
      <c r="A1673" s="34">
        <v>1672</v>
      </c>
      <c r="B1673" s="29" t="s">
        <v>2005</v>
      </c>
      <c r="C1673" s="29" t="str">
        <f>VLOOKUP(B1673,教育部大学名单!$B$1:$D$2920,3,FALSE)</f>
        <v>江苏省</v>
      </c>
      <c r="D1673" s="29" t="s">
        <v>379</v>
      </c>
      <c r="E1673" s="29" t="s">
        <v>382</v>
      </c>
      <c r="F1673" s="36" t="str">
        <f>IFERROR(VLOOKUP(B1673,'985'!$B$2:$D$40,3,FALSE),"")</f>
        <v/>
      </c>
      <c r="G1673" s="32" t="str">
        <f>IFERROR(VLOOKUP(B1673,'211'!$B$2:$D$116,3,FALSE),"")</f>
        <v/>
      </c>
      <c r="H1673" s="32" t="str">
        <f>IFERROR(VLOOKUP(B1673,双一流!$B$2:$D$148,3,FALSE),"")</f>
        <v/>
      </c>
      <c r="I1673" s="32" t="str">
        <f>IFERROR(VLOOKUP(B1673,汇总!$B$2:$I$2921,8,FALSE),"")</f>
        <v>综合</v>
      </c>
      <c r="J1673" s="29" t="s">
        <v>1700</v>
      </c>
      <c r="K1673" s="29" t="s">
        <v>12</v>
      </c>
    </row>
    <row r="1674" ht="33.75" spans="1:11">
      <c r="A1674" s="29">
        <v>1673</v>
      </c>
      <c r="B1674" s="34" t="s">
        <v>2006</v>
      </c>
      <c r="C1674" s="29" t="str">
        <f>VLOOKUP(B1674,教育部大学名单!$B$1:$D$2920,3,FALSE)</f>
        <v>江苏省</v>
      </c>
      <c r="D1674" s="34" t="s">
        <v>379</v>
      </c>
      <c r="E1674" s="34" t="s">
        <v>403</v>
      </c>
      <c r="F1674" s="36" t="str">
        <f>IFERROR(VLOOKUP(B1674,'985'!$B$2:$D$40,3,FALSE),"")</f>
        <v/>
      </c>
      <c r="G1674" s="32" t="str">
        <f>IFERROR(VLOOKUP(B1674,'211'!$B$2:$D$116,3,FALSE),"")</f>
        <v/>
      </c>
      <c r="H1674" s="32" t="str">
        <f>IFERROR(VLOOKUP(B1674,双一流!$B$2:$D$148,3,FALSE),"")</f>
        <v/>
      </c>
      <c r="I1674" s="32" t="str">
        <f>IFERROR(VLOOKUP(B1674,汇总!$B$2:$I$2921,8,FALSE),"")</f>
        <v>理工</v>
      </c>
      <c r="J1674" s="34" t="s">
        <v>1700</v>
      </c>
      <c r="K1674" s="34" t="s">
        <v>12</v>
      </c>
    </row>
    <row r="1675" ht="33.75" spans="1:11">
      <c r="A1675" s="34">
        <v>1674</v>
      </c>
      <c r="B1675" s="29" t="s">
        <v>2007</v>
      </c>
      <c r="C1675" s="29" t="str">
        <f>VLOOKUP(B1675,教育部大学名单!$B$1:$D$2920,3,FALSE)</f>
        <v>江苏省</v>
      </c>
      <c r="D1675" s="29" t="s">
        <v>379</v>
      </c>
      <c r="E1675" s="29" t="s">
        <v>412</v>
      </c>
      <c r="F1675" s="36" t="str">
        <f>IFERROR(VLOOKUP(B1675,'985'!$B$2:$D$40,3,FALSE),"")</f>
        <v/>
      </c>
      <c r="G1675" s="32" t="str">
        <f>IFERROR(VLOOKUP(B1675,'211'!$B$2:$D$116,3,FALSE),"")</f>
        <v/>
      </c>
      <c r="H1675" s="32" t="str">
        <f>IFERROR(VLOOKUP(B1675,双一流!$B$2:$D$148,3,FALSE),"")</f>
        <v/>
      </c>
      <c r="I1675" s="32" t="str">
        <f>IFERROR(VLOOKUP(B1675,汇总!$B$2:$I$2921,8,FALSE),"")</f>
        <v>财经</v>
      </c>
      <c r="J1675" s="29" t="s">
        <v>1700</v>
      </c>
      <c r="K1675" s="29" t="s">
        <v>12</v>
      </c>
    </row>
    <row r="1676" ht="33.75" spans="1:11">
      <c r="A1676" s="29">
        <v>1675</v>
      </c>
      <c r="B1676" s="34" t="s">
        <v>2008</v>
      </c>
      <c r="C1676" s="29" t="str">
        <f>VLOOKUP(B1676,教育部大学名单!$B$1:$D$2920,3,FALSE)</f>
        <v>江苏省</v>
      </c>
      <c r="D1676" s="34" t="s">
        <v>379</v>
      </c>
      <c r="E1676" s="34" t="s">
        <v>424</v>
      </c>
      <c r="F1676" s="36" t="str">
        <f>IFERROR(VLOOKUP(B1676,'985'!$B$2:$D$40,3,FALSE),"")</f>
        <v/>
      </c>
      <c r="G1676" s="32" t="str">
        <f>IFERROR(VLOOKUP(B1676,'211'!$B$2:$D$116,3,FALSE),"")</f>
        <v/>
      </c>
      <c r="H1676" s="32" t="str">
        <f>IFERROR(VLOOKUP(B1676,双一流!$B$2:$D$148,3,FALSE),"")</f>
        <v/>
      </c>
      <c r="I1676" s="32" t="str">
        <f>IFERROR(VLOOKUP(B1676,汇总!$B$2:$I$2921,8,FALSE),"")</f>
        <v>综合</v>
      </c>
      <c r="J1676" s="34" t="s">
        <v>1700</v>
      </c>
      <c r="K1676" s="34" t="s">
        <v>12</v>
      </c>
    </row>
    <row r="1677" ht="33.75" spans="1:11">
      <c r="A1677" s="34">
        <v>1676</v>
      </c>
      <c r="B1677" s="29" t="s">
        <v>2009</v>
      </c>
      <c r="C1677" s="29" t="str">
        <f>VLOOKUP(B1677,教育部大学名单!$B$1:$D$2920,3,FALSE)</f>
        <v>江苏省</v>
      </c>
      <c r="D1677" s="29" t="s">
        <v>379</v>
      </c>
      <c r="E1677" s="29" t="s">
        <v>380</v>
      </c>
      <c r="F1677" s="36" t="str">
        <f>IFERROR(VLOOKUP(B1677,'985'!$B$2:$D$40,3,FALSE),"")</f>
        <v/>
      </c>
      <c r="G1677" s="32" t="str">
        <f>IFERROR(VLOOKUP(B1677,'211'!$B$2:$D$116,3,FALSE),"")</f>
        <v/>
      </c>
      <c r="H1677" s="32" t="str">
        <f>IFERROR(VLOOKUP(B1677,双一流!$B$2:$D$148,3,FALSE),"")</f>
        <v/>
      </c>
      <c r="I1677" s="32" t="str">
        <f>IFERROR(VLOOKUP(B1677,汇总!$B$2:$I$2921,8,FALSE),"")</f>
        <v>综合</v>
      </c>
      <c r="J1677" s="29" t="s">
        <v>1700</v>
      </c>
      <c r="K1677" s="29" t="s">
        <v>12</v>
      </c>
    </row>
    <row r="1678" ht="33.75" spans="1:11">
      <c r="A1678" s="29">
        <v>1677</v>
      </c>
      <c r="B1678" s="34" t="s">
        <v>2010</v>
      </c>
      <c r="C1678" s="29" t="str">
        <f>VLOOKUP(B1678,教育部大学名单!$B$1:$D$2920,3,FALSE)</f>
        <v>江苏省</v>
      </c>
      <c r="D1678" s="34" t="s">
        <v>379</v>
      </c>
      <c r="E1678" s="34" t="s">
        <v>380</v>
      </c>
      <c r="F1678" s="36" t="str">
        <f>IFERROR(VLOOKUP(B1678,'985'!$B$2:$D$40,3,FALSE),"")</f>
        <v/>
      </c>
      <c r="G1678" s="32" t="str">
        <f>IFERROR(VLOOKUP(B1678,'211'!$B$2:$D$116,3,FALSE),"")</f>
        <v/>
      </c>
      <c r="H1678" s="32" t="str">
        <f>IFERROR(VLOOKUP(B1678,双一流!$B$2:$D$148,3,FALSE),"")</f>
        <v/>
      </c>
      <c r="I1678" s="32" t="str">
        <f>IFERROR(VLOOKUP(B1678,汇总!$B$2:$I$2921,8,FALSE),"")</f>
        <v>综合</v>
      </c>
      <c r="J1678" s="34" t="s">
        <v>1700</v>
      </c>
      <c r="K1678" s="34" t="s">
        <v>12</v>
      </c>
    </row>
    <row r="1679" ht="33.75" spans="1:11">
      <c r="A1679" s="34">
        <v>1678</v>
      </c>
      <c r="B1679" s="29" t="s">
        <v>2011</v>
      </c>
      <c r="C1679" s="29" t="str">
        <f>VLOOKUP(B1679,教育部大学名单!$B$1:$D$2920,3,FALSE)</f>
        <v>江苏省</v>
      </c>
      <c r="D1679" s="29" t="s">
        <v>379</v>
      </c>
      <c r="E1679" s="29" t="s">
        <v>380</v>
      </c>
      <c r="F1679" s="36" t="str">
        <f>IFERROR(VLOOKUP(B1679,'985'!$B$2:$D$40,3,FALSE),"")</f>
        <v/>
      </c>
      <c r="G1679" s="32" t="str">
        <f>IFERROR(VLOOKUP(B1679,'211'!$B$2:$D$116,3,FALSE),"")</f>
        <v/>
      </c>
      <c r="H1679" s="32" t="str">
        <f>IFERROR(VLOOKUP(B1679,双一流!$B$2:$D$148,3,FALSE),"")</f>
        <v/>
      </c>
      <c r="I1679" s="32" t="str">
        <f>IFERROR(VLOOKUP(B1679,汇总!$B$2:$I$2921,8,FALSE),"")</f>
        <v>综合</v>
      </c>
      <c r="J1679" s="29" t="s">
        <v>1700</v>
      </c>
      <c r="K1679" s="29" t="s">
        <v>12</v>
      </c>
    </row>
    <row r="1680" ht="33.75" spans="1:11">
      <c r="A1680" s="29">
        <v>1679</v>
      </c>
      <c r="B1680" s="34" t="s">
        <v>2012</v>
      </c>
      <c r="C1680" s="29" t="str">
        <f>VLOOKUP(B1680,教育部大学名单!$B$1:$D$2920,3,FALSE)</f>
        <v>江苏省</v>
      </c>
      <c r="D1680" s="34" t="s">
        <v>379</v>
      </c>
      <c r="E1680" s="34" t="s">
        <v>380</v>
      </c>
      <c r="F1680" s="36" t="str">
        <f>IFERROR(VLOOKUP(B1680,'985'!$B$2:$D$40,3,FALSE),"")</f>
        <v/>
      </c>
      <c r="G1680" s="32" t="str">
        <f>IFERROR(VLOOKUP(B1680,'211'!$B$2:$D$116,3,FALSE),"")</f>
        <v/>
      </c>
      <c r="H1680" s="32" t="str">
        <f>IFERROR(VLOOKUP(B1680,双一流!$B$2:$D$148,3,FALSE),"")</f>
        <v/>
      </c>
      <c r="I1680" s="32" t="str">
        <f>IFERROR(VLOOKUP(B1680,汇总!$B$2:$I$2921,8,FALSE),"")</f>
        <v>综合</v>
      </c>
      <c r="J1680" s="34" t="s">
        <v>1700</v>
      </c>
      <c r="K1680" s="34" t="s">
        <v>12</v>
      </c>
    </row>
    <row r="1681" ht="33.75" spans="1:11">
      <c r="A1681" s="34">
        <v>1680</v>
      </c>
      <c r="B1681" s="29" t="s">
        <v>2013</v>
      </c>
      <c r="C1681" s="29" t="str">
        <f>VLOOKUP(B1681,教育部大学名单!$B$1:$D$2920,3,FALSE)</f>
        <v>江苏省</v>
      </c>
      <c r="D1681" s="29" t="s">
        <v>379</v>
      </c>
      <c r="E1681" s="29" t="s">
        <v>380</v>
      </c>
      <c r="F1681" s="36" t="str">
        <f>IFERROR(VLOOKUP(B1681,'985'!$B$2:$D$40,3,FALSE),"")</f>
        <v/>
      </c>
      <c r="G1681" s="32" t="str">
        <f>IFERROR(VLOOKUP(B1681,'211'!$B$2:$D$116,3,FALSE),"")</f>
        <v/>
      </c>
      <c r="H1681" s="32" t="str">
        <f>IFERROR(VLOOKUP(B1681,双一流!$B$2:$D$148,3,FALSE),"")</f>
        <v/>
      </c>
      <c r="I1681" s="32" t="str">
        <f>IFERROR(VLOOKUP(B1681,汇总!$B$2:$I$2921,8,FALSE),"")</f>
        <v>医药</v>
      </c>
      <c r="J1681" s="29" t="s">
        <v>1700</v>
      </c>
      <c r="K1681" s="29" t="s">
        <v>12</v>
      </c>
    </row>
    <row r="1682" ht="33.75" spans="1:11">
      <c r="A1682" s="29">
        <v>1681</v>
      </c>
      <c r="B1682" s="34" t="s">
        <v>2014</v>
      </c>
      <c r="C1682" s="29" t="str">
        <f>VLOOKUP(B1682,教育部大学名单!$B$1:$D$2920,3,FALSE)</f>
        <v>江苏省</v>
      </c>
      <c r="D1682" s="34" t="s">
        <v>379</v>
      </c>
      <c r="E1682" s="34" t="s">
        <v>382</v>
      </c>
      <c r="F1682" s="36" t="str">
        <f>IFERROR(VLOOKUP(B1682,'985'!$B$2:$D$40,3,FALSE),"")</f>
        <v/>
      </c>
      <c r="G1682" s="32" t="str">
        <f>IFERROR(VLOOKUP(B1682,'211'!$B$2:$D$116,3,FALSE),"")</f>
        <v/>
      </c>
      <c r="H1682" s="32" t="str">
        <f>IFERROR(VLOOKUP(B1682,双一流!$B$2:$D$148,3,FALSE),"")</f>
        <v/>
      </c>
      <c r="I1682" s="32" t="str">
        <f>IFERROR(VLOOKUP(B1682,汇总!$B$2:$I$2921,8,FALSE),"")</f>
        <v>理工</v>
      </c>
      <c r="J1682" s="34" t="s">
        <v>1700</v>
      </c>
      <c r="K1682" s="34" t="s">
        <v>12</v>
      </c>
    </row>
    <row r="1683" ht="50.25" spans="1:11">
      <c r="A1683" s="34">
        <v>1682</v>
      </c>
      <c r="B1683" s="29" t="s">
        <v>2015</v>
      </c>
      <c r="C1683" s="29" t="str">
        <f>VLOOKUP(B1683,教育部大学名单!$B$1:$D$2920,3,FALSE)</f>
        <v>江苏省</v>
      </c>
      <c r="D1683" s="29" t="s">
        <v>379</v>
      </c>
      <c r="E1683" s="29" t="s">
        <v>382</v>
      </c>
      <c r="F1683" s="36" t="str">
        <f>IFERROR(VLOOKUP(B1683,'985'!$B$2:$D$40,3,FALSE),"")</f>
        <v/>
      </c>
      <c r="G1683" s="32" t="str">
        <f>IFERROR(VLOOKUP(B1683,'211'!$B$2:$D$116,3,FALSE),"")</f>
        <v/>
      </c>
      <c r="H1683" s="32" t="str">
        <f>IFERROR(VLOOKUP(B1683,双一流!$B$2:$D$148,3,FALSE),"")</f>
        <v/>
      </c>
      <c r="I1683" s="32" t="str">
        <f>IFERROR(VLOOKUP(B1683,汇总!$B$2:$I$2921,8,FALSE),"")</f>
        <v>综合</v>
      </c>
      <c r="J1683" s="29" t="s">
        <v>1700</v>
      </c>
      <c r="K1683" s="29" t="s">
        <v>12</v>
      </c>
    </row>
    <row r="1684" ht="50.25" spans="1:11">
      <c r="A1684" s="29">
        <v>1683</v>
      </c>
      <c r="B1684" s="34" t="s">
        <v>2016</v>
      </c>
      <c r="C1684" s="29" t="str">
        <f>VLOOKUP(B1684,教育部大学名单!$B$1:$D$2920,3,FALSE)</f>
        <v>江苏省</v>
      </c>
      <c r="D1684" s="34" t="s">
        <v>379</v>
      </c>
      <c r="E1684" s="34" t="s">
        <v>389</v>
      </c>
      <c r="F1684" s="36" t="str">
        <f>IFERROR(VLOOKUP(B1684,'985'!$B$2:$D$40,3,FALSE),"")</f>
        <v/>
      </c>
      <c r="G1684" s="32" t="str">
        <f>IFERROR(VLOOKUP(B1684,'211'!$B$2:$D$116,3,FALSE),"")</f>
        <v/>
      </c>
      <c r="H1684" s="32" t="str">
        <f>IFERROR(VLOOKUP(B1684,双一流!$B$2:$D$148,3,FALSE),"")</f>
        <v/>
      </c>
      <c r="I1684" s="32" t="str">
        <f>IFERROR(VLOOKUP(B1684,汇总!$B$2:$I$2921,8,FALSE),"")</f>
        <v>师范</v>
      </c>
      <c r="J1684" s="34" t="s">
        <v>1700</v>
      </c>
      <c r="K1684" s="34" t="s">
        <v>12</v>
      </c>
    </row>
    <row r="1685" ht="50.25" spans="1:11">
      <c r="A1685" s="34">
        <v>1684</v>
      </c>
      <c r="B1685" s="29" t="s">
        <v>2017</v>
      </c>
      <c r="C1685" s="29" t="str">
        <f>VLOOKUP(B1685,教育部大学名单!$B$1:$D$2920,3,FALSE)</f>
        <v>江苏省</v>
      </c>
      <c r="D1685" s="29" t="s">
        <v>379</v>
      </c>
      <c r="E1685" s="29" t="s">
        <v>389</v>
      </c>
      <c r="F1685" s="36" t="str">
        <f>IFERROR(VLOOKUP(B1685,'985'!$B$2:$D$40,3,FALSE),"")</f>
        <v/>
      </c>
      <c r="G1685" s="32" t="str">
        <f>IFERROR(VLOOKUP(B1685,'211'!$B$2:$D$116,3,FALSE),"")</f>
        <v/>
      </c>
      <c r="H1685" s="32" t="str">
        <f>IFERROR(VLOOKUP(B1685,双一流!$B$2:$D$148,3,FALSE),"")</f>
        <v/>
      </c>
      <c r="I1685" s="32" t="str">
        <f>IFERROR(VLOOKUP(B1685,汇总!$B$2:$I$2921,8,FALSE),"")</f>
        <v>理工</v>
      </c>
      <c r="J1685" s="29" t="s">
        <v>1700</v>
      </c>
      <c r="K1685" s="29" t="s">
        <v>12</v>
      </c>
    </row>
    <row r="1686" ht="33.75" spans="1:11">
      <c r="A1686" s="29">
        <v>1685</v>
      </c>
      <c r="B1686" s="34" t="s">
        <v>2018</v>
      </c>
      <c r="C1686" s="29" t="str">
        <f>VLOOKUP(B1686,教育部大学名单!$B$1:$D$2920,3,FALSE)</f>
        <v>江苏省</v>
      </c>
      <c r="D1686" s="34" t="s">
        <v>379</v>
      </c>
      <c r="E1686" s="34" t="s">
        <v>401</v>
      </c>
      <c r="F1686" s="36" t="str">
        <f>IFERROR(VLOOKUP(B1686,'985'!$B$2:$D$40,3,FALSE),"")</f>
        <v/>
      </c>
      <c r="G1686" s="32" t="str">
        <f>IFERROR(VLOOKUP(B1686,'211'!$B$2:$D$116,3,FALSE),"")</f>
        <v/>
      </c>
      <c r="H1686" s="32" t="str">
        <f>IFERROR(VLOOKUP(B1686,双一流!$B$2:$D$148,3,FALSE),"")</f>
        <v/>
      </c>
      <c r="I1686" s="32" t="str">
        <f>IFERROR(VLOOKUP(B1686,汇总!$B$2:$I$2921,8,FALSE),"")</f>
        <v>综合</v>
      </c>
      <c r="J1686" s="34" t="s">
        <v>1700</v>
      </c>
      <c r="K1686" s="34" t="s">
        <v>12</v>
      </c>
    </row>
    <row r="1687" ht="33.75" spans="1:11">
      <c r="A1687" s="34">
        <v>1686</v>
      </c>
      <c r="B1687" s="29" t="s">
        <v>2019</v>
      </c>
      <c r="C1687" s="29" t="str">
        <f>VLOOKUP(B1687,教育部大学名单!$B$1:$D$2920,3,FALSE)</f>
        <v>江苏省</v>
      </c>
      <c r="D1687" s="29" t="s">
        <v>379</v>
      </c>
      <c r="E1687" s="29" t="s">
        <v>401</v>
      </c>
      <c r="F1687" s="36" t="str">
        <f>IFERROR(VLOOKUP(B1687,'985'!$B$2:$D$40,3,FALSE),"")</f>
        <v/>
      </c>
      <c r="G1687" s="32" t="str">
        <f>IFERROR(VLOOKUP(B1687,'211'!$B$2:$D$116,3,FALSE),"")</f>
        <v/>
      </c>
      <c r="H1687" s="32" t="str">
        <f>IFERROR(VLOOKUP(B1687,双一流!$B$2:$D$148,3,FALSE),"")</f>
        <v/>
      </c>
      <c r="I1687" s="32" t="str">
        <f>IFERROR(VLOOKUP(B1687,汇总!$B$2:$I$2921,8,FALSE),"")</f>
        <v>师范</v>
      </c>
      <c r="J1687" s="29" t="s">
        <v>1700</v>
      </c>
      <c r="K1687" s="29" t="s">
        <v>12</v>
      </c>
    </row>
    <row r="1688" ht="33.75" spans="1:11">
      <c r="A1688" s="29">
        <v>1687</v>
      </c>
      <c r="B1688" s="34" t="s">
        <v>2020</v>
      </c>
      <c r="C1688" s="29" t="str">
        <f>VLOOKUP(B1688,教育部大学名单!$B$1:$D$2920,3,FALSE)</f>
        <v>江苏省</v>
      </c>
      <c r="D1688" s="34" t="s">
        <v>379</v>
      </c>
      <c r="E1688" s="34" t="s">
        <v>412</v>
      </c>
      <c r="F1688" s="36" t="str">
        <f>IFERROR(VLOOKUP(B1688,'985'!$B$2:$D$40,3,FALSE),"")</f>
        <v/>
      </c>
      <c r="G1688" s="32" t="str">
        <f>IFERROR(VLOOKUP(B1688,'211'!$B$2:$D$116,3,FALSE),"")</f>
        <v/>
      </c>
      <c r="H1688" s="32" t="str">
        <f>IFERROR(VLOOKUP(B1688,双一流!$B$2:$D$148,3,FALSE),"")</f>
        <v/>
      </c>
      <c r="I1688" s="32" t="str">
        <f>IFERROR(VLOOKUP(B1688,汇总!$B$2:$I$2921,8,FALSE),"")</f>
        <v>医药</v>
      </c>
      <c r="J1688" s="34" t="s">
        <v>1700</v>
      </c>
      <c r="K1688" s="34" t="s">
        <v>12</v>
      </c>
    </row>
    <row r="1689" ht="33.75" spans="1:11">
      <c r="A1689" s="34">
        <v>1688</v>
      </c>
      <c r="B1689" s="29" t="s">
        <v>2021</v>
      </c>
      <c r="C1689" s="29" t="str">
        <f>VLOOKUP(B1689,教育部大学名单!$B$1:$D$2920,3,FALSE)</f>
        <v>江苏省</v>
      </c>
      <c r="D1689" s="29" t="s">
        <v>379</v>
      </c>
      <c r="E1689" s="29" t="s">
        <v>430</v>
      </c>
      <c r="F1689" s="36" t="str">
        <f>IFERROR(VLOOKUP(B1689,'985'!$B$2:$D$40,3,FALSE),"")</f>
        <v/>
      </c>
      <c r="G1689" s="32" t="str">
        <f>IFERROR(VLOOKUP(B1689,'211'!$B$2:$D$116,3,FALSE),"")</f>
        <v/>
      </c>
      <c r="H1689" s="32" t="str">
        <f>IFERROR(VLOOKUP(B1689,双一流!$B$2:$D$148,3,FALSE),"")</f>
        <v/>
      </c>
      <c r="I1689" s="32" t="str">
        <f>IFERROR(VLOOKUP(B1689,汇总!$B$2:$I$2921,8,FALSE),"")</f>
        <v>财经</v>
      </c>
      <c r="J1689" s="29" t="s">
        <v>1700</v>
      </c>
      <c r="K1689" s="29" t="s">
        <v>12</v>
      </c>
    </row>
    <row r="1690" ht="33.75" spans="1:11">
      <c r="A1690" s="29">
        <v>1689</v>
      </c>
      <c r="B1690" s="34" t="s">
        <v>2022</v>
      </c>
      <c r="C1690" s="29" t="str">
        <f>VLOOKUP(B1690,教育部大学名单!$B$1:$D$2920,3,FALSE)</f>
        <v>江苏省</v>
      </c>
      <c r="D1690" s="34" t="s">
        <v>379</v>
      </c>
      <c r="E1690" s="34" t="s">
        <v>392</v>
      </c>
      <c r="F1690" s="36" t="str">
        <f>IFERROR(VLOOKUP(B1690,'985'!$B$2:$D$40,3,FALSE),"")</f>
        <v/>
      </c>
      <c r="G1690" s="32" t="str">
        <f>IFERROR(VLOOKUP(B1690,'211'!$B$2:$D$116,3,FALSE),"")</f>
        <v/>
      </c>
      <c r="H1690" s="32" t="str">
        <f>IFERROR(VLOOKUP(B1690,双一流!$B$2:$D$148,3,FALSE),"")</f>
        <v/>
      </c>
      <c r="I1690" s="32" t="str">
        <f>IFERROR(VLOOKUP(B1690,汇总!$B$2:$I$2921,8,FALSE),"")</f>
        <v>综合</v>
      </c>
      <c r="J1690" s="34" t="s">
        <v>1700</v>
      </c>
      <c r="K1690" s="34" t="s">
        <v>12</v>
      </c>
    </row>
    <row r="1691" ht="33.75" spans="1:11">
      <c r="A1691" s="34">
        <v>1690</v>
      </c>
      <c r="B1691" s="29" t="s">
        <v>2023</v>
      </c>
      <c r="C1691" s="29" t="str">
        <f>VLOOKUP(B1691,教育部大学名单!$B$1:$D$2920,3,FALSE)</f>
        <v>江苏省</v>
      </c>
      <c r="D1691" s="29" t="s">
        <v>379</v>
      </c>
      <c r="E1691" s="29" t="s">
        <v>387</v>
      </c>
      <c r="F1691" s="36" t="str">
        <f>IFERROR(VLOOKUP(B1691,'985'!$B$2:$D$40,3,FALSE),"")</f>
        <v/>
      </c>
      <c r="G1691" s="32" t="str">
        <f>IFERROR(VLOOKUP(B1691,'211'!$B$2:$D$116,3,FALSE),"")</f>
        <v/>
      </c>
      <c r="H1691" s="32" t="str">
        <f>IFERROR(VLOOKUP(B1691,双一流!$B$2:$D$148,3,FALSE),"")</f>
        <v/>
      </c>
      <c r="I1691" s="32" t="str">
        <f>IFERROR(VLOOKUP(B1691,汇总!$B$2:$I$2921,8,FALSE),"")</f>
        <v>理工</v>
      </c>
      <c r="J1691" s="29" t="s">
        <v>1700</v>
      </c>
      <c r="K1691" s="29" t="s">
        <v>12</v>
      </c>
    </row>
    <row r="1692" ht="33.75" spans="1:11">
      <c r="A1692" s="29">
        <v>1691</v>
      </c>
      <c r="B1692" s="34" t="s">
        <v>2024</v>
      </c>
      <c r="C1692" s="29" t="str">
        <f>VLOOKUP(B1692,教育部大学名单!$B$1:$D$2920,3,FALSE)</f>
        <v>江苏省</v>
      </c>
      <c r="D1692" s="34" t="s">
        <v>379</v>
      </c>
      <c r="E1692" s="34" t="s">
        <v>389</v>
      </c>
      <c r="F1692" s="36" t="str">
        <f>IFERROR(VLOOKUP(B1692,'985'!$B$2:$D$40,3,FALSE),"")</f>
        <v/>
      </c>
      <c r="G1692" s="32" t="str">
        <f>IFERROR(VLOOKUP(B1692,'211'!$B$2:$D$116,3,FALSE),"")</f>
        <v/>
      </c>
      <c r="H1692" s="32" t="str">
        <f>IFERROR(VLOOKUP(B1692,双一流!$B$2:$D$148,3,FALSE),"")</f>
        <v/>
      </c>
      <c r="I1692" s="32" t="str">
        <f>IFERROR(VLOOKUP(B1692,汇总!$B$2:$I$2921,8,FALSE),"")</f>
        <v>综合</v>
      </c>
      <c r="J1692" s="34" t="s">
        <v>1700</v>
      </c>
      <c r="K1692" s="34" t="s">
        <v>12</v>
      </c>
    </row>
    <row r="1693" ht="33.75" spans="1:11">
      <c r="A1693" s="34">
        <v>1692</v>
      </c>
      <c r="B1693" s="29" t="s">
        <v>2025</v>
      </c>
      <c r="C1693" s="29" t="str">
        <f>VLOOKUP(B1693,教育部大学名单!$B$1:$D$2920,3,FALSE)</f>
        <v>江苏省</v>
      </c>
      <c r="D1693" s="29" t="s">
        <v>379</v>
      </c>
      <c r="E1693" s="29" t="s">
        <v>424</v>
      </c>
      <c r="F1693" s="36" t="str">
        <f>IFERROR(VLOOKUP(B1693,'985'!$B$2:$D$40,3,FALSE),"")</f>
        <v/>
      </c>
      <c r="G1693" s="32" t="str">
        <f>IFERROR(VLOOKUP(B1693,'211'!$B$2:$D$116,3,FALSE),"")</f>
        <v/>
      </c>
      <c r="H1693" s="32" t="str">
        <f>IFERROR(VLOOKUP(B1693,双一流!$B$2:$D$148,3,FALSE),"")</f>
        <v/>
      </c>
      <c r="I1693" s="32" t="str">
        <f>IFERROR(VLOOKUP(B1693,汇总!$B$2:$I$2921,8,FALSE),"")</f>
        <v>综合</v>
      </c>
      <c r="J1693" s="29" t="s">
        <v>1700</v>
      </c>
      <c r="K1693" s="29" t="s">
        <v>12</v>
      </c>
    </row>
    <row r="1694" ht="33.75" spans="1:11">
      <c r="A1694" s="29">
        <v>1693</v>
      </c>
      <c r="B1694" s="34" t="s">
        <v>2026</v>
      </c>
      <c r="C1694" s="29" t="str">
        <f>VLOOKUP(B1694,教育部大学名单!$B$1:$D$2920,3,FALSE)</f>
        <v>浙江省</v>
      </c>
      <c r="D1694" s="34" t="s">
        <v>448</v>
      </c>
      <c r="E1694" s="34" t="s">
        <v>457</v>
      </c>
      <c r="F1694" s="36" t="str">
        <f>IFERROR(VLOOKUP(B1694,'985'!$B$2:$D$40,3,FALSE),"")</f>
        <v/>
      </c>
      <c r="G1694" s="32" t="str">
        <f>IFERROR(VLOOKUP(B1694,'211'!$B$2:$D$116,3,FALSE),"")</f>
        <v/>
      </c>
      <c r="H1694" s="32" t="str">
        <f>IFERROR(VLOOKUP(B1694,双一流!$B$2:$D$148,3,FALSE),"")</f>
        <v/>
      </c>
      <c r="I1694" s="32" t="str">
        <f>IFERROR(VLOOKUP(B1694,汇总!$B$2:$I$2921,8,FALSE),"")</f>
        <v>综合</v>
      </c>
      <c r="J1694" s="34" t="s">
        <v>1700</v>
      </c>
      <c r="K1694" s="34" t="s">
        <v>12</v>
      </c>
    </row>
    <row r="1695" ht="33.75" spans="1:11">
      <c r="A1695" s="34">
        <v>1694</v>
      </c>
      <c r="B1695" s="29" t="s">
        <v>2027</v>
      </c>
      <c r="C1695" s="29" t="str">
        <f>VLOOKUP(B1695,教育部大学名单!$B$1:$D$2920,3,FALSE)</f>
        <v>浙江省</v>
      </c>
      <c r="D1695" s="29" t="s">
        <v>448</v>
      </c>
      <c r="E1695" s="29" t="s">
        <v>449</v>
      </c>
      <c r="F1695" s="36" t="str">
        <f>IFERROR(VLOOKUP(B1695,'985'!$B$2:$D$40,3,FALSE),"")</f>
        <v/>
      </c>
      <c r="G1695" s="32" t="str">
        <f>IFERROR(VLOOKUP(B1695,'211'!$B$2:$D$116,3,FALSE),"")</f>
        <v/>
      </c>
      <c r="H1695" s="32" t="str">
        <f>IFERROR(VLOOKUP(B1695,双一流!$B$2:$D$148,3,FALSE),"")</f>
        <v/>
      </c>
      <c r="I1695" s="32" t="str">
        <f>IFERROR(VLOOKUP(B1695,汇总!$B$2:$I$2921,8,FALSE),"")</f>
        <v>理工</v>
      </c>
      <c r="J1695" s="29" t="s">
        <v>1700</v>
      </c>
      <c r="K1695" s="29" t="s">
        <v>12</v>
      </c>
    </row>
    <row r="1696" ht="33.75" spans="1:11">
      <c r="A1696" s="29">
        <v>1695</v>
      </c>
      <c r="B1696" s="34" t="s">
        <v>2028</v>
      </c>
      <c r="C1696" s="29" t="str">
        <f>VLOOKUP(B1696,教育部大学名单!$B$1:$D$2920,3,FALSE)</f>
        <v>浙江省</v>
      </c>
      <c r="D1696" s="34" t="s">
        <v>448</v>
      </c>
      <c r="E1696" s="34" t="s">
        <v>477</v>
      </c>
      <c r="F1696" s="36" t="str">
        <f>IFERROR(VLOOKUP(B1696,'985'!$B$2:$D$40,3,FALSE),"")</f>
        <v/>
      </c>
      <c r="G1696" s="32" t="str">
        <f>IFERROR(VLOOKUP(B1696,'211'!$B$2:$D$116,3,FALSE),"")</f>
        <v/>
      </c>
      <c r="H1696" s="32" t="str">
        <f>IFERROR(VLOOKUP(B1696,双一流!$B$2:$D$148,3,FALSE),"")</f>
        <v/>
      </c>
      <c r="I1696" s="32" t="str">
        <f>IFERROR(VLOOKUP(B1696,汇总!$B$2:$I$2921,8,FALSE),"")</f>
        <v>综合</v>
      </c>
      <c r="J1696" s="34" t="s">
        <v>1700</v>
      </c>
      <c r="K1696" s="34" t="s">
        <v>12</v>
      </c>
    </row>
    <row r="1697" ht="33.75" spans="1:11">
      <c r="A1697" s="34">
        <v>1696</v>
      </c>
      <c r="B1697" s="29" t="s">
        <v>2029</v>
      </c>
      <c r="C1697" s="29" t="str">
        <f>VLOOKUP(B1697,教育部大学名单!$B$1:$D$2920,3,FALSE)</f>
        <v>浙江省</v>
      </c>
      <c r="D1697" s="29" t="s">
        <v>448</v>
      </c>
      <c r="E1697" s="29" t="s">
        <v>449</v>
      </c>
      <c r="F1697" s="36" t="str">
        <f>IFERROR(VLOOKUP(B1697,'985'!$B$2:$D$40,3,FALSE),"")</f>
        <v/>
      </c>
      <c r="G1697" s="32" t="str">
        <f>IFERROR(VLOOKUP(B1697,'211'!$B$2:$D$116,3,FALSE),"")</f>
        <v/>
      </c>
      <c r="H1697" s="32" t="str">
        <f>IFERROR(VLOOKUP(B1697,双一流!$B$2:$D$148,3,FALSE),"")</f>
        <v/>
      </c>
      <c r="I1697" s="32">
        <f>IFERROR(VLOOKUP(B1697,汇总!$B$2:$I$2921,8,FALSE),"")</f>
        <v>0</v>
      </c>
      <c r="J1697" s="29" t="s">
        <v>1700</v>
      </c>
      <c r="K1697" s="29" t="s">
        <v>12</v>
      </c>
    </row>
    <row r="1698" ht="33.75" spans="1:11">
      <c r="A1698" s="29">
        <v>1697</v>
      </c>
      <c r="B1698" s="34" t="s">
        <v>2030</v>
      </c>
      <c r="C1698" s="29" t="str">
        <f>VLOOKUP(B1698,教育部大学名单!$B$1:$D$2920,3,FALSE)</f>
        <v>浙江省</v>
      </c>
      <c r="D1698" s="34" t="s">
        <v>448</v>
      </c>
      <c r="E1698" s="34" t="s">
        <v>449</v>
      </c>
      <c r="F1698" s="36" t="str">
        <f>IFERROR(VLOOKUP(B1698,'985'!$B$2:$D$40,3,FALSE),"")</f>
        <v/>
      </c>
      <c r="G1698" s="32" t="str">
        <f>IFERROR(VLOOKUP(B1698,'211'!$B$2:$D$116,3,FALSE),"")</f>
        <v/>
      </c>
      <c r="H1698" s="32" t="str">
        <f>IFERROR(VLOOKUP(B1698,双一流!$B$2:$D$148,3,FALSE),"")</f>
        <v/>
      </c>
      <c r="I1698" s="32" t="str">
        <f>IFERROR(VLOOKUP(B1698,汇总!$B$2:$I$2921,8,FALSE),"")</f>
        <v>理工</v>
      </c>
      <c r="J1698" s="34" t="s">
        <v>1700</v>
      </c>
      <c r="K1698" s="34" t="s">
        <v>12</v>
      </c>
    </row>
    <row r="1699" ht="33.75" spans="1:11">
      <c r="A1699" s="34">
        <v>1698</v>
      </c>
      <c r="B1699" s="29" t="s">
        <v>2031</v>
      </c>
      <c r="C1699" s="29" t="str">
        <f>VLOOKUP(B1699,教育部大学名单!$B$1:$D$2920,3,FALSE)</f>
        <v>浙江省</v>
      </c>
      <c r="D1699" s="29" t="s">
        <v>448</v>
      </c>
      <c r="E1699" s="29" t="s">
        <v>477</v>
      </c>
      <c r="F1699" s="36" t="str">
        <f>IFERROR(VLOOKUP(B1699,'985'!$B$2:$D$40,3,FALSE),"")</f>
        <v/>
      </c>
      <c r="G1699" s="32" t="str">
        <f>IFERROR(VLOOKUP(B1699,'211'!$B$2:$D$116,3,FALSE),"")</f>
        <v/>
      </c>
      <c r="H1699" s="32" t="str">
        <f>IFERROR(VLOOKUP(B1699,双一流!$B$2:$D$148,3,FALSE),"")</f>
        <v/>
      </c>
      <c r="I1699" s="32" t="str">
        <f>IFERROR(VLOOKUP(B1699,汇总!$B$2:$I$2921,8,FALSE),"")</f>
        <v>财经</v>
      </c>
      <c r="J1699" s="29" t="s">
        <v>1700</v>
      </c>
      <c r="K1699" s="29" t="s">
        <v>12</v>
      </c>
    </row>
    <row r="1700" ht="33.75" spans="1:11">
      <c r="A1700" s="29">
        <v>1699</v>
      </c>
      <c r="B1700" s="34" t="s">
        <v>2032</v>
      </c>
      <c r="C1700" s="29" t="str">
        <f>VLOOKUP(B1700,教育部大学名单!$B$1:$D$2920,3,FALSE)</f>
        <v>浙江省</v>
      </c>
      <c r="D1700" s="34" t="s">
        <v>448</v>
      </c>
      <c r="E1700" s="34" t="s">
        <v>467</v>
      </c>
      <c r="F1700" s="36" t="str">
        <f>IFERROR(VLOOKUP(B1700,'985'!$B$2:$D$40,3,FALSE),"")</f>
        <v/>
      </c>
      <c r="G1700" s="32" t="str">
        <f>IFERROR(VLOOKUP(B1700,'211'!$B$2:$D$116,3,FALSE),"")</f>
        <v/>
      </c>
      <c r="H1700" s="32" t="str">
        <f>IFERROR(VLOOKUP(B1700,双一流!$B$2:$D$148,3,FALSE),"")</f>
        <v/>
      </c>
      <c r="I1700" s="32" t="str">
        <f>IFERROR(VLOOKUP(B1700,汇总!$B$2:$I$2921,8,FALSE),"")</f>
        <v>综合</v>
      </c>
      <c r="J1700" s="34" t="s">
        <v>1700</v>
      </c>
      <c r="K1700" s="34" t="s">
        <v>12</v>
      </c>
    </row>
    <row r="1701" ht="33.75" spans="1:11">
      <c r="A1701" s="34">
        <v>1700</v>
      </c>
      <c r="B1701" s="29" t="s">
        <v>2033</v>
      </c>
      <c r="C1701" s="29" t="str">
        <f>VLOOKUP(B1701,教育部大学名单!$B$1:$D$2920,3,FALSE)</f>
        <v>浙江省</v>
      </c>
      <c r="D1701" s="29" t="s">
        <v>448</v>
      </c>
      <c r="E1701" s="29" t="s">
        <v>457</v>
      </c>
      <c r="F1701" s="36" t="str">
        <f>IFERROR(VLOOKUP(B1701,'985'!$B$2:$D$40,3,FALSE),"")</f>
        <v/>
      </c>
      <c r="G1701" s="32" t="str">
        <f>IFERROR(VLOOKUP(B1701,'211'!$B$2:$D$116,3,FALSE),"")</f>
        <v/>
      </c>
      <c r="H1701" s="32" t="str">
        <f>IFERROR(VLOOKUP(B1701,双一流!$B$2:$D$148,3,FALSE),"")</f>
        <v/>
      </c>
      <c r="I1701" s="32" t="str">
        <f>IFERROR(VLOOKUP(B1701,汇总!$B$2:$I$2921,8,FALSE),"")</f>
        <v>综合</v>
      </c>
      <c r="J1701" s="29" t="s">
        <v>1700</v>
      </c>
      <c r="K1701" s="29" t="s">
        <v>12</v>
      </c>
    </row>
    <row r="1702" ht="33.75" spans="1:11">
      <c r="A1702" s="29">
        <v>1701</v>
      </c>
      <c r="B1702" s="34" t="s">
        <v>2034</v>
      </c>
      <c r="C1702" s="29" t="str">
        <f>VLOOKUP(B1702,教育部大学名单!$B$1:$D$2920,3,FALSE)</f>
        <v>浙江省</v>
      </c>
      <c r="D1702" s="34" t="s">
        <v>448</v>
      </c>
      <c r="E1702" s="34" t="s">
        <v>449</v>
      </c>
      <c r="F1702" s="36" t="str">
        <f>IFERROR(VLOOKUP(B1702,'985'!$B$2:$D$40,3,FALSE),"")</f>
        <v/>
      </c>
      <c r="G1702" s="32" t="str">
        <f>IFERROR(VLOOKUP(B1702,'211'!$B$2:$D$116,3,FALSE),"")</f>
        <v/>
      </c>
      <c r="H1702" s="32" t="str">
        <f>IFERROR(VLOOKUP(B1702,双一流!$B$2:$D$148,3,FALSE),"")</f>
        <v/>
      </c>
      <c r="I1702" s="32" t="str">
        <f>IFERROR(VLOOKUP(B1702,汇总!$B$2:$I$2921,8,FALSE),"")</f>
        <v>理工</v>
      </c>
      <c r="J1702" s="34" t="s">
        <v>1700</v>
      </c>
      <c r="K1702" s="34" t="s">
        <v>12</v>
      </c>
    </row>
    <row r="1703" ht="33.75" spans="1:11">
      <c r="A1703" s="34">
        <v>1702</v>
      </c>
      <c r="B1703" s="29" t="s">
        <v>2035</v>
      </c>
      <c r="C1703" s="29" t="str">
        <f>VLOOKUP(B1703,教育部大学名单!$B$1:$D$2920,3,FALSE)</f>
        <v>浙江省</v>
      </c>
      <c r="D1703" s="29" t="s">
        <v>448</v>
      </c>
      <c r="E1703" s="29" t="s">
        <v>449</v>
      </c>
      <c r="F1703" s="36" t="str">
        <f>IFERROR(VLOOKUP(B1703,'985'!$B$2:$D$40,3,FALSE),"")</f>
        <v/>
      </c>
      <c r="G1703" s="32" t="str">
        <f>IFERROR(VLOOKUP(B1703,'211'!$B$2:$D$116,3,FALSE),"")</f>
        <v/>
      </c>
      <c r="H1703" s="32" t="str">
        <f>IFERROR(VLOOKUP(B1703,双一流!$B$2:$D$148,3,FALSE),"")</f>
        <v/>
      </c>
      <c r="I1703" s="32" t="str">
        <f>IFERROR(VLOOKUP(B1703,汇总!$B$2:$I$2921,8,FALSE),"")</f>
        <v>艺术</v>
      </c>
      <c r="J1703" s="29" t="s">
        <v>1700</v>
      </c>
      <c r="K1703" s="29" t="s">
        <v>12</v>
      </c>
    </row>
    <row r="1704" ht="33.75" spans="1:11">
      <c r="A1704" s="29">
        <v>1703</v>
      </c>
      <c r="B1704" s="34" t="s">
        <v>2036</v>
      </c>
      <c r="C1704" s="29" t="str">
        <f>VLOOKUP(B1704,教育部大学名单!$B$1:$D$2920,3,FALSE)</f>
        <v>浙江省</v>
      </c>
      <c r="D1704" s="34" t="s">
        <v>448</v>
      </c>
      <c r="E1704" s="34" t="s">
        <v>449</v>
      </c>
      <c r="F1704" s="36" t="str">
        <f>IFERROR(VLOOKUP(B1704,'985'!$B$2:$D$40,3,FALSE),"")</f>
        <v/>
      </c>
      <c r="G1704" s="32" t="str">
        <f>IFERROR(VLOOKUP(B1704,'211'!$B$2:$D$116,3,FALSE),"")</f>
        <v/>
      </c>
      <c r="H1704" s="32" t="str">
        <f>IFERROR(VLOOKUP(B1704,双一流!$B$2:$D$148,3,FALSE),"")</f>
        <v/>
      </c>
      <c r="I1704" s="32" t="str">
        <f>IFERROR(VLOOKUP(B1704,汇总!$B$2:$I$2921,8,FALSE),"")</f>
        <v>财经</v>
      </c>
      <c r="J1704" s="34" t="s">
        <v>1700</v>
      </c>
      <c r="K1704" s="34" t="s">
        <v>12</v>
      </c>
    </row>
    <row r="1705" ht="33.75" spans="1:11">
      <c r="A1705" s="34">
        <v>1704</v>
      </c>
      <c r="B1705" s="29" t="s">
        <v>2037</v>
      </c>
      <c r="C1705" s="29" t="str">
        <f>VLOOKUP(B1705,教育部大学名单!$B$1:$D$2920,3,FALSE)</f>
        <v>浙江省</v>
      </c>
      <c r="D1705" s="29" t="s">
        <v>448</v>
      </c>
      <c r="E1705" s="29" t="s">
        <v>449</v>
      </c>
      <c r="F1705" s="36" t="str">
        <f>IFERROR(VLOOKUP(B1705,'985'!$B$2:$D$40,3,FALSE),"")</f>
        <v/>
      </c>
      <c r="G1705" s="32" t="str">
        <f>IFERROR(VLOOKUP(B1705,'211'!$B$2:$D$116,3,FALSE),"")</f>
        <v/>
      </c>
      <c r="H1705" s="32" t="str">
        <f>IFERROR(VLOOKUP(B1705,双一流!$B$2:$D$148,3,FALSE),"")</f>
        <v/>
      </c>
      <c r="I1705" s="32" t="str">
        <f>IFERROR(VLOOKUP(B1705,汇总!$B$2:$I$2921,8,FALSE),"")</f>
        <v>财经</v>
      </c>
      <c r="J1705" s="29" t="s">
        <v>1700</v>
      </c>
      <c r="K1705" s="29" t="s">
        <v>12</v>
      </c>
    </row>
    <row r="1706" ht="33.75" spans="1:11">
      <c r="A1706" s="29">
        <v>1705</v>
      </c>
      <c r="B1706" s="34" t="s">
        <v>2038</v>
      </c>
      <c r="C1706" s="29" t="str">
        <f>VLOOKUP(B1706,教育部大学名单!$B$1:$D$2920,3,FALSE)</f>
        <v>浙江省</v>
      </c>
      <c r="D1706" s="34" t="s">
        <v>448</v>
      </c>
      <c r="E1706" s="34" t="s">
        <v>449</v>
      </c>
      <c r="F1706" s="36" t="str">
        <f>IFERROR(VLOOKUP(B1706,'985'!$B$2:$D$40,3,FALSE),"")</f>
        <v/>
      </c>
      <c r="G1706" s="32" t="str">
        <f>IFERROR(VLOOKUP(B1706,'211'!$B$2:$D$116,3,FALSE),"")</f>
        <v/>
      </c>
      <c r="H1706" s="32" t="str">
        <f>IFERROR(VLOOKUP(B1706,双一流!$B$2:$D$148,3,FALSE),"")</f>
        <v/>
      </c>
      <c r="I1706" s="32" t="str">
        <f>IFERROR(VLOOKUP(B1706,汇总!$B$2:$I$2921,8,FALSE),"")</f>
        <v>财经</v>
      </c>
      <c r="J1706" s="34" t="s">
        <v>1700</v>
      </c>
      <c r="K1706" s="34" t="s">
        <v>12</v>
      </c>
    </row>
    <row r="1707" ht="33.75" spans="1:11">
      <c r="A1707" s="34">
        <v>1706</v>
      </c>
      <c r="B1707" s="29" t="s">
        <v>2039</v>
      </c>
      <c r="C1707" s="29" t="str">
        <f>VLOOKUP(B1707,教育部大学名单!$B$1:$D$2920,3,FALSE)</f>
        <v>浙江省</v>
      </c>
      <c r="D1707" s="29" t="s">
        <v>448</v>
      </c>
      <c r="E1707" s="29" t="s">
        <v>449</v>
      </c>
      <c r="F1707" s="36" t="str">
        <f>IFERROR(VLOOKUP(B1707,'985'!$B$2:$D$40,3,FALSE),"")</f>
        <v/>
      </c>
      <c r="G1707" s="32" t="str">
        <f>IFERROR(VLOOKUP(B1707,'211'!$B$2:$D$116,3,FALSE),"")</f>
        <v/>
      </c>
      <c r="H1707" s="32" t="str">
        <f>IFERROR(VLOOKUP(B1707,双一流!$B$2:$D$148,3,FALSE),"")</f>
        <v/>
      </c>
      <c r="I1707" s="32" t="str">
        <f>IFERROR(VLOOKUP(B1707,汇总!$B$2:$I$2921,8,FALSE),"")</f>
        <v>综合</v>
      </c>
      <c r="J1707" s="29" t="s">
        <v>1700</v>
      </c>
      <c r="K1707" s="29" t="s">
        <v>12</v>
      </c>
    </row>
    <row r="1708" ht="33.75" spans="1:11">
      <c r="A1708" s="29">
        <v>1707</v>
      </c>
      <c r="B1708" s="34" t="s">
        <v>2040</v>
      </c>
      <c r="C1708" s="29" t="str">
        <f>VLOOKUP(B1708,教育部大学名单!$B$1:$D$2920,3,FALSE)</f>
        <v>浙江省</v>
      </c>
      <c r="D1708" s="34" t="s">
        <v>448</v>
      </c>
      <c r="E1708" s="34" t="s">
        <v>449</v>
      </c>
      <c r="F1708" s="36" t="str">
        <f>IFERROR(VLOOKUP(B1708,'985'!$B$2:$D$40,3,FALSE),"")</f>
        <v/>
      </c>
      <c r="G1708" s="32" t="str">
        <f>IFERROR(VLOOKUP(B1708,'211'!$B$2:$D$116,3,FALSE),"")</f>
        <v/>
      </c>
      <c r="H1708" s="32" t="str">
        <f>IFERROR(VLOOKUP(B1708,双一流!$B$2:$D$148,3,FALSE),"")</f>
        <v/>
      </c>
      <c r="I1708" s="32" t="str">
        <f>IFERROR(VLOOKUP(B1708,汇总!$B$2:$I$2921,8,FALSE),"")</f>
        <v>政法</v>
      </c>
      <c r="J1708" s="34" t="s">
        <v>1700</v>
      </c>
      <c r="K1708" s="34" t="s">
        <v>12</v>
      </c>
    </row>
    <row r="1709" ht="33.75" spans="1:11">
      <c r="A1709" s="34">
        <v>1708</v>
      </c>
      <c r="B1709" s="29" t="s">
        <v>2041</v>
      </c>
      <c r="C1709" s="29" t="str">
        <f>VLOOKUP(B1709,教育部大学名单!$B$1:$D$2920,3,FALSE)</f>
        <v>浙江省</v>
      </c>
      <c r="D1709" s="29" t="s">
        <v>448</v>
      </c>
      <c r="E1709" s="29" t="s">
        <v>449</v>
      </c>
      <c r="F1709" s="36" t="str">
        <f>IFERROR(VLOOKUP(B1709,'985'!$B$2:$D$40,3,FALSE),"")</f>
        <v/>
      </c>
      <c r="G1709" s="32" t="str">
        <f>IFERROR(VLOOKUP(B1709,'211'!$B$2:$D$116,3,FALSE),"")</f>
        <v/>
      </c>
      <c r="H1709" s="32" t="str">
        <f>IFERROR(VLOOKUP(B1709,双一流!$B$2:$D$148,3,FALSE),"")</f>
        <v/>
      </c>
      <c r="I1709" s="32" t="str">
        <f>IFERROR(VLOOKUP(B1709,汇总!$B$2:$I$2921,8,FALSE),"")</f>
        <v>财经</v>
      </c>
      <c r="J1709" s="29" t="s">
        <v>1700</v>
      </c>
      <c r="K1709" s="29" t="s">
        <v>12</v>
      </c>
    </row>
    <row r="1710" ht="33.75" spans="1:11">
      <c r="A1710" s="29">
        <v>1709</v>
      </c>
      <c r="B1710" s="34" t="s">
        <v>2042</v>
      </c>
      <c r="C1710" s="29" t="str">
        <f>VLOOKUP(B1710,教育部大学名单!$B$1:$D$2920,3,FALSE)</f>
        <v>浙江省</v>
      </c>
      <c r="D1710" s="34" t="s">
        <v>448</v>
      </c>
      <c r="E1710" s="34" t="s">
        <v>465</v>
      </c>
      <c r="F1710" s="36" t="str">
        <f>IFERROR(VLOOKUP(B1710,'985'!$B$2:$D$40,3,FALSE),"")</f>
        <v/>
      </c>
      <c r="G1710" s="32" t="str">
        <f>IFERROR(VLOOKUP(B1710,'211'!$B$2:$D$116,3,FALSE),"")</f>
        <v/>
      </c>
      <c r="H1710" s="32" t="str">
        <f>IFERROR(VLOOKUP(B1710,双一流!$B$2:$D$148,3,FALSE),"")</f>
        <v/>
      </c>
      <c r="I1710" s="32" t="str">
        <f>IFERROR(VLOOKUP(B1710,汇总!$B$2:$I$2921,8,FALSE),"")</f>
        <v>综合</v>
      </c>
      <c r="J1710" s="34" t="s">
        <v>1700</v>
      </c>
      <c r="K1710" s="34" t="s">
        <v>12</v>
      </c>
    </row>
    <row r="1711" ht="33.75" spans="1:11">
      <c r="A1711" s="34">
        <v>1710</v>
      </c>
      <c r="B1711" s="29" t="s">
        <v>2043</v>
      </c>
      <c r="C1711" s="29" t="str">
        <f>VLOOKUP(B1711,教育部大学名单!$B$1:$D$2920,3,FALSE)</f>
        <v>浙江省</v>
      </c>
      <c r="D1711" s="29" t="s">
        <v>448</v>
      </c>
      <c r="E1711" s="29" t="s">
        <v>473</v>
      </c>
      <c r="F1711" s="36" t="str">
        <f>IFERROR(VLOOKUP(B1711,'985'!$B$2:$D$40,3,FALSE),"")</f>
        <v/>
      </c>
      <c r="G1711" s="32" t="str">
        <f>IFERROR(VLOOKUP(B1711,'211'!$B$2:$D$116,3,FALSE),"")</f>
        <v/>
      </c>
      <c r="H1711" s="32" t="str">
        <f>IFERROR(VLOOKUP(B1711,双一流!$B$2:$D$148,3,FALSE),"")</f>
        <v/>
      </c>
      <c r="I1711" s="32" t="str">
        <f>IFERROR(VLOOKUP(B1711,汇总!$B$2:$I$2921,8,FALSE),"")</f>
        <v>综合</v>
      </c>
      <c r="J1711" s="29" t="s">
        <v>1700</v>
      </c>
      <c r="K1711" s="29" t="s">
        <v>12</v>
      </c>
    </row>
    <row r="1712" ht="33.75" spans="1:11">
      <c r="A1712" s="29">
        <v>1711</v>
      </c>
      <c r="B1712" s="34" t="s">
        <v>2044</v>
      </c>
      <c r="C1712" s="29" t="str">
        <f>VLOOKUP(B1712,教育部大学名单!$B$1:$D$2920,3,FALSE)</f>
        <v>浙江省</v>
      </c>
      <c r="D1712" s="34" t="s">
        <v>448</v>
      </c>
      <c r="E1712" s="34" t="s">
        <v>463</v>
      </c>
      <c r="F1712" s="36" t="str">
        <f>IFERROR(VLOOKUP(B1712,'985'!$B$2:$D$40,3,FALSE),"")</f>
        <v/>
      </c>
      <c r="G1712" s="32" t="str">
        <f>IFERROR(VLOOKUP(B1712,'211'!$B$2:$D$116,3,FALSE),"")</f>
        <v/>
      </c>
      <c r="H1712" s="32" t="str">
        <f>IFERROR(VLOOKUP(B1712,双一流!$B$2:$D$148,3,FALSE),"")</f>
        <v/>
      </c>
      <c r="I1712" s="32" t="str">
        <f>IFERROR(VLOOKUP(B1712,汇总!$B$2:$I$2921,8,FALSE),"")</f>
        <v>综合</v>
      </c>
      <c r="J1712" s="34" t="s">
        <v>1700</v>
      </c>
      <c r="K1712" s="34" t="s">
        <v>12</v>
      </c>
    </row>
    <row r="1713" ht="33.75" spans="1:11">
      <c r="A1713" s="34">
        <v>1712</v>
      </c>
      <c r="B1713" s="29" t="s">
        <v>2045</v>
      </c>
      <c r="C1713" s="29" t="str">
        <f>VLOOKUP(B1713,教育部大学名单!$B$1:$D$2920,3,FALSE)</f>
        <v>浙江省</v>
      </c>
      <c r="D1713" s="29" t="s">
        <v>448</v>
      </c>
      <c r="E1713" s="29" t="s">
        <v>484</v>
      </c>
      <c r="F1713" s="36" t="str">
        <f>IFERROR(VLOOKUP(B1713,'985'!$B$2:$D$40,3,FALSE),"")</f>
        <v/>
      </c>
      <c r="G1713" s="32" t="str">
        <f>IFERROR(VLOOKUP(B1713,'211'!$B$2:$D$116,3,FALSE),"")</f>
        <v/>
      </c>
      <c r="H1713" s="32" t="str">
        <f>IFERROR(VLOOKUP(B1713,双一流!$B$2:$D$148,3,FALSE),"")</f>
        <v/>
      </c>
      <c r="I1713" s="32" t="str">
        <f>IFERROR(VLOOKUP(B1713,汇总!$B$2:$I$2921,8,FALSE),"")</f>
        <v>综合</v>
      </c>
      <c r="J1713" s="29" t="s">
        <v>1700</v>
      </c>
      <c r="K1713" s="29" t="s">
        <v>12</v>
      </c>
    </row>
    <row r="1714" ht="33.75" spans="1:11">
      <c r="A1714" s="29">
        <v>1713</v>
      </c>
      <c r="B1714" s="34" t="s">
        <v>2046</v>
      </c>
      <c r="C1714" s="29" t="str">
        <f>VLOOKUP(B1714,教育部大学名单!$B$1:$D$2920,3,FALSE)</f>
        <v>浙江省</v>
      </c>
      <c r="D1714" s="34" t="s">
        <v>448</v>
      </c>
      <c r="E1714" s="34" t="s">
        <v>470</v>
      </c>
      <c r="F1714" s="36" t="str">
        <f>IFERROR(VLOOKUP(B1714,'985'!$B$2:$D$40,3,FALSE),"")</f>
        <v/>
      </c>
      <c r="G1714" s="32" t="str">
        <f>IFERROR(VLOOKUP(B1714,'211'!$B$2:$D$116,3,FALSE),"")</f>
        <v/>
      </c>
      <c r="H1714" s="32" t="str">
        <f>IFERROR(VLOOKUP(B1714,双一流!$B$2:$D$148,3,FALSE),"")</f>
        <v/>
      </c>
      <c r="I1714" s="32" t="str">
        <f>IFERROR(VLOOKUP(B1714,汇总!$B$2:$I$2921,8,FALSE),"")</f>
        <v>综合</v>
      </c>
      <c r="J1714" s="34" t="s">
        <v>1700</v>
      </c>
      <c r="K1714" s="34" t="s">
        <v>12</v>
      </c>
    </row>
    <row r="1715" ht="33.75" spans="1:11">
      <c r="A1715" s="34">
        <v>1714</v>
      </c>
      <c r="B1715" s="29" t="s">
        <v>2047</v>
      </c>
      <c r="C1715" s="29" t="str">
        <f>VLOOKUP(B1715,教育部大学名单!$B$1:$D$2920,3,FALSE)</f>
        <v>浙江省</v>
      </c>
      <c r="D1715" s="29" t="s">
        <v>448</v>
      </c>
      <c r="E1715" s="29" t="s">
        <v>460</v>
      </c>
      <c r="F1715" s="36" t="str">
        <f>IFERROR(VLOOKUP(B1715,'985'!$B$2:$D$40,3,FALSE),"")</f>
        <v/>
      </c>
      <c r="G1715" s="32" t="str">
        <f>IFERROR(VLOOKUP(B1715,'211'!$B$2:$D$116,3,FALSE),"")</f>
        <v/>
      </c>
      <c r="H1715" s="32" t="str">
        <f>IFERROR(VLOOKUP(B1715,双一流!$B$2:$D$148,3,FALSE),"")</f>
        <v/>
      </c>
      <c r="I1715" s="32" t="str">
        <f>IFERROR(VLOOKUP(B1715,汇总!$B$2:$I$2921,8,FALSE),"")</f>
        <v>综合</v>
      </c>
      <c r="J1715" s="29" t="s">
        <v>1700</v>
      </c>
      <c r="K1715" s="29" t="s">
        <v>12</v>
      </c>
    </row>
    <row r="1716" ht="50.25" spans="1:11">
      <c r="A1716" s="29">
        <v>1715</v>
      </c>
      <c r="B1716" s="34" t="s">
        <v>2048</v>
      </c>
      <c r="C1716" s="29" t="str">
        <f>VLOOKUP(B1716,教育部大学名单!$B$1:$D$2920,3,FALSE)</f>
        <v>浙江省</v>
      </c>
      <c r="D1716" s="34" t="s">
        <v>448</v>
      </c>
      <c r="E1716" s="34" t="s">
        <v>477</v>
      </c>
      <c r="F1716" s="36" t="str">
        <f>IFERROR(VLOOKUP(B1716,'985'!$B$2:$D$40,3,FALSE),"")</f>
        <v/>
      </c>
      <c r="G1716" s="32" t="str">
        <f>IFERROR(VLOOKUP(B1716,'211'!$B$2:$D$116,3,FALSE),"")</f>
        <v/>
      </c>
      <c r="H1716" s="32" t="str">
        <f>IFERROR(VLOOKUP(B1716,双一流!$B$2:$D$148,3,FALSE),"")</f>
        <v/>
      </c>
      <c r="I1716" s="32" t="str">
        <f>IFERROR(VLOOKUP(B1716,汇总!$B$2:$I$2921,8,FALSE),"")</f>
        <v>综合</v>
      </c>
      <c r="J1716" s="34" t="s">
        <v>1700</v>
      </c>
      <c r="K1716" s="34" t="s">
        <v>12</v>
      </c>
    </row>
    <row r="1717" ht="33.75" spans="1:11">
      <c r="A1717" s="34">
        <v>1716</v>
      </c>
      <c r="B1717" s="29" t="s">
        <v>2049</v>
      </c>
      <c r="C1717" s="29" t="str">
        <f>VLOOKUP(B1717,教育部大学名单!$B$1:$D$2920,3,FALSE)</f>
        <v>浙江省</v>
      </c>
      <c r="D1717" s="29" t="s">
        <v>448</v>
      </c>
      <c r="E1717" s="29" t="s">
        <v>449</v>
      </c>
      <c r="F1717" s="36" t="str">
        <f>IFERROR(VLOOKUP(B1717,'985'!$B$2:$D$40,3,FALSE),"")</f>
        <v/>
      </c>
      <c r="G1717" s="32" t="str">
        <f>IFERROR(VLOOKUP(B1717,'211'!$B$2:$D$116,3,FALSE),"")</f>
        <v/>
      </c>
      <c r="H1717" s="32" t="str">
        <f>IFERROR(VLOOKUP(B1717,双一流!$B$2:$D$148,3,FALSE),"")</f>
        <v/>
      </c>
      <c r="I1717" s="32" t="str">
        <f>IFERROR(VLOOKUP(B1717,汇总!$B$2:$I$2921,8,FALSE),"")</f>
        <v>综合</v>
      </c>
      <c r="J1717" s="29" t="s">
        <v>1700</v>
      </c>
      <c r="K1717" s="29" t="s">
        <v>12</v>
      </c>
    </row>
    <row r="1718" ht="33.75" spans="1:11">
      <c r="A1718" s="29">
        <v>1717</v>
      </c>
      <c r="B1718" s="34" t="s">
        <v>2050</v>
      </c>
      <c r="C1718" s="29" t="str">
        <f>VLOOKUP(B1718,教育部大学名单!$B$1:$D$2920,3,FALSE)</f>
        <v>浙江省</v>
      </c>
      <c r="D1718" s="34" t="s">
        <v>448</v>
      </c>
      <c r="E1718" s="34" t="s">
        <v>465</v>
      </c>
      <c r="F1718" s="36" t="str">
        <f>IFERROR(VLOOKUP(B1718,'985'!$B$2:$D$40,3,FALSE),"")</f>
        <v/>
      </c>
      <c r="G1718" s="32" t="str">
        <f>IFERROR(VLOOKUP(B1718,'211'!$B$2:$D$116,3,FALSE),"")</f>
        <v/>
      </c>
      <c r="H1718" s="32" t="str">
        <f>IFERROR(VLOOKUP(B1718,双一流!$B$2:$D$148,3,FALSE),"")</f>
        <v/>
      </c>
      <c r="I1718" s="32" t="str">
        <f>IFERROR(VLOOKUP(B1718,汇总!$B$2:$I$2921,8,FALSE),"")</f>
        <v>理工</v>
      </c>
      <c r="J1718" s="34" t="s">
        <v>1700</v>
      </c>
      <c r="K1718" s="34" t="s">
        <v>12</v>
      </c>
    </row>
    <row r="1719" ht="33.75" spans="1:11">
      <c r="A1719" s="34">
        <v>1718</v>
      </c>
      <c r="B1719" s="29" t="s">
        <v>2051</v>
      </c>
      <c r="C1719" s="29" t="str">
        <f>VLOOKUP(B1719,教育部大学名单!$B$1:$D$2920,3,FALSE)</f>
        <v>浙江省</v>
      </c>
      <c r="D1719" s="29" t="s">
        <v>448</v>
      </c>
      <c r="E1719" s="29" t="s">
        <v>477</v>
      </c>
      <c r="F1719" s="36" t="str">
        <f>IFERROR(VLOOKUP(B1719,'985'!$B$2:$D$40,3,FALSE),"")</f>
        <v/>
      </c>
      <c r="G1719" s="32" t="str">
        <f>IFERROR(VLOOKUP(B1719,'211'!$B$2:$D$116,3,FALSE),"")</f>
        <v/>
      </c>
      <c r="H1719" s="32" t="str">
        <f>IFERROR(VLOOKUP(B1719,双一流!$B$2:$D$148,3,FALSE),"")</f>
        <v/>
      </c>
      <c r="I1719" s="32" t="str">
        <f>IFERROR(VLOOKUP(B1719,汇总!$B$2:$I$2921,8,FALSE),"")</f>
        <v>医药</v>
      </c>
      <c r="J1719" s="29" t="s">
        <v>1700</v>
      </c>
      <c r="K1719" s="29" t="s">
        <v>12</v>
      </c>
    </row>
    <row r="1720" ht="33.75" spans="1:11">
      <c r="A1720" s="29">
        <v>1719</v>
      </c>
      <c r="B1720" s="34" t="s">
        <v>2052</v>
      </c>
      <c r="C1720" s="29" t="str">
        <f>VLOOKUP(B1720,教育部大学名单!$B$1:$D$2920,3,FALSE)</f>
        <v>浙江省</v>
      </c>
      <c r="D1720" s="34" t="s">
        <v>448</v>
      </c>
      <c r="E1720" s="34" t="s">
        <v>467</v>
      </c>
      <c r="F1720" s="36" t="str">
        <f>IFERROR(VLOOKUP(B1720,'985'!$B$2:$D$40,3,FALSE),"")</f>
        <v/>
      </c>
      <c r="G1720" s="32" t="str">
        <f>IFERROR(VLOOKUP(B1720,'211'!$B$2:$D$116,3,FALSE),"")</f>
        <v/>
      </c>
      <c r="H1720" s="32" t="str">
        <f>IFERROR(VLOOKUP(B1720,双一流!$B$2:$D$148,3,FALSE),"")</f>
        <v/>
      </c>
      <c r="I1720" s="32" t="str">
        <f>IFERROR(VLOOKUP(B1720,汇总!$B$2:$I$2921,8,FALSE),"")</f>
        <v>综合</v>
      </c>
      <c r="J1720" s="34" t="s">
        <v>1700</v>
      </c>
      <c r="K1720" s="34" t="s">
        <v>12</v>
      </c>
    </row>
    <row r="1721" ht="50.25" spans="1:11">
      <c r="A1721" s="34">
        <v>1720</v>
      </c>
      <c r="B1721" s="29" t="s">
        <v>2053</v>
      </c>
      <c r="C1721" s="29" t="str">
        <f>VLOOKUP(B1721,教育部大学名单!$B$1:$D$2920,3,FALSE)</f>
        <v>浙江省</v>
      </c>
      <c r="D1721" s="29" t="s">
        <v>448</v>
      </c>
      <c r="E1721" s="29" t="s">
        <v>454</v>
      </c>
      <c r="F1721" s="36" t="str">
        <f>IFERROR(VLOOKUP(B1721,'985'!$B$2:$D$40,3,FALSE),"")</f>
        <v/>
      </c>
      <c r="G1721" s="32" t="str">
        <f>IFERROR(VLOOKUP(B1721,'211'!$B$2:$D$116,3,FALSE),"")</f>
        <v/>
      </c>
      <c r="H1721" s="32" t="str">
        <f>IFERROR(VLOOKUP(B1721,双一流!$B$2:$D$148,3,FALSE),"")</f>
        <v/>
      </c>
      <c r="I1721" s="32" t="str">
        <f>IFERROR(VLOOKUP(B1721,汇总!$B$2:$I$2921,8,FALSE),"")</f>
        <v>理工</v>
      </c>
      <c r="J1721" s="29" t="s">
        <v>1700</v>
      </c>
      <c r="K1721" s="29" t="s">
        <v>12</v>
      </c>
    </row>
    <row r="1722" ht="33.75" spans="1:11">
      <c r="A1722" s="29">
        <v>1721</v>
      </c>
      <c r="B1722" s="34" t="s">
        <v>2054</v>
      </c>
      <c r="C1722" s="29" t="str">
        <f>VLOOKUP(B1722,教育部大学名单!$B$1:$D$2920,3,FALSE)</f>
        <v>浙江省</v>
      </c>
      <c r="D1722" s="34" t="s">
        <v>448</v>
      </c>
      <c r="E1722" s="34" t="s">
        <v>449</v>
      </c>
      <c r="F1722" s="36" t="str">
        <f>IFERROR(VLOOKUP(B1722,'985'!$B$2:$D$40,3,FALSE),"")</f>
        <v/>
      </c>
      <c r="G1722" s="32" t="str">
        <f>IFERROR(VLOOKUP(B1722,'211'!$B$2:$D$116,3,FALSE),"")</f>
        <v/>
      </c>
      <c r="H1722" s="32" t="str">
        <f>IFERROR(VLOOKUP(B1722,双一流!$B$2:$D$148,3,FALSE),"")</f>
        <v/>
      </c>
      <c r="I1722" s="32" t="str">
        <f>IFERROR(VLOOKUP(B1722,汇总!$B$2:$I$2921,8,FALSE),"")</f>
        <v>体育</v>
      </c>
      <c r="J1722" s="34" t="s">
        <v>1700</v>
      </c>
      <c r="K1722" s="34" t="s">
        <v>12</v>
      </c>
    </row>
    <row r="1723" ht="33.75" spans="1:11">
      <c r="A1723" s="34">
        <v>1722</v>
      </c>
      <c r="B1723" s="29" t="s">
        <v>2055</v>
      </c>
      <c r="C1723" s="29" t="str">
        <f>VLOOKUP(B1723,教育部大学名单!$B$1:$D$2920,3,FALSE)</f>
        <v>浙江省</v>
      </c>
      <c r="D1723" s="29" t="s">
        <v>448</v>
      </c>
      <c r="E1723" s="29" t="s">
        <v>457</v>
      </c>
      <c r="F1723" s="36" t="str">
        <f>IFERROR(VLOOKUP(B1723,'985'!$B$2:$D$40,3,FALSE),"")</f>
        <v/>
      </c>
      <c r="G1723" s="32" t="str">
        <f>IFERROR(VLOOKUP(B1723,'211'!$B$2:$D$116,3,FALSE),"")</f>
        <v/>
      </c>
      <c r="H1723" s="32" t="str">
        <f>IFERROR(VLOOKUP(B1723,双一流!$B$2:$D$148,3,FALSE),"")</f>
        <v/>
      </c>
      <c r="I1723" s="32" t="str">
        <f>IFERROR(VLOOKUP(B1723,汇总!$B$2:$I$2921,8,FALSE),"")</f>
        <v>农林</v>
      </c>
      <c r="J1723" s="29" t="s">
        <v>1700</v>
      </c>
      <c r="K1723" s="29" t="s">
        <v>12</v>
      </c>
    </row>
    <row r="1724" ht="33.75" spans="1:11">
      <c r="A1724" s="29">
        <v>1723</v>
      </c>
      <c r="B1724" s="34" t="s">
        <v>2056</v>
      </c>
      <c r="C1724" s="29" t="str">
        <f>VLOOKUP(B1724,教育部大学名单!$B$1:$D$2920,3,FALSE)</f>
        <v>浙江省</v>
      </c>
      <c r="D1724" s="34" t="s">
        <v>448</v>
      </c>
      <c r="E1724" s="34" t="s">
        <v>465</v>
      </c>
      <c r="F1724" s="36" t="str">
        <f>IFERROR(VLOOKUP(B1724,'985'!$B$2:$D$40,3,FALSE),"")</f>
        <v/>
      </c>
      <c r="G1724" s="32" t="str">
        <f>IFERROR(VLOOKUP(B1724,'211'!$B$2:$D$116,3,FALSE),"")</f>
        <v/>
      </c>
      <c r="H1724" s="32" t="str">
        <f>IFERROR(VLOOKUP(B1724,双一流!$B$2:$D$148,3,FALSE),"")</f>
        <v/>
      </c>
      <c r="I1724" s="32" t="str">
        <f>IFERROR(VLOOKUP(B1724,汇总!$B$2:$I$2921,8,FALSE),"")</f>
        <v>综合</v>
      </c>
      <c r="J1724" s="34" t="s">
        <v>1700</v>
      </c>
      <c r="K1724" s="34" t="s">
        <v>12</v>
      </c>
    </row>
    <row r="1725" ht="33.75" spans="1:11">
      <c r="A1725" s="34">
        <v>1724</v>
      </c>
      <c r="B1725" s="29" t="s">
        <v>2057</v>
      </c>
      <c r="C1725" s="29" t="str">
        <f>VLOOKUP(B1725,教育部大学名单!$B$1:$D$2920,3,FALSE)</f>
        <v>浙江省</v>
      </c>
      <c r="D1725" s="29" t="s">
        <v>448</v>
      </c>
      <c r="E1725" s="29" t="s">
        <v>449</v>
      </c>
      <c r="F1725" s="36" t="str">
        <f>IFERROR(VLOOKUP(B1725,'985'!$B$2:$D$40,3,FALSE),"")</f>
        <v/>
      </c>
      <c r="G1725" s="32" t="str">
        <f>IFERROR(VLOOKUP(B1725,'211'!$B$2:$D$116,3,FALSE),"")</f>
        <v/>
      </c>
      <c r="H1725" s="32" t="str">
        <f>IFERROR(VLOOKUP(B1725,双一流!$B$2:$D$148,3,FALSE),"")</f>
        <v/>
      </c>
      <c r="I1725" s="32" t="str">
        <f>IFERROR(VLOOKUP(B1725,汇总!$B$2:$I$2921,8,FALSE),"")</f>
        <v>综合</v>
      </c>
      <c r="J1725" s="29" t="s">
        <v>1700</v>
      </c>
      <c r="K1725" s="29" t="s">
        <v>12</v>
      </c>
    </row>
    <row r="1726" ht="33.75" spans="1:11">
      <c r="A1726" s="29">
        <v>1725</v>
      </c>
      <c r="B1726" s="34" t="s">
        <v>2058</v>
      </c>
      <c r="C1726" s="29" t="str">
        <f>VLOOKUP(B1726,教育部大学名单!$B$1:$D$2920,3,FALSE)</f>
        <v>浙江省</v>
      </c>
      <c r="D1726" s="34" t="s">
        <v>448</v>
      </c>
      <c r="E1726" s="34" t="s">
        <v>457</v>
      </c>
      <c r="F1726" s="36" t="str">
        <f>IFERROR(VLOOKUP(B1726,'985'!$B$2:$D$40,3,FALSE),"")</f>
        <v/>
      </c>
      <c r="G1726" s="32" t="str">
        <f>IFERROR(VLOOKUP(B1726,'211'!$B$2:$D$116,3,FALSE),"")</f>
        <v/>
      </c>
      <c r="H1726" s="32" t="str">
        <f>IFERROR(VLOOKUP(B1726,双一流!$B$2:$D$148,3,FALSE),"")</f>
        <v/>
      </c>
      <c r="I1726" s="32" t="str">
        <f>IFERROR(VLOOKUP(B1726,汇总!$B$2:$I$2921,8,FALSE),"")</f>
        <v>理工</v>
      </c>
      <c r="J1726" s="34" t="s">
        <v>1700</v>
      </c>
      <c r="K1726" s="34" t="s">
        <v>12</v>
      </c>
    </row>
    <row r="1727" ht="66.75" spans="1:11">
      <c r="A1727" s="34">
        <v>1726</v>
      </c>
      <c r="B1727" s="29" t="s">
        <v>2059</v>
      </c>
      <c r="C1727" s="29" t="str">
        <f>VLOOKUP(B1727,教育部大学名单!$B$1:$D$2920,3,FALSE)</f>
        <v>浙江省</v>
      </c>
      <c r="D1727" s="29" t="s">
        <v>448</v>
      </c>
      <c r="E1727" s="29" t="s">
        <v>454</v>
      </c>
      <c r="F1727" s="36" t="str">
        <f>IFERROR(VLOOKUP(B1727,'985'!$B$2:$D$40,3,FALSE),"")</f>
        <v/>
      </c>
      <c r="G1727" s="32" t="str">
        <f>IFERROR(VLOOKUP(B1727,'211'!$B$2:$D$116,3,FALSE),"")</f>
        <v/>
      </c>
      <c r="H1727" s="32" t="str">
        <f>IFERROR(VLOOKUP(B1727,双一流!$B$2:$D$148,3,FALSE),"")</f>
        <v/>
      </c>
      <c r="I1727" s="32">
        <f>IFERROR(VLOOKUP(B1727,汇总!$B$2:$I$2921,8,FALSE),"")</f>
        <v>0</v>
      </c>
      <c r="J1727" s="29" t="s">
        <v>1700</v>
      </c>
      <c r="K1727" s="29" t="s">
        <v>12</v>
      </c>
    </row>
    <row r="1728" ht="50.25" spans="1:11">
      <c r="A1728" s="29">
        <v>1727</v>
      </c>
      <c r="B1728" s="34" t="s">
        <v>2060</v>
      </c>
      <c r="C1728" s="29" t="str">
        <f>VLOOKUP(B1728,教育部大学名单!$B$1:$D$2920,3,FALSE)</f>
        <v>浙江省</v>
      </c>
      <c r="D1728" s="34" t="s">
        <v>448</v>
      </c>
      <c r="E1728" s="34" t="s">
        <v>477</v>
      </c>
      <c r="F1728" s="36" t="str">
        <f>IFERROR(VLOOKUP(B1728,'985'!$B$2:$D$40,3,FALSE),"")</f>
        <v/>
      </c>
      <c r="G1728" s="32" t="str">
        <f>IFERROR(VLOOKUP(B1728,'211'!$B$2:$D$116,3,FALSE),"")</f>
        <v/>
      </c>
      <c r="H1728" s="32" t="str">
        <f>IFERROR(VLOOKUP(B1728,双一流!$B$2:$D$148,3,FALSE),"")</f>
        <v/>
      </c>
      <c r="I1728" s="32" t="str">
        <f>IFERROR(VLOOKUP(B1728,汇总!$B$2:$I$2921,8,FALSE),"")</f>
        <v>师范</v>
      </c>
      <c r="J1728" s="34" t="s">
        <v>1700</v>
      </c>
      <c r="K1728" s="34" t="s">
        <v>12</v>
      </c>
    </row>
    <row r="1729" ht="33.75" spans="1:11">
      <c r="A1729" s="34">
        <v>1728</v>
      </c>
      <c r="B1729" s="29" t="s">
        <v>2061</v>
      </c>
      <c r="C1729" s="29" t="str">
        <f>VLOOKUP(B1729,教育部大学名单!$B$1:$D$2920,3,FALSE)</f>
        <v>安徽省</v>
      </c>
      <c r="D1729" s="29" t="s">
        <v>502</v>
      </c>
      <c r="E1729" s="29" t="s">
        <v>524</v>
      </c>
      <c r="F1729" s="36" t="str">
        <f>IFERROR(VLOOKUP(B1729,'985'!$B$2:$D$40,3,FALSE),"")</f>
        <v/>
      </c>
      <c r="G1729" s="32" t="str">
        <f>IFERROR(VLOOKUP(B1729,'211'!$B$2:$D$116,3,FALSE),"")</f>
        <v/>
      </c>
      <c r="H1729" s="32" t="str">
        <f>IFERROR(VLOOKUP(B1729,双一流!$B$2:$D$148,3,FALSE),"")</f>
        <v/>
      </c>
      <c r="I1729" s="32" t="str">
        <f>IFERROR(VLOOKUP(B1729,汇总!$B$2:$I$2921,8,FALSE),"")</f>
        <v>综合</v>
      </c>
      <c r="J1729" s="29" t="s">
        <v>1700</v>
      </c>
      <c r="K1729" s="29" t="s">
        <v>12</v>
      </c>
    </row>
    <row r="1730" ht="33.75" spans="1:11">
      <c r="A1730" s="29">
        <v>1729</v>
      </c>
      <c r="B1730" s="34" t="s">
        <v>2062</v>
      </c>
      <c r="C1730" s="29" t="str">
        <f>VLOOKUP(B1730,教育部大学名单!$B$1:$D$2920,3,FALSE)</f>
        <v>安徽省</v>
      </c>
      <c r="D1730" s="34" t="s">
        <v>502</v>
      </c>
      <c r="E1730" s="34" t="s">
        <v>509</v>
      </c>
      <c r="F1730" s="36" t="str">
        <f>IFERROR(VLOOKUP(B1730,'985'!$B$2:$D$40,3,FALSE),"")</f>
        <v/>
      </c>
      <c r="G1730" s="32" t="str">
        <f>IFERROR(VLOOKUP(B1730,'211'!$B$2:$D$116,3,FALSE),"")</f>
        <v/>
      </c>
      <c r="H1730" s="32" t="str">
        <f>IFERROR(VLOOKUP(B1730,双一流!$B$2:$D$148,3,FALSE),"")</f>
        <v/>
      </c>
      <c r="I1730" s="32" t="str">
        <f>IFERROR(VLOOKUP(B1730,汇总!$B$2:$I$2921,8,FALSE),"")</f>
        <v>综合</v>
      </c>
      <c r="J1730" s="34" t="s">
        <v>1700</v>
      </c>
      <c r="K1730" s="34" t="s">
        <v>12</v>
      </c>
    </row>
    <row r="1731" ht="33.75" spans="1:11">
      <c r="A1731" s="34">
        <v>1730</v>
      </c>
      <c r="B1731" s="29" t="s">
        <v>2063</v>
      </c>
      <c r="C1731" s="29" t="str">
        <f>VLOOKUP(B1731,教育部大学名单!$B$1:$D$2920,3,FALSE)</f>
        <v>安徽省</v>
      </c>
      <c r="D1731" s="29" t="s">
        <v>502</v>
      </c>
      <c r="E1731" s="29" t="s">
        <v>511</v>
      </c>
      <c r="F1731" s="36" t="str">
        <f>IFERROR(VLOOKUP(B1731,'985'!$B$2:$D$40,3,FALSE),"")</f>
        <v/>
      </c>
      <c r="G1731" s="32" t="str">
        <f>IFERROR(VLOOKUP(B1731,'211'!$B$2:$D$116,3,FALSE),"")</f>
        <v/>
      </c>
      <c r="H1731" s="32" t="str">
        <f>IFERROR(VLOOKUP(B1731,双一流!$B$2:$D$148,3,FALSE),"")</f>
        <v/>
      </c>
      <c r="I1731" s="32" t="str">
        <f>IFERROR(VLOOKUP(B1731,汇总!$B$2:$I$2921,8,FALSE),"")</f>
        <v>财经</v>
      </c>
      <c r="J1731" s="29" t="s">
        <v>1700</v>
      </c>
      <c r="K1731" s="29" t="s">
        <v>12</v>
      </c>
    </row>
    <row r="1732" ht="50.25" spans="1:11">
      <c r="A1732" s="29">
        <v>1731</v>
      </c>
      <c r="B1732" s="34" t="s">
        <v>2064</v>
      </c>
      <c r="C1732" s="29" t="str">
        <f>VLOOKUP(B1732,教育部大学名单!$B$1:$D$2920,3,FALSE)</f>
        <v>安徽省</v>
      </c>
      <c r="D1732" s="34" t="s">
        <v>502</v>
      </c>
      <c r="E1732" s="34" t="s">
        <v>503</v>
      </c>
      <c r="F1732" s="36" t="str">
        <f>IFERROR(VLOOKUP(B1732,'985'!$B$2:$D$40,3,FALSE),"")</f>
        <v/>
      </c>
      <c r="G1732" s="32" t="str">
        <f>IFERROR(VLOOKUP(B1732,'211'!$B$2:$D$116,3,FALSE),"")</f>
        <v/>
      </c>
      <c r="H1732" s="32" t="str">
        <f>IFERROR(VLOOKUP(B1732,双一流!$B$2:$D$148,3,FALSE),"")</f>
        <v/>
      </c>
      <c r="I1732" s="32" t="str">
        <f>IFERROR(VLOOKUP(B1732,汇总!$B$2:$I$2921,8,FALSE),"")</f>
        <v>理工</v>
      </c>
      <c r="J1732" s="34" t="s">
        <v>1700</v>
      </c>
      <c r="K1732" s="34" t="s">
        <v>12</v>
      </c>
    </row>
    <row r="1733" ht="33.75" spans="1:11">
      <c r="A1733" s="34">
        <v>1732</v>
      </c>
      <c r="B1733" s="29" t="s">
        <v>2065</v>
      </c>
      <c r="C1733" s="29" t="str">
        <f>VLOOKUP(B1733,教育部大学名单!$B$1:$D$2920,3,FALSE)</f>
        <v>安徽省</v>
      </c>
      <c r="D1733" s="29" t="s">
        <v>502</v>
      </c>
      <c r="E1733" s="29" t="s">
        <v>520</v>
      </c>
      <c r="F1733" s="36" t="str">
        <f>IFERROR(VLOOKUP(B1733,'985'!$B$2:$D$40,3,FALSE),"")</f>
        <v/>
      </c>
      <c r="G1733" s="32" t="str">
        <f>IFERROR(VLOOKUP(B1733,'211'!$B$2:$D$116,3,FALSE),"")</f>
        <v/>
      </c>
      <c r="H1733" s="32" t="str">
        <f>IFERROR(VLOOKUP(B1733,双一流!$B$2:$D$148,3,FALSE),"")</f>
        <v/>
      </c>
      <c r="I1733" s="32" t="str">
        <f>IFERROR(VLOOKUP(B1733,汇总!$B$2:$I$2921,8,FALSE),"")</f>
        <v>理工</v>
      </c>
      <c r="J1733" s="29" t="s">
        <v>1700</v>
      </c>
      <c r="K1733" s="29" t="s">
        <v>12</v>
      </c>
    </row>
    <row r="1734" ht="33.75" spans="1:11">
      <c r="A1734" s="29">
        <v>1733</v>
      </c>
      <c r="B1734" s="34" t="s">
        <v>2066</v>
      </c>
      <c r="C1734" s="29" t="str">
        <f>VLOOKUP(B1734,教育部大学名单!$B$1:$D$2920,3,FALSE)</f>
        <v>安徽省</v>
      </c>
      <c r="D1734" s="34" t="s">
        <v>502</v>
      </c>
      <c r="E1734" s="34" t="s">
        <v>537</v>
      </c>
      <c r="F1734" s="36" t="str">
        <f>IFERROR(VLOOKUP(B1734,'985'!$B$2:$D$40,3,FALSE),"")</f>
        <v/>
      </c>
      <c r="G1734" s="32" t="str">
        <f>IFERROR(VLOOKUP(B1734,'211'!$B$2:$D$116,3,FALSE),"")</f>
        <v/>
      </c>
      <c r="H1734" s="32" t="str">
        <f>IFERROR(VLOOKUP(B1734,双一流!$B$2:$D$148,3,FALSE),"")</f>
        <v/>
      </c>
      <c r="I1734" s="32" t="str">
        <f>IFERROR(VLOOKUP(B1734,汇总!$B$2:$I$2921,8,FALSE),"")</f>
        <v>理工</v>
      </c>
      <c r="J1734" s="34" t="s">
        <v>1700</v>
      </c>
      <c r="K1734" s="34" t="s">
        <v>12</v>
      </c>
    </row>
    <row r="1735" ht="33.75" spans="1:11">
      <c r="A1735" s="34">
        <v>1734</v>
      </c>
      <c r="B1735" s="29" t="s">
        <v>2067</v>
      </c>
      <c r="C1735" s="29" t="str">
        <f>VLOOKUP(B1735,教育部大学名单!$B$1:$D$2920,3,FALSE)</f>
        <v>安徽省</v>
      </c>
      <c r="D1735" s="29" t="s">
        <v>502</v>
      </c>
      <c r="E1735" s="29" t="s">
        <v>503</v>
      </c>
      <c r="F1735" s="36" t="str">
        <f>IFERROR(VLOOKUP(B1735,'985'!$B$2:$D$40,3,FALSE),"")</f>
        <v/>
      </c>
      <c r="G1735" s="32" t="str">
        <f>IFERROR(VLOOKUP(B1735,'211'!$B$2:$D$116,3,FALSE),"")</f>
        <v/>
      </c>
      <c r="H1735" s="32" t="str">
        <f>IFERROR(VLOOKUP(B1735,双一流!$B$2:$D$148,3,FALSE),"")</f>
        <v/>
      </c>
      <c r="I1735" s="32" t="str">
        <f>IFERROR(VLOOKUP(B1735,汇总!$B$2:$I$2921,8,FALSE),"")</f>
        <v>政法</v>
      </c>
      <c r="J1735" s="29" t="s">
        <v>1700</v>
      </c>
      <c r="K1735" s="29" t="s">
        <v>12</v>
      </c>
    </row>
    <row r="1736" ht="33.75" spans="1:11">
      <c r="A1736" s="29">
        <v>1735</v>
      </c>
      <c r="B1736" s="34" t="s">
        <v>2068</v>
      </c>
      <c r="C1736" s="29" t="str">
        <f>VLOOKUP(B1736,教育部大学名单!$B$1:$D$2920,3,FALSE)</f>
        <v>安徽省</v>
      </c>
      <c r="D1736" s="34" t="s">
        <v>502</v>
      </c>
      <c r="E1736" s="34" t="s">
        <v>509</v>
      </c>
      <c r="F1736" s="36" t="str">
        <f>IFERROR(VLOOKUP(B1736,'985'!$B$2:$D$40,3,FALSE),"")</f>
        <v/>
      </c>
      <c r="G1736" s="32" t="str">
        <f>IFERROR(VLOOKUP(B1736,'211'!$B$2:$D$116,3,FALSE),"")</f>
        <v/>
      </c>
      <c r="H1736" s="32" t="str">
        <f>IFERROR(VLOOKUP(B1736,双一流!$B$2:$D$148,3,FALSE),"")</f>
        <v/>
      </c>
      <c r="I1736" s="32" t="str">
        <f>IFERROR(VLOOKUP(B1736,汇总!$B$2:$I$2921,8,FALSE),"")</f>
        <v>理工</v>
      </c>
      <c r="J1736" s="34" t="s">
        <v>1700</v>
      </c>
      <c r="K1736" s="34" t="s">
        <v>12</v>
      </c>
    </row>
    <row r="1737" ht="50.25" spans="1:11">
      <c r="A1737" s="34">
        <v>1736</v>
      </c>
      <c r="B1737" s="29" t="s">
        <v>2069</v>
      </c>
      <c r="C1737" s="29" t="str">
        <f>VLOOKUP(B1737,教育部大学名单!$B$1:$D$2920,3,FALSE)</f>
        <v>安徽省</v>
      </c>
      <c r="D1737" s="29" t="s">
        <v>502</v>
      </c>
      <c r="E1737" s="29" t="s">
        <v>503</v>
      </c>
      <c r="F1737" s="36" t="str">
        <f>IFERROR(VLOOKUP(B1737,'985'!$B$2:$D$40,3,FALSE),"")</f>
        <v/>
      </c>
      <c r="G1737" s="32" t="str">
        <f>IFERROR(VLOOKUP(B1737,'211'!$B$2:$D$116,3,FALSE),"")</f>
        <v/>
      </c>
      <c r="H1737" s="32" t="str">
        <f>IFERROR(VLOOKUP(B1737,双一流!$B$2:$D$148,3,FALSE),"")</f>
        <v/>
      </c>
      <c r="I1737" s="32" t="str">
        <f>IFERROR(VLOOKUP(B1737,汇总!$B$2:$I$2921,8,FALSE),"")</f>
        <v>财经</v>
      </c>
      <c r="J1737" s="29" t="s">
        <v>1700</v>
      </c>
      <c r="K1737" s="29" t="s">
        <v>12</v>
      </c>
    </row>
    <row r="1738" ht="33.75" spans="1:11">
      <c r="A1738" s="29">
        <v>1737</v>
      </c>
      <c r="B1738" s="34" t="s">
        <v>2070</v>
      </c>
      <c r="C1738" s="29" t="str">
        <f>VLOOKUP(B1738,教育部大学名单!$B$1:$D$2920,3,FALSE)</f>
        <v>安徽省</v>
      </c>
      <c r="D1738" s="34" t="s">
        <v>502</v>
      </c>
      <c r="E1738" s="34" t="s">
        <v>503</v>
      </c>
      <c r="F1738" s="36" t="str">
        <f>IFERROR(VLOOKUP(B1738,'985'!$B$2:$D$40,3,FALSE),"")</f>
        <v/>
      </c>
      <c r="G1738" s="32" t="str">
        <f>IFERROR(VLOOKUP(B1738,'211'!$B$2:$D$116,3,FALSE),"")</f>
        <v/>
      </c>
      <c r="H1738" s="32" t="str">
        <f>IFERROR(VLOOKUP(B1738,双一流!$B$2:$D$148,3,FALSE),"")</f>
        <v/>
      </c>
      <c r="I1738" s="32" t="str">
        <f>IFERROR(VLOOKUP(B1738,汇总!$B$2:$I$2921,8,FALSE),"")</f>
        <v>理工</v>
      </c>
      <c r="J1738" s="34" t="s">
        <v>1700</v>
      </c>
      <c r="K1738" s="34" t="s">
        <v>12</v>
      </c>
    </row>
    <row r="1739" ht="33.75" spans="1:11">
      <c r="A1739" s="34">
        <v>1738</v>
      </c>
      <c r="B1739" s="29" t="s">
        <v>2071</v>
      </c>
      <c r="C1739" s="29" t="str">
        <f>VLOOKUP(B1739,教育部大学名单!$B$1:$D$2920,3,FALSE)</f>
        <v>安徽省</v>
      </c>
      <c r="D1739" s="29" t="s">
        <v>502</v>
      </c>
      <c r="E1739" s="29" t="s">
        <v>509</v>
      </c>
      <c r="F1739" s="36" t="str">
        <f>IFERROR(VLOOKUP(B1739,'985'!$B$2:$D$40,3,FALSE),"")</f>
        <v/>
      </c>
      <c r="G1739" s="32" t="str">
        <f>IFERROR(VLOOKUP(B1739,'211'!$B$2:$D$116,3,FALSE),"")</f>
        <v/>
      </c>
      <c r="H1739" s="32" t="str">
        <f>IFERROR(VLOOKUP(B1739,双一流!$B$2:$D$148,3,FALSE),"")</f>
        <v/>
      </c>
      <c r="I1739" s="32" t="str">
        <f>IFERROR(VLOOKUP(B1739,汇总!$B$2:$I$2921,8,FALSE),"")</f>
        <v>理工</v>
      </c>
      <c r="J1739" s="29" t="s">
        <v>1700</v>
      </c>
      <c r="K1739" s="29" t="s">
        <v>12</v>
      </c>
    </row>
    <row r="1740" ht="33.75" spans="1:11">
      <c r="A1740" s="29">
        <v>1739</v>
      </c>
      <c r="B1740" s="34" t="s">
        <v>2072</v>
      </c>
      <c r="C1740" s="29" t="str">
        <f>VLOOKUP(B1740,教育部大学名单!$B$1:$D$2920,3,FALSE)</f>
        <v>安徽省</v>
      </c>
      <c r="D1740" s="34" t="s">
        <v>502</v>
      </c>
      <c r="E1740" s="34" t="s">
        <v>533</v>
      </c>
      <c r="F1740" s="36" t="str">
        <f>IFERROR(VLOOKUP(B1740,'985'!$B$2:$D$40,3,FALSE),"")</f>
        <v/>
      </c>
      <c r="G1740" s="32" t="str">
        <f>IFERROR(VLOOKUP(B1740,'211'!$B$2:$D$116,3,FALSE),"")</f>
        <v/>
      </c>
      <c r="H1740" s="32" t="str">
        <f>IFERROR(VLOOKUP(B1740,双一流!$B$2:$D$148,3,FALSE),"")</f>
        <v/>
      </c>
      <c r="I1740" s="32" t="str">
        <f>IFERROR(VLOOKUP(B1740,汇总!$B$2:$I$2921,8,FALSE),"")</f>
        <v>综合</v>
      </c>
      <c r="J1740" s="34" t="s">
        <v>1700</v>
      </c>
      <c r="K1740" s="34" t="s">
        <v>12</v>
      </c>
    </row>
    <row r="1741" ht="33.75" spans="1:11">
      <c r="A1741" s="34">
        <v>1740</v>
      </c>
      <c r="B1741" s="29" t="s">
        <v>2073</v>
      </c>
      <c r="C1741" s="29" t="str">
        <f>VLOOKUP(B1741,教育部大学名单!$B$1:$D$2920,3,FALSE)</f>
        <v>安徽省</v>
      </c>
      <c r="D1741" s="29" t="s">
        <v>502</v>
      </c>
      <c r="E1741" s="29" t="s">
        <v>528</v>
      </c>
      <c r="F1741" s="36" t="str">
        <f>IFERROR(VLOOKUP(B1741,'985'!$B$2:$D$40,3,FALSE),"")</f>
        <v/>
      </c>
      <c r="G1741" s="32" t="str">
        <f>IFERROR(VLOOKUP(B1741,'211'!$B$2:$D$116,3,FALSE),"")</f>
        <v/>
      </c>
      <c r="H1741" s="32" t="str">
        <f>IFERROR(VLOOKUP(B1741,双一流!$B$2:$D$148,3,FALSE),"")</f>
        <v/>
      </c>
      <c r="I1741" s="32" t="str">
        <f>IFERROR(VLOOKUP(B1741,汇总!$B$2:$I$2921,8,FALSE),"")</f>
        <v>理工</v>
      </c>
      <c r="J1741" s="29" t="s">
        <v>1700</v>
      </c>
      <c r="K1741" s="29" t="s">
        <v>12</v>
      </c>
    </row>
    <row r="1742" ht="50.25" spans="1:11">
      <c r="A1742" s="29">
        <v>1741</v>
      </c>
      <c r="B1742" s="34" t="s">
        <v>2074</v>
      </c>
      <c r="C1742" s="29" t="str">
        <f>VLOOKUP(B1742,教育部大学名单!$B$1:$D$2920,3,FALSE)</f>
        <v>安徽省</v>
      </c>
      <c r="D1742" s="34" t="s">
        <v>502</v>
      </c>
      <c r="E1742" s="34" t="s">
        <v>515</v>
      </c>
      <c r="F1742" s="36" t="str">
        <f>IFERROR(VLOOKUP(B1742,'985'!$B$2:$D$40,3,FALSE),"")</f>
        <v/>
      </c>
      <c r="G1742" s="32" t="str">
        <f>IFERROR(VLOOKUP(B1742,'211'!$B$2:$D$116,3,FALSE),"")</f>
        <v/>
      </c>
      <c r="H1742" s="32" t="str">
        <f>IFERROR(VLOOKUP(B1742,双一流!$B$2:$D$148,3,FALSE),"")</f>
        <v/>
      </c>
      <c r="I1742" s="32" t="str">
        <f>IFERROR(VLOOKUP(B1742,汇总!$B$2:$I$2921,8,FALSE),"")</f>
        <v>理工</v>
      </c>
      <c r="J1742" s="34" t="s">
        <v>1700</v>
      </c>
      <c r="K1742" s="34" t="s">
        <v>12</v>
      </c>
    </row>
    <row r="1743" ht="33.75" spans="1:11">
      <c r="A1743" s="34">
        <v>1742</v>
      </c>
      <c r="B1743" s="29" t="s">
        <v>2075</v>
      </c>
      <c r="C1743" s="29" t="str">
        <f>VLOOKUP(B1743,教育部大学名单!$B$1:$D$2920,3,FALSE)</f>
        <v>安徽省</v>
      </c>
      <c r="D1743" s="29" t="s">
        <v>502</v>
      </c>
      <c r="E1743" s="29" t="s">
        <v>503</v>
      </c>
      <c r="F1743" s="36" t="str">
        <f>IFERROR(VLOOKUP(B1743,'985'!$B$2:$D$40,3,FALSE),"")</f>
        <v/>
      </c>
      <c r="G1743" s="32" t="str">
        <f>IFERROR(VLOOKUP(B1743,'211'!$B$2:$D$116,3,FALSE),"")</f>
        <v/>
      </c>
      <c r="H1743" s="32" t="str">
        <f>IFERROR(VLOOKUP(B1743,双一流!$B$2:$D$148,3,FALSE),"")</f>
        <v/>
      </c>
      <c r="I1743" s="32" t="str">
        <f>IFERROR(VLOOKUP(B1743,汇总!$B$2:$I$2921,8,FALSE),"")</f>
        <v>理工</v>
      </c>
      <c r="J1743" s="29" t="s">
        <v>1700</v>
      </c>
      <c r="K1743" s="29" t="s">
        <v>12</v>
      </c>
    </row>
    <row r="1744" ht="50.25" spans="1:11">
      <c r="A1744" s="29">
        <v>1743</v>
      </c>
      <c r="B1744" s="34" t="s">
        <v>2076</v>
      </c>
      <c r="C1744" s="29" t="str">
        <f>VLOOKUP(B1744,教育部大学名单!$B$1:$D$2920,3,FALSE)</f>
        <v>安徽省</v>
      </c>
      <c r="D1744" s="34" t="s">
        <v>502</v>
      </c>
      <c r="E1744" s="34" t="s">
        <v>503</v>
      </c>
      <c r="F1744" s="36" t="str">
        <f>IFERROR(VLOOKUP(B1744,'985'!$B$2:$D$40,3,FALSE),"")</f>
        <v/>
      </c>
      <c r="G1744" s="32" t="str">
        <f>IFERROR(VLOOKUP(B1744,'211'!$B$2:$D$116,3,FALSE),"")</f>
        <v/>
      </c>
      <c r="H1744" s="32" t="str">
        <f>IFERROR(VLOOKUP(B1744,双一流!$B$2:$D$148,3,FALSE),"")</f>
        <v/>
      </c>
      <c r="I1744" s="32" t="str">
        <f>IFERROR(VLOOKUP(B1744,汇总!$B$2:$I$2921,8,FALSE),"")</f>
        <v>体育</v>
      </c>
      <c r="J1744" s="34" t="s">
        <v>1700</v>
      </c>
      <c r="K1744" s="34" t="s">
        <v>12</v>
      </c>
    </row>
    <row r="1745" ht="50.25" spans="1:11">
      <c r="A1745" s="34">
        <v>1744</v>
      </c>
      <c r="B1745" s="29" t="s">
        <v>2077</v>
      </c>
      <c r="C1745" s="29" t="str">
        <f>VLOOKUP(B1745,教育部大学名单!$B$1:$D$2920,3,FALSE)</f>
        <v>安徽省</v>
      </c>
      <c r="D1745" s="29" t="s">
        <v>502</v>
      </c>
      <c r="E1745" s="29" t="s">
        <v>511</v>
      </c>
      <c r="F1745" s="36" t="str">
        <f>IFERROR(VLOOKUP(B1745,'985'!$B$2:$D$40,3,FALSE),"")</f>
        <v/>
      </c>
      <c r="G1745" s="32" t="str">
        <f>IFERROR(VLOOKUP(B1745,'211'!$B$2:$D$116,3,FALSE),"")</f>
        <v/>
      </c>
      <c r="H1745" s="32" t="str">
        <f>IFERROR(VLOOKUP(B1745,双一流!$B$2:$D$148,3,FALSE),"")</f>
        <v/>
      </c>
      <c r="I1745" s="32" t="str">
        <f>IFERROR(VLOOKUP(B1745,汇总!$B$2:$I$2921,8,FALSE),"")</f>
        <v>医药</v>
      </c>
      <c r="J1745" s="29" t="s">
        <v>1700</v>
      </c>
      <c r="K1745" s="29" t="s">
        <v>12</v>
      </c>
    </row>
    <row r="1746" ht="33.75" spans="1:11">
      <c r="A1746" s="29">
        <v>1745</v>
      </c>
      <c r="B1746" s="34" t="s">
        <v>2078</v>
      </c>
      <c r="C1746" s="29" t="str">
        <f>VLOOKUP(B1746,教育部大学名单!$B$1:$D$2920,3,FALSE)</f>
        <v>安徽省</v>
      </c>
      <c r="D1746" s="34" t="s">
        <v>502</v>
      </c>
      <c r="E1746" s="34" t="s">
        <v>503</v>
      </c>
      <c r="F1746" s="36" t="str">
        <f>IFERROR(VLOOKUP(B1746,'985'!$B$2:$D$40,3,FALSE),"")</f>
        <v/>
      </c>
      <c r="G1746" s="32" t="str">
        <f>IFERROR(VLOOKUP(B1746,'211'!$B$2:$D$116,3,FALSE),"")</f>
        <v/>
      </c>
      <c r="H1746" s="32" t="str">
        <f>IFERROR(VLOOKUP(B1746,双一流!$B$2:$D$148,3,FALSE),"")</f>
        <v/>
      </c>
      <c r="I1746" s="32" t="str">
        <f>IFERROR(VLOOKUP(B1746,汇总!$B$2:$I$2921,8,FALSE),"")</f>
        <v>综合</v>
      </c>
      <c r="J1746" s="34" t="s">
        <v>1700</v>
      </c>
      <c r="K1746" s="34" t="s">
        <v>12</v>
      </c>
    </row>
    <row r="1747" ht="33.75" spans="1:11">
      <c r="A1747" s="34">
        <v>1746</v>
      </c>
      <c r="B1747" s="29" t="s">
        <v>2079</v>
      </c>
      <c r="C1747" s="29" t="str">
        <f>VLOOKUP(B1747,教育部大学名单!$B$1:$D$2920,3,FALSE)</f>
        <v>安徽省</v>
      </c>
      <c r="D1747" s="29" t="s">
        <v>502</v>
      </c>
      <c r="E1747" s="29" t="s">
        <v>530</v>
      </c>
      <c r="F1747" s="36" t="str">
        <f>IFERROR(VLOOKUP(B1747,'985'!$B$2:$D$40,3,FALSE),"")</f>
        <v/>
      </c>
      <c r="G1747" s="32" t="str">
        <f>IFERROR(VLOOKUP(B1747,'211'!$B$2:$D$116,3,FALSE),"")</f>
        <v/>
      </c>
      <c r="H1747" s="32" t="str">
        <f>IFERROR(VLOOKUP(B1747,双一流!$B$2:$D$148,3,FALSE),"")</f>
        <v/>
      </c>
      <c r="I1747" s="32" t="str">
        <f>IFERROR(VLOOKUP(B1747,汇总!$B$2:$I$2921,8,FALSE),"")</f>
        <v>综合</v>
      </c>
      <c r="J1747" s="29" t="s">
        <v>1700</v>
      </c>
      <c r="K1747" s="29" t="s">
        <v>12</v>
      </c>
    </row>
    <row r="1748" ht="33.75" spans="1:11">
      <c r="A1748" s="29">
        <v>1747</v>
      </c>
      <c r="B1748" s="34" t="s">
        <v>2080</v>
      </c>
      <c r="C1748" s="29" t="str">
        <f>VLOOKUP(B1748,教育部大学名单!$B$1:$D$2920,3,FALSE)</f>
        <v>安徽省</v>
      </c>
      <c r="D1748" s="34" t="s">
        <v>502</v>
      </c>
      <c r="E1748" s="34" t="s">
        <v>543</v>
      </c>
      <c r="F1748" s="36" t="str">
        <f>IFERROR(VLOOKUP(B1748,'985'!$B$2:$D$40,3,FALSE),"")</f>
        <v/>
      </c>
      <c r="G1748" s="32" t="str">
        <f>IFERROR(VLOOKUP(B1748,'211'!$B$2:$D$116,3,FALSE),"")</f>
        <v/>
      </c>
      <c r="H1748" s="32" t="str">
        <f>IFERROR(VLOOKUP(B1748,双一流!$B$2:$D$148,3,FALSE),"")</f>
        <v/>
      </c>
      <c r="I1748" s="32" t="str">
        <f>IFERROR(VLOOKUP(B1748,汇总!$B$2:$I$2921,8,FALSE),"")</f>
        <v>理工</v>
      </c>
      <c r="J1748" s="34" t="s">
        <v>1700</v>
      </c>
      <c r="K1748" s="34" t="s">
        <v>12</v>
      </c>
    </row>
    <row r="1749" ht="33.75" spans="1:11">
      <c r="A1749" s="34">
        <v>1748</v>
      </c>
      <c r="B1749" s="29" t="s">
        <v>2081</v>
      </c>
      <c r="C1749" s="29" t="str">
        <f>VLOOKUP(B1749,教育部大学名单!$B$1:$D$2920,3,FALSE)</f>
        <v>安徽省</v>
      </c>
      <c r="D1749" s="29" t="s">
        <v>502</v>
      </c>
      <c r="E1749" s="29" t="s">
        <v>2082</v>
      </c>
      <c r="F1749" s="36" t="str">
        <f>IFERROR(VLOOKUP(B1749,'985'!$B$2:$D$40,3,FALSE),"")</f>
        <v/>
      </c>
      <c r="G1749" s="32" t="str">
        <f>IFERROR(VLOOKUP(B1749,'211'!$B$2:$D$116,3,FALSE),"")</f>
        <v/>
      </c>
      <c r="H1749" s="32" t="str">
        <f>IFERROR(VLOOKUP(B1749,双一流!$B$2:$D$148,3,FALSE),"")</f>
        <v/>
      </c>
      <c r="I1749" s="32" t="str">
        <f>IFERROR(VLOOKUP(B1749,汇总!$B$2:$I$2921,8,FALSE),"")</f>
        <v>理工</v>
      </c>
      <c r="J1749" s="29" t="s">
        <v>1700</v>
      </c>
      <c r="K1749" s="29" t="s">
        <v>12</v>
      </c>
    </row>
    <row r="1750" ht="50.25" spans="1:11">
      <c r="A1750" s="29">
        <v>1749</v>
      </c>
      <c r="B1750" s="34" t="s">
        <v>2083</v>
      </c>
      <c r="C1750" s="29" t="str">
        <f>VLOOKUP(B1750,教育部大学名单!$B$1:$D$2920,3,FALSE)</f>
        <v>安徽省</v>
      </c>
      <c r="D1750" s="34" t="s">
        <v>502</v>
      </c>
      <c r="E1750" s="34" t="s">
        <v>503</v>
      </c>
      <c r="F1750" s="36" t="str">
        <f>IFERROR(VLOOKUP(B1750,'985'!$B$2:$D$40,3,FALSE),"")</f>
        <v/>
      </c>
      <c r="G1750" s="32" t="str">
        <f>IFERROR(VLOOKUP(B1750,'211'!$B$2:$D$116,3,FALSE),"")</f>
        <v/>
      </c>
      <c r="H1750" s="32" t="str">
        <f>IFERROR(VLOOKUP(B1750,双一流!$B$2:$D$148,3,FALSE),"")</f>
        <v/>
      </c>
      <c r="I1750" s="32" t="str">
        <f>IFERROR(VLOOKUP(B1750,汇总!$B$2:$I$2921,8,FALSE),"")</f>
        <v>艺术</v>
      </c>
      <c r="J1750" s="34" t="s">
        <v>1700</v>
      </c>
      <c r="K1750" s="34" t="s">
        <v>12</v>
      </c>
    </row>
    <row r="1751" ht="50.25" spans="1:11">
      <c r="A1751" s="34">
        <v>1750</v>
      </c>
      <c r="B1751" s="29" t="s">
        <v>2084</v>
      </c>
      <c r="C1751" s="29" t="str">
        <f>VLOOKUP(B1751,教育部大学名单!$B$1:$D$2920,3,FALSE)</f>
        <v>安徽省</v>
      </c>
      <c r="D1751" s="29" t="s">
        <v>502</v>
      </c>
      <c r="E1751" s="29" t="s">
        <v>503</v>
      </c>
      <c r="F1751" s="36" t="str">
        <f>IFERROR(VLOOKUP(B1751,'985'!$B$2:$D$40,3,FALSE),"")</f>
        <v/>
      </c>
      <c r="G1751" s="32" t="str">
        <f>IFERROR(VLOOKUP(B1751,'211'!$B$2:$D$116,3,FALSE),"")</f>
        <v/>
      </c>
      <c r="H1751" s="32" t="str">
        <f>IFERROR(VLOOKUP(B1751,双一流!$B$2:$D$148,3,FALSE),"")</f>
        <v/>
      </c>
      <c r="I1751" s="32" t="str">
        <f>IFERROR(VLOOKUP(B1751,汇总!$B$2:$I$2921,8,FALSE),"")</f>
        <v>理工</v>
      </c>
      <c r="J1751" s="29" t="s">
        <v>1700</v>
      </c>
      <c r="K1751" s="29" t="s">
        <v>12</v>
      </c>
    </row>
    <row r="1752" ht="33.75" spans="1:11">
      <c r="A1752" s="29">
        <v>1751</v>
      </c>
      <c r="B1752" s="34" t="s">
        <v>2085</v>
      </c>
      <c r="C1752" s="29" t="str">
        <f>VLOOKUP(B1752,教育部大学名单!$B$1:$D$2920,3,FALSE)</f>
        <v>安徽省</v>
      </c>
      <c r="D1752" s="34" t="s">
        <v>502</v>
      </c>
      <c r="E1752" s="34" t="s">
        <v>507</v>
      </c>
      <c r="F1752" s="36" t="str">
        <f>IFERROR(VLOOKUP(B1752,'985'!$B$2:$D$40,3,FALSE),"")</f>
        <v/>
      </c>
      <c r="G1752" s="32" t="str">
        <f>IFERROR(VLOOKUP(B1752,'211'!$B$2:$D$116,3,FALSE),"")</f>
        <v/>
      </c>
      <c r="H1752" s="32" t="str">
        <f>IFERROR(VLOOKUP(B1752,双一流!$B$2:$D$148,3,FALSE),"")</f>
        <v/>
      </c>
      <c r="I1752" s="32">
        <f>IFERROR(VLOOKUP(B1752,汇总!$B$2:$I$2921,8,FALSE),"")</f>
        <v>0</v>
      </c>
      <c r="J1752" s="34" t="s">
        <v>1700</v>
      </c>
      <c r="K1752" s="34" t="s">
        <v>12</v>
      </c>
    </row>
    <row r="1753" ht="33.75" spans="1:11">
      <c r="A1753" s="34">
        <v>1752</v>
      </c>
      <c r="B1753" s="29" t="s">
        <v>2086</v>
      </c>
      <c r="C1753" s="29" t="str">
        <f>VLOOKUP(B1753,教育部大学名单!$B$1:$D$2920,3,FALSE)</f>
        <v>安徽省</v>
      </c>
      <c r="D1753" s="29" t="s">
        <v>502</v>
      </c>
      <c r="E1753" s="29" t="s">
        <v>503</v>
      </c>
      <c r="F1753" s="36" t="str">
        <f>IFERROR(VLOOKUP(B1753,'985'!$B$2:$D$40,3,FALSE),"")</f>
        <v/>
      </c>
      <c r="G1753" s="32" t="str">
        <f>IFERROR(VLOOKUP(B1753,'211'!$B$2:$D$116,3,FALSE),"")</f>
        <v/>
      </c>
      <c r="H1753" s="32" t="str">
        <f>IFERROR(VLOOKUP(B1753,双一流!$B$2:$D$148,3,FALSE),"")</f>
        <v/>
      </c>
      <c r="I1753" s="32" t="str">
        <f>IFERROR(VLOOKUP(B1753,汇总!$B$2:$I$2921,8,FALSE),"")</f>
        <v>综合</v>
      </c>
      <c r="J1753" s="29" t="s">
        <v>1700</v>
      </c>
      <c r="K1753" s="29" t="s">
        <v>12</v>
      </c>
    </row>
    <row r="1754" ht="33.75" spans="1:11">
      <c r="A1754" s="29">
        <v>1753</v>
      </c>
      <c r="B1754" s="34" t="s">
        <v>2087</v>
      </c>
      <c r="C1754" s="29" t="str">
        <f>VLOOKUP(B1754,教育部大学名单!$B$1:$D$2920,3,FALSE)</f>
        <v>安徽省</v>
      </c>
      <c r="D1754" s="34" t="s">
        <v>502</v>
      </c>
      <c r="E1754" s="34" t="s">
        <v>511</v>
      </c>
      <c r="F1754" s="36" t="str">
        <f>IFERROR(VLOOKUP(B1754,'985'!$B$2:$D$40,3,FALSE),"")</f>
        <v/>
      </c>
      <c r="G1754" s="32" t="str">
        <f>IFERROR(VLOOKUP(B1754,'211'!$B$2:$D$116,3,FALSE),"")</f>
        <v/>
      </c>
      <c r="H1754" s="32" t="str">
        <f>IFERROR(VLOOKUP(B1754,双一流!$B$2:$D$148,3,FALSE),"")</f>
        <v/>
      </c>
      <c r="I1754" s="32" t="str">
        <f>IFERROR(VLOOKUP(B1754,汇总!$B$2:$I$2921,8,FALSE),"")</f>
        <v>理工</v>
      </c>
      <c r="J1754" s="34" t="s">
        <v>1700</v>
      </c>
      <c r="K1754" s="34" t="s">
        <v>12</v>
      </c>
    </row>
    <row r="1755" ht="33.75" spans="1:11">
      <c r="A1755" s="34">
        <v>1754</v>
      </c>
      <c r="B1755" s="29" t="s">
        <v>2088</v>
      </c>
      <c r="C1755" s="29" t="str">
        <f>VLOOKUP(B1755,教育部大学名单!$B$1:$D$2920,3,FALSE)</f>
        <v>安徽省</v>
      </c>
      <c r="D1755" s="29" t="s">
        <v>502</v>
      </c>
      <c r="E1755" s="29" t="s">
        <v>503</v>
      </c>
      <c r="F1755" s="36" t="str">
        <f>IFERROR(VLOOKUP(B1755,'985'!$B$2:$D$40,3,FALSE),"")</f>
        <v/>
      </c>
      <c r="G1755" s="32" t="str">
        <f>IFERROR(VLOOKUP(B1755,'211'!$B$2:$D$116,3,FALSE),"")</f>
        <v/>
      </c>
      <c r="H1755" s="32" t="str">
        <f>IFERROR(VLOOKUP(B1755,双一流!$B$2:$D$148,3,FALSE),"")</f>
        <v/>
      </c>
      <c r="I1755" s="32" t="str">
        <f>IFERROR(VLOOKUP(B1755,汇总!$B$2:$I$2921,8,FALSE),"")</f>
        <v>财经</v>
      </c>
      <c r="J1755" s="29" t="s">
        <v>1700</v>
      </c>
      <c r="K1755" s="29" t="s">
        <v>12</v>
      </c>
    </row>
    <row r="1756" ht="33.75" spans="1:11">
      <c r="A1756" s="29">
        <v>1755</v>
      </c>
      <c r="B1756" s="34" t="s">
        <v>2089</v>
      </c>
      <c r="C1756" s="29" t="str">
        <f>VLOOKUP(B1756,教育部大学名单!$B$1:$D$2920,3,FALSE)</f>
        <v>安徽省</v>
      </c>
      <c r="D1756" s="34" t="s">
        <v>502</v>
      </c>
      <c r="E1756" s="34" t="s">
        <v>503</v>
      </c>
      <c r="F1756" s="36" t="str">
        <f>IFERROR(VLOOKUP(B1756,'985'!$B$2:$D$40,3,FALSE),"")</f>
        <v/>
      </c>
      <c r="G1756" s="32" t="str">
        <f>IFERROR(VLOOKUP(B1756,'211'!$B$2:$D$116,3,FALSE),"")</f>
        <v/>
      </c>
      <c r="H1756" s="32" t="str">
        <f>IFERROR(VLOOKUP(B1756,双一流!$B$2:$D$148,3,FALSE),"")</f>
        <v/>
      </c>
      <c r="I1756" s="32" t="str">
        <f>IFERROR(VLOOKUP(B1756,汇总!$B$2:$I$2921,8,FALSE),"")</f>
        <v>综合</v>
      </c>
      <c r="J1756" s="34" t="s">
        <v>1700</v>
      </c>
      <c r="K1756" s="34" t="s">
        <v>12</v>
      </c>
    </row>
    <row r="1757" ht="33.75" spans="1:11">
      <c r="A1757" s="34">
        <v>1756</v>
      </c>
      <c r="B1757" s="29" t="s">
        <v>2090</v>
      </c>
      <c r="C1757" s="29" t="str">
        <f>VLOOKUP(B1757,教育部大学名单!$B$1:$D$2920,3,FALSE)</f>
        <v>安徽省</v>
      </c>
      <c r="D1757" s="29" t="s">
        <v>502</v>
      </c>
      <c r="E1757" s="29" t="s">
        <v>545</v>
      </c>
      <c r="F1757" s="36" t="str">
        <f>IFERROR(VLOOKUP(B1757,'985'!$B$2:$D$40,3,FALSE),"")</f>
        <v/>
      </c>
      <c r="G1757" s="32" t="str">
        <f>IFERROR(VLOOKUP(B1757,'211'!$B$2:$D$116,3,FALSE),"")</f>
        <v/>
      </c>
      <c r="H1757" s="32" t="str">
        <f>IFERROR(VLOOKUP(B1757,双一流!$B$2:$D$148,3,FALSE),"")</f>
        <v/>
      </c>
      <c r="I1757" s="32" t="str">
        <f>IFERROR(VLOOKUP(B1757,汇总!$B$2:$I$2921,8,FALSE),"")</f>
        <v>理工</v>
      </c>
      <c r="J1757" s="29" t="s">
        <v>1700</v>
      </c>
      <c r="K1757" s="29" t="s">
        <v>12</v>
      </c>
    </row>
    <row r="1758" ht="33.75" spans="1:11">
      <c r="A1758" s="29">
        <v>1757</v>
      </c>
      <c r="B1758" s="34" t="s">
        <v>2091</v>
      </c>
      <c r="C1758" s="29" t="str">
        <f>VLOOKUP(B1758,教育部大学名单!$B$1:$D$2920,3,FALSE)</f>
        <v>安徽省</v>
      </c>
      <c r="D1758" s="34" t="s">
        <v>502</v>
      </c>
      <c r="E1758" s="34" t="s">
        <v>528</v>
      </c>
      <c r="F1758" s="36" t="str">
        <f>IFERROR(VLOOKUP(B1758,'985'!$B$2:$D$40,3,FALSE),"")</f>
        <v/>
      </c>
      <c r="G1758" s="32" t="str">
        <f>IFERROR(VLOOKUP(B1758,'211'!$B$2:$D$116,3,FALSE),"")</f>
        <v/>
      </c>
      <c r="H1758" s="32" t="str">
        <f>IFERROR(VLOOKUP(B1758,双一流!$B$2:$D$148,3,FALSE),"")</f>
        <v/>
      </c>
      <c r="I1758" s="32" t="str">
        <f>IFERROR(VLOOKUP(B1758,汇总!$B$2:$I$2921,8,FALSE),"")</f>
        <v>理工</v>
      </c>
      <c r="J1758" s="34" t="s">
        <v>1700</v>
      </c>
      <c r="K1758" s="34" t="s">
        <v>12</v>
      </c>
    </row>
    <row r="1759" ht="33.75" spans="1:11">
      <c r="A1759" s="34">
        <v>1758</v>
      </c>
      <c r="B1759" s="29" t="s">
        <v>2092</v>
      </c>
      <c r="C1759" s="29" t="str">
        <f>VLOOKUP(B1759,教育部大学名单!$B$1:$D$2920,3,FALSE)</f>
        <v>安徽省</v>
      </c>
      <c r="D1759" s="29" t="s">
        <v>502</v>
      </c>
      <c r="E1759" s="29" t="s">
        <v>522</v>
      </c>
      <c r="F1759" s="36" t="str">
        <f>IFERROR(VLOOKUP(B1759,'985'!$B$2:$D$40,3,FALSE),"")</f>
        <v/>
      </c>
      <c r="G1759" s="32" t="str">
        <f>IFERROR(VLOOKUP(B1759,'211'!$B$2:$D$116,3,FALSE),"")</f>
        <v/>
      </c>
      <c r="H1759" s="32" t="str">
        <f>IFERROR(VLOOKUP(B1759,双一流!$B$2:$D$148,3,FALSE),"")</f>
        <v/>
      </c>
      <c r="I1759" s="32" t="str">
        <f>IFERROR(VLOOKUP(B1759,汇总!$B$2:$I$2921,8,FALSE),"")</f>
        <v>理工</v>
      </c>
      <c r="J1759" s="29" t="s">
        <v>1700</v>
      </c>
      <c r="K1759" s="29" t="s">
        <v>12</v>
      </c>
    </row>
    <row r="1760" ht="33.75" spans="1:11">
      <c r="A1760" s="29">
        <v>1759</v>
      </c>
      <c r="B1760" s="34" t="s">
        <v>2093</v>
      </c>
      <c r="C1760" s="29" t="str">
        <f>VLOOKUP(B1760,教育部大学名单!$B$1:$D$2920,3,FALSE)</f>
        <v>安徽省</v>
      </c>
      <c r="D1760" s="34" t="s">
        <v>502</v>
      </c>
      <c r="E1760" s="34" t="s">
        <v>503</v>
      </c>
      <c r="F1760" s="36" t="str">
        <f>IFERROR(VLOOKUP(B1760,'985'!$B$2:$D$40,3,FALSE),"")</f>
        <v/>
      </c>
      <c r="G1760" s="32" t="str">
        <f>IFERROR(VLOOKUP(B1760,'211'!$B$2:$D$116,3,FALSE),"")</f>
        <v/>
      </c>
      <c r="H1760" s="32" t="str">
        <f>IFERROR(VLOOKUP(B1760,双一流!$B$2:$D$148,3,FALSE),"")</f>
        <v/>
      </c>
      <c r="I1760" s="32" t="str">
        <f>IFERROR(VLOOKUP(B1760,汇总!$B$2:$I$2921,8,FALSE),"")</f>
        <v>艺术</v>
      </c>
      <c r="J1760" s="34" t="s">
        <v>1700</v>
      </c>
      <c r="K1760" s="34" t="s">
        <v>12</v>
      </c>
    </row>
    <row r="1761" ht="50.25" spans="1:11">
      <c r="A1761" s="34">
        <v>1760</v>
      </c>
      <c r="B1761" s="29" t="s">
        <v>2094</v>
      </c>
      <c r="C1761" s="29" t="str">
        <f>VLOOKUP(B1761,教育部大学名单!$B$1:$D$2920,3,FALSE)</f>
        <v>安徽省</v>
      </c>
      <c r="D1761" s="29" t="s">
        <v>502</v>
      </c>
      <c r="E1761" s="29" t="s">
        <v>507</v>
      </c>
      <c r="F1761" s="36" t="str">
        <f>IFERROR(VLOOKUP(B1761,'985'!$B$2:$D$40,3,FALSE),"")</f>
        <v/>
      </c>
      <c r="G1761" s="32" t="str">
        <f>IFERROR(VLOOKUP(B1761,'211'!$B$2:$D$116,3,FALSE),"")</f>
        <v/>
      </c>
      <c r="H1761" s="32" t="str">
        <f>IFERROR(VLOOKUP(B1761,双一流!$B$2:$D$148,3,FALSE),"")</f>
        <v/>
      </c>
      <c r="I1761" s="32" t="str">
        <f>IFERROR(VLOOKUP(B1761,汇总!$B$2:$I$2921,8,FALSE),"")</f>
        <v>师范</v>
      </c>
      <c r="J1761" s="29" t="s">
        <v>1700</v>
      </c>
      <c r="K1761" s="29" t="s">
        <v>12</v>
      </c>
    </row>
    <row r="1762" ht="33.75" spans="1:11">
      <c r="A1762" s="29">
        <v>1761</v>
      </c>
      <c r="B1762" s="34" t="s">
        <v>2095</v>
      </c>
      <c r="C1762" s="29" t="str">
        <f>VLOOKUP(B1762,教育部大学名单!$B$1:$D$2920,3,FALSE)</f>
        <v>安徽省</v>
      </c>
      <c r="D1762" s="34" t="s">
        <v>502</v>
      </c>
      <c r="E1762" s="34" t="s">
        <v>503</v>
      </c>
      <c r="F1762" s="36" t="str">
        <f>IFERROR(VLOOKUP(B1762,'985'!$B$2:$D$40,3,FALSE),"")</f>
        <v/>
      </c>
      <c r="G1762" s="32" t="str">
        <f>IFERROR(VLOOKUP(B1762,'211'!$B$2:$D$116,3,FALSE),"")</f>
        <v/>
      </c>
      <c r="H1762" s="32" t="str">
        <f>IFERROR(VLOOKUP(B1762,双一流!$B$2:$D$148,3,FALSE),"")</f>
        <v/>
      </c>
      <c r="I1762" s="32" t="str">
        <f>IFERROR(VLOOKUP(B1762,汇总!$B$2:$I$2921,8,FALSE),"")</f>
        <v>财经</v>
      </c>
      <c r="J1762" s="34" t="s">
        <v>1700</v>
      </c>
      <c r="K1762" s="34" t="s">
        <v>12</v>
      </c>
    </row>
    <row r="1763" ht="33.75" spans="1:11">
      <c r="A1763" s="34">
        <v>1762</v>
      </c>
      <c r="B1763" s="29" t="s">
        <v>2096</v>
      </c>
      <c r="C1763" s="29" t="str">
        <f>VLOOKUP(B1763,教育部大学名单!$B$1:$D$2920,3,FALSE)</f>
        <v>安徽省</v>
      </c>
      <c r="D1763" s="29" t="s">
        <v>502</v>
      </c>
      <c r="E1763" s="29" t="s">
        <v>503</v>
      </c>
      <c r="F1763" s="36" t="str">
        <f>IFERROR(VLOOKUP(B1763,'985'!$B$2:$D$40,3,FALSE),"")</f>
        <v/>
      </c>
      <c r="G1763" s="32" t="str">
        <f>IFERROR(VLOOKUP(B1763,'211'!$B$2:$D$116,3,FALSE),"")</f>
        <v/>
      </c>
      <c r="H1763" s="32" t="str">
        <f>IFERROR(VLOOKUP(B1763,双一流!$B$2:$D$148,3,FALSE),"")</f>
        <v/>
      </c>
      <c r="I1763" s="32" t="str">
        <f>IFERROR(VLOOKUP(B1763,汇总!$B$2:$I$2921,8,FALSE),"")</f>
        <v>财经</v>
      </c>
      <c r="J1763" s="29" t="s">
        <v>1700</v>
      </c>
      <c r="K1763" s="29" t="s">
        <v>12</v>
      </c>
    </row>
    <row r="1764" ht="33.75" spans="1:11">
      <c r="A1764" s="29">
        <v>1763</v>
      </c>
      <c r="B1764" s="34" t="s">
        <v>2097</v>
      </c>
      <c r="C1764" s="29" t="str">
        <f>VLOOKUP(B1764,教育部大学名单!$B$1:$D$2920,3,FALSE)</f>
        <v>安徽省</v>
      </c>
      <c r="D1764" s="34" t="s">
        <v>502</v>
      </c>
      <c r="E1764" s="34" t="s">
        <v>503</v>
      </c>
      <c r="F1764" s="36" t="str">
        <f>IFERROR(VLOOKUP(B1764,'985'!$B$2:$D$40,3,FALSE),"")</f>
        <v/>
      </c>
      <c r="G1764" s="32" t="str">
        <f>IFERROR(VLOOKUP(B1764,'211'!$B$2:$D$116,3,FALSE),"")</f>
        <v/>
      </c>
      <c r="H1764" s="32" t="str">
        <f>IFERROR(VLOOKUP(B1764,双一流!$B$2:$D$148,3,FALSE),"")</f>
        <v/>
      </c>
      <c r="I1764" s="32" t="str">
        <f>IFERROR(VLOOKUP(B1764,汇总!$B$2:$I$2921,8,FALSE),"")</f>
        <v>政法</v>
      </c>
      <c r="J1764" s="34" t="s">
        <v>1700</v>
      </c>
      <c r="K1764" s="34" t="s">
        <v>12</v>
      </c>
    </row>
    <row r="1765" ht="33.75" spans="1:11">
      <c r="A1765" s="34">
        <v>1764</v>
      </c>
      <c r="B1765" s="29" t="s">
        <v>2098</v>
      </c>
      <c r="C1765" s="29" t="str">
        <f>VLOOKUP(B1765,教育部大学名单!$B$1:$D$2920,3,FALSE)</f>
        <v>安徽省</v>
      </c>
      <c r="D1765" s="29" t="s">
        <v>502</v>
      </c>
      <c r="E1765" s="29" t="s">
        <v>503</v>
      </c>
      <c r="F1765" s="36" t="str">
        <f>IFERROR(VLOOKUP(B1765,'985'!$B$2:$D$40,3,FALSE),"")</f>
        <v/>
      </c>
      <c r="G1765" s="32" t="str">
        <f>IFERROR(VLOOKUP(B1765,'211'!$B$2:$D$116,3,FALSE),"")</f>
        <v/>
      </c>
      <c r="H1765" s="32" t="str">
        <f>IFERROR(VLOOKUP(B1765,双一流!$B$2:$D$148,3,FALSE),"")</f>
        <v/>
      </c>
      <c r="I1765" s="32" t="str">
        <f>IFERROR(VLOOKUP(B1765,汇总!$B$2:$I$2921,8,FALSE),"")</f>
        <v>农林</v>
      </c>
      <c r="J1765" s="29" t="s">
        <v>1700</v>
      </c>
      <c r="K1765" s="29" t="s">
        <v>12</v>
      </c>
    </row>
    <row r="1766" ht="33.75" spans="1:11">
      <c r="A1766" s="29">
        <v>1765</v>
      </c>
      <c r="B1766" s="34" t="s">
        <v>2099</v>
      </c>
      <c r="C1766" s="29" t="str">
        <f>VLOOKUP(B1766,教育部大学名单!$B$1:$D$2920,3,FALSE)</f>
        <v>安徽省</v>
      </c>
      <c r="D1766" s="34" t="s">
        <v>502</v>
      </c>
      <c r="E1766" s="34" t="s">
        <v>503</v>
      </c>
      <c r="F1766" s="36" t="str">
        <f>IFERROR(VLOOKUP(B1766,'985'!$B$2:$D$40,3,FALSE),"")</f>
        <v/>
      </c>
      <c r="G1766" s="32" t="str">
        <f>IFERROR(VLOOKUP(B1766,'211'!$B$2:$D$116,3,FALSE),"")</f>
        <v/>
      </c>
      <c r="H1766" s="32" t="str">
        <f>IFERROR(VLOOKUP(B1766,双一流!$B$2:$D$148,3,FALSE),"")</f>
        <v/>
      </c>
      <c r="I1766" s="32" t="str">
        <f>IFERROR(VLOOKUP(B1766,汇总!$B$2:$I$2921,8,FALSE),"")</f>
        <v>财经</v>
      </c>
      <c r="J1766" s="34" t="s">
        <v>1700</v>
      </c>
      <c r="K1766" s="34" t="s">
        <v>12</v>
      </c>
    </row>
    <row r="1767" ht="50.25" spans="1:11">
      <c r="A1767" s="34">
        <v>1766</v>
      </c>
      <c r="B1767" s="29" t="s">
        <v>2100</v>
      </c>
      <c r="C1767" s="29" t="str">
        <f>VLOOKUP(B1767,教育部大学名单!$B$1:$D$2920,3,FALSE)</f>
        <v>安徽省</v>
      </c>
      <c r="D1767" s="29" t="s">
        <v>502</v>
      </c>
      <c r="E1767" s="29" t="s">
        <v>503</v>
      </c>
      <c r="F1767" s="36" t="str">
        <f>IFERROR(VLOOKUP(B1767,'985'!$B$2:$D$40,3,FALSE),"")</f>
        <v/>
      </c>
      <c r="G1767" s="32" t="str">
        <f>IFERROR(VLOOKUP(B1767,'211'!$B$2:$D$116,3,FALSE),"")</f>
        <v/>
      </c>
      <c r="H1767" s="32" t="str">
        <f>IFERROR(VLOOKUP(B1767,双一流!$B$2:$D$148,3,FALSE),"")</f>
        <v/>
      </c>
      <c r="I1767" s="32" t="str">
        <f>IFERROR(VLOOKUP(B1767,汇总!$B$2:$I$2921,8,FALSE),"")</f>
        <v>综合</v>
      </c>
      <c r="J1767" s="29" t="s">
        <v>1700</v>
      </c>
      <c r="K1767" s="29" t="s">
        <v>12</v>
      </c>
    </row>
    <row r="1768" ht="33.75" spans="1:11">
      <c r="A1768" s="29">
        <v>1767</v>
      </c>
      <c r="B1768" s="34" t="s">
        <v>2101</v>
      </c>
      <c r="C1768" s="29" t="str">
        <f>VLOOKUP(B1768,教育部大学名单!$B$1:$D$2920,3,FALSE)</f>
        <v>安徽省</v>
      </c>
      <c r="D1768" s="34" t="s">
        <v>502</v>
      </c>
      <c r="E1768" s="34" t="s">
        <v>503</v>
      </c>
      <c r="F1768" s="36" t="str">
        <f>IFERROR(VLOOKUP(B1768,'985'!$B$2:$D$40,3,FALSE),"")</f>
        <v/>
      </c>
      <c r="G1768" s="32" t="str">
        <f>IFERROR(VLOOKUP(B1768,'211'!$B$2:$D$116,3,FALSE),"")</f>
        <v/>
      </c>
      <c r="H1768" s="32" t="str">
        <f>IFERROR(VLOOKUP(B1768,双一流!$B$2:$D$148,3,FALSE),"")</f>
        <v/>
      </c>
      <c r="I1768" s="32" t="str">
        <f>IFERROR(VLOOKUP(B1768,汇总!$B$2:$I$2921,8,FALSE),"")</f>
        <v>理工</v>
      </c>
      <c r="J1768" s="34" t="s">
        <v>1700</v>
      </c>
      <c r="K1768" s="34" t="s">
        <v>12</v>
      </c>
    </row>
    <row r="1769" ht="33.75" spans="1:11">
      <c r="A1769" s="34">
        <v>1768</v>
      </c>
      <c r="B1769" s="29" t="s">
        <v>2102</v>
      </c>
      <c r="C1769" s="29" t="str">
        <f>VLOOKUP(B1769,教育部大学名单!$B$1:$D$2920,3,FALSE)</f>
        <v>安徽省</v>
      </c>
      <c r="D1769" s="29" t="s">
        <v>502</v>
      </c>
      <c r="E1769" s="29" t="s">
        <v>537</v>
      </c>
      <c r="F1769" s="36" t="str">
        <f>IFERROR(VLOOKUP(B1769,'985'!$B$2:$D$40,3,FALSE),"")</f>
        <v/>
      </c>
      <c r="G1769" s="32" t="str">
        <f>IFERROR(VLOOKUP(B1769,'211'!$B$2:$D$116,3,FALSE),"")</f>
        <v/>
      </c>
      <c r="H1769" s="32" t="str">
        <f>IFERROR(VLOOKUP(B1769,双一流!$B$2:$D$148,3,FALSE),"")</f>
        <v/>
      </c>
      <c r="I1769" s="32" t="str">
        <f>IFERROR(VLOOKUP(B1769,汇总!$B$2:$I$2921,8,FALSE),"")</f>
        <v>理工</v>
      </c>
      <c r="J1769" s="29" t="s">
        <v>1700</v>
      </c>
      <c r="K1769" s="29" t="s">
        <v>12</v>
      </c>
    </row>
    <row r="1770" ht="33.75" spans="1:11">
      <c r="A1770" s="29">
        <v>1769</v>
      </c>
      <c r="B1770" s="34" t="s">
        <v>2103</v>
      </c>
      <c r="C1770" s="29" t="str">
        <f>VLOOKUP(B1770,教育部大学名单!$B$1:$D$2920,3,FALSE)</f>
        <v>安徽省</v>
      </c>
      <c r="D1770" s="34" t="s">
        <v>502</v>
      </c>
      <c r="E1770" s="34" t="s">
        <v>522</v>
      </c>
      <c r="F1770" s="36" t="str">
        <f>IFERROR(VLOOKUP(B1770,'985'!$B$2:$D$40,3,FALSE),"")</f>
        <v/>
      </c>
      <c r="G1770" s="32" t="str">
        <f>IFERROR(VLOOKUP(B1770,'211'!$B$2:$D$116,3,FALSE),"")</f>
        <v/>
      </c>
      <c r="H1770" s="32" t="str">
        <f>IFERROR(VLOOKUP(B1770,双一流!$B$2:$D$148,3,FALSE),"")</f>
        <v/>
      </c>
      <c r="I1770" s="32" t="str">
        <f>IFERROR(VLOOKUP(B1770,汇总!$B$2:$I$2921,8,FALSE),"")</f>
        <v>医药</v>
      </c>
      <c r="J1770" s="34" t="s">
        <v>1700</v>
      </c>
      <c r="K1770" s="34" t="s">
        <v>12</v>
      </c>
    </row>
    <row r="1771" ht="33.75" spans="1:11">
      <c r="A1771" s="34">
        <v>1770</v>
      </c>
      <c r="B1771" s="29" t="s">
        <v>2104</v>
      </c>
      <c r="C1771" s="29" t="str">
        <f>VLOOKUP(B1771,教育部大学名单!$B$1:$D$2920,3,FALSE)</f>
        <v>安徽省</v>
      </c>
      <c r="D1771" s="29" t="s">
        <v>502</v>
      </c>
      <c r="E1771" s="29" t="s">
        <v>503</v>
      </c>
      <c r="F1771" s="36" t="str">
        <f>IFERROR(VLOOKUP(B1771,'985'!$B$2:$D$40,3,FALSE),"")</f>
        <v/>
      </c>
      <c r="G1771" s="32" t="str">
        <f>IFERROR(VLOOKUP(B1771,'211'!$B$2:$D$116,3,FALSE),"")</f>
        <v/>
      </c>
      <c r="H1771" s="32" t="str">
        <f>IFERROR(VLOOKUP(B1771,双一流!$B$2:$D$148,3,FALSE),"")</f>
        <v/>
      </c>
      <c r="I1771" s="32" t="str">
        <f>IFERROR(VLOOKUP(B1771,汇总!$B$2:$I$2921,8,FALSE),"")</f>
        <v>财经</v>
      </c>
      <c r="J1771" s="29" t="s">
        <v>1700</v>
      </c>
      <c r="K1771" s="29" t="s">
        <v>12</v>
      </c>
    </row>
    <row r="1772" ht="33.75" spans="1:11">
      <c r="A1772" s="29">
        <v>1771</v>
      </c>
      <c r="B1772" s="34" t="s">
        <v>2105</v>
      </c>
      <c r="C1772" s="29" t="str">
        <f>VLOOKUP(B1772,教育部大学名单!$B$1:$D$2920,3,FALSE)</f>
        <v>安徽省</v>
      </c>
      <c r="D1772" s="34" t="s">
        <v>502</v>
      </c>
      <c r="E1772" s="34" t="s">
        <v>507</v>
      </c>
      <c r="F1772" s="36" t="str">
        <f>IFERROR(VLOOKUP(B1772,'985'!$B$2:$D$40,3,FALSE),"")</f>
        <v/>
      </c>
      <c r="G1772" s="32" t="str">
        <f>IFERROR(VLOOKUP(B1772,'211'!$B$2:$D$116,3,FALSE),"")</f>
        <v/>
      </c>
      <c r="H1772" s="32" t="str">
        <f>IFERROR(VLOOKUP(B1772,双一流!$B$2:$D$148,3,FALSE),"")</f>
        <v/>
      </c>
      <c r="I1772" s="32" t="str">
        <f>IFERROR(VLOOKUP(B1772,汇总!$B$2:$I$2921,8,FALSE),"")</f>
        <v>理工</v>
      </c>
      <c r="J1772" s="34" t="s">
        <v>1700</v>
      </c>
      <c r="K1772" s="34" t="s">
        <v>12</v>
      </c>
    </row>
    <row r="1773" ht="33.75" spans="1:11">
      <c r="A1773" s="34">
        <v>1772</v>
      </c>
      <c r="B1773" s="29" t="s">
        <v>2106</v>
      </c>
      <c r="C1773" s="29" t="str">
        <f>VLOOKUP(B1773,教育部大学名单!$B$1:$D$2920,3,FALSE)</f>
        <v>安徽省</v>
      </c>
      <c r="D1773" s="29" t="s">
        <v>502</v>
      </c>
      <c r="E1773" s="29" t="s">
        <v>522</v>
      </c>
      <c r="F1773" s="36" t="str">
        <f>IFERROR(VLOOKUP(B1773,'985'!$B$2:$D$40,3,FALSE),"")</f>
        <v/>
      </c>
      <c r="G1773" s="32" t="str">
        <f>IFERROR(VLOOKUP(B1773,'211'!$B$2:$D$116,3,FALSE),"")</f>
        <v/>
      </c>
      <c r="H1773" s="32" t="str">
        <f>IFERROR(VLOOKUP(B1773,双一流!$B$2:$D$148,3,FALSE),"")</f>
        <v/>
      </c>
      <c r="I1773" s="32">
        <f>IFERROR(VLOOKUP(B1773,汇总!$B$2:$I$2921,8,FALSE),"")</f>
        <v>0</v>
      </c>
      <c r="J1773" s="29" t="s">
        <v>1700</v>
      </c>
      <c r="K1773" s="29" t="s">
        <v>12</v>
      </c>
    </row>
    <row r="1774" ht="33.75" spans="1:11">
      <c r="A1774" s="29">
        <v>1773</v>
      </c>
      <c r="B1774" s="34" t="s">
        <v>2107</v>
      </c>
      <c r="C1774" s="29" t="str">
        <f>VLOOKUP(B1774,教育部大学名单!$B$1:$D$2920,3,FALSE)</f>
        <v>安徽省</v>
      </c>
      <c r="D1774" s="34" t="s">
        <v>502</v>
      </c>
      <c r="E1774" s="34" t="s">
        <v>526</v>
      </c>
      <c r="F1774" s="36" t="str">
        <f>IFERROR(VLOOKUP(B1774,'985'!$B$2:$D$40,3,FALSE),"")</f>
        <v/>
      </c>
      <c r="G1774" s="32" t="str">
        <f>IFERROR(VLOOKUP(B1774,'211'!$B$2:$D$116,3,FALSE),"")</f>
        <v/>
      </c>
      <c r="H1774" s="32" t="str">
        <f>IFERROR(VLOOKUP(B1774,双一流!$B$2:$D$148,3,FALSE),"")</f>
        <v/>
      </c>
      <c r="I1774" s="32" t="str">
        <f>IFERROR(VLOOKUP(B1774,汇总!$B$2:$I$2921,8,FALSE),"")</f>
        <v>理工</v>
      </c>
      <c r="J1774" s="34" t="s">
        <v>1700</v>
      </c>
      <c r="K1774" s="34" t="s">
        <v>12</v>
      </c>
    </row>
    <row r="1775" ht="33.75" spans="1:11">
      <c r="A1775" s="34">
        <v>1774</v>
      </c>
      <c r="B1775" s="29" t="s">
        <v>2108</v>
      </c>
      <c r="C1775" s="29" t="str">
        <f>VLOOKUP(B1775,教育部大学名单!$B$1:$D$2920,3,FALSE)</f>
        <v>安徽省</v>
      </c>
      <c r="D1775" s="29" t="s">
        <v>502</v>
      </c>
      <c r="E1775" s="29" t="s">
        <v>530</v>
      </c>
      <c r="F1775" s="36" t="str">
        <f>IFERROR(VLOOKUP(B1775,'985'!$B$2:$D$40,3,FALSE),"")</f>
        <v/>
      </c>
      <c r="G1775" s="32" t="str">
        <f>IFERROR(VLOOKUP(B1775,'211'!$B$2:$D$116,3,FALSE),"")</f>
        <v/>
      </c>
      <c r="H1775" s="32" t="str">
        <f>IFERROR(VLOOKUP(B1775,双一流!$B$2:$D$148,3,FALSE),"")</f>
        <v/>
      </c>
      <c r="I1775" s="32" t="str">
        <f>IFERROR(VLOOKUP(B1775,汇总!$B$2:$I$2921,8,FALSE),"")</f>
        <v>综合</v>
      </c>
      <c r="J1775" s="29" t="s">
        <v>1700</v>
      </c>
      <c r="K1775" s="29" t="s">
        <v>12</v>
      </c>
    </row>
    <row r="1776" ht="33.75" spans="1:11">
      <c r="A1776" s="29">
        <v>1775</v>
      </c>
      <c r="B1776" s="34" t="s">
        <v>2109</v>
      </c>
      <c r="C1776" s="29" t="str">
        <f>VLOOKUP(B1776,教育部大学名单!$B$1:$D$2920,3,FALSE)</f>
        <v>安徽省</v>
      </c>
      <c r="D1776" s="34" t="s">
        <v>502</v>
      </c>
      <c r="E1776" s="34" t="s">
        <v>503</v>
      </c>
      <c r="F1776" s="36" t="str">
        <f>IFERROR(VLOOKUP(B1776,'985'!$B$2:$D$40,3,FALSE),"")</f>
        <v/>
      </c>
      <c r="G1776" s="32" t="str">
        <f>IFERROR(VLOOKUP(B1776,'211'!$B$2:$D$116,3,FALSE),"")</f>
        <v/>
      </c>
      <c r="H1776" s="32" t="str">
        <f>IFERROR(VLOOKUP(B1776,双一流!$B$2:$D$148,3,FALSE),"")</f>
        <v/>
      </c>
      <c r="I1776" s="32">
        <f>IFERROR(VLOOKUP(B1776,汇总!$B$2:$I$2921,8,FALSE),"")</f>
        <v>0</v>
      </c>
      <c r="J1776" s="34" t="s">
        <v>1700</v>
      </c>
      <c r="K1776" s="34" t="s">
        <v>12</v>
      </c>
    </row>
    <row r="1777" ht="33.75" spans="1:11">
      <c r="A1777" s="34">
        <v>1776</v>
      </c>
      <c r="B1777" s="29" t="s">
        <v>2110</v>
      </c>
      <c r="C1777" s="29" t="str">
        <f>VLOOKUP(B1777,教育部大学名单!$B$1:$D$2920,3,FALSE)</f>
        <v>安徽省</v>
      </c>
      <c r="D1777" s="29" t="s">
        <v>502</v>
      </c>
      <c r="E1777" s="29" t="s">
        <v>528</v>
      </c>
      <c r="F1777" s="36" t="str">
        <f>IFERROR(VLOOKUP(B1777,'985'!$B$2:$D$40,3,FALSE),"")</f>
        <v/>
      </c>
      <c r="G1777" s="32" t="str">
        <f>IFERROR(VLOOKUP(B1777,'211'!$B$2:$D$116,3,FALSE),"")</f>
        <v/>
      </c>
      <c r="H1777" s="32" t="str">
        <f>IFERROR(VLOOKUP(B1777,双一流!$B$2:$D$148,3,FALSE),"")</f>
        <v/>
      </c>
      <c r="I1777" s="32">
        <f>IFERROR(VLOOKUP(B1777,汇总!$B$2:$I$2921,8,FALSE),"")</f>
        <v>0</v>
      </c>
      <c r="J1777" s="29" t="s">
        <v>1700</v>
      </c>
      <c r="K1777" s="29" t="s">
        <v>12</v>
      </c>
    </row>
    <row r="1778" ht="50.25" spans="1:11">
      <c r="A1778" s="29">
        <v>1777</v>
      </c>
      <c r="B1778" s="34" t="s">
        <v>2111</v>
      </c>
      <c r="C1778" s="29" t="str">
        <f>VLOOKUP(B1778,教育部大学名单!$B$1:$D$2920,3,FALSE)</f>
        <v>安徽省</v>
      </c>
      <c r="D1778" s="34" t="s">
        <v>502</v>
      </c>
      <c r="E1778" s="34" t="s">
        <v>503</v>
      </c>
      <c r="F1778" s="36" t="str">
        <f>IFERROR(VLOOKUP(B1778,'985'!$B$2:$D$40,3,FALSE),"")</f>
        <v/>
      </c>
      <c r="G1778" s="32" t="str">
        <f>IFERROR(VLOOKUP(B1778,'211'!$B$2:$D$116,3,FALSE),"")</f>
        <v/>
      </c>
      <c r="H1778" s="32" t="str">
        <f>IFERROR(VLOOKUP(B1778,双一流!$B$2:$D$148,3,FALSE),"")</f>
        <v/>
      </c>
      <c r="I1778" s="32" t="str">
        <f>IFERROR(VLOOKUP(B1778,汇总!$B$2:$I$2921,8,FALSE),"")</f>
        <v>师范</v>
      </c>
      <c r="J1778" s="34" t="s">
        <v>1700</v>
      </c>
      <c r="K1778" s="34" t="s">
        <v>12</v>
      </c>
    </row>
    <row r="1779" ht="50.25" spans="1:11">
      <c r="A1779" s="34">
        <v>1778</v>
      </c>
      <c r="B1779" s="29" t="s">
        <v>2112</v>
      </c>
      <c r="C1779" s="29" t="str">
        <f>VLOOKUP(B1779,教育部大学名单!$B$1:$D$2920,3,FALSE)</f>
        <v>安徽省</v>
      </c>
      <c r="D1779" s="29" t="s">
        <v>502</v>
      </c>
      <c r="E1779" s="29" t="s">
        <v>522</v>
      </c>
      <c r="F1779" s="36" t="str">
        <f>IFERROR(VLOOKUP(B1779,'985'!$B$2:$D$40,3,FALSE),"")</f>
        <v/>
      </c>
      <c r="G1779" s="32" t="str">
        <f>IFERROR(VLOOKUP(B1779,'211'!$B$2:$D$116,3,FALSE),"")</f>
        <v/>
      </c>
      <c r="H1779" s="32" t="str">
        <f>IFERROR(VLOOKUP(B1779,双一流!$B$2:$D$148,3,FALSE),"")</f>
        <v/>
      </c>
      <c r="I1779" s="32" t="str">
        <f>IFERROR(VLOOKUP(B1779,汇总!$B$2:$I$2921,8,FALSE),"")</f>
        <v>艺术</v>
      </c>
      <c r="J1779" s="29" t="s">
        <v>1700</v>
      </c>
      <c r="K1779" s="29" t="s">
        <v>12</v>
      </c>
    </row>
    <row r="1780" ht="33.75" spans="1:11">
      <c r="A1780" s="29">
        <v>1779</v>
      </c>
      <c r="B1780" s="34" t="s">
        <v>2113</v>
      </c>
      <c r="C1780" s="29" t="str">
        <f>VLOOKUP(B1780,教育部大学名单!$B$1:$D$2920,3,FALSE)</f>
        <v>安徽省</v>
      </c>
      <c r="D1780" s="34" t="s">
        <v>502</v>
      </c>
      <c r="E1780" s="34" t="s">
        <v>503</v>
      </c>
      <c r="F1780" s="36" t="str">
        <f>IFERROR(VLOOKUP(B1780,'985'!$B$2:$D$40,3,FALSE),"")</f>
        <v/>
      </c>
      <c r="G1780" s="32" t="str">
        <f>IFERROR(VLOOKUP(B1780,'211'!$B$2:$D$116,3,FALSE),"")</f>
        <v/>
      </c>
      <c r="H1780" s="32" t="str">
        <f>IFERROR(VLOOKUP(B1780,双一流!$B$2:$D$148,3,FALSE),"")</f>
        <v/>
      </c>
      <c r="I1780" s="32" t="str">
        <f>IFERROR(VLOOKUP(B1780,汇总!$B$2:$I$2921,8,FALSE),"")</f>
        <v>综合</v>
      </c>
      <c r="J1780" s="34" t="s">
        <v>1700</v>
      </c>
      <c r="K1780" s="34" t="s">
        <v>12</v>
      </c>
    </row>
    <row r="1781" ht="33.75" spans="1:11">
      <c r="A1781" s="34">
        <v>1780</v>
      </c>
      <c r="B1781" s="29" t="s">
        <v>2114</v>
      </c>
      <c r="C1781" s="29" t="str">
        <f>VLOOKUP(B1781,教育部大学名单!$B$1:$D$2920,3,FALSE)</f>
        <v>安徽省</v>
      </c>
      <c r="D1781" s="29" t="s">
        <v>502</v>
      </c>
      <c r="E1781" s="29" t="s">
        <v>543</v>
      </c>
      <c r="F1781" s="36" t="str">
        <f>IFERROR(VLOOKUP(B1781,'985'!$B$2:$D$40,3,FALSE),"")</f>
        <v/>
      </c>
      <c r="G1781" s="32" t="str">
        <f>IFERROR(VLOOKUP(B1781,'211'!$B$2:$D$116,3,FALSE),"")</f>
        <v/>
      </c>
      <c r="H1781" s="32" t="str">
        <f>IFERROR(VLOOKUP(B1781,双一流!$B$2:$D$148,3,FALSE),"")</f>
        <v/>
      </c>
      <c r="I1781" s="32">
        <f>IFERROR(VLOOKUP(B1781,汇总!$B$2:$I$2921,8,FALSE),"")</f>
        <v>0</v>
      </c>
      <c r="J1781" s="29" t="s">
        <v>1700</v>
      </c>
      <c r="K1781" s="29" t="s">
        <v>12</v>
      </c>
    </row>
    <row r="1782" ht="33.75" spans="1:11">
      <c r="A1782" s="29">
        <v>1781</v>
      </c>
      <c r="B1782" s="34" t="s">
        <v>2115</v>
      </c>
      <c r="C1782" s="29" t="str">
        <f>VLOOKUP(B1782,教育部大学名单!$B$1:$D$2920,3,FALSE)</f>
        <v>安徽省</v>
      </c>
      <c r="D1782" s="34" t="s">
        <v>502</v>
      </c>
      <c r="E1782" s="34" t="s">
        <v>533</v>
      </c>
      <c r="F1782" s="36" t="str">
        <f>IFERROR(VLOOKUP(B1782,'985'!$B$2:$D$40,3,FALSE),"")</f>
        <v/>
      </c>
      <c r="G1782" s="32" t="str">
        <f>IFERROR(VLOOKUP(B1782,'211'!$B$2:$D$116,3,FALSE),"")</f>
        <v/>
      </c>
      <c r="H1782" s="32" t="str">
        <f>IFERROR(VLOOKUP(B1782,双一流!$B$2:$D$148,3,FALSE),"")</f>
        <v/>
      </c>
      <c r="I1782" s="32">
        <f>IFERROR(VLOOKUP(B1782,汇总!$B$2:$I$2921,8,FALSE),"")</f>
        <v>0</v>
      </c>
      <c r="J1782" s="34" t="s">
        <v>1700</v>
      </c>
      <c r="K1782" s="34" t="s">
        <v>12</v>
      </c>
    </row>
    <row r="1783" ht="50.25" spans="1:11">
      <c r="A1783" s="34">
        <v>1782</v>
      </c>
      <c r="B1783" s="29" t="s">
        <v>2116</v>
      </c>
      <c r="C1783" s="29" t="str">
        <f>VLOOKUP(B1783,教育部大学名单!$B$1:$D$2920,3,FALSE)</f>
        <v>安徽省</v>
      </c>
      <c r="D1783" s="29" t="s">
        <v>502</v>
      </c>
      <c r="E1783" s="29" t="s">
        <v>520</v>
      </c>
      <c r="F1783" s="36" t="str">
        <f>IFERROR(VLOOKUP(B1783,'985'!$B$2:$D$40,3,FALSE),"")</f>
        <v/>
      </c>
      <c r="G1783" s="32" t="str">
        <f>IFERROR(VLOOKUP(B1783,'211'!$B$2:$D$116,3,FALSE),"")</f>
        <v/>
      </c>
      <c r="H1783" s="32" t="str">
        <f>IFERROR(VLOOKUP(B1783,双一流!$B$2:$D$148,3,FALSE),"")</f>
        <v/>
      </c>
      <c r="I1783" s="32" t="str">
        <f>IFERROR(VLOOKUP(B1783,汇总!$B$2:$I$2921,8,FALSE),"")</f>
        <v>师范</v>
      </c>
      <c r="J1783" s="29" t="s">
        <v>1700</v>
      </c>
      <c r="K1783" s="29" t="s">
        <v>12</v>
      </c>
    </row>
    <row r="1784" ht="33.75" spans="1:11">
      <c r="A1784" s="29">
        <v>1783</v>
      </c>
      <c r="B1784" s="34" t="s">
        <v>2117</v>
      </c>
      <c r="C1784" s="29" t="str">
        <f>VLOOKUP(B1784,教育部大学名单!$B$1:$D$2920,3,FALSE)</f>
        <v>福建省</v>
      </c>
      <c r="D1784" s="34" t="s">
        <v>553</v>
      </c>
      <c r="E1784" s="34" t="s">
        <v>558</v>
      </c>
      <c r="F1784" s="36" t="str">
        <f>IFERROR(VLOOKUP(B1784,'985'!$B$2:$D$40,3,FALSE),"")</f>
        <v/>
      </c>
      <c r="G1784" s="32" t="str">
        <f>IFERROR(VLOOKUP(B1784,'211'!$B$2:$D$116,3,FALSE),"")</f>
        <v/>
      </c>
      <c r="H1784" s="32" t="str">
        <f>IFERROR(VLOOKUP(B1784,双一流!$B$2:$D$148,3,FALSE),"")</f>
        <v/>
      </c>
      <c r="I1784" s="32" t="str">
        <f>IFERROR(VLOOKUP(B1784,汇总!$B$2:$I$2921,8,FALSE),"")</f>
        <v>理工</v>
      </c>
      <c r="J1784" s="34" t="s">
        <v>1700</v>
      </c>
      <c r="K1784" s="34" t="s">
        <v>12</v>
      </c>
    </row>
    <row r="1785" ht="33.75" spans="1:11">
      <c r="A1785" s="34">
        <v>1784</v>
      </c>
      <c r="B1785" s="29" t="s">
        <v>2118</v>
      </c>
      <c r="C1785" s="29" t="str">
        <f>VLOOKUP(B1785,教育部大学名单!$B$1:$D$2920,3,FALSE)</f>
        <v>福建省</v>
      </c>
      <c r="D1785" s="29" t="s">
        <v>553</v>
      </c>
      <c r="E1785" s="29" t="s">
        <v>572</v>
      </c>
      <c r="F1785" s="36" t="str">
        <f>IFERROR(VLOOKUP(B1785,'985'!$B$2:$D$40,3,FALSE),"")</f>
        <v/>
      </c>
      <c r="G1785" s="32" t="str">
        <f>IFERROR(VLOOKUP(B1785,'211'!$B$2:$D$116,3,FALSE),"")</f>
        <v/>
      </c>
      <c r="H1785" s="32" t="str">
        <f>IFERROR(VLOOKUP(B1785,双一流!$B$2:$D$148,3,FALSE),"")</f>
        <v/>
      </c>
      <c r="I1785" s="32" t="str">
        <f>IFERROR(VLOOKUP(B1785,汇总!$B$2:$I$2921,8,FALSE),"")</f>
        <v>综合</v>
      </c>
      <c r="J1785" s="29" t="s">
        <v>1700</v>
      </c>
      <c r="K1785" s="29" t="s">
        <v>12</v>
      </c>
    </row>
    <row r="1786" ht="33.75" spans="1:11">
      <c r="A1786" s="29">
        <v>1785</v>
      </c>
      <c r="B1786" s="34" t="s">
        <v>2119</v>
      </c>
      <c r="C1786" s="29" t="str">
        <f>VLOOKUP(B1786,教育部大学名单!$B$1:$D$2920,3,FALSE)</f>
        <v>福建省</v>
      </c>
      <c r="D1786" s="34" t="s">
        <v>553</v>
      </c>
      <c r="E1786" s="34" t="s">
        <v>577</v>
      </c>
      <c r="F1786" s="36" t="str">
        <f>IFERROR(VLOOKUP(B1786,'985'!$B$2:$D$40,3,FALSE),"")</f>
        <v/>
      </c>
      <c r="G1786" s="32" t="str">
        <f>IFERROR(VLOOKUP(B1786,'211'!$B$2:$D$116,3,FALSE),"")</f>
        <v/>
      </c>
      <c r="H1786" s="32" t="str">
        <f>IFERROR(VLOOKUP(B1786,双一流!$B$2:$D$148,3,FALSE),"")</f>
        <v/>
      </c>
      <c r="I1786" s="32" t="str">
        <f>IFERROR(VLOOKUP(B1786,汇总!$B$2:$I$2921,8,FALSE),"")</f>
        <v>综合</v>
      </c>
      <c r="J1786" s="34" t="s">
        <v>1700</v>
      </c>
      <c r="K1786" s="34" t="s">
        <v>12</v>
      </c>
    </row>
    <row r="1787" ht="33.75" spans="1:11">
      <c r="A1787" s="34">
        <v>1786</v>
      </c>
      <c r="B1787" s="29" t="s">
        <v>2120</v>
      </c>
      <c r="C1787" s="29" t="str">
        <f>VLOOKUP(B1787,教育部大学名单!$B$1:$D$2920,3,FALSE)</f>
        <v>福建省</v>
      </c>
      <c r="D1787" s="29" t="s">
        <v>553</v>
      </c>
      <c r="E1787" s="29" t="s">
        <v>558</v>
      </c>
      <c r="F1787" s="36" t="str">
        <f>IFERROR(VLOOKUP(B1787,'985'!$B$2:$D$40,3,FALSE),"")</f>
        <v/>
      </c>
      <c r="G1787" s="32" t="str">
        <f>IFERROR(VLOOKUP(B1787,'211'!$B$2:$D$116,3,FALSE),"")</f>
        <v/>
      </c>
      <c r="H1787" s="32" t="str">
        <f>IFERROR(VLOOKUP(B1787,双一流!$B$2:$D$148,3,FALSE),"")</f>
        <v/>
      </c>
      <c r="I1787" s="32" t="str">
        <f>IFERROR(VLOOKUP(B1787,汇总!$B$2:$I$2921,8,FALSE),"")</f>
        <v>综合</v>
      </c>
      <c r="J1787" s="29" t="s">
        <v>1700</v>
      </c>
      <c r="K1787" s="29" t="s">
        <v>12</v>
      </c>
    </row>
    <row r="1788" ht="33.75" spans="1:11">
      <c r="A1788" s="29">
        <v>1787</v>
      </c>
      <c r="B1788" s="34" t="s">
        <v>2121</v>
      </c>
      <c r="C1788" s="29" t="str">
        <f>VLOOKUP(B1788,教育部大学名单!$B$1:$D$2920,3,FALSE)</f>
        <v>福建省</v>
      </c>
      <c r="D1788" s="34" t="s">
        <v>553</v>
      </c>
      <c r="E1788" s="34" t="s">
        <v>567</v>
      </c>
      <c r="F1788" s="36" t="str">
        <f>IFERROR(VLOOKUP(B1788,'985'!$B$2:$D$40,3,FALSE),"")</f>
        <v/>
      </c>
      <c r="G1788" s="32" t="str">
        <f>IFERROR(VLOOKUP(B1788,'211'!$B$2:$D$116,3,FALSE),"")</f>
        <v/>
      </c>
      <c r="H1788" s="32" t="str">
        <f>IFERROR(VLOOKUP(B1788,双一流!$B$2:$D$148,3,FALSE),"")</f>
        <v/>
      </c>
      <c r="I1788" s="32" t="str">
        <f>IFERROR(VLOOKUP(B1788,汇总!$B$2:$I$2921,8,FALSE),"")</f>
        <v>农林</v>
      </c>
      <c r="J1788" s="34" t="s">
        <v>1700</v>
      </c>
      <c r="K1788" s="34" t="s">
        <v>12</v>
      </c>
    </row>
    <row r="1789" ht="33.75" spans="1:11">
      <c r="A1789" s="34">
        <v>1788</v>
      </c>
      <c r="B1789" s="29" t="s">
        <v>2122</v>
      </c>
      <c r="C1789" s="29" t="str">
        <f>VLOOKUP(B1789,教育部大学名单!$B$1:$D$2920,3,FALSE)</f>
        <v>福建省</v>
      </c>
      <c r="D1789" s="29" t="s">
        <v>553</v>
      </c>
      <c r="E1789" s="29" t="s">
        <v>558</v>
      </c>
      <c r="F1789" s="36" t="str">
        <f>IFERROR(VLOOKUP(B1789,'985'!$B$2:$D$40,3,FALSE),"")</f>
        <v/>
      </c>
      <c r="G1789" s="32" t="str">
        <f>IFERROR(VLOOKUP(B1789,'211'!$B$2:$D$116,3,FALSE),"")</f>
        <v/>
      </c>
      <c r="H1789" s="32" t="str">
        <f>IFERROR(VLOOKUP(B1789,双一流!$B$2:$D$148,3,FALSE),"")</f>
        <v/>
      </c>
      <c r="I1789" s="32" t="str">
        <f>IFERROR(VLOOKUP(B1789,汇总!$B$2:$I$2921,8,FALSE),"")</f>
        <v>理工</v>
      </c>
      <c r="J1789" s="29" t="s">
        <v>1700</v>
      </c>
      <c r="K1789" s="29" t="s">
        <v>12</v>
      </c>
    </row>
    <row r="1790" ht="50.25" spans="1:11">
      <c r="A1790" s="29">
        <v>1789</v>
      </c>
      <c r="B1790" s="34" t="s">
        <v>2123</v>
      </c>
      <c r="C1790" s="29" t="str">
        <f>VLOOKUP(B1790,教育部大学名单!$B$1:$D$2920,3,FALSE)</f>
        <v>福建省</v>
      </c>
      <c r="D1790" s="34" t="s">
        <v>553</v>
      </c>
      <c r="E1790" s="34" t="s">
        <v>575</v>
      </c>
      <c r="F1790" s="36" t="str">
        <f>IFERROR(VLOOKUP(B1790,'985'!$B$2:$D$40,3,FALSE),"")</f>
        <v/>
      </c>
      <c r="G1790" s="32" t="str">
        <f>IFERROR(VLOOKUP(B1790,'211'!$B$2:$D$116,3,FALSE),"")</f>
        <v/>
      </c>
      <c r="H1790" s="32" t="str">
        <f>IFERROR(VLOOKUP(B1790,双一流!$B$2:$D$148,3,FALSE),"")</f>
        <v/>
      </c>
      <c r="I1790" s="32" t="str">
        <f>IFERROR(VLOOKUP(B1790,汇总!$B$2:$I$2921,8,FALSE),"")</f>
        <v>理工</v>
      </c>
      <c r="J1790" s="34" t="s">
        <v>1700</v>
      </c>
      <c r="K1790" s="34" t="s">
        <v>12</v>
      </c>
    </row>
    <row r="1791" ht="33.75" spans="1:11">
      <c r="A1791" s="34">
        <v>1790</v>
      </c>
      <c r="B1791" s="29" t="s">
        <v>2124</v>
      </c>
      <c r="C1791" s="29" t="str">
        <f>VLOOKUP(B1791,教育部大学名单!$B$1:$D$2920,3,FALSE)</f>
        <v>福建省</v>
      </c>
      <c r="D1791" s="29" t="s">
        <v>553</v>
      </c>
      <c r="E1791" s="29" t="s">
        <v>556</v>
      </c>
      <c r="F1791" s="36" t="str">
        <f>IFERROR(VLOOKUP(B1791,'985'!$B$2:$D$40,3,FALSE),"")</f>
        <v/>
      </c>
      <c r="G1791" s="32" t="str">
        <f>IFERROR(VLOOKUP(B1791,'211'!$B$2:$D$116,3,FALSE),"")</f>
        <v/>
      </c>
      <c r="H1791" s="32" t="str">
        <f>IFERROR(VLOOKUP(B1791,双一流!$B$2:$D$148,3,FALSE),"")</f>
        <v/>
      </c>
      <c r="I1791" s="32" t="str">
        <f>IFERROR(VLOOKUP(B1791,汇总!$B$2:$I$2921,8,FALSE),"")</f>
        <v>理工</v>
      </c>
      <c r="J1791" s="29" t="s">
        <v>1700</v>
      </c>
      <c r="K1791" s="29" t="s">
        <v>12</v>
      </c>
    </row>
    <row r="1792" ht="33.75" spans="1:11">
      <c r="A1792" s="29">
        <v>1791</v>
      </c>
      <c r="B1792" s="34" t="s">
        <v>2125</v>
      </c>
      <c r="C1792" s="29" t="str">
        <f>VLOOKUP(B1792,教育部大学名单!$B$1:$D$2920,3,FALSE)</f>
        <v>福建省</v>
      </c>
      <c r="D1792" s="34" t="s">
        <v>553</v>
      </c>
      <c r="E1792" s="34" t="s">
        <v>554</v>
      </c>
      <c r="F1792" s="36" t="str">
        <f>IFERROR(VLOOKUP(B1792,'985'!$B$2:$D$40,3,FALSE),"")</f>
        <v/>
      </c>
      <c r="G1792" s="32" t="str">
        <f>IFERROR(VLOOKUP(B1792,'211'!$B$2:$D$116,3,FALSE),"")</f>
        <v/>
      </c>
      <c r="H1792" s="32" t="str">
        <f>IFERROR(VLOOKUP(B1792,双一流!$B$2:$D$148,3,FALSE),"")</f>
        <v/>
      </c>
      <c r="I1792" s="32" t="str">
        <f>IFERROR(VLOOKUP(B1792,汇总!$B$2:$I$2921,8,FALSE),"")</f>
        <v>综合</v>
      </c>
      <c r="J1792" s="34" t="s">
        <v>1700</v>
      </c>
      <c r="K1792" s="34" t="s">
        <v>12</v>
      </c>
    </row>
    <row r="1793" ht="33.75" spans="1:11">
      <c r="A1793" s="34">
        <v>1792</v>
      </c>
      <c r="B1793" s="29" t="s">
        <v>2126</v>
      </c>
      <c r="C1793" s="29" t="str">
        <f>VLOOKUP(B1793,教育部大学名单!$B$1:$D$2920,3,FALSE)</f>
        <v>福建省</v>
      </c>
      <c r="D1793" s="29" t="s">
        <v>553</v>
      </c>
      <c r="E1793" s="29" t="s">
        <v>558</v>
      </c>
      <c r="F1793" s="36" t="str">
        <f>IFERROR(VLOOKUP(B1793,'985'!$B$2:$D$40,3,FALSE),"")</f>
        <v/>
      </c>
      <c r="G1793" s="32" t="str">
        <f>IFERROR(VLOOKUP(B1793,'211'!$B$2:$D$116,3,FALSE),"")</f>
        <v/>
      </c>
      <c r="H1793" s="32" t="str">
        <f>IFERROR(VLOOKUP(B1793,双一流!$B$2:$D$148,3,FALSE),"")</f>
        <v/>
      </c>
      <c r="I1793" s="32" t="str">
        <f>IFERROR(VLOOKUP(B1793,汇总!$B$2:$I$2921,8,FALSE),"")</f>
        <v>农林</v>
      </c>
      <c r="J1793" s="29" t="s">
        <v>1700</v>
      </c>
      <c r="K1793" s="29" t="s">
        <v>12</v>
      </c>
    </row>
    <row r="1794" ht="33.75" spans="1:11">
      <c r="A1794" s="29">
        <v>1793</v>
      </c>
      <c r="B1794" s="34" t="s">
        <v>2127</v>
      </c>
      <c r="C1794" s="29" t="str">
        <f>VLOOKUP(B1794,教育部大学名单!$B$1:$D$2920,3,FALSE)</f>
        <v>福建省</v>
      </c>
      <c r="D1794" s="34" t="s">
        <v>553</v>
      </c>
      <c r="E1794" s="34" t="s">
        <v>558</v>
      </c>
      <c r="F1794" s="36" t="str">
        <f>IFERROR(VLOOKUP(B1794,'985'!$B$2:$D$40,3,FALSE),"")</f>
        <v/>
      </c>
      <c r="G1794" s="32" t="str">
        <f>IFERROR(VLOOKUP(B1794,'211'!$B$2:$D$116,3,FALSE),"")</f>
        <v/>
      </c>
      <c r="H1794" s="32" t="str">
        <f>IFERROR(VLOOKUP(B1794,双一流!$B$2:$D$148,3,FALSE),"")</f>
        <v/>
      </c>
      <c r="I1794" s="32" t="str">
        <f>IFERROR(VLOOKUP(B1794,汇总!$B$2:$I$2921,8,FALSE),"")</f>
        <v>医药</v>
      </c>
      <c r="J1794" s="34" t="s">
        <v>1700</v>
      </c>
      <c r="K1794" s="34" t="s">
        <v>12</v>
      </c>
    </row>
    <row r="1795" ht="33.75" spans="1:11">
      <c r="A1795" s="34">
        <v>1794</v>
      </c>
      <c r="B1795" s="29" t="s">
        <v>2128</v>
      </c>
      <c r="C1795" s="29" t="str">
        <f>VLOOKUP(B1795,教育部大学名单!$B$1:$D$2920,3,FALSE)</f>
        <v>福建省</v>
      </c>
      <c r="D1795" s="29" t="s">
        <v>553</v>
      </c>
      <c r="E1795" s="29" t="s">
        <v>556</v>
      </c>
      <c r="F1795" s="36" t="str">
        <f>IFERROR(VLOOKUP(B1795,'985'!$B$2:$D$40,3,FALSE),"")</f>
        <v/>
      </c>
      <c r="G1795" s="32" t="str">
        <f>IFERROR(VLOOKUP(B1795,'211'!$B$2:$D$116,3,FALSE),"")</f>
        <v/>
      </c>
      <c r="H1795" s="32" t="str">
        <f>IFERROR(VLOOKUP(B1795,双一流!$B$2:$D$148,3,FALSE),"")</f>
        <v/>
      </c>
      <c r="I1795" s="32" t="str">
        <f>IFERROR(VLOOKUP(B1795,汇总!$B$2:$I$2921,8,FALSE),"")</f>
        <v>医药</v>
      </c>
      <c r="J1795" s="29" t="s">
        <v>1700</v>
      </c>
      <c r="K1795" s="29" t="s">
        <v>12</v>
      </c>
    </row>
    <row r="1796" ht="33.75" spans="1:11">
      <c r="A1796" s="29">
        <v>1795</v>
      </c>
      <c r="B1796" s="34" t="s">
        <v>2129</v>
      </c>
      <c r="C1796" s="29" t="str">
        <f>VLOOKUP(B1796,教育部大学名单!$B$1:$D$2920,3,FALSE)</f>
        <v>福建省</v>
      </c>
      <c r="D1796" s="34" t="s">
        <v>553</v>
      </c>
      <c r="E1796" s="34" t="s">
        <v>567</v>
      </c>
      <c r="F1796" s="36" t="str">
        <f>IFERROR(VLOOKUP(B1796,'985'!$B$2:$D$40,3,FALSE),"")</f>
        <v/>
      </c>
      <c r="G1796" s="32" t="str">
        <f>IFERROR(VLOOKUP(B1796,'211'!$B$2:$D$116,3,FALSE),"")</f>
        <v/>
      </c>
      <c r="H1796" s="32" t="str">
        <f>IFERROR(VLOOKUP(B1796,双一流!$B$2:$D$148,3,FALSE),"")</f>
        <v/>
      </c>
      <c r="I1796" s="32" t="str">
        <f>IFERROR(VLOOKUP(B1796,汇总!$B$2:$I$2921,8,FALSE),"")</f>
        <v>综合</v>
      </c>
      <c r="J1796" s="34" t="s">
        <v>1700</v>
      </c>
      <c r="K1796" s="34" t="s">
        <v>12</v>
      </c>
    </row>
    <row r="1797" ht="33.75" spans="1:11">
      <c r="A1797" s="34">
        <v>1796</v>
      </c>
      <c r="B1797" s="29" t="s">
        <v>2130</v>
      </c>
      <c r="C1797" s="29" t="str">
        <f>VLOOKUP(B1797,教育部大学名单!$B$1:$D$2920,3,FALSE)</f>
        <v>福建省</v>
      </c>
      <c r="D1797" s="29" t="s">
        <v>553</v>
      </c>
      <c r="E1797" s="29" t="s">
        <v>556</v>
      </c>
      <c r="F1797" s="36" t="str">
        <f>IFERROR(VLOOKUP(B1797,'985'!$B$2:$D$40,3,FALSE),"")</f>
        <v/>
      </c>
      <c r="G1797" s="32" t="str">
        <f>IFERROR(VLOOKUP(B1797,'211'!$B$2:$D$116,3,FALSE),"")</f>
        <v/>
      </c>
      <c r="H1797" s="32" t="str">
        <f>IFERROR(VLOOKUP(B1797,双一流!$B$2:$D$148,3,FALSE),"")</f>
        <v/>
      </c>
      <c r="I1797" s="32" t="str">
        <f>IFERROR(VLOOKUP(B1797,汇总!$B$2:$I$2921,8,FALSE),"")</f>
        <v>财经</v>
      </c>
      <c r="J1797" s="29" t="s">
        <v>1700</v>
      </c>
      <c r="K1797" s="29" t="s">
        <v>12</v>
      </c>
    </row>
    <row r="1798" ht="33.75" spans="1:11">
      <c r="A1798" s="29">
        <v>1797</v>
      </c>
      <c r="B1798" s="34" t="s">
        <v>2131</v>
      </c>
      <c r="C1798" s="29" t="str">
        <f>VLOOKUP(B1798,教育部大学名单!$B$1:$D$2920,3,FALSE)</f>
        <v>福建省</v>
      </c>
      <c r="D1798" s="34" t="s">
        <v>553</v>
      </c>
      <c r="E1798" s="34" t="s">
        <v>581</v>
      </c>
      <c r="F1798" s="36" t="str">
        <f>IFERROR(VLOOKUP(B1798,'985'!$B$2:$D$40,3,FALSE),"")</f>
        <v/>
      </c>
      <c r="G1798" s="32" t="str">
        <f>IFERROR(VLOOKUP(B1798,'211'!$B$2:$D$116,3,FALSE),"")</f>
        <v/>
      </c>
      <c r="H1798" s="32" t="str">
        <f>IFERROR(VLOOKUP(B1798,双一流!$B$2:$D$148,3,FALSE),"")</f>
        <v/>
      </c>
      <c r="I1798" s="32" t="str">
        <f>IFERROR(VLOOKUP(B1798,汇总!$B$2:$I$2921,8,FALSE),"")</f>
        <v>理工</v>
      </c>
      <c r="J1798" s="34" t="s">
        <v>1700</v>
      </c>
      <c r="K1798" s="34" t="s">
        <v>12</v>
      </c>
    </row>
    <row r="1799" ht="50.25" spans="1:11">
      <c r="A1799" s="34">
        <v>1798</v>
      </c>
      <c r="B1799" s="29" t="s">
        <v>2132</v>
      </c>
      <c r="C1799" s="29" t="str">
        <f>VLOOKUP(B1799,教育部大学名单!$B$1:$D$2920,3,FALSE)</f>
        <v>福建省</v>
      </c>
      <c r="D1799" s="29" t="s">
        <v>553</v>
      </c>
      <c r="E1799" s="29" t="s">
        <v>558</v>
      </c>
      <c r="F1799" s="36" t="str">
        <f>IFERROR(VLOOKUP(B1799,'985'!$B$2:$D$40,3,FALSE),"")</f>
        <v/>
      </c>
      <c r="G1799" s="32" t="str">
        <f>IFERROR(VLOOKUP(B1799,'211'!$B$2:$D$116,3,FALSE),"")</f>
        <v/>
      </c>
      <c r="H1799" s="32" t="str">
        <f>IFERROR(VLOOKUP(B1799,双一流!$B$2:$D$148,3,FALSE),"")</f>
        <v/>
      </c>
      <c r="I1799" s="32" t="str">
        <f>IFERROR(VLOOKUP(B1799,汇总!$B$2:$I$2921,8,FALSE),"")</f>
        <v>医药</v>
      </c>
      <c r="J1799" s="29" t="s">
        <v>1700</v>
      </c>
      <c r="K1799" s="29" t="s">
        <v>12</v>
      </c>
    </row>
    <row r="1800" ht="33.75" spans="1:11">
      <c r="A1800" s="29">
        <v>1799</v>
      </c>
      <c r="B1800" s="34" t="s">
        <v>2133</v>
      </c>
      <c r="C1800" s="29" t="str">
        <f>VLOOKUP(B1800,教育部大学名单!$B$1:$D$2920,3,FALSE)</f>
        <v>福建省</v>
      </c>
      <c r="D1800" s="34" t="s">
        <v>553</v>
      </c>
      <c r="E1800" s="34" t="s">
        <v>558</v>
      </c>
      <c r="F1800" s="36" t="str">
        <f>IFERROR(VLOOKUP(B1800,'985'!$B$2:$D$40,3,FALSE),"")</f>
        <v/>
      </c>
      <c r="G1800" s="32" t="str">
        <f>IFERROR(VLOOKUP(B1800,'211'!$B$2:$D$116,3,FALSE),"")</f>
        <v/>
      </c>
      <c r="H1800" s="32" t="str">
        <f>IFERROR(VLOOKUP(B1800,双一流!$B$2:$D$148,3,FALSE),"")</f>
        <v/>
      </c>
      <c r="I1800" s="32" t="str">
        <f>IFERROR(VLOOKUP(B1800,汇总!$B$2:$I$2921,8,FALSE),"")</f>
        <v>艺术</v>
      </c>
      <c r="J1800" s="34" t="s">
        <v>1700</v>
      </c>
      <c r="K1800" s="34" t="s">
        <v>12</v>
      </c>
    </row>
    <row r="1801" ht="50.25" spans="1:11">
      <c r="A1801" s="34">
        <v>1800</v>
      </c>
      <c r="B1801" s="29" t="s">
        <v>2134</v>
      </c>
      <c r="C1801" s="29" t="str">
        <f>VLOOKUP(B1801,教育部大学名单!$B$1:$D$2920,3,FALSE)</f>
        <v>福建省</v>
      </c>
      <c r="D1801" s="29" t="s">
        <v>553</v>
      </c>
      <c r="E1801" s="29" t="s">
        <v>558</v>
      </c>
      <c r="F1801" s="36" t="str">
        <f>IFERROR(VLOOKUP(B1801,'985'!$B$2:$D$40,3,FALSE),"")</f>
        <v/>
      </c>
      <c r="G1801" s="32" t="str">
        <f>IFERROR(VLOOKUP(B1801,'211'!$B$2:$D$116,3,FALSE),"")</f>
        <v/>
      </c>
      <c r="H1801" s="32" t="str">
        <f>IFERROR(VLOOKUP(B1801,双一流!$B$2:$D$148,3,FALSE),"")</f>
        <v/>
      </c>
      <c r="I1801" s="32" t="str">
        <f>IFERROR(VLOOKUP(B1801,汇总!$B$2:$I$2921,8,FALSE),"")</f>
        <v>师范</v>
      </c>
      <c r="J1801" s="29" t="s">
        <v>1700</v>
      </c>
      <c r="K1801" s="29" t="s">
        <v>12</v>
      </c>
    </row>
    <row r="1802" ht="33.75" spans="1:11">
      <c r="A1802" s="29">
        <v>1801</v>
      </c>
      <c r="B1802" s="34" t="s">
        <v>2135</v>
      </c>
      <c r="C1802" s="29" t="str">
        <f>VLOOKUP(B1802,教育部大学名单!$B$1:$D$2920,3,FALSE)</f>
        <v>福建省</v>
      </c>
      <c r="D1802" s="34" t="s">
        <v>553</v>
      </c>
      <c r="E1802" s="34" t="s">
        <v>554</v>
      </c>
      <c r="F1802" s="36" t="str">
        <f>IFERROR(VLOOKUP(B1802,'985'!$B$2:$D$40,3,FALSE),"")</f>
        <v/>
      </c>
      <c r="G1802" s="32" t="str">
        <f>IFERROR(VLOOKUP(B1802,'211'!$B$2:$D$116,3,FALSE),"")</f>
        <v/>
      </c>
      <c r="H1802" s="32" t="str">
        <f>IFERROR(VLOOKUP(B1802,双一流!$B$2:$D$148,3,FALSE),"")</f>
        <v/>
      </c>
      <c r="I1802" s="32" t="str">
        <f>IFERROR(VLOOKUP(B1802,汇总!$B$2:$I$2921,8,FALSE),"")</f>
        <v>综合</v>
      </c>
      <c r="J1802" s="34" t="s">
        <v>1700</v>
      </c>
      <c r="K1802" s="34" t="s">
        <v>12</v>
      </c>
    </row>
    <row r="1803" ht="33.75" spans="1:11">
      <c r="A1803" s="34">
        <v>1802</v>
      </c>
      <c r="B1803" s="29" t="s">
        <v>2136</v>
      </c>
      <c r="C1803" s="29" t="str">
        <f>VLOOKUP(B1803,教育部大学名单!$B$1:$D$2920,3,FALSE)</f>
        <v>福建省</v>
      </c>
      <c r="D1803" s="29" t="s">
        <v>553</v>
      </c>
      <c r="E1803" s="29" t="s">
        <v>556</v>
      </c>
      <c r="F1803" s="36" t="str">
        <f>IFERROR(VLOOKUP(B1803,'985'!$B$2:$D$40,3,FALSE),"")</f>
        <v/>
      </c>
      <c r="G1803" s="32" t="str">
        <f>IFERROR(VLOOKUP(B1803,'211'!$B$2:$D$116,3,FALSE),"")</f>
        <v/>
      </c>
      <c r="H1803" s="32" t="str">
        <f>IFERROR(VLOOKUP(B1803,双一流!$B$2:$D$148,3,FALSE),"")</f>
        <v/>
      </c>
      <c r="I1803" s="32" t="str">
        <f>IFERROR(VLOOKUP(B1803,汇总!$B$2:$I$2921,8,FALSE),"")</f>
        <v>艺术</v>
      </c>
      <c r="J1803" s="29" t="s">
        <v>1700</v>
      </c>
      <c r="K1803" s="29" t="s">
        <v>12</v>
      </c>
    </row>
    <row r="1804" ht="33.75" spans="1:11">
      <c r="A1804" s="29">
        <v>1803</v>
      </c>
      <c r="B1804" s="34" t="s">
        <v>2137</v>
      </c>
      <c r="C1804" s="29" t="str">
        <f>VLOOKUP(B1804,教育部大学名单!$B$1:$D$2920,3,FALSE)</f>
        <v>福建省</v>
      </c>
      <c r="D1804" s="34" t="s">
        <v>553</v>
      </c>
      <c r="E1804" s="34" t="s">
        <v>575</v>
      </c>
      <c r="F1804" s="36" t="str">
        <f>IFERROR(VLOOKUP(B1804,'985'!$B$2:$D$40,3,FALSE),"")</f>
        <v/>
      </c>
      <c r="G1804" s="32" t="str">
        <f>IFERROR(VLOOKUP(B1804,'211'!$B$2:$D$116,3,FALSE),"")</f>
        <v/>
      </c>
      <c r="H1804" s="32" t="str">
        <f>IFERROR(VLOOKUP(B1804,双一流!$B$2:$D$148,3,FALSE),"")</f>
        <v/>
      </c>
      <c r="I1804" s="32" t="str">
        <f>IFERROR(VLOOKUP(B1804,汇总!$B$2:$I$2921,8,FALSE),"")</f>
        <v>综合</v>
      </c>
      <c r="J1804" s="34" t="s">
        <v>1700</v>
      </c>
      <c r="K1804" s="34" t="s">
        <v>12</v>
      </c>
    </row>
    <row r="1805" ht="33.75" spans="1:11">
      <c r="A1805" s="34">
        <v>1804</v>
      </c>
      <c r="B1805" s="29" t="s">
        <v>2138</v>
      </c>
      <c r="C1805" s="29" t="str">
        <f>VLOOKUP(B1805,教育部大学名单!$B$1:$D$2920,3,FALSE)</f>
        <v>福建省</v>
      </c>
      <c r="D1805" s="29" t="s">
        <v>553</v>
      </c>
      <c r="E1805" s="29" t="s">
        <v>569</v>
      </c>
      <c r="F1805" s="36" t="str">
        <f>IFERROR(VLOOKUP(B1805,'985'!$B$2:$D$40,3,FALSE),"")</f>
        <v/>
      </c>
      <c r="G1805" s="32" t="str">
        <f>IFERROR(VLOOKUP(B1805,'211'!$B$2:$D$116,3,FALSE),"")</f>
        <v/>
      </c>
      <c r="H1805" s="32" t="str">
        <f>IFERROR(VLOOKUP(B1805,双一流!$B$2:$D$148,3,FALSE),"")</f>
        <v/>
      </c>
      <c r="I1805" s="32" t="str">
        <f>IFERROR(VLOOKUP(B1805,汇总!$B$2:$I$2921,8,FALSE),"")</f>
        <v>综合</v>
      </c>
      <c r="J1805" s="29" t="s">
        <v>1700</v>
      </c>
      <c r="K1805" s="29" t="s">
        <v>12</v>
      </c>
    </row>
    <row r="1806" ht="33.75" spans="1:11">
      <c r="A1806" s="29">
        <v>1805</v>
      </c>
      <c r="B1806" s="34" t="s">
        <v>2139</v>
      </c>
      <c r="C1806" s="29" t="str">
        <f>VLOOKUP(B1806,教育部大学名单!$B$1:$D$2920,3,FALSE)</f>
        <v>福建省</v>
      </c>
      <c r="D1806" s="34" t="s">
        <v>553</v>
      </c>
      <c r="E1806" s="34" t="s">
        <v>558</v>
      </c>
      <c r="F1806" s="36" t="str">
        <f>IFERROR(VLOOKUP(B1806,'985'!$B$2:$D$40,3,FALSE),"")</f>
        <v/>
      </c>
      <c r="G1806" s="32" t="str">
        <f>IFERROR(VLOOKUP(B1806,'211'!$B$2:$D$116,3,FALSE),"")</f>
        <v/>
      </c>
      <c r="H1806" s="32" t="str">
        <f>IFERROR(VLOOKUP(B1806,双一流!$B$2:$D$148,3,FALSE),"")</f>
        <v/>
      </c>
      <c r="I1806" s="32" t="str">
        <f>IFERROR(VLOOKUP(B1806,汇总!$B$2:$I$2921,8,FALSE),"")</f>
        <v>体育</v>
      </c>
      <c r="J1806" s="34" t="s">
        <v>1700</v>
      </c>
      <c r="K1806" s="34" t="s">
        <v>12</v>
      </c>
    </row>
    <row r="1807" ht="33.75" spans="1:11">
      <c r="A1807" s="34">
        <v>1806</v>
      </c>
      <c r="B1807" s="29" t="s">
        <v>2140</v>
      </c>
      <c r="C1807" s="29" t="str">
        <f>VLOOKUP(B1807,教育部大学名单!$B$1:$D$2920,3,FALSE)</f>
        <v>福建省</v>
      </c>
      <c r="D1807" s="29" t="s">
        <v>553</v>
      </c>
      <c r="E1807" s="29" t="s">
        <v>572</v>
      </c>
      <c r="F1807" s="36" t="str">
        <f>IFERROR(VLOOKUP(B1807,'985'!$B$2:$D$40,3,FALSE),"")</f>
        <v/>
      </c>
      <c r="G1807" s="32" t="str">
        <f>IFERROR(VLOOKUP(B1807,'211'!$B$2:$D$116,3,FALSE),"")</f>
        <v/>
      </c>
      <c r="H1807" s="32" t="str">
        <f>IFERROR(VLOOKUP(B1807,双一流!$B$2:$D$148,3,FALSE),"")</f>
        <v/>
      </c>
      <c r="I1807" s="32" t="str">
        <f>IFERROR(VLOOKUP(B1807,汇总!$B$2:$I$2921,8,FALSE),"")</f>
        <v>综合</v>
      </c>
      <c r="J1807" s="29" t="s">
        <v>1700</v>
      </c>
      <c r="K1807" s="29" t="s">
        <v>12</v>
      </c>
    </row>
    <row r="1808" ht="33.75" spans="1:11">
      <c r="A1808" s="29">
        <v>1807</v>
      </c>
      <c r="B1808" s="34" t="s">
        <v>2141</v>
      </c>
      <c r="C1808" s="29" t="str">
        <f>VLOOKUP(B1808,教育部大学名单!$B$1:$D$2920,3,FALSE)</f>
        <v>福建省</v>
      </c>
      <c r="D1808" s="34" t="s">
        <v>553</v>
      </c>
      <c r="E1808" s="34" t="s">
        <v>572</v>
      </c>
      <c r="F1808" s="36" t="str">
        <f>IFERROR(VLOOKUP(B1808,'985'!$B$2:$D$40,3,FALSE),"")</f>
        <v/>
      </c>
      <c r="G1808" s="32" t="str">
        <f>IFERROR(VLOOKUP(B1808,'211'!$B$2:$D$116,3,FALSE),"")</f>
        <v/>
      </c>
      <c r="H1808" s="32" t="str">
        <f>IFERROR(VLOOKUP(B1808,双一流!$B$2:$D$148,3,FALSE),"")</f>
        <v/>
      </c>
      <c r="I1808" s="32" t="str">
        <f>IFERROR(VLOOKUP(B1808,汇总!$B$2:$I$2921,8,FALSE),"")</f>
        <v>医药</v>
      </c>
      <c r="J1808" s="34" t="s">
        <v>1700</v>
      </c>
      <c r="K1808" s="34" t="s">
        <v>12</v>
      </c>
    </row>
    <row r="1809" ht="50.25" spans="1:11">
      <c r="A1809" s="34">
        <v>1808</v>
      </c>
      <c r="B1809" s="29" t="s">
        <v>2142</v>
      </c>
      <c r="C1809" s="29" t="str">
        <f>VLOOKUP(B1809,教育部大学名单!$B$1:$D$2920,3,FALSE)</f>
        <v>福建省</v>
      </c>
      <c r="D1809" s="29" t="s">
        <v>553</v>
      </c>
      <c r="E1809" s="29" t="s">
        <v>556</v>
      </c>
      <c r="F1809" s="36" t="str">
        <f>IFERROR(VLOOKUP(B1809,'985'!$B$2:$D$40,3,FALSE),"")</f>
        <v/>
      </c>
      <c r="G1809" s="32" t="str">
        <f>IFERROR(VLOOKUP(B1809,'211'!$B$2:$D$116,3,FALSE),"")</f>
        <v/>
      </c>
      <c r="H1809" s="32" t="str">
        <f>IFERROR(VLOOKUP(B1809,双一流!$B$2:$D$148,3,FALSE),"")</f>
        <v/>
      </c>
      <c r="I1809" s="32" t="str">
        <f>IFERROR(VLOOKUP(B1809,汇总!$B$2:$I$2921,8,FALSE),"")</f>
        <v>师范</v>
      </c>
      <c r="J1809" s="29" t="s">
        <v>1700</v>
      </c>
      <c r="K1809" s="29" t="s">
        <v>12</v>
      </c>
    </row>
    <row r="1810" ht="33.75" spans="1:11">
      <c r="A1810" s="29">
        <v>1809</v>
      </c>
      <c r="B1810" s="34" t="s">
        <v>2143</v>
      </c>
      <c r="C1810" s="29" t="str">
        <f>VLOOKUP(B1810,教育部大学名单!$B$1:$D$2920,3,FALSE)</f>
        <v>福建省</v>
      </c>
      <c r="D1810" s="34" t="s">
        <v>553</v>
      </c>
      <c r="E1810" s="34" t="s">
        <v>558</v>
      </c>
      <c r="F1810" s="36" t="str">
        <f>IFERROR(VLOOKUP(B1810,'985'!$B$2:$D$40,3,FALSE),"")</f>
        <v/>
      </c>
      <c r="G1810" s="32" t="str">
        <f>IFERROR(VLOOKUP(B1810,'211'!$B$2:$D$116,3,FALSE),"")</f>
        <v/>
      </c>
      <c r="H1810" s="32" t="str">
        <f>IFERROR(VLOOKUP(B1810,双一流!$B$2:$D$148,3,FALSE),"")</f>
        <v/>
      </c>
      <c r="I1810" s="32" t="str">
        <f>IFERROR(VLOOKUP(B1810,汇总!$B$2:$I$2921,8,FALSE),"")</f>
        <v>师范</v>
      </c>
      <c r="J1810" s="34" t="s">
        <v>1700</v>
      </c>
      <c r="K1810" s="34" t="s">
        <v>12</v>
      </c>
    </row>
    <row r="1811" ht="50.25" spans="1:11">
      <c r="A1811" s="34">
        <v>1810</v>
      </c>
      <c r="B1811" s="29" t="s">
        <v>2144</v>
      </c>
      <c r="C1811" s="29" t="str">
        <f>VLOOKUP(B1811,教育部大学名单!$B$1:$D$2920,3,FALSE)</f>
        <v>江西省</v>
      </c>
      <c r="D1811" s="29" t="s">
        <v>587</v>
      </c>
      <c r="E1811" s="29" t="s">
        <v>602</v>
      </c>
      <c r="F1811" s="36" t="str">
        <f>IFERROR(VLOOKUP(B1811,'985'!$B$2:$D$40,3,FALSE),"")</f>
        <v/>
      </c>
      <c r="G1811" s="32" t="str">
        <f>IFERROR(VLOOKUP(B1811,'211'!$B$2:$D$116,3,FALSE),"")</f>
        <v/>
      </c>
      <c r="H1811" s="32" t="str">
        <f>IFERROR(VLOOKUP(B1811,双一流!$B$2:$D$148,3,FALSE),"")</f>
        <v/>
      </c>
      <c r="I1811" s="32">
        <f>IFERROR(VLOOKUP(B1811,汇总!$B$2:$I$2921,8,FALSE),"")</f>
        <v>0</v>
      </c>
      <c r="J1811" s="29" t="s">
        <v>1700</v>
      </c>
      <c r="K1811" s="29" t="s">
        <v>12</v>
      </c>
    </row>
    <row r="1812" ht="50.25" spans="1:11">
      <c r="A1812" s="29">
        <v>1811</v>
      </c>
      <c r="B1812" s="34" t="s">
        <v>2145</v>
      </c>
      <c r="C1812" s="29" t="str">
        <f>VLOOKUP(B1812,教育部大学名单!$B$1:$D$2920,3,FALSE)</f>
        <v>江西省</v>
      </c>
      <c r="D1812" s="34" t="s">
        <v>587</v>
      </c>
      <c r="E1812" s="34" t="s">
        <v>591</v>
      </c>
      <c r="F1812" s="36" t="str">
        <f>IFERROR(VLOOKUP(B1812,'985'!$B$2:$D$40,3,FALSE),"")</f>
        <v/>
      </c>
      <c r="G1812" s="32" t="str">
        <f>IFERROR(VLOOKUP(B1812,'211'!$B$2:$D$116,3,FALSE),"")</f>
        <v/>
      </c>
      <c r="H1812" s="32" t="str">
        <f>IFERROR(VLOOKUP(B1812,双一流!$B$2:$D$148,3,FALSE),"")</f>
        <v/>
      </c>
      <c r="I1812" s="32">
        <f>IFERROR(VLOOKUP(B1812,汇总!$B$2:$I$2921,8,FALSE),"")</f>
        <v>0</v>
      </c>
      <c r="J1812" s="34" t="s">
        <v>1700</v>
      </c>
      <c r="K1812" s="34" t="s">
        <v>12</v>
      </c>
    </row>
    <row r="1813" ht="33.75" spans="1:11">
      <c r="A1813" s="34">
        <v>1812</v>
      </c>
      <c r="B1813" s="29" t="s">
        <v>2146</v>
      </c>
      <c r="C1813" s="29" t="str">
        <f>VLOOKUP(B1813,教育部大学名单!$B$1:$D$2920,3,FALSE)</f>
        <v>江西省</v>
      </c>
      <c r="D1813" s="29" t="s">
        <v>587</v>
      </c>
      <c r="E1813" s="29" t="s">
        <v>588</v>
      </c>
      <c r="F1813" s="36" t="str">
        <f>IFERROR(VLOOKUP(B1813,'985'!$B$2:$D$40,3,FALSE),"")</f>
        <v/>
      </c>
      <c r="G1813" s="32" t="str">
        <f>IFERROR(VLOOKUP(B1813,'211'!$B$2:$D$116,3,FALSE),"")</f>
        <v/>
      </c>
      <c r="H1813" s="32" t="str">
        <f>IFERROR(VLOOKUP(B1813,双一流!$B$2:$D$148,3,FALSE),"")</f>
        <v/>
      </c>
      <c r="I1813" s="32" t="str">
        <f>IFERROR(VLOOKUP(B1813,汇总!$B$2:$I$2921,8,FALSE),"")</f>
        <v>综合</v>
      </c>
      <c r="J1813" s="29" t="s">
        <v>1700</v>
      </c>
      <c r="K1813" s="29" t="s">
        <v>12</v>
      </c>
    </row>
    <row r="1814" ht="33.75" spans="1:11">
      <c r="A1814" s="29">
        <v>1813</v>
      </c>
      <c r="B1814" s="34" t="s">
        <v>2147</v>
      </c>
      <c r="C1814" s="29" t="str">
        <f>VLOOKUP(B1814,教育部大学名单!$B$1:$D$2920,3,FALSE)</f>
        <v>江西省</v>
      </c>
      <c r="D1814" s="34" t="s">
        <v>587</v>
      </c>
      <c r="E1814" s="34" t="s">
        <v>602</v>
      </c>
      <c r="F1814" s="36" t="str">
        <f>IFERROR(VLOOKUP(B1814,'985'!$B$2:$D$40,3,FALSE),"")</f>
        <v/>
      </c>
      <c r="G1814" s="32" t="str">
        <f>IFERROR(VLOOKUP(B1814,'211'!$B$2:$D$116,3,FALSE),"")</f>
        <v/>
      </c>
      <c r="H1814" s="32" t="str">
        <f>IFERROR(VLOOKUP(B1814,双一流!$B$2:$D$148,3,FALSE),"")</f>
        <v/>
      </c>
      <c r="I1814" s="32" t="str">
        <f>IFERROR(VLOOKUP(B1814,汇总!$B$2:$I$2921,8,FALSE),"")</f>
        <v>医药</v>
      </c>
      <c r="J1814" s="34" t="s">
        <v>1700</v>
      </c>
      <c r="K1814" s="34" t="s">
        <v>12</v>
      </c>
    </row>
    <row r="1815" ht="33.75" spans="1:11">
      <c r="A1815" s="34">
        <v>1814</v>
      </c>
      <c r="B1815" s="29" t="s">
        <v>2148</v>
      </c>
      <c r="C1815" s="29" t="str">
        <f>VLOOKUP(B1815,教育部大学名单!$B$1:$D$2920,3,FALSE)</f>
        <v>江西省</v>
      </c>
      <c r="D1815" s="29" t="s">
        <v>587</v>
      </c>
      <c r="E1815" s="29" t="s">
        <v>618</v>
      </c>
      <c r="F1815" s="36" t="str">
        <f>IFERROR(VLOOKUP(B1815,'985'!$B$2:$D$40,3,FALSE),"")</f>
        <v/>
      </c>
      <c r="G1815" s="32" t="str">
        <f>IFERROR(VLOOKUP(B1815,'211'!$B$2:$D$116,3,FALSE),"")</f>
        <v/>
      </c>
      <c r="H1815" s="32" t="str">
        <f>IFERROR(VLOOKUP(B1815,双一流!$B$2:$D$148,3,FALSE),"")</f>
        <v/>
      </c>
      <c r="I1815" s="32" t="str">
        <f>IFERROR(VLOOKUP(B1815,汇总!$B$2:$I$2921,8,FALSE),"")</f>
        <v>综合</v>
      </c>
      <c r="J1815" s="29" t="s">
        <v>1700</v>
      </c>
      <c r="K1815" s="29" t="s">
        <v>12</v>
      </c>
    </row>
    <row r="1816" ht="33.75" spans="1:11">
      <c r="A1816" s="29">
        <v>1815</v>
      </c>
      <c r="B1816" s="34" t="s">
        <v>2149</v>
      </c>
      <c r="C1816" s="29" t="str">
        <f>VLOOKUP(B1816,教育部大学名单!$B$1:$D$2920,3,FALSE)</f>
        <v>江西省</v>
      </c>
      <c r="D1816" s="34" t="s">
        <v>587</v>
      </c>
      <c r="E1816" s="34" t="s">
        <v>588</v>
      </c>
      <c r="F1816" s="36" t="str">
        <f>IFERROR(VLOOKUP(B1816,'985'!$B$2:$D$40,3,FALSE),"")</f>
        <v/>
      </c>
      <c r="G1816" s="32" t="str">
        <f>IFERROR(VLOOKUP(B1816,'211'!$B$2:$D$116,3,FALSE),"")</f>
        <v/>
      </c>
      <c r="H1816" s="32" t="str">
        <f>IFERROR(VLOOKUP(B1816,双一流!$B$2:$D$148,3,FALSE),"")</f>
        <v/>
      </c>
      <c r="I1816" s="32" t="str">
        <f>IFERROR(VLOOKUP(B1816,汇总!$B$2:$I$2921,8,FALSE),"")</f>
        <v>政法</v>
      </c>
      <c r="J1816" s="34" t="s">
        <v>1700</v>
      </c>
      <c r="K1816" s="34" t="s">
        <v>12</v>
      </c>
    </row>
    <row r="1817" ht="50.25" spans="1:11">
      <c r="A1817" s="34">
        <v>1816</v>
      </c>
      <c r="B1817" s="29" t="s">
        <v>2150</v>
      </c>
      <c r="C1817" s="29" t="str">
        <f>VLOOKUP(B1817,教育部大学名单!$B$1:$D$2920,3,FALSE)</f>
        <v>江西省</v>
      </c>
      <c r="D1817" s="29" t="s">
        <v>587</v>
      </c>
      <c r="E1817" s="29" t="s">
        <v>596</v>
      </c>
      <c r="F1817" s="36" t="str">
        <f>IFERROR(VLOOKUP(B1817,'985'!$B$2:$D$40,3,FALSE),"")</f>
        <v/>
      </c>
      <c r="G1817" s="32" t="str">
        <f>IFERROR(VLOOKUP(B1817,'211'!$B$2:$D$116,3,FALSE),"")</f>
        <v/>
      </c>
      <c r="H1817" s="32" t="str">
        <f>IFERROR(VLOOKUP(B1817,双一流!$B$2:$D$148,3,FALSE),"")</f>
        <v/>
      </c>
      <c r="I1817" s="32" t="str">
        <f>IFERROR(VLOOKUP(B1817,汇总!$B$2:$I$2921,8,FALSE),"")</f>
        <v>艺术</v>
      </c>
      <c r="J1817" s="29" t="s">
        <v>1700</v>
      </c>
      <c r="K1817" s="29" t="s">
        <v>12</v>
      </c>
    </row>
    <row r="1818" ht="33.75" spans="1:11">
      <c r="A1818" s="29">
        <v>1817</v>
      </c>
      <c r="B1818" s="34" t="s">
        <v>2151</v>
      </c>
      <c r="C1818" s="29" t="str">
        <f>VLOOKUP(B1818,教育部大学名单!$B$1:$D$2920,3,FALSE)</f>
        <v>江西省</v>
      </c>
      <c r="D1818" s="34" t="s">
        <v>587</v>
      </c>
      <c r="E1818" s="34" t="s">
        <v>588</v>
      </c>
      <c r="F1818" s="36" t="str">
        <f>IFERROR(VLOOKUP(B1818,'985'!$B$2:$D$40,3,FALSE),"")</f>
        <v/>
      </c>
      <c r="G1818" s="32" t="str">
        <f>IFERROR(VLOOKUP(B1818,'211'!$B$2:$D$116,3,FALSE),"")</f>
        <v/>
      </c>
      <c r="H1818" s="32" t="str">
        <f>IFERROR(VLOOKUP(B1818,双一流!$B$2:$D$148,3,FALSE),"")</f>
        <v/>
      </c>
      <c r="I1818" s="32" t="str">
        <f>IFERROR(VLOOKUP(B1818,汇总!$B$2:$I$2921,8,FALSE),"")</f>
        <v>综合</v>
      </c>
      <c r="J1818" s="34" t="s">
        <v>1700</v>
      </c>
      <c r="K1818" s="34" t="s">
        <v>12</v>
      </c>
    </row>
    <row r="1819" ht="33.75" spans="1:11">
      <c r="A1819" s="34">
        <v>1818</v>
      </c>
      <c r="B1819" s="29" t="s">
        <v>2152</v>
      </c>
      <c r="C1819" s="29" t="str">
        <f>VLOOKUP(B1819,教育部大学名单!$B$1:$D$2920,3,FALSE)</f>
        <v>江西省</v>
      </c>
      <c r="D1819" s="29" t="s">
        <v>587</v>
      </c>
      <c r="E1819" s="29" t="s">
        <v>588</v>
      </c>
      <c r="F1819" s="36" t="str">
        <f>IFERROR(VLOOKUP(B1819,'985'!$B$2:$D$40,3,FALSE),"")</f>
        <v/>
      </c>
      <c r="G1819" s="32" t="str">
        <f>IFERROR(VLOOKUP(B1819,'211'!$B$2:$D$116,3,FALSE),"")</f>
        <v/>
      </c>
      <c r="H1819" s="32" t="str">
        <f>IFERROR(VLOOKUP(B1819,双一流!$B$2:$D$148,3,FALSE),"")</f>
        <v/>
      </c>
      <c r="I1819" s="32" t="str">
        <f>IFERROR(VLOOKUP(B1819,汇总!$B$2:$I$2921,8,FALSE),"")</f>
        <v>理工</v>
      </c>
      <c r="J1819" s="29" t="s">
        <v>1700</v>
      </c>
      <c r="K1819" s="29" t="s">
        <v>12</v>
      </c>
    </row>
    <row r="1820" ht="33.75" spans="1:11">
      <c r="A1820" s="29">
        <v>1819</v>
      </c>
      <c r="B1820" s="34" t="s">
        <v>2153</v>
      </c>
      <c r="C1820" s="29" t="str">
        <f>VLOOKUP(B1820,教育部大学名单!$B$1:$D$2920,3,FALSE)</f>
        <v>江西省</v>
      </c>
      <c r="D1820" s="34" t="s">
        <v>587</v>
      </c>
      <c r="E1820" s="34" t="s">
        <v>594</v>
      </c>
      <c r="F1820" s="36" t="str">
        <f>IFERROR(VLOOKUP(B1820,'985'!$B$2:$D$40,3,FALSE),"")</f>
        <v/>
      </c>
      <c r="G1820" s="32" t="str">
        <f>IFERROR(VLOOKUP(B1820,'211'!$B$2:$D$116,3,FALSE),"")</f>
        <v/>
      </c>
      <c r="H1820" s="32" t="str">
        <f>IFERROR(VLOOKUP(B1820,双一流!$B$2:$D$148,3,FALSE),"")</f>
        <v/>
      </c>
      <c r="I1820" s="32" t="str">
        <f>IFERROR(VLOOKUP(B1820,汇总!$B$2:$I$2921,8,FALSE),"")</f>
        <v>农林</v>
      </c>
      <c r="J1820" s="34" t="s">
        <v>1700</v>
      </c>
      <c r="K1820" s="34" t="s">
        <v>12</v>
      </c>
    </row>
    <row r="1821" ht="33.75" spans="1:11">
      <c r="A1821" s="34">
        <v>1820</v>
      </c>
      <c r="B1821" s="29" t="s">
        <v>2154</v>
      </c>
      <c r="C1821" s="29" t="str">
        <f>VLOOKUP(B1821,教育部大学名单!$B$1:$D$2920,3,FALSE)</f>
        <v>江西省</v>
      </c>
      <c r="D1821" s="29" t="s">
        <v>587</v>
      </c>
      <c r="E1821" s="29" t="s">
        <v>588</v>
      </c>
      <c r="F1821" s="36" t="str">
        <f>IFERROR(VLOOKUP(B1821,'985'!$B$2:$D$40,3,FALSE),"")</f>
        <v/>
      </c>
      <c r="G1821" s="32" t="str">
        <f>IFERROR(VLOOKUP(B1821,'211'!$B$2:$D$116,3,FALSE),"")</f>
        <v/>
      </c>
      <c r="H1821" s="32" t="str">
        <f>IFERROR(VLOOKUP(B1821,双一流!$B$2:$D$148,3,FALSE),"")</f>
        <v/>
      </c>
      <c r="I1821" s="32" t="str">
        <f>IFERROR(VLOOKUP(B1821,汇总!$B$2:$I$2921,8,FALSE),"")</f>
        <v>艺术</v>
      </c>
      <c r="J1821" s="29" t="s">
        <v>1700</v>
      </c>
      <c r="K1821" s="29" t="s">
        <v>12</v>
      </c>
    </row>
    <row r="1822" ht="33.75" spans="1:11">
      <c r="A1822" s="29">
        <v>1821</v>
      </c>
      <c r="B1822" s="34" t="s">
        <v>2155</v>
      </c>
      <c r="C1822" s="29" t="str">
        <f>VLOOKUP(B1822,教育部大学名单!$B$1:$D$2920,3,FALSE)</f>
        <v>江西省</v>
      </c>
      <c r="D1822" s="34" t="s">
        <v>587</v>
      </c>
      <c r="E1822" s="34" t="s">
        <v>2156</v>
      </c>
      <c r="F1822" s="36" t="str">
        <f>IFERROR(VLOOKUP(B1822,'985'!$B$2:$D$40,3,FALSE),"")</f>
        <v/>
      </c>
      <c r="G1822" s="32" t="str">
        <f>IFERROR(VLOOKUP(B1822,'211'!$B$2:$D$116,3,FALSE),"")</f>
        <v/>
      </c>
      <c r="H1822" s="32" t="str">
        <f>IFERROR(VLOOKUP(B1822,双一流!$B$2:$D$148,3,FALSE),"")</f>
        <v/>
      </c>
      <c r="I1822" s="32" t="str">
        <f>IFERROR(VLOOKUP(B1822,汇总!$B$2:$I$2921,8,FALSE),"")</f>
        <v>综合</v>
      </c>
      <c r="J1822" s="34" t="s">
        <v>1700</v>
      </c>
      <c r="K1822" s="34" t="s">
        <v>12</v>
      </c>
    </row>
    <row r="1823" ht="50.25" spans="1:11">
      <c r="A1823" s="34">
        <v>1822</v>
      </c>
      <c r="B1823" s="29" t="s">
        <v>2157</v>
      </c>
      <c r="C1823" s="29" t="str">
        <f>VLOOKUP(B1823,教育部大学名单!$B$1:$D$2920,3,FALSE)</f>
        <v>江西省</v>
      </c>
      <c r="D1823" s="29" t="s">
        <v>587</v>
      </c>
      <c r="E1823" s="29" t="s">
        <v>588</v>
      </c>
      <c r="F1823" s="36" t="str">
        <f>IFERROR(VLOOKUP(B1823,'985'!$B$2:$D$40,3,FALSE),"")</f>
        <v/>
      </c>
      <c r="G1823" s="32" t="str">
        <f>IFERROR(VLOOKUP(B1823,'211'!$B$2:$D$116,3,FALSE),"")</f>
        <v/>
      </c>
      <c r="H1823" s="32" t="str">
        <f>IFERROR(VLOOKUP(B1823,双一流!$B$2:$D$148,3,FALSE),"")</f>
        <v/>
      </c>
      <c r="I1823" s="32" t="str">
        <f>IFERROR(VLOOKUP(B1823,汇总!$B$2:$I$2921,8,FALSE),"")</f>
        <v>理工</v>
      </c>
      <c r="J1823" s="29" t="s">
        <v>1700</v>
      </c>
      <c r="K1823" s="29" t="s">
        <v>12</v>
      </c>
    </row>
    <row r="1824" ht="33.75" spans="1:11">
      <c r="A1824" s="29">
        <v>1823</v>
      </c>
      <c r="B1824" s="34" t="s">
        <v>2158</v>
      </c>
      <c r="C1824" s="29" t="str">
        <f>VLOOKUP(B1824,教育部大学名单!$B$1:$D$2920,3,FALSE)</f>
        <v>江西省</v>
      </c>
      <c r="D1824" s="34" t="s">
        <v>587</v>
      </c>
      <c r="E1824" s="34" t="s">
        <v>588</v>
      </c>
      <c r="F1824" s="36" t="str">
        <f>IFERROR(VLOOKUP(B1824,'985'!$B$2:$D$40,3,FALSE),"")</f>
        <v/>
      </c>
      <c r="G1824" s="32" t="str">
        <f>IFERROR(VLOOKUP(B1824,'211'!$B$2:$D$116,3,FALSE),"")</f>
        <v/>
      </c>
      <c r="H1824" s="32" t="str">
        <f>IFERROR(VLOOKUP(B1824,双一流!$B$2:$D$148,3,FALSE),"")</f>
        <v/>
      </c>
      <c r="I1824" s="32" t="str">
        <f>IFERROR(VLOOKUP(B1824,汇总!$B$2:$I$2921,8,FALSE),"")</f>
        <v>理工</v>
      </c>
      <c r="J1824" s="34" t="s">
        <v>1700</v>
      </c>
      <c r="K1824" s="34" t="s">
        <v>12</v>
      </c>
    </row>
    <row r="1825" ht="33.75" spans="1:11">
      <c r="A1825" s="34">
        <v>1824</v>
      </c>
      <c r="B1825" s="29" t="s">
        <v>2159</v>
      </c>
      <c r="C1825" s="29" t="str">
        <f>VLOOKUP(B1825,教育部大学名单!$B$1:$D$2920,3,FALSE)</f>
        <v>江西省</v>
      </c>
      <c r="D1825" s="29" t="s">
        <v>587</v>
      </c>
      <c r="E1825" s="29" t="s">
        <v>618</v>
      </c>
      <c r="F1825" s="36" t="str">
        <f>IFERROR(VLOOKUP(B1825,'985'!$B$2:$D$40,3,FALSE),"")</f>
        <v/>
      </c>
      <c r="G1825" s="32" t="str">
        <f>IFERROR(VLOOKUP(B1825,'211'!$B$2:$D$116,3,FALSE),"")</f>
        <v/>
      </c>
      <c r="H1825" s="32" t="str">
        <f>IFERROR(VLOOKUP(B1825,双一流!$B$2:$D$148,3,FALSE),"")</f>
        <v/>
      </c>
      <c r="I1825" s="32" t="str">
        <f>IFERROR(VLOOKUP(B1825,汇总!$B$2:$I$2921,8,FALSE),"")</f>
        <v>财经</v>
      </c>
      <c r="J1825" s="29" t="s">
        <v>1700</v>
      </c>
      <c r="K1825" s="29" t="s">
        <v>12</v>
      </c>
    </row>
    <row r="1826" ht="33.75" spans="1:11">
      <c r="A1826" s="29">
        <v>1825</v>
      </c>
      <c r="B1826" s="34" t="s">
        <v>2160</v>
      </c>
      <c r="C1826" s="29" t="str">
        <f>VLOOKUP(B1826,教育部大学名单!$B$1:$D$2920,3,FALSE)</f>
        <v>江西省</v>
      </c>
      <c r="D1826" s="34" t="s">
        <v>587</v>
      </c>
      <c r="E1826" s="34" t="s">
        <v>594</v>
      </c>
      <c r="F1826" s="36" t="str">
        <f>IFERROR(VLOOKUP(B1826,'985'!$B$2:$D$40,3,FALSE),"")</f>
        <v/>
      </c>
      <c r="G1826" s="32" t="str">
        <f>IFERROR(VLOOKUP(B1826,'211'!$B$2:$D$116,3,FALSE),"")</f>
        <v/>
      </c>
      <c r="H1826" s="32" t="str">
        <f>IFERROR(VLOOKUP(B1826,双一流!$B$2:$D$148,3,FALSE),"")</f>
        <v/>
      </c>
      <c r="I1826" s="32" t="str">
        <f>IFERROR(VLOOKUP(B1826,汇总!$B$2:$I$2921,8,FALSE),"")</f>
        <v>理工</v>
      </c>
      <c r="J1826" s="34" t="s">
        <v>1700</v>
      </c>
      <c r="K1826" s="34" t="s">
        <v>12</v>
      </c>
    </row>
    <row r="1827" ht="33.75" spans="1:11">
      <c r="A1827" s="34">
        <v>1826</v>
      </c>
      <c r="B1827" s="29" t="s">
        <v>2161</v>
      </c>
      <c r="C1827" s="29" t="str">
        <f>VLOOKUP(B1827,教育部大学名单!$B$1:$D$2920,3,FALSE)</f>
        <v>江西省</v>
      </c>
      <c r="D1827" s="29" t="s">
        <v>587</v>
      </c>
      <c r="E1827" s="29" t="s">
        <v>588</v>
      </c>
      <c r="F1827" s="36" t="str">
        <f>IFERROR(VLOOKUP(B1827,'985'!$B$2:$D$40,3,FALSE),"")</f>
        <v/>
      </c>
      <c r="G1827" s="32" t="str">
        <f>IFERROR(VLOOKUP(B1827,'211'!$B$2:$D$116,3,FALSE),"")</f>
        <v/>
      </c>
      <c r="H1827" s="32" t="str">
        <f>IFERROR(VLOOKUP(B1827,双一流!$B$2:$D$148,3,FALSE),"")</f>
        <v/>
      </c>
      <c r="I1827" s="32" t="str">
        <f>IFERROR(VLOOKUP(B1827,汇总!$B$2:$I$2921,8,FALSE),"")</f>
        <v>理工</v>
      </c>
      <c r="J1827" s="29" t="s">
        <v>1700</v>
      </c>
      <c r="K1827" s="29" t="s">
        <v>12</v>
      </c>
    </row>
    <row r="1828" ht="50.25" spans="1:11">
      <c r="A1828" s="29">
        <v>1827</v>
      </c>
      <c r="B1828" s="34" t="s">
        <v>2162</v>
      </c>
      <c r="C1828" s="29" t="str">
        <f>VLOOKUP(B1828,教育部大学名单!$B$1:$D$2920,3,FALSE)</f>
        <v>江西省</v>
      </c>
      <c r="D1828" s="34" t="s">
        <v>587</v>
      </c>
      <c r="E1828" s="34" t="s">
        <v>611</v>
      </c>
      <c r="F1828" s="36" t="str">
        <f>IFERROR(VLOOKUP(B1828,'985'!$B$2:$D$40,3,FALSE),"")</f>
        <v/>
      </c>
      <c r="G1828" s="32" t="str">
        <f>IFERROR(VLOOKUP(B1828,'211'!$B$2:$D$116,3,FALSE),"")</f>
        <v/>
      </c>
      <c r="H1828" s="32" t="str">
        <f>IFERROR(VLOOKUP(B1828,双一流!$B$2:$D$148,3,FALSE),"")</f>
        <v/>
      </c>
      <c r="I1828" s="32" t="str">
        <f>IFERROR(VLOOKUP(B1828,汇总!$B$2:$I$2921,8,FALSE),"")</f>
        <v>理工</v>
      </c>
      <c r="J1828" s="34" t="s">
        <v>1700</v>
      </c>
      <c r="K1828" s="34" t="s">
        <v>12</v>
      </c>
    </row>
    <row r="1829" ht="33.75" spans="1:11">
      <c r="A1829" s="34">
        <v>1828</v>
      </c>
      <c r="B1829" s="29" t="s">
        <v>2163</v>
      </c>
      <c r="C1829" s="29" t="str">
        <f>VLOOKUP(B1829,教育部大学名单!$B$1:$D$2920,3,FALSE)</f>
        <v>江西省</v>
      </c>
      <c r="D1829" s="29" t="s">
        <v>587</v>
      </c>
      <c r="E1829" s="29" t="s">
        <v>588</v>
      </c>
      <c r="F1829" s="36" t="str">
        <f>IFERROR(VLOOKUP(B1829,'985'!$B$2:$D$40,3,FALSE),"")</f>
        <v/>
      </c>
      <c r="G1829" s="32" t="str">
        <f>IFERROR(VLOOKUP(B1829,'211'!$B$2:$D$116,3,FALSE),"")</f>
        <v/>
      </c>
      <c r="H1829" s="32" t="str">
        <f>IFERROR(VLOOKUP(B1829,双一流!$B$2:$D$148,3,FALSE),"")</f>
        <v/>
      </c>
      <c r="I1829" s="32" t="str">
        <f>IFERROR(VLOOKUP(B1829,汇总!$B$2:$I$2921,8,FALSE),"")</f>
        <v>理工</v>
      </c>
      <c r="J1829" s="29" t="s">
        <v>1700</v>
      </c>
      <c r="K1829" s="29" t="s">
        <v>12</v>
      </c>
    </row>
    <row r="1830" ht="33.75" spans="1:11">
      <c r="A1830" s="29">
        <v>1829</v>
      </c>
      <c r="B1830" s="34" t="s">
        <v>2164</v>
      </c>
      <c r="C1830" s="29" t="str">
        <f>VLOOKUP(B1830,教育部大学名单!$B$1:$D$2920,3,FALSE)</f>
        <v>江西省</v>
      </c>
      <c r="D1830" s="34" t="s">
        <v>587</v>
      </c>
      <c r="E1830" s="34" t="s">
        <v>588</v>
      </c>
      <c r="F1830" s="36" t="str">
        <f>IFERROR(VLOOKUP(B1830,'985'!$B$2:$D$40,3,FALSE),"")</f>
        <v/>
      </c>
      <c r="G1830" s="32" t="str">
        <f>IFERROR(VLOOKUP(B1830,'211'!$B$2:$D$116,3,FALSE),"")</f>
        <v/>
      </c>
      <c r="H1830" s="32" t="str">
        <f>IFERROR(VLOOKUP(B1830,双一流!$B$2:$D$148,3,FALSE),"")</f>
        <v/>
      </c>
      <c r="I1830" s="32" t="str">
        <f>IFERROR(VLOOKUP(B1830,汇总!$B$2:$I$2921,8,FALSE),"")</f>
        <v>语言</v>
      </c>
      <c r="J1830" s="34" t="s">
        <v>1700</v>
      </c>
      <c r="K1830" s="34" t="s">
        <v>12</v>
      </c>
    </row>
    <row r="1831" ht="50.25" spans="1:11">
      <c r="A1831" s="34">
        <v>1830</v>
      </c>
      <c r="B1831" s="29" t="s">
        <v>2165</v>
      </c>
      <c r="C1831" s="29" t="str">
        <f>VLOOKUP(B1831,教育部大学名单!$B$1:$D$2920,3,FALSE)</f>
        <v>江西省</v>
      </c>
      <c r="D1831" s="29" t="s">
        <v>587</v>
      </c>
      <c r="E1831" s="29" t="s">
        <v>588</v>
      </c>
      <c r="F1831" s="36" t="str">
        <f>IFERROR(VLOOKUP(B1831,'985'!$B$2:$D$40,3,FALSE),"")</f>
        <v/>
      </c>
      <c r="G1831" s="32" t="str">
        <f>IFERROR(VLOOKUP(B1831,'211'!$B$2:$D$116,3,FALSE),"")</f>
        <v/>
      </c>
      <c r="H1831" s="32" t="str">
        <f>IFERROR(VLOOKUP(B1831,双一流!$B$2:$D$148,3,FALSE),"")</f>
        <v/>
      </c>
      <c r="I1831" s="32" t="str">
        <f>IFERROR(VLOOKUP(B1831,汇总!$B$2:$I$2921,8,FALSE),"")</f>
        <v>综合</v>
      </c>
      <c r="J1831" s="29" t="s">
        <v>1700</v>
      </c>
      <c r="K1831" s="29" t="s">
        <v>12</v>
      </c>
    </row>
    <row r="1832" ht="33.75" spans="1:11">
      <c r="A1832" s="29">
        <v>1831</v>
      </c>
      <c r="B1832" s="34" t="s">
        <v>2166</v>
      </c>
      <c r="C1832" s="29" t="str">
        <f>VLOOKUP(B1832,教育部大学名单!$B$1:$D$2920,3,FALSE)</f>
        <v>江西省</v>
      </c>
      <c r="D1832" s="34" t="s">
        <v>587</v>
      </c>
      <c r="E1832" s="34" t="s">
        <v>604</v>
      </c>
      <c r="F1832" s="36" t="str">
        <f>IFERROR(VLOOKUP(B1832,'985'!$B$2:$D$40,3,FALSE),"")</f>
        <v/>
      </c>
      <c r="G1832" s="32" t="str">
        <f>IFERROR(VLOOKUP(B1832,'211'!$B$2:$D$116,3,FALSE),"")</f>
        <v/>
      </c>
      <c r="H1832" s="32" t="str">
        <f>IFERROR(VLOOKUP(B1832,双一流!$B$2:$D$148,3,FALSE),"")</f>
        <v/>
      </c>
      <c r="I1832" s="32" t="str">
        <f>IFERROR(VLOOKUP(B1832,汇总!$B$2:$I$2921,8,FALSE),"")</f>
        <v>综合</v>
      </c>
      <c r="J1832" s="34" t="s">
        <v>1700</v>
      </c>
      <c r="K1832" s="34" t="s">
        <v>12</v>
      </c>
    </row>
    <row r="1833" ht="33.75" spans="1:11">
      <c r="A1833" s="34">
        <v>1832</v>
      </c>
      <c r="B1833" s="29" t="s">
        <v>2167</v>
      </c>
      <c r="C1833" s="29" t="str">
        <f>VLOOKUP(B1833,教育部大学名单!$B$1:$D$2920,3,FALSE)</f>
        <v>江西省</v>
      </c>
      <c r="D1833" s="29" t="s">
        <v>587</v>
      </c>
      <c r="E1833" s="29" t="s">
        <v>611</v>
      </c>
      <c r="F1833" s="36" t="str">
        <f>IFERROR(VLOOKUP(B1833,'985'!$B$2:$D$40,3,FALSE),"")</f>
        <v/>
      </c>
      <c r="G1833" s="32" t="str">
        <f>IFERROR(VLOOKUP(B1833,'211'!$B$2:$D$116,3,FALSE),"")</f>
        <v/>
      </c>
      <c r="H1833" s="32" t="str">
        <f>IFERROR(VLOOKUP(B1833,双一流!$B$2:$D$148,3,FALSE),"")</f>
        <v/>
      </c>
      <c r="I1833" s="32" t="str">
        <f>IFERROR(VLOOKUP(B1833,汇总!$B$2:$I$2921,8,FALSE),"")</f>
        <v>理工</v>
      </c>
      <c r="J1833" s="29" t="s">
        <v>1700</v>
      </c>
      <c r="K1833" s="29" t="s">
        <v>12</v>
      </c>
    </row>
    <row r="1834" ht="33.75" spans="1:11">
      <c r="A1834" s="29">
        <v>1833</v>
      </c>
      <c r="B1834" s="34" t="s">
        <v>2168</v>
      </c>
      <c r="C1834" s="29" t="str">
        <f>VLOOKUP(B1834,教育部大学名单!$B$1:$D$2920,3,FALSE)</f>
        <v>江西省</v>
      </c>
      <c r="D1834" s="34" t="s">
        <v>587</v>
      </c>
      <c r="E1834" s="34" t="s">
        <v>588</v>
      </c>
      <c r="F1834" s="36" t="str">
        <f>IFERROR(VLOOKUP(B1834,'985'!$B$2:$D$40,3,FALSE),"")</f>
        <v/>
      </c>
      <c r="G1834" s="32" t="str">
        <f>IFERROR(VLOOKUP(B1834,'211'!$B$2:$D$116,3,FALSE),"")</f>
        <v/>
      </c>
      <c r="H1834" s="32" t="str">
        <f>IFERROR(VLOOKUP(B1834,双一流!$B$2:$D$148,3,FALSE),"")</f>
        <v/>
      </c>
      <c r="I1834" s="32" t="str">
        <f>IFERROR(VLOOKUP(B1834,汇总!$B$2:$I$2921,8,FALSE),"")</f>
        <v>农林</v>
      </c>
      <c r="J1834" s="34" t="s">
        <v>1700</v>
      </c>
      <c r="K1834" s="34" t="s">
        <v>12</v>
      </c>
    </row>
    <row r="1835" ht="33.75" spans="1:11">
      <c r="A1835" s="34">
        <v>1834</v>
      </c>
      <c r="B1835" s="29" t="s">
        <v>2169</v>
      </c>
      <c r="C1835" s="29" t="str">
        <f>VLOOKUP(B1835,教育部大学名单!$B$1:$D$2920,3,FALSE)</f>
        <v>江西省</v>
      </c>
      <c r="D1835" s="29" t="s">
        <v>587</v>
      </c>
      <c r="E1835" s="29" t="s">
        <v>588</v>
      </c>
      <c r="F1835" s="36" t="str">
        <f>IFERROR(VLOOKUP(B1835,'985'!$B$2:$D$40,3,FALSE),"")</f>
        <v/>
      </c>
      <c r="G1835" s="32" t="str">
        <f>IFERROR(VLOOKUP(B1835,'211'!$B$2:$D$116,3,FALSE),"")</f>
        <v/>
      </c>
      <c r="H1835" s="32" t="str">
        <f>IFERROR(VLOOKUP(B1835,双一流!$B$2:$D$148,3,FALSE),"")</f>
        <v/>
      </c>
      <c r="I1835" s="32" t="str">
        <f>IFERROR(VLOOKUP(B1835,汇总!$B$2:$I$2921,8,FALSE),"")</f>
        <v>理工</v>
      </c>
      <c r="J1835" s="29" t="s">
        <v>1700</v>
      </c>
      <c r="K1835" s="29" t="s">
        <v>12</v>
      </c>
    </row>
    <row r="1836" ht="33.75" spans="1:11">
      <c r="A1836" s="29">
        <v>1835</v>
      </c>
      <c r="B1836" s="34" t="s">
        <v>2170</v>
      </c>
      <c r="C1836" s="29" t="str">
        <f>VLOOKUP(B1836,教育部大学名单!$B$1:$D$2920,3,FALSE)</f>
        <v>江西省</v>
      </c>
      <c r="D1836" s="34" t="s">
        <v>587</v>
      </c>
      <c r="E1836" s="34" t="s">
        <v>591</v>
      </c>
      <c r="F1836" s="36" t="str">
        <f>IFERROR(VLOOKUP(B1836,'985'!$B$2:$D$40,3,FALSE),"")</f>
        <v/>
      </c>
      <c r="G1836" s="32" t="str">
        <f>IFERROR(VLOOKUP(B1836,'211'!$B$2:$D$116,3,FALSE),"")</f>
        <v/>
      </c>
      <c r="H1836" s="32" t="str">
        <f>IFERROR(VLOOKUP(B1836,双一流!$B$2:$D$148,3,FALSE),"")</f>
        <v/>
      </c>
      <c r="I1836" s="32" t="str">
        <f>IFERROR(VLOOKUP(B1836,汇总!$B$2:$I$2921,8,FALSE),"")</f>
        <v>综合</v>
      </c>
      <c r="J1836" s="34" t="s">
        <v>1700</v>
      </c>
      <c r="K1836" s="34" t="s">
        <v>12</v>
      </c>
    </row>
    <row r="1837" ht="33.75" spans="1:11">
      <c r="A1837" s="34">
        <v>1836</v>
      </c>
      <c r="B1837" s="29" t="s">
        <v>2171</v>
      </c>
      <c r="C1837" s="29" t="str">
        <f>VLOOKUP(B1837,教育部大学名单!$B$1:$D$2920,3,FALSE)</f>
        <v>江西省</v>
      </c>
      <c r="D1837" s="29" t="s">
        <v>587</v>
      </c>
      <c r="E1837" s="29" t="s">
        <v>588</v>
      </c>
      <c r="F1837" s="36" t="str">
        <f>IFERROR(VLOOKUP(B1837,'985'!$B$2:$D$40,3,FALSE),"")</f>
        <v/>
      </c>
      <c r="G1837" s="32" t="str">
        <f>IFERROR(VLOOKUP(B1837,'211'!$B$2:$D$116,3,FALSE),"")</f>
        <v/>
      </c>
      <c r="H1837" s="32" t="str">
        <f>IFERROR(VLOOKUP(B1837,双一流!$B$2:$D$148,3,FALSE),"")</f>
        <v/>
      </c>
      <c r="I1837" s="32" t="str">
        <f>IFERROR(VLOOKUP(B1837,汇总!$B$2:$I$2921,8,FALSE),"")</f>
        <v>理工</v>
      </c>
      <c r="J1837" s="29" t="s">
        <v>1700</v>
      </c>
      <c r="K1837" s="29" t="s">
        <v>12</v>
      </c>
    </row>
    <row r="1838" ht="33.75" spans="1:11">
      <c r="A1838" s="29">
        <v>1837</v>
      </c>
      <c r="B1838" s="34" t="s">
        <v>2172</v>
      </c>
      <c r="C1838" s="29" t="str">
        <f>VLOOKUP(B1838,教育部大学名单!$B$1:$D$2920,3,FALSE)</f>
        <v>江西省</v>
      </c>
      <c r="D1838" s="34" t="s">
        <v>587</v>
      </c>
      <c r="E1838" s="34" t="s">
        <v>588</v>
      </c>
      <c r="F1838" s="36" t="str">
        <f>IFERROR(VLOOKUP(B1838,'985'!$B$2:$D$40,3,FALSE),"")</f>
        <v/>
      </c>
      <c r="G1838" s="32" t="str">
        <f>IFERROR(VLOOKUP(B1838,'211'!$B$2:$D$116,3,FALSE),"")</f>
        <v/>
      </c>
      <c r="H1838" s="32" t="str">
        <f>IFERROR(VLOOKUP(B1838,双一流!$B$2:$D$148,3,FALSE),"")</f>
        <v/>
      </c>
      <c r="I1838" s="32" t="str">
        <f>IFERROR(VLOOKUP(B1838,汇总!$B$2:$I$2921,8,FALSE),"")</f>
        <v>综合</v>
      </c>
      <c r="J1838" s="34" t="s">
        <v>1700</v>
      </c>
      <c r="K1838" s="34" t="s">
        <v>12</v>
      </c>
    </row>
    <row r="1839" ht="33.75" spans="1:11">
      <c r="A1839" s="34">
        <v>1838</v>
      </c>
      <c r="B1839" s="29" t="s">
        <v>2173</v>
      </c>
      <c r="C1839" s="29" t="str">
        <f>VLOOKUP(B1839,教育部大学名单!$B$1:$D$2920,3,FALSE)</f>
        <v>江西省</v>
      </c>
      <c r="D1839" s="29" t="s">
        <v>587</v>
      </c>
      <c r="E1839" s="29" t="s">
        <v>588</v>
      </c>
      <c r="F1839" s="36" t="str">
        <f>IFERROR(VLOOKUP(B1839,'985'!$B$2:$D$40,3,FALSE),"")</f>
        <v/>
      </c>
      <c r="G1839" s="32" t="str">
        <f>IFERROR(VLOOKUP(B1839,'211'!$B$2:$D$116,3,FALSE),"")</f>
        <v/>
      </c>
      <c r="H1839" s="32" t="str">
        <f>IFERROR(VLOOKUP(B1839,双一流!$B$2:$D$148,3,FALSE),"")</f>
        <v/>
      </c>
      <c r="I1839" s="32" t="str">
        <f>IFERROR(VLOOKUP(B1839,汇总!$B$2:$I$2921,8,FALSE),"")</f>
        <v>综合</v>
      </c>
      <c r="J1839" s="29" t="s">
        <v>1700</v>
      </c>
      <c r="K1839" s="29" t="s">
        <v>12</v>
      </c>
    </row>
    <row r="1840" ht="33.75" spans="1:11">
      <c r="A1840" s="29">
        <v>1839</v>
      </c>
      <c r="B1840" s="34" t="s">
        <v>2174</v>
      </c>
      <c r="C1840" s="29" t="str">
        <f>VLOOKUP(B1840,教育部大学名单!$B$1:$D$2920,3,FALSE)</f>
        <v>江西省</v>
      </c>
      <c r="D1840" s="34" t="s">
        <v>587</v>
      </c>
      <c r="E1840" s="34" t="s">
        <v>602</v>
      </c>
      <c r="F1840" s="36" t="str">
        <f>IFERROR(VLOOKUP(B1840,'985'!$B$2:$D$40,3,FALSE),"")</f>
        <v/>
      </c>
      <c r="G1840" s="32" t="str">
        <f>IFERROR(VLOOKUP(B1840,'211'!$B$2:$D$116,3,FALSE),"")</f>
        <v/>
      </c>
      <c r="H1840" s="32" t="str">
        <f>IFERROR(VLOOKUP(B1840,双一流!$B$2:$D$148,3,FALSE),"")</f>
        <v/>
      </c>
      <c r="I1840" s="32" t="str">
        <f>IFERROR(VLOOKUP(B1840,汇总!$B$2:$I$2921,8,FALSE),"")</f>
        <v>理工</v>
      </c>
      <c r="J1840" s="34" t="s">
        <v>1700</v>
      </c>
      <c r="K1840" s="34" t="s">
        <v>12</v>
      </c>
    </row>
    <row r="1841" ht="33.75" spans="1:11">
      <c r="A1841" s="34">
        <v>1840</v>
      </c>
      <c r="B1841" s="29" t="s">
        <v>2175</v>
      </c>
      <c r="C1841" s="29" t="str">
        <f>VLOOKUP(B1841,教育部大学名单!$B$1:$D$2920,3,FALSE)</f>
        <v>江西省</v>
      </c>
      <c r="D1841" s="29" t="s">
        <v>587</v>
      </c>
      <c r="E1841" s="29" t="s">
        <v>604</v>
      </c>
      <c r="F1841" s="36" t="str">
        <f>IFERROR(VLOOKUP(B1841,'985'!$B$2:$D$40,3,FALSE),"")</f>
        <v/>
      </c>
      <c r="G1841" s="32" t="str">
        <f>IFERROR(VLOOKUP(B1841,'211'!$B$2:$D$116,3,FALSE),"")</f>
        <v/>
      </c>
      <c r="H1841" s="32" t="str">
        <f>IFERROR(VLOOKUP(B1841,双一流!$B$2:$D$148,3,FALSE),"")</f>
        <v/>
      </c>
      <c r="I1841" s="32" t="str">
        <f>IFERROR(VLOOKUP(B1841,汇总!$B$2:$I$2921,8,FALSE),"")</f>
        <v>农林</v>
      </c>
      <c r="J1841" s="29" t="s">
        <v>1700</v>
      </c>
      <c r="K1841" s="29" t="s">
        <v>12</v>
      </c>
    </row>
    <row r="1842" ht="33.75" spans="1:11">
      <c r="A1842" s="29">
        <v>1841</v>
      </c>
      <c r="B1842" s="34" t="s">
        <v>2176</v>
      </c>
      <c r="C1842" s="29" t="str">
        <f>VLOOKUP(B1842,教育部大学名单!$B$1:$D$2920,3,FALSE)</f>
        <v>江西省</v>
      </c>
      <c r="D1842" s="34" t="s">
        <v>587</v>
      </c>
      <c r="E1842" s="34" t="s">
        <v>588</v>
      </c>
      <c r="F1842" s="36" t="str">
        <f>IFERROR(VLOOKUP(B1842,'985'!$B$2:$D$40,3,FALSE),"")</f>
        <v/>
      </c>
      <c r="G1842" s="32" t="str">
        <f>IFERROR(VLOOKUP(B1842,'211'!$B$2:$D$116,3,FALSE),"")</f>
        <v/>
      </c>
      <c r="H1842" s="32" t="str">
        <f>IFERROR(VLOOKUP(B1842,双一流!$B$2:$D$148,3,FALSE),"")</f>
        <v/>
      </c>
      <c r="I1842" s="32" t="str">
        <f>IFERROR(VLOOKUP(B1842,汇总!$B$2:$I$2921,8,FALSE),"")</f>
        <v>医药</v>
      </c>
      <c r="J1842" s="34" t="s">
        <v>1700</v>
      </c>
      <c r="K1842" s="34" t="s">
        <v>12</v>
      </c>
    </row>
    <row r="1843" ht="33.75" spans="1:11">
      <c r="A1843" s="34">
        <v>1842</v>
      </c>
      <c r="B1843" s="29" t="s">
        <v>2177</v>
      </c>
      <c r="C1843" s="29" t="str">
        <f>VLOOKUP(B1843,教育部大学名单!$B$1:$D$2920,3,FALSE)</f>
        <v>江西省</v>
      </c>
      <c r="D1843" s="29" t="s">
        <v>587</v>
      </c>
      <c r="E1843" s="29" t="s">
        <v>616</v>
      </c>
      <c r="F1843" s="36" t="str">
        <f>IFERROR(VLOOKUP(B1843,'985'!$B$2:$D$40,3,FALSE),"")</f>
        <v/>
      </c>
      <c r="G1843" s="32" t="str">
        <f>IFERROR(VLOOKUP(B1843,'211'!$B$2:$D$116,3,FALSE),"")</f>
        <v/>
      </c>
      <c r="H1843" s="32" t="str">
        <f>IFERROR(VLOOKUP(B1843,双一流!$B$2:$D$148,3,FALSE),"")</f>
        <v/>
      </c>
      <c r="I1843" s="32" t="str">
        <f>IFERROR(VLOOKUP(B1843,汇总!$B$2:$I$2921,8,FALSE),"")</f>
        <v>理工</v>
      </c>
      <c r="J1843" s="29" t="s">
        <v>1700</v>
      </c>
      <c r="K1843" s="29" t="s">
        <v>12</v>
      </c>
    </row>
    <row r="1844" ht="33.75" spans="1:11">
      <c r="A1844" s="29">
        <v>1843</v>
      </c>
      <c r="B1844" s="34" t="s">
        <v>2178</v>
      </c>
      <c r="C1844" s="29" t="str">
        <f>VLOOKUP(B1844,教育部大学名单!$B$1:$D$2920,3,FALSE)</f>
        <v>江西省</v>
      </c>
      <c r="D1844" s="34" t="s">
        <v>587</v>
      </c>
      <c r="E1844" s="34" t="s">
        <v>588</v>
      </c>
      <c r="F1844" s="36" t="str">
        <f>IFERROR(VLOOKUP(B1844,'985'!$B$2:$D$40,3,FALSE),"")</f>
        <v/>
      </c>
      <c r="G1844" s="32" t="str">
        <f>IFERROR(VLOOKUP(B1844,'211'!$B$2:$D$116,3,FALSE),"")</f>
        <v/>
      </c>
      <c r="H1844" s="32" t="str">
        <f>IFERROR(VLOOKUP(B1844,双一流!$B$2:$D$148,3,FALSE),"")</f>
        <v/>
      </c>
      <c r="I1844" s="32">
        <f>IFERROR(VLOOKUP(B1844,汇总!$B$2:$I$2921,8,FALSE),"")</f>
        <v>0</v>
      </c>
      <c r="J1844" s="34" t="s">
        <v>1700</v>
      </c>
      <c r="K1844" s="34" t="s">
        <v>12</v>
      </c>
    </row>
    <row r="1845" ht="33.75" spans="1:11">
      <c r="A1845" s="34">
        <v>1844</v>
      </c>
      <c r="B1845" s="29" t="s">
        <v>2179</v>
      </c>
      <c r="C1845" s="29" t="str">
        <f>VLOOKUP(B1845,教育部大学名单!$B$1:$D$2920,3,FALSE)</f>
        <v>江西省</v>
      </c>
      <c r="D1845" s="29" t="s">
        <v>587</v>
      </c>
      <c r="E1845" s="29" t="s">
        <v>588</v>
      </c>
      <c r="F1845" s="36" t="str">
        <f>IFERROR(VLOOKUP(B1845,'985'!$B$2:$D$40,3,FALSE),"")</f>
        <v/>
      </c>
      <c r="G1845" s="32" t="str">
        <f>IFERROR(VLOOKUP(B1845,'211'!$B$2:$D$116,3,FALSE),"")</f>
        <v/>
      </c>
      <c r="H1845" s="32" t="str">
        <f>IFERROR(VLOOKUP(B1845,双一流!$B$2:$D$148,3,FALSE),"")</f>
        <v/>
      </c>
      <c r="I1845" s="32" t="str">
        <f>IFERROR(VLOOKUP(B1845,汇总!$B$2:$I$2921,8,FALSE),"")</f>
        <v>艺术</v>
      </c>
      <c r="J1845" s="29" t="s">
        <v>1700</v>
      </c>
      <c r="K1845" s="29" t="s">
        <v>12</v>
      </c>
    </row>
    <row r="1846" ht="33.75" spans="1:11">
      <c r="A1846" s="29">
        <v>1845</v>
      </c>
      <c r="B1846" s="34" t="s">
        <v>2180</v>
      </c>
      <c r="C1846" s="29" t="str">
        <f>VLOOKUP(B1846,教育部大学名单!$B$1:$D$2920,3,FALSE)</f>
        <v>江西省</v>
      </c>
      <c r="D1846" s="34" t="s">
        <v>587</v>
      </c>
      <c r="E1846" s="34" t="s">
        <v>594</v>
      </c>
      <c r="F1846" s="36" t="str">
        <f>IFERROR(VLOOKUP(B1846,'985'!$B$2:$D$40,3,FALSE),"")</f>
        <v/>
      </c>
      <c r="G1846" s="32" t="str">
        <f>IFERROR(VLOOKUP(B1846,'211'!$B$2:$D$116,3,FALSE),"")</f>
        <v/>
      </c>
      <c r="H1846" s="32" t="str">
        <f>IFERROR(VLOOKUP(B1846,双一流!$B$2:$D$148,3,FALSE),"")</f>
        <v/>
      </c>
      <c r="I1846" s="32" t="str">
        <f>IFERROR(VLOOKUP(B1846,汇总!$B$2:$I$2921,8,FALSE),"")</f>
        <v>师范</v>
      </c>
      <c r="J1846" s="34" t="s">
        <v>1700</v>
      </c>
      <c r="K1846" s="34" t="s">
        <v>12</v>
      </c>
    </row>
    <row r="1847" ht="33.75" spans="1:11">
      <c r="A1847" s="34">
        <v>1846</v>
      </c>
      <c r="B1847" s="29" t="s">
        <v>2181</v>
      </c>
      <c r="C1847" s="29" t="str">
        <f>VLOOKUP(B1847,教育部大学名单!$B$1:$D$2920,3,FALSE)</f>
        <v>江西省</v>
      </c>
      <c r="D1847" s="29" t="s">
        <v>587</v>
      </c>
      <c r="E1847" s="29" t="s">
        <v>588</v>
      </c>
      <c r="F1847" s="36" t="str">
        <f>IFERROR(VLOOKUP(B1847,'985'!$B$2:$D$40,3,FALSE),"")</f>
        <v/>
      </c>
      <c r="G1847" s="32" t="str">
        <f>IFERROR(VLOOKUP(B1847,'211'!$B$2:$D$116,3,FALSE),"")</f>
        <v/>
      </c>
      <c r="H1847" s="32" t="str">
        <f>IFERROR(VLOOKUP(B1847,双一流!$B$2:$D$148,3,FALSE),"")</f>
        <v/>
      </c>
      <c r="I1847" s="32" t="str">
        <f>IFERROR(VLOOKUP(B1847,汇总!$B$2:$I$2921,8,FALSE),"")</f>
        <v>理工</v>
      </c>
      <c r="J1847" s="29" t="s">
        <v>1700</v>
      </c>
      <c r="K1847" s="29" t="s">
        <v>12</v>
      </c>
    </row>
    <row r="1848" ht="50.25" spans="1:11">
      <c r="A1848" s="29">
        <v>1847</v>
      </c>
      <c r="B1848" s="34" t="s">
        <v>2182</v>
      </c>
      <c r="C1848" s="29" t="str">
        <f>VLOOKUP(B1848,教育部大学名单!$B$1:$D$2920,3,FALSE)</f>
        <v>江西省</v>
      </c>
      <c r="D1848" s="34" t="s">
        <v>587</v>
      </c>
      <c r="E1848" s="34" t="s">
        <v>604</v>
      </c>
      <c r="F1848" s="36" t="str">
        <f>IFERROR(VLOOKUP(B1848,'985'!$B$2:$D$40,3,FALSE),"")</f>
        <v/>
      </c>
      <c r="G1848" s="32" t="str">
        <f>IFERROR(VLOOKUP(B1848,'211'!$B$2:$D$116,3,FALSE),"")</f>
        <v/>
      </c>
      <c r="H1848" s="32" t="str">
        <f>IFERROR(VLOOKUP(B1848,双一流!$B$2:$D$148,3,FALSE),"")</f>
        <v/>
      </c>
      <c r="I1848" s="32" t="str">
        <f>IFERROR(VLOOKUP(B1848,汇总!$B$2:$I$2921,8,FALSE),"")</f>
        <v>师范</v>
      </c>
      <c r="J1848" s="34" t="s">
        <v>1700</v>
      </c>
      <c r="K1848" s="34" t="s">
        <v>12</v>
      </c>
    </row>
    <row r="1849" ht="33.75" spans="1:11">
      <c r="A1849" s="34">
        <v>1848</v>
      </c>
      <c r="B1849" s="29" t="s">
        <v>2183</v>
      </c>
      <c r="C1849" s="29" t="str">
        <f>VLOOKUP(B1849,教育部大学名单!$B$1:$D$2920,3,FALSE)</f>
        <v>江西省</v>
      </c>
      <c r="D1849" s="29" t="s">
        <v>587</v>
      </c>
      <c r="E1849" s="29" t="s">
        <v>607</v>
      </c>
      <c r="F1849" s="36" t="str">
        <f>IFERROR(VLOOKUP(B1849,'985'!$B$2:$D$40,3,FALSE),"")</f>
        <v/>
      </c>
      <c r="G1849" s="32" t="str">
        <f>IFERROR(VLOOKUP(B1849,'211'!$B$2:$D$116,3,FALSE),"")</f>
        <v/>
      </c>
      <c r="H1849" s="32" t="str">
        <f>IFERROR(VLOOKUP(B1849,双一流!$B$2:$D$148,3,FALSE),"")</f>
        <v/>
      </c>
      <c r="I1849" s="32" t="str">
        <f>IFERROR(VLOOKUP(B1849,汇总!$B$2:$I$2921,8,FALSE),"")</f>
        <v>综合</v>
      </c>
      <c r="J1849" s="29" t="s">
        <v>1700</v>
      </c>
      <c r="K1849" s="29" t="s">
        <v>12</v>
      </c>
    </row>
    <row r="1850" ht="33.75" spans="1:11">
      <c r="A1850" s="29">
        <v>1849</v>
      </c>
      <c r="B1850" s="34" t="s">
        <v>2184</v>
      </c>
      <c r="C1850" s="29" t="str">
        <f>VLOOKUP(B1850,教育部大学名单!$B$1:$D$2920,3,FALSE)</f>
        <v>江西省       </v>
      </c>
      <c r="D1850" s="34" t="s">
        <v>587</v>
      </c>
      <c r="E1850" s="34" t="s">
        <v>2156</v>
      </c>
      <c r="F1850" s="36" t="str">
        <f>IFERROR(VLOOKUP(B1850,'985'!$B$2:$D$40,3,FALSE),"")</f>
        <v/>
      </c>
      <c r="G1850" s="32" t="str">
        <f>IFERROR(VLOOKUP(B1850,'211'!$B$2:$D$116,3,FALSE),"")</f>
        <v/>
      </c>
      <c r="H1850" s="32" t="str">
        <f>IFERROR(VLOOKUP(B1850,双一流!$B$2:$D$148,3,FALSE),"")</f>
        <v/>
      </c>
      <c r="I1850" s="32" t="str">
        <f>IFERROR(VLOOKUP(B1850,汇总!$B$2:$I$2921,8,FALSE),"")</f>
        <v>师范</v>
      </c>
      <c r="J1850" s="34" t="s">
        <v>1700</v>
      </c>
      <c r="K1850" s="34" t="s">
        <v>12</v>
      </c>
    </row>
    <row r="1851" ht="33.75" spans="1:11">
      <c r="A1851" s="34">
        <v>1850</v>
      </c>
      <c r="B1851" s="29" t="s">
        <v>2185</v>
      </c>
      <c r="C1851" s="29" t="str">
        <f>VLOOKUP(B1851,教育部大学名单!$B$1:$D$2920,3,FALSE)</f>
        <v>江西省</v>
      </c>
      <c r="D1851" s="29" t="s">
        <v>587</v>
      </c>
      <c r="E1851" s="29" t="s">
        <v>594</v>
      </c>
      <c r="F1851" s="36" t="str">
        <f>IFERROR(VLOOKUP(B1851,'985'!$B$2:$D$40,3,FALSE),"")</f>
        <v/>
      </c>
      <c r="G1851" s="32" t="str">
        <f>IFERROR(VLOOKUP(B1851,'211'!$B$2:$D$116,3,FALSE),"")</f>
        <v/>
      </c>
      <c r="H1851" s="32" t="str">
        <f>IFERROR(VLOOKUP(B1851,双一流!$B$2:$D$148,3,FALSE),"")</f>
        <v/>
      </c>
      <c r="I1851" s="32">
        <f>IFERROR(VLOOKUP(B1851,汇总!$B$2:$I$2921,8,FALSE),"")</f>
        <v>0</v>
      </c>
      <c r="J1851" s="29" t="s">
        <v>1700</v>
      </c>
      <c r="K1851" s="29" t="s">
        <v>12</v>
      </c>
    </row>
    <row r="1852" ht="33.75" spans="1:11">
      <c r="A1852" s="29">
        <v>1851</v>
      </c>
      <c r="B1852" s="34" t="s">
        <v>2186</v>
      </c>
      <c r="C1852" s="29" t="str">
        <f>VLOOKUP(B1852,教育部大学名单!$B$1:$D$2920,3,FALSE)</f>
        <v>江西省</v>
      </c>
      <c r="D1852" s="34" t="s">
        <v>587</v>
      </c>
      <c r="E1852" s="34" t="s">
        <v>611</v>
      </c>
      <c r="F1852" s="36" t="str">
        <f>IFERROR(VLOOKUP(B1852,'985'!$B$2:$D$40,3,FALSE),"")</f>
        <v/>
      </c>
      <c r="G1852" s="32" t="str">
        <f>IFERROR(VLOOKUP(B1852,'211'!$B$2:$D$116,3,FALSE),"")</f>
        <v/>
      </c>
      <c r="H1852" s="32" t="str">
        <f>IFERROR(VLOOKUP(B1852,双一流!$B$2:$D$148,3,FALSE),"")</f>
        <v/>
      </c>
      <c r="I1852" s="32">
        <f>IFERROR(VLOOKUP(B1852,汇总!$B$2:$I$2921,8,FALSE),"")</f>
        <v>0</v>
      </c>
      <c r="J1852" s="34" t="s">
        <v>1700</v>
      </c>
      <c r="K1852" s="34" t="s">
        <v>12</v>
      </c>
    </row>
    <row r="1853" ht="33.75" spans="1:11">
      <c r="A1853" s="34">
        <v>1852</v>
      </c>
      <c r="B1853" s="29" t="s">
        <v>2187</v>
      </c>
      <c r="C1853" s="29" t="str">
        <f>VLOOKUP(B1853,教育部大学名单!$B$1:$D$2920,3,FALSE)</f>
        <v>江西省</v>
      </c>
      <c r="D1853" s="29" t="s">
        <v>587</v>
      </c>
      <c r="E1853" s="29" t="s">
        <v>602</v>
      </c>
      <c r="F1853" s="36" t="str">
        <f>IFERROR(VLOOKUP(B1853,'985'!$B$2:$D$40,3,FALSE),"")</f>
        <v/>
      </c>
      <c r="G1853" s="32" t="str">
        <f>IFERROR(VLOOKUP(B1853,'211'!$B$2:$D$116,3,FALSE),"")</f>
        <v/>
      </c>
      <c r="H1853" s="32" t="str">
        <f>IFERROR(VLOOKUP(B1853,双一流!$B$2:$D$148,3,FALSE),"")</f>
        <v/>
      </c>
      <c r="I1853" s="32">
        <f>IFERROR(VLOOKUP(B1853,汇总!$B$2:$I$2921,8,FALSE),"")</f>
        <v>0</v>
      </c>
      <c r="J1853" s="29" t="s">
        <v>1700</v>
      </c>
      <c r="K1853" s="29" t="s">
        <v>12</v>
      </c>
    </row>
    <row r="1854" ht="33.75" spans="1:11">
      <c r="A1854" s="29">
        <v>1853</v>
      </c>
      <c r="B1854" s="34" t="s">
        <v>2188</v>
      </c>
      <c r="C1854" s="29" t="str">
        <f>VLOOKUP(B1854,教育部大学名单!$B$1:$D$2920,3,FALSE)</f>
        <v>江西省</v>
      </c>
      <c r="D1854" s="34" t="s">
        <v>587</v>
      </c>
      <c r="E1854" s="34" t="s">
        <v>594</v>
      </c>
      <c r="F1854" s="36" t="str">
        <f>IFERROR(VLOOKUP(B1854,'985'!$B$2:$D$40,3,FALSE),"")</f>
        <v/>
      </c>
      <c r="G1854" s="32" t="str">
        <f>IFERROR(VLOOKUP(B1854,'211'!$B$2:$D$116,3,FALSE),"")</f>
        <v/>
      </c>
      <c r="H1854" s="32" t="str">
        <f>IFERROR(VLOOKUP(B1854,双一流!$B$2:$D$148,3,FALSE),"")</f>
        <v/>
      </c>
      <c r="I1854" s="32">
        <f>IFERROR(VLOOKUP(B1854,汇总!$B$2:$I$2921,8,FALSE),"")</f>
        <v>0</v>
      </c>
      <c r="J1854" s="34" t="s">
        <v>1700</v>
      </c>
      <c r="K1854" s="34" t="s">
        <v>12</v>
      </c>
    </row>
    <row r="1855" ht="33.75" spans="1:11">
      <c r="A1855" s="34">
        <v>1854</v>
      </c>
      <c r="B1855" s="29" t="s">
        <v>2189</v>
      </c>
      <c r="C1855" s="29" t="str">
        <f>VLOOKUP(B1855,教育部大学名单!$B$1:$D$2920,3,FALSE)</f>
        <v>江西省</v>
      </c>
      <c r="D1855" s="29" t="s">
        <v>587</v>
      </c>
      <c r="E1855" s="29" t="s">
        <v>588</v>
      </c>
      <c r="F1855" s="36" t="str">
        <f>IFERROR(VLOOKUP(B1855,'985'!$B$2:$D$40,3,FALSE),"")</f>
        <v/>
      </c>
      <c r="G1855" s="32" t="str">
        <f>IFERROR(VLOOKUP(B1855,'211'!$B$2:$D$116,3,FALSE),"")</f>
        <v/>
      </c>
      <c r="H1855" s="32" t="str">
        <f>IFERROR(VLOOKUP(B1855,双一流!$B$2:$D$148,3,FALSE),"")</f>
        <v/>
      </c>
      <c r="I1855" s="32">
        <f>IFERROR(VLOOKUP(B1855,汇总!$B$2:$I$2921,8,FALSE),"")</f>
        <v>0</v>
      </c>
      <c r="J1855" s="29" t="s">
        <v>1700</v>
      </c>
      <c r="K1855" s="29" t="s">
        <v>12</v>
      </c>
    </row>
    <row r="1856" ht="33.75" spans="1:11">
      <c r="A1856" s="29">
        <v>1855</v>
      </c>
      <c r="B1856" s="34" t="s">
        <v>2190</v>
      </c>
      <c r="C1856" s="29" t="str">
        <f>VLOOKUP(B1856,教育部大学名单!$B$1:$D$2920,3,FALSE)</f>
        <v>山东省</v>
      </c>
      <c r="D1856" s="34" t="s">
        <v>628</v>
      </c>
      <c r="E1856" s="34" t="s">
        <v>662</v>
      </c>
      <c r="F1856" s="36" t="str">
        <f>IFERROR(VLOOKUP(B1856,'985'!$B$2:$D$40,3,FALSE),"")</f>
        <v/>
      </c>
      <c r="G1856" s="32" t="str">
        <f>IFERROR(VLOOKUP(B1856,'211'!$B$2:$D$116,3,FALSE),"")</f>
        <v/>
      </c>
      <c r="H1856" s="32" t="str">
        <f>IFERROR(VLOOKUP(B1856,双一流!$B$2:$D$148,3,FALSE),"")</f>
        <v/>
      </c>
      <c r="I1856" s="32" t="str">
        <f>IFERROR(VLOOKUP(B1856,汇总!$B$2:$I$2921,8,FALSE),"")</f>
        <v>医药</v>
      </c>
      <c r="J1856" s="34" t="s">
        <v>1700</v>
      </c>
      <c r="K1856" s="34" t="s">
        <v>12</v>
      </c>
    </row>
    <row r="1857" ht="33.75" spans="1:11">
      <c r="A1857" s="34">
        <v>1856</v>
      </c>
      <c r="B1857" s="29" t="s">
        <v>2191</v>
      </c>
      <c r="C1857" s="29" t="str">
        <f>VLOOKUP(B1857,教育部大学名单!$B$1:$D$2920,3,FALSE)</f>
        <v>山东省</v>
      </c>
      <c r="D1857" s="29" t="s">
        <v>628</v>
      </c>
      <c r="E1857" s="29" t="s">
        <v>666</v>
      </c>
      <c r="F1857" s="36" t="str">
        <f>IFERROR(VLOOKUP(B1857,'985'!$B$2:$D$40,3,FALSE),"")</f>
        <v/>
      </c>
      <c r="G1857" s="32" t="str">
        <f>IFERROR(VLOOKUP(B1857,'211'!$B$2:$D$116,3,FALSE),"")</f>
        <v/>
      </c>
      <c r="H1857" s="32" t="str">
        <f>IFERROR(VLOOKUP(B1857,双一流!$B$2:$D$148,3,FALSE),"")</f>
        <v/>
      </c>
      <c r="I1857" s="32" t="str">
        <f>IFERROR(VLOOKUP(B1857,汇总!$B$2:$I$2921,8,FALSE),"")</f>
        <v>医药</v>
      </c>
      <c r="J1857" s="29" t="s">
        <v>1700</v>
      </c>
      <c r="K1857" s="29" t="s">
        <v>12</v>
      </c>
    </row>
    <row r="1858" ht="33.75" spans="1:11">
      <c r="A1858" s="29">
        <v>1857</v>
      </c>
      <c r="B1858" s="34" t="s">
        <v>2192</v>
      </c>
      <c r="C1858" s="29" t="str">
        <f>VLOOKUP(B1858,教育部大学名单!$B$1:$D$2920,3,FALSE)</f>
        <v>山东省</v>
      </c>
      <c r="D1858" s="34" t="s">
        <v>628</v>
      </c>
      <c r="E1858" s="34" t="s">
        <v>629</v>
      </c>
      <c r="F1858" s="36" t="str">
        <f>IFERROR(VLOOKUP(B1858,'985'!$B$2:$D$40,3,FALSE),"")</f>
        <v/>
      </c>
      <c r="G1858" s="32" t="str">
        <f>IFERROR(VLOOKUP(B1858,'211'!$B$2:$D$116,3,FALSE),"")</f>
        <v/>
      </c>
      <c r="H1858" s="32" t="str">
        <f>IFERROR(VLOOKUP(B1858,双一流!$B$2:$D$148,3,FALSE),"")</f>
        <v/>
      </c>
      <c r="I1858" s="32" t="str">
        <f>IFERROR(VLOOKUP(B1858,汇总!$B$2:$I$2921,8,FALSE),"")</f>
        <v>财经</v>
      </c>
      <c r="J1858" s="34" t="s">
        <v>1700</v>
      </c>
      <c r="K1858" s="34" t="s">
        <v>12</v>
      </c>
    </row>
    <row r="1859" ht="33.75" spans="1:11">
      <c r="A1859" s="34">
        <v>1858</v>
      </c>
      <c r="B1859" s="29" t="s">
        <v>2193</v>
      </c>
      <c r="C1859" s="29" t="str">
        <f>VLOOKUP(B1859,教育部大学名单!$B$1:$D$2920,3,FALSE)</f>
        <v>山东省</v>
      </c>
      <c r="D1859" s="29" t="s">
        <v>628</v>
      </c>
      <c r="E1859" s="29" t="s">
        <v>629</v>
      </c>
      <c r="F1859" s="36" t="str">
        <f>IFERROR(VLOOKUP(B1859,'985'!$B$2:$D$40,3,FALSE),"")</f>
        <v/>
      </c>
      <c r="G1859" s="32" t="str">
        <f>IFERROR(VLOOKUP(B1859,'211'!$B$2:$D$116,3,FALSE),"")</f>
        <v/>
      </c>
      <c r="H1859" s="32" t="str">
        <f>IFERROR(VLOOKUP(B1859,双一流!$B$2:$D$148,3,FALSE),"")</f>
        <v/>
      </c>
      <c r="I1859" s="32" t="str">
        <f>IFERROR(VLOOKUP(B1859,汇总!$B$2:$I$2921,8,FALSE),"")</f>
        <v>理工</v>
      </c>
      <c r="J1859" s="29" t="s">
        <v>1700</v>
      </c>
      <c r="K1859" s="29" t="s">
        <v>12</v>
      </c>
    </row>
    <row r="1860" ht="33.75" spans="1:11">
      <c r="A1860" s="29">
        <v>1859</v>
      </c>
      <c r="B1860" s="34" t="s">
        <v>2194</v>
      </c>
      <c r="C1860" s="29" t="str">
        <f>VLOOKUP(B1860,教育部大学名单!$B$1:$D$2920,3,FALSE)</f>
        <v>山东省</v>
      </c>
      <c r="D1860" s="34" t="s">
        <v>628</v>
      </c>
      <c r="E1860" s="34" t="s">
        <v>631</v>
      </c>
      <c r="F1860" s="36" t="str">
        <f>IFERROR(VLOOKUP(B1860,'985'!$B$2:$D$40,3,FALSE),"")</f>
        <v/>
      </c>
      <c r="G1860" s="32" t="str">
        <f>IFERROR(VLOOKUP(B1860,'211'!$B$2:$D$116,3,FALSE),"")</f>
        <v/>
      </c>
      <c r="H1860" s="32" t="str">
        <f>IFERROR(VLOOKUP(B1860,双一流!$B$2:$D$148,3,FALSE),"")</f>
        <v/>
      </c>
      <c r="I1860" s="32" t="str">
        <f>IFERROR(VLOOKUP(B1860,汇总!$B$2:$I$2921,8,FALSE),"")</f>
        <v>综合</v>
      </c>
      <c r="J1860" s="34" t="s">
        <v>1700</v>
      </c>
      <c r="K1860" s="34" t="s">
        <v>12</v>
      </c>
    </row>
    <row r="1861" ht="33.75" spans="1:11">
      <c r="A1861" s="34">
        <v>1860</v>
      </c>
      <c r="B1861" s="29" t="s">
        <v>2195</v>
      </c>
      <c r="C1861" s="29" t="str">
        <f>VLOOKUP(B1861,教育部大学名单!$B$1:$D$2920,3,FALSE)</f>
        <v>山东省</v>
      </c>
      <c r="D1861" s="29" t="s">
        <v>628</v>
      </c>
      <c r="E1861" s="29" t="s">
        <v>1470</v>
      </c>
      <c r="F1861" s="36" t="str">
        <f>IFERROR(VLOOKUP(B1861,'985'!$B$2:$D$40,3,FALSE),"")</f>
        <v/>
      </c>
      <c r="G1861" s="32" t="str">
        <f>IFERROR(VLOOKUP(B1861,'211'!$B$2:$D$116,3,FALSE),"")</f>
        <v/>
      </c>
      <c r="H1861" s="32" t="str">
        <f>IFERROR(VLOOKUP(B1861,双一流!$B$2:$D$148,3,FALSE),"")</f>
        <v/>
      </c>
      <c r="I1861" s="32" t="str">
        <f>IFERROR(VLOOKUP(B1861,汇总!$B$2:$I$2921,8,FALSE),"")</f>
        <v>综合</v>
      </c>
      <c r="J1861" s="29" t="s">
        <v>1700</v>
      </c>
      <c r="K1861" s="29" t="s">
        <v>12</v>
      </c>
    </row>
    <row r="1862" ht="33.75" spans="1:11">
      <c r="A1862" s="29">
        <v>1861</v>
      </c>
      <c r="B1862" s="34" t="s">
        <v>2196</v>
      </c>
      <c r="C1862" s="29" t="str">
        <f>VLOOKUP(B1862,教育部大学名单!$B$1:$D$2920,3,FALSE)</f>
        <v>山东省</v>
      </c>
      <c r="D1862" s="34" t="s">
        <v>628</v>
      </c>
      <c r="E1862" s="34" t="s">
        <v>629</v>
      </c>
      <c r="F1862" s="36" t="str">
        <f>IFERROR(VLOOKUP(B1862,'985'!$B$2:$D$40,3,FALSE),"")</f>
        <v/>
      </c>
      <c r="G1862" s="32" t="str">
        <f>IFERROR(VLOOKUP(B1862,'211'!$B$2:$D$116,3,FALSE),"")</f>
        <v/>
      </c>
      <c r="H1862" s="32" t="str">
        <f>IFERROR(VLOOKUP(B1862,双一流!$B$2:$D$148,3,FALSE),"")</f>
        <v/>
      </c>
      <c r="I1862" s="32" t="str">
        <f>IFERROR(VLOOKUP(B1862,汇总!$B$2:$I$2921,8,FALSE),"")</f>
        <v>理工</v>
      </c>
      <c r="J1862" s="34" t="s">
        <v>1700</v>
      </c>
      <c r="K1862" s="34" t="s">
        <v>12</v>
      </c>
    </row>
    <row r="1863" ht="33.75" spans="1:11">
      <c r="A1863" s="34">
        <v>1862</v>
      </c>
      <c r="B1863" s="29" t="s">
        <v>2197</v>
      </c>
      <c r="C1863" s="29" t="str">
        <f>VLOOKUP(B1863,教育部大学名单!$B$1:$D$2920,3,FALSE)</f>
        <v>山东省</v>
      </c>
      <c r="D1863" s="29" t="s">
        <v>628</v>
      </c>
      <c r="E1863" s="29" t="s">
        <v>629</v>
      </c>
      <c r="F1863" s="36" t="str">
        <f>IFERROR(VLOOKUP(B1863,'985'!$B$2:$D$40,3,FALSE),"")</f>
        <v/>
      </c>
      <c r="G1863" s="32" t="str">
        <f>IFERROR(VLOOKUP(B1863,'211'!$B$2:$D$116,3,FALSE),"")</f>
        <v/>
      </c>
      <c r="H1863" s="32" t="str">
        <f>IFERROR(VLOOKUP(B1863,双一流!$B$2:$D$148,3,FALSE),"")</f>
        <v/>
      </c>
      <c r="I1863" s="32" t="str">
        <f>IFERROR(VLOOKUP(B1863,汇总!$B$2:$I$2921,8,FALSE),"")</f>
        <v>理工</v>
      </c>
      <c r="J1863" s="29" t="s">
        <v>1700</v>
      </c>
      <c r="K1863" s="29" t="s">
        <v>12</v>
      </c>
    </row>
    <row r="1864" ht="33.75" spans="1:11">
      <c r="A1864" s="29">
        <v>1863</v>
      </c>
      <c r="B1864" s="34" t="s">
        <v>2198</v>
      </c>
      <c r="C1864" s="29" t="str">
        <f>VLOOKUP(B1864,教育部大学名单!$B$1:$D$2920,3,FALSE)</f>
        <v>山东省</v>
      </c>
      <c r="D1864" s="34" t="s">
        <v>628</v>
      </c>
      <c r="E1864" s="34" t="s">
        <v>629</v>
      </c>
      <c r="F1864" s="36" t="str">
        <f>IFERROR(VLOOKUP(B1864,'985'!$B$2:$D$40,3,FALSE),"")</f>
        <v/>
      </c>
      <c r="G1864" s="32" t="str">
        <f>IFERROR(VLOOKUP(B1864,'211'!$B$2:$D$116,3,FALSE),"")</f>
        <v/>
      </c>
      <c r="H1864" s="32" t="str">
        <f>IFERROR(VLOOKUP(B1864,双一流!$B$2:$D$148,3,FALSE),"")</f>
        <v/>
      </c>
      <c r="I1864" s="32" t="str">
        <f>IFERROR(VLOOKUP(B1864,汇总!$B$2:$I$2921,8,FALSE),"")</f>
        <v>综合</v>
      </c>
      <c r="J1864" s="34" t="s">
        <v>1700</v>
      </c>
      <c r="K1864" s="34" t="s">
        <v>12</v>
      </c>
    </row>
    <row r="1865" ht="33.75" spans="1:11">
      <c r="A1865" s="34">
        <v>1864</v>
      </c>
      <c r="B1865" s="29" t="s">
        <v>2199</v>
      </c>
      <c r="C1865" s="29" t="str">
        <f>VLOOKUP(B1865,教育部大学名单!$B$1:$D$2920,3,FALSE)</f>
        <v>山东省</v>
      </c>
      <c r="D1865" s="29" t="s">
        <v>628</v>
      </c>
      <c r="E1865" s="29" t="s">
        <v>651</v>
      </c>
      <c r="F1865" s="36" t="str">
        <f>IFERROR(VLOOKUP(B1865,'985'!$B$2:$D$40,3,FALSE),"")</f>
        <v/>
      </c>
      <c r="G1865" s="32" t="str">
        <f>IFERROR(VLOOKUP(B1865,'211'!$B$2:$D$116,3,FALSE),"")</f>
        <v/>
      </c>
      <c r="H1865" s="32" t="str">
        <f>IFERROR(VLOOKUP(B1865,双一流!$B$2:$D$148,3,FALSE),"")</f>
        <v/>
      </c>
      <c r="I1865" s="32" t="str">
        <f>IFERROR(VLOOKUP(B1865,汇总!$B$2:$I$2921,8,FALSE),"")</f>
        <v>综合</v>
      </c>
      <c r="J1865" s="29" t="s">
        <v>1700</v>
      </c>
      <c r="K1865" s="29" t="s">
        <v>12</v>
      </c>
    </row>
    <row r="1866" ht="33.75" spans="1:11">
      <c r="A1866" s="29">
        <v>1865</v>
      </c>
      <c r="B1866" s="34" t="s">
        <v>2200</v>
      </c>
      <c r="C1866" s="29" t="str">
        <f>VLOOKUP(B1866,教育部大学名单!$B$1:$D$2920,3,FALSE)</f>
        <v>山东省</v>
      </c>
      <c r="D1866" s="34" t="s">
        <v>628</v>
      </c>
      <c r="E1866" s="34" t="s">
        <v>645</v>
      </c>
      <c r="F1866" s="36" t="str">
        <f>IFERROR(VLOOKUP(B1866,'985'!$B$2:$D$40,3,FALSE),"")</f>
        <v/>
      </c>
      <c r="G1866" s="32" t="str">
        <f>IFERROR(VLOOKUP(B1866,'211'!$B$2:$D$116,3,FALSE),"")</f>
        <v/>
      </c>
      <c r="H1866" s="32" t="str">
        <f>IFERROR(VLOOKUP(B1866,双一流!$B$2:$D$148,3,FALSE),"")</f>
        <v/>
      </c>
      <c r="I1866" s="32" t="str">
        <f>IFERROR(VLOOKUP(B1866,汇总!$B$2:$I$2921,8,FALSE),"")</f>
        <v>综合</v>
      </c>
      <c r="J1866" s="34" t="s">
        <v>1700</v>
      </c>
      <c r="K1866" s="34" t="s">
        <v>12</v>
      </c>
    </row>
    <row r="1867" ht="33.75" spans="1:11">
      <c r="A1867" s="34">
        <v>1866</v>
      </c>
      <c r="B1867" s="29" t="s">
        <v>2201</v>
      </c>
      <c r="C1867" s="29" t="str">
        <f>VLOOKUP(B1867,教育部大学名单!$B$1:$D$2920,3,FALSE)</f>
        <v>山东省</v>
      </c>
      <c r="D1867" s="29" t="s">
        <v>628</v>
      </c>
      <c r="E1867" s="29" t="s">
        <v>660</v>
      </c>
      <c r="F1867" s="36" t="str">
        <f>IFERROR(VLOOKUP(B1867,'985'!$B$2:$D$40,3,FALSE),"")</f>
        <v/>
      </c>
      <c r="G1867" s="32" t="str">
        <f>IFERROR(VLOOKUP(B1867,'211'!$B$2:$D$116,3,FALSE),"")</f>
        <v/>
      </c>
      <c r="H1867" s="32" t="str">
        <f>IFERROR(VLOOKUP(B1867,双一流!$B$2:$D$148,3,FALSE),"")</f>
        <v/>
      </c>
      <c r="I1867" s="32" t="str">
        <f>IFERROR(VLOOKUP(B1867,汇总!$B$2:$I$2921,8,FALSE),"")</f>
        <v>综合</v>
      </c>
      <c r="J1867" s="29" t="s">
        <v>1700</v>
      </c>
      <c r="K1867" s="29" t="s">
        <v>12</v>
      </c>
    </row>
    <row r="1868" ht="33.75" spans="1:11">
      <c r="A1868" s="29">
        <v>1867</v>
      </c>
      <c r="B1868" s="34" t="s">
        <v>2202</v>
      </c>
      <c r="C1868" s="29" t="str">
        <f>VLOOKUP(B1868,教育部大学名单!$B$1:$D$2920,3,FALSE)</f>
        <v>山东省</v>
      </c>
      <c r="D1868" s="34" t="s">
        <v>628</v>
      </c>
      <c r="E1868" s="34" t="s">
        <v>681</v>
      </c>
      <c r="F1868" s="36" t="str">
        <f>IFERROR(VLOOKUP(B1868,'985'!$B$2:$D$40,3,FALSE),"")</f>
        <v/>
      </c>
      <c r="G1868" s="32" t="str">
        <f>IFERROR(VLOOKUP(B1868,'211'!$B$2:$D$116,3,FALSE),"")</f>
        <v/>
      </c>
      <c r="H1868" s="32" t="str">
        <f>IFERROR(VLOOKUP(B1868,双一流!$B$2:$D$148,3,FALSE),"")</f>
        <v/>
      </c>
      <c r="I1868" s="32" t="str">
        <f>IFERROR(VLOOKUP(B1868,汇总!$B$2:$I$2921,8,FALSE),"")</f>
        <v>综合</v>
      </c>
      <c r="J1868" s="34" t="s">
        <v>1700</v>
      </c>
      <c r="K1868" s="34" t="s">
        <v>12</v>
      </c>
    </row>
    <row r="1869" ht="33.75" spans="1:11">
      <c r="A1869" s="34">
        <v>1868</v>
      </c>
      <c r="B1869" s="29" t="s">
        <v>2203</v>
      </c>
      <c r="C1869" s="29" t="str">
        <f>VLOOKUP(B1869,教育部大学名单!$B$1:$D$2920,3,FALSE)</f>
        <v>山东省</v>
      </c>
      <c r="D1869" s="29" t="s">
        <v>628</v>
      </c>
      <c r="E1869" s="29" t="s">
        <v>655</v>
      </c>
      <c r="F1869" s="36" t="str">
        <f>IFERROR(VLOOKUP(B1869,'985'!$B$2:$D$40,3,FALSE),"")</f>
        <v/>
      </c>
      <c r="G1869" s="32" t="str">
        <f>IFERROR(VLOOKUP(B1869,'211'!$B$2:$D$116,3,FALSE),"")</f>
        <v/>
      </c>
      <c r="H1869" s="32" t="str">
        <f>IFERROR(VLOOKUP(B1869,双一流!$B$2:$D$148,3,FALSE),"")</f>
        <v/>
      </c>
      <c r="I1869" s="32" t="str">
        <f>IFERROR(VLOOKUP(B1869,汇总!$B$2:$I$2921,8,FALSE),"")</f>
        <v>综合</v>
      </c>
      <c r="J1869" s="29" t="s">
        <v>1700</v>
      </c>
      <c r="K1869" s="29" t="s">
        <v>12</v>
      </c>
    </row>
    <row r="1870" ht="33.75" spans="1:11">
      <c r="A1870" s="29">
        <v>1869</v>
      </c>
      <c r="B1870" s="34" t="s">
        <v>2204</v>
      </c>
      <c r="C1870" s="29" t="str">
        <f>VLOOKUP(B1870,教育部大学名单!$B$1:$D$2920,3,FALSE)</f>
        <v>山东省</v>
      </c>
      <c r="D1870" s="34" t="s">
        <v>628</v>
      </c>
      <c r="E1870" s="34" t="s">
        <v>645</v>
      </c>
      <c r="F1870" s="36" t="str">
        <f>IFERROR(VLOOKUP(B1870,'985'!$B$2:$D$40,3,FALSE),"")</f>
        <v/>
      </c>
      <c r="G1870" s="32" t="str">
        <f>IFERROR(VLOOKUP(B1870,'211'!$B$2:$D$116,3,FALSE),"")</f>
        <v/>
      </c>
      <c r="H1870" s="32" t="str">
        <f>IFERROR(VLOOKUP(B1870,双一流!$B$2:$D$148,3,FALSE),"")</f>
        <v/>
      </c>
      <c r="I1870" s="32" t="str">
        <f>IFERROR(VLOOKUP(B1870,汇总!$B$2:$I$2921,8,FALSE),"")</f>
        <v>理工</v>
      </c>
      <c r="J1870" s="34" t="s">
        <v>1700</v>
      </c>
      <c r="K1870" s="34" t="s">
        <v>12</v>
      </c>
    </row>
    <row r="1871" ht="33.75" spans="1:11">
      <c r="A1871" s="34">
        <v>1870</v>
      </c>
      <c r="B1871" s="29" t="s">
        <v>2205</v>
      </c>
      <c r="C1871" s="29" t="str">
        <f>VLOOKUP(B1871,教育部大学名单!$B$1:$D$2920,3,FALSE)</f>
        <v>山东省</v>
      </c>
      <c r="D1871" s="29" t="s">
        <v>628</v>
      </c>
      <c r="E1871" s="29" t="s">
        <v>642</v>
      </c>
      <c r="F1871" s="36" t="str">
        <f>IFERROR(VLOOKUP(B1871,'985'!$B$2:$D$40,3,FALSE),"")</f>
        <v/>
      </c>
      <c r="G1871" s="32" t="str">
        <f>IFERROR(VLOOKUP(B1871,'211'!$B$2:$D$116,3,FALSE),"")</f>
        <v/>
      </c>
      <c r="H1871" s="32" t="str">
        <f>IFERROR(VLOOKUP(B1871,双一流!$B$2:$D$148,3,FALSE),"")</f>
        <v/>
      </c>
      <c r="I1871" s="32" t="str">
        <f>IFERROR(VLOOKUP(B1871,汇总!$B$2:$I$2921,8,FALSE),"")</f>
        <v>综合</v>
      </c>
      <c r="J1871" s="29" t="s">
        <v>1700</v>
      </c>
      <c r="K1871" s="29" t="s">
        <v>12</v>
      </c>
    </row>
    <row r="1872" ht="33.75" spans="1:11">
      <c r="A1872" s="29">
        <v>1871</v>
      </c>
      <c r="B1872" s="34" t="s">
        <v>2206</v>
      </c>
      <c r="C1872" s="29" t="str">
        <f>VLOOKUP(B1872,教育部大学名单!$B$1:$D$2920,3,FALSE)</f>
        <v>山东省</v>
      </c>
      <c r="D1872" s="34" t="s">
        <v>628</v>
      </c>
      <c r="E1872" s="34" t="s">
        <v>688</v>
      </c>
      <c r="F1872" s="36" t="str">
        <f>IFERROR(VLOOKUP(B1872,'985'!$B$2:$D$40,3,FALSE),"")</f>
        <v/>
      </c>
      <c r="G1872" s="32" t="str">
        <f>IFERROR(VLOOKUP(B1872,'211'!$B$2:$D$116,3,FALSE),"")</f>
        <v/>
      </c>
      <c r="H1872" s="32" t="str">
        <f>IFERROR(VLOOKUP(B1872,双一流!$B$2:$D$148,3,FALSE),"")</f>
        <v/>
      </c>
      <c r="I1872" s="32" t="str">
        <f>IFERROR(VLOOKUP(B1872,汇总!$B$2:$I$2921,8,FALSE),"")</f>
        <v>理工</v>
      </c>
      <c r="J1872" s="34" t="s">
        <v>1700</v>
      </c>
      <c r="K1872" s="34" t="s">
        <v>12</v>
      </c>
    </row>
    <row r="1873" ht="33.75" spans="1:11">
      <c r="A1873" s="34">
        <v>1872</v>
      </c>
      <c r="B1873" s="29" t="s">
        <v>2207</v>
      </c>
      <c r="C1873" s="29" t="str">
        <f>VLOOKUP(B1873,教育部大学名单!$B$1:$D$2920,3,FALSE)</f>
        <v>山东省</v>
      </c>
      <c r="D1873" s="29" t="s">
        <v>628</v>
      </c>
      <c r="E1873" s="29" t="s">
        <v>645</v>
      </c>
      <c r="F1873" s="36" t="str">
        <f>IFERROR(VLOOKUP(B1873,'985'!$B$2:$D$40,3,FALSE),"")</f>
        <v/>
      </c>
      <c r="G1873" s="32" t="str">
        <f>IFERROR(VLOOKUP(B1873,'211'!$B$2:$D$116,3,FALSE),"")</f>
        <v/>
      </c>
      <c r="H1873" s="32" t="str">
        <f>IFERROR(VLOOKUP(B1873,双一流!$B$2:$D$148,3,FALSE),"")</f>
        <v/>
      </c>
      <c r="I1873" s="32" t="str">
        <f>IFERROR(VLOOKUP(B1873,汇总!$B$2:$I$2921,8,FALSE),"")</f>
        <v>农林</v>
      </c>
      <c r="J1873" s="29" t="s">
        <v>1700</v>
      </c>
      <c r="K1873" s="29" t="s">
        <v>12</v>
      </c>
    </row>
    <row r="1874" ht="33.75" spans="1:11">
      <c r="A1874" s="29">
        <v>1873</v>
      </c>
      <c r="B1874" s="34" t="s">
        <v>2208</v>
      </c>
      <c r="C1874" s="29" t="str">
        <f>VLOOKUP(B1874,教育部大学名单!$B$1:$D$2920,3,FALSE)</f>
        <v>山东省</v>
      </c>
      <c r="D1874" s="34" t="s">
        <v>628</v>
      </c>
      <c r="E1874" s="34" t="s">
        <v>681</v>
      </c>
      <c r="F1874" s="36" t="str">
        <f>IFERROR(VLOOKUP(B1874,'985'!$B$2:$D$40,3,FALSE),"")</f>
        <v/>
      </c>
      <c r="G1874" s="32" t="str">
        <f>IFERROR(VLOOKUP(B1874,'211'!$B$2:$D$116,3,FALSE),"")</f>
        <v/>
      </c>
      <c r="H1874" s="32" t="str">
        <f>IFERROR(VLOOKUP(B1874,双一流!$B$2:$D$148,3,FALSE),"")</f>
        <v/>
      </c>
      <c r="I1874" s="32">
        <f>IFERROR(VLOOKUP(B1874,汇总!$B$2:$I$2921,8,FALSE),"")</f>
        <v>0</v>
      </c>
      <c r="J1874" s="34" t="s">
        <v>1700</v>
      </c>
      <c r="K1874" s="34" t="s">
        <v>12</v>
      </c>
    </row>
    <row r="1875" ht="33.75" spans="1:11">
      <c r="A1875" s="34">
        <v>1874</v>
      </c>
      <c r="B1875" s="29" t="s">
        <v>2209</v>
      </c>
      <c r="C1875" s="29" t="str">
        <f>VLOOKUP(B1875,教育部大学名单!$B$1:$D$2920,3,FALSE)</f>
        <v>山东省</v>
      </c>
      <c r="D1875" s="29" t="s">
        <v>628</v>
      </c>
      <c r="E1875" s="29" t="s">
        <v>645</v>
      </c>
      <c r="F1875" s="36" t="str">
        <f>IFERROR(VLOOKUP(B1875,'985'!$B$2:$D$40,3,FALSE),"")</f>
        <v/>
      </c>
      <c r="G1875" s="32" t="str">
        <f>IFERROR(VLOOKUP(B1875,'211'!$B$2:$D$116,3,FALSE),"")</f>
        <v/>
      </c>
      <c r="H1875" s="32" t="str">
        <f>IFERROR(VLOOKUP(B1875,双一流!$B$2:$D$148,3,FALSE),"")</f>
        <v/>
      </c>
      <c r="I1875" s="32" t="str">
        <f>IFERROR(VLOOKUP(B1875,汇总!$B$2:$I$2921,8,FALSE),"")</f>
        <v>理工</v>
      </c>
      <c r="J1875" s="29" t="s">
        <v>1700</v>
      </c>
      <c r="K1875" s="29" t="s">
        <v>12</v>
      </c>
    </row>
    <row r="1876" ht="33.75" spans="1:11">
      <c r="A1876" s="29">
        <v>1875</v>
      </c>
      <c r="B1876" s="34" t="s">
        <v>2210</v>
      </c>
      <c r="C1876" s="29" t="str">
        <f>VLOOKUP(B1876,教育部大学名单!$B$1:$D$2920,3,FALSE)</f>
        <v>山东省</v>
      </c>
      <c r="D1876" s="34" t="s">
        <v>628</v>
      </c>
      <c r="E1876" s="34" t="s">
        <v>631</v>
      </c>
      <c r="F1876" s="36" t="str">
        <f>IFERROR(VLOOKUP(B1876,'985'!$B$2:$D$40,3,FALSE),"")</f>
        <v/>
      </c>
      <c r="G1876" s="32" t="str">
        <f>IFERROR(VLOOKUP(B1876,'211'!$B$2:$D$116,3,FALSE),"")</f>
        <v/>
      </c>
      <c r="H1876" s="32" t="str">
        <f>IFERROR(VLOOKUP(B1876,双一流!$B$2:$D$148,3,FALSE),"")</f>
        <v/>
      </c>
      <c r="I1876" s="32" t="str">
        <f>IFERROR(VLOOKUP(B1876,汇总!$B$2:$I$2921,8,FALSE),"")</f>
        <v>财经</v>
      </c>
      <c r="J1876" s="34" t="s">
        <v>1700</v>
      </c>
      <c r="K1876" s="34" t="s">
        <v>12</v>
      </c>
    </row>
    <row r="1877" ht="50.25" spans="1:11">
      <c r="A1877" s="34">
        <v>1876</v>
      </c>
      <c r="B1877" s="29" t="s">
        <v>2211</v>
      </c>
      <c r="C1877" s="29" t="str">
        <f>VLOOKUP(B1877,教育部大学名单!$B$1:$D$2920,3,FALSE)</f>
        <v>山东省</v>
      </c>
      <c r="D1877" s="29" t="s">
        <v>628</v>
      </c>
      <c r="E1877" s="29" t="s">
        <v>631</v>
      </c>
      <c r="F1877" s="36" t="str">
        <f>IFERROR(VLOOKUP(B1877,'985'!$B$2:$D$40,3,FALSE),"")</f>
        <v/>
      </c>
      <c r="G1877" s="32" t="str">
        <f>IFERROR(VLOOKUP(B1877,'211'!$B$2:$D$116,3,FALSE),"")</f>
        <v/>
      </c>
      <c r="H1877" s="32" t="str">
        <f>IFERROR(VLOOKUP(B1877,双一流!$B$2:$D$148,3,FALSE),"")</f>
        <v/>
      </c>
      <c r="I1877" s="32" t="str">
        <f>IFERROR(VLOOKUP(B1877,汇总!$B$2:$I$2921,8,FALSE),"")</f>
        <v>综合</v>
      </c>
      <c r="J1877" s="29" t="s">
        <v>1700</v>
      </c>
      <c r="K1877" s="29" t="s">
        <v>12</v>
      </c>
    </row>
    <row r="1878" ht="33.75" spans="1:11">
      <c r="A1878" s="29">
        <v>1877</v>
      </c>
      <c r="B1878" s="34" t="s">
        <v>2212</v>
      </c>
      <c r="C1878" s="29" t="str">
        <f>VLOOKUP(B1878,教育部大学名单!$B$1:$D$2920,3,FALSE)</f>
        <v>山东省</v>
      </c>
      <c r="D1878" s="34" t="s">
        <v>628</v>
      </c>
      <c r="E1878" s="34" t="s">
        <v>645</v>
      </c>
      <c r="F1878" s="36" t="str">
        <f>IFERROR(VLOOKUP(B1878,'985'!$B$2:$D$40,3,FALSE),"")</f>
        <v/>
      </c>
      <c r="G1878" s="32" t="str">
        <f>IFERROR(VLOOKUP(B1878,'211'!$B$2:$D$116,3,FALSE),"")</f>
        <v/>
      </c>
      <c r="H1878" s="32" t="str">
        <f>IFERROR(VLOOKUP(B1878,双一流!$B$2:$D$148,3,FALSE),"")</f>
        <v/>
      </c>
      <c r="I1878" s="32" t="str">
        <f>IFERROR(VLOOKUP(B1878,汇总!$B$2:$I$2921,8,FALSE),"")</f>
        <v>理工</v>
      </c>
      <c r="J1878" s="34" t="s">
        <v>1700</v>
      </c>
      <c r="K1878" s="34" t="s">
        <v>12</v>
      </c>
    </row>
    <row r="1879" ht="33.75" spans="1:11">
      <c r="A1879" s="34">
        <v>1878</v>
      </c>
      <c r="B1879" s="29" t="s">
        <v>2213</v>
      </c>
      <c r="C1879" s="29" t="str">
        <f>VLOOKUP(B1879,教育部大学名单!$B$1:$D$2920,3,FALSE)</f>
        <v>山东省</v>
      </c>
      <c r="D1879" s="29" t="s">
        <v>628</v>
      </c>
      <c r="E1879" s="29" t="s">
        <v>631</v>
      </c>
      <c r="F1879" s="36" t="str">
        <f>IFERROR(VLOOKUP(B1879,'985'!$B$2:$D$40,3,FALSE),"")</f>
        <v/>
      </c>
      <c r="G1879" s="32" t="str">
        <f>IFERROR(VLOOKUP(B1879,'211'!$B$2:$D$116,3,FALSE),"")</f>
        <v/>
      </c>
      <c r="H1879" s="32" t="str">
        <f>IFERROR(VLOOKUP(B1879,双一流!$B$2:$D$148,3,FALSE),"")</f>
        <v/>
      </c>
      <c r="I1879" s="32" t="str">
        <f>IFERROR(VLOOKUP(B1879,汇总!$B$2:$I$2921,8,FALSE),"")</f>
        <v>理工</v>
      </c>
      <c r="J1879" s="29" t="s">
        <v>1700</v>
      </c>
      <c r="K1879" s="29" t="s">
        <v>12</v>
      </c>
    </row>
    <row r="1880" ht="33.75" spans="1:11">
      <c r="A1880" s="29">
        <v>1879</v>
      </c>
      <c r="B1880" s="34" t="s">
        <v>2214</v>
      </c>
      <c r="C1880" s="29" t="str">
        <f>VLOOKUP(B1880,教育部大学名单!$B$1:$D$2920,3,FALSE)</f>
        <v>山东省</v>
      </c>
      <c r="D1880" s="34" t="s">
        <v>628</v>
      </c>
      <c r="E1880" s="34" t="s">
        <v>681</v>
      </c>
      <c r="F1880" s="36" t="str">
        <f>IFERROR(VLOOKUP(B1880,'985'!$B$2:$D$40,3,FALSE),"")</f>
        <v/>
      </c>
      <c r="G1880" s="32" t="str">
        <f>IFERROR(VLOOKUP(B1880,'211'!$B$2:$D$116,3,FALSE),"")</f>
        <v/>
      </c>
      <c r="H1880" s="32" t="str">
        <f>IFERROR(VLOOKUP(B1880,双一流!$B$2:$D$148,3,FALSE),"")</f>
        <v/>
      </c>
      <c r="I1880" s="32" t="str">
        <f>IFERROR(VLOOKUP(B1880,汇总!$B$2:$I$2921,8,FALSE),"")</f>
        <v>理工</v>
      </c>
      <c r="J1880" s="34" t="s">
        <v>1700</v>
      </c>
      <c r="K1880" s="34" t="s">
        <v>12</v>
      </c>
    </row>
    <row r="1881" ht="33.75" spans="1:11">
      <c r="A1881" s="34">
        <v>1880</v>
      </c>
      <c r="B1881" s="29" t="s">
        <v>2215</v>
      </c>
      <c r="C1881" s="29" t="str">
        <f>VLOOKUP(B1881,教育部大学名单!$B$1:$D$2920,3,FALSE)</f>
        <v>山东省</v>
      </c>
      <c r="D1881" s="29" t="s">
        <v>628</v>
      </c>
      <c r="E1881" s="29" t="s">
        <v>645</v>
      </c>
      <c r="F1881" s="36" t="str">
        <f>IFERROR(VLOOKUP(B1881,'985'!$B$2:$D$40,3,FALSE),"")</f>
        <v/>
      </c>
      <c r="G1881" s="32" t="str">
        <f>IFERROR(VLOOKUP(B1881,'211'!$B$2:$D$116,3,FALSE),"")</f>
        <v/>
      </c>
      <c r="H1881" s="32" t="str">
        <f>IFERROR(VLOOKUP(B1881,双一流!$B$2:$D$148,3,FALSE),"")</f>
        <v/>
      </c>
      <c r="I1881" s="32" t="str">
        <f>IFERROR(VLOOKUP(B1881,汇总!$B$2:$I$2921,8,FALSE),"")</f>
        <v>财经</v>
      </c>
      <c r="J1881" s="29" t="s">
        <v>1700</v>
      </c>
      <c r="K1881" s="29" t="s">
        <v>12</v>
      </c>
    </row>
    <row r="1882" ht="33.75" spans="1:11">
      <c r="A1882" s="29">
        <v>1881</v>
      </c>
      <c r="B1882" s="34" t="s">
        <v>2216</v>
      </c>
      <c r="C1882" s="29" t="str">
        <f>VLOOKUP(B1882,教育部大学名单!$B$1:$D$2920,3,FALSE)</f>
        <v>山东省</v>
      </c>
      <c r="D1882" s="34" t="s">
        <v>628</v>
      </c>
      <c r="E1882" s="34" t="s">
        <v>640</v>
      </c>
      <c r="F1882" s="36" t="str">
        <f>IFERROR(VLOOKUP(B1882,'985'!$B$2:$D$40,3,FALSE),"")</f>
        <v/>
      </c>
      <c r="G1882" s="32" t="str">
        <f>IFERROR(VLOOKUP(B1882,'211'!$B$2:$D$116,3,FALSE),"")</f>
        <v/>
      </c>
      <c r="H1882" s="32" t="str">
        <f>IFERROR(VLOOKUP(B1882,双一流!$B$2:$D$148,3,FALSE),"")</f>
        <v/>
      </c>
      <c r="I1882" s="32" t="str">
        <f>IFERROR(VLOOKUP(B1882,汇总!$B$2:$I$2921,8,FALSE),"")</f>
        <v>理工</v>
      </c>
      <c r="J1882" s="34" t="s">
        <v>1700</v>
      </c>
      <c r="K1882" s="34" t="s">
        <v>12</v>
      </c>
    </row>
    <row r="1883" ht="33.75" spans="1:11">
      <c r="A1883" s="34">
        <v>1882</v>
      </c>
      <c r="B1883" s="29" t="s">
        <v>2217</v>
      </c>
      <c r="C1883" s="29" t="str">
        <f>VLOOKUP(B1883,教育部大学名单!$B$1:$D$2920,3,FALSE)</f>
        <v>山东省</v>
      </c>
      <c r="D1883" s="29" t="s">
        <v>628</v>
      </c>
      <c r="E1883" s="29" t="s">
        <v>645</v>
      </c>
      <c r="F1883" s="36" t="str">
        <f>IFERROR(VLOOKUP(B1883,'985'!$B$2:$D$40,3,FALSE),"")</f>
        <v/>
      </c>
      <c r="G1883" s="32" t="str">
        <f>IFERROR(VLOOKUP(B1883,'211'!$B$2:$D$116,3,FALSE),"")</f>
        <v/>
      </c>
      <c r="H1883" s="32" t="str">
        <f>IFERROR(VLOOKUP(B1883,双一流!$B$2:$D$148,3,FALSE),"")</f>
        <v/>
      </c>
      <c r="I1883" s="32" t="str">
        <f>IFERROR(VLOOKUP(B1883,汇总!$B$2:$I$2921,8,FALSE),"")</f>
        <v>理工</v>
      </c>
      <c r="J1883" s="29" t="s">
        <v>1700</v>
      </c>
      <c r="K1883" s="29" t="s">
        <v>12</v>
      </c>
    </row>
    <row r="1884" ht="33.75" spans="1:11">
      <c r="A1884" s="29">
        <v>1883</v>
      </c>
      <c r="B1884" s="34" t="s">
        <v>2218</v>
      </c>
      <c r="C1884" s="29" t="str">
        <f>VLOOKUP(B1884,教育部大学名单!$B$1:$D$2920,3,FALSE)</f>
        <v>山东省</v>
      </c>
      <c r="D1884" s="34" t="s">
        <v>628</v>
      </c>
      <c r="E1884" s="34" t="s">
        <v>629</v>
      </c>
      <c r="F1884" s="36" t="str">
        <f>IFERROR(VLOOKUP(B1884,'985'!$B$2:$D$40,3,FALSE),"")</f>
        <v/>
      </c>
      <c r="G1884" s="32" t="str">
        <f>IFERROR(VLOOKUP(B1884,'211'!$B$2:$D$116,3,FALSE),"")</f>
        <v/>
      </c>
      <c r="H1884" s="32" t="str">
        <f>IFERROR(VLOOKUP(B1884,双一流!$B$2:$D$148,3,FALSE),"")</f>
        <v/>
      </c>
      <c r="I1884" s="32" t="str">
        <f>IFERROR(VLOOKUP(B1884,汇总!$B$2:$I$2921,8,FALSE),"")</f>
        <v>综合</v>
      </c>
      <c r="J1884" s="34" t="s">
        <v>1700</v>
      </c>
      <c r="K1884" s="34" t="s">
        <v>12</v>
      </c>
    </row>
    <row r="1885" ht="33.75" spans="1:11">
      <c r="A1885" s="34">
        <v>1884</v>
      </c>
      <c r="B1885" s="29" t="s">
        <v>2219</v>
      </c>
      <c r="C1885" s="29" t="str">
        <f>VLOOKUP(B1885,教育部大学名单!$B$1:$D$2920,3,FALSE)</f>
        <v>山东省</v>
      </c>
      <c r="D1885" s="29" t="s">
        <v>628</v>
      </c>
      <c r="E1885" s="29" t="s">
        <v>660</v>
      </c>
      <c r="F1885" s="36" t="str">
        <f>IFERROR(VLOOKUP(B1885,'985'!$B$2:$D$40,3,FALSE),"")</f>
        <v/>
      </c>
      <c r="G1885" s="32" t="str">
        <f>IFERROR(VLOOKUP(B1885,'211'!$B$2:$D$116,3,FALSE),"")</f>
        <v/>
      </c>
      <c r="H1885" s="32" t="str">
        <f>IFERROR(VLOOKUP(B1885,双一流!$B$2:$D$148,3,FALSE),"")</f>
        <v/>
      </c>
      <c r="I1885" s="32" t="str">
        <f>IFERROR(VLOOKUP(B1885,汇总!$B$2:$I$2921,8,FALSE),"")</f>
        <v>理工</v>
      </c>
      <c r="J1885" s="29" t="s">
        <v>1700</v>
      </c>
      <c r="K1885" s="29" t="s">
        <v>12</v>
      </c>
    </row>
    <row r="1886" ht="33.75" spans="1:11">
      <c r="A1886" s="29">
        <v>1885</v>
      </c>
      <c r="B1886" s="34" t="s">
        <v>2220</v>
      </c>
      <c r="C1886" s="29" t="str">
        <f>VLOOKUP(B1886,教育部大学名单!$B$1:$D$2920,3,FALSE)</f>
        <v>山东省</v>
      </c>
      <c r="D1886" s="34" t="s">
        <v>628</v>
      </c>
      <c r="E1886" s="34" t="s">
        <v>657</v>
      </c>
      <c r="F1886" s="36" t="str">
        <f>IFERROR(VLOOKUP(B1886,'985'!$B$2:$D$40,3,FALSE),"")</f>
        <v/>
      </c>
      <c r="G1886" s="32" t="str">
        <f>IFERROR(VLOOKUP(B1886,'211'!$B$2:$D$116,3,FALSE),"")</f>
        <v/>
      </c>
      <c r="H1886" s="32" t="str">
        <f>IFERROR(VLOOKUP(B1886,双一流!$B$2:$D$148,3,FALSE),"")</f>
        <v/>
      </c>
      <c r="I1886" s="32" t="str">
        <f>IFERROR(VLOOKUP(B1886,汇总!$B$2:$I$2921,8,FALSE),"")</f>
        <v>综合</v>
      </c>
      <c r="J1886" s="34" t="s">
        <v>1700</v>
      </c>
      <c r="K1886" s="34" t="s">
        <v>12</v>
      </c>
    </row>
    <row r="1887" ht="33.75" spans="1:11">
      <c r="A1887" s="34">
        <v>1886</v>
      </c>
      <c r="B1887" s="29" t="s">
        <v>2221</v>
      </c>
      <c r="C1887" s="29" t="str">
        <f>VLOOKUP(B1887,教育部大学名单!$B$1:$D$2920,3,FALSE)</f>
        <v>山东省</v>
      </c>
      <c r="D1887" s="29" t="s">
        <v>628</v>
      </c>
      <c r="E1887" s="29" t="s">
        <v>671</v>
      </c>
      <c r="F1887" s="36" t="str">
        <f>IFERROR(VLOOKUP(B1887,'985'!$B$2:$D$40,3,FALSE),"")</f>
        <v/>
      </c>
      <c r="G1887" s="32" t="str">
        <f>IFERROR(VLOOKUP(B1887,'211'!$B$2:$D$116,3,FALSE),"")</f>
        <v/>
      </c>
      <c r="H1887" s="32" t="str">
        <f>IFERROR(VLOOKUP(B1887,双一流!$B$2:$D$148,3,FALSE),"")</f>
        <v/>
      </c>
      <c r="I1887" s="32" t="str">
        <f>IFERROR(VLOOKUP(B1887,汇总!$B$2:$I$2921,8,FALSE),"")</f>
        <v>综合</v>
      </c>
      <c r="J1887" s="29" t="s">
        <v>1700</v>
      </c>
      <c r="K1887" s="29" t="s">
        <v>12</v>
      </c>
    </row>
    <row r="1888" ht="33.75" spans="1:11">
      <c r="A1888" s="29">
        <v>1887</v>
      </c>
      <c r="B1888" s="34" t="s">
        <v>2222</v>
      </c>
      <c r="C1888" s="29" t="str">
        <f>VLOOKUP(B1888,教育部大学名单!$B$1:$D$2920,3,FALSE)</f>
        <v>山东省</v>
      </c>
      <c r="D1888" s="34" t="s">
        <v>628</v>
      </c>
      <c r="E1888" s="34" t="s">
        <v>640</v>
      </c>
      <c r="F1888" s="36" t="str">
        <f>IFERROR(VLOOKUP(B1888,'985'!$B$2:$D$40,3,FALSE),"")</f>
        <v/>
      </c>
      <c r="G1888" s="32" t="str">
        <f>IFERROR(VLOOKUP(B1888,'211'!$B$2:$D$116,3,FALSE),"")</f>
        <v/>
      </c>
      <c r="H1888" s="32" t="str">
        <f>IFERROR(VLOOKUP(B1888,双一流!$B$2:$D$148,3,FALSE),"")</f>
        <v/>
      </c>
      <c r="I1888" s="32" t="str">
        <f>IFERROR(VLOOKUP(B1888,汇总!$B$2:$I$2921,8,FALSE),"")</f>
        <v>师范</v>
      </c>
      <c r="J1888" s="34" t="s">
        <v>1700</v>
      </c>
      <c r="K1888" s="34" t="s">
        <v>12</v>
      </c>
    </row>
    <row r="1889" ht="50.25" spans="1:11">
      <c r="A1889" s="34">
        <v>1888</v>
      </c>
      <c r="B1889" s="29" t="s">
        <v>2223</v>
      </c>
      <c r="C1889" s="29" t="str">
        <f>VLOOKUP(B1889,教育部大学名单!$B$1:$D$2920,3,FALSE)</f>
        <v>山东省</v>
      </c>
      <c r="D1889" s="29" t="s">
        <v>628</v>
      </c>
      <c r="E1889" s="29" t="s">
        <v>660</v>
      </c>
      <c r="F1889" s="36" t="str">
        <f>IFERROR(VLOOKUP(B1889,'985'!$B$2:$D$40,3,FALSE),"")</f>
        <v/>
      </c>
      <c r="G1889" s="32" t="str">
        <f>IFERROR(VLOOKUP(B1889,'211'!$B$2:$D$116,3,FALSE),"")</f>
        <v/>
      </c>
      <c r="H1889" s="32" t="str">
        <f>IFERROR(VLOOKUP(B1889,双一流!$B$2:$D$148,3,FALSE),"")</f>
        <v/>
      </c>
      <c r="I1889" s="32" t="str">
        <f>IFERROR(VLOOKUP(B1889,汇总!$B$2:$I$2921,8,FALSE),"")</f>
        <v>医药</v>
      </c>
      <c r="J1889" s="29" t="s">
        <v>1700</v>
      </c>
      <c r="K1889" s="29" t="s">
        <v>12</v>
      </c>
    </row>
    <row r="1890" ht="33.75" spans="1:11">
      <c r="A1890" s="29">
        <v>1889</v>
      </c>
      <c r="B1890" s="34" t="s">
        <v>2224</v>
      </c>
      <c r="C1890" s="29" t="str">
        <f>VLOOKUP(B1890,教育部大学名单!$B$1:$D$2920,3,FALSE)</f>
        <v>山东省</v>
      </c>
      <c r="D1890" s="34" t="s">
        <v>628</v>
      </c>
      <c r="E1890" s="34" t="s">
        <v>629</v>
      </c>
      <c r="F1890" s="36" t="str">
        <f>IFERROR(VLOOKUP(B1890,'985'!$B$2:$D$40,3,FALSE),"")</f>
        <v/>
      </c>
      <c r="G1890" s="32" t="str">
        <f>IFERROR(VLOOKUP(B1890,'211'!$B$2:$D$116,3,FALSE),"")</f>
        <v/>
      </c>
      <c r="H1890" s="32" t="str">
        <f>IFERROR(VLOOKUP(B1890,双一流!$B$2:$D$148,3,FALSE),"")</f>
        <v/>
      </c>
      <c r="I1890" s="32" t="str">
        <f>IFERROR(VLOOKUP(B1890,汇总!$B$2:$I$2921,8,FALSE),"")</f>
        <v>理工</v>
      </c>
      <c r="J1890" s="34" t="s">
        <v>1700</v>
      </c>
      <c r="K1890" s="34" t="s">
        <v>12</v>
      </c>
    </row>
    <row r="1891" ht="33.75" spans="1:11">
      <c r="A1891" s="34">
        <v>1890</v>
      </c>
      <c r="B1891" s="29" t="s">
        <v>2225</v>
      </c>
      <c r="C1891" s="29" t="str">
        <f>VLOOKUP(B1891,教育部大学名单!$B$1:$D$2920,3,FALSE)</f>
        <v>山东省</v>
      </c>
      <c r="D1891" s="29" t="s">
        <v>628</v>
      </c>
      <c r="E1891" s="29" t="s">
        <v>629</v>
      </c>
      <c r="F1891" s="36" t="str">
        <f>IFERROR(VLOOKUP(B1891,'985'!$B$2:$D$40,3,FALSE),"")</f>
        <v/>
      </c>
      <c r="G1891" s="32" t="str">
        <f>IFERROR(VLOOKUP(B1891,'211'!$B$2:$D$116,3,FALSE),"")</f>
        <v/>
      </c>
      <c r="H1891" s="32" t="str">
        <f>IFERROR(VLOOKUP(B1891,双一流!$B$2:$D$148,3,FALSE),"")</f>
        <v/>
      </c>
      <c r="I1891" s="32" t="str">
        <f>IFERROR(VLOOKUP(B1891,汇总!$B$2:$I$2921,8,FALSE),"")</f>
        <v>理工</v>
      </c>
      <c r="J1891" s="29" t="s">
        <v>1700</v>
      </c>
      <c r="K1891" s="29" t="s">
        <v>12</v>
      </c>
    </row>
    <row r="1892" ht="33.75" spans="1:11">
      <c r="A1892" s="29">
        <v>1891</v>
      </c>
      <c r="B1892" s="34" t="s">
        <v>2226</v>
      </c>
      <c r="C1892" s="29" t="str">
        <f>VLOOKUP(B1892,教育部大学名单!$B$1:$D$2920,3,FALSE)</f>
        <v>山东省</v>
      </c>
      <c r="D1892" s="34" t="s">
        <v>628</v>
      </c>
      <c r="E1892" s="34" t="s">
        <v>629</v>
      </c>
      <c r="F1892" s="36" t="str">
        <f>IFERROR(VLOOKUP(B1892,'985'!$B$2:$D$40,3,FALSE),"")</f>
        <v/>
      </c>
      <c r="G1892" s="32" t="str">
        <f>IFERROR(VLOOKUP(B1892,'211'!$B$2:$D$116,3,FALSE),"")</f>
        <v/>
      </c>
      <c r="H1892" s="32" t="str">
        <f>IFERROR(VLOOKUP(B1892,双一流!$B$2:$D$148,3,FALSE),"")</f>
        <v/>
      </c>
      <c r="I1892" s="32" t="str">
        <f>IFERROR(VLOOKUP(B1892,汇总!$B$2:$I$2921,8,FALSE),"")</f>
        <v>综合</v>
      </c>
      <c r="J1892" s="34" t="s">
        <v>1700</v>
      </c>
      <c r="K1892" s="34" t="s">
        <v>12</v>
      </c>
    </row>
    <row r="1893" ht="33.75" spans="1:11">
      <c r="A1893" s="34">
        <v>1892</v>
      </c>
      <c r="B1893" s="29" t="s">
        <v>2227</v>
      </c>
      <c r="C1893" s="29" t="str">
        <f>VLOOKUP(B1893,教育部大学名单!$B$1:$D$2920,3,FALSE)</f>
        <v>山东省</v>
      </c>
      <c r="D1893" s="29" t="s">
        <v>628</v>
      </c>
      <c r="E1893" s="29" t="s">
        <v>640</v>
      </c>
      <c r="F1893" s="36" t="str">
        <f>IFERROR(VLOOKUP(B1893,'985'!$B$2:$D$40,3,FALSE),"")</f>
        <v/>
      </c>
      <c r="G1893" s="32" t="str">
        <f>IFERROR(VLOOKUP(B1893,'211'!$B$2:$D$116,3,FALSE),"")</f>
        <v/>
      </c>
      <c r="H1893" s="32" t="str">
        <f>IFERROR(VLOOKUP(B1893,双一流!$B$2:$D$148,3,FALSE),"")</f>
        <v/>
      </c>
      <c r="I1893" s="32" t="str">
        <f>IFERROR(VLOOKUP(B1893,汇总!$B$2:$I$2921,8,FALSE),"")</f>
        <v>理工</v>
      </c>
      <c r="J1893" s="29" t="s">
        <v>1700</v>
      </c>
      <c r="K1893" s="29" t="s">
        <v>12</v>
      </c>
    </row>
    <row r="1894" ht="33.75" spans="1:11">
      <c r="A1894" s="29">
        <v>1893</v>
      </c>
      <c r="B1894" s="34" t="s">
        <v>2228</v>
      </c>
      <c r="C1894" s="29" t="str">
        <f>VLOOKUP(B1894,教育部大学名单!$B$1:$D$2920,3,FALSE)</f>
        <v>山东省</v>
      </c>
      <c r="D1894" s="34" t="s">
        <v>628</v>
      </c>
      <c r="E1894" s="34" t="s">
        <v>642</v>
      </c>
      <c r="F1894" s="36" t="str">
        <f>IFERROR(VLOOKUP(B1894,'985'!$B$2:$D$40,3,FALSE),"")</f>
        <v/>
      </c>
      <c r="G1894" s="32" t="str">
        <f>IFERROR(VLOOKUP(B1894,'211'!$B$2:$D$116,3,FALSE),"")</f>
        <v/>
      </c>
      <c r="H1894" s="32" t="str">
        <f>IFERROR(VLOOKUP(B1894,双一流!$B$2:$D$148,3,FALSE),"")</f>
        <v/>
      </c>
      <c r="I1894" s="32" t="str">
        <f>IFERROR(VLOOKUP(B1894,汇总!$B$2:$I$2921,8,FALSE),"")</f>
        <v>综合</v>
      </c>
      <c r="J1894" s="34" t="s">
        <v>1700</v>
      </c>
      <c r="K1894" s="34" t="s">
        <v>12</v>
      </c>
    </row>
    <row r="1895" ht="33.75" spans="1:11">
      <c r="A1895" s="34">
        <v>1894</v>
      </c>
      <c r="B1895" s="29" t="s">
        <v>2229</v>
      </c>
      <c r="C1895" s="29" t="str">
        <f>VLOOKUP(B1895,教育部大学名单!$B$1:$D$2920,3,FALSE)</f>
        <v>山东省</v>
      </c>
      <c r="D1895" s="29" t="s">
        <v>628</v>
      </c>
      <c r="E1895" s="29" t="s">
        <v>1470</v>
      </c>
      <c r="F1895" s="36" t="str">
        <f>IFERROR(VLOOKUP(B1895,'985'!$B$2:$D$40,3,FALSE),"")</f>
        <v/>
      </c>
      <c r="G1895" s="32" t="str">
        <f>IFERROR(VLOOKUP(B1895,'211'!$B$2:$D$116,3,FALSE),"")</f>
        <v/>
      </c>
      <c r="H1895" s="32" t="str">
        <f>IFERROR(VLOOKUP(B1895,双一流!$B$2:$D$148,3,FALSE),"")</f>
        <v/>
      </c>
      <c r="I1895" s="32" t="str">
        <f>IFERROR(VLOOKUP(B1895,汇总!$B$2:$I$2921,8,FALSE),"")</f>
        <v>医药</v>
      </c>
      <c r="J1895" s="29" t="s">
        <v>1700</v>
      </c>
      <c r="K1895" s="29" t="s">
        <v>12</v>
      </c>
    </row>
    <row r="1896" ht="33.75" spans="1:11">
      <c r="A1896" s="29">
        <v>1895</v>
      </c>
      <c r="B1896" s="34" t="s">
        <v>2230</v>
      </c>
      <c r="C1896" s="29" t="str">
        <f>VLOOKUP(B1896,教育部大学名单!$B$1:$D$2920,3,FALSE)</f>
        <v>山东省</v>
      </c>
      <c r="D1896" s="34" t="s">
        <v>628</v>
      </c>
      <c r="E1896" s="34" t="s">
        <v>660</v>
      </c>
      <c r="F1896" s="36" t="str">
        <f>IFERROR(VLOOKUP(B1896,'985'!$B$2:$D$40,3,FALSE),"")</f>
        <v/>
      </c>
      <c r="G1896" s="32" t="str">
        <f>IFERROR(VLOOKUP(B1896,'211'!$B$2:$D$116,3,FALSE),"")</f>
        <v/>
      </c>
      <c r="H1896" s="32" t="str">
        <f>IFERROR(VLOOKUP(B1896,双一流!$B$2:$D$148,3,FALSE),"")</f>
        <v/>
      </c>
      <c r="I1896" s="32" t="str">
        <f>IFERROR(VLOOKUP(B1896,汇总!$B$2:$I$2921,8,FALSE),"")</f>
        <v>综合</v>
      </c>
      <c r="J1896" s="34" t="s">
        <v>1700</v>
      </c>
      <c r="K1896" s="34" t="s">
        <v>12</v>
      </c>
    </row>
    <row r="1897" ht="33.75" spans="1:11">
      <c r="A1897" s="34">
        <v>1896</v>
      </c>
      <c r="B1897" s="29" t="s">
        <v>2231</v>
      </c>
      <c r="C1897" s="29" t="str">
        <f>VLOOKUP(B1897,教育部大学名单!$B$1:$D$2920,3,FALSE)</f>
        <v>山东省</v>
      </c>
      <c r="D1897" s="29" t="s">
        <v>628</v>
      </c>
      <c r="E1897" s="29" t="s">
        <v>640</v>
      </c>
      <c r="F1897" s="36" t="str">
        <f>IFERROR(VLOOKUP(B1897,'985'!$B$2:$D$40,3,FALSE),"")</f>
        <v/>
      </c>
      <c r="G1897" s="32" t="str">
        <f>IFERROR(VLOOKUP(B1897,'211'!$B$2:$D$116,3,FALSE),"")</f>
        <v/>
      </c>
      <c r="H1897" s="32" t="str">
        <f>IFERROR(VLOOKUP(B1897,双一流!$B$2:$D$148,3,FALSE),"")</f>
        <v/>
      </c>
      <c r="I1897" s="32" t="str">
        <f>IFERROR(VLOOKUP(B1897,汇总!$B$2:$I$2921,8,FALSE),"")</f>
        <v>理工</v>
      </c>
      <c r="J1897" s="29" t="s">
        <v>1700</v>
      </c>
      <c r="K1897" s="29" t="s">
        <v>12</v>
      </c>
    </row>
    <row r="1898" ht="33.75" spans="1:11">
      <c r="A1898" s="29">
        <v>1897</v>
      </c>
      <c r="B1898" s="34" t="s">
        <v>2232</v>
      </c>
      <c r="C1898" s="29" t="str">
        <f>VLOOKUP(B1898,教育部大学名单!$B$1:$D$2920,3,FALSE)</f>
        <v>山东省</v>
      </c>
      <c r="D1898" s="34" t="s">
        <v>628</v>
      </c>
      <c r="E1898" s="34" t="s">
        <v>629</v>
      </c>
      <c r="F1898" s="36" t="str">
        <f>IFERROR(VLOOKUP(B1898,'985'!$B$2:$D$40,3,FALSE),"")</f>
        <v/>
      </c>
      <c r="G1898" s="32" t="str">
        <f>IFERROR(VLOOKUP(B1898,'211'!$B$2:$D$116,3,FALSE),"")</f>
        <v/>
      </c>
      <c r="H1898" s="32" t="str">
        <f>IFERROR(VLOOKUP(B1898,双一流!$B$2:$D$148,3,FALSE),"")</f>
        <v/>
      </c>
      <c r="I1898" s="32" t="str">
        <f>IFERROR(VLOOKUP(B1898,汇总!$B$2:$I$2921,8,FALSE),"")</f>
        <v>理工</v>
      </c>
      <c r="J1898" s="34" t="s">
        <v>1700</v>
      </c>
      <c r="K1898" s="34" t="s">
        <v>12</v>
      </c>
    </row>
    <row r="1899" ht="33.75" spans="1:11">
      <c r="A1899" s="34">
        <v>1898</v>
      </c>
      <c r="B1899" s="29" t="s">
        <v>2233</v>
      </c>
      <c r="C1899" s="29" t="str">
        <f>VLOOKUP(B1899,教育部大学名单!$B$1:$D$2920,3,FALSE)</f>
        <v>山东省</v>
      </c>
      <c r="D1899" s="29" t="s">
        <v>628</v>
      </c>
      <c r="E1899" s="29" t="s">
        <v>660</v>
      </c>
      <c r="F1899" s="36" t="str">
        <f>IFERROR(VLOOKUP(B1899,'985'!$B$2:$D$40,3,FALSE),"")</f>
        <v/>
      </c>
      <c r="G1899" s="32" t="str">
        <f>IFERROR(VLOOKUP(B1899,'211'!$B$2:$D$116,3,FALSE),"")</f>
        <v/>
      </c>
      <c r="H1899" s="32" t="str">
        <f>IFERROR(VLOOKUP(B1899,双一流!$B$2:$D$148,3,FALSE),"")</f>
        <v/>
      </c>
      <c r="I1899" s="32" t="str">
        <f>IFERROR(VLOOKUP(B1899,汇总!$B$2:$I$2921,8,FALSE),"")</f>
        <v>理工</v>
      </c>
      <c r="J1899" s="29" t="s">
        <v>1700</v>
      </c>
      <c r="K1899" s="29" t="s">
        <v>12</v>
      </c>
    </row>
    <row r="1900" ht="33.75" spans="1:11">
      <c r="A1900" s="29">
        <v>1899</v>
      </c>
      <c r="B1900" s="34" t="s">
        <v>2234</v>
      </c>
      <c r="C1900" s="29" t="str">
        <f>VLOOKUP(B1900,教育部大学名单!$B$1:$D$2920,3,FALSE)</f>
        <v>山东省</v>
      </c>
      <c r="D1900" s="34" t="s">
        <v>628</v>
      </c>
      <c r="E1900" s="34" t="s">
        <v>629</v>
      </c>
      <c r="F1900" s="36" t="str">
        <f>IFERROR(VLOOKUP(B1900,'985'!$B$2:$D$40,3,FALSE),"")</f>
        <v/>
      </c>
      <c r="G1900" s="32" t="str">
        <f>IFERROR(VLOOKUP(B1900,'211'!$B$2:$D$116,3,FALSE),"")</f>
        <v/>
      </c>
      <c r="H1900" s="32" t="str">
        <f>IFERROR(VLOOKUP(B1900,双一流!$B$2:$D$148,3,FALSE),"")</f>
        <v/>
      </c>
      <c r="I1900" s="32" t="str">
        <f>IFERROR(VLOOKUP(B1900,汇总!$B$2:$I$2921,8,FALSE),"")</f>
        <v>政法</v>
      </c>
      <c r="J1900" s="34" t="s">
        <v>1700</v>
      </c>
      <c r="K1900" s="34" t="s">
        <v>12</v>
      </c>
    </row>
    <row r="1901" ht="33.75" spans="1:11">
      <c r="A1901" s="34">
        <v>1900</v>
      </c>
      <c r="B1901" s="29" t="s">
        <v>2235</v>
      </c>
      <c r="C1901" s="29" t="str">
        <f>VLOOKUP(B1901,教育部大学名单!$B$1:$D$2920,3,FALSE)</f>
        <v>山东省</v>
      </c>
      <c r="D1901" s="29" t="s">
        <v>628</v>
      </c>
      <c r="E1901" s="29" t="s">
        <v>666</v>
      </c>
      <c r="F1901" s="36" t="str">
        <f>IFERROR(VLOOKUP(B1901,'985'!$B$2:$D$40,3,FALSE),"")</f>
        <v/>
      </c>
      <c r="G1901" s="32" t="str">
        <f>IFERROR(VLOOKUP(B1901,'211'!$B$2:$D$116,3,FALSE),"")</f>
        <v/>
      </c>
      <c r="H1901" s="32" t="str">
        <f>IFERROR(VLOOKUP(B1901,双一流!$B$2:$D$148,3,FALSE),"")</f>
        <v/>
      </c>
      <c r="I1901" s="32" t="str">
        <f>IFERROR(VLOOKUP(B1901,汇总!$B$2:$I$2921,8,FALSE),"")</f>
        <v>综合</v>
      </c>
      <c r="J1901" s="29" t="s">
        <v>1700</v>
      </c>
      <c r="K1901" s="29" t="s">
        <v>12</v>
      </c>
    </row>
    <row r="1902" ht="33.75" spans="1:11">
      <c r="A1902" s="29">
        <v>1901</v>
      </c>
      <c r="B1902" s="34" t="s">
        <v>2236</v>
      </c>
      <c r="C1902" s="29" t="str">
        <f>VLOOKUP(B1902,教育部大学名单!$B$1:$D$2920,3,FALSE)</f>
        <v>山东省</v>
      </c>
      <c r="D1902" s="34" t="s">
        <v>628</v>
      </c>
      <c r="E1902" s="34" t="s">
        <v>629</v>
      </c>
      <c r="F1902" s="36" t="str">
        <f>IFERROR(VLOOKUP(B1902,'985'!$B$2:$D$40,3,FALSE),"")</f>
        <v/>
      </c>
      <c r="G1902" s="32" t="str">
        <f>IFERROR(VLOOKUP(B1902,'211'!$B$2:$D$116,3,FALSE),"")</f>
        <v/>
      </c>
      <c r="H1902" s="32" t="str">
        <f>IFERROR(VLOOKUP(B1902,双一流!$B$2:$D$148,3,FALSE),"")</f>
        <v/>
      </c>
      <c r="I1902" s="32" t="str">
        <f>IFERROR(VLOOKUP(B1902,汇总!$B$2:$I$2921,8,FALSE),"")</f>
        <v>艺术</v>
      </c>
      <c r="J1902" s="34" t="s">
        <v>1700</v>
      </c>
      <c r="K1902" s="34" t="s">
        <v>12</v>
      </c>
    </row>
    <row r="1903" ht="33.75" spans="1:11">
      <c r="A1903" s="34">
        <v>1902</v>
      </c>
      <c r="B1903" s="29" t="s">
        <v>2237</v>
      </c>
      <c r="C1903" s="29" t="str">
        <f>VLOOKUP(B1903,教育部大学名单!$B$1:$D$2920,3,FALSE)</f>
        <v>山东省</v>
      </c>
      <c r="D1903" s="29" t="s">
        <v>628</v>
      </c>
      <c r="E1903" s="29" t="s">
        <v>662</v>
      </c>
      <c r="F1903" s="36" t="str">
        <f>IFERROR(VLOOKUP(B1903,'985'!$B$2:$D$40,3,FALSE),"")</f>
        <v/>
      </c>
      <c r="G1903" s="32" t="str">
        <f>IFERROR(VLOOKUP(B1903,'211'!$B$2:$D$116,3,FALSE),"")</f>
        <v/>
      </c>
      <c r="H1903" s="32" t="str">
        <f>IFERROR(VLOOKUP(B1903,双一流!$B$2:$D$148,3,FALSE),"")</f>
        <v/>
      </c>
      <c r="I1903" s="32" t="str">
        <f>IFERROR(VLOOKUP(B1903,汇总!$B$2:$I$2921,8,FALSE),"")</f>
        <v>理工</v>
      </c>
      <c r="J1903" s="29" t="s">
        <v>1700</v>
      </c>
      <c r="K1903" s="29" t="s">
        <v>12</v>
      </c>
    </row>
    <row r="1904" ht="33.75" spans="1:11">
      <c r="A1904" s="29">
        <v>1903</v>
      </c>
      <c r="B1904" s="34" t="s">
        <v>2238</v>
      </c>
      <c r="C1904" s="29" t="str">
        <f>VLOOKUP(B1904,教育部大学名单!$B$1:$D$2920,3,FALSE)</f>
        <v>山东省</v>
      </c>
      <c r="D1904" s="34" t="s">
        <v>628</v>
      </c>
      <c r="E1904" s="34" t="s">
        <v>671</v>
      </c>
      <c r="F1904" s="36" t="str">
        <f>IFERROR(VLOOKUP(B1904,'985'!$B$2:$D$40,3,FALSE),"")</f>
        <v/>
      </c>
      <c r="G1904" s="32" t="str">
        <f>IFERROR(VLOOKUP(B1904,'211'!$B$2:$D$116,3,FALSE),"")</f>
        <v/>
      </c>
      <c r="H1904" s="32" t="str">
        <f>IFERROR(VLOOKUP(B1904,双一流!$B$2:$D$148,3,FALSE),"")</f>
        <v/>
      </c>
      <c r="I1904" s="32" t="str">
        <f>IFERROR(VLOOKUP(B1904,汇总!$B$2:$I$2921,8,FALSE),"")</f>
        <v>综合</v>
      </c>
      <c r="J1904" s="34" t="s">
        <v>1700</v>
      </c>
      <c r="K1904" s="34" t="s">
        <v>12</v>
      </c>
    </row>
    <row r="1905" ht="33.75" spans="1:11">
      <c r="A1905" s="34">
        <v>1904</v>
      </c>
      <c r="B1905" s="29" t="s">
        <v>2239</v>
      </c>
      <c r="C1905" s="29" t="str">
        <f>VLOOKUP(B1905,教育部大学名单!$B$1:$D$2920,3,FALSE)</f>
        <v>山东省</v>
      </c>
      <c r="D1905" s="29" t="s">
        <v>628</v>
      </c>
      <c r="E1905" s="29" t="s">
        <v>651</v>
      </c>
      <c r="F1905" s="36" t="str">
        <f>IFERROR(VLOOKUP(B1905,'985'!$B$2:$D$40,3,FALSE),"")</f>
        <v/>
      </c>
      <c r="G1905" s="32" t="str">
        <f>IFERROR(VLOOKUP(B1905,'211'!$B$2:$D$116,3,FALSE),"")</f>
        <v/>
      </c>
      <c r="H1905" s="32" t="str">
        <f>IFERROR(VLOOKUP(B1905,双一流!$B$2:$D$148,3,FALSE),"")</f>
        <v/>
      </c>
      <c r="I1905" s="32" t="str">
        <f>IFERROR(VLOOKUP(B1905,汇总!$B$2:$I$2921,8,FALSE),"")</f>
        <v>综合</v>
      </c>
      <c r="J1905" s="29" t="s">
        <v>1700</v>
      </c>
      <c r="K1905" s="29" t="s">
        <v>12</v>
      </c>
    </row>
    <row r="1906" ht="33.75" spans="1:11">
      <c r="A1906" s="29">
        <v>1905</v>
      </c>
      <c r="B1906" s="34" t="s">
        <v>2240</v>
      </c>
      <c r="C1906" s="29" t="str">
        <f>VLOOKUP(B1906,教育部大学名单!$B$1:$D$2920,3,FALSE)</f>
        <v>山东省</v>
      </c>
      <c r="D1906" s="34" t="s">
        <v>628</v>
      </c>
      <c r="E1906" s="34" t="s">
        <v>631</v>
      </c>
      <c r="F1906" s="36" t="str">
        <f>IFERROR(VLOOKUP(B1906,'985'!$B$2:$D$40,3,FALSE),"")</f>
        <v/>
      </c>
      <c r="G1906" s="32" t="str">
        <f>IFERROR(VLOOKUP(B1906,'211'!$B$2:$D$116,3,FALSE),"")</f>
        <v/>
      </c>
      <c r="H1906" s="32" t="str">
        <f>IFERROR(VLOOKUP(B1906,双一流!$B$2:$D$148,3,FALSE),"")</f>
        <v/>
      </c>
      <c r="I1906" s="32" t="str">
        <f>IFERROR(VLOOKUP(B1906,汇总!$B$2:$I$2921,8,FALSE),"")</f>
        <v>理工</v>
      </c>
      <c r="J1906" s="34" t="s">
        <v>1700</v>
      </c>
      <c r="K1906" s="34" t="s">
        <v>12</v>
      </c>
    </row>
    <row r="1907" ht="50.25" spans="1:11">
      <c r="A1907" s="34">
        <v>1906</v>
      </c>
      <c r="B1907" s="29" t="s">
        <v>2241</v>
      </c>
      <c r="C1907" s="29" t="str">
        <f>VLOOKUP(B1907,教育部大学名单!$B$1:$D$2920,3,FALSE)</f>
        <v>山东省</v>
      </c>
      <c r="D1907" s="29" t="s">
        <v>628</v>
      </c>
      <c r="E1907" s="29" t="s">
        <v>629</v>
      </c>
      <c r="F1907" s="36" t="str">
        <f>IFERROR(VLOOKUP(B1907,'985'!$B$2:$D$40,3,FALSE),"")</f>
        <v/>
      </c>
      <c r="G1907" s="32" t="str">
        <f>IFERROR(VLOOKUP(B1907,'211'!$B$2:$D$116,3,FALSE),"")</f>
        <v/>
      </c>
      <c r="H1907" s="32" t="str">
        <f>IFERROR(VLOOKUP(B1907,双一流!$B$2:$D$148,3,FALSE),"")</f>
        <v/>
      </c>
      <c r="I1907" s="32" t="str">
        <f>IFERROR(VLOOKUP(B1907,汇总!$B$2:$I$2921,8,FALSE),"")</f>
        <v>师范</v>
      </c>
      <c r="J1907" s="29" t="s">
        <v>1700</v>
      </c>
      <c r="K1907" s="29" t="s">
        <v>12</v>
      </c>
    </row>
    <row r="1908" ht="33.75" spans="1:11">
      <c r="A1908" s="29">
        <v>1907</v>
      </c>
      <c r="B1908" s="34" t="s">
        <v>2242</v>
      </c>
      <c r="C1908" s="29" t="str">
        <f>VLOOKUP(B1908,教育部大学名单!$B$1:$D$2920,3,FALSE)</f>
        <v>山东省</v>
      </c>
      <c r="D1908" s="34" t="s">
        <v>628</v>
      </c>
      <c r="E1908" s="34" t="s">
        <v>629</v>
      </c>
      <c r="F1908" s="36" t="str">
        <f>IFERROR(VLOOKUP(B1908,'985'!$B$2:$D$40,3,FALSE),"")</f>
        <v/>
      </c>
      <c r="G1908" s="32" t="str">
        <f>IFERROR(VLOOKUP(B1908,'211'!$B$2:$D$116,3,FALSE),"")</f>
        <v/>
      </c>
      <c r="H1908" s="32" t="str">
        <f>IFERROR(VLOOKUP(B1908,双一流!$B$2:$D$148,3,FALSE),"")</f>
        <v/>
      </c>
      <c r="I1908" s="32" t="str">
        <f>IFERROR(VLOOKUP(B1908,汇总!$B$2:$I$2921,8,FALSE),"")</f>
        <v>医药</v>
      </c>
      <c r="J1908" s="34" t="s">
        <v>1700</v>
      </c>
      <c r="K1908" s="34" t="s">
        <v>12</v>
      </c>
    </row>
    <row r="1909" ht="33.75" spans="1:11">
      <c r="A1909" s="34">
        <v>1908</v>
      </c>
      <c r="B1909" s="29" t="s">
        <v>2243</v>
      </c>
      <c r="C1909" s="29" t="str">
        <f>VLOOKUP(B1909,教育部大学名单!$B$1:$D$2920,3,FALSE)</f>
        <v>山东省</v>
      </c>
      <c r="D1909" s="29" t="s">
        <v>628</v>
      </c>
      <c r="E1909" s="29" t="s">
        <v>642</v>
      </c>
      <c r="F1909" s="36" t="str">
        <f>IFERROR(VLOOKUP(B1909,'985'!$B$2:$D$40,3,FALSE),"")</f>
        <v/>
      </c>
      <c r="G1909" s="32" t="str">
        <f>IFERROR(VLOOKUP(B1909,'211'!$B$2:$D$116,3,FALSE),"")</f>
        <v/>
      </c>
      <c r="H1909" s="32" t="str">
        <f>IFERROR(VLOOKUP(B1909,双一流!$B$2:$D$148,3,FALSE),"")</f>
        <v/>
      </c>
      <c r="I1909" s="32" t="str">
        <f>IFERROR(VLOOKUP(B1909,汇总!$B$2:$I$2921,8,FALSE),"")</f>
        <v>医药</v>
      </c>
      <c r="J1909" s="29" t="s">
        <v>1700</v>
      </c>
      <c r="K1909" s="29" t="s">
        <v>12</v>
      </c>
    </row>
    <row r="1910" ht="33.75" spans="1:11">
      <c r="A1910" s="29">
        <v>1909</v>
      </c>
      <c r="B1910" s="34" t="s">
        <v>2244</v>
      </c>
      <c r="C1910" s="29" t="str">
        <f>VLOOKUP(B1910,教育部大学名单!$B$1:$D$2920,3,FALSE)</f>
        <v>山东省</v>
      </c>
      <c r="D1910" s="34" t="s">
        <v>628</v>
      </c>
      <c r="E1910" s="34" t="s">
        <v>645</v>
      </c>
      <c r="F1910" s="36" t="str">
        <f>IFERROR(VLOOKUP(B1910,'985'!$B$2:$D$40,3,FALSE),"")</f>
        <v/>
      </c>
      <c r="G1910" s="32" t="str">
        <f>IFERROR(VLOOKUP(B1910,'211'!$B$2:$D$116,3,FALSE),"")</f>
        <v/>
      </c>
      <c r="H1910" s="32" t="str">
        <f>IFERROR(VLOOKUP(B1910,双一流!$B$2:$D$148,3,FALSE),"")</f>
        <v/>
      </c>
      <c r="I1910" s="32" t="str">
        <f>IFERROR(VLOOKUP(B1910,汇总!$B$2:$I$2921,8,FALSE),"")</f>
        <v>医药</v>
      </c>
      <c r="J1910" s="34" t="s">
        <v>1700</v>
      </c>
      <c r="K1910" s="34" t="s">
        <v>12</v>
      </c>
    </row>
    <row r="1911" ht="33.75" spans="1:11">
      <c r="A1911" s="34">
        <v>1910</v>
      </c>
      <c r="B1911" s="29" t="s">
        <v>2245</v>
      </c>
      <c r="C1911" s="29" t="str">
        <f>VLOOKUP(B1911,教育部大学名单!$B$1:$D$2920,3,FALSE)</f>
        <v>山东省</v>
      </c>
      <c r="D1911" s="29" t="s">
        <v>628</v>
      </c>
      <c r="E1911" s="29" t="s">
        <v>645</v>
      </c>
      <c r="F1911" s="36" t="str">
        <f>IFERROR(VLOOKUP(B1911,'985'!$B$2:$D$40,3,FALSE),"")</f>
        <v/>
      </c>
      <c r="G1911" s="32" t="str">
        <f>IFERROR(VLOOKUP(B1911,'211'!$B$2:$D$116,3,FALSE),"")</f>
        <v/>
      </c>
      <c r="H1911" s="32" t="str">
        <f>IFERROR(VLOOKUP(B1911,双一流!$B$2:$D$148,3,FALSE),"")</f>
        <v/>
      </c>
      <c r="I1911" s="32" t="str">
        <f>IFERROR(VLOOKUP(B1911,汇总!$B$2:$I$2921,8,FALSE),"")</f>
        <v>理工</v>
      </c>
      <c r="J1911" s="29" t="s">
        <v>1700</v>
      </c>
      <c r="K1911" s="29" t="s">
        <v>12</v>
      </c>
    </row>
    <row r="1912" ht="33.75" spans="1:11">
      <c r="A1912" s="29">
        <v>1911</v>
      </c>
      <c r="B1912" s="34" t="s">
        <v>2246</v>
      </c>
      <c r="C1912" s="29" t="str">
        <f>VLOOKUP(B1912,教育部大学名单!$B$1:$D$2920,3,FALSE)</f>
        <v>山东省</v>
      </c>
      <c r="D1912" s="34" t="s">
        <v>628</v>
      </c>
      <c r="E1912" s="34" t="s">
        <v>666</v>
      </c>
      <c r="F1912" s="36" t="str">
        <f>IFERROR(VLOOKUP(B1912,'985'!$B$2:$D$40,3,FALSE),"")</f>
        <v/>
      </c>
      <c r="G1912" s="32" t="str">
        <f>IFERROR(VLOOKUP(B1912,'211'!$B$2:$D$116,3,FALSE),"")</f>
        <v/>
      </c>
      <c r="H1912" s="32" t="str">
        <f>IFERROR(VLOOKUP(B1912,双一流!$B$2:$D$148,3,FALSE),"")</f>
        <v/>
      </c>
      <c r="I1912" s="32" t="str">
        <f>IFERROR(VLOOKUP(B1912,汇总!$B$2:$I$2921,8,FALSE),"")</f>
        <v>综合</v>
      </c>
      <c r="J1912" s="34" t="s">
        <v>1700</v>
      </c>
      <c r="K1912" s="34" t="s">
        <v>12</v>
      </c>
    </row>
    <row r="1913" ht="33.75" spans="1:11">
      <c r="A1913" s="34">
        <v>1912</v>
      </c>
      <c r="B1913" s="29" t="s">
        <v>2247</v>
      </c>
      <c r="C1913" s="29" t="str">
        <f>VLOOKUP(B1913,教育部大学名单!$B$1:$D$2920,3,FALSE)</f>
        <v>山东省</v>
      </c>
      <c r="D1913" s="29" t="s">
        <v>628</v>
      </c>
      <c r="E1913" s="29" t="s">
        <v>1470</v>
      </c>
      <c r="F1913" s="36" t="str">
        <f>IFERROR(VLOOKUP(B1913,'985'!$B$2:$D$40,3,FALSE),"")</f>
        <v/>
      </c>
      <c r="G1913" s="32" t="str">
        <f>IFERROR(VLOOKUP(B1913,'211'!$B$2:$D$116,3,FALSE),"")</f>
        <v/>
      </c>
      <c r="H1913" s="32" t="str">
        <f>IFERROR(VLOOKUP(B1913,双一流!$B$2:$D$148,3,FALSE),"")</f>
        <v/>
      </c>
      <c r="I1913" s="32" t="str">
        <f>IFERROR(VLOOKUP(B1913,汇总!$B$2:$I$2921,8,FALSE),"")</f>
        <v>理工</v>
      </c>
      <c r="J1913" s="29" t="s">
        <v>1700</v>
      </c>
      <c r="K1913" s="29" t="s">
        <v>12</v>
      </c>
    </row>
    <row r="1914" ht="33.75" spans="1:11">
      <c r="A1914" s="29">
        <v>1913</v>
      </c>
      <c r="B1914" s="34" t="s">
        <v>2248</v>
      </c>
      <c r="C1914" s="29" t="str">
        <f>VLOOKUP(B1914,教育部大学名单!$B$1:$D$2920,3,FALSE)</f>
        <v>山东省</v>
      </c>
      <c r="D1914" s="34" t="s">
        <v>628</v>
      </c>
      <c r="E1914" s="34" t="s">
        <v>629</v>
      </c>
      <c r="F1914" s="36" t="str">
        <f>IFERROR(VLOOKUP(B1914,'985'!$B$2:$D$40,3,FALSE),"")</f>
        <v/>
      </c>
      <c r="G1914" s="32" t="str">
        <f>IFERROR(VLOOKUP(B1914,'211'!$B$2:$D$116,3,FALSE),"")</f>
        <v/>
      </c>
      <c r="H1914" s="32" t="str">
        <f>IFERROR(VLOOKUP(B1914,双一流!$B$2:$D$148,3,FALSE),"")</f>
        <v/>
      </c>
      <c r="I1914" s="32">
        <f>IFERROR(VLOOKUP(B1914,汇总!$B$2:$I$2921,8,FALSE),"")</f>
        <v>0</v>
      </c>
      <c r="J1914" s="34" t="s">
        <v>1700</v>
      </c>
      <c r="K1914" s="34" t="s">
        <v>12</v>
      </c>
    </row>
    <row r="1915" ht="33.75" spans="1:11">
      <c r="A1915" s="34">
        <v>1914</v>
      </c>
      <c r="B1915" s="29" t="s">
        <v>2249</v>
      </c>
      <c r="C1915" s="29" t="str">
        <f>VLOOKUP(B1915,教育部大学名单!$B$1:$D$2920,3,FALSE)</f>
        <v>山东省</v>
      </c>
      <c r="D1915" s="29" t="s">
        <v>628</v>
      </c>
      <c r="E1915" s="29" t="s">
        <v>631</v>
      </c>
      <c r="F1915" s="36" t="str">
        <f>IFERROR(VLOOKUP(B1915,'985'!$B$2:$D$40,3,FALSE),"")</f>
        <v/>
      </c>
      <c r="G1915" s="32" t="str">
        <f>IFERROR(VLOOKUP(B1915,'211'!$B$2:$D$116,3,FALSE),"")</f>
        <v/>
      </c>
      <c r="H1915" s="32" t="str">
        <f>IFERROR(VLOOKUP(B1915,双一流!$B$2:$D$148,3,FALSE),"")</f>
        <v/>
      </c>
      <c r="I1915" s="32">
        <f>IFERROR(VLOOKUP(B1915,汇总!$B$2:$I$2921,8,FALSE),"")</f>
        <v>0</v>
      </c>
      <c r="J1915" s="29" t="s">
        <v>1700</v>
      </c>
      <c r="K1915" s="29" t="s">
        <v>12</v>
      </c>
    </row>
    <row r="1916" ht="50.25" spans="1:11">
      <c r="A1916" s="29">
        <v>1915</v>
      </c>
      <c r="B1916" s="34" t="s">
        <v>2250</v>
      </c>
      <c r="C1916" s="29" t="str">
        <f>VLOOKUP(B1916,教育部大学名单!$B$1:$D$2920,3,FALSE)</f>
        <v>山东省</v>
      </c>
      <c r="D1916" s="34" t="s">
        <v>628</v>
      </c>
      <c r="E1916" s="34" t="s">
        <v>631</v>
      </c>
      <c r="F1916" s="36" t="str">
        <f>IFERROR(VLOOKUP(B1916,'985'!$B$2:$D$40,3,FALSE),"")</f>
        <v/>
      </c>
      <c r="G1916" s="32" t="str">
        <f>IFERROR(VLOOKUP(B1916,'211'!$B$2:$D$116,3,FALSE),"")</f>
        <v/>
      </c>
      <c r="H1916" s="32" t="str">
        <f>IFERROR(VLOOKUP(B1916,双一流!$B$2:$D$148,3,FALSE),"")</f>
        <v/>
      </c>
      <c r="I1916" s="32">
        <f>IFERROR(VLOOKUP(B1916,汇总!$B$2:$I$2921,8,FALSE),"")</f>
        <v>0</v>
      </c>
      <c r="J1916" s="34" t="s">
        <v>1700</v>
      </c>
      <c r="K1916" s="34" t="s">
        <v>12</v>
      </c>
    </row>
    <row r="1917" ht="50.25" spans="1:11">
      <c r="A1917" s="34">
        <v>1916</v>
      </c>
      <c r="B1917" s="29" t="s">
        <v>2251</v>
      </c>
      <c r="C1917" s="29" t="str">
        <f>VLOOKUP(B1917,教育部大学名单!$B$1:$D$2920,3,FALSE)</f>
        <v>山东省</v>
      </c>
      <c r="D1917" s="29" t="s">
        <v>628</v>
      </c>
      <c r="E1917" s="29" t="s">
        <v>660</v>
      </c>
      <c r="F1917" s="36" t="str">
        <f>IFERROR(VLOOKUP(B1917,'985'!$B$2:$D$40,3,FALSE),"")</f>
        <v/>
      </c>
      <c r="G1917" s="32" t="str">
        <f>IFERROR(VLOOKUP(B1917,'211'!$B$2:$D$116,3,FALSE),"")</f>
        <v/>
      </c>
      <c r="H1917" s="32" t="str">
        <f>IFERROR(VLOOKUP(B1917,双一流!$B$2:$D$148,3,FALSE),"")</f>
        <v/>
      </c>
      <c r="I1917" s="32">
        <f>IFERROR(VLOOKUP(B1917,汇总!$B$2:$I$2921,8,FALSE),"")</f>
        <v>0</v>
      </c>
      <c r="J1917" s="29" t="s">
        <v>1700</v>
      </c>
      <c r="K1917" s="29" t="s">
        <v>12</v>
      </c>
    </row>
    <row r="1918" ht="33.75" spans="1:11">
      <c r="A1918" s="29">
        <v>1917</v>
      </c>
      <c r="B1918" s="34" t="s">
        <v>2252</v>
      </c>
      <c r="C1918" s="29" t="str">
        <f>VLOOKUP(B1918,教育部大学名单!$B$1:$D$2920,3,FALSE)</f>
        <v>山东省</v>
      </c>
      <c r="D1918" s="34" t="s">
        <v>628</v>
      </c>
      <c r="E1918" s="34" t="s">
        <v>660</v>
      </c>
      <c r="F1918" s="36" t="str">
        <f>IFERROR(VLOOKUP(B1918,'985'!$B$2:$D$40,3,FALSE),"")</f>
        <v/>
      </c>
      <c r="G1918" s="32" t="str">
        <f>IFERROR(VLOOKUP(B1918,'211'!$B$2:$D$116,3,FALSE),"")</f>
        <v/>
      </c>
      <c r="H1918" s="32" t="str">
        <f>IFERROR(VLOOKUP(B1918,双一流!$B$2:$D$148,3,FALSE),"")</f>
        <v/>
      </c>
      <c r="I1918" s="32">
        <f>IFERROR(VLOOKUP(B1918,汇总!$B$2:$I$2921,8,FALSE),"")</f>
        <v>0</v>
      </c>
      <c r="J1918" s="34" t="s">
        <v>1700</v>
      </c>
      <c r="K1918" s="34" t="s">
        <v>12</v>
      </c>
    </row>
    <row r="1919" ht="33.75" spans="1:11">
      <c r="A1919" s="34">
        <v>1918</v>
      </c>
      <c r="B1919" s="29" t="s">
        <v>2253</v>
      </c>
      <c r="C1919" s="29" t="str">
        <f>VLOOKUP(B1919,教育部大学名单!$B$1:$D$2920,3,FALSE)</f>
        <v>山东省</v>
      </c>
      <c r="D1919" s="29" t="s">
        <v>628</v>
      </c>
      <c r="E1919" s="29" t="s">
        <v>662</v>
      </c>
      <c r="F1919" s="36" t="str">
        <f>IFERROR(VLOOKUP(B1919,'985'!$B$2:$D$40,3,FALSE),"")</f>
        <v/>
      </c>
      <c r="G1919" s="32" t="str">
        <f>IFERROR(VLOOKUP(B1919,'211'!$B$2:$D$116,3,FALSE),"")</f>
        <v/>
      </c>
      <c r="H1919" s="32" t="str">
        <f>IFERROR(VLOOKUP(B1919,双一流!$B$2:$D$148,3,FALSE),"")</f>
        <v/>
      </c>
      <c r="I1919" s="32">
        <f>IFERROR(VLOOKUP(B1919,汇总!$B$2:$I$2921,8,FALSE),"")</f>
        <v>0</v>
      </c>
      <c r="J1919" s="29" t="s">
        <v>1700</v>
      </c>
      <c r="K1919" s="29" t="s">
        <v>12</v>
      </c>
    </row>
    <row r="1920" ht="33.75" spans="1:11">
      <c r="A1920" s="29">
        <v>1919</v>
      </c>
      <c r="B1920" s="34" t="s">
        <v>2254</v>
      </c>
      <c r="C1920" s="29" t="str">
        <f>VLOOKUP(B1920,教育部大学名单!$B$1:$D$2920,3,FALSE)</f>
        <v>河南省</v>
      </c>
      <c r="D1920" s="34" t="s">
        <v>692</v>
      </c>
      <c r="E1920" s="34" t="s">
        <v>693</v>
      </c>
      <c r="F1920" s="36" t="str">
        <f>IFERROR(VLOOKUP(B1920,'985'!$B$2:$D$40,3,FALSE),"")</f>
        <v/>
      </c>
      <c r="G1920" s="32" t="str">
        <f>IFERROR(VLOOKUP(B1920,'211'!$B$2:$D$116,3,FALSE),"")</f>
        <v/>
      </c>
      <c r="H1920" s="32" t="str">
        <f>IFERROR(VLOOKUP(B1920,双一流!$B$2:$D$148,3,FALSE),"")</f>
        <v/>
      </c>
      <c r="I1920" s="32" t="str">
        <f>IFERROR(VLOOKUP(B1920,汇总!$B$2:$I$2921,8,FALSE),"")</f>
        <v>理工</v>
      </c>
      <c r="J1920" s="34" t="s">
        <v>1700</v>
      </c>
      <c r="K1920" s="34" t="s">
        <v>12</v>
      </c>
    </row>
    <row r="1921" ht="33.75" spans="1:11">
      <c r="A1921" s="34">
        <v>1920</v>
      </c>
      <c r="B1921" s="29" t="s">
        <v>2255</v>
      </c>
      <c r="C1921" s="29" t="str">
        <f>VLOOKUP(B1921,教育部大学名单!$B$1:$D$2920,3,FALSE)</f>
        <v>河南省</v>
      </c>
      <c r="D1921" s="29" t="s">
        <v>692</v>
      </c>
      <c r="E1921" s="29" t="s">
        <v>1498</v>
      </c>
      <c r="F1921" s="36" t="str">
        <f>IFERROR(VLOOKUP(B1921,'985'!$B$2:$D$40,3,FALSE),"")</f>
        <v/>
      </c>
      <c r="G1921" s="32" t="str">
        <f>IFERROR(VLOOKUP(B1921,'211'!$B$2:$D$116,3,FALSE),"")</f>
        <v/>
      </c>
      <c r="H1921" s="32" t="str">
        <f>IFERROR(VLOOKUP(B1921,双一流!$B$2:$D$148,3,FALSE),"")</f>
        <v/>
      </c>
      <c r="I1921" s="32" t="str">
        <f>IFERROR(VLOOKUP(B1921,汇总!$B$2:$I$2921,8,FALSE),"")</f>
        <v>综合</v>
      </c>
      <c r="J1921" s="29" t="s">
        <v>1700</v>
      </c>
      <c r="K1921" s="29" t="s">
        <v>12</v>
      </c>
    </row>
    <row r="1922" ht="33.75" spans="1:11">
      <c r="A1922" s="29">
        <v>1921</v>
      </c>
      <c r="B1922" s="34" t="s">
        <v>2256</v>
      </c>
      <c r="C1922" s="29" t="str">
        <f>VLOOKUP(B1922,教育部大学名单!$B$1:$D$2920,3,FALSE)</f>
        <v>河南省</v>
      </c>
      <c r="D1922" s="34" t="s">
        <v>692</v>
      </c>
      <c r="E1922" s="34" t="s">
        <v>2257</v>
      </c>
      <c r="F1922" s="36" t="str">
        <f>IFERROR(VLOOKUP(B1922,'985'!$B$2:$D$40,3,FALSE),"")</f>
        <v/>
      </c>
      <c r="G1922" s="32" t="str">
        <f>IFERROR(VLOOKUP(B1922,'211'!$B$2:$D$116,3,FALSE),"")</f>
        <v/>
      </c>
      <c r="H1922" s="32" t="str">
        <f>IFERROR(VLOOKUP(B1922,双一流!$B$2:$D$148,3,FALSE),"")</f>
        <v/>
      </c>
      <c r="I1922" s="32" t="str">
        <f>IFERROR(VLOOKUP(B1922,汇总!$B$2:$I$2921,8,FALSE),"")</f>
        <v>综合</v>
      </c>
      <c r="J1922" s="34" t="s">
        <v>1700</v>
      </c>
      <c r="K1922" s="34" t="s">
        <v>12</v>
      </c>
    </row>
    <row r="1923" ht="33.75" spans="1:11">
      <c r="A1923" s="34">
        <v>1922</v>
      </c>
      <c r="B1923" s="29" t="s">
        <v>2258</v>
      </c>
      <c r="C1923" s="29" t="str">
        <f>VLOOKUP(B1923,教育部大学名单!$B$1:$D$2920,3,FALSE)</f>
        <v>河南省</v>
      </c>
      <c r="D1923" s="29" t="s">
        <v>692</v>
      </c>
      <c r="E1923" s="29" t="s">
        <v>693</v>
      </c>
      <c r="F1923" s="36" t="str">
        <f>IFERROR(VLOOKUP(B1923,'985'!$B$2:$D$40,3,FALSE),"")</f>
        <v/>
      </c>
      <c r="G1923" s="32" t="str">
        <f>IFERROR(VLOOKUP(B1923,'211'!$B$2:$D$116,3,FALSE),"")</f>
        <v/>
      </c>
      <c r="H1923" s="32" t="str">
        <f>IFERROR(VLOOKUP(B1923,双一流!$B$2:$D$148,3,FALSE),"")</f>
        <v/>
      </c>
      <c r="I1923" s="32" t="str">
        <f>IFERROR(VLOOKUP(B1923,汇总!$B$2:$I$2921,8,FALSE),"")</f>
        <v>理工</v>
      </c>
      <c r="J1923" s="29" t="s">
        <v>1700</v>
      </c>
      <c r="K1923" s="29" t="s">
        <v>12</v>
      </c>
    </row>
    <row r="1924" ht="17.25" spans="1:11">
      <c r="A1924" s="29">
        <v>1923</v>
      </c>
      <c r="B1924" s="34" t="s">
        <v>2259</v>
      </c>
      <c r="C1924" s="29" t="str">
        <f>VLOOKUP(B1924,教育部大学名单!$B$1:$D$2920,3,FALSE)</f>
        <v>河南省</v>
      </c>
      <c r="D1924" s="34" t="s">
        <v>692</v>
      </c>
      <c r="E1924" s="34" t="s">
        <v>709</v>
      </c>
      <c r="F1924" s="36" t="str">
        <f>IFERROR(VLOOKUP(B1924,'985'!$B$2:$D$40,3,FALSE),"")</f>
        <v/>
      </c>
      <c r="G1924" s="32" t="str">
        <f>IFERROR(VLOOKUP(B1924,'211'!$B$2:$D$116,3,FALSE),"")</f>
        <v/>
      </c>
      <c r="H1924" s="32" t="str">
        <f>IFERROR(VLOOKUP(B1924,双一流!$B$2:$D$148,3,FALSE),"")</f>
        <v/>
      </c>
      <c r="I1924" s="32" t="str">
        <f>IFERROR(VLOOKUP(B1924,汇总!$B$2:$I$2921,8,FALSE),"")</f>
        <v>综合</v>
      </c>
      <c r="J1924" s="34" t="s">
        <v>1700</v>
      </c>
      <c r="K1924" s="34" t="s">
        <v>12</v>
      </c>
    </row>
    <row r="1925" ht="17.25" spans="1:11">
      <c r="A1925" s="34">
        <v>1924</v>
      </c>
      <c r="B1925" s="29" t="s">
        <v>2260</v>
      </c>
      <c r="C1925" s="29" t="str">
        <f>VLOOKUP(B1925,教育部大学名单!$B$1:$D$2920,3,FALSE)</f>
        <v>河南省</v>
      </c>
      <c r="D1925" s="29" t="s">
        <v>692</v>
      </c>
      <c r="E1925" s="29" t="s">
        <v>696</v>
      </c>
      <c r="F1925" s="36" t="str">
        <f>IFERROR(VLOOKUP(B1925,'985'!$B$2:$D$40,3,FALSE),"")</f>
        <v/>
      </c>
      <c r="G1925" s="32" t="str">
        <f>IFERROR(VLOOKUP(B1925,'211'!$B$2:$D$116,3,FALSE),"")</f>
        <v/>
      </c>
      <c r="H1925" s="32" t="str">
        <f>IFERROR(VLOOKUP(B1925,双一流!$B$2:$D$148,3,FALSE),"")</f>
        <v/>
      </c>
      <c r="I1925" s="32" t="str">
        <f>IFERROR(VLOOKUP(B1925,汇总!$B$2:$I$2921,8,FALSE),"")</f>
        <v>综合</v>
      </c>
      <c r="J1925" s="29" t="s">
        <v>1700</v>
      </c>
      <c r="K1925" s="29" t="s">
        <v>12</v>
      </c>
    </row>
    <row r="1926" ht="33.75" spans="1:11">
      <c r="A1926" s="29">
        <v>1925</v>
      </c>
      <c r="B1926" s="34" t="s">
        <v>2261</v>
      </c>
      <c r="C1926" s="29" t="str">
        <f>VLOOKUP(B1926,教育部大学名单!$B$1:$D$2920,3,FALSE)</f>
        <v>河南省</v>
      </c>
      <c r="D1926" s="34" t="s">
        <v>692</v>
      </c>
      <c r="E1926" s="34" t="s">
        <v>2262</v>
      </c>
      <c r="F1926" s="36" t="str">
        <f>IFERROR(VLOOKUP(B1926,'985'!$B$2:$D$40,3,FALSE),"")</f>
        <v/>
      </c>
      <c r="G1926" s="32" t="str">
        <f>IFERROR(VLOOKUP(B1926,'211'!$B$2:$D$116,3,FALSE),"")</f>
        <v/>
      </c>
      <c r="H1926" s="32" t="str">
        <f>IFERROR(VLOOKUP(B1926,双一流!$B$2:$D$148,3,FALSE),"")</f>
        <v/>
      </c>
      <c r="I1926" s="32" t="str">
        <f>IFERROR(VLOOKUP(B1926,汇总!$B$2:$I$2921,8,FALSE),"")</f>
        <v>综合</v>
      </c>
      <c r="J1926" s="34" t="s">
        <v>1700</v>
      </c>
      <c r="K1926" s="34" t="s">
        <v>12</v>
      </c>
    </row>
    <row r="1927" ht="33.75" spans="1:11">
      <c r="A1927" s="34">
        <v>1926</v>
      </c>
      <c r="B1927" s="29" t="s">
        <v>2263</v>
      </c>
      <c r="C1927" s="29" t="str">
        <f>VLOOKUP(B1927,教育部大学名单!$B$1:$D$2920,3,FALSE)</f>
        <v>河南省</v>
      </c>
      <c r="D1927" s="29" t="s">
        <v>692</v>
      </c>
      <c r="E1927" s="29" t="s">
        <v>693</v>
      </c>
      <c r="F1927" s="36" t="str">
        <f>IFERROR(VLOOKUP(B1927,'985'!$B$2:$D$40,3,FALSE),"")</f>
        <v/>
      </c>
      <c r="G1927" s="32" t="str">
        <f>IFERROR(VLOOKUP(B1927,'211'!$B$2:$D$116,3,FALSE),"")</f>
        <v/>
      </c>
      <c r="H1927" s="32" t="str">
        <f>IFERROR(VLOOKUP(B1927,双一流!$B$2:$D$148,3,FALSE),"")</f>
        <v/>
      </c>
      <c r="I1927" s="32" t="str">
        <f>IFERROR(VLOOKUP(B1927,汇总!$B$2:$I$2921,8,FALSE),"")</f>
        <v>理工</v>
      </c>
      <c r="J1927" s="29" t="s">
        <v>1700</v>
      </c>
      <c r="K1927" s="29" t="s">
        <v>12</v>
      </c>
    </row>
    <row r="1928" ht="33.75" spans="1:11">
      <c r="A1928" s="29">
        <v>1927</v>
      </c>
      <c r="B1928" s="34" t="s">
        <v>2264</v>
      </c>
      <c r="C1928" s="29" t="str">
        <f>VLOOKUP(B1928,教育部大学名单!$B$1:$D$2920,3,FALSE)</f>
        <v>河南省</v>
      </c>
      <c r="D1928" s="34" t="s">
        <v>692</v>
      </c>
      <c r="E1928" s="34" t="s">
        <v>718</v>
      </c>
      <c r="F1928" s="36" t="str">
        <f>IFERROR(VLOOKUP(B1928,'985'!$B$2:$D$40,3,FALSE),"")</f>
        <v/>
      </c>
      <c r="G1928" s="32" t="str">
        <f>IFERROR(VLOOKUP(B1928,'211'!$B$2:$D$116,3,FALSE),"")</f>
        <v/>
      </c>
      <c r="H1928" s="32" t="str">
        <f>IFERROR(VLOOKUP(B1928,双一流!$B$2:$D$148,3,FALSE),"")</f>
        <v/>
      </c>
      <c r="I1928" s="32" t="str">
        <f>IFERROR(VLOOKUP(B1928,汇总!$B$2:$I$2921,8,FALSE),"")</f>
        <v>综合</v>
      </c>
      <c r="J1928" s="34" t="s">
        <v>1700</v>
      </c>
      <c r="K1928" s="34" t="s">
        <v>12</v>
      </c>
    </row>
    <row r="1929" ht="50.25" spans="1:11">
      <c r="A1929" s="34">
        <v>1928</v>
      </c>
      <c r="B1929" s="29" t="s">
        <v>2265</v>
      </c>
      <c r="C1929" s="29" t="str">
        <f>VLOOKUP(B1929,教育部大学名单!$B$1:$D$2920,3,FALSE)</f>
        <v>河南省</v>
      </c>
      <c r="D1929" s="29" t="s">
        <v>692</v>
      </c>
      <c r="E1929" s="29" t="s">
        <v>696</v>
      </c>
      <c r="F1929" s="36" t="str">
        <f>IFERROR(VLOOKUP(B1929,'985'!$B$2:$D$40,3,FALSE),"")</f>
        <v/>
      </c>
      <c r="G1929" s="32" t="str">
        <f>IFERROR(VLOOKUP(B1929,'211'!$B$2:$D$116,3,FALSE),"")</f>
        <v/>
      </c>
      <c r="H1929" s="32" t="str">
        <f>IFERROR(VLOOKUP(B1929,双一流!$B$2:$D$148,3,FALSE),"")</f>
        <v/>
      </c>
      <c r="I1929" s="32" t="str">
        <f>IFERROR(VLOOKUP(B1929,汇总!$B$2:$I$2921,8,FALSE),"")</f>
        <v>理工</v>
      </c>
      <c r="J1929" s="29" t="s">
        <v>1700</v>
      </c>
      <c r="K1929" s="29" t="s">
        <v>12</v>
      </c>
    </row>
    <row r="1930" ht="50.25" spans="1:11">
      <c r="A1930" s="29">
        <v>1929</v>
      </c>
      <c r="B1930" s="34" t="s">
        <v>2266</v>
      </c>
      <c r="C1930" s="29" t="str">
        <f>VLOOKUP(B1930,教育部大学名单!$B$1:$D$2920,3,FALSE)</f>
        <v>河南省</v>
      </c>
      <c r="D1930" s="34" t="s">
        <v>692</v>
      </c>
      <c r="E1930" s="34" t="s">
        <v>693</v>
      </c>
      <c r="F1930" s="36" t="str">
        <f>IFERROR(VLOOKUP(B1930,'985'!$B$2:$D$40,3,FALSE),"")</f>
        <v/>
      </c>
      <c r="G1930" s="32" t="str">
        <f>IFERROR(VLOOKUP(B1930,'211'!$B$2:$D$116,3,FALSE),"")</f>
        <v/>
      </c>
      <c r="H1930" s="32" t="str">
        <f>IFERROR(VLOOKUP(B1930,双一流!$B$2:$D$148,3,FALSE),"")</f>
        <v/>
      </c>
      <c r="I1930" s="32" t="str">
        <f>IFERROR(VLOOKUP(B1930,汇总!$B$2:$I$2921,8,FALSE),"")</f>
        <v>理工</v>
      </c>
      <c r="J1930" s="34" t="s">
        <v>1700</v>
      </c>
      <c r="K1930" s="34" t="s">
        <v>12</v>
      </c>
    </row>
    <row r="1931" ht="33.75" spans="1:11">
      <c r="A1931" s="34">
        <v>1930</v>
      </c>
      <c r="B1931" s="29" t="s">
        <v>2267</v>
      </c>
      <c r="C1931" s="29" t="str">
        <f>VLOOKUP(B1931,教育部大学名单!$B$1:$D$2920,3,FALSE)</f>
        <v>河南省</v>
      </c>
      <c r="D1931" s="29" t="s">
        <v>692</v>
      </c>
      <c r="E1931" s="29" t="s">
        <v>723</v>
      </c>
      <c r="F1931" s="36" t="str">
        <f>IFERROR(VLOOKUP(B1931,'985'!$B$2:$D$40,3,FALSE),"")</f>
        <v/>
      </c>
      <c r="G1931" s="32" t="str">
        <f>IFERROR(VLOOKUP(B1931,'211'!$B$2:$D$116,3,FALSE),"")</f>
        <v/>
      </c>
      <c r="H1931" s="32" t="str">
        <f>IFERROR(VLOOKUP(B1931,双一流!$B$2:$D$148,3,FALSE),"")</f>
        <v/>
      </c>
      <c r="I1931" s="32" t="str">
        <f>IFERROR(VLOOKUP(B1931,汇总!$B$2:$I$2921,8,FALSE),"")</f>
        <v>综合</v>
      </c>
      <c r="J1931" s="29" t="s">
        <v>1700</v>
      </c>
      <c r="K1931" s="29" t="s">
        <v>12</v>
      </c>
    </row>
    <row r="1932" ht="50.25" spans="1:11">
      <c r="A1932" s="29">
        <v>1931</v>
      </c>
      <c r="B1932" s="34" t="s">
        <v>2268</v>
      </c>
      <c r="C1932" s="29" t="str">
        <f>VLOOKUP(B1932,教育部大学名单!$B$1:$D$2920,3,FALSE)</f>
        <v>河南省</v>
      </c>
      <c r="D1932" s="34" t="s">
        <v>692</v>
      </c>
      <c r="E1932" s="34" t="s">
        <v>729</v>
      </c>
      <c r="F1932" s="36" t="str">
        <f>IFERROR(VLOOKUP(B1932,'985'!$B$2:$D$40,3,FALSE),"")</f>
        <v/>
      </c>
      <c r="G1932" s="32" t="str">
        <f>IFERROR(VLOOKUP(B1932,'211'!$B$2:$D$116,3,FALSE),"")</f>
        <v/>
      </c>
      <c r="H1932" s="32" t="str">
        <f>IFERROR(VLOOKUP(B1932,双一流!$B$2:$D$148,3,FALSE),"")</f>
        <v/>
      </c>
      <c r="I1932" s="32" t="str">
        <f>IFERROR(VLOOKUP(B1932,汇总!$B$2:$I$2921,8,FALSE),"")</f>
        <v>理工</v>
      </c>
      <c r="J1932" s="34" t="s">
        <v>1700</v>
      </c>
      <c r="K1932" s="34" t="s">
        <v>12</v>
      </c>
    </row>
    <row r="1933" ht="33.75" spans="1:11">
      <c r="A1933" s="34">
        <v>1932</v>
      </c>
      <c r="B1933" s="29" t="s">
        <v>2269</v>
      </c>
      <c r="C1933" s="29" t="str">
        <f>VLOOKUP(B1933,教育部大学名单!$B$1:$D$2920,3,FALSE)</f>
        <v>河南省</v>
      </c>
      <c r="D1933" s="29" t="s">
        <v>692</v>
      </c>
      <c r="E1933" s="29" t="s">
        <v>714</v>
      </c>
      <c r="F1933" s="36" t="str">
        <f>IFERROR(VLOOKUP(B1933,'985'!$B$2:$D$40,3,FALSE),"")</f>
        <v/>
      </c>
      <c r="G1933" s="32" t="str">
        <f>IFERROR(VLOOKUP(B1933,'211'!$B$2:$D$116,3,FALSE),"")</f>
        <v/>
      </c>
      <c r="H1933" s="32" t="str">
        <f>IFERROR(VLOOKUP(B1933,双一流!$B$2:$D$148,3,FALSE),"")</f>
        <v/>
      </c>
      <c r="I1933" s="32" t="str">
        <f>IFERROR(VLOOKUP(B1933,汇总!$B$2:$I$2921,8,FALSE),"")</f>
        <v>综合</v>
      </c>
      <c r="J1933" s="29" t="s">
        <v>1700</v>
      </c>
      <c r="K1933" s="29" t="s">
        <v>12</v>
      </c>
    </row>
    <row r="1934" ht="33.75" spans="1:11">
      <c r="A1934" s="29">
        <v>1933</v>
      </c>
      <c r="B1934" s="34" t="s">
        <v>2270</v>
      </c>
      <c r="C1934" s="29" t="str">
        <f>VLOOKUP(B1934,教育部大学名单!$B$1:$D$2920,3,FALSE)</f>
        <v>河南省</v>
      </c>
      <c r="D1934" s="34" t="s">
        <v>692</v>
      </c>
      <c r="E1934" s="34" t="s">
        <v>2271</v>
      </c>
      <c r="F1934" s="36" t="str">
        <f>IFERROR(VLOOKUP(B1934,'985'!$B$2:$D$40,3,FALSE),"")</f>
        <v/>
      </c>
      <c r="G1934" s="32" t="str">
        <f>IFERROR(VLOOKUP(B1934,'211'!$B$2:$D$116,3,FALSE),"")</f>
        <v/>
      </c>
      <c r="H1934" s="32" t="str">
        <f>IFERROR(VLOOKUP(B1934,双一流!$B$2:$D$148,3,FALSE),"")</f>
        <v/>
      </c>
      <c r="I1934" s="32" t="str">
        <f>IFERROR(VLOOKUP(B1934,汇总!$B$2:$I$2921,8,FALSE),"")</f>
        <v>综合</v>
      </c>
      <c r="J1934" s="34" t="s">
        <v>1700</v>
      </c>
      <c r="K1934" s="34" t="s">
        <v>12</v>
      </c>
    </row>
    <row r="1935" ht="33.75" spans="1:11">
      <c r="A1935" s="34">
        <v>1934</v>
      </c>
      <c r="B1935" s="29" t="s">
        <v>2272</v>
      </c>
      <c r="C1935" s="29" t="str">
        <f>VLOOKUP(B1935,教育部大学名单!$B$1:$D$2920,3,FALSE)</f>
        <v>河南省</v>
      </c>
      <c r="D1935" s="29" t="s">
        <v>692</v>
      </c>
      <c r="E1935" s="29" t="s">
        <v>693</v>
      </c>
      <c r="F1935" s="36" t="str">
        <f>IFERROR(VLOOKUP(B1935,'985'!$B$2:$D$40,3,FALSE),"")</f>
        <v/>
      </c>
      <c r="G1935" s="32" t="str">
        <f>IFERROR(VLOOKUP(B1935,'211'!$B$2:$D$116,3,FALSE),"")</f>
        <v/>
      </c>
      <c r="H1935" s="32" t="str">
        <f>IFERROR(VLOOKUP(B1935,双一流!$B$2:$D$148,3,FALSE),"")</f>
        <v/>
      </c>
      <c r="I1935" s="32" t="str">
        <f>IFERROR(VLOOKUP(B1935,汇总!$B$2:$I$2921,8,FALSE),"")</f>
        <v>政法</v>
      </c>
      <c r="J1935" s="29" t="s">
        <v>1700</v>
      </c>
      <c r="K1935" s="29" t="s">
        <v>12</v>
      </c>
    </row>
    <row r="1936" ht="33.75" spans="1:11">
      <c r="A1936" s="29">
        <v>1935</v>
      </c>
      <c r="B1936" s="34" t="s">
        <v>2273</v>
      </c>
      <c r="C1936" s="29" t="str">
        <f>VLOOKUP(B1936,教育部大学名单!$B$1:$D$2920,3,FALSE)</f>
        <v>河南省</v>
      </c>
      <c r="D1936" s="34" t="s">
        <v>692</v>
      </c>
      <c r="E1936" s="34" t="s">
        <v>2274</v>
      </c>
      <c r="F1936" s="36" t="str">
        <f>IFERROR(VLOOKUP(B1936,'985'!$B$2:$D$40,3,FALSE),"")</f>
        <v/>
      </c>
      <c r="G1936" s="32" t="str">
        <f>IFERROR(VLOOKUP(B1936,'211'!$B$2:$D$116,3,FALSE),"")</f>
        <v/>
      </c>
      <c r="H1936" s="32" t="str">
        <f>IFERROR(VLOOKUP(B1936,双一流!$B$2:$D$148,3,FALSE),"")</f>
        <v/>
      </c>
      <c r="I1936" s="32" t="str">
        <f>IFERROR(VLOOKUP(B1936,汇总!$B$2:$I$2921,8,FALSE),"")</f>
        <v>综合</v>
      </c>
      <c r="J1936" s="34" t="s">
        <v>1700</v>
      </c>
      <c r="K1936" s="34" t="s">
        <v>12</v>
      </c>
    </row>
    <row r="1937" ht="33.75" spans="1:11">
      <c r="A1937" s="34">
        <v>1936</v>
      </c>
      <c r="B1937" s="29" t="s">
        <v>2275</v>
      </c>
      <c r="C1937" s="29" t="str">
        <f>VLOOKUP(B1937,教育部大学名单!$B$1:$D$2920,3,FALSE)</f>
        <v>河南省</v>
      </c>
      <c r="D1937" s="29" t="s">
        <v>692</v>
      </c>
      <c r="E1937" s="29" t="s">
        <v>696</v>
      </c>
      <c r="F1937" s="36" t="str">
        <f>IFERROR(VLOOKUP(B1937,'985'!$B$2:$D$40,3,FALSE),"")</f>
        <v/>
      </c>
      <c r="G1937" s="32" t="str">
        <f>IFERROR(VLOOKUP(B1937,'211'!$B$2:$D$116,3,FALSE),"")</f>
        <v/>
      </c>
      <c r="H1937" s="32" t="str">
        <f>IFERROR(VLOOKUP(B1937,双一流!$B$2:$D$148,3,FALSE),"")</f>
        <v/>
      </c>
      <c r="I1937" s="32" t="str">
        <f>IFERROR(VLOOKUP(B1937,汇总!$B$2:$I$2921,8,FALSE),"")</f>
        <v>师范</v>
      </c>
      <c r="J1937" s="29" t="s">
        <v>1700</v>
      </c>
      <c r="K1937" s="29" t="s">
        <v>12</v>
      </c>
    </row>
    <row r="1938" ht="33.75" spans="1:11">
      <c r="A1938" s="29">
        <v>1937</v>
      </c>
      <c r="B1938" s="34" t="s">
        <v>2276</v>
      </c>
      <c r="C1938" s="29" t="str">
        <f>VLOOKUP(B1938,教育部大学名单!$B$1:$D$2920,3,FALSE)</f>
        <v>河南省</v>
      </c>
      <c r="D1938" s="34" t="s">
        <v>692</v>
      </c>
      <c r="E1938" s="34" t="s">
        <v>693</v>
      </c>
      <c r="F1938" s="36" t="str">
        <f>IFERROR(VLOOKUP(B1938,'985'!$B$2:$D$40,3,FALSE),"")</f>
        <v/>
      </c>
      <c r="G1938" s="32" t="str">
        <f>IFERROR(VLOOKUP(B1938,'211'!$B$2:$D$116,3,FALSE),"")</f>
        <v/>
      </c>
      <c r="H1938" s="32" t="str">
        <f>IFERROR(VLOOKUP(B1938,双一流!$B$2:$D$148,3,FALSE),"")</f>
        <v/>
      </c>
      <c r="I1938" s="32" t="str">
        <f>IFERROR(VLOOKUP(B1938,汇总!$B$2:$I$2921,8,FALSE),"")</f>
        <v>政法</v>
      </c>
      <c r="J1938" s="34" t="s">
        <v>1700</v>
      </c>
      <c r="K1938" s="34" t="s">
        <v>12</v>
      </c>
    </row>
    <row r="1939" ht="33.75" spans="1:11">
      <c r="A1939" s="34">
        <v>1938</v>
      </c>
      <c r="B1939" s="29" t="s">
        <v>2277</v>
      </c>
      <c r="C1939" s="29" t="str">
        <f>VLOOKUP(B1939,教育部大学名单!$B$1:$D$2920,3,FALSE)</f>
        <v>河南省</v>
      </c>
      <c r="D1939" s="29" t="s">
        <v>692</v>
      </c>
      <c r="E1939" s="29" t="s">
        <v>729</v>
      </c>
      <c r="F1939" s="36" t="str">
        <f>IFERROR(VLOOKUP(B1939,'985'!$B$2:$D$40,3,FALSE),"")</f>
        <v/>
      </c>
      <c r="G1939" s="32" t="str">
        <f>IFERROR(VLOOKUP(B1939,'211'!$B$2:$D$116,3,FALSE),"")</f>
        <v/>
      </c>
      <c r="H1939" s="32" t="str">
        <f>IFERROR(VLOOKUP(B1939,双一流!$B$2:$D$148,3,FALSE),"")</f>
        <v/>
      </c>
      <c r="I1939" s="32" t="str">
        <f>IFERROR(VLOOKUP(B1939,汇总!$B$2:$I$2921,8,FALSE),"")</f>
        <v>理工</v>
      </c>
      <c r="J1939" s="29" t="s">
        <v>1700</v>
      </c>
      <c r="K1939" s="29" t="s">
        <v>12</v>
      </c>
    </row>
    <row r="1940" ht="33.75" spans="1:11">
      <c r="A1940" s="29">
        <v>1939</v>
      </c>
      <c r="B1940" s="34" t="s">
        <v>2278</v>
      </c>
      <c r="C1940" s="29" t="str">
        <f>VLOOKUP(B1940,教育部大学名单!$B$1:$D$2920,3,FALSE)</f>
        <v>河南省</v>
      </c>
      <c r="D1940" s="34" t="s">
        <v>692</v>
      </c>
      <c r="E1940" s="34" t="s">
        <v>693</v>
      </c>
      <c r="F1940" s="36" t="str">
        <f>IFERROR(VLOOKUP(B1940,'985'!$B$2:$D$40,3,FALSE),"")</f>
        <v/>
      </c>
      <c r="G1940" s="32" t="str">
        <f>IFERROR(VLOOKUP(B1940,'211'!$B$2:$D$116,3,FALSE),"")</f>
        <v/>
      </c>
      <c r="H1940" s="32" t="str">
        <f>IFERROR(VLOOKUP(B1940,双一流!$B$2:$D$148,3,FALSE),"")</f>
        <v/>
      </c>
      <c r="I1940" s="32" t="str">
        <f>IFERROR(VLOOKUP(B1940,汇总!$B$2:$I$2921,8,FALSE),"")</f>
        <v>理工</v>
      </c>
      <c r="J1940" s="34" t="s">
        <v>1700</v>
      </c>
      <c r="K1940" s="34" t="s">
        <v>12</v>
      </c>
    </row>
    <row r="1941" ht="33.75" spans="1:11">
      <c r="A1941" s="34">
        <v>1940</v>
      </c>
      <c r="B1941" s="29" t="s">
        <v>2279</v>
      </c>
      <c r="C1941" s="29" t="str">
        <f>VLOOKUP(B1941,教育部大学名单!$B$1:$D$2920,3,FALSE)</f>
        <v>河南省</v>
      </c>
      <c r="D1941" s="29" t="s">
        <v>692</v>
      </c>
      <c r="E1941" s="29" t="s">
        <v>1498</v>
      </c>
      <c r="F1941" s="36" t="str">
        <f>IFERROR(VLOOKUP(B1941,'985'!$B$2:$D$40,3,FALSE),"")</f>
        <v/>
      </c>
      <c r="G1941" s="32" t="str">
        <f>IFERROR(VLOOKUP(B1941,'211'!$B$2:$D$116,3,FALSE),"")</f>
        <v/>
      </c>
      <c r="H1941" s="32" t="str">
        <f>IFERROR(VLOOKUP(B1941,双一流!$B$2:$D$148,3,FALSE),"")</f>
        <v/>
      </c>
      <c r="I1941" s="32" t="str">
        <f>IFERROR(VLOOKUP(B1941,汇总!$B$2:$I$2921,8,FALSE),"")</f>
        <v>医药</v>
      </c>
      <c r="J1941" s="29" t="s">
        <v>1700</v>
      </c>
      <c r="K1941" s="29" t="s">
        <v>12</v>
      </c>
    </row>
    <row r="1942" ht="33.75" spans="1:11">
      <c r="A1942" s="29">
        <v>1941</v>
      </c>
      <c r="B1942" s="34" t="s">
        <v>2280</v>
      </c>
      <c r="C1942" s="29" t="str">
        <f>VLOOKUP(B1942,教育部大学名单!$B$1:$D$2920,3,FALSE)</f>
        <v>河南省</v>
      </c>
      <c r="D1942" s="34" t="s">
        <v>692</v>
      </c>
      <c r="E1942" s="34" t="s">
        <v>720</v>
      </c>
      <c r="F1942" s="36" t="str">
        <f>IFERROR(VLOOKUP(B1942,'985'!$B$2:$D$40,3,FALSE),"")</f>
        <v/>
      </c>
      <c r="G1942" s="32" t="str">
        <f>IFERROR(VLOOKUP(B1942,'211'!$B$2:$D$116,3,FALSE),"")</f>
        <v/>
      </c>
      <c r="H1942" s="32" t="str">
        <f>IFERROR(VLOOKUP(B1942,双一流!$B$2:$D$148,3,FALSE),"")</f>
        <v/>
      </c>
      <c r="I1942" s="32" t="str">
        <f>IFERROR(VLOOKUP(B1942,汇总!$B$2:$I$2921,8,FALSE),"")</f>
        <v>医药</v>
      </c>
      <c r="J1942" s="34" t="s">
        <v>1700</v>
      </c>
      <c r="K1942" s="34" t="s">
        <v>12</v>
      </c>
    </row>
    <row r="1943" ht="33.75" spans="1:11">
      <c r="A1943" s="34">
        <v>1942</v>
      </c>
      <c r="B1943" s="29" t="s">
        <v>2281</v>
      </c>
      <c r="C1943" s="29" t="str">
        <f>VLOOKUP(B1943,教育部大学名单!$B$1:$D$2920,3,FALSE)</f>
        <v>河南省</v>
      </c>
      <c r="D1943" s="29" t="s">
        <v>692</v>
      </c>
      <c r="E1943" s="29" t="s">
        <v>723</v>
      </c>
      <c r="F1943" s="36" t="str">
        <f>IFERROR(VLOOKUP(B1943,'985'!$B$2:$D$40,3,FALSE),"")</f>
        <v/>
      </c>
      <c r="G1943" s="32" t="str">
        <f>IFERROR(VLOOKUP(B1943,'211'!$B$2:$D$116,3,FALSE),"")</f>
        <v/>
      </c>
      <c r="H1943" s="32" t="str">
        <f>IFERROR(VLOOKUP(B1943,双一流!$B$2:$D$148,3,FALSE),"")</f>
        <v/>
      </c>
      <c r="I1943" s="32" t="str">
        <f>IFERROR(VLOOKUP(B1943,汇总!$B$2:$I$2921,8,FALSE),"")</f>
        <v>医药</v>
      </c>
      <c r="J1943" s="29" t="s">
        <v>1700</v>
      </c>
      <c r="K1943" s="29" t="s">
        <v>12</v>
      </c>
    </row>
    <row r="1944" ht="33.75" spans="1:11">
      <c r="A1944" s="29">
        <v>1943</v>
      </c>
      <c r="B1944" s="34" t="s">
        <v>2282</v>
      </c>
      <c r="C1944" s="29" t="str">
        <f>VLOOKUP(B1944,教育部大学名单!$B$1:$D$2920,3,FALSE)</f>
        <v>河南省</v>
      </c>
      <c r="D1944" s="34" t="s">
        <v>692</v>
      </c>
      <c r="E1944" s="34" t="s">
        <v>712</v>
      </c>
      <c r="F1944" s="36" t="str">
        <f>IFERROR(VLOOKUP(B1944,'985'!$B$2:$D$40,3,FALSE),"")</f>
        <v/>
      </c>
      <c r="G1944" s="32" t="str">
        <f>IFERROR(VLOOKUP(B1944,'211'!$B$2:$D$116,3,FALSE),"")</f>
        <v/>
      </c>
      <c r="H1944" s="32" t="str">
        <f>IFERROR(VLOOKUP(B1944,双一流!$B$2:$D$148,3,FALSE),"")</f>
        <v/>
      </c>
      <c r="I1944" s="32" t="str">
        <f>IFERROR(VLOOKUP(B1944,汇总!$B$2:$I$2921,8,FALSE),"")</f>
        <v>综合</v>
      </c>
      <c r="J1944" s="34" t="s">
        <v>1700</v>
      </c>
      <c r="K1944" s="34" t="s">
        <v>12</v>
      </c>
    </row>
    <row r="1945" ht="33.75" spans="1:11">
      <c r="A1945" s="34">
        <v>1944</v>
      </c>
      <c r="B1945" s="29" t="s">
        <v>2283</v>
      </c>
      <c r="C1945" s="29" t="str">
        <f>VLOOKUP(B1945,教育部大学名单!$B$1:$D$2920,3,FALSE)</f>
        <v>河南省</v>
      </c>
      <c r="D1945" s="29" t="s">
        <v>692</v>
      </c>
      <c r="E1945" s="29" t="s">
        <v>693</v>
      </c>
      <c r="F1945" s="36" t="str">
        <f>IFERROR(VLOOKUP(B1945,'985'!$B$2:$D$40,3,FALSE),"")</f>
        <v/>
      </c>
      <c r="G1945" s="32" t="str">
        <f>IFERROR(VLOOKUP(B1945,'211'!$B$2:$D$116,3,FALSE),"")</f>
        <v/>
      </c>
      <c r="H1945" s="32" t="str">
        <f>IFERROR(VLOOKUP(B1945,双一流!$B$2:$D$148,3,FALSE),"")</f>
        <v/>
      </c>
      <c r="I1945" s="32">
        <f>IFERROR(VLOOKUP(B1945,汇总!$B$2:$I$2921,8,FALSE),"")</f>
        <v>0</v>
      </c>
      <c r="J1945" s="29" t="s">
        <v>1700</v>
      </c>
      <c r="K1945" s="29" t="s">
        <v>12</v>
      </c>
    </row>
    <row r="1946" ht="33.75" spans="1:11">
      <c r="A1946" s="29">
        <v>1945</v>
      </c>
      <c r="B1946" s="34" t="s">
        <v>2284</v>
      </c>
      <c r="C1946" s="29" t="str">
        <f>VLOOKUP(B1946,教育部大学名单!$B$1:$D$2920,3,FALSE)</f>
        <v>河南省</v>
      </c>
      <c r="D1946" s="34" t="s">
        <v>692</v>
      </c>
      <c r="E1946" s="34" t="s">
        <v>723</v>
      </c>
      <c r="F1946" s="36" t="str">
        <f>IFERROR(VLOOKUP(B1946,'985'!$B$2:$D$40,3,FALSE),"")</f>
        <v/>
      </c>
      <c r="G1946" s="32" t="str">
        <f>IFERROR(VLOOKUP(B1946,'211'!$B$2:$D$116,3,FALSE),"")</f>
        <v/>
      </c>
      <c r="H1946" s="32" t="str">
        <f>IFERROR(VLOOKUP(B1946,双一流!$B$2:$D$148,3,FALSE),"")</f>
        <v/>
      </c>
      <c r="I1946" s="32" t="str">
        <f>IFERROR(VLOOKUP(B1946,汇总!$B$2:$I$2921,8,FALSE),"")</f>
        <v>理工</v>
      </c>
      <c r="J1946" s="34" t="s">
        <v>1700</v>
      </c>
      <c r="K1946" s="34" t="s">
        <v>12</v>
      </c>
    </row>
    <row r="1947" ht="33.75" spans="1:11">
      <c r="A1947" s="34">
        <v>1946</v>
      </c>
      <c r="B1947" s="29" t="s">
        <v>2285</v>
      </c>
      <c r="C1947" s="29" t="str">
        <f>VLOOKUP(B1947,教育部大学名单!$B$1:$D$2920,3,FALSE)</f>
        <v>河南省</v>
      </c>
      <c r="D1947" s="29" t="s">
        <v>692</v>
      </c>
      <c r="E1947" s="29" t="s">
        <v>693</v>
      </c>
      <c r="F1947" s="36" t="str">
        <f>IFERROR(VLOOKUP(B1947,'985'!$B$2:$D$40,3,FALSE),"")</f>
        <v/>
      </c>
      <c r="G1947" s="32" t="str">
        <f>IFERROR(VLOOKUP(B1947,'211'!$B$2:$D$116,3,FALSE),"")</f>
        <v/>
      </c>
      <c r="H1947" s="32" t="str">
        <f>IFERROR(VLOOKUP(B1947,双一流!$B$2:$D$148,3,FALSE),"")</f>
        <v/>
      </c>
      <c r="I1947" s="32" t="str">
        <f>IFERROR(VLOOKUP(B1947,汇总!$B$2:$I$2921,8,FALSE),"")</f>
        <v>财经</v>
      </c>
      <c r="J1947" s="29" t="s">
        <v>1700</v>
      </c>
      <c r="K1947" s="29" t="s">
        <v>12</v>
      </c>
    </row>
    <row r="1948" ht="33.75" spans="1:11">
      <c r="A1948" s="29">
        <v>1947</v>
      </c>
      <c r="B1948" s="34" t="s">
        <v>2286</v>
      </c>
      <c r="C1948" s="29" t="str">
        <f>VLOOKUP(B1948,教育部大学名单!$B$1:$D$2920,3,FALSE)</f>
        <v>河南省</v>
      </c>
      <c r="D1948" s="34" t="s">
        <v>692</v>
      </c>
      <c r="E1948" s="34" t="s">
        <v>693</v>
      </c>
      <c r="F1948" s="36" t="str">
        <f>IFERROR(VLOOKUP(B1948,'985'!$B$2:$D$40,3,FALSE),"")</f>
        <v/>
      </c>
      <c r="G1948" s="32" t="str">
        <f>IFERROR(VLOOKUP(B1948,'211'!$B$2:$D$116,3,FALSE),"")</f>
        <v/>
      </c>
      <c r="H1948" s="32" t="str">
        <f>IFERROR(VLOOKUP(B1948,双一流!$B$2:$D$148,3,FALSE),"")</f>
        <v/>
      </c>
      <c r="I1948" s="32" t="str">
        <f>IFERROR(VLOOKUP(B1948,汇总!$B$2:$I$2921,8,FALSE),"")</f>
        <v>理工</v>
      </c>
      <c r="J1948" s="34" t="s">
        <v>1700</v>
      </c>
      <c r="K1948" s="34" t="s">
        <v>12</v>
      </c>
    </row>
    <row r="1949" ht="33.75" spans="1:11">
      <c r="A1949" s="34">
        <v>1948</v>
      </c>
      <c r="B1949" s="29" t="s">
        <v>2287</v>
      </c>
      <c r="C1949" s="29" t="str">
        <f>VLOOKUP(B1949,教育部大学名单!$B$1:$D$2920,3,FALSE)</f>
        <v>河南省</v>
      </c>
      <c r="D1949" s="29" t="s">
        <v>692</v>
      </c>
      <c r="E1949" s="29" t="s">
        <v>693</v>
      </c>
      <c r="F1949" s="36" t="str">
        <f>IFERROR(VLOOKUP(B1949,'985'!$B$2:$D$40,3,FALSE),"")</f>
        <v/>
      </c>
      <c r="G1949" s="32" t="str">
        <f>IFERROR(VLOOKUP(B1949,'211'!$B$2:$D$116,3,FALSE),"")</f>
        <v/>
      </c>
      <c r="H1949" s="32" t="str">
        <f>IFERROR(VLOOKUP(B1949,双一流!$B$2:$D$148,3,FALSE),"")</f>
        <v/>
      </c>
      <c r="I1949" s="32" t="str">
        <f>IFERROR(VLOOKUP(B1949,汇总!$B$2:$I$2921,8,FALSE),"")</f>
        <v>农林</v>
      </c>
      <c r="J1949" s="29" t="s">
        <v>1700</v>
      </c>
      <c r="K1949" s="29" t="s">
        <v>12</v>
      </c>
    </row>
    <row r="1950" ht="33.75" spans="1:11">
      <c r="A1950" s="29">
        <v>1949</v>
      </c>
      <c r="B1950" s="34" t="s">
        <v>2288</v>
      </c>
      <c r="C1950" s="29" t="str">
        <f>VLOOKUP(B1950,教育部大学名单!$B$1:$D$2920,3,FALSE)</f>
        <v>河南省</v>
      </c>
      <c r="D1950" s="34" t="s">
        <v>692</v>
      </c>
      <c r="E1950" s="34" t="s">
        <v>693</v>
      </c>
      <c r="F1950" s="36" t="str">
        <f>IFERROR(VLOOKUP(B1950,'985'!$B$2:$D$40,3,FALSE),"")</f>
        <v/>
      </c>
      <c r="G1950" s="32" t="str">
        <f>IFERROR(VLOOKUP(B1950,'211'!$B$2:$D$116,3,FALSE),"")</f>
        <v/>
      </c>
      <c r="H1950" s="32" t="str">
        <f>IFERROR(VLOOKUP(B1950,双一流!$B$2:$D$148,3,FALSE),"")</f>
        <v/>
      </c>
      <c r="I1950" s="32" t="str">
        <f>IFERROR(VLOOKUP(B1950,汇总!$B$2:$I$2921,8,FALSE),"")</f>
        <v>综合</v>
      </c>
      <c r="J1950" s="34" t="s">
        <v>1700</v>
      </c>
      <c r="K1950" s="34" t="s">
        <v>12</v>
      </c>
    </row>
    <row r="1951" ht="33.75" spans="1:11">
      <c r="A1951" s="34">
        <v>1950</v>
      </c>
      <c r="B1951" s="29" t="s">
        <v>2289</v>
      </c>
      <c r="C1951" s="29" t="str">
        <f>VLOOKUP(B1951,教育部大学名单!$B$1:$D$2920,3,FALSE)</f>
        <v>河南省</v>
      </c>
      <c r="D1951" s="29" t="s">
        <v>692</v>
      </c>
      <c r="E1951" s="29" t="s">
        <v>693</v>
      </c>
      <c r="F1951" s="36" t="str">
        <f>IFERROR(VLOOKUP(B1951,'985'!$B$2:$D$40,3,FALSE),"")</f>
        <v/>
      </c>
      <c r="G1951" s="32" t="str">
        <f>IFERROR(VLOOKUP(B1951,'211'!$B$2:$D$116,3,FALSE),"")</f>
        <v/>
      </c>
      <c r="H1951" s="32" t="str">
        <f>IFERROR(VLOOKUP(B1951,双一流!$B$2:$D$148,3,FALSE),"")</f>
        <v/>
      </c>
      <c r="I1951" s="32" t="str">
        <f>IFERROR(VLOOKUP(B1951,汇总!$B$2:$I$2921,8,FALSE),"")</f>
        <v>理工</v>
      </c>
      <c r="J1951" s="29" t="s">
        <v>1700</v>
      </c>
      <c r="K1951" s="29" t="s">
        <v>12</v>
      </c>
    </row>
    <row r="1952" ht="33.75" spans="1:11">
      <c r="A1952" s="29">
        <v>1951</v>
      </c>
      <c r="B1952" s="34" t="s">
        <v>2290</v>
      </c>
      <c r="C1952" s="29" t="str">
        <f>VLOOKUP(B1952,教育部大学名单!$B$1:$D$2920,3,FALSE)</f>
        <v>河南省</v>
      </c>
      <c r="D1952" s="34" t="s">
        <v>692</v>
      </c>
      <c r="E1952" s="34" t="s">
        <v>693</v>
      </c>
      <c r="F1952" s="36" t="str">
        <f>IFERROR(VLOOKUP(B1952,'985'!$B$2:$D$40,3,FALSE),"")</f>
        <v/>
      </c>
      <c r="G1952" s="32" t="str">
        <f>IFERROR(VLOOKUP(B1952,'211'!$B$2:$D$116,3,FALSE),"")</f>
        <v/>
      </c>
      <c r="H1952" s="32" t="str">
        <f>IFERROR(VLOOKUP(B1952,双一流!$B$2:$D$148,3,FALSE),"")</f>
        <v/>
      </c>
      <c r="I1952" s="32" t="str">
        <f>IFERROR(VLOOKUP(B1952,汇总!$B$2:$I$2921,8,FALSE),"")</f>
        <v>财经</v>
      </c>
      <c r="J1952" s="34" t="s">
        <v>1700</v>
      </c>
      <c r="K1952" s="34" t="s">
        <v>12</v>
      </c>
    </row>
    <row r="1953" ht="33.75" spans="1:11">
      <c r="A1953" s="34">
        <v>1952</v>
      </c>
      <c r="B1953" s="29" t="s">
        <v>2291</v>
      </c>
      <c r="C1953" s="29" t="str">
        <f>VLOOKUP(B1953,教育部大学名单!$B$1:$D$2920,3,FALSE)</f>
        <v>河南省</v>
      </c>
      <c r="D1953" s="29" t="s">
        <v>692</v>
      </c>
      <c r="E1953" s="29" t="s">
        <v>700</v>
      </c>
      <c r="F1953" s="36" t="str">
        <f>IFERROR(VLOOKUP(B1953,'985'!$B$2:$D$40,3,FALSE),"")</f>
        <v/>
      </c>
      <c r="G1953" s="32" t="str">
        <f>IFERROR(VLOOKUP(B1953,'211'!$B$2:$D$116,3,FALSE),"")</f>
        <v/>
      </c>
      <c r="H1953" s="32" t="str">
        <f>IFERROR(VLOOKUP(B1953,双一流!$B$2:$D$148,3,FALSE),"")</f>
        <v/>
      </c>
      <c r="I1953" s="32" t="str">
        <f>IFERROR(VLOOKUP(B1953,汇总!$B$2:$I$2921,8,FALSE),"")</f>
        <v>农林</v>
      </c>
      <c r="J1953" s="29" t="s">
        <v>1700</v>
      </c>
      <c r="K1953" s="29" t="s">
        <v>12</v>
      </c>
    </row>
    <row r="1954" ht="33.75" spans="1:11">
      <c r="A1954" s="29">
        <v>1953</v>
      </c>
      <c r="B1954" s="34" t="s">
        <v>2292</v>
      </c>
      <c r="C1954" s="29" t="str">
        <f>VLOOKUP(B1954,教育部大学名单!$B$1:$D$2920,3,FALSE)</f>
        <v>河南省</v>
      </c>
      <c r="D1954" s="34" t="s">
        <v>692</v>
      </c>
      <c r="E1954" s="34" t="s">
        <v>693</v>
      </c>
      <c r="F1954" s="36" t="str">
        <f>IFERROR(VLOOKUP(B1954,'985'!$B$2:$D$40,3,FALSE),"")</f>
        <v/>
      </c>
      <c r="G1954" s="32" t="str">
        <f>IFERROR(VLOOKUP(B1954,'211'!$B$2:$D$116,3,FALSE),"")</f>
        <v/>
      </c>
      <c r="H1954" s="32" t="str">
        <f>IFERROR(VLOOKUP(B1954,双一流!$B$2:$D$148,3,FALSE),"")</f>
        <v/>
      </c>
      <c r="I1954" s="32" t="str">
        <f>IFERROR(VLOOKUP(B1954,汇总!$B$2:$I$2921,8,FALSE),"")</f>
        <v>综合</v>
      </c>
      <c r="J1954" s="34" t="s">
        <v>1700</v>
      </c>
      <c r="K1954" s="34" t="s">
        <v>12</v>
      </c>
    </row>
    <row r="1955" ht="33.75" spans="1:11">
      <c r="A1955" s="34">
        <v>1954</v>
      </c>
      <c r="B1955" s="29" t="s">
        <v>2293</v>
      </c>
      <c r="C1955" s="29" t="str">
        <f>VLOOKUP(B1955,教育部大学名单!$B$1:$D$2920,3,FALSE)</f>
        <v>河南省</v>
      </c>
      <c r="D1955" s="29" t="s">
        <v>692</v>
      </c>
      <c r="E1955" s="29" t="s">
        <v>693</v>
      </c>
      <c r="F1955" s="36" t="str">
        <f>IFERROR(VLOOKUP(B1955,'985'!$B$2:$D$40,3,FALSE),"")</f>
        <v/>
      </c>
      <c r="G1955" s="32" t="str">
        <f>IFERROR(VLOOKUP(B1955,'211'!$B$2:$D$116,3,FALSE),"")</f>
        <v/>
      </c>
      <c r="H1955" s="32" t="str">
        <f>IFERROR(VLOOKUP(B1955,双一流!$B$2:$D$148,3,FALSE),"")</f>
        <v/>
      </c>
      <c r="I1955" s="32" t="str">
        <f>IFERROR(VLOOKUP(B1955,汇总!$B$2:$I$2921,8,FALSE),"")</f>
        <v>理工</v>
      </c>
      <c r="J1955" s="29" t="s">
        <v>1700</v>
      </c>
      <c r="K1955" s="29" t="s">
        <v>12</v>
      </c>
    </row>
    <row r="1956" ht="33.75" spans="1:11">
      <c r="A1956" s="29">
        <v>1955</v>
      </c>
      <c r="B1956" s="34" t="s">
        <v>2294</v>
      </c>
      <c r="C1956" s="29" t="str">
        <f>VLOOKUP(B1956,教育部大学名单!$B$1:$D$2920,3,FALSE)</f>
        <v>河南省</v>
      </c>
      <c r="D1956" s="34" t="s">
        <v>692</v>
      </c>
      <c r="E1956" s="34" t="s">
        <v>716</v>
      </c>
      <c r="F1956" s="36" t="str">
        <f>IFERROR(VLOOKUP(B1956,'985'!$B$2:$D$40,3,FALSE),"")</f>
        <v/>
      </c>
      <c r="G1956" s="32" t="str">
        <f>IFERROR(VLOOKUP(B1956,'211'!$B$2:$D$116,3,FALSE),"")</f>
        <v/>
      </c>
      <c r="H1956" s="32" t="str">
        <f>IFERROR(VLOOKUP(B1956,双一流!$B$2:$D$148,3,FALSE),"")</f>
        <v/>
      </c>
      <c r="I1956" s="32" t="str">
        <f>IFERROR(VLOOKUP(B1956,汇总!$B$2:$I$2921,8,FALSE),"")</f>
        <v>综合</v>
      </c>
      <c r="J1956" s="34" t="s">
        <v>1700</v>
      </c>
      <c r="K1956" s="34" t="s">
        <v>12</v>
      </c>
    </row>
    <row r="1957" ht="33.75" spans="1:11">
      <c r="A1957" s="34">
        <v>1956</v>
      </c>
      <c r="B1957" s="29" t="s">
        <v>2295</v>
      </c>
      <c r="C1957" s="29" t="str">
        <f>VLOOKUP(B1957,教育部大学名单!$B$1:$D$2920,3,FALSE)</f>
        <v>河南省</v>
      </c>
      <c r="D1957" s="29" t="s">
        <v>692</v>
      </c>
      <c r="E1957" s="29" t="s">
        <v>704</v>
      </c>
      <c r="F1957" s="36" t="str">
        <f>IFERROR(VLOOKUP(B1957,'985'!$B$2:$D$40,3,FALSE),"")</f>
        <v/>
      </c>
      <c r="G1957" s="32" t="str">
        <f>IFERROR(VLOOKUP(B1957,'211'!$B$2:$D$116,3,FALSE),"")</f>
        <v/>
      </c>
      <c r="H1957" s="32" t="str">
        <f>IFERROR(VLOOKUP(B1957,双一流!$B$2:$D$148,3,FALSE),"")</f>
        <v/>
      </c>
      <c r="I1957" s="32" t="str">
        <f>IFERROR(VLOOKUP(B1957,汇总!$B$2:$I$2921,8,FALSE),"")</f>
        <v>综合</v>
      </c>
      <c r="J1957" s="29" t="s">
        <v>1700</v>
      </c>
      <c r="K1957" s="29" t="s">
        <v>12</v>
      </c>
    </row>
    <row r="1958" ht="33.75" spans="1:11">
      <c r="A1958" s="29">
        <v>1957</v>
      </c>
      <c r="B1958" s="34" t="s">
        <v>2296</v>
      </c>
      <c r="C1958" s="29" t="str">
        <f>VLOOKUP(B1958,教育部大学名单!$B$1:$D$2920,3,FALSE)</f>
        <v>河南省</v>
      </c>
      <c r="D1958" s="34" t="s">
        <v>692</v>
      </c>
      <c r="E1958" s="34" t="s">
        <v>727</v>
      </c>
      <c r="F1958" s="36" t="str">
        <f>IFERROR(VLOOKUP(B1958,'985'!$B$2:$D$40,3,FALSE),"")</f>
        <v/>
      </c>
      <c r="G1958" s="32" t="str">
        <f>IFERROR(VLOOKUP(B1958,'211'!$B$2:$D$116,3,FALSE),"")</f>
        <v/>
      </c>
      <c r="H1958" s="32" t="str">
        <f>IFERROR(VLOOKUP(B1958,双一流!$B$2:$D$148,3,FALSE),"")</f>
        <v/>
      </c>
      <c r="I1958" s="32" t="str">
        <f>IFERROR(VLOOKUP(B1958,汇总!$B$2:$I$2921,8,FALSE),"")</f>
        <v>理工</v>
      </c>
      <c r="J1958" s="34" t="s">
        <v>1700</v>
      </c>
      <c r="K1958" s="34" t="s">
        <v>12</v>
      </c>
    </row>
    <row r="1959" ht="33.75" spans="1:11">
      <c r="A1959" s="34">
        <v>1958</v>
      </c>
      <c r="B1959" s="29" t="s">
        <v>2297</v>
      </c>
      <c r="C1959" s="29" t="str">
        <f>VLOOKUP(B1959,教育部大学名单!$B$1:$D$2920,3,FALSE)</f>
        <v>河南省</v>
      </c>
      <c r="D1959" s="29" t="s">
        <v>692</v>
      </c>
      <c r="E1959" s="29" t="s">
        <v>709</v>
      </c>
      <c r="F1959" s="36" t="str">
        <f>IFERROR(VLOOKUP(B1959,'985'!$B$2:$D$40,3,FALSE),"")</f>
        <v/>
      </c>
      <c r="G1959" s="32" t="str">
        <f>IFERROR(VLOOKUP(B1959,'211'!$B$2:$D$116,3,FALSE),"")</f>
        <v/>
      </c>
      <c r="H1959" s="32" t="str">
        <f>IFERROR(VLOOKUP(B1959,双一流!$B$2:$D$148,3,FALSE),"")</f>
        <v/>
      </c>
      <c r="I1959" s="32" t="str">
        <f>IFERROR(VLOOKUP(B1959,汇总!$B$2:$I$2921,8,FALSE),"")</f>
        <v>艺术</v>
      </c>
      <c r="J1959" s="29" t="s">
        <v>1700</v>
      </c>
      <c r="K1959" s="29" t="s">
        <v>12</v>
      </c>
    </row>
    <row r="1960" ht="33.75" spans="1:11">
      <c r="A1960" s="29">
        <v>1959</v>
      </c>
      <c r="B1960" s="34" t="s">
        <v>2298</v>
      </c>
      <c r="C1960" s="29" t="str">
        <f>VLOOKUP(B1960,教育部大学名单!$B$1:$D$2920,3,FALSE)</f>
        <v>河南省</v>
      </c>
      <c r="D1960" s="34" t="s">
        <v>692</v>
      </c>
      <c r="E1960" s="34" t="s">
        <v>693</v>
      </c>
      <c r="F1960" s="36" t="str">
        <f>IFERROR(VLOOKUP(B1960,'985'!$B$2:$D$40,3,FALSE),"")</f>
        <v/>
      </c>
      <c r="G1960" s="32" t="str">
        <f>IFERROR(VLOOKUP(B1960,'211'!$B$2:$D$116,3,FALSE),"")</f>
        <v/>
      </c>
      <c r="H1960" s="32" t="str">
        <f>IFERROR(VLOOKUP(B1960,双一流!$B$2:$D$148,3,FALSE),"")</f>
        <v/>
      </c>
      <c r="I1960" s="32" t="str">
        <f>IFERROR(VLOOKUP(B1960,汇总!$B$2:$I$2921,8,FALSE),"")</f>
        <v>综合</v>
      </c>
      <c r="J1960" s="34" t="s">
        <v>1700</v>
      </c>
      <c r="K1960" s="34" t="s">
        <v>12</v>
      </c>
    </row>
    <row r="1961" ht="33.75" spans="1:11">
      <c r="A1961" s="34">
        <v>1960</v>
      </c>
      <c r="B1961" s="29" t="s">
        <v>2299</v>
      </c>
      <c r="C1961" s="29" t="str">
        <f>VLOOKUP(B1961,教育部大学名单!$B$1:$D$2920,3,FALSE)</f>
        <v>河南省</v>
      </c>
      <c r="D1961" s="29" t="s">
        <v>692</v>
      </c>
      <c r="E1961" s="29" t="s">
        <v>693</v>
      </c>
      <c r="F1961" s="36" t="str">
        <f>IFERROR(VLOOKUP(B1961,'985'!$B$2:$D$40,3,FALSE),"")</f>
        <v/>
      </c>
      <c r="G1961" s="32" t="str">
        <f>IFERROR(VLOOKUP(B1961,'211'!$B$2:$D$116,3,FALSE),"")</f>
        <v/>
      </c>
      <c r="H1961" s="32" t="str">
        <f>IFERROR(VLOOKUP(B1961,双一流!$B$2:$D$148,3,FALSE),"")</f>
        <v/>
      </c>
      <c r="I1961" s="32" t="str">
        <f>IFERROR(VLOOKUP(B1961,汇总!$B$2:$I$2921,8,FALSE),"")</f>
        <v>艺术</v>
      </c>
      <c r="J1961" s="29" t="s">
        <v>1700</v>
      </c>
      <c r="K1961" s="29" t="s">
        <v>12</v>
      </c>
    </row>
    <row r="1962" ht="33.75" spans="1:11">
      <c r="A1962" s="29">
        <v>1961</v>
      </c>
      <c r="B1962" s="34" t="s">
        <v>2300</v>
      </c>
      <c r="C1962" s="29" t="str">
        <f>VLOOKUP(B1962,教育部大学名单!$B$1:$D$2920,3,FALSE)</f>
        <v>河南省</v>
      </c>
      <c r="D1962" s="34" t="s">
        <v>692</v>
      </c>
      <c r="E1962" s="34" t="s">
        <v>693</v>
      </c>
      <c r="F1962" s="36" t="str">
        <f>IFERROR(VLOOKUP(B1962,'985'!$B$2:$D$40,3,FALSE),"")</f>
        <v/>
      </c>
      <c r="G1962" s="32" t="str">
        <f>IFERROR(VLOOKUP(B1962,'211'!$B$2:$D$116,3,FALSE),"")</f>
        <v/>
      </c>
      <c r="H1962" s="32" t="str">
        <f>IFERROR(VLOOKUP(B1962,双一流!$B$2:$D$148,3,FALSE),"")</f>
        <v/>
      </c>
      <c r="I1962" s="32" t="str">
        <f>IFERROR(VLOOKUP(B1962,汇总!$B$2:$I$2921,8,FALSE),"")</f>
        <v>理工</v>
      </c>
      <c r="J1962" s="34" t="s">
        <v>1700</v>
      </c>
      <c r="K1962" s="34" t="s">
        <v>12</v>
      </c>
    </row>
    <row r="1963" ht="33.75" spans="1:11">
      <c r="A1963" s="34">
        <v>1962</v>
      </c>
      <c r="B1963" s="29" t="s">
        <v>2301</v>
      </c>
      <c r="C1963" s="29" t="str">
        <f>VLOOKUP(B1963,教育部大学名单!$B$1:$D$2920,3,FALSE)</f>
        <v>河南省</v>
      </c>
      <c r="D1963" s="29" t="s">
        <v>692</v>
      </c>
      <c r="E1963" s="29" t="s">
        <v>716</v>
      </c>
      <c r="F1963" s="36" t="str">
        <f>IFERROR(VLOOKUP(B1963,'985'!$B$2:$D$40,3,FALSE),"")</f>
        <v/>
      </c>
      <c r="G1963" s="32" t="str">
        <f>IFERROR(VLOOKUP(B1963,'211'!$B$2:$D$116,3,FALSE),"")</f>
        <v/>
      </c>
      <c r="H1963" s="32" t="str">
        <f>IFERROR(VLOOKUP(B1963,双一流!$B$2:$D$148,3,FALSE),"")</f>
        <v/>
      </c>
      <c r="I1963" s="32" t="str">
        <f>IFERROR(VLOOKUP(B1963,汇总!$B$2:$I$2921,8,FALSE),"")</f>
        <v>医药</v>
      </c>
      <c r="J1963" s="29" t="s">
        <v>1700</v>
      </c>
      <c r="K1963" s="29" t="s">
        <v>12</v>
      </c>
    </row>
    <row r="1964" ht="33.75" spans="1:11">
      <c r="A1964" s="29">
        <v>1963</v>
      </c>
      <c r="B1964" s="34" t="s">
        <v>2302</v>
      </c>
      <c r="C1964" s="29" t="str">
        <f>VLOOKUP(B1964,教育部大学名单!$B$1:$D$2920,3,FALSE)</f>
        <v>河南省</v>
      </c>
      <c r="D1964" s="34" t="s">
        <v>692</v>
      </c>
      <c r="E1964" s="34" t="s">
        <v>718</v>
      </c>
      <c r="F1964" s="36" t="str">
        <f>IFERROR(VLOOKUP(B1964,'985'!$B$2:$D$40,3,FALSE),"")</f>
        <v/>
      </c>
      <c r="G1964" s="32" t="str">
        <f>IFERROR(VLOOKUP(B1964,'211'!$B$2:$D$116,3,FALSE),"")</f>
        <v/>
      </c>
      <c r="H1964" s="32" t="str">
        <f>IFERROR(VLOOKUP(B1964,双一流!$B$2:$D$148,3,FALSE),"")</f>
        <v/>
      </c>
      <c r="I1964" s="32" t="str">
        <f>IFERROR(VLOOKUP(B1964,汇总!$B$2:$I$2921,8,FALSE),"")</f>
        <v>理工</v>
      </c>
      <c r="J1964" s="34" t="s">
        <v>1700</v>
      </c>
      <c r="K1964" s="34" t="s">
        <v>12</v>
      </c>
    </row>
    <row r="1965" ht="33.75" spans="1:11">
      <c r="A1965" s="34">
        <v>1964</v>
      </c>
      <c r="B1965" s="29" t="s">
        <v>2303</v>
      </c>
      <c r="C1965" s="29" t="str">
        <f>VLOOKUP(B1965,教育部大学名单!$B$1:$D$2920,3,FALSE)</f>
        <v>河南省</v>
      </c>
      <c r="D1965" s="29" t="s">
        <v>692</v>
      </c>
      <c r="E1965" s="29" t="s">
        <v>700</v>
      </c>
      <c r="F1965" s="36" t="str">
        <f>IFERROR(VLOOKUP(B1965,'985'!$B$2:$D$40,3,FALSE),"")</f>
        <v/>
      </c>
      <c r="G1965" s="32" t="str">
        <f>IFERROR(VLOOKUP(B1965,'211'!$B$2:$D$116,3,FALSE),"")</f>
        <v/>
      </c>
      <c r="H1965" s="32" t="str">
        <f>IFERROR(VLOOKUP(B1965,双一流!$B$2:$D$148,3,FALSE),"")</f>
        <v/>
      </c>
      <c r="I1965" s="32">
        <f>IFERROR(VLOOKUP(B1965,汇总!$B$2:$I$2921,8,FALSE),"")</f>
        <v>0</v>
      </c>
      <c r="J1965" s="29" t="s">
        <v>1700</v>
      </c>
      <c r="K1965" s="29" t="s">
        <v>12</v>
      </c>
    </row>
    <row r="1966" ht="33.75" spans="1:11">
      <c r="A1966" s="29">
        <v>1965</v>
      </c>
      <c r="B1966" s="34" t="s">
        <v>2304</v>
      </c>
      <c r="C1966" s="29" t="str">
        <f>VLOOKUP(B1966,教育部大学名单!$B$1:$D$2920,3,FALSE)</f>
        <v>河南省</v>
      </c>
      <c r="D1966" s="34" t="s">
        <v>692</v>
      </c>
      <c r="E1966" s="34" t="s">
        <v>700</v>
      </c>
      <c r="F1966" s="36" t="str">
        <f>IFERROR(VLOOKUP(B1966,'985'!$B$2:$D$40,3,FALSE),"")</f>
        <v/>
      </c>
      <c r="G1966" s="32" t="str">
        <f>IFERROR(VLOOKUP(B1966,'211'!$B$2:$D$116,3,FALSE),"")</f>
        <v/>
      </c>
      <c r="H1966" s="32" t="str">
        <f>IFERROR(VLOOKUP(B1966,双一流!$B$2:$D$148,3,FALSE),"")</f>
        <v/>
      </c>
      <c r="I1966" s="32" t="str">
        <f>IFERROR(VLOOKUP(B1966,汇总!$B$2:$I$2921,8,FALSE),"")</f>
        <v>综合</v>
      </c>
      <c r="J1966" s="34" t="s">
        <v>1700</v>
      </c>
      <c r="K1966" s="34" t="s">
        <v>12</v>
      </c>
    </row>
    <row r="1967" ht="50.25" spans="1:11">
      <c r="A1967" s="34">
        <v>1966</v>
      </c>
      <c r="B1967" s="29" t="s">
        <v>2305</v>
      </c>
      <c r="C1967" s="29" t="str">
        <f>VLOOKUP(B1967,教育部大学名单!$B$1:$D$2920,3,FALSE)</f>
        <v>河南省</v>
      </c>
      <c r="D1967" s="29" t="s">
        <v>692</v>
      </c>
      <c r="E1967" s="29" t="s">
        <v>693</v>
      </c>
      <c r="F1967" s="36" t="str">
        <f>IFERROR(VLOOKUP(B1967,'985'!$B$2:$D$40,3,FALSE),"")</f>
        <v/>
      </c>
      <c r="G1967" s="32" t="str">
        <f>IFERROR(VLOOKUP(B1967,'211'!$B$2:$D$116,3,FALSE),"")</f>
        <v/>
      </c>
      <c r="H1967" s="32" t="str">
        <f>IFERROR(VLOOKUP(B1967,双一流!$B$2:$D$148,3,FALSE),"")</f>
        <v/>
      </c>
      <c r="I1967" s="32" t="str">
        <f>IFERROR(VLOOKUP(B1967,汇总!$B$2:$I$2921,8,FALSE),"")</f>
        <v>师范</v>
      </c>
      <c r="J1967" s="29" t="s">
        <v>1700</v>
      </c>
      <c r="K1967" s="29" t="s">
        <v>12</v>
      </c>
    </row>
    <row r="1968" ht="50.25" spans="1:11">
      <c r="A1968" s="29">
        <v>1967</v>
      </c>
      <c r="B1968" s="34" t="s">
        <v>2306</v>
      </c>
      <c r="C1968" s="29" t="str">
        <f>VLOOKUP(B1968,教育部大学名单!$B$1:$D$2920,3,FALSE)</f>
        <v>河南省</v>
      </c>
      <c r="D1968" s="34" t="s">
        <v>692</v>
      </c>
      <c r="E1968" s="34" t="s">
        <v>716</v>
      </c>
      <c r="F1968" s="36" t="str">
        <f>IFERROR(VLOOKUP(B1968,'985'!$B$2:$D$40,3,FALSE),"")</f>
        <v/>
      </c>
      <c r="G1968" s="32" t="str">
        <f>IFERROR(VLOOKUP(B1968,'211'!$B$2:$D$116,3,FALSE),"")</f>
        <v/>
      </c>
      <c r="H1968" s="32" t="str">
        <f>IFERROR(VLOOKUP(B1968,双一流!$B$2:$D$148,3,FALSE),"")</f>
        <v/>
      </c>
      <c r="I1968" s="32" t="str">
        <f>IFERROR(VLOOKUP(B1968,汇总!$B$2:$I$2921,8,FALSE),"")</f>
        <v>师范</v>
      </c>
      <c r="J1968" s="34" t="s">
        <v>1700</v>
      </c>
      <c r="K1968" s="34" t="s">
        <v>12</v>
      </c>
    </row>
    <row r="1969" ht="33.75" spans="1:11">
      <c r="A1969" s="34">
        <v>1968</v>
      </c>
      <c r="B1969" s="29" t="s">
        <v>2307</v>
      </c>
      <c r="C1969" s="29" t="str">
        <f>VLOOKUP(B1969,教育部大学名单!$B$1:$D$2920,3,FALSE)</f>
        <v>河南省</v>
      </c>
      <c r="D1969" s="29" t="s">
        <v>692</v>
      </c>
      <c r="E1969" s="29" t="s">
        <v>693</v>
      </c>
      <c r="F1969" s="36" t="str">
        <f>IFERROR(VLOOKUP(B1969,'985'!$B$2:$D$40,3,FALSE),"")</f>
        <v/>
      </c>
      <c r="G1969" s="32" t="str">
        <f>IFERROR(VLOOKUP(B1969,'211'!$B$2:$D$116,3,FALSE),"")</f>
        <v/>
      </c>
      <c r="H1969" s="32" t="str">
        <f>IFERROR(VLOOKUP(B1969,双一流!$B$2:$D$148,3,FALSE),"")</f>
        <v/>
      </c>
      <c r="I1969" s="32" t="str">
        <f>IFERROR(VLOOKUP(B1969,汇总!$B$2:$I$2921,8,FALSE),"")</f>
        <v>医药</v>
      </c>
      <c r="J1969" s="29" t="s">
        <v>1700</v>
      </c>
      <c r="K1969" s="29" t="s">
        <v>12</v>
      </c>
    </row>
    <row r="1970" ht="33.75" spans="1:11">
      <c r="A1970" s="29">
        <v>1969</v>
      </c>
      <c r="B1970" s="34" t="s">
        <v>2308</v>
      </c>
      <c r="C1970" s="29" t="str">
        <f>VLOOKUP(B1970,教育部大学名单!$B$1:$D$2920,3,FALSE)</f>
        <v>河南省</v>
      </c>
      <c r="D1970" s="34" t="s">
        <v>692</v>
      </c>
      <c r="E1970" s="34" t="s">
        <v>693</v>
      </c>
      <c r="F1970" s="36" t="str">
        <f>IFERROR(VLOOKUP(B1970,'985'!$B$2:$D$40,3,FALSE),"")</f>
        <v/>
      </c>
      <c r="G1970" s="32" t="str">
        <f>IFERROR(VLOOKUP(B1970,'211'!$B$2:$D$116,3,FALSE),"")</f>
        <v/>
      </c>
      <c r="H1970" s="32" t="str">
        <f>IFERROR(VLOOKUP(B1970,双一流!$B$2:$D$148,3,FALSE),"")</f>
        <v/>
      </c>
      <c r="I1970" s="32" t="str">
        <f>IFERROR(VLOOKUP(B1970,汇总!$B$2:$I$2921,8,FALSE),"")</f>
        <v>财经</v>
      </c>
      <c r="J1970" s="34" t="s">
        <v>1700</v>
      </c>
      <c r="K1970" s="34" t="s">
        <v>12</v>
      </c>
    </row>
    <row r="1971" ht="33.75" spans="1:11">
      <c r="A1971" s="34">
        <v>1970</v>
      </c>
      <c r="B1971" s="29" t="s">
        <v>2309</v>
      </c>
      <c r="C1971" s="29" t="str">
        <f>VLOOKUP(B1971,教育部大学名单!$B$1:$D$2920,3,FALSE)</f>
        <v>河南省</v>
      </c>
      <c r="D1971" s="29" t="s">
        <v>692</v>
      </c>
      <c r="E1971" s="29" t="s">
        <v>720</v>
      </c>
      <c r="F1971" s="36" t="str">
        <f>IFERROR(VLOOKUP(B1971,'985'!$B$2:$D$40,3,FALSE),"")</f>
        <v/>
      </c>
      <c r="G1971" s="32" t="str">
        <f>IFERROR(VLOOKUP(B1971,'211'!$B$2:$D$116,3,FALSE),"")</f>
        <v/>
      </c>
      <c r="H1971" s="32" t="str">
        <f>IFERROR(VLOOKUP(B1971,双一流!$B$2:$D$148,3,FALSE),"")</f>
        <v/>
      </c>
      <c r="I1971" s="32" t="str">
        <f>IFERROR(VLOOKUP(B1971,汇总!$B$2:$I$2921,8,FALSE),"")</f>
        <v>农林</v>
      </c>
      <c r="J1971" s="29" t="s">
        <v>1700</v>
      </c>
      <c r="K1971" s="29" t="s">
        <v>12</v>
      </c>
    </row>
    <row r="1972" ht="33.75" spans="1:11">
      <c r="A1972" s="29">
        <v>1971</v>
      </c>
      <c r="B1972" s="34" t="s">
        <v>2310</v>
      </c>
      <c r="C1972" s="29" t="str">
        <f>VLOOKUP(B1972,教育部大学名单!$B$1:$D$2920,3,FALSE)</f>
        <v>河南省</v>
      </c>
      <c r="D1972" s="34" t="s">
        <v>692</v>
      </c>
      <c r="E1972" s="34" t="s">
        <v>2274</v>
      </c>
      <c r="F1972" s="36" t="str">
        <f>IFERROR(VLOOKUP(B1972,'985'!$B$2:$D$40,3,FALSE),"")</f>
        <v/>
      </c>
      <c r="G1972" s="32" t="str">
        <f>IFERROR(VLOOKUP(B1972,'211'!$B$2:$D$116,3,FALSE),"")</f>
        <v/>
      </c>
      <c r="H1972" s="32" t="str">
        <f>IFERROR(VLOOKUP(B1972,双一流!$B$2:$D$148,3,FALSE),"")</f>
        <v/>
      </c>
      <c r="I1972" s="32">
        <f>IFERROR(VLOOKUP(B1972,汇总!$B$2:$I$2921,8,FALSE),"")</f>
        <v>0</v>
      </c>
      <c r="J1972" s="34" t="s">
        <v>1700</v>
      </c>
      <c r="K1972" s="34" t="s">
        <v>12</v>
      </c>
    </row>
    <row r="1973" ht="33.75" spans="1:11">
      <c r="A1973" s="34">
        <v>1972</v>
      </c>
      <c r="B1973" s="29" t="s">
        <v>2311</v>
      </c>
      <c r="C1973" s="29" t="str">
        <f>VLOOKUP(B1973,教育部大学名单!$B$1:$D$2920,3,FALSE)</f>
        <v>河南省</v>
      </c>
      <c r="D1973" s="29" t="s">
        <v>692</v>
      </c>
      <c r="E1973" s="29" t="s">
        <v>2262</v>
      </c>
      <c r="F1973" s="36" t="str">
        <f>IFERROR(VLOOKUP(B1973,'985'!$B$2:$D$40,3,FALSE),"")</f>
        <v/>
      </c>
      <c r="G1973" s="32" t="str">
        <f>IFERROR(VLOOKUP(B1973,'211'!$B$2:$D$116,3,FALSE),"")</f>
        <v/>
      </c>
      <c r="H1973" s="32" t="str">
        <f>IFERROR(VLOOKUP(B1973,双一流!$B$2:$D$148,3,FALSE),"")</f>
        <v/>
      </c>
      <c r="I1973" s="32" t="str">
        <f>IFERROR(VLOOKUP(B1973,汇总!$B$2:$I$2921,8,FALSE),"")</f>
        <v>医药</v>
      </c>
      <c r="J1973" s="29" t="s">
        <v>1700</v>
      </c>
      <c r="K1973" s="29" t="s">
        <v>12</v>
      </c>
    </row>
    <row r="1974" ht="50.25" spans="1:11">
      <c r="A1974" s="29">
        <v>1973</v>
      </c>
      <c r="B1974" s="34" t="s">
        <v>2312</v>
      </c>
      <c r="C1974" s="29" t="str">
        <f>VLOOKUP(B1974,教育部大学名单!$B$1:$D$2920,3,FALSE)</f>
        <v>河南省</v>
      </c>
      <c r="D1974" s="34" t="s">
        <v>692</v>
      </c>
      <c r="E1974" s="34" t="s">
        <v>727</v>
      </c>
      <c r="F1974" s="36" t="str">
        <f>IFERROR(VLOOKUP(B1974,'985'!$B$2:$D$40,3,FALSE),"")</f>
        <v/>
      </c>
      <c r="G1974" s="32" t="str">
        <f>IFERROR(VLOOKUP(B1974,'211'!$B$2:$D$116,3,FALSE),"")</f>
        <v/>
      </c>
      <c r="H1974" s="32" t="str">
        <f>IFERROR(VLOOKUP(B1974,双一流!$B$2:$D$148,3,FALSE),"")</f>
        <v/>
      </c>
      <c r="I1974" s="32" t="str">
        <f>IFERROR(VLOOKUP(B1974,汇总!$B$2:$I$2921,8,FALSE),"")</f>
        <v>师范</v>
      </c>
      <c r="J1974" s="34" t="s">
        <v>1700</v>
      </c>
      <c r="K1974" s="34" t="s">
        <v>12</v>
      </c>
    </row>
    <row r="1975" ht="50.25" spans="1:11">
      <c r="A1975" s="34">
        <v>1974</v>
      </c>
      <c r="B1975" s="29" t="s">
        <v>2313</v>
      </c>
      <c r="C1975" s="29" t="str">
        <f>VLOOKUP(B1975,教育部大学名单!$B$1:$D$2920,3,FALSE)</f>
        <v>河南省</v>
      </c>
      <c r="D1975" s="29" t="s">
        <v>692</v>
      </c>
      <c r="E1975" s="29" t="s">
        <v>2257</v>
      </c>
      <c r="F1975" s="36" t="str">
        <f>IFERROR(VLOOKUP(B1975,'985'!$B$2:$D$40,3,FALSE),"")</f>
        <v/>
      </c>
      <c r="G1975" s="32" t="str">
        <f>IFERROR(VLOOKUP(B1975,'211'!$B$2:$D$116,3,FALSE),"")</f>
        <v/>
      </c>
      <c r="H1975" s="32" t="str">
        <f>IFERROR(VLOOKUP(B1975,双一流!$B$2:$D$148,3,FALSE),"")</f>
        <v/>
      </c>
      <c r="I1975" s="32" t="str">
        <f>IFERROR(VLOOKUP(B1975,汇总!$B$2:$I$2921,8,FALSE),"")</f>
        <v>综合</v>
      </c>
      <c r="J1975" s="29" t="s">
        <v>1700</v>
      </c>
      <c r="K1975" s="29" t="s">
        <v>12</v>
      </c>
    </row>
    <row r="1976" ht="33.75" spans="1:11">
      <c r="A1976" s="29">
        <v>1975</v>
      </c>
      <c r="B1976" s="34" t="s">
        <v>2314</v>
      </c>
      <c r="C1976" s="29" t="str">
        <f>VLOOKUP(B1976,教育部大学名单!$B$1:$D$2920,3,FALSE)</f>
        <v>河南省</v>
      </c>
      <c r="D1976" s="34" t="s">
        <v>692</v>
      </c>
      <c r="E1976" s="34" t="s">
        <v>693</v>
      </c>
      <c r="F1976" s="36" t="str">
        <f>IFERROR(VLOOKUP(B1976,'985'!$B$2:$D$40,3,FALSE),"")</f>
        <v/>
      </c>
      <c r="G1976" s="32" t="str">
        <f>IFERROR(VLOOKUP(B1976,'211'!$B$2:$D$116,3,FALSE),"")</f>
        <v/>
      </c>
      <c r="H1976" s="32" t="str">
        <f>IFERROR(VLOOKUP(B1976,双一流!$B$2:$D$148,3,FALSE),"")</f>
        <v/>
      </c>
      <c r="I1976" s="32">
        <f>IFERROR(VLOOKUP(B1976,汇总!$B$2:$I$2921,8,FALSE),"")</f>
        <v>0</v>
      </c>
      <c r="J1976" s="34" t="s">
        <v>1700</v>
      </c>
      <c r="K1976" s="34" t="s">
        <v>12</v>
      </c>
    </row>
    <row r="1977" ht="33.75" spans="1:11">
      <c r="A1977" s="34">
        <v>1976</v>
      </c>
      <c r="B1977" s="29" t="s">
        <v>2315</v>
      </c>
      <c r="C1977" s="29" t="str">
        <f>VLOOKUP(B1977,教育部大学名单!$B$1:$D$2920,3,FALSE)</f>
        <v>河南省</v>
      </c>
      <c r="D1977" s="29" t="s">
        <v>692</v>
      </c>
      <c r="E1977" s="29" t="s">
        <v>693</v>
      </c>
      <c r="F1977" s="36" t="str">
        <f>IFERROR(VLOOKUP(B1977,'985'!$B$2:$D$40,3,FALSE),"")</f>
        <v/>
      </c>
      <c r="G1977" s="32" t="str">
        <f>IFERROR(VLOOKUP(B1977,'211'!$B$2:$D$116,3,FALSE),"")</f>
        <v/>
      </c>
      <c r="H1977" s="32" t="str">
        <f>IFERROR(VLOOKUP(B1977,双一流!$B$2:$D$148,3,FALSE),"")</f>
        <v/>
      </c>
      <c r="I1977" s="32" t="str">
        <f>IFERROR(VLOOKUP(B1977,汇总!$B$2:$I$2921,8,FALSE),"")</f>
        <v>理工</v>
      </c>
      <c r="J1977" s="29" t="s">
        <v>1700</v>
      </c>
      <c r="K1977" s="29" t="s">
        <v>12</v>
      </c>
    </row>
    <row r="1978" ht="33.75" spans="1:11">
      <c r="A1978" s="29">
        <v>1977</v>
      </c>
      <c r="B1978" s="34" t="s">
        <v>2316</v>
      </c>
      <c r="C1978" s="29" t="str">
        <f>VLOOKUP(B1978,教育部大学名单!$B$1:$D$2920,3,FALSE)</f>
        <v>河南省</v>
      </c>
      <c r="D1978" s="34" t="s">
        <v>692</v>
      </c>
      <c r="E1978" s="34" t="s">
        <v>693</v>
      </c>
      <c r="F1978" s="36" t="str">
        <f>IFERROR(VLOOKUP(B1978,'985'!$B$2:$D$40,3,FALSE),"")</f>
        <v/>
      </c>
      <c r="G1978" s="32" t="str">
        <f>IFERROR(VLOOKUP(B1978,'211'!$B$2:$D$116,3,FALSE),"")</f>
        <v/>
      </c>
      <c r="H1978" s="32" t="str">
        <f>IFERROR(VLOOKUP(B1978,双一流!$B$2:$D$148,3,FALSE),"")</f>
        <v/>
      </c>
      <c r="I1978" s="32">
        <f>IFERROR(VLOOKUP(B1978,汇总!$B$2:$I$2921,8,FALSE),"")</f>
        <v>0</v>
      </c>
      <c r="J1978" s="34" t="s">
        <v>1700</v>
      </c>
      <c r="K1978" s="34" t="s">
        <v>12</v>
      </c>
    </row>
    <row r="1979" ht="33.75" spans="1:11">
      <c r="A1979" s="34">
        <v>1978</v>
      </c>
      <c r="B1979" s="29" t="s">
        <v>2317</v>
      </c>
      <c r="C1979" s="29" t="str">
        <f>VLOOKUP(B1979,教育部大学名单!$B$1:$D$2920,3,FALSE)</f>
        <v>河南省</v>
      </c>
      <c r="D1979" s="29" t="s">
        <v>692</v>
      </c>
      <c r="E1979" s="29" t="s">
        <v>704</v>
      </c>
      <c r="F1979" s="36" t="str">
        <f>IFERROR(VLOOKUP(B1979,'985'!$B$2:$D$40,3,FALSE),"")</f>
        <v/>
      </c>
      <c r="G1979" s="32" t="str">
        <f>IFERROR(VLOOKUP(B1979,'211'!$B$2:$D$116,3,FALSE),"")</f>
        <v/>
      </c>
      <c r="H1979" s="32" t="str">
        <f>IFERROR(VLOOKUP(B1979,双一流!$B$2:$D$148,3,FALSE),"")</f>
        <v/>
      </c>
      <c r="I1979" s="32">
        <f>IFERROR(VLOOKUP(B1979,汇总!$B$2:$I$2921,8,FALSE),"")</f>
        <v>0</v>
      </c>
      <c r="J1979" s="29" t="s">
        <v>1700</v>
      </c>
      <c r="K1979" s="29" t="s">
        <v>12</v>
      </c>
    </row>
    <row r="1980" ht="33.75" spans="1:11">
      <c r="A1980" s="29">
        <v>1979</v>
      </c>
      <c r="B1980" s="34" t="s">
        <v>2318</v>
      </c>
      <c r="C1980" s="29" t="str">
        <f>VLOOKUP(B1980,教育部大学名单!$B$1:$D$2920,3,FALSE)</f>
        <v>河南省</v>
      </c>
      <c r="D1980" s="34" t="s">
        <v>692</v>
      </c>
      <c r="E1980" s="34" t="s">
        <v>693</v>
      </c>
      <c r="F1980" s="36" t="str">
        <f>IFERROR(VLOOKUP(B1980,'985'!$B$2:$D$40,3,FALSE),"")</f>
        <v/>
      </c>
      <c r="G1980" s="32" t="str">
        <f>IFERROR(VLOOKUP(B1980,'211'!$B$2:$D$116,3,FALSE),"")</f>
        <v/>
      </c>
      <c r="H1980" s="32" t="str">
        <f>IFERROR(VLOOKUP(B1980,双一流!$B$2:$D$148,3,FALSE),"")</f>
        <v/>
      </c>
      <c r="I1980" s="32">
        <f>IFERROR(VLOOKUP(B1980,汇总!$B$2:$I$2921,8,FALSE),"")</f>
        <v>0</v>
      </c>
      <c r="J1980" s="34" t="s">
        <v>1700</v>
      </c>
      <c r="K1980" s="34" t="s">
        <v>12</v>
      </c>
    </row>
    <row r="1981" ht="33.75" spans="1:11">
      <c r="A1981" s="34">
        <v>1980</v>
      </c>
      <c r="B1981" s="29" t="s">
        <v>2319</v>
      </c>
      <c r="C1981" s="29" t="str">
        <f>VLOOKUP(B1981,教育部大学名单!$B$1:$D$2920,3,FALSE)</f>
        <v>河南省</v>
      </c>
      <c r="D1981" s="29" t="s">
        <v>692</v>
      </c>
      <c r="E1981" s="29" t="s">
        <v>704</v>
      </c>
      <c r="F1981" s="36" t="str">
        <f>IFERROR(VLOOKUP(B1981,'985'!$B$2:$D$40,3,FALSE),"")</f>
        <v/>
      </c>
      <c r="G1981" s="32" t="str">
        <f>IFERROR(VLOOKUP(B1981,'211'!$B$2:$D$116,3,FALSE),"")</f>
        <v/>
      </c>
      <c r="H1981" s="32" t="str">
        <f>IFERROR(VLOOKUP(B1981,双一流!$B$2:$D$148,3,FALSE),"")</f>
        <v/>
      </c>
      <c r="I1981" s="32">
        <f>IFERROR(VLOOKUP(B1981,汇总!$B$2:$I$2921,8,FALSE),"")</f>
        <v>0</v>
      </c>
      <c r="J1981" s="29" t="s">
        <v>1700</v>
      </c>
      <c r="K1981" s="29" t="s">
        <v>12</v>
      </c>
    </row>
    <row r="1982" ht="50.25" spans="1:11">
      <c r="A1982" s="29">
        <v>1981</v>
      </c>
      <c r="B1982" s="34" t="s">
        <v>2320</v>
      </c>
      <c r="C1982" s="29" t="str">
        <f>VLOOKUP(B1982,教育部大学名单!$B$1:$D$2920,3,FALSE)</f>
        <v>河南省</v>
      </c>
      <c r="D1982" s="34" t="s">
        <v>692</v>
      </c>
      <c r="E1982" s="34" t="s">
        <v>709</v>
      </c>
      <c r="F1982" s="36" t="str">
        <f>IFERROR(VLOOKUP(B1982,'985'!$B$2:$D$40,3,FALSE),"")</f>
        <v/>
      </c>
      <c r="G1982" s="32" t="str">
        <f>IFERROR(VLOOKUP(B1982,'211'!$B$2:$D$116,3,FALSE),"")</f>
        <v/>
      </c>
      <c r="H1982" s="32" t="str">
        <f>IFERROR(VLOOKUP(B1982,双一流!$B$2:$D$148,3,FALSE),"")</f>
        <v/>
      </c>
      <c r="I1982" s="32">
        <f>IFERROR(VLOOKUP(B1982,汇总!$B$2:$I$2921,8,FALSE),"")</f>
        <v>0</v>
      </c>
      <c r="J1982" s="34" t="s">
        <v>1700</v>
      </c>
      <c r="K1982" s="34" t="s">
        <v>12</v>
      </c>
    </row>
    <row r="1983" ht="50.25" spans="1:11">
      <c r="A1983" s="34">
        <v>1982</v>
      </c>
      <c r="B1983" s="29" t="s">
        <v>2321</v>
      </c>
      <c r="C1983" s="29" t="str">
        <f>VLOOKUP(B1983,教育部大学名单!$B$1:$D$2920,3,FALSE)</f>
        <v>河南省</v>
      </c>
      <c r="D1983" s="29" t="s">
        <v>692</v>
      </c>
      <c r="E1983" s="29" t="s">
        <v>2262</v>
      </c>
      <c r="F1983" s="36" t="str">
        <f>IFERROR(VLOOKUP(B1983,'985'!$B$2:$D$40,3,FALSE),"")</f>
        <v/>
      </c>
      <c r="G1983" s="32" t="str">
        <f>IFERROR(VLOOKUP(B1983,'211'!$B$2:$D$116,3,FALSE),"")</f>
        <v/>
      </c>
      <c r="H1983" s="32" t="str">
        <f>IFERROR(VLOOKUP(B1983,双一流!$B$2:$D$148,3,FALSE),"")</f>
        <v/>
      </c>
      <c r="I1983" s="32">
        <f>IFERROR(VLOOKUP(B1983,汇总!$B$2:$I$2921,8,FALSE),"")</f>
        <v>0</v>
      </c>
      <c r="J1983" s="29" t="s">
        <v>1700</v>
      </c>
      <c r="K1983" s="29" t="s">
        <v>12</v>
      </c>
    </row>
    <row r="1984" ht="33.75" spans="1:11">
      <c r="A1984" s="29">
        <v>1983</v>
      </c>
      <c r="B1984" s="34" t="s">
        <v>2322</v>
      </c>
      <c r="C1984" s="29" t="str">
        <f>VLOOKUP(B1984,教育部大学名单!$B$1:$D$2920,3,FALSE)</f>
        <v>河南省</v>
      </c>
      <c r="D1984" s="34" t="s">
        <v>692</v>
      </c>
      <c r="E1984" s="34" t="s">
        <v>720</v>
      </c>
      <c r="F1984" s="36" t="str">
        <f>IFERROR(VLOOKUP(B1984,'985'!$B$2:$D$40,3,FALSE),"")</f>
        <v/>
      </c>
      <c r="G1984" s="32" t="str">
        <f>IFERROR(VLOOKUP(B1984,'211'!$B$2:$D$116,3,FALSE),"")</f>
        <v/>
      </c>
      <c r="H1984" s="32" t="str">
        <f>IFERROR(VLOOKUP(B1984,双一流!$B$2:$D$148,3,FALSE),"")</f>
        <v/>
      </c>
      <c r="I1984" s="32">
        <f>IFERROR(VLOOKUP(B1984,汇总!$B$2:$I$2921,8,FALSE),"")</f>
        <v>0</v>
      </c>
      <c r="J1984" s="34" t="s">
        <v>1700</v>
      </c>
      <c r="K1984" s="34" t="s">
        <v>12</v>
      </c>
    </row>
    <row r="1985" ht="33.75" spans="1:11">
      <c r="A1985" s="34">
        <v>1984</v>
      </c>
      <c r="B1985" s="29" t="s">
        <v>2323</v>
      </c>
      <c r="C1985" s="29" t="str">
        <f>VLOOKUP(B1985,教育部大学名单!$B$1:$D$2920,3,FALSE)</f>
        <v>河南省</v>
      </c>
      <c r="D1985" s="29" t="s">
        <v>692</v>
      </c>
      <c r="E1985" s="29" t="s">
        <v>709</v>
      </c>
      <c r="F1985" s="36" t="str">
        <f>IFERROR(VLOOKUP(B1985,'985'!$B$2:$D$40,3,FALSE),"")</f>
        <v/>
      </c>
      <c r="G1985" s="32" t="str">
        <f>IFERROR(VLOOKUP(B1985,'211'!$B$2:$D$116,3,FALSE),"")</f>
        <v/>
      </c>
      <c r="H1985" s="32" t="str">
        <f>IFERROR(VLOOKUP(B1985,双一流!$B$2:$D$148,3,FALSE),"")</f>
        <v/>
      </c>
      <c r="I1985" s="32">
        <f>IFERROR(VLOOKUP(B1985,汇总!$B$2:$I$2921,8,FALSE),"")</f>
        <v>0</v>
      </c>
      <c r="J1985" s="29" t="s">
        <v>1700</v>
      </c>
      <c r="K1985" s="29" t="s">
        <v>12</v>
      </c>
    </row>
    <row r="1986" ht="33.75" spans="1:11">
      <c r="A1986" s="29">
        <v>1985</v>
      </c>
      <c r="B1986" s="34" t="s">
        <v>2324</v>
      </c>
      <c r="C1986" s="29" t="str">
        <f>VLOOKUP(B1986,教育部大学名单!$B$1:$D$2920,3,FALSE)</f>
        <v>河南省</v>
      </c>
      <c r="D1986" s="34" t="s">
        <v>692</v>
      </c>
      <c r="E1986" s="34" t="s">
        <v>729</v>
      </c>
      <c r="F1986" s="36" t="str">
        <f>IFERROR(VLOOKUP(B1986,'985'!$B$2:$D$40,3,FALSE),"")</f>
        <v/>
      </c>
      <c r="G1986" s="32" t="str">
        <f>IFERROR(VLOOKUP(B1986,'211'!$B$2:$D$116,3,FALSE),"")</f>
        <v/>
      </c>
      <c r="H1986" s="32" t="str">
        <f>IFERROR(VLOOKUP(B1986,双一流!$B$2:$D$148,3,FALSE),"")</f>
        <v/>
      </c>
      <c r="I1986" s="32">
        <f>IFERROR(VLOOKUP(B1986,汇总!$B$2:$I$2921,8,FALSE),"")</f>
        <v>0</v>
      </c>
      <c r="J1986" s="34" t="s">
        <v>1700</v>
      </c>
      <c r="K1986" s="34" t="s">
        <v>12</v>
      </c>
    </row>
    <row r="1987" ht="33.75" spans="1:11">
      <c r="A1987" s="34">
        <v>1986</v>
      </c>
      <c r="B1987" s="29" t="s">
        <v>2325</v>
      </c>
      <c r="C1987" s="29" t="str">
        <f>VLOOKUP(B1987,教育部大学名单!$B$1:$D$2920,3,FALSE)</f>
        <v>河南省</v>
      </c>
      <c r="D1987" s="29" t="s">
        <v>692</v>
      </c>
      <c r="E1987" s="29" t="s">
        <v>700</v>
      </c>
      <c r="F1987" s="36" t="str">
        <f>IFERROR(VLOOKUP(B1987,'985'!$B$2:$D$40,3,FALSE),"")</f>
        <v/>
      </c>
      <c r="G1987" s="32" t="str">
        <f>IFERROR(VLOOKUP(B1987,'211'!$B$2:$D$116,3,FALSE),"")</f>
        <v/>
      </c>
      <c r="H1987" s="32" t="str">
        <f>IFERROR(VLOOKUP(B1987,双一流!$B$2:$D$148,3,FALSE),"")</f>
        <v/>
      </c>
      <c r="I1987" s="32">
        <f>IFERROR(VLOOKUP(B1987,汇总!$B$2:$I$2921,8,FALSE),"")</f>
        <v>0</v>
      </c>
      <c r="J1987" s="29" t="s">
        <v>1700</v>
      </c>
      <c r="K1987" s="29" t="s">
        <v>12</v>
      </c>
    </row>
    <row r="1988" ht="33.75" spans="1:11">
      <c r="A1988" s="29">
        <v>1987</v>
      </c>
      <c r="B1988" s="34" t="s">
        <v>2326</v>
      </c>
      <c r="C1988" s="29" t="str">
        <f>VLOOKUP(B1988,教育部大学名单!$B$1:$D$2920,3,FALSE)</f>
        <v>河南省</v>
      </c>
      <c r="D1988" s="34" t="s">
        <v>692</v>
      </c>
      <c r="E1988" s="34" t="s">
        <v>714</v>
      </c>
      <c r="F1988" s="36" t="str">
        <f>IFERROR(VLOOKUP(B1988,'985'!$B$2:$D$40,3,FALSE),"")</f>
        <v/>
      </c>
      <c r="G1988" s="32" t="str">
        <f>IFERROR(VLOOKUP(B1988,'211'!$B$2:$D$116,3,FALSE),"")</f>
        <v/>
      </c>
      <c r="H1988" s="32" t="str">
        <f>IFERROR(VLOOKUP(B1988,双一流!$B$2:$D$148,3,FALSE),"")</f>
        <v/>
      </c>
      <c r="I1988" s="32">
        <f>IFERROR(VLOOKUP(B1988,汇总!$B$2:$I$2921,8,FALSE),"")</f>
        <v>0</v>
      </c>
      <c r="J1988" s="34" t="s">
        <v>1700</v>
      </c>
      <c r="K1988" s="34" t="s">
        <v>12</v>
      </c>
    </row>
    <row r="1989" ht="33.75" spans="1:11">
      <c r="A1989" s="34">
        <v>1988</v>
      </c>
      <c r="B1989" s="29" t="s">
        <v>2327</v>
      </c>
      <c r="C1989" s="29" t="str">
        <f>VLOOKUP(B1989,教育部大学名单!$B$1:$D$2920,3,FALSE)</f>
        <v>河南省</v>
      </c>
      <c r="D1989" s="29" t="s">
        <v>692</v>
      </c>
      <c r="E1989" s="29" t="s">
        <v>712</v>
      </c>
      <c r="F1989" s="36" t="str">
        <f>IFERROR(VLOOKUP(B1989,'985'!$B$2:$D$40,3,FALSE),"")</f>
        <v/>
      </c>
      <c r="G1989" s="32" t="str">
        <f>IFERROR(VLOOKUP(B1989,'211'!$B$2:$D$116,3,FALSE),"")</f>
        <v/>
      </c>
      <c r="H1989" s="32" t="str">
        <f>IFERROR(VLOOKUP(B1989,双一流!$B$2:$D$148,3,FALSE),"")</f>
        <v/>
      </c>
      <c r="I1989" s="32">
        <f>IFERROR(VLOOKUP(B1989,汇总!$B$2:$I$2921,8,FALSE),"")</f>
        <v>0</v>
      </c>
      <c r="J1989" s="29" t="s">
        <v>1700</v>
      </c>
      <c r="K1989" s="29" t="s">
        <v>12</v>
      </c>
    </row>
    <row r="1990" ht="33.75" spans="1:11">
      <c r="A1990" s="29">
        <v>1989</v>
      </c>
      <c r="B1990" s="34" t="s">
        <v>2328</v>
      </c>
      <c r="C1990" s="29" t="str">
        <f>VLOOKUP(B1990,教育部大学名单!$B$1:$D$2920,3,FALSE)</f>
        <v>河南省</v>
      </c>
      <c r="D1990" s="34" t="s">
        <v>692</v>
      </c>
      <c r="E1990" s="34" t="s">
        <v>729</v>
      </c>
      <c r="F1990" s="36" t="str">
        <f>IFERROR(VLOOKUP(B1990,'985'!$B$2:$D$40,3,FALSE),"")</f>
        <v/>
      </c>
      <c r="G1990" s="32" t="str">
        <f>IFERROR(VLOOKUP(B1990,'211'!$B$2:$D$116,3,FALSE),"")</f>
        <v/>
      </c>
      <c r="H1990" s="32" t="str">
        <f>IFERROR(VLOOKUP(B1990,双一流!$B$2:$D$148,3,FALSE),"")</f>
        <v/>
      </c>
      <c r="I1990" s="32">
        <f>IFERROR(VLOOKUP(B1990,汇总!$B$2:$I$2921,8,FALSE),"")</f>
        <v>0</v>
      </c>
      <c r="J1990" s="34" t="s">
        <v>1700</v>
      </c>
      <c r="K1990" s="34" t="s">
        <v>12</v>
      </c>
    </row>
    <row r="1991" ht="33.75" spans="1:11">
      <c r="A1991" s="34">
        <v>1990</v>
      </c>
      <c r="B1991" s="29" t="s">
        <v>2329</v>
      </c>
      <c r="C1991" s="29" t="str">
        <f>VLOOKUP(B1991,教育部大学名单!$B$1:$D$2920,3,FALSE)</f>
        <v>湖北省</v>
      </c>
      <c r="D1991" s="29" t="s">
        <v>746</v>
      </c>
      <c r="E1991" s="29" t="s">
        <v>747</v>
      </c>
      <c r="F1991" s="36" t="str">
        <f>IFERROR(VLOOKUP(B1991,'985'!$B$2:$D$40,3,FALSE),"")</f>
        <v/>
      </c>
      <c r="G1991" s="32" t="str">
        <f>IFERROR(VLOOKUP(B1991,'211'!$B$2:$D$116,3,FALSE),"")</f>
        <v/>
      </c>
      <c r="H1991" s="32" t="str">
        <f>IFERROR(VLOOKUP(B1991,双一流!$B$2:$D$148,3,FALSE),"")</f>
        <v/>
      </c>
      <c r="I1991" s="32" t="str">
        <f>IFERROR(VLOOKUP(B1991,汇总!$B$2:$I$2921,8,FALSE),"")</f>
        <v>综合</v>
      </c>
      <c r="J1991" s="29" t="s">
        <v>1700</v>
      </c>
      <c r="K1991" s="29" t="s">
        <v>12</v>
      </c>
    </row>
    <row r="1992" ht="33.75" spans="1:11">
      <c r="A1992" s="29">
        <v>1991</v>
      </c>
      <c r="B1992" s="34" t="s">
        <v>2330</v>
      </c>
      <c r="C1992" s="29" t="str">
        <f>VLOOKUP(B1992,教育部大学名单!$B$1:$D$2920,3,FALSE)</f>
        <v>湖北省</v>
      </c>
      <c r="D1992" s="34" t="s">
        <v>746</v>
      </c>
      <c r="E1992" s="34" t="s">
        <v>751</v>
      </c>
      <c r="F1992" s="36" t="str">
        <f>IFERROR(VLOOKUP(B1992,'985'!$B$2:$D$40,3,FALSE),"")</f>
        <v/>
      </c>
      <c r="G1992" s="32" t="str">
        <f>IFERROR(VLOOKUP(B1992,'211'!$B$2:$D$116,3,FALSE),"")</f>
        <v/>
      </c>
      <c r="H1992" s="32" t="str">
        <f>IFERROR(VLOOKUP(B1992,双一流!$B$2:$D$148,3,FALSE),"")</f>
        <v/>
      </c>
      <c r="I1992" s="32" t="str">
        <f>IFERROR(VLOOKUP(B1992,汇总!$B$2:$I$2921,8,FALSE),"")</f>
        <v>理工</v>
      </c>
      <c r="J1992" s="34" t="s">
        <v>1700</v>
      </c>
      <c r="K1992" s="34" t="s">
        <v>12</v>
      </c>
    </row>
    <row r="1993" ht="33.75" spans="1:11">
      <c r="A1993" s="34">
        <v>1992</v>
      </c>
      <c r="B1993" s="29" t="s">
        <v>2331</v>
      </c>
      <c r="C1993" s="29" t="str">
        <f>VLOOKUP(B1993,教育部大学名单!$B$1:$D$2920,3,FALSE)</f>
        <v>湖北省</v>
      </c>
      <c r="D1993" s="29" t="s">
        <v>746</v>
      </c>
      <c r="E1993" s="29" t="s">
        <v>769</v>
      </c>
      <c r="F1993" s="36" t="str">
        <f>IFERROR(VLOOKUP(B1993,'985'!$B$2:$D$40,3,FALSE),"")</f>
        <v/>
      </c>
      <c r="G1993" s="32" t="str">
        <f>IFERROR(VLOOKUP(B1993,'211'!$B$2:$D$116,3,FALSE),"")</f>
        <v/>
      </c>
      <c r="H1993" s="32" t="str">
        <f>IFERROR(VLOOKUP(B1993,双一流!$B$2:$D$148,3,FALSE),"")</f>
        <v/>
      </c>
      <c r="I1993" s="32" t="str">
        <f>IFERROR(VLOOKUP(B1993,汇总!$B$2:$I$2921,8,FALSE),"")</f>
        <v>综合</v>
      </c>
      <c r="J1993" s="29" t="s">
        <v>1700</v>
      </c>
      <c r="K1993" s="29" t="s">
        <v>12</v>
      </c>
    </row>
    <row r="1994" ht="33.75" spans="1:11">
      <c r="A1994" s="29">
        <v>1993</v>
      </c>
      <c r="B1994" s="34" t="s">
        <v>2332</v>
      </c>
      <c r="C1994" s="29" t="str">
        <f>VLOOKUP(B1994,教育部大学名单!$B$1:$D$2920,3,FALSE)</f>
        <v>湖北省</v>
      </c>
      <c r="D1994" s="34" t="s">
        <v>746</v>
      </c>
      <c r="E1994" s="34" t="s">
        <v>2333</v>
      </c>
      <c r="F1994" s="36" t="str">
        <f>IFERROR(VLOOKUP(B1994,'985'!$B$2:$D$40,3,FALSE),"")</f>
        <v/>
      </c>
      <c r="G1994" s="32" t="str">
        <f>IFERROR(VLOOKUP(B1994,'211'!$B$2:$D$116,3,FALSE),"")</f>
        <v/>
      </c>
      <c r="H1994" s="32" t="str">
        <f>IFERROR(VLOOKUP(B1994,双一流!$B$2:$D$148,3,FALSE),"")</f>
        <v/>
      </c>
      <c r="I1994" s="32" t="str">
        <f>IFERROR(VLOOKUP(B1994,汇总!$B$2:$I$2921,8,FALSE),"")</f>
        <v>综合</v>
      </c>
      <c r="J1994" s="34" t="s">
        <v>1700</v>
      </c>
      <c r="K1994" s="34" t="s">
        <v>12</v>
      </c>
    </row>
    <row r="1995" ht="33.75" spans="1:11">
      <c r="A1995" s="34">
        <v>1994</v>
      </c>
      <c r="B1995" s="29" t="s">
        <v>2334</v>
      </c>
      <c r="C1995" s="29" t="str">
        <f>VLOOKUP(B1995,教育部大学名单!$B$1:$D$2920,3,FALSE)</f>
        <v>湖北省</v>
      </c>
      <c r="D1995" s="29" t="s">
        <v>746</v>
      </c>
      <c r="E1995" s="29" t="s">
        <v>747</v>
      </c>
      <c r="F1995" s="36" t="str">
        <f>IFERROR(VLOOKUP(B1995,'985'!$B$2:$D$40,3,FALSE),"")</f>
        <v/>
      </c>
      <c r="G1995" s="32" t="str">
        <f>IFERROR(VLOOKUP(B1995,'211'!$B$2:$D$116,3,FALSE),"")</f>
        <v/>
      </c>
      <c r="H1995" s="32" t="str">
        <f>IFERROR(VLOOKUP(B1995,双一流!$B$2:$D$148,3,FALSE),"")</f>
        <v/>
      </c>
      <c r="I1995" s="32" t="str">
        <f>IFERROR(VLOOKUP(B1995,汇总!$B$2:$I$2921,8,FALSE),"")</f>
        <v>综合</v>
      </c>
      <c r="J1995" s="29" t="s">
        <v>1700</v>
      </c>
      <c r="K1995" s="29" t="s">
        <v>12</v>
      </c>
    </row>
    <row r="1996" ht="33.75" spans="1:11">
      <c r="A1996" s="29">
        <v>1995</v>
      </c>
      <c r="B1996" s="34" t="s">
        <v>2335</v>
      </c>
      <c r="C1996" s="29" t="str">
        <f>VLOOKUP(B1996,教育部大学名单!$B$1:$D$2920,3,FALSE)</f>
        <v>湖北省</v>
      </c>
      <c r="D1996" s="34" t="s">
        <v>746</v>
      </c>
      <c r="E1996" s="34" t="s">
        <v>778</v>
      </c>
      <c r="F1996" s="36" t="str">
        <f>IFERROR(VLOOKUP(B1996,'985'!$B$2:$D$40,3,FALSE),"")</f>
        <v/>
      </c>
      <c r="G1996" s="32" t="str">
        <f>IFERROR(VLOOKUP(B1996,'211'!$B$2:$D$116,3,FALSE),"")</f>
        <v/>
      </c>
      <c r="H1996" s="32" t="str">
        <f>IFERROR(VLOOKUP(B1996,双一流!$B$2:$D$148,3,FALSE),"")</f>
        <v/>
      </c>
      <c r="I1996" s="32" t="str">
        <f>IFERROR(VLOOKUP(B1996,汇总!$B$2:$I$2921,8,FALSE),"")</f>
        <v>综合</v>
      </c>
      <c r="J1996" s="34" t="s">
        <v>1700</v>
      </c>
      <c r="K1996" s="34" t="s">
        <v>12</v>
      </c>
    </row>
    <row r="1997" ht="33.75" spans="1:11">
      <c r="A1997" s="34">
        <v>1996</v>
      </c>
      <c r="B1997" s="29" t="s">
        <v>2336</v>
      </c>
      <c r="C1997" s="29" t="str">
        <f>VLOOKUP(B1997,教育部大学名单!$B$1:$D$2920,3,FALSE)</f>
        <v>湖北省</v>
      </c>
      <c r="D1997" s="29" t="s">
        <v>746</v>
      </c>
      <c r="E1997" s="29" t="s">
        <v>747</v>
      </c>
      <c r="F1997" s="36" t="str">
        <f>IFERROR(VLOOKUP(B1997,'985'!$B$2:$D$40,3,FALSE),"")</f>
        <v/>
      </c>
      <c r="G1997" s="32" t="str">
        <f>IFERROR(VLOOKUP(B1997,'211'!$B$2:$D$116,3,FALSE),"")</f>
        <v/>
      </c>
      <c r="H1997" s="32" t="str">
        <f>IFERROR(VLOOKUP(B1997,双一流!$B$2:$D$148,3,FALSE),"")</f>
        <v/>
      </c>
      <c r="I1997" s="32" t="str">
        <f>IFERROR(VLOOKUP(B1997,汇总!$B$2:$I$2921,8,FALSE),"")</f>
        <v>理工</v>
      </c>
      <c r="J1997" s="29" t="s">
        <v>1700</v>
      </c>
      <c r="K1997" s="29" t="s">
        <v>12</v>
      </c>
    </row>
    <row r="1998" ht="33.75" spans="1:11">
      <c r="A1998" s="29">
        <v>1997</v>
      </c>
      <c r="B1998" s="34" t="s">
        <v>2337</v>
      </c>
      <c r="C1998" s="29" t="str">
        <f>VLOOKUP(B1998,教育部大学名单!$B$1:$D$2920,3,FALSE)</f>
        <v>湖北省</v>
      </c>
      <c r="D1998" s="34" t="s">
        <v>746</v>
      </c>
      <c r="E1998" s="34" t="s">
        <v>767</v>
      </c>
      <c r="F1998" s="36" t="str">
        <f>IFERROR(VLOOKUP(B1998,'985'!$B$2:$D$40,3,FALSE),"")</f>
        <v/>
      </c>
      <c r="G1998" s="32" t="str">
        <f>IFERROR(VLOOKUP(B1998,'211'!$B$2:$D$116,3,FALSE),"")</f>
        <v/>
      </c>
      <c r="H1998" s="32" t="str">
        <f>IFERROR(VLOOKUP(B1998,双一流!$B$2:$D$148,3,FALSE),"")</f>
        <v/>
      </c>
      <c r="I1998" s="32" t="str">
        <f>IFERROR(VLOOKUP(B1998,汇总!$B$2:$I$2921,8,FALSE),"")</f>
        <v>综合</v>
      </c>
      <c r="J1998" s="34" t="s">
        <v>1700</v>
      </c>
      <c r="K1998" s="34" t="s">
        <v>12</v>
      </c>
    </row>
    <row r="1999" ht="33.75" spans="1:11">
      <c r="A1999" s="34">
        <v>1998</v>
      </c>
      <c r="B1999" s="29" t="s">
        <v>2338</v>
      </c>
      <c r="C1999" s="29" t="str">
        <f>VLOOKUP(B1999,教育部大学名单!$B$1:$D$2920,3,FALSE)</f>
        <v>湖北省</v>
      </c>
      <c r="D1999" s="29" t="s">
        <v>746</v>
      </c>
      <c r="E1999" s="29" t="s">
        <v>751</v>
      </c>
      <c r="F1999" s="36" t="str">
        <f>IFERROR(VLOOKUP(B1999,'985'!$B$2:$D$40,3,FALSE),"")</f>
        <v/>
      </c>
      <c r="G1999" s="32" t="str">
        <f>IFERROR(VLOOKUP(B1999,'211'!$B$2:$D$116,3,FALSE),"")</f>
        <v/>
      </c>
      <c r="H1999" s="32" t="str">
        <f>IFERROR(VLOOKUP(B1999,双一流!$B$2:$D$148,3,FALSE),"")</f>
        <v/>
      </c>
      <c r="I1999" s="32" t="str">
        <f>IFERROR(VLOOKUP(B1999,汇总!$B$2:$I$2921,8,FALSE),"")</f>
        <v>综合</v>
      </c>
      <c r="J1999" s="29" t="s">
        <v>1700</v>
      </c>
      <c r="K1999" s="29" t="s">
        <v>12</v>
      </c>
    </row>
    <row r="2000" ht="33.75" spans="1:11">
      <c r="A2000" s="29">
        <v>1999</v>
      </c>
      <c r="B2000" s="34" t="s">
        <v>2339</v>
      </c>
      <c r="C2000" s="29" t="str">
        <f>VLOOKUP(B2000,教育部大学名单!$B$1:$D$2920,3,FALSE)</f>
        <v>湖北省</v>
      </c>
      <c r="D2000" s="34" t="s">
        <v>746</v>
      </c>
      <c r="E2000" s="34" t="s">
        <v>747</v>
      </c>
      <c r="F2000" s="36" t="str">
        <f>IFERROR(VLOOKUP(B2000,'985'!$B$2:$D$40,3,FALSE),"")</f>
        <v/>
      </c>
      <c r="G2000" s="32" t="str">
        <f>IFERROR(VLOOKUP(B2000,'211'!$B$2:$D$116,3,FALSE),"")</f>
        <v/>
      </c>
      <c r="H2000" s="32" t="str">
        <f>IFERROR(VLOOKUP(B2000,双一流!$B$2:$D$148,3,FALSE),"")</f>
        <v/>
      </c>
      <c r="I2000" s="32" t="str">
        <f>IFERROR(VLOOKUP(B2000,汇总!$B$2:$I$2921,8,FALSE),"")</f>
        <v>理工</v>
      </c>
      <c r="J2000" s="34" t="s">
        <v>1700</v>
      </c>
      <c r="K2000" s="34" t="s">
        <v>12</v>
      </c>
    </row>
    <row r="2001" ht="33.75" spans="1:11">
      <c r="A2001" s="34">
        <v>2000</v>
      </c>
      <c r="B2001" s="29" t="s">
        <v>2340</v>
      </c>
      <c r="C2001" s="29" t="str">
        <f>VLOOKUP(B2001,教育部大学名单!$B$1:$D$2920,3,FALSE)</f>
        <v>湖北省</v>
      </c>
      <c r="D2001" s="29" t="s">
        <v>746</v>
      </c>
      <c r="E2001" s="29" t="s">
        <v>2341</v>
      </c>
      <c r="F2001" s="36" t="str">
        <f>IFERROR(VLOOKUP(B2001,'985'!$B$2:$D$40,3,FALSE),"")</f>
        <v/>
      </c>
      <c r="G2001" s="32" t="str">
        <f>IFERROR(VLOOKUP(B2001,'211'!$B$2:$D$116,3,FALSE),"")</f>
        <v/>
      </c>
      <c r="H2001" s="32" t="str">
        <f>IFERROR(VLOOKUP(B2001,双一流!$B$2:$D$148,3,FALSE),"")</f>
        <v/>
      </c>
      <c r="I2001" s="32" t="str">
        <f>IFERROR(VLOOKUP(B2001,汇总!$B$2:$I$2921,8,FALSE),"")</f>
        <v>综合</v>
      </c>
      <c r="J2001" s="29" t="s">
        <v>1700</v>
      </c>
      <c r="K2001" s="29" t="s">
        <v>12</v>
      </c>
    </row>
    <row r="2002" ht="33.75" spans="1:11">
      <c r="A2002" s="29">
        <v>2001</v>
      </c>
      <c r="B2002" s="34" t="s">
        <v>2342</v>
      </c>
      <c r="C2002" s="29" t="str">
        <f>VLOOKUP(B2002,教育部大学名单!$B$1:$D$2920,3,FALSE)</f>
        <v>湖北省</v>
      </c>
      <c r="D2002" s="34" t="s">
        <v>746</v>
      </c>
      <c r="E2002" s="34" t="s">
        <v>747</v>
      </c>
      <c r="F2002" s="36" t="str">
        <f>IFERROR(VLOOKUP(B2002,'985'!$B$2:$D$40,3,FALSE),"")</f>
        <v/>
      </c>
      <c r="G2002" s="32" t="str">
        <f>IFERROR(VLOOKUP(B2002,'211'!$B$2:$D$116,3,FALSE),"")</f>
        <v/>
      </c>
      <c r="H2002" s="32" t="str">
        <f>IFERROR(VLOOKUP(B2002,双一流!$B$2:$D$148,3,FALSE),"")</f>
        <v/>
      </c>
      <c r="I2002" s="32" t="str">
        <f>IFERROR(VLOOKUP(B2002,汇总!$B$2:$I$2921,8,FALSE),"")</f>
        <v>综合</v>
      </c>
      <c r="J2002" s="34" t="s">
        <v>1700</v>
      </c>
      <c r="K2002" s="34" t="s">
        <v>12</v>
      </c>
    </row>
    <row r="2003" ht="33.75" spans="1:11">
      <c r="A2003" s="34">
        <v>2002</v>
      </c>
      <c r="B2003" s="29" t="s">
        <v>2343</v>
      </c>
      <c r="C2003" s="29" t="str">
        <f>VLOOKUP(B2003,教育部大学名单!$B$1:$D$2920,3,FALSE)</f>
        <v>湖北省</v>
      </c>
      <c r="D2003" s="29" t="s">
        <v>746</v>
      </c>
      <c r="E2003" s="29" t="s">
        <v>747</v>
      </c>
      <c r="F2003" s="36" t="str">
        <f>IFERROR(VLOOKUP(B2003,'985'!$B$2:$D$40,3,FALSE),"")</f>
        <v/>
      </c>
      <c r="G2003" s="32" t="str">
        <f>IFERROR(VLOOKUP(B2003,'211'!$B$2:$D$116,3,FALSE),"")</f>
        <v/>
      </c>
      <c r="H2003" s="32" t="str">
        <f>IFERROR(VLOOKUP(B2003,双一流!$B$2:$D$148,3,FALSE),"")</f>
        <v/>
      </c>
      <c r="I2003" s="32" t="str">
        <f>IFERROR(VLOOKUP(B2003,汇总!$B$2:$I$2921,8,FALSE),"")</f>
        <v>理工</v>
      </c>
      <c r="J2003" s="29" t="s">
        <v>1700</v>
      </c>
      <c r="K2003" s="29" t="s">
        <v>12</v>
      </c>
    </row>
    <row r="2004" ht="50.25" spans="1:11">
      <c r="A2004" s="29">
        <v>2003</v>
      </c>
      <c r="B2004" s="34" t="s">
        <v>2344</v>
      </c>
      <c r="C2004" s="29" t="str">
        <f>VLOOKUP(B2004,教育部大学名单!$B$1:$D$2920,3,FALSE)</f>
        <v>湖北省</v>
      </c>
      <c r="D2004" s="34" t="s">
        <v>746</v>
      </c>
      <c r="E2004" s="34" t="s">
        <v>751</v>
      </c>
      <c r="F2004" s="36" t="str">
        <f>IFERROR(VLOOKUP(B2004,'985'!$B$2:$D$40,3,FALSE),"")</f>
        <v/>
      </c>
      <c r="G2004" s="32" t="str">
        <f>IFERROR(VLOOKUP(B2004,'211'!$B$2:$D$116,3,FALSE),"")</f>
        <v/>
      </c>
      <c r="H2004" s="32" t="str">
        <f>IFERROR(VLOOKUP(B2004,双一流!$B$2:$D$148,3,FALSE),"")</f>
        <v/>
      </c>
      <c r="I2004" s="32" t="str">
        <f>IFERROR(VLOOKUP(B2004,汇总!$B$2:$I$2921,8,FALSE),"")</f>
        <v>医药</v>
      </c>
      <c r="J2004" s="34" t="s">
        <v>1700</v>
      </c>
      <c r="K2004" s="34" t="s">
        <v>12</v>
      </c>
    </row>
    <row r="2005" ht="33.75" spans="1:11">
      <c r="A2005" s="34">
        <v>2004</v>
      </c>
      <c r="B2005" s="29" t="s">
        <v>2345</v>
      </c>
      <c r="C2005" s="29" t="str">
        <f>VLOOKUP(B2005,教育部大学名单!$B$1:$D$2920,3,FALSE)</f>
        <v>湖北省</v>
      </c>
      <c r="D2005" s="29" t="s">
        <v>746</v>
      </c>
      <c r="E2005" s="29" t="s">
        <v>747</v>
      </c>
      <c r="F2005" s="36" t="str">
        <f>IFERROR(VLOOKUP(B2005,'985'!$B$2:$D$40,3,FALSE),"")</f>
        <v/>
      </c>
      <c r="G2005" s="32" t="str">
        <f>IFERROR(VLOOKUP(B2005,'211'!$B$2:$D$116,3,FALSE),"")</f>
        <v/>
      </c>
      <c r="H2005" s="32" t="str">
        <f>IFERROR(VLOOKUP(B2005,双一流!$B$2:$D$148,3,FALSE),"")</f>
        <v/>
      </c>
      <c r="I2005" s="32" t="str">
        <f>IFERROR(VLOOKUP(B2005,汇总!$B$2:$I$2921,8,FALSE),"")</f>
        <v>理工</v>
      </c>
      <c r="J2005" s="29" t="s">
        <v>1700</v>
      </c>
      <c r="K2005" s="29" t="s">
        <v>12</v>
      </c>
    </row>
    <row r="2006" ht="33.75" spans="1:11">
      <c r="A2006" s="29">
        <v>2005</v>
      </c>
      <c r="B2006" s="34" t="s">
        <v>2346</v>
      </c>
      <c r="C2006" s="29" t="str">
        <f>VLOOKUP(B2006,教育部大学名单!$B$1:$D$2920,3,FALSE)</f>
        <v>湖北省</v>
      </c>
      <c r="D2006" s="34" t="s">
        <v>746</v>
      </c>
      <c r="E2006" s="34" t="s">
        <v>747</v>
      </c>
      <c r="F2006" s="36" t="str">
        <f>IFERROR(VLOOKUP(B2006,'985'!$B$2:$D$40,3,FALSE),"")</f>
        <v/>
      </c>
      <c r="G2006" s="32" t="str">
        <f>IFERROR(VLOOKUP(B2006,'211'!$B$2:$D$116,3,FALSE),"")</f>
        <v/>
      </c>
      <c r="H2006" s="32" t="str">
        <f>IFERROR(VLOOKUP(B2006,双一流!$B$2:$D$148,3,FALSE),"")</f>
        <v/>
      </c>
      <c r="I2006" s="32" t="str">
        <f>IFERROR(VLOOKUP(B2006,汇总!$B$2:$I$2921,8,FALSE),"")</f>
        <v>理工</v>
      </c>
      <c r="J2006" s="34" t="s">
        <v>1700</v>
      </c>
      <c r="K2006" s="34" t="s">
        <v>12</v>
      </c>
    </row>
    <row r="2007" ht="33.75" spans="1:11">
      <c r="A2007" s="34">
        <v>2006</v>
      </c>
      <c r="B2007" s="29" t="s">
        <v>2347</v>
      </c>
      <c r="C2007" s="29" t="str">
        <f>VLOOKUP(B2007,教育部大学名单!$B$1:$D$2920,3,FALSE)</f>
        <v>湖北省</v>
      </c>
      <c r="D2007" s="29" t="s">
        <v>746</v>
      </c>
      <c r="E2007" s="29" t="s">
        <v>747</v>
      </c>
      <c r="F2007" s="36" t="str">
        <f>IFERROR(VLOOKUP(B2007,'985'!$B$2:$D$40,3,FALSE),"")</f>
        <v/>
      </c>
      <c r="G2007" s="32" t="str">
        <f>IFERROR(VLOOKUP(B2007,'211'!$B$2:$D$116,3,FALSE),"")</f>
        <v/>
      </c>
      <c r="H2007" s="32" t="str">
        <f>IFERROR(VLOOKUP(B2007,双一流!$B$2:$D$148,3,FALSE),"")</f>
        <v/>
      </c>
      <c r="I2007" s="32" t="str">
        <f>IFERROR(VLOOKUP(B2007,汇总!$B$2:$I$2921,8,FALSE),"")</f>
        <v>理工</v>
      </c>
      <c r="J2007" s="29" t="s">
        <v>1700</v>
      </c>
      <c r="K2007" s="29" t="s">
        <v>12</v>
      </c>
    </row>
    <row r="2008" ht="33.75" spans="1:11">
      <c r="A2008" s="29">
        <v>2007</v>
      </c>
      <c r="B2008" s="34" t="s">
        <v>2348</v>
      </c>
      <c r="C2008" s="29" t="str">
        <f>VLOOKUP(B2008,教育部大学名单!$B$1:$D$2920,3,FALSE)</f>
        <v>湖北省</v>
      </c>
      <c r="D2008" s="34" t="s">
        <v>746</v>
      </c>
      <c r="E2008" s="34" t="s">
        <v>785</v>
      </c>
      <c r="F2008" s="36" t="str">
        <f>IFERROR(VLOOKUP(B2008,'985'!$B$2:$D$40,3,FALSE),"")</f>
        <v/>
      </c>
      <c r="G2008" s="32" t="str">
        <f>IFERROR(VLOOKUP(B2008,'211'!$B$2:$D$116,3,FALSE),"")</f>
        <v/>
      </c>
      <c r="H2008" s="32" t="str">
        <f>IFERROR(VLOOKUP(B2008,双一流!$B$2:$D$148,3,FALSE),"")</f>
        <v/>
      </c>
      <c r="I2008" s="32" t="str">
        <f>IFERROR(VLOOKUP(B2008,汇总!$B$2:$I$2921,8,FALSE),"")</f>
        <v>综合</v>
      </c>
      <c r="J2008" s="34" t="s">
        <v>1700</v>
      </c>
      <c r="K2008" s="34" t="s">
        <v>12</v>
      </c>
    </row>
    <row r="2009" ht="33.75" spans="1:11">
      <c r="A2009" s="34">
        <v>2008</v>
      </c>
      <c r="B2009" s="29" t="s">
        <v>2349</v>
      </c>
      <c r="C2009" s="29" t="str">
        <f>VLOOKUP(B2009,教育部大学名单!$B$1:$D$2920,3,FALSE)</f>
        <v>湖北省</v>
      </c>
      <c r="D2009" s="29" t="s">
        <v>746</v>
      </c>
      <c r="E2009" s="29" t="s">
        <v>2350</v>
      </c>
      <c r="F2009" s="36" t="str">
        <f>IFERROR(VLOOKUP(B2009,'985'!$B$2:$D$40,3,FALSE),"")</f>
        <v/>
      </c>
      <c r="G2009" s="32" t="str">
        <f>IFERROR(VLOOKUP(B2009,'211'!$B$2:$D$116,3,FALSE),"")</f>
        <v/>
      </c>
      <c r="H2009" s="32" t="str">
        <f>IFERROR(VLOOKUP(B2009,双一流!$B$2:$D$148,3,FALSE),"")</f>
        <v/>
      </c>
      <c r="I2009" s="32" t="str">
        <f>IFERROR(VLOOKUP(B2009,汇总!$B$2:$I$2921,8,FALSE),"")</f>
        <v>综合</v>
      </c>
      <c r="J2009" s="29" t="s">
        <v>1700</v>
      </c>
      <c r="K2009" s="29" t="s">
        <v>12</v>
      </c>
    </row>
    <row r="2010" ht="33.75" spans="1:11">
      <c r="A2010" s="29">
        <v>2009</v>
      </c>
      <c r="B2010" s="34" t="s">
        <v>2351</v>
      </c>
      <c r="C2010" s="29" t="str">
        <f>VLOOKUP(B2010,教育部大学名单!$B$1:$D$2920,3,FALSE)</f>
        <v>湖北省</v>
      </c>
      <c r="D2010" s="34" t="s">
        <v>746</v>
      </c>
      <c r="E2010" s="34" t="s">
        <v>747</v>
      </c>
      <c r="F2010" s="36" t="str">
        <f>IFERROR(VLOOKUP(B2010,'985'!$B$2:$D$40,3,FALSE),"")</f>
        <v/>
      </c>
      <c r="G2010" s="32" t="str">
        <f>IFERROR(VLOOKUP(B2010,'211'!$B$2:$D$116,3,FALSE),"")</f>
        <v/>
      </c>
      <c r="H2010" s="32" t="str">
        <f>IFERROR(VLOOKUP(B2010,双一流!$B$2:$D$148,3,FALSE),"")</f>
        <v/>
      </c>
      <c r="I2010" s="32" t="str">
        <f>IFERROR(VLOOKUP(B2010,汇总!$B$2:$I$2921,8,FALSE),"")</f>
        <v>理工</v>
      </c>
      <c r="J2010" s="34" t="s">
        <v>1700</v>
      </c>
      <c r="K2010" s="34" t="s">
        <v>12</v>
      </c>
    </row>
    <row r="2011" ht="50.25" spans="1:11">
      <c r="A2011" s="34">
        <v>2010</v>
      </c>
      <c r="B2011" s="29" t="s">
        <v>2352</v>
      </c>
      <c r="C2011" s="29" t="str">
        <f>VLOOKUP(B2011,教育部大学名单!$B$1:$D$2920,3,FALSE)</f>
        <v>湖北省</v>
      </c>
      <c r="D2011" s="29" t="s">
        <v>746</v>
      </c>
      <c r="E2011" s="29" t="s">
        <v>747</v>
      </c>
      <c r="F2011" s="36" t="str">
        <f>IFERROR(VLOOKUP(B2011,'985'!$B$2:$D$40,3,FALSE),"")</f>
        <v/>
      </c>
      <c r="G2011" s="32" t="str">
        <f>IFERROR(VLOOKUP(B2011,'211'!$B$2:$D$116,3,FALSE),"")</f>
        <v/>
      </c>
      <c r="H2011" s="32" t="str">
        <f>IFERROR(VLOOKUP(B2011,双一流!$B$2:$D$148,3,FALSE),"")</f>
        <v/>
      </c>
      <c r="I2011" s="32" t="str">
        <f>IFERROR(VLOOKUP(B2011,汇总!$B$2:$I$2921,8,FALSE),"")</f>
        <v>理工</v>
      </c>
      <c r="J2011" s="29" t="s">
        <v>1700</v>
      </c>
      <c r="K2011" s="29" t="s">
        <v>12</v>
      </c>
    </row>
    <row r="2012" ht="50.25" spans="1:11">
      <c r="A2012" s="29">
        <v>2011</v>
      </c>
      <c r="B2012" s="34" t="s">
        <v>2353</v>
      </c>
      <c r="C2012" s="29" t="str">
        <f>VLOOKUP(B2012,教育部大学名单!$B$1:$D$2920,3,FALSE)</f>
        <v>湖北省</v>
      </c>
      <c r="D2012" s="34" t="s">
        <v>746</v>
      </c>
      <c r="E2012" s="34" t="s">
        <v>747</v>
      </c>
      <c r="F2012" s="36" t="str">
        <f>IFERROR(VLOOKUP(B2012,'985'!$B$2:$D$40,3,FALSE),"")</f>
        <v/>
      </c>
      <c r="G2012" s="32" t="str">
        <f>IFERROR(VLOOKUP(B2012,'211'!$B$2:$D$116,3,FALSE),"")</f>
        <v/>
      </c>
      <c r="H2012" s="32" t="str">
        <f>IFERROR(VLOOKUP(B2012,双一流!$B$2:$D$148,3,FALSE),"")</f>
        <v/>
      </c>
      <c r="I2012" s="32" t="str">
        <f>IFERROR(VLOOKUP(B2012,汇总!$B$2:$I$2921,8,FALSE),"")</f>
        <v>理工</v>
      </c>
      <c r="J2012" s="34" t="s">
        <v>1700</v>
      </c>
      <c r="K2012" s="34" t="s">
        <v>12</v>
      </c>
    </row>
    <row r="2013" ht="33.75" spans="1:11">
      <c r="A2013" s="34">
        <v>2012</v>
      </c>
      <c r="B2013" s="29" t="s">
        <v>2354</v>
      </c>
      <c r="C2013" s="29" t="str">
        <f>VLOOKUP(B2013,教育部大学名单!$B$1:$D$2920,3,FALSE)</f>
        <v>湖北省</v>
      </c>
      <c r="D2013" s="29" t="s">
        <v>746</v>
      </c>
      <c r="E2013" s="29" t="s">
        <v>747</v>
      </c>
      <c r="F2013" s="36" t="str">
        <f>IFERROR(VLOOKUP(B2013,'985'!$B$2:$D$40,3,FALSE),"")</f>
        <v/>
      </c>
      <c r="G2013" s="32" t="str">
        <f>IFERROR(VLOOKUP(B2013,'211'!$B$2:$D$116,3,FALSE),"")</f>
        <v/>
      </c>
      <c r="H2013" s="32" t="str">
        <f>IFERROR(VLOOKUP(B2013,双一流!$B$2:$D$148,3,FALSE),"")</f>
        <v/>
      </c>
      <c r="I2013" s="32" t="str">
        <f>IFERROR(VLOOKUP(B2013,汇总!$B$2:$I$2921,8,FALSE),"")</f>
        <v>政法</v>
      </c>
      <c r="J2013" s="29" t="s">
        <v>1700</v>
      </c>
      <c r="K2013" s="29" t="s">
        <v>12</v>
      </c>
    </row>
    <row r="2014" ht="33.75" spans="1:11">
      <c r="A2014" s="29">
        <v>2013</v>
      </c>
      <c r="B2014" s="34" t="s">
        <v>2355</v>
      </c>
      <c r="C2014" s="29" t="str">
        <f>VLOOKUP(B2014,教育部大学名单!$B$1:$D$2920,3,FALSE)</f>
        <v>湖北省</v>
      </c>
      <c r="D2014" s="34" t="s">
        <v>746</v>
      </c>
      <c r="E2014" s="34" t="s">
        <v>747</v>
      </c>
      <c r="F2014" s="36" t="str">
        <f>IFERROR(VLOOKUP(B2014,'985'!$B$2:$D$40,3,FALSE),"")</f>
        <v/>
      </c>
      <c r="G2014" s="32" t="str">
        <f>IFERROR(VLOOKUP(B2014,'211'!$B$2:$D$116,3,FALSE),"")</f>
        <v/>
      </c>
      <c r="H2014" s="32" t="str">
        <f>IFERROR(VLOOKUP(B2014,双一流!$B$2:$D$148,3,FALSE),"")</f>
        <v/>
      </c>
      <c r="I2014" s="32" t="str">
        <f>IFERROR(VLOOKUP(B2014,汇总!$B$2:$I$2921,8,FALSE),"")</f>
        <v>理工</v>
      </c>
      <c r="J2014" s="34" t="s">
        <v>1700</v>
      </c>
      <c r="K2014" s="34" t="s">
        <v>12</v>
      </c>
    </row>
    <row r="2015" ht="33.75" spans="1:11">
      <c r="A2015" s="34">
        <v>2014</v>
      </c>
      <c r="B2015" s="29" t="s">
        <v>2356</v>
      </c>
      <c r="C2015" s="29" t="str">
        <f>VLOOKUP(B2015,教育部大学名单!$B$1:$D$2920,3,FALSE)</f>
        <v>湖北省</v>
      </c>
      <c r="D2015" s="29" t="s">
        <v>746</v>
      </c>
      <c r="E2015" s="29" t="s">
        <v>747</v>
      </c>
      <c r="F2015" s="36" t="str">
        <f>IFERROR(VLOOKUP(B2015,'985'!$B$2:$D$40,3,FALSE),"")</f>
        <v/>
      </c>
      <c r="G2015" s="32" t="str">
        <f>IFERROR(VLOOKUP(B2015,'211'!$B$2:$D$116,3,FALSE),"")</f>
        <v/>
      </c>
      <c r="H2015" s="32" t="str">
        <f>IFERROR(VLOOKUP(B2015,双一流!$B$2:$D$148,3,FALSE),"")</f>
        <v/>
      </c>
      <c r="I2015" s="32" t="str">
        <f>IFERROR(VLOOKUP(B2015,汇总!$B$2:$I$2921,8,FALSE),"")</f>
        <v>艺术</v>
      </c>
      <c r="J2015" s="29" t="s">
        <v>1700</v>
      </c>
      <c r="K2015" s="29" t="s">
        <v>12</v>
      </c>
    </row>
    <row r="2016" ht="33.75" spans="1:11">
      <c r="A2016" s="29">
        <v>2015</v>
      </c>
      <c r="B2016" s="34" t="s">
        <v>2357</v>
      </c>
      <c r="C2016" s="29" t="str">
        <f>VLOOKUP(B2016,教育部大学名单!$B$1:$D$2920,3,FALSE)</f>
        <v>湖北省</v>
      </c>
      <c r="D2016" s="34" t="s">
        <v>746</v>
      </c>
      <c r="E2016" s="34" t="s">
        <v>747</v>
      </c>
      <c r="F2016" s="36" t="str">
        <f>IFERROR(VLOOKUP(B2016,'985'!$B$2:$D$40,3,FALSE),"")</f>
        <v/>
      </c>
      <c r="G2016" s="32" t="str">
        <f>IFERROR(VLOOKUP(B2016,'211'!$B$2:$D$116,3,FALSE),"")</f>
        <v/>
      </c>
      <c r="H2016" s="32" t="str">
        <f>IFERROR(VLOOKUP(B2016,双一流!$B$2:$D$148,3,FALSE),"")</f>
        <v/>
      </c>
      <c r="I2016" s="32" t="str">
        <f>IFERROR(VLOOKUP(B2016,汇总!$B$2:$I$2921,8,FALSE),"")</f>
        <v>理工</v>
      </c>
      <c r="J2016" s="34" t="s">
        <v>1700</v>
      </c>
      <c r="K2016" s="34" t="s">
        <v>12</v>
      </c>
    </row>
    <row r="2017" ht="33.75" spans="1:11">
      <c r="A2017" s="34">
        <v>2016</v>
      </c>
      <c r="B2017" s="29" t="s">
        <v>2358</v>
      </c>
      <c r="C2017" s="29" t="str">
        <f>VLOOKUP(B2017,教育部大学名单!$B$1:$D$2920,3,FALSE)</f>
        <v>湖北省</v>
      </c>
      <c r="D2017" s="29" t="s">
        <v>746</v>
      </c>
      <c r="E2017" s="29" t="s">
        <v>781</v>
      </c>
      <c r="F2017" s="36" t="str">
        <f>IFERROR(VLOOKUP(B2017,'985'!$B$2:$D$40,3,FALSE),"")</f>
        <v/>
      </c>
      <c r="G2017" s="32" t="str">
        <f>IFERROR(VLOOKUP(B2017,'211'!$B$2:$D$116,3,FALSE),"")</f>
        <v/>
      </c>
      <c r="H2017" s="32" t="str">
        <f>IFERROR(VLOOKUP(B2017,双一流!$B$2:$D$148,3,FALSE),"")</f>
        <v/>
      </c>
      <c r="I2017" s="32" t="str">
        <f>IFERROR(VLOOKUP(B2017,汇总!$B$2:$I$2921,8,FALSE),"")</f>
        <v>综合</v>
      </c>
      <c r="J2017" s="29" t="s">
        <v>1700</v>
      </c>
      <c r="K2017" s="29" t="s">
        <v>12</v>
      </c>
    </row>
    <row r="2018" ht="33.75" spans="1:11">
      <c r="A2018" s="29">
        <v>2017</v>
      </c>
      <c r="B2018" s="34" t="s">
        <v>2359</v>
      </c>
      <c r="C2018" s="29" t="str">
        <f>VLOOKUP(B2018,教育部大学名单!$B$1:$D$2920,3,FALSE)</f>
        <v>湖北省</v>
      </c>
      <c r="D2018" s="34" t="s">
        <v>746</v>
      </c>
      <c r="E2018" s="34" t="s">
        <v>747</v>
      </c>
      <c r="F2018" s="36" t="str">
        <f>IFERROR(VLOOKUP(B2018,'985'!$B$2:$D$40,3,FALSE),"")</f>
        <v/>
      </c>
      <c r="G2018" s="32" t="str">
        <f>IFERROR(VLOOKUP(B2018,'211'!$B$2:$D$116,3,FALSE),"")</f>
        <v/>
      </c>
      <c r="H2018" s="32" t="str">
        <f>IFERROR(VLOOKUP(B2018,双一流!$B$2:$D$148,3,FALSE),"")</f>
        <v/>
      </c>
      <c r="I2018" s="32" t="str">
        <f>IFERROR(VLOOKUP(B2018,汇总!$B$2:$I$2921,8,FALSE),"")</f>
        <v>理工</v>
      </c>
      <c r="J2018" s="34" t="s">
        <v>1700</v>
      </c>
      <c r="K2018" s="34" t="s">
        <v>12</v>
      </c>
    </row>
    <row r="2019" ht="33.75" spans="1:11">
      <c r="A2019" s="34">
        <v>2018</v>
      </c>
      <c r="B2019" s="29" t="s">
        <v>2360</v>
      </c>
      <c r="C2019" s="29" t="str">
        <f>VLOOKUP(B2019,教育部大学名单!$B$1:$D$2920,3,FALSE)</f>
        <v>湖北省</v>
      </c>
      <c r="D2019" s="29" t="s">
        <v>746</v>
      </c>
      <c r="E2019" s="29" t="s">
        <v>2361</v>
      </c>
      <c r="F2019" s="36" t="str">
        <f>IFERROR(VLOOKUP(B2019,'985'!$B$2:$D$40,3,FALSE),"")</f>
        <v/>
      </c>
      <c r="G2019" s="32" t="str">
        <f>IFERROR(VLOOKUP(B2019,'211'!$B$2:$D$116,3,FALSE),"")</f>
        <v/>
      </c>
      <c r="H2019" s="32" t="str">
        <f>IFERROR(VLOOKUP(B2019,双一流!$B$2:$D$148,3,FALSE),"")</f>
        <v/>
      </c>
      <c r="I2019" s="32" t="str">
        <f>IFERROR(VLOOKUP(B2019,汇总!$B$2:$I$2921,8,FALSE),"")</f>
        <v>综合</v>
      </c>
      <c r="J2019" s="29" t="s">
        <v>1700</v>
      </c>
      <c r="K2019" s="29" t="s">
        <v>12</v>
      </c>
    </row>
    <row r="2020" ht="33.75" spans="1:11">
      <c r="A2020" s="29">
        <v>2019</v>
      </c>
      <c r="B2020" s="34" t="s">
        <v>2362</v>
      </c>
      <c r="C2020" s="29" t="str">
        <f>VLOOKUP(B2020,教育部大学名单!$B$1:$D$2920,3,FALSE)</f>
        <v>湖北省</v>
      </c>
      <c r="D2020" s="34" t="s">
        <v>746</v>
      </c>
      <c r="E2020" s="34" t="s">
        <v>747</v>
      </c>
      <c r="F2020" s="36" t="str">
        <f>IFERROR(VLOOKUP(B2020,'985'!$B$2:$D$40,3,FALSE),"")</f>
        <v/>
      </c>
      <c r="G2020" s="32" t="str">
        <f>IFERROR(VLOOKUP(B2020,'211'!$B$2:$D$116,3,FALSE),"")</f>
        <v/>
      </c>
      <c r="H2020" s="32" t="str">
        <f>IFERROR(VLOOKUP(B2020,双一流!$B$2:$D$148,3,FALSE),"")</f>
        <v/>
      </c>
      <c r="I2020" s="32" t="str">
        <f>IFERROR(VLOOKUP(B2020,汇总!$B$2:$I$2921,8,FALSE),"")</f>
        <v>综合</v>
      </c>
      <c r="J2020" s="34" t="s">
        <v>1700</v>
      </c>
      <c r="K2020" s="34" t="s">
        <v>12</v>
      </c>
    </row>
    <row r="2021" ht="50.25" spans="1:11">
      <c r="A2021" s="34">
        <v>2020</v>
      </c>
      <c r="B2021" s="29" t="s">
        <v>2363</v>
      </c>
      <c r="C2021" s="29" t="str">
        <f>VLOOKUP(B2021,教育部大学名单!$B$1:$D$2920,3,FALSE)</f>
        <v>湖北省</v>
      </c>
      <c r="D2021" s="29" t="s">
        <v>746</v>
      </c>
      <c r="E2021" s="29" t="s">
        <v>765</v>
      </c>
      <c r="F2021" s="36" t="str">
        <f>IFERROR(VLOOKUP(B2021,'985'!$B$2:$D$40,3,FALSE),"")</f>
        <v/>
      </c>
      <c r="G2021" s="32" t="str">
        <f>IFERROR(VLOOKUP(B2021,'211'!$B$2:$D$116,3,FALSE),"")</f>
        <v/>
      </c>
      <c r="H2021" s="32" t="str">
        <f>IFERROR(VLOOKUP(B2021,双一流!$B$2:$D$148,3,FALSE),"")</f>
        <v/>
      </c>
      <c r="I2021" s="32">
        <f>IFERROR(VLOOKUP(B2021,汇总!$B$2:$I$2921,8,FALSE),"")</f>
        <v>0</v>
      </c>
      <c r="J2021" s="29" t="s">
        <v>1700</v>
      </c>
      <c r="K2021" s="29" t="s">
        <v>12</v>
      </c>
    </row>
    <row r="2022" ht="33.75" spans="1:11">
      <c r="A2022" s="29">
        <v>2021</v>
      </c>
      <c r="B2022" s="34" t="s">
        <v>2364</v>
      </c>
      <c r="C2022" s="29" t="str">
        <f>VLOOKUP(B2022,教育部大学名单!$B$1:$D$2920,3,FALSE)</f>
        <v>湖北省</v>
      </c>
      <c r="D2022" s="34" t="s">
        <v>746</v>
      </c>
      <c r="E2022" s="34" t="s">
        <v>747</v>
      </c>
      <c r="F2022" s="36" t="str">
        <f>IFERROR(VLOOKUP(B2022,'985'!$B$2:$D$40,3,FALSE),"")</f>
        <v/>
      </c>
      <c r="G2022" s="32" t="str">
        <f>IFERROR(VLOOKUP(B2022,'211'!$B$2:$D$116,3,FALSE),"")</f>
        <v/>
      </c>
      <c r="H2022" s="32" t="str">
        <f>IFERROR(VLOOKUP(B2022,双一流!$B$2:$D$148,3,FALSE),"")</f>
        <v/>
      </c>
      <c r="I2022" s="32" t="str">
        <f>IFERROR(VLOOKUP(B2022,汇总!$B$2:$I$2921,8,FALSE),"")</f>
        <v>财经</v>
      </c>
      <c r="J2022" s="34" t="s">
        <v>1700</v>
      </c>
      <c r="K2022" s="34" t="s">
        <v>12</v>
      </c>
    </row>
    <row r="2023" ht="33.75" spans="1:11">
      <c r="A2023" s="34">
        <v>2022</v>
      </c>
      <c r="B2023" s="29" t="s">
        <v>2365</v>
      </c>
      <c r="C2023" s="29" t="str">
        <f>VLOOKUP(B2023,教育部大学名单!$B$1:$D$2920,3,FALSE)</f>
        <v>湖北省</v>
      </c>
      <c r="D2023" s="29" t="s">
        <v>746</v>
      </c>
      <c r="E2023" s="29" t="s">
        <v>747</v>
      </c>
      <c r="F2023" s="36" t="str">
        <f>IFERROR(VLOOKUP(B2023,'985'!$B$2:$D$40,3,FALSE),"")</f>
        <v/>
      </c>
      <c r="G2023" s="32" t="str">
        <f>IFERROR(VLOOKUP(B2023,'211'!$B$2:$D$116,3,FALSE),"")</f>
        <v/>
      </c>
      <c r="H2023" s="32" t="str">
        <f>IFERROR(VLOOKUP(B2023,双一流!$B$2:$D$148,3,FALSE),"")</f>
        <v/>
      </c>
      <c r="I2023" s="32" t="str">
        <f>IFERROR(VLOOKUP(B2023,汇总!$B$2:$I$2921,8,FALSE),"")</f>
        <v>理工</v>
      </c>
      <c r="J2023" s="29" t="s">
        <v>1700</v>
      </c>
      <c r="K2023" s="29" t="s">
        <v>12</v>
      </c>
    </row>
    <row r="2024" ht="50.25" spans="1:11">
      <c r="A2024" s="29">
        <v>2023</v>
      </c>
      <c r="B2024" s="34" t="s">
        <v>2366</v>
      </c>
      <c r="C2024" s="29" t="str">
        <f>VLOOKUP(B2024,教育部大学名单!$B$1:$D$2920,3,FALSE)</f>
        <v>湖北省</v>
      </c>
      <c r="D2024" s="34" t="s">
        <v>746</v>
      </c>
      <c r="E2024" s="34" t="s">
        <v>747</v>
      </c>
      <c r="F2024" s="36" t="str">
        <f>IFERROR(VLOOKUP(B2024,'985'!$B$2:$D$40,3,FALSE),"")</f>
        <v/>
      </c>
      <c r="G2024" s="32" t="str">
        <f>IFERROR(VLOOKUP(B2024,'211'!$B$2:$D$116,3,FALSE),"")</f>
        <v/>
      </c>
      <c r="H2024" s="32" t="str">
        <f>IFERROR(VLOOKUP(B2024,双一流!$B$2:$D$148,3,FALSE),"")</f>
        <v/>
      </c>
      <c r="I2024" s="32" t="str">
        <f>IFERROR(VLOOKUP(B2024,汇总!$B$2:$I$2921,8,FALSE),"")</f>
        <v>综合</v>
      </c>
      <c r="J2024" s="34" t="s">
        <v>1700</v>
      </c>
      <c r="K2024" s="34" t="s">
        <v>12</v>
      </c>
    </row>
    <row r="2025" ht="33.75" spans="1:11">
      <c r="A2025" s="34">
        <v>2024</v>
      </c>
      <c r="B2025" s="29" t="s">
        <v>2367</v>
      </c>
      <c r="C2025" s="29" t="str">
        <f>VLOOKUP(B2025,教育部大学名单!$B$1:$D$2920,3,FALSE)</f>
        <v>湖北省</v>
      </c>
      <c r="D2025" s="29" t="s">
        <v>746</v>
      </c>
      <c r="E2025" s="29" t="s">
        <v>785</v>
      </c>
      <c r="F2025" s="36" t="str">
        <f>IFERROR(VLOOKUP(B2025,'985'!$B$2:$D$40,3,FALSE),"")</f>
        <v/>
      </c>
      <c r="G2025" s="32" t="str">
        <f>IFERROR(VLOOKUP(B2025,'211'!$B$2:$D$116,3,FALSE),"")</f>
        <v/>
      </c>
      <c r="H2025" s="32" t="str">
        <f>IFERROR(VLOOKUP(B2025,双一流!$B$2:$D$148,3,FALSE),"")</f>
        <v/>
      </c>
      <c r="I2025" s="32" t="str">
        <f>IFERROR(VLOOKUP(B2025,汇总!$B$2:$I$2921,8,FALSE),"")</f>
        <v>理工</v>
      </c>
      <c r="J2025" s="29" t="s">
        <v>1700</v>
      </c>
      <c r="K2025" s="29" t="s">
        <v>12</v>
      </c>
    </row>
    <row r="2026" ht="33.75" spans="1:11">
      <c r="A2026" s="29">
        <v>2025</v>
      </c>
      <c r="B2026" s="34" t="s">
        <v>2368</v>
      </c>
      <c r="C2026" s="29" t="str">
        <f>VLOOKUP(B2026,教育部大学名单!$B$1:$D$2920,3,FALSE)</f>
        <v>湖北省</v>
      </c>
      <c r="D2026" s="34" t="s">
        <v>746</v>
      </c>
      <c r="E2026" s="34" t="s">
        <v>747</v>
      </c>
      <c r="F2026" s="36" t="str">
        <f>IFERROR(VLOOKUP(B2026,'985'!$B$2:$D$40,3,FALSE),"")</f>
        <v/>
      </c>
      <c r="G2026" s="32" t="str">
        <f>IFERROR(VLOOKUP(B2026,'211'!$B$2:$D$116,3,FALSE),"")</f>
        <v/>
      </c>
      <c r="H2026" s="32" t="str">
        <f>IFERROR(VLOOKUP(B2026,双一流!$B$2:$D$148,3,FALSE),"")</f>
        <v/>
      </c>
      <c r="I2026" s="32" t="str">
        <f>IFERROR(VLOOKUP(B2026,汇总!$B$2:$I$2921,8,FALSE),"")</f>
        <v>综合</v>
      </c>
      <c r="J2026" s="34" t="s">
        <v>1700</v>
      </c>
      <c r="K2026" s="34" t="s">
        <v>12</v>
      </c>
    </row>
    <row r="2027" ht="33.75" spans="1:11">
      <c r="A2027" s="34">
        <v>2026</v>
      </c>
      <c r="B2027" s="29" t="s">
        <v>2369</v>
      </c>
      <c r="C2027" s="29" t="str">
        <f>VLOOKUP(B2027,教育部大学名单!$B$1:$D$2920,3,FALSE)</f>
        <v>湖北省</v>
      </c>
      <c r="D2027" s="29" t="s">
        <v>746</v>
      </c>
      <c r="E2027" s="29" t="s">
        <v>747</v>
      </c>
      <c r="F2027" s="36" t="str">
        <f>IFERROR(VLOOKUP(B2027,'985'!$B$2:$D$40,3,FALSE),"")</f>
        <v/>
      </c>
      <c r="G2027" s="32" t="str">
        <f>IFERROR(VLOOKUP(B2027,'211'!$B$2:$D$116,3,FALSE),"")</f>
        <v/>
      </c>
      <c r="H2027" s="32" t="str">
        <f>IFERROR(VLOOKUP(B2027,双一流!$B$2:$D$148,3,FALSE),"")</f>
        <v/>
      </c>
      <c r="I2027" s="32">
        <f>IFERROR(VLOOKUP(B2027,汇总!$B$2:$I$2921,8,FALSE),"")</f>
        <v>0</v>
      </c>
      <c r="J2027" s="29" t="s">
        <v>1700</v>
      </c>
      <c r="K2027" s="29" t="s">
        <v>12</v>
      </c>
    </row>
    <row r="2028" ht="33.75" spans="1:11">
      <c r="A2028" s="29">
        <v>2027</v>
      </c>
      <c r="B2028" s="34" t="s">
        <v>2370</v>
      </c>
      <c r="C2028" s="29" t="str">
        <f>VLOOKUP(B2028,教育部大学名单!$B$1:$D$2920,3,FALSE)</f>
        <v>湖北省</v>
      </c>
      <c r="D2028" s="34" t="s">
        <v>746</v>
      </c>
      <c r="E2028" s="34" t="s">
        <v>763</v>
      </c>
      <c r="F2028" s="36" t="str">
        <f>IFERROR(VLOOKUP(B2028,'985'!$B$2:$D$40,3,FALSE),"")</f>
        <v/>
      </c>
      <c r="G2028" s="32" t="str">
        <f>IFERROR(VLOOKUP(B2028,'211'!$B$2:$D$116,3,FALSE),"")</f>
        <v/>
      </c>
      <c r="H2028" s="32" t="str">
        <f>IFERROR(VLOOKUP(B2028,双一流!$B$2:$D$148,3,FALSE),"")</f>
        <v/>
      </c>
      <c r="I2028" s="32" t="str">
        <f>IFERROR(VLOOKUP(B2028,汇总!$B$2:$I$2921,8,FALSE),"")</f>
        <v>理工</v>
      </c>
      <c r="J2028" s="34" t="s">
        <v>1700</v>
      </c>
      <c r="K2028" s="34" t="s">
        <v>12</v>
      </c>
    </row>
    <row r="2029" ht="33.75" spans="1:11">
      <c r="A2029" s="34">
        <v>2028</v>
      </c>
      <c r="B2029" s="29" t="s">
        <v>2371</v>
      </c>
      <c r="C2029" s="29" t="str">
        <f>VLOOKUP(B2029,教育部大学名单!$B$1:$D$2920,3,FALSE)</f>
        <v>湖北省</v>
      </c>
      <c r="D2029" s="29" t="s">
        <v>746</v>
      </c>
      <c r="E2029" s="29" t="s">
        <v>785</v>
      </c>
      <c r="F2029" s="36" t="str">
        <f>IFERROR(VLOOKUP(B2029,'985'!$B$2:$D$40,3,FALSE),"")</f>
        <v/>
      </c>
      <c r="G2029" s="32" t="str">
        <f>IFERROR(VLOOKUP(B2029,'211'!$B$2:$D$116,3,FALSE),"")</f>
        <v/>
      </c>
      <c r="H2029" s="32" t="str">
        <f>IFERROR(VLOOKUP(B2029,双一流!$B$2:$D$148,3,FALSE),"")</f>
        <v/>
      </c>
      <c r="I2029" s="32" t="str">
        <f>IFERROR(VLOOKUP(B2029,汇总!$B$2:$I$2921,8,FALSE),"")</f>
        <v>综合</v>
      </c>
      <c r="J2029" s="29" t="s">
        <v>1700</v>
      </c>
      <c r="K2029" s="29" t="s">
        <v>12</v>
      </c>
    </row>
    <row r="2030" ht="33.75" spans="1:11">
      <c r="A2030" s="29">
        <v>2029</v>
      </c>
      <c r="B2030" s="34" t="s">
        <v>2372</v>
      </c>
      <c r="C2030" s="29" t="str">
        <f>VLOOKUP(B2030,教育部大学名单!$B$1:$D$2920,3,FALSE)</f>
        <v>湖北省</v>
      </c>
      <c r="D2030" s="34" t="s">
        <v>746</v>
      </c>
      <c r="E2030" s="34" t="s">
        <v>2373</v>
      </c>
      <c r="F2030" s="36" t="str">
        <f>IFERROR(VLOOKUP(B2030,'985'!$B$2:$D$40,3,FALSE),"")</f>
        <v/>
      </c>
      <c r="G2030" s="32" t="str">
        <f>IFERROR(VLOOKUP(B2030,'211'!$B$2:$D$116,3,FALSE),"")</f>
        <v/>
      </c>
      <c r="H2030" s="32" t="str">
        <f>IFERROR(VLOOKUP(B2030,双一流!$B$2:$D$148,3,FALSE),"")</f>
        <v/>
      </c>
      <c r="I2030" s="32" t="str">
        <f>IFERROR(VLOOKUP(B2030,汇总!$B$2:$I$2921,8,FALSE),"")</f>
        <v>综合</v>
      </c>
      <c r="J2030" s="34" t="s">
        <v>1700</v>
      </c>
      <c r="K2030" s="34" t="s">
        <v>12</v>
      </c>
    </row>
    <row r="2031" ht="33.75" spans="1:11">
      <c r="A2031" s="34">
        <v>2030</v>
      </c>
      <c r="B2031" s="29" t="s">
        <v>2374</v>
      </c>
      <c r="C2031" s="29" t="str">
        <f>VLOOKUP(B2031,教育部大学名单!$B$1:$D$2920,3,FALSE)</f>
        <v>湖北省</v>
      </c>
      <c r="D2031" s="29" t="s">
        <v>746</v>
      </c>
      <c r="E2031" s="29" t="s">
        <v>747</v>
      </c>
      <c r="F2031" s="36" t="str">
        <f>IFERROR(VLOOKUP(B2031,'985'!$B$2:$D$40,3,FALSE),"")</f>
        <v/>
      </c>
      <c r="G2031" s="32" t="str">
        <f>IFERROR(VLOOKUP(B2031,'211'!$B$2:$D$116,3,FALSE),"")</f>
        <v/>
      </c>
      <c r="H2031" s="32" t="str">
        <f>IFERROR(VLOOKUP(B2031,双一流!$B$2:$D$148,3,FALSE),"")</f>
        <v/>
      </c>
      <c r="I2031" s="32" t="str">
        <f>IFERROR(VLOOKUP(B2031,汇总!$B$2:$I$2921,8,FALSE),"")</f>
        <v>体育</v>
      </c>
      <c r="J2031" s="29" t="s">
        <v>1700</v>
      </c>
      <c r="K2031" s="29" t="s">
        <v>12</v>
      </c>
    </row>
    <row r="2032" ht="33.75" spans="1:11">
      <c r="A2032" s="29">
        <v>2031</v>
      </c>
      <c r="B2032" s="34" t="s">
        <v>2375</v>
      </c>
      <c r="C2032" s="29" t="str">
        <f>VLOOKUP(B2032,教育部大学名单!$B$1:$D$2920,3,FALSE)</f>
        <v>湖北省</v>
      </c>
      <c r="D2032" s="34" t="s">
        <v>746</v>
      </c>
      <c r="E2032" s="34" t="s">
        <v>771</v>
      </c>
      <c r="F2032" s="36" t="str">
        <f>IFERROR(VLOOKUP(B2032,'985'!$B$2:$D$40,3,FALSE),"")</f>
        <v/>
      </c>
      <c r="G2032" s="32" t="str">
        <f>IFERROR(VLOOKUP(B2032,'211'!$B$2:$D$116,3,FALSE),"")</f>
        <v/>
      </c>
      <c r="H2032" s="32" t="str">
        <f>IFERROR(VLOOKUP(B2032,双一流!$B$2:$D$148,3,FALSE),"")</f>
        <v/>
      </c>
      <c r="I2032" s="32" t="str">
        <f>IFERROR(VLOOKUP(B2032,汇总!$B$2:$I$2921,8,FALSE),"")</f>
        <v>理工</v>
      </c>
      <c r="J2032" s="34" t="s">
        <v>1700</v>
      </c>
      <c r="K2032" s="34" t="s">
        <v>12</v>
      </c>
    </row>
    <row r="2033" ht="50.25" spans="1:11">
      <c r="A2033" s="34">
        <v>2032</v>
      </c>
      <c r="B2033" s="29" t="s">
        <v>2376</v>
      </c>
      <c r="C2033" s="29" t="str">
        <f>VLOOKUP(B2033,教育部大学名单!$B$1:$D$2920,3,FALSE)</f>
        <v>湖北省</v>
      </c>
      <c r="D2033" s="29" t="s">
        <v>746</v>
      </c>
      <c r="E2033" s="29" t="s">
        <v>747</v>
      </c>
      <c r="F2033" s="36" t="str">
        <f>IFERROR(VLOOKUP(B2033,'985'!$B$2:$D$40,3,FALSE),"")</f>
        <v/>
      </c>
      <c r="G2033" s="32" t="str">
        <f>IFERROR(VLOOKUP(B2033,'211'!$B$2:$D$116,3,FALSE),"")</f>
        <v/>
      </c>
      <c r="H2033" s="32" t="str">
        <f>IFERROR(VLOOKUP(B2033,双一流!$B$2:$D$148,3,FALSE),"")</f>
        <v/>
      </c>
      <c r="I2033" s="32" t="str">
        <f>IFERROR(VLOOKUP(B2033,汇总!$B$2:$I$2921,8,FALSE),"")</f>
        <v>师范</v>
      </c>
      <c r="J2033" s="29" t="s">
        <v>1700</v>
      </c>
      <c r="K2033" s="29" t="s">
        <v>12</v>
      </c>
    </row>
    <row r="2034" ht="33.75" spans="1:11">
      <c r="A2034" s="29">
        <v>2033</v>
      </c>
      <c r="B2034" s="34" t="s">
        <v>2377</v>
      </c>
      <c r="C2034" s="29" t="str">
        <f>VLOOKUP(B2034,教育部大学名单!$B$1:$D$2920,3,FALSE)</f>
        <v>湖北省</v>
      </c>
      <c r="D2034" s="34" t="s">
        <v>746</v>
      </c>
      <c r="E2034" s="34" t="s">
        <v>747</v>
      </c>
      <c r="F2034" s="36" t="str">
        <f>IFERROR(VLOOKUP(B2034,'985'!$B$2:$D$40,3,FALSE),"")</f>
        <v/>
      </c>
      <c r="G2034" s="32" t="str">
        <f>IFERROR(VLOOKUP(B2034,'211'!$B$2:$D$116,3,FALSE),"")</f>
        <v/>
      </c>
      <c r="H2034" s="32" t="str">
        <f>IFERROR(VLOOKUP(B2034,双一流!$B$2:$D$148,3,FALSE),"")</f>
        <v/>
      </c>
      <c r="I2034" s="32">
        <f>IFERROR(VLOOKUP(B2034,汇总!$B$2:$I$2921,8,FALSE),"")</f>
        <v>0</v>
      </c>
      <c r="J2034" s="34" t="s">
        <v>1700</v>
      </c>
      <c r="K2034" s="34" t="s">
        <v>12</v>
      </c>
    </row>
    <row r="2035" ht="33.75" spans="1:11">
      <c r="A2035" s="34">
        <v>2034</v>
      </c>
      <c r="B2035" s="29" t="s">
        <v>2378</v>
      </c>
      <c r="C2035" s="29" t="str">
        <f>VLOOKUP(B2035,教育部大学名单!$B$1:$D$2920,3,FALSE)</f>
        <v>湖北省</v>
      </c>
      <c r="D2035" s="29" t="s">
        <v>746</v>
      </c>
      <c r="E2035" s="29" t="s">
        <v>747</v>
      </c>
      <c r="F2035" s="36" t="str">
        <f>IFERROR(VLOOKUP(B2035,'985'!$B$2:$D$40,3,FALSE),"")</f>
        <v/>
      </c>
      <c r="G2035" s="32" t="str">
        <f>IFERROR(VLOOKUP(B2035,'211'!$B$2:$D$116,3,FALSE),"")</f>
        <v/>
      </c>
      <c r="H2035" s="32" t="str">
        <f>IFERROR(VLOOKUP(B2035,双一流!$B$2:$D$148,3,FALSE),"")</f>
        <v/>
      </c>
      <c r="I2035" s="32">
        <f>IFERROR(VLOOKUP(B2035,汇总!$B$2:$I$2921,8,FALSE),"")</f>
        <v>0</v>
      </c>
      <c r="J2035" s="29" t="s">
        <v>1700</v>
      </c>
      <c r="K2035" s="29" t="s">
        <v>12</v>
      </c>
    </row>
    <row r="2036" ht="33.75" spans="1:11">
      <c r="A2036" s="29">
        <v>2035</v>
      </c>
      <c r="B2036" s="34" t="s">
        <v>2379</v>
      </c>
      <c r="C2036" s="29" t="str">
        <f>VLOOKUP(B2036,教育部大学名单!$B$1:$D$2920,3,FALSE)</f>
        <v>湖北省</v>
      </c>
      <c r="D2036" s="34" t="s">
        <v>746</v>
      </c>
      <c r="E2036" s="34" t="s">
        <v>788</v>
      </c>
      <c r="F2036" s="36" t="str">
        <f>IFERROR(VLOOKUP(B2036,'985'!$B$2:$D$40,3,FALSE),"")</f>
        <v/>
      </c>
      <c r="G2036" s="32" t="str">
        <f>IFERROR(VLOOKUP(B2036,'211'!$B$2:$D$116,3,FALSE),"")</f>
        <v/>
      </c>
      <c r="H2036" s="32" t="str">
        <f>IFERROR(VLOOKUP(B2036,双一流!$B$2:$D$148,3,FALSE),"")</f>
        <v/>
      </c>
      <c r="I2036" s="32">
        <f>IFERROR(VLOOKUP(B2036,汇总!$B$2:$I$2921,8,FALSE),"")</f>
        <v>0</v>
      </c>
      <c r="J2036" s="34" t="s">
        <v>1700</v>
      </c>
      <c r="K2036" s="34" t="s">
        <v>12</v>
      </c>
    </row>
    <row r="2037" ht="33.75" spans="1:11">
      <c r="A2037" s="34">
        <v>2036</v>
      </c>
      <c r="B2037" s="29" t="s">
        <v>2380</v>
      </c>
      <c r="C2037" s="29" t="str">
        <f>VLOOKUP(B2037,教育部大学名单!$B$1:$D$2920,3,FALSE)</f>
        <v>湖北省</v>
      </c>
      <c r="D2037" s="29" t="s">
        <v>746</v>
      </c>
      <c r="E2037" s="29" t="s">
        <v>747</v>
      </c>
      <c r="F2037" s="36" t="str">
        <f>IFERROR(VLOOKUP(B2037,'985'!$B$2:$D$40,3,FALSE),"")</f>
        <v/>
      </c>
      <c r="G2037" s="32" t="str">
        <f>IFERROR(VLOOKUP(B2037,'211'!$B$2:$D$116,3,FALSE),"")</f>
        <v/>
      </c>
      <c r="H2037" s="32" t="str">
        <f>IFERROR(VLOOKUP(B2037,双一流!$B$2:$D$148,3,FALSE),"")</f>
        <v/>
      </c>
      <c r="I2037" s="32">
        <f>IFERROR(VLOOKUP(B2037,汇总!$B$2:$I$2921,8,FALSE),"")</f>
        <v>0</v>
      </c>
      <c r="J2037" s="29" t="s">
        <v>1700</v>
      </c>
      <c r="K2037" s="29" t="s">
        <v>12</v>
      </c>
    </row>
    <row r="2038" ht="50.25" spans="1:11">
      <c r="A2038" s="29">
        <v>2037</v>
      </c>
      <c r="B2038" s="34" t="s">
        <v>2381</v>
      </c>
      <c r="C2038" s="29" t="str">
        <f>VLOOKUP(B2038,教育部大学名单!$B$1:$D$2920,3,FALSE)</f>
        <v>湖南省</v>
      </c>
      <c r="D2038" s="34" t="s">
        <v>797</v>
      </c>
      <c r="E2038" s="34" t="s">
        <v>817</v>
      </c>
      <c r="F2038" s="36" t="str">
        <f>IFERROR(VLOOKUP(B2038,'985'!$B$2:$D$40,3,FALSE),"")</f>
        <v/>
      </c>
      <c r="G2038" s="32" t="str">
        <f>IFERROR(VLOOKUP(B2038,'211'!$B$2:$D$116,3,FALSE),"")</f>
        <v/>
      </c>
      <c r="H2038" s="32" t="str">
        <f>IFERROR(VLOOKUP(B2038,双一流!$B$2:$D$148,3,FALSE),"")</f>
        <v/>
      </c>
      <c r="I2038" s="32" t="str">
        <f>IFERROR(VLOOKUP(B2038,汇总!$B$2:$I$2921,8,FALSE),"")</f>
        <v>师范</v>
      </c>
      <c r="J2038" s="34" t="s">
        <v>1700</v>
      </c>
      <c r="K2038" s="34" t="s">
        <v>12</v>
      </c>
    </row>
    <row r="2039" ht="33.75" spans="1:11">
      <c r="A2039" s="34">
        <v>2038</v>
      </c>
      <c r="B2039" s="29" t="s">
        <v>2382</v>
      </c>
      <c r="C2039" s="29" t="str">
        <f>VLOOKUP(B2039,教育部大学名单!$B$1:$D$2920,3,FALSE)</f>
        <v>湖南省</v>
      </c>
      <c r="D2039" s="29" t="s">
        <v>797</v>
      </c>
      <c r="E2039" s="29" t="s">
        <v>802</v>
      </c>
      <c r="F2039" s="36" t="str">
        <f>IFERROR(VLOOKUP(B2039,'985'!$B$2:$D$40,3,FALSE),"")</f>
        <v/>
      </c>
      <c r="G2039" s="32" t="str">
        <f>IFERROR(VLOOKUP(B2039,'211'!$B$2:$D$116,3,FALSE),"")</f>
        <v/>
      </c>
      <c r="H2039" s="32" t="str">
        <f>IFERROR(VLOOKUP(B2039,双一流!$B$2:$D$148,3,FALSE),"")</f>
        <v/>
      </c>
      <c r="I2039" s="32" t="str">
        <f>IFERROR(VLOOKUP(B2039,汇总!$B$2:$I$2921,8,FALSE),"")</f>
        <v>综合</v>
      </c>
      <c r="J2039" s="29" t="s">
        <v>1700</v>
      </c>
      <c r="K2039" s="29" t="s">
        <v>12</v>
      </c>
    </row>
    <row r="2040" ht="33.75" spans="1:11">
      <c r="A2040" s="29">
        <v>2039</v>
      </c>
      <c r="B2040" s="34" t="s">
        <v>2383</v>
      </c>
      <c r="C2040" s="29" t="str">
        <f>VLOOKUP(B2040,教育部大学名单!$B$1:$D$2920,3,FALSE)</f>
        <v>湖南省</v>
      </c>
      <c r="D2040" s="34" t="s">
        <v>797</v>
      </c>
      <c r="E2040" s="34" t="s">
        <v>802</v>
      </c>
      <c r="F2040" s="36" t="str">
        <f>IFERROR(VLOOKUP(B2040,'985'!$B$2:$D$40,3,FALSE),"")</f>
        <v/>
      </c>
      <c r="G2040" s="32" t="str">
        <f>IFERROR(VLOOKUP(B2040,'211'!$B$2:$D$116,3,FALSE),"")</f>
        <v/>
      </c>
      <c r="H2040" s="32" t="str">
        <f>IFERROR(VLOOKUP(B2040,双一流!$B$2:$D$148,3,FALSE),"")</f>
        <v/>
      </c>
      <c r="I2040" s="32" t="str">
        <f>IFERROR(VLOOKUP(B2040,汇总!$B$2:$I$2921,8,FALSE),"")</f>
        <v>理工</v>
      </c>
      <c r="J2040" s="34" t="s">
        <v>1700</v>
      </c>
      <c r="K2040" s="34" t="s">
        <v>12</v>
      </c>
    </row>
    <row r="2041" ht="33.75" spans="1:11">
      <c r="A2041" s="34">
        <v>2040</v>
      </c>
      <c r="B2041" s="29" t="s">
        <v>2384</v>
      </c>
      <c r="C2041" s="29" t="str">
        <f>VLOOKUP(B2041,教育部大学名单!$B$1:$D$2920,3,FALSE)</f>
        <v>湖南省</v>
      </c>
      <c r="D2041" s="29" t="s">
        <v>797</v>
      </c>
      <c r="E2041" s="29" t="s">
        <v>836</v>
      </c>
      <c r="F2041" s="36" t="str">
        <f>IFERROR(VLOOKUP(B2041,'985'!$B$2:$D$40,3,FALSE),"")</f>
        <v/>
      </c>
      <c r="G2041" s="32" t="str">
        <f>IFERROR(VLOOKUP(B2041,'211'!$B$2:$D$116,3,FALSE),"")</f>
        <v/>
      </c>
      <c r="H2041" s="32" t="str">
        <f>IFERROR(VLOOKUP(B2041,双一流!$B$2:$D$148,3,FALSE),"")</f>
        <v/>
      </c>
      <c r="I2041" s="32">
        <f>IFERROR(VLOOKUP(B2041,汇总!$B$2:$I$2921,8,FALSE),"")</f>
        <v>0</v>
      </c>
      <c r="J2041" s="29" t="s">
        <v>1700</v>
      </c>
      <c r="K2041" s="29" t="s">
        <v>12</v>
      </c>
    </row>
    <row r="2042" ht="33.75" spans="1:11">
      <c r="A2042" s="29">
        <v>2041</v>
      </c>
      <c r="B2042" s="34" t="s">
        <v>2385</v>
      </c>
      <c r="C2042" s="29" t="str">
        <f>VLOOKUP(B2042,教育部大学名单!$B$1:$D$2920,3,FALSE)</f>
        <v>湖南省</v>
      </c>
      <c r="D2042" s="34" t="s">
        <v>797</v>
      </c>
      <c r="E2042" s="34" t="s">
        <v>802</v>
      </c>
      <c r="F2042" s="36" t="str">
        <f>IFERROR(VLOOKUP(B2042,'985'!$B$2:$D$40,3,FALSE),"")</f>
        <v/>
      </c>
      <c r="G2042" s="32" t="str">
        <f>IFERROR(VLOOKUP(B2042,'211'!$B$2:$D$116,3,FALSE),"")</f>
        <v/>
      </c>
      <c r="H2042" s="32" t="str">
        <f>IFERROR(VLOOKUP(B2042,双一流!$B$2:$D$148,3,FALSE),"")</f>
        <v/>
      </c>
      <c r="I2042" s="32" t="str">
        <f>IFERROR(VLOOKUP(B2042,汇总!$B$2:$I$2921,8,FALSE),"")</f>
        <v>理工</v>
      </c>
      <c r="J2042" s="34" t="s">
        <v>1700</v>
      </c>
      <c r="K2042" s="34" t="s">
        <v>12</v>
      </c>
    </row>
    <row r="2043" ht="33.75" spans="1:11">
      <c r="A2043" s="34">
        <v>2042</v>
      </c>
      <c r="B2043" s="29" t="s">
        <v>2386</v>
      </c>
      <c r="C2043" s="29" t="str">
        <f>VLOOKUP(B2043,教育部大学名单!$B$1:$D$2920,3,FALSE)</f>
        <v>湖南省</v>
      </c>
      <c r="D2043" s="29" t="s">
        <v>797</v>
      </c>
      <c r="E2043" s="29" t="s">
        <v>802</v>
      </c>
      <c r="F2043" s="36" t="str">
        <f>IFERROR(VLOOKUP(B2043,'985'!$B$2:$D$40,3,FALSE),"")</f>
        <v/>
      </c>
      <c r="G2043" s="32" t="str">
        <f>IFERROR(VLOOKUP(B2043,'211'!$B$2:$D$116,3,FALSE),"")</f>
        <v/>
      </c>
      <c r="H2043" s="32" t="str">
        <f>IFERROR(VLOOKUP(B2043,双一流!$B$2:$D$148,3,FALSE),"")</f>
        <v/>
      </c>
      <c r="I2043" s="32">
        <f>IFERROR(VLOOKUP(B2043,汇总!$B$2:$I$2921,8,FALSE),"")</f>
        <v>0</v>
      </c>
      <c r="J2043" s="29" t="s">
        <v>1700</v>
      </c>
      <c r="K2043" s="29" t="s">
        <v>12</v>
      </c>
    </row>
    <row r="2044" ht="33.75" spans="1:11">
      <c r="A2044" s="29">
        <v>2043</v>
      </c>
      <c r="B2044" s="34" t="s">
        <v>2387</v>
      </c>
      <c r="C2044" s="29" t="str">
        <f>VLOOKUP(B2044,教育部大学名单!$B$1:$D$2920,3,FALSE)</f>
        <v>湖南省</v>
      </c>
      <c r="D2044" s="34" t="s">
        <v>797</v>
      </c>
      <c r="E2044" s="34" t="s">
        <v>836</v>
      </c>
      <c r="F2044" s="36" t="str">
        <f>IFERROR(VLOOKUP(B2044,'985'!$B$2:$D$40,3,FALSE),"")</f>
        <v/>
      </c>
      <c r="G2044" s="32" t="str">
        <f>IFERROR(VLOOKUP(B2044,'211'!$B$2:$D$116,3,FALSE),"")</f>
        <v/>
      </c>
      <c r="H2044" s="32" t="str">
        <f>IFERROR(VLOOKUP(B2044,双一流!$B$2:$D$148,3,FALSE),"")</f>
        <v/>
      </c>
      <c r="I2044" s="32">
        <f>IFERROR(VLOOKUP(B2044,汇总!$B$2:$I$2921,8,FALSE),"")</f>
        <v>0</v>
      </c>
      <c r="J2044" s="34" t="s">
        <v>1700</v>
      </c>
      <c r="K2044" s="34" t="s">
        <v>12</v>
      </c>
    </row>
    <row r="2045" ht="33.75" spans="1:11">
      <c r="A2045" s="34">
        <v>2044</v>
      </c>
      <c r="B2045" s="29" t="s">
        <v>2388</v>
      </c>
      <c r="C2045" s="29" t="str">
        <f>VLOOKUP(B2045,教育部大学名单!$B$1:$D$2920,3,FALSE)</f>
        <v>空军装备部</v>
      </c>
      <c r="D2045" s="29" t="s">
        <v>797</v>
      </c>
      <c r="E2045" s="29" t="s">
        <v>802</v>
      </c>
      <c r="F2045" s="36" t="str">
        <f>IFERROR(VLOOKUP(B2045,'985'!$B$2:$D$40,3,FALSE),"")</f>
        <v/>
      </c>
      <c r="G2045" s="32" t="str">
        <f>IFERROR(VLOOKUP(B2045,'211'!$B$2:$D$116,3,FALSE),"")</f>
        <v/>
      </c>
      <c r="H2045" s="32" t="str">
        <f>IFERROR(VLOOKUP(B2045,双一流!$B$2:$D$148,3,FALSE),"")</f>
        <v/>
      </c>
      <c r="I2045" s="32" t="str">
        <f>IFERROR(VLOOKUP(B2045,汇总!$B$2:$I$2921,8,FALSE),"")</f>
        <v>理工</v>
      </c>
      <c r="J2045" s="29" t="s">
        <v>1700</v>
      </c>
      <c r="K2045" s="29" t="s">
        <v>12</v>
      </c>
    </row>
    <row r="2046" ht="50.25" spans="1:11">
      <c r="A2046" s="29">
        <v>2045</v>
      </c>
      <c r="B2046" s="34" t="s">
        <v>2389</v>
      </c>
      <c r="C2046" s="29" t="str">
        <f>VLOOKUP(B2046,教育部大学名单!$B$1:$D$2920,3,FALSE)</f>
        <v>湖南省</v>
      </c>
      <c r="D2046" s="34" t="s">
        <v>797</v>
      </c>
      <c r="E2046" s="34" t="s">
        <v>802</v>
      </c>
      <c r="F2046" s="36" t="str">
        <f>IFERROR(VLOOKUP(B2046,'985'!$B$2:$D$40,3,FALSE),"")</f>
        <v/>
      </c>
      <c r="G2046" s="32" t="str">
        <f>IFERROR(VLOOKUP(B2046,'211'!$B$2:$D$116,3,FALSE),"")</f>
        <v/>
      </c>
      <c r="H2046" s="32" t="str">
        <f>IFERROR(VLOOKUP(B2046,双一流!$B$2:$D$148,3,FALSE),"")</f>
        <v/>
      </c>
      <c r="I2046" s="32" t="str">
        <f>IFERROR(VLOOKUP(B2046,汇总!$B$2:$I$2921,8,FALSE),"")</f>
        <v>艺术</v>
      </c>
      <c r="J2046" s="34" t="s">
        <v>1700</v>
      </c>
      <c r="K2046" s="34" t="s">
        <v>12</v>
      </c>
    </row>
    <row r="2047" ht="33.75" spans="1:11">
      <c r="A2047" s="34">
        <v>2046</v>
      </c>
      <c r="B2047" s="29" t="s">
        <v>2390</v>
      </c>
      <c r="C2047" s="29" t="str">
        <f>VLOOKUP(B2047,教育部大学名单!$B$1:$D$2920,3,FALSE)</f>
        <v>湖南省</v>
      </c>
      <c r="D2047" s="29" t="s">
        <v>797</v>
      </c>
      <c r="E2047" s="29" t="s">
        <v>823</v>
      </c>
      <c r="F2047" s="36" t="str">
        <f>IFERROR(VLOOKUP(B2047,'985'!$B$2:$D$40,3,FALSE),"")</f>
        <v/>
      </c>
      <c r="G2047" s="32" t="str">
        <f>IFERROR(VLOOKUP(B2047,'211'!$B$2:$D$116,3,FALSE),"")</f>
        <v/>
      </c>
      <c r="H2047" s="32" t="str">
        <f>IFERROR(VLOOKUP(B2047,双一流!$B$2:$D$148,3,FALSE),"")</f>
        <v/>
      </c>
      <c r="I2047" s="32" t="str">
        <f>IFERROR(VLOOKUP(B2047,汇总!$B$2:$I$2921,8,FALSE),"")</f>
        <v>综合</v>
      </c>
      <c r="J2047" s="29" t="s">
        <v>1700</v>
      </c>
      <c r="K2047" s="29" t="s">
        <v>12</v>
      </c>
    </row>
    <row r="2048" ht="33.75" spans="1:11">
      <c r="A2048" s="29">
        <v>2047</v>
      </c>
      <c r="B2048" s="34" t="s">
        <v>2391</v>
      </c>
      <c r="C2048" s="29" t="str">
        <f>VLOOKUP(B2048,教育部大学名单!$B$1:$D$2920,3,FALSE)</f>
        <v>湖南省</v>
      </c>
      <c r="D2048" s="34" t="s">
        <v>797</v>
      </c>
      <c r="E2048" s="34" t="s">
        <v>836</v>
      </c>
      <c r="F2048" s="36" t="str">
        <f>IFERROR(VLOOKUP(B2048,'985'!$B$2:$D$40,3,FALSE),"")</f>
        <v/>
      </c>
      <c r="G2048" s="32" t="str">
        <f>IFERROR(VLOOKUP(B2048,'211'!$B$2:$D$116,3,FALSE),"")</f>
        <v/>
      </c>
      <c r="H2048" s="32" t="str">
        <f>IFERROR(VLOOKUP(B2048,双一流!$B$2:$D$148,3,FALSE),"")</f>
        <v/>
      </c>
      <c r="I2048" s="32" t="str">
        <f>IFERROR(VLOOKUP(B2048,汇总!$B$2:$I$2921,8,FALSE),"")</f>
        <v>理工</v>
      </c>
      <c r="J2048" s="34" t="s">
        <v>1700</v>
      </c>
      <c r="K2048" s="34" t="s">
        <v>12</v>
      </c>
    </row>
    <row r="2049" ht="33.75" spans="1:11">
      <c r="A2049" s="34">
        <v>2048</v>
      </c>
      <c r="B2049" s="29" t="s">
        <v>2392</v>
      </c>
      <c r="C2049" s="29" t="str">
        <f>VLOOKUP(B2049,教育部大学名单!$B$1:$D$2920,3,FALSE)</f>
        <v>湖南省</v>
      </c>
      <c r="D2049" s="29" t="s">
        <v>797</v>
      </c>
      <c r="E2049" s="29" t="s">
        <v>802</v>
      </c>
      <c r="F2049" s="36" t="str">
        <f>IFERROR(VLOOKUP(B2049,'985'!$B$2:$D$40,3,FALSE),"")</f>
        <v/>
      </c>
      <c r="G2049" s="32" t="str">
        <f>IFERROR(VLOOKUP(B2049,'211'!$B$2:$D$116,3,FALSE),"")</f>
        <v/>
      </c>
      <c r="H2049" s="32" t="str">
        <f>IFERROR(VLOOKUP(B2049,双一流!$B$2:$D$148,3,FALSE),"")</f>
        <v/>
      </c>
      <c r="I2049" s="32" t="str">
        <f>IFERROR(VLOOKUP(B2049,汇总!$B$2:$I$2921,8,FALSE),"")</f>
        <v>综合</v>
      </c>
      <c r="J2049" s="29" t="s">
        <v>1700</v>
      </c>
      <c r="K2049" s="29" t="s">
        <v>12</v>
      </c>
    </row>
    <row r="2050" ht="50.25" spans="1:11">
      <c r="A2050" s="29">
        <v>2049</v>
      </c>
      <c r="B2050" s="34" t="s">
        <v>2393</v>
      </c>
      <c r="C2050" s="29" t="str">
        <f>VLOOKUP(B2050,教育部大学名单!$B$1:$D$2920,3,FALSE)</f>
        <v>湖南省</v>
      </c>
      <c r="D2050" s="34" t="s">
        <v>797</v>
      </c>
      <c r="E2050" s="34" t="s">
        <v>802</v>
      </c>
      <c r="F2050" s="36" t="str">
        <f>IFERROR(VLOOKUP(B2050,'985'!$B$2:$D$40,3,FALSE),"")</f>
        <v/>
      </c>
      <c r="G2050" s="32" t="str">
        <f>IFERROR(VLOOKUP(B2050,'211'!$B$2:$D$116,3,FALSE),"")</f>
        <v/>
      </c>
      <c r="H2050" s="32" t="str">
        <f>IFERROR(VLOOKUP(B2050,双一流!$B$2:$D$148,3,FALSE),"")</f>
        <v/>
      </c>
      <c r="I2050" s="32" t="str">
        <f>IFERROR(VLOOKUP(B2050,汇总!$B$2:$I$2921,8,FALSE),"")</f>
        <v>农林</v>
      </c>
      <c r="J2050" s="34" t="s">
        <v>1700</v>
      </c>
      <c r="K2050" s="34" t="s">
        <v>12</v>
      </c>
    </row>
    <row r="2051" ht="33.75" spans="1:11">
      <c r="A2051" s="34">
        <v>2050</v>
      </c>
      <c r="B2051" s="29" t="s">
        <v>2394</v>
      </c>
      <c r="C2051" s="29" t="str">
        <f>VLOOKUP(B2051,教育部大学名单!$B$1:$D$2920,3,FALSE)</f>
        <v>湖南省</v>
      </c>
      <c r="D2051" s="29" t="s">
        <v>797</v>
      </c>
      <c r="E2051" s="29" t="s">
        <v>802</v>
      </c>
      <c r="F2051" s="36" t="str">
        <f>IFERROR(VLOOKUP(B2051,'985'!$B$2:$D$40,3,FALSE),"")</f>
        <v/>
      </c>
      <c r="G2051" s="32" t="str">
        <f>IFERROR(VLOOKUP(B2051,'211'!$B$2:$D$116,3,FALSE),"")</f>
        <v/>
      </c>
      <c r="H2051" s="32" t="str">
        <f>IFERROR(VLOOKUP(B2051,双一流!$B$2:$D$148,3,FALSE),"")</f>
        <v/>
      </c>
      <c r="I2051" s="32" t="str">
        <f>IFERROR(VLOOKUP(B2051,汇总!$B$2:$I$2921,8,FALSE),"")</f>
        <v>理工</v>
      </c>
      <c r="J2051" s="29" t="s">
        <v>1700</v>
      </c>
      <c r="K2051" s="29" t="s">
        <v>12</v>
      </c>
    </row>
    <row r="2052" ht="33.75" spans="1:11">
      <c r="A2052" s="29">
        <v>2051</v>
      </c>
      <c r="B2052" s="34" t="s">
        <v>2395</v>
      </c>
      <c r="C2052" s="29" t="str">
        <f>VLOOKUP(B2052,教育部大学名单!$B$1:$D$2920,3,FALSE)</f>
        <v>湖南省</v>
      </c>
      <c r="D2052" s="34" t="s">
        <v>797</v>
      </c>
      <c r="E2052" s="34" t="s">
        <v>802</v>
      </c>
      <c r="F2052" s="36" t="str">
        <f>IFERROR(VLOOKUP(B2052,'985'!$B$2:$D$40,3,FALSE),"")</f>
        <v/>
      </c>
      <c r="G2052" s="32" t="str">
        <f>IFERROR(VLOOKUP(B2052,'211'!$B$2:$D$116,3,FALSE),"")</f>
        <v/>
      </c>
      <c r="H2052" s="32" t="str">
        <f>IFERROR(VLOOKUP(B2052,双一流!$B$2:$D$148,3,FALSE),"")</f>
        <v/>
      </c>
      <c r="I2052" s="32" t="str">
        <f>IFERROR(VLOOKUP(B2052,汇总!$B$2:$I$2921,8,FALSE),"")</f>
        <v>财经</v>
      </c>
      <c r="J2052" s="34" t="s">
        <v>1700</v>
      </c>
      <c r="K2052" s="34" t="s">
        <v>12</v>
      </c>
    </row>
    <row r="2053" ht="33.75" spans="1:11">
      <c r="A2053" s="34">
        <v>2052</v>
      </c>
      <c r="B2053" s="29" t="s">
        <v>2396</v>
      </c>
      <c r="C2053" s="29" t="str">
        <f>VLOOKUP(B2053,教育部大学名单!$B$1:$D$2920,3,FALSE)</f>
        <v>湖南省</v>
      </c>
      <c r="D2053" s="29" t="s">
        <v>797</v>
      </c>
      <c r="E2053" s="29" t="s">
        <v>802</v>
      </c>
      <c r="F2053" s="36" t="str">
        <f>IFERROR(VLOOKUP(B2053,'985'!$B$2:$D$40,3,FALSE),"")</f>
        <v/>
      </c>
      <c r="G2053" s="32" t="str">
        <f>IFERROR(VLOOKUP(B2053,'211'!$B$2:$D$116,3,FALSE),"")</f>
        <v/>
      </c>
      <c r="H2053" s="32" t="str">
        <f>IFERROR(VLOOKUP(B2053,双一流!$B$2:$D$148,3,FALSE),"")</f>
        <v/>
      </c>
      <c r="I2053" s="32" t="str">
        <f>IFERROR(VLOOKUP(B2053,汇总!$B$2:$I$2921,8,FALSE),"")</f>
        <v>体育</v>
      </c>
      <c r="J2053" s="29" t="s">
        <v>1700</v>
      </c>
      <c r="K2053" s="29" t="s">
        <v>12</v>
      </c>
    </row>
    <row r="2054" ht="33.75" spans="1:11">
      <c r="A2054" s="29">
        <v>2053</v>
      </c>
      <c r="B2054" s="34" t="s">
        <v>2397</v>
      </c>
      <c r="C2054" s="29" t="str">
        <f>VLOOKUP(B2054,教育部大学名单!$B$1:$D$2920,3,FALSE)</f>
        <v>湖南省</v>
      </c>
      <c r="D2054" s="34" t="s">
        <v>797</v>
      </c>
      <c r="E2054" s="34" t="s">
        <v>802</v>
      </c>
      <c r="F2054" s="36" t="str">
        <f>IFERROR(VLOOKUP(B2054,'985'!$B$2:$D$40,3,FALSE),"")</f>
        <v/>
      </c>
      <c r="G2054" s="32" t="str">
        <f>IFERROR(VLOOKUP(B2054,'211'!$B$2:$D$116,3,FALSE),"")</f>
        <v/>
      </c>
      <c r="H2054" s="32" t="str">
        <f>IFERROR(VLOOKUP(B2054,双一流!$B$2:$D$148,3,FALSE),"")</f>
        <v/>
      </c>
      <c r="I2054" s="32" t="str">
        <f>IFERROR(VLOOKUP(B2054,汇总!$B$2:$I$2921,8,FALSE),"")</f>
        <v>理工</v>
      </c>
      <c r="J2054" s="34" t="s">
        <v>1700</v>
      </c>
      <c r="K2054" s="34" t="s">
        <v>12</v>
      </c>
    </row>
    <row r="2055" ht="33.75" spans="1:11">
      <c r="A2055" s="34">
        <v>2054</v>
      </c>
      <c r="B2055" s="29" t="s">
        <v>2398</v>
      </c>
      <c r="C2055" s="29" t="str">
        <f>VLOOKUP(B2055,教育部大学名单!$B$1:$D$2920,3,FALSE)</f>
        <v>湖南省</v>
      </c>
      <c r="D2055" s="29" t="s">
        <v>797</v>
      </c>
      <c r="E2055" s="29" t="s">
        <v>802</v>
      </c>
      <c r="F2055" s="36" t="str">
        <f>IFERROR(VLOOKUP(B2055,'985'!$B$2:$D$40,3,FALSE),"")</f>
        <v/>
      </c>
      <c r="G2055" s="32" t="str">
        <f>IFERROR(VLOOKUP(B2055,'211'!$B$2:$D$116,3,FALSE),"")</f>
        <v/>
      </c>
      <c r="H2055" s="32" t="str">
        <f>IFERROR(VLOOKUP(B2055,双一流!$B$2:$D$148,3,FALSE),"")</f>
        <v/>
      </c>
      <c r="I2055" s="32">
        <f>IFERROR(VLOOKUP(B2055,汇总!$B$2:$I$2921,8,FALSE),"")</f>
        <v>0</v>
      </c>
      <c r="J2055" s="29" t="s">
        <v>1700</v>
      </c>
      <c r="K2055" s="29" t="s">
        <v>12</v>
      </c>
    </row>
    <row r="2056" ht="33.75" spans="1:11">
      <c r="A2056" s="29">
        <v>2055</v>
      </c>
      <c r="B2056" s="34" t="s">
        <v>2399</v>
      </c>
      <c r="C2056" s="29" t="str">
        <f>VLOOKUP(B2056,教育部大学名单!$B$1:$D$2920,3,FALSE)</f>
        <v>湖南省</v>
      </c>
      <c r="D2056" s="34" t="s">
        <v>797</v>
      </c>
      <c r="E2056" s="34" t="s">
        <v>802</v>
      </c>
      <c r="F2056" s="36" t="str">
        <f>IFERROR(VLOOKUP(B2056,'985'!$B$2:$D$40,3,FALSE),"")</f>
        <v/>
      </c>
      <c r="G2056" s="32" t="str">
        <f>IFERROR(VLOOKUP(B2056,'211'!$B$2:$D$116,3,FALSE),"")</f>
        <v/>
      </c>
      <c r="H2056" s="32" t="str">
        <f>IFERROR(VLOOKUP(B2056,双一流!$B$2:$D$148,3,FALSE),"")</f>
        <v/>
      </c>
      <c r="I2056" s="32" t="str">
        <f>IFERROR(VLOOKUP(B2056,汇总!$B$2:$I$2921,8,FALSE),"")</f>
        <v>财经</v>
      </c>
      <c r="J2056" s="34" t="s">
        <v>1700</v>
      </c>
      <c r="K2056" s="34" t="s">
        <v>12</v>
      </c>
    </row>
    <row r="2057" ht="33.75" spans="1:11">
      <c r="A2057" s="34">
        <v>2056</v>
      </c>
      <c r="B2057" s="29" t="s">
        <v>2400</v>
      </c>
      <c r="C2057" s="29" t="str">
        <f>VLOOKUP(B2057,教育部大学名单!$B$1:$D$2920,3,FALSE)</f>
        <v>湖南省</v>
      </c>
      <c r="D2057" s="29" t="s">
        <v>797</v>
      </c>
      <c r="E2057" s="29" t="s">
        <v>802</v>
      </c>
      <c r="F2057" s="36" t="str">
        <f>IFERROR(VLOOKUP(B2057,'985'!$B$2:$D$40,3,FALSE),"")</f>
        <v/>
      </c>
      <c r="G2057" s="32" t="str">
        <f>IFERROR(VLOOKUP(B2057,'211'!$B$2:$D$116,3,FALSE),"")</f>
        <v/>
      </c>
      <c r="H2057" s="32" t="str">
        <f>IFERROR(VLOOKUP(B2057,双一流!$B$2:$D$148,3,FALSE),"")</f>
        <v/>
      </c>
      <c r="I2057" s="32" t="str">
        <f>IFERROR(VLOOKUP(B2057,汇总!$B$2:$I$2921,8,FALSE),"")</f>
        <v>综合</v>
      </c>
      <c r="J2057" s="29" t="s">
        <v>1700</v>
      </c>
      <c r="K2057" s="29" t="s">
        <v>12</v>
      </c>
    </row>
    <row r="2058" ht="33.75" spans="1:11">
      <c r="A2058" s="29">
        <v>2057</v>
      </c>
      <c r="B2058" s="34" t="s">
        <v>2401</v>
      </c>
      <c r="C2058" s="29" t="str">
        <f>VLOOKUP(B2058,教育部大学名单!$B$1:$D$2920,3,FALSE)</f>
        <v>湖南省</v>
      </c>
      <c r="D2058" s="34" t="s">
        <v>797</v>
      </c>
      <c r="E2058" s="34" t="s">
        <v>817</v>
      </c>
      <c r="F2058" s="36" t="str">
        <f>IFERROR(VLOOKUP(B2058,'985'!$B$2:$D$40,3,FALSE),"")</f>
        <v/>
      </c>
      <c r="G2058" s="32" t="str">
        <f>IFERROR(VLOOKUP(B2058,'211'!$B$2:$D$116,3,FALSE),"")</f>
        <v/>
      </c>
      <c r="H2058" s="32" t="str">
        <f>IFERROR(VLOOKUP(B2058,双一流!$B$2:$D$148,3,FALSE),"")</f>
        <v/>
      </c>
      <c r="I2058" s="32" t="str">
        <f>IFERROR(VLOOKUP(B2058,汇总!$B$2:$I$2921,8,FALSE),"")</f>
        <v>综合</v>
      </c>
      <c r="J2058" s="34" t="s">
        <v>1700</v>
      </c>
      <c r="K2058" s="34" t="s">
        <v>12</v>
      </c>
    </row>
    <row r="2059" ht="33.75" spans="1:11">
      <c r="A2059" s="34">
        <v>2058</v>
      </c>
      <c r="B2059" s="29" t="s">
        <v>2402</v>
      </c>
      <c r="C2059" s="29" t="str">
        <f>VLOOKUP(B2059,教育部大学名单!$B$1:$D$2920,3,FALSE)</f>
        <v>湖南省</v>
      </c>
      <c r="D2059" s="29" t="s">
        <v>797</v>
      </c>
      <c r="E2059" s="29" t="s">
        <v>802</v>
      </c>
      <c r="F2059" s="36" t="str">
        <f>IFERROR(VLOOKUP(B2059,'985'!$B$2:$D$40,3,FALSE),"")</f>
        <v/>
      </c>
      <c r="G2059" s="32" t="str">
        <f>IFERROR(VLOOKUP(B2059,'211'!$B$2:$D$116,3,FALSE),"")</f>
        <v/>
      </c>
      <c r="H2059" s="32" t="str">
        <f>IFERROR(VLOOKUP(B2059,双一流!$B$2:$D$148,3,FALSE),"")</f>
        <v/>
      </c>
      <c r="I2059" s="32" t="str">
        <f>IFERROR(VLOOKUP(B2059,汇总!$B$2:$I$2921,8,FALSE),"")</f>
        <v>政法</v>
      </c>
      <c r="J2059" s="29" t="s">
        <v>1700</v>
      </c>
      <c r="K2059" s="29" t="s">
        <v>12</v>
      </c>
    </row>
    <row r="2060" ht="50.25" spans="1:11">
      <c r="A2060" s="29">
        <v>2059</v>
      </c>
      <c r="B2060" s="34" t="s">
        <v>2403</v>
      </c>
      <c r="C2060" s="29" t="str">
        <f>VLOOKUP(B2060,教育部大学名单!$B$1:$D$2920,3,FALSE)</f>
        <v>湖南省</v>
      </c>
      <c r="D2060" s="34" t="s">
        <v>797</v>
      </c>
      <c r="E2060" s="34" t="s">
        <v>802</v>
      </c>
      <c r="F2060" s="36" t="str">
        <f>IFERROR(VLOOKUP(B2060,'985'!$B$2:$D$40,3,FALSE),"")</f>
        <v/>
      </c>
      <c r="G2060" s="32" t="str">
        <f>IFERROR(VLOOKUP(B2060,'211'!$B$2:$D$116,3,FALSE),"")</f>
        <v/>
      </c>
      <c r="H2060" s="32" t="str">
        <f>IFERROR(VLOOKUP(B2060,双一流!$B$2:$D$148,3,FALSE),"")</f>
        <v/>
      </c>
      <c r="I2060" s="32" t="str">
        <f>IFERROR(VLOOKUP(B2060,汇总!$B$2:$I$2921,8,FALSE),"")</f>
        <v>综合</v>
      </c>
      <c r="J2060" s="34" t="s">
        <v>1700</v>
      </c>
      <c r="K2060" s="34" t="s">
        <v>12</v>
      </c>
    </row>
    <row r="2061" ht="50.25" spans="1:11">
      <c r="A2061" s="34">
        <v>2060</v>
      </c>
      <c r="B2061" s="29" t="s">
        <v>2404</v>
      </c>
      <c r="C2061" s="29" t="str">
        <f>VLOOKUP(B2061,教育部大学名单!$B$1:$D$2920,3,FALSE)</f>
        <v>湖南省</v>
      </c>
      <c r="D2061" s="29" t="s">
        <v>797</v>
      </c>
      <c r="E2061" s="29" t="s">
        <v>815</v>
      </c>
      <c r="F2061" s="36" t="str">
        <f>IFERROR(VLOOKUP(B2061,'985'!$B$2:$D$40,3,FALSE),"")</f>
        <v/>
      </c>
      <c r="G2061" s="32" t="str">
        <f>IFERROR(VLOOKUP(B2061,'211'!$B$2:$D$116,3,FALSE),"")</f>
        <v/>
      </c>
      <c r="H2061" s="32" t="str">
        <f>IFERROR(VLOOKUP(B2061,双一流!$B$2:$D$148,3,FALSE),"")</f>
        <v/>
      </c>
      <c r="I2061" s="32" t="str">
        <f>IFERROR(VLOOKUP(B2061,汇总!$B$2:$I$2921,8,FALSE),"")</f>
        <v>农林</v>
      </c>
      <c r="J2061" s="29" t="s">
        <v>1700</v>
      </c>
      <c r="K2061" s="29" t="s">
        <v>12</v>
      </c>
    </row>
    <row r="2062" ht="33.75" spans="1:11">
      <c r="A2062" s="29">
        <v>2061</v>
      </c>
      <c r="B2062" s="34" t="s">
        <v>2405</v>
      </c>
      <c r="C2062" s="29" t="str">
        <f>VLOOKUP(B2062,教育部大学名单!$B$1:$D$2920,3,FALSE)</f>
        <v>湖南省</v>
      </c>
      <c r="D2062" s="34" t="s">
        <v>797</v>
      </c>
      <c r="E2062" s="34" t="s">
        <v>802</v>
      </c>
      <c r="F2062" s="36" t="str">
        <f>IFERROR(VLOOKUP(B2062,'985'!$B$2:$D$40,3,FALSE),"")</f>
        <v/>
      </c>
      <c r="G2062" s="32" t="str">
        <f>IFERROR(VLOOKUP(B2062,'211'!$B$2:$D$116,3,FALSE),"")</f>
        <v/>
      </c>
      <c r="H2062" s="32" t="str">
        <f>IFERROR(VLOOKUP(B2062,双一流!$B$2:$D$148,3,FALSE),"")</f>
        <v/>
      </c>
      <c r="I2062" s="32" t="str">
        <f>IFERROR(VLOOKUP(B2062,汇总!$B$2:$I$2921,8,FALSE),"")</f>
        <v>理工</v>
      </c>
      <c r="J2062" s="34" t="s">
        <v>1700</v>
      </c>
      <c r="K2062" s="34" t="s">
        <v>12</v>
      </c>
    </row>
    <row r="2063" ht="33.75" spans="1:11">
      <c r="A2063" s="34">
        <v>2062</v>
      </c>
      <c r="B2063" s="29" t="s">
        <v>2406</v>
      </c>
      <c r="C2063" s="29" t="str">
        <f>VLOOKUP(B2063,教育部大学名单!$B$1:$D$2920,3,FALSE)</f>
        <v>湖南省</v>
      </c>
      <c r="D2063" s="29" t="s">
        <v>797</v>
      </c>
      <c r="E2063" s="29" t="s">
        <v>798</v>
      </c>
      <c r="F2063" s="36" t="str">
        <f>IFERROR(VLOOKUP(B2063,'985'!$B$2:$D$40,3,FALSE),"")</f>
        <v/>
      </c>
      <c r="G2063" s="32" t="str">
        <f>IFERROR(VLOOKUP(B2063,'211'!$B$2:$D$116,3,FALSE),"")</f>
        <v/>
      </c>
      <c r="H2063" s="32" t="str">
        <f>IFERROR(VLOOKUP(B2063,双一流!$B$2:$D$148,3,FALSE),"")</f>
        <v/>
      </c>
      <c r="I2063" s="32" t="str">
        <f>IFERROR(VLOOKUP(B2063,汇总!$B$2:$I$2921,8,FALSE),"")</f>
        <v>医药</v>
      </c>
      <c r="J2063" s="29" t="s">
        <v>1700</v>
      </c>
      <c r="K2063" s="29" t="s">
        <v>12</v>
      </c>
    </row>
    <row r="2064" ht="33.75" spans="1:11">
      <c r="A2064" s="29">
        <v>2063</v>
      </c>
      <c r="B2064" s="34" t="s">
        <v>2407</v>
      </c>
      <c r="C2064" s="29" t="str">
        <f>VLOOKUP(B2064,教育部大学名单!$B$1:$D$2920,3,FALSE)</f>
        <v>湖南省</v>
      </c>
      <c r="D2064" s="34" t="s">
        <v>797</v>
      </c>
      <c r="E2064" s="34" t="s">
        <v>813</v>
      </c>
      <c r="F2064" s="36" t="str">
        <f>IFERROR(VLOOKUP(B2064,'985'!$B$2:$D$40,3,FALSE),"")</f>
        <v/>
      </c>
      <c r="G2064" s="32" t="str">
        <f>IFERROR(VLOOKUP(B2064,'211'!$B$2:$D$116,3,FALSE),"")</f>
        <v/>
      </c>
      <c r="H2064" s="32" t="str">
        <f>IFERROR(VLOOKUP(B2064,双一流!$B$2:$D$148,3,FALSE),"")</f>
        <v/>
      </c>
      <c r="I2064" s="32" t="str">
        <f>IFERROR(VLOOKUP(B2064,汇总!$B$2:$I$2921,8,FALSE),"")</f>
        <v>综合</v>
      </c>
      <c r="J2064" s="34" t="s">
        <v>1700</v>
      </c>
      <c r="K2064" s="34" t="s">
        <v>12</v>
      </c>
    </row>
    <row r="2065" ht="33.75" spans="1:11">
      <c r="A2065" s="34">
        <v>2064</v>
      </c>
      <c r="B2065" s="29" t="s">
        <v>2408</v>
      </c>
      <c r="C2065" s="29" t="str">
        <f>VLOOKUP(B2065,教育部大学名单!$B$1:$D$2920,3,FALSE)</f>
        <v>湖南省</v>
      </c>
      <c r="D2065" s="29" t="s">
        <v>797</v>
      </c>
      <c r="E2065" s="29" t="s">
        <v>825</v>
      </c>
      <c r="F2065" s="36" t="str">
        <f>IFERROR(VLOOKUP(B2065,'985'!$B$2:$D$40,3,FALSE),"")</f>
        <v/>
      </c>
      <c r="G2065" s="32" t="str">
        <f>IFERROR(VLOOKUP(B2065,'211'!$B$2:$D$116,3,FALSE),"")</f>
        <v/>
      </c>
      <c r="H2065" s="32" t="str">
        <f>IFERROR(VLOOKUP(B2065,双一流!$B$2:$D$148,3,FALSE),"")</f>
        <v/>
      </c>
      <c r="I2065" s="32" t="str">
        <f>IFERROR(VLOOKUP(B2065,汇总!$B$2:$I$2921,8,FALSE),"")</f>
        <v>综合</v>
      </c>
      <c r="J2065" s="29" t="s">
        <v>1700</v>
      </c>
      <c r="K2065" s="29" t="s">
        <v>12</v>
      </c>
    </row>
    <row r="2066" ht="50.25" spans="1:11">
      <c r="A2066" s="29">
        <v>2065</v>
      </c>
      <c r="B2066" s="34" t="s">
        <v>2409</v>
      </c>
      <c r="C2066" s="29" t="str">
        <f>VLOOKUP(B2066,教育部大学名单!$B$1:$D$2920,3,FALSE)</f>
        <v>湖南省</v>
      </c>
      <c r="D2066" s="34" t="s">
        <v>797</v>
      </c>
      <c r="E2066" s="34" t="s">
        <v>1546</v>
      </c>
      <c r="F2066" s="36" t="str">
        <f>IFERROR(VLOOKUP(B2066,'985'!$B$2:$D$40,3,FALSE),"")</f>
        <v/>
      </c>
      <c r="G2066" s="32" t="str">
        <f>IFERROR(VLOOKUP(B2066,'211'!$B$2:$D$116,3,FALSE),"")</f>
        <v/>
      </c>
      <c r="H2066" s="32" t="str">
        <f>IFERROR(VLOOKUP(B2066,双一流!$B$2:$D$148,3,FALSE),"")</f>
        <v/>
      </c>
      <c r="I2066" s="32" t="str">
        <f>IFERROR(VLOOKUP(B2066,汇总!$B$2:$I$2921,8,FALSE),"")</f>
        <v>理工</v>
      </c>
      <c r="J2066" s="34" t="s">
        <v>1700</v>
      </c>
      <c r="K2066" s="34" t="s">
        <v>12</v>
      </c>
    </row>
    <row r="2067" ht="50.25" spans="1:11">
      <c r="A2067" s="34">
        <v>2066</v>
      </c>
      <c r="B2067" s="29" t="s">
        <v>2410</v>
      </c>
      <c r="C2067" s="29" t="str">
        <f>VLOOKUP(B2067,教育部大学名单!$B$1:$D$2920,3,FALSE)</f>
        <v>湖南省</v>
      </c>
      <c r="D2067" s="29" t="s">
        <v>797</v>
      </c>
      <c r="E2067" s="29" t="s">
        <v>802</v>
      </c>
      <c r="F2067" s="36" t="str">
        <f>IFERROR(VLOOKUP(B2067,'985'!$B$2:$D$40,3,FALSE),"")</f>
        <v/>
      </c>
      <c r="G2067" s="32" t="str">
        <f>IFERROR(VLOOKUP(B2067,'211'!$B$2:$D$116,3,FALSE),"")</f>
        <v/>
      </c>
      <c r="H2067" s="32" t="str">
        <f>IFERROR(VLOOKUP(B2067,双一流!$B$2:$D$148,3,FALSE),"")</f>
        <v/>
      </c>
      <c r="I2067" s="32" t="str">
        <f>IFERROR(VLOOKUP(B2067,汇总!$B$2:$I$2921,8,FALSE),"")</f>
        <v>理工</v>
      </c>
      <c r="J2067" s="29" t="s">
        <v>1700</v>
      </c>
      <c r="K2067" s="29" t="s">
        <v>12</v>
      </c>
    </row>
    <row r="2068" ht="33.75" spans="1:11">
      <c r="A2068" s="29">
        <v>2067</v>
      </c>
      <c r="B2068" s="34" t="s">
        <v>2411</v>
      </c>
      <c r="C2068" s="29" t="str">
        <f>VLOOKUP(B2068,教育部大学名单!$B$1:$D$2920,3,FALSE)</f>
        <v>湖南省</v>
      </c>
      <c r="D2068" s="34" t="s">
        <v>797</v>
      </c>
      <c r="E2068" s="34" t="s">
        <v>802</v>
      </c>
      <c r="F2068" s="36" t="str">
        <f>IFERROR(VLOOKUP(B2068,'985'!$B$2:$D$40,3,FALSE),"")</f>
        <v/>
      </c>
      <c r="G2068" s="32" t="str">
        <f>IFERROR(VLOOKUP(B2068,'211'!$B$2:$D$116,3,FALSE),"")</f>
        <v/>
      </c>
      <c r="H2068" s="32" t="str">
        <f>IFERROR(VLOOKUP(B2068,双一流!$B$2:$D$148,3,FALSE),"")</f>
        <v/>
      </c>
      <c r="I2068" s="32" t="str">
        <f>IFERROR(VLOOKUP(B2068,汇总!$B$2:$I$2921,8,FALSE),"")</f>
        <v>艺术</v>
      </c>
      <c r="J2068" s="34" t="s">
        <v>1700</v>
      </c>
      <c r="K2068" s="34" t="s">
        <v>12</v>
      </c>
    </row>
    <row r="2069" ht="33.75" spans="1:11">
      <c r="A2069" s="34">
        <v>2068</v>
      </c>
      <c r="B2069" s="29" t="s">
        <v>2412</v>
      </c>
      <c r="C2069" s="29" t="str">
        <f>VLOOKUP(B2069,教育部大学名单!$B$1:$D$2920,3,FALSE)</f>
        <v>湖南省</v>
      </c>
      <c r="D2069" s="29" t="s">
        <v>797</v>
      </c>
      <c r="E2069" s="29" t="s">
        <v>802</v>
      </c>
      <c r="F2069" s="36" t="str">
        <f>IFERROR(VLOOKUP(B2069,'985'!$B$2:$D$40,3,FALSE),"")</f>
        <v/>
      </c>
      <c r="G2069" s="32" t="str">
        <f>IFERROR(VLOOKUP(B2069,'211'!$B$2:$D$116,3,FALSE),"")</f>
        <v/>
      </c>
      <c r="H2069" s="32" t="str">
        <f>IFERROR(VLOOKUP(B2069,双一流!$B$2:$D$148,3,FALSE),"")</f>
        <v/>
      </c>
      <c r="I2069" s="32" t="str">
        <f>IFERROR(VLOOKUP(B2069,汇总!$B$2:$I$2921,8,FALSE),"")</f>
        <v>理工</v>
      </c>
      <c r="J2069" s="29" t="s">
        <v>1700</v>
      </c>
      <c r="K2069" s="29" t="s">
        <v>12</v>
      </c>
    </row>
    <row r="2070" ht="33.75" spans="1:11">
      <c r="A2070" s="29">
        <v>2069</v>
      </c>
      <c r="B2070" s="34" t="s">
        <v>2413</v>
      </c>
      <c r="C2070" s="29" t="str">
        <f>VLOOKUP(B2070,教育部大学名单!$B$1:$D$2920,3,FALSE)</f>
        <v>湖南省</v>
      </c>
      <c r="D2070" s="34" t="s">
        <v>797</v>
      </c>
      <c r="E2070" s="34" t="s">
        <v>802</v>
      </c>
      <c r="F2070" s="36" t="str">
        <f>IFERROR(VLOOKUP(B2070,'985'!$B$2:$D$40,3,FALSE),"")</f>
        <v/>
      </c>
      <c r="G2070" s="32" t="str">
        <f>IFERROR(VLOOKUP(B2070,'211'!$B$2:$D$116,3,FALSE),"")</f>
        <v/>
      </c>
      <c r="H2070" s="32" t="str">
        <f>IFERROR(VLOOKUP(B2070,双一流!$B$2:$D$148,3,FALSE),"")</f>
        <v/>
      </c>
      <c r="I2070" s="32" t="str">
        <f>IFERROR(VLOOKUP(B2070,汇总!$B$2:$I$2921,8,FALSE),"")</f>
        <v>综合</v>
      </c>
      <c r="J2070" s="34" t="s">
        <v>1700</v>
      </c>
      <c r="K2070" s="34" t="s">
        <v>12</v>
      </c>
    </row>
    <row r="2071" ht="33.75" spans="1:11">
      <c r="A2071" s="34">
        <v>2070</v>
      </c>
      <c r="B2071" s="29" t="s">
        <v>2414</v>
      </c>
      <c r="C2071" s="29" t="str">
        <f>VLOOKUP(B2071,教育部大学名单!$B$1:$D$2920,3,FALSE)</f>
        <v>湖南省</v>
      </c>
      <c r="D2071" s="29" t="s">
        <v>797</v>
      </c>
      <c r="E2071" s="29" t="s">
        <v>819</v>
      </c>
      <c r="F2071" s="36" t="str">
        <f>IFERROR(VLOOKUP(B2071,'985'!$B$2:$D$40,3,FALSE),"")</f>
        <v/>
      </c>
      <c r="G2071" s="32" t="str">
        <f>IFERROR(VLOOKUP(B2071,'211'!$B$2:$D$116,3,FALSE),"")</f>
        <v/>
      </c>
      <c r="H2071" s="32" t="str">
        <f>IFERROR(VLOOKUP(B2071,双一流!$B$2:$D$148,3,FALSE),"")</f>
        <v/>
      </c>
      <c r="I2071" s="32" t="str">
        <f>IFERROR(VLOOKUP(B2071,汇总!$B$2:$I$2921,8,FALSE),"")</f>
        <v>综合</v>
      </c>
      <c r="J2071" s="29" t="s">
        <v>1700</v>
      </c>
      <c r="K2071" s="29" t="s">
        <v>12</v>
      </c>
    </row>
    <row r="2072" ht="33.75" spans="1:11">
      <c r="A2072" s="29">
        <v>2071</v>
      </c>
      <c r="B2072" s="34" t="s">
        <v>2415</v>
      </c>
      <c r="C2072" s="29" t="str">
        <f>VLOOKUP(B2072,教育部大学名单!$B$1:$D$2920,3,FALSE)</f>
        <v>湖南省</v>
      </c>
      <c r="D2072" s="34" t="s">
        <v>797</v>
      </c>
      <c r="E2072" s="34" t="s">
        <v>811</v>
      </c>
      <c r="F2072" s="36" t="str">
        <f>IFERROR(VLOOKUP(B2072,'985'!$B$2:$D$40,3,FALSE),"")</f>
        <v/>
      </c>
      <c r="G2072" s="32" t="str">
        <f>IFERROR(VLOOKUP(B2072,'211'!$B$2:$D$116,3,FALSE),"")</f>
        <v/>
      </c>
      <c r="H2072" s="32" t="str">
        <f>IFERROR(VLOOKUP(B2072,双一流!$B$2:$D$148,3,FALSE),"")</f>
        <v/>
      </c>
      <c r="I2072" s="32" t="str">
        <f>IFERROR(VLOOKUP(B2072,汇总!$B$2:$I$2921,8,FALSE),"")</f>
        <v>综合</v>
      </c>
      <c r="J2072" s="34" t="s">
        <v>1700</v>
      </c>
      <c r="K2072" s="34" t="s">
        <v>12</v>
      </c>
    </row>
    <row r="2073" ht="33.75" spans="1:11">
      <c r="A2073" s="34">
        <v>2072</v>
      </c>
      <c r="B2073" s="29" t="s">
        <v>2416</v>
      </c>
      <c r="C2073" s="29" t="str">
        <f>VLOOKUP(B2073,教育部大学名单!$B$1:$D$2920,3,FALSE)</f>
        <v>湖南省</v>
      </c>
      <c r="D2073" s="29" t="s">
        <v>797</v>
      </c>
      <c r="E2073" s="29" t="s">
        <v>821</v>
      </c>
      <c r="F2073" s="36" t="str">
        <f>IFERROR(VLOOKUP(B2073,'985'!$B$2:$D$40,3,FALSE),"")</f>
        <v/>
      </c>
      <c r="G2073" s="32" t="str">
        <f>IFERROR(VLOOKUP(B2073,'211'!$B$2:$D$116,3,FALSE),"")</f>
        <v/>
      </c>
      <c r="H2073" s="32" t="str">
        <f>IFERROR(VLOOKUP(B2073,双一流!$B$2:$D$148,3,FALSE),"")</f>
        <v/>
      </c>
      <c r="I2073" s="32" t="str">
        <f>IFERROR(VLOOKUP(B2073,汇总!$B$2:$I$2921,8,FALSE),"")</f>
        <v>综合</v>
      </c>
      <c r="J2073" s="29" t="s">
        <v>1700</v>
      </c>
      <c r="K2073" s="29" t="s">
        <v>12</v>
      </c>
    </row>
    <row r="2074" ht="33.75" spans="1:11">
      <c r="A2074" s="29">
        <v>2073</v>
      </c>
      <c r="B2074" s="34" t="s">
        <v>2417</v>
      </c>
      <c r="C2074" s="29" t="str">
        <f>VLOOKUP(B2074,教育部大学名单!$B$1:$D$2920,3,FALSE)</f>
        <v>湖南省</v>
      </c>
      <c r="D2074" s="34" t="s">
        <v>797</v>
      </c>
      <c r="E2074" s="34" t="s">
        <v>836</v>
      </c>
      <c r="F2074" s="36" t="str">
        <f>IFERROR(VLOOKUP(B2074,'985'!$B$2:$D$40,3,FALSE),"")</f>
        <v/>
      </c>
      <c r="G2074" s="32" t="str">
        <f>IFERROR(VLOOKUP(B2074,'211'!$B$2:$D$116,3,FALSE),"")</f>
        <v/>
      </c>
      <c r="H2074" s="32" t="str">
        <f>IFERROR(VLOOKUP(B2074,双一流!$B$2:$D$148,3,FALSE),"")</f>
        <v/>
      </c>
      <c r="I2074" s="32" t="str">
        <f>IFERROR(VLOOKUP(B2074,汇总!$B$2:$I$2921,8,FALSE),"")</f>
        <v>理工</v>
      </c>
      <c r="J2074" s="34" t="s">
        <v>1700</v>
      </c>
      <c r="K2074" s="34" t="s">
        <v>12</v>
      </c>
    </row>
    <row r="2075" ht="33.75" spans="1:11">
      <c r="A2075" s="34">
        <v>2074</v>
      </c>
      <c r="B2075" s="29" t="s">
        <v>2418</v>
      </c>
      <c r="C2075" s="29" t="str">
        <f>VLOOKUP(B2075,教育部大学名单!$B$1:$D$2920,3,FALSE)</f>
        <v>湖南省</v>
      </c>
      <c r="D2075" s="29" t="s">
        <v>797</v>
      </c>
      <c r="E2075" s="29" t="s">
        <v>798</v>
      </c>
      <c r="F2075" s="36" t="str">
        <f>IFERROR(VLOOKUP(B2075,'985'!$B$2:$D$40,3,FALSE),"")</f>
        <v/>
      </c>
      <c r="G2075" s="32" t="str">
        <f>IFERROR(VLOOKUP(B2075,'211'!$B$2:$D$116,3,FALSE),"")</f>
        <v/>
      </c>
      <c r="H2075" s="32" t="str">
        <f>IFERROR(VLOOKUP(B2075,双一流!$B$2:$D$148,3,FALSE),"")</f>
        <v/>
      </c>
      <c r="I2075" s="32" t="str">
        <f>IFERROR(VLOOKUP(B2075,汇总!$B$2:$I$2921,8,FALSE),"")</f>
        <v>理工</v>
      </c>
      <c r="J2075" s="29" t="s">
        <v>1700</v>
      </c>
      <c r="K2075" s="29" t="s">
        <v>12</v>
      </c>
    </row>
    <row r="2076" ht="50.25" spans="1:11">
      <c r="A2076" s="29">
        <v>2075</v>
      </c>
      <c r="B2076" s="34" t="s">
        <v>2419</v>
      </c>
      <c r="C2076" s="29" t="str">
        <f>VLOOKUP(B2076,教育部大学名单!$B$1:$D$2920,3,FALSE)</f>
        <v>湖南省</v>
      </c>
      <c r="D2076" s="34" t="s">
        <v>797</v>
      </c>
      <c r="E2076" s="34" t="s">
        <v>811</v>
      </c>
      <c r="F2076" s="36" t="str">
        <f>IFERROR(VLOOKUP(B2076,'985'!$B$2:$D$40,3,FALSE),"")</f>
        <v/>
      </c>
      <c r="G2076" s="32" t="str">
        <f>IFERROR(VLOOKUP(B2076,'211'!$B$2:$D$116,3,FALSE),"")</f>
        <v/>
      </c>
      <c r="H2076" s="32" t="str">
        <f>IFERROR(VLOOKUP(B2076,双一流!$B$2:$D$148,3,FALSE),"")</f>
        <v/>
      </c>
      <c r="I2076" s="32" t="str">
        <f>IFERROR(VLOOKUP(B2076,汇总!$B$2:$I$2921,8,FALSE),"")</f>
        <v>理工</v>
      </c>
      <c r="J2076" s="34" t="s">
        <v>1700</v>
      </c>
      <c r="K2076" s="34" t="s">
        <v>12</v>
      </c>
    </row>
    <row r="2077" ht="50.25" spans="1:11">
      <c r="A2077" s="34">
        <v>2076</v>
      </c>
      <c r="B2077" s="29" t="s">
        <v>2420</v>
      </c>
      <c r="C2077" s="29" t="str">
        <f>VLOOKUP(B2077,教育部大学名单!$B$1:$D$2920,3,FALSE)</f>
        <v>湖南省</v>
      </c>
      <c r="D2077" s="29" t="s">
        <v>797</v>
      </c>
      <c r="E2077" s="29" t="s">
        <v>836</v>
      </c>
      <c r="F2077" s="36" t="str">
        <f>IFERROR(VLOOKUP(B2077,'985'!$B$2:$D$40,3,FALSE),"")</f>
        <v/>
      </c>
      <c r="G2077" s="32" t="str">
        <f>IFERROR(VLOOKUP(B2077,'211'!$B$2:$D$116,3,FALSE),"")</f>
        <v/>
      </c>
      <c r="H2077" s="32" t="str">
        <f>IFERROR(VLOOKUP(B2077,双一流!$B$2:$D$148,3,FALSE),"")</f>
        <v/>
      </c>
      <c r="I2077" s="32" t="str">
        <f>IFERROR(VLOOKUP(B2077,汇总!$B$2:$I$2921,8,FALSE),"")</f>
        <v>医药</v>
      </c>
      <c r="J2077" s="29" t="s">
        <v>1700</v>
      </c>
      <c r="K2077" s="29" t="s">
        <v>12</v>
      </c>
    </row>
    <row r="2078" ht="33.75" spans="1:11">
      <c r="A2078" s="29">
        <v>2077</v>
      </c>
      <c r="B2078" s="34" t="s">
        <v>2421</v>
      </c>
      <c r="C2078" s="29" t="str">
        <f>VLOOKUP(B2078,教育部大学名单!$B$1:$D$2920,3,FALSE)</f>
        <v>湖南省</v>
      </c>
      <c r="D2078" s="34" t="s">
        <v>797</v>
      </c>
      <c r="E2078" s="34" t="s">
        <v>811</v>
      </c>
      <c r="F2078" s="36" t="str">
        <f>IFERROR(VLOOKUP(B2078,'985'!$B$2:$D$40,3,FALSE),"")</f>
        <v/>
      </c>
      <c r="G2078" s="32" t="str">
        <f>IFERROR(VLOOKUP(B2078,'211'!$B$2:$D$116,3,FALSE),"")</f>
        <v/>
      </c>
      <c r="H2078" s="32" t="str">
        <f>IFERROR(VLOOKUP(B2078,双一流!$B$2:$D$148,3,FALSE),"")</f>
        <v/>
      </c>
      <c r="I2078" s="32" t="str">
        <f>IFERROR(VLOOKUP(B2078,汇总!$B$2:$I$2921,8,FALSE),"")</f>
        <v>民族</v>
      </c>
      <c r="J2078" s="34" t="s">
        <v>1700</v>
      </c>
      <c r="K2078" s="34" t="s">
        <v>12</v>
      </c>
    </row>
    <row r="2079" ht="33.75" spans="1:11">
      <c r="A2079" s="34">
        <v>2078</v>
      </c>
      <c r="B2079" s="29" t="s">
        <v>2422</v>
      </c>
      <c r="C2079" s="29" t="str">
        <f>VLOOKUP(B2079,教育部大学名单!$B$1:$D$2920,3,FALSE)</f>
        <v>湖南省</v>
      </c>
      <c r="D2079" s="29" t="s">
        <v>797</v>
      </c>
      <c r="E2079" s="29" t="s">
        <v>800</v>
      </c>
      <c r="F2079" s="36" t="str">
        <f>IFERROR(VLOOKUP(B2079,'985'!$B$2:$D$40,3,FALSE),"")</f>
        <v/>
      </c>
      <c r="G2079" s="32" t="str">
        <f>IFERROR(VLOOKUP(B2079,'211'!$B$2:$D$116,3,FALSE),"")</f>
        <v/>
      </c>
      <c r="H2079" s="32" t="str">
        <f>IFERROR(VLOOKUP(B2079,双一流!$B$2:$D$148,3,FALSE),"")</f>
        <v/>
      </c>
      <c r="I2079" s="32" t="str">
        <f>IFERROR(VLOOKUP(B2079,汇总!$B$2:$I$2921,8,FALSE),"")</f>
        <v>民族</v>
      </c>
      <c r="J2079" s="29" t="s">
        <v>1700</v>
      </c>
      <c r="K2079" s="29" t="s">
        <v>12</v>
      </c>
    </row>
    <row r="2080" ht="50.25" spans="1:11">
      <c r="A2080" s="29">
        <v>2079</v>
      </c>
      <c r="B2080" s="34" t="s">
        <v>2423</v>
      </c>
      <c r="C2080" s="29" t="str">
        <f>VLOOKUP(B2080,教育部大学名单!$B$1:$D$2920,3,FALSE)</f>
        <v>湖南省</v>
      </c>
      <c r="D2080" s="34" t="s">
        <v>797</v>
      </c>
      <c r="E2080" s="34" t="s">
        <v>815</v>
      </c>
      <c r="F2080" s="36" t="str">
        <f>IFERROR(VLOOKUP(B2080,'985'!$B$2:$D$40,3,FALSE),"")</f>
        <v/>
      </c>
      <c r="G2080" s="32" t="str">
        <f>IFERROR(VLOOKUP(B2080,'211'!$B$2:$D$116,3,FALSE),"")</f>
        <v/>
      </c>
      <c r="H2080" s="32" t="str">
        <f>IFERROR(VLOOKUP(B2080,双一流!$B$2:$D$148,3,FALSE),"")</f>
        <v/>
      </c>
      <c r="I2080" s="32" t="str">
        <f>IFERROR(VLOOKUP(B2080,汇总!$B$2:$I$2921,8,FALSE),"")</f>
        <v>综合</v>
      </c>
      <c r="J2080" s="34" t="s">
        <v>1700</v>
      </c>
      <c r="K2080" s="34" t="s">
        <v>12</v>
      </c>
    </row>
    <row r="2081" ht="33.75" spans="1:11">
      <c r="A2081" s="34">
        <v>2080</v>
      </c>
      <c r="B2081" s="29" t="s">
        <v>2424</v>
      </c>
      <c r="C2081" s="29" t="str">
        <f>VLOOKUP(B2081,教育部大学名单!$B$1:$D$2920,3,FALSE)</f>
        <v>湖南省</v>
      </c>
      <c r="D2081" s="29" t="s">
        <v>797</v>
      </c>
      <c r="E2081" s="29" t="s">
        <v>831</v>
      </c>
      <c r="F2081" s="36" t="str">
        <f>IFERROR(VLOOKUP(B2081,'985'!$B$2:$D$40,3,FALSE),"")</f>
        <v/>
      </c>
      <c r="G2081" s="32" t="str">
        <f>IFERROR(VLOOKUP(B2081,'211'!$B$2:$D$116,3,FALSE),"")</f>
        <v/>
      </c>
      <c r="H2081" s="32" t="str">
        <f>IFERROR(VLOOKUP(B2081,双一流!$B$2:$D$148,3,FALSE),"")</f>
        <v/>
      </c>
      <c r="I2081" s="32" t="str">
        <f>IFERROR(VLOOKUP(B2081,汇总!$B$2:$I$2921,8,FALSE),"")</f>
        <v>综合</v>
      </c>
      <c r="J2081" s="29" t="s">
        <v>1700</v>
      </c>
      <c r="K2081" s="29" t="s">
        <v>12</v>
      </c>
    </row>
    <row r="2082" ht="33.75" spans="1:11">
      <c r="A2082" s="29">
        <v>2081</v>
      </c>
      <c r="B2082" s="34" t="s">
        <v>2425</v>
      </c>
      <c r="C2082" s="29" t="str">
        <f>VLOOKUP(B2082,教育部大学名单!$B$1:$D$2920,3,FALSE)</f>
        <v>湖南省</v>
      </c>
      <c r="D2082" s="34" t="s">
        <v>797</v>
      </c>
      <c r="E2082" s="34" t="s">
        <v>831</v>
      </c>
      <c r="F2082" s="36" t="str">
        <f>IFERROR(VLOOKUP(B2082,'985'!$B$2:$D$40,3,FALSE),"")</f>
        <v/>
      </c>
      <c r="G2082" s="32" t="str">
        <f>IFERROR(VLOOKUP(B2082,'211'!$B$2:$D$116,3,FALSE),"")</f>
        <v/>
      </c>
      <c r="H2082" s="32" t="str">
        <f>IFERROR(VLOOKUP(B2082,双一流!$B$2:$D$148,3,FALSE),"")</f>
        <v/>
      </c>
      <c r="I2082" s="32" t="str">
        <f>IFERROR(VLOOKUP(B2082,汇总!$B$2:$I$2921,8,FALSE),"")</f>
        <v>艺术</v>
      </c>
      <c r="J2082" s="34" t="s">
        <v>1700</v>
      </c>
      <c r="K2082" s="34" t="s">
        <v>12</v>
      </c>
    </row>
    <row r="2083" ht="33.75" spans="1:11">
      <c r="A2083" s="34">
        <v>2082</v>
      </c>
      <c r="B2083" s="29" t="s">
        <v>2426</v>
      </c>
      <c r="C2083" s="29" t="str">
        <f>VLOOKUP(B2083,教育部大学名单!$B$1:$D$2920,3,FALSE)</f>
        <v>湖南省</v>
      </c>
      <c r="D2083" s="29" t="s">
        <v>797</v>
      </c>
      <c r="E2083" s="29" t="s">
        <v>823</v>
      </c>
      <c r="F2083" s="36" t="str">
        <f>IFERROR(VLOOKUP(B2083,'985'!$B$2:$D$40,3,FALSE),"")</f>
        <v/>
      </c>
      <c r="G2083" s="32" t="str">
        <f>IFERROR(VLOOKUP(B2083,'211'!$B$2:$D$116,3,FALSE),"")</f>
        <v/>
      </c>
      <c r="H2083" s="32" t="str">
        <f>IFERROR(VLOOKUP(B2083,双一流!$B$2:$D$148,3,FALSE),"")</f>
        <v/>
      </c>
      <c r="I2083" s="32">
        <f>IFERROR(VLOOKUP(B2083,汇总!$B$2:$I$2921,8,FALSE),"")</f>
        <v>0</v>
      </c>
      <c r="J2083" s="29" t="s">
        <v>1700</v>
      </c>
      <c r="K2083" s="29" t="s">
        <v>12</v>
      </c>
    </row>
    <row r="2084" ht="33.75" spans="1:11">
      <c r="A2084" s="29">
        <v>2083</v>
      </c>
      <c r="B2084" s="34" t="s">
        <v>2427</v>
      </c>
      <c r="C2084" s="29" t="str">
        <f>VLOOKUP(B2084,教育部大学名单!$B$1:$D$2920,3,FALSE)</f>
        <v>湖南省</v>
      </c>
      <c r="D2084" s="34" t="s">
        <v>797</v>
      </c>
      <c r="E2084" s="34" t="s">
        <v>798</v>
      </c>
      <c r="F2084" s="36" t="str">
        <f>IFERROR(VLOOKUP(B2084,'985'!$B$2:$D$40,3,FALSE),"")</f>
        <v/>
      </c>
      <c r="G2084" s="32" t="str">
        <f>IFERROR(VLOOKUP(B2084,'211'!$B$2:$D$116,3,FALSE),"")</f>
        <v/>
      </c>
      <c r="H2084" s="32" t="str">
        <f>IFERROR(VLOOKUP(B2084,双一流!$B$2:$D$148,3,FALSE),"")</f>
        <v/>
      </c>
      <c r="I2084" s="32" t="str">
        <f>IFERROR(VLOOKUP(B2084,汇总!$B$2:$I$2921,8,FALSE),"")</f>
        <v>理工</v>
      </c>
      <c r="J2084" s="34" t="s">
        <v>1700</v>
      </c>
      <c r="K2084" s="34" t="s">
        <v>12</v>
      </c>
    </row>
    <row r="2085" ht="33.75" spans="1:11">
      <c r="A2085" s="34">
        <v>2084</v>
      </c>
      <c r="B2085" s="29" t="s">
        <v>2428</v>
      </c>
      <c r="C2085" s="29" t="str">
        <f>VLOOKUP(B2085,教育部大学名单!$B$1:$D$2920,3,FALSE)</f>
        <v>湖南省</v>
      </c>
      <c r="D2085" s="29" t="s">
        <v>797</v>
      </c>
      <c r="E2085" s="29" t="s">
        <v>802</v>
      </c>
      <c r="F2085" s="36" t="str">
        <f>IFERROR(VLOOKUP(B2085,'985'!$B$2:$D$40,3,FALSE),"")</f>
        <v/>
      </c>
      <c r="G2085" s="32" t="str">
        <f>IFERROR(VLOOKUP(B2085,'211'!$B$2:$D$116,3,FALSE),"")</f>
        <v/>
      </c>
      <c r="H2085" s="32" t="str">
        <f>IFERROR(VLOOKUP(B2085,双一流!$B$2:$D$148,3,FALSE),"")</f>
        <v/>
      </c>
      <c r="I2085" s="32" t="str">
        <f>IFERROR(VLOOKUP(B2085,汇总!$B$2:$I$2921,8,FALSE),"")</f>
        <v>理工</v>
      </c>
      <c r="J2085" s="29" t="s">
        <v>1700</v>
      </c>
      <c r="K2085" s="29" t="s">
        <v>12</v>
      </c>
    </row>
    <row r="2086" ht="50.25" spans="1:11">
      <c r="A2086" s="29">
        <v>2085</v>
      </c>
      <c r="B2086" s="34" t="s">
        <v>2429</v>
      </c>
      <c r="C2086" s="29" t="str">
        <f>VLOOKUP(B2086,教育部大学名单!$B$1:$D$2920,3,FALSE)</f>
        <v>湖南省</v>
      </c>
      <c r="D2086" s="34" t="s">
        <v>797</v>
      </c>
      <c r="E2086" s="34" t="s">
        <v>802</v>
      </c>
      <c r="F2086" s="36" t="str">
        <f>IFERROR(VLOOKUP(B2086,'985'!$B$2:$D$40,3,FALSE),"")</f>
        <v/>
      </c>
      <c r="G2086" s="32" t="str">
        <f>IFERROR(VLOOKUP(B2086,'211'!$B$2:$D$116,3,FALSE),"")</f>
        <v/>
      </c>
      <c r="H2086" s="32" t="str">
        <f>IFERROR(VLOOKUP(B2086,双一流!$B$2:$D$148,3,FALSE),"")</f>
        <v/>
      </c>
      <c r="I2086" s="32" t="str">
        <f>IFERROR(VLOOKUP(B2086,汇总!$B$2:$I$2921,8,FALSE),"")</f>
        <v>理工</v>
      </c>
      <c r="J2086" s="34" t="s">
        <v>1700</v>
      </c>
      <c r="K2086" s="34" t="s">
        <v>12</v>
      </c>
    </row>
    <row r="2087" ht="50.25" spans="1:11">
      <c r="A2087" s="34">
        <v>2086</v>
      </c>
      <c r="B2087" s="29" t="s">
        <v>2430</v>
      </c>
      <c r="C2087" s="29" t="str">
        <f>VLOOKUP(B2087,教育部大学名单!$B$1:$D$2920,3,FALSE)</f>
        <v>湖南省</v>
      </c>
      <c r="D2087" s="29" t="s">
        <v>797</v>
      </c>
      <c r="E2087" s="29" t="s">
        <v>802</v>
      </c>
      <c r="F2087" s="36" t="str">
        <f>IFERROR(VLOOKUP(B2087,'985'!$B$2:$D$40,3,FALSE),"")</f>
        <v/>
      </c>
      <c r="G2087" s="32" t="str">
        <f>IFERROR(VLOOKUP(B2087,'211'!$B$2:$D$116,3,FALSE),"")</f>
        <v/>
      </c>
      <c r="H2087" s="32" t="str">
        <f>IFERROR(VLOOKUP(B2087,双一流!$B$2:$D$148,3,FALSE),"")</f>
        <v/>
      </c>
      <c r="I2087" s="32" t="str">
        <f>IFERROR(VLOOKUP(B2087,汇总!$B$2:$I$2921,8,FALSE),"")</f>
        <v>综合</v>
      </c>
      <c r="J2087" s="29" t="s">
        <v>1700</v>
      </c>
      <c r="K2087" s="29" t="s">
        <v>12</v>
      </c>
    </row>
    <row r="2088" ht="50.25" spans="1:11">
      <c r="A2088" s="29">
        <v>2087</v>
      </c>
      <c r="B2088" s="34" t="s">
        <v>2431</v>
      </c>
      <c r="C2088" s="29" t="str">
        <f>VLOOKUP(B2088,教育部大学名单!$B$1:$D$2920,3,FALSE)</f>
        <v>湖南省</v>
      </c>
      <c r="D2088" s="34" t="s">
        <v>797</v>
      </c>
      <c r="E2088" s="34" t="s">
        <v>815</v>
      </c>
      <c r="F2088" s="36" t="str">
        <f>IFERROR(VLOOKUP(B2088,'985'!$B$2:$D$40,3,FALSE),"")</f>
        <v/>
      </c>
      <c r="G2088" s="32" t="str">
        <f>IFERROR(VLOOKUP(B2088,'211'!$B$2:$D$116,3,FALSE),"")</f>
        <v/>
      </c>
      <c r="H2088" s="32" t="str">
        <f>IFERROR(VLOOKUP(B2088,双一流!$B$2:$D$148,3,FALSE),"")</f>
        <v/>
      </c>
      <c r="I2088" s="32" t="str">
        <f>IFERROR(VLOOKUP(B2088,汇总!$B$2:$I$2921,8,FALSE),"")</f>
        <v>理工</v>
      </c>
      <c r="J2088" s="34" t="s">
        <v>1700</v>
      </c>
      <c r="K2088" s="34" t="s">
        <v>12</v>
      </c>
    </row>
    <row r="2089" ht="50.25" spans="1:11">
      <c r="A2089" s="34">
        <v>2088</v>
      </c>
      <c r="B2089" s="29" t="s">
        <v>2432</v>
      </c>
      <c r="C2089" s="29" t="str">
        <f>VLOOKUP(B2089,教育部大学名单!$B$1:$D$2920,3,FALSE)</f>
        <v>湖南省</v>
      </c>
      <c r="D2089" s="29" t="s">
        <v>797</v>
      </c>
      <c r="E2089" s="29" t="s">
        <v>836</v>
      </c>
      <c r="F2089" s="36" t="str">
        <f>IFERROR(VLOOKUP(B2089,'985'!$B$2:$D$40,3,FALSE),"")</f>
        <v/>
      </c>
      <c r="G2089" s="32" t="str">
        <f>IFERROR(VLOOKUP(B2089,'211'!$B$2:$D$116,3,FALSE),"")</f>
        <v/>
      </c>
      <c r="H2089" s="32" t="str">
        <f>IFERROR(VLOOKUP(B2089,双一流!$B$2:$D$148,3,FALSE),"")</f>
        <v/>
      </c>
      <c r="I2089" s="32" t="str">
        <f>IFERROR(VLOOKUP(B2089,汇总!$B$2:$I$2921,8,FALSE),"")</f>
        <v>理工</v>
      </c>
      <c r="J2089" s="29" t="s">
        <v>1700</v>
      </c>
      <c r="K2089" s="29" t="s">
        <v>12</v>
      </c>
    </row>
    <row r="2090" ht="33.75" spans="1:11">
      <c r="A2090" s="29">
        <v>2089</v>
      </c>
      <c r="B2090" s="34" t="s">
        <v>2433</v>
      </c>
      <c r="C2090" s="29" t="str">
        <f>VLOOKUP(B2090,教育部大学名单!$B$1:$D$2920,3,FALSE)</f>
        <v>湖南省</v>
      </c>
      <c r="D2090" s="34" t="s">
        <v>797</v>
      </c>
      <c r="E2090" s="34" t="s">
        <v>802</v>
      </c>
      <c r="F2090" s="36" t="str">
        <f>IFERROR(VLOOKUP(B2090,'985'!$B$2:$D$40,3,FALSE),"")</f>
        <v/>
      </c>
      <c r="G2090" s="32" t="str">
        <f>IFERROR(VLOOKUP(B2090,'211'!$B$2:$D$116,3,FALSE),"")</f>
        <v/>
      </c>
      <c r="H2090" s="32" t="str">
        <f>IFERROR(VLOOKUP(B2090,双一流!$B$2:$D$148,3,FALSE),"")</f>
        <v/>
      </c>
      <c r="I2090" s="32" t="str">
        <f>IFERROR(VLOOKUP(B2090,汇总!$B$2:$I$2921,8,FALSE),"")</f>
        <v>理工</v>
      </c>
      <c r="J2090" s="34" t="s">
        <v>1700</v>
      </c>
      <c r="K2090" s="34" t="s">
        <v>12</v>
      </c>
    </row>
    <row r="2091" ht="33.75" spans="1:11">
      <c r="A2091" s="34">
        <v>2090</v>
      </c>
      <c r="B2091" s="29" t="s">
        <v>2434</v>
      </c>
      <c r="C2091" s="29" t="str">
        <f>VLOOKUP(B2091,教育部大学名单!$B$1:$D$2920,3,FALSE)</f>
        <v>湖南省</v>
      </c>
      <c r="D2091" s="29" t="s">
        <v>797</v>
      </c>
      <c r="E2091" s="29" t="s">
        <v>798</v>
      </c>
      <c r="F2091" s="36" t="str">
        <f>IFERROR(VLOOKUP(B2091,'985'!$B$2:$D$40,3,FALSE),"")</f>
        <v/>
      </c>
      <c r="G2091" s="32" t="str">
        <f>IFERROR(VLOOKUP(B2091,'211'!$B$2:$D$116,3,FALSE),"")</f>
        <v/>
      </c>
      <c r="H2091" s="32" t="str">
        <f>IFERROR(VLOOKUP(B2091,双一流!$B$2:$D$148,3,FALSE),"")</f>
        <v/>
      </c>
      <c r="I2091" s="32" t="str">
        <f>IFERROR(VLOOKUP(B2091,汇总!$B$2:$I$2921,8,FALSE),"")</f>
        <v>理工</v>
      </c>
      <c r="J2091" s="29" t="s">
        <v>1700</v>
      </c>
      <c r="K2091" s="29" t="s">
        <v>12</v>
      </c>
    </row>
    <row r="2092" ht="33.75" spans="1:11">
      <c r="A2092" s="29">
        <v>2091</v>
      </c>
      <c r="B2092" s="34" t="s">
        <v>2435</v>
      </c>
      <c r="C2092" s="29" t="str">
        <f>VLOOKUP(B2092,教育部大学名单!$B$1:$D$2920,3,FALSE)</f>
        <v>湖南省</v>
      </c>
      <c r="D2092" s="34" t="s">
        <v>797</v>
      </c>
      <c r="E2092" s="34" t="s">
        <v>831</v>
      </c>
      <c r="F2092" s="36" t="str">
        <f>IFERROR(VLOOKUP(B2092,'985'!$B$2:$D$40,3,FALSE),"")</f>
        <v/>
      </c>
      <c r="G2092" s="32" t="str">
        <f>IFERROR(VLOOKUP(B2092,'211'!$B$2:$D$116,3,FALSE),"")</f>
        <v/>
      </c>
      <c r="H2092" s="32" t="str">
        <f>IFERROR(VLOOKUP(B2092,双一流!$B$2:$D$148,3,FALSE),"")</f>
        <v/>
      </c>
      <c r="I2092" s="32" t="str">
        <f>IFERROR(VLOOKUP(B2092,汇总!$B$2:$I$2921,8,FALSE),"")</f>
        <v>医药</v>
      </c>
      <c r="J2092" s="34" t="s">
        <v>1700</v>
      </c>
      <c r="K2092" s="34" t="s">
        <v>12</v>
      </c>
    </row>
    <row r="2093" ht="50.25" spans="1:11">
      <c r="A2093" s="34">
        <v>2092</v>
      </c>
      <c r="B2093" s="29" t="s">
        <v>2436</v>
      </c>
      <c r="C2093" s="29" t="str">
        <f>VLOOKUP(B2093,教育部大学名单!$B$1:$D$2920,3,FALSE)</f>
        <v>湖南省</v>
      </c>
      <c r="D2093" s="29" t="s">
        <v>797</v>
      </c>
      <c r="E2093" s="29" t="s">
        <v>798</v>
      </c>
      <c r="F2093" s="36" t="str">
        <f>IFERROR(VLOOKUP(B2093,'985'!$B$2:$D$40,3,FALSE),"")</f>
        <v/>
      </c>
      <c r="G2093" s="32" t="str">
        <f>IFERROR(VLOOKUP(B2093,'211'!$B$2:$D$116,3,FALSE),"")</f>
        <v/>
      </c>
      <c r="H2093" s="32" t="str">
        <f>IFERROR(VLOOKUP(B2093,双一流!$B$2:$D$148,3,FALSE),"")</f>
        <v/>
      </c>
      <c r="I2093" s="32" t="str">
        <f>IFERROR(VLOOKUP(B2093,汇总!$B$2:$I$2921,8,FALSE),"")</f>
        <v>理工</v>
      </c>
      <c r="J2093" s="29" t="s">
        <v>1700</v>
      </c>
      <c r="K2093" s="29" t="s">
        <v>12</v>
      </c>
    </row>
    <row r="2094" ht="33.75" spans="1:11">
      <c r="A2094" s="29">
        <v>2093</v>
      </c>
      <c r="B2094" s="34" t="s">
        <v>2437</v>
      </c>
      <c r="C2094" s="29" t="str">
        <f>VLOOKUP(B2094,教育部大学名单!$B$1:$D$2920,3,FALSE)</f>
        <v>湖南省</v>
      </c>
      <c r="D2094" s="34" t="s">
        <v>797</v>
      </c>
      <c r="E2094" s="34" t="s">
        <v>802</v>
      </c>
      <c r="F2094" s="36" t="str">
        <f>IFERROR(VLOOKUP(B2094,'985'!$B$2:$D$40,3,FALSE),"")</f>
        <v/>
      </c>
      <c r="G2094" s="32" t="str">
        <f>IFERROR(VLOOKUP(B2094,'211'!$B$2:$D$116,3,FALSE),"")</f>
        <v/>
      </c>
      <c r="H2094" s="32" t="str">
        <f>IFERROR(VLOOKUP(B2094,双一流!$B$2:$D$148,3,FALSE),"")</f>
        <v/>
      </c>
      <c r="I2094" s="32" t="str">
        <f>IFERROR(VLOOKUP(B2094,汇总!$B$2:$I$2921,8,FALSE),"")</f>
        <v>医药</v>
      </c>
      <c r="J2094" s="34" t="s">
        <v>1700</v>
      </c>
      <c r="K2094" s="34" t="s">
        <v>12</v>
      </c>
    </row>
    <row r="2095" ht="33.75" spans="1:11">
      <c r="A2095" s="34">
        <v>2094</v>
      </c>
      <c r="B2095" s="29" t="s">
        <v>2438</v>
      </c>
      <c r="C2095" s="29" t="str">
        <f>VLOOKUP(B2095,教育部大学名单!$B$1:$D$2920,3,FALSE)</f>
        <v>湖南省</v>
      </c>
      <c r="D2095" s="29" t="s">
        <v>797</v>
      </c>
      <c r="E2095" s="29" t="s">
        <v>802</v>
      </c>
      <c r="F2095" s="36" t="str">
        <f>IFERROR(VLOOKUP(B2095,'985'!$B$2:$D$40,3,FALSE),"")</f>
        <v/>
      </c>
      <c r="G2095" s="32" t="str">
        <f>IFERROR(VLOOKUP(B2095,'211'!$B$2:$D$116,3,FALSE),"")</f>
        <v/>
      </c>
      <c r="H2095" s="32" t="str">
        <f>IFERROR(VLOOKUP(B2095,双一流!$B$2:$D$148,3,FALSE),"")</f>
        <v/>
      </c>
      <c r="I2095" s="32" t="str">
        <f>IFERROR(VLOOKUP(B2095,汇总!$B$2:$I$2921,8,FALSE),"")</f>
        <v>医药</v>
      </c>
      <c r="J2095" s="29" t="s">
        <v>1700</v>
      </c>
      <c r="K2095" s="29" t="s">
        <v>12</v>
      </c>
    </row>
    <row r="2096" ht="50.25" spans="1:11">
      <c r="A2096" s="29">
        <v>2095</v>
      </c>
      <c r="B2096" s="34" t="s">
        <v>2439</v>
      </c>
      <c r="C2096" s="29" t="str">
        <f>VLOOKUP(B2096,教育部大学名单!$B$1:$D$2920,3,FALSE)</f>
        <v>湖南省</v>
      </c>
      <c r="D2096" s="34" t="s">
        <v>797</v>
      </c>
      <c r="E2096" s="34" t="s">
        <v>836</v>
      </c>
      <c r="F2096" s="36" t="str">
        <f>IFERROR(VLOOKUP(B2096,'985'!$B$2:$D$40,3,FALSE),"")</f>
        <v/>
      </c>
      <c r="G2096" s="32" t="str">
        <f>IFERROR(VLOOKUP(B2096,'211'!$B$2:$D$116,3,FALSE),"")</f>
        <v/>
      </c>
      <c r="H2096" s="32" t="str">
        <f>IFERROR(VLOOKUP(B2096,双一流!$B$2:$D$148,3,FALSE),"")</f>
        <v/>
      </c>
      <c r="I2096" s="32" t="str">
        <f>IFERROR(VLOOKUP(B2096,汇总!$B$2:$I$2921,8,FALSE),"")</f>
        <v>理工</v>
      </c>
      <c r="J2096" s="34" t="s">
        <v>1700</v>
      </c>
      <c r="K2096" s="34" t="s">
        <v>12</v>
      </c>
    </row>
    <row r="2097" ht="50.25" spans="1:11">
      <c r="A2097" s="34">
        <v>2096</v>
      </c>
      <c r="B2097" s="29" t="s">
        <v>2440</v>
      </c>
      <c r="C2097" s="29" t="str">
        <f>VLOOKUP(B2097,教育部大学名单!$B$1:$D$2920,3,FALSE)</f>
        <v>湖南省</v>
      </c>
      <c r="D2097" s="29" t="s">
        <v>797</v>
      </c>
      <c r="E2097" s="29" t="s">
        <v>821</v>
      </c>
      <c r="F2097" s="36" t="str">
        <f>IFERROR(VLOOKUP(B2097,'985'!$B$2:$D$40,3,FALSE),"")</f>
        <v/>
      </c>
      <c r="G2097" s="32" t="str">
        <f>IFERROR(VLOOKUP(B2097,'211'!$B$2:$D$116,3,FALSE),"")</f>
        <v/>
      </c>
      <c r="H2097" s="32" t="str">
        <f>IFERROR(VLOOKUP(B2097,双一流!$B$2:$D$148,3,FALSE),"")</f>
        <v/>
      </c>
      <c r="I2097" s="32" t="str">
        <f>IFERROR(VLOOKUP(B2097,汇总!$B$2:$I$2921,8,FALSE),"")</f>
        <v>师范</v>
      </c>
      <c r="J2097" s="29" t="s">
        <v>1700</v>
      </c>
      <c r="K2097" s="29" t="s">
        <v>12</v>
      </c>
    </row>
    <row r="2098" ht="50.25" spans="1:11">
      <c r="A2098" s="29">
        <v>2097</v>
      </c>
      <c r="B2098" s="34" t="s">
        <v>2441</v>
      </c>
      <c r="C2098" s="29" t="str">
        <f>VLOOKUP(B2098,教育部大学名单!$B$1:$D$2920,3,FALSE)</f>
        <v>湖南省</v>
      </c>
      <c r="D2098" s="34" t="s">
        <v>797</v>
      </c>
      <c r="E2098" s="34" t="s">
        <v>813</v>
      </c>
      <c r="F2098" s="36" t="str">
        <f>IFERROR(VLOOKUP(B2098,'985'!$B$2:$D$40,3,FALSE),"")</f>
        <v/>
      </c>
      <c r="G2098" s="32" t="str">
        <f>IFERROR(VLOOKUP(B2098,'211'!$B$2:$D$116,3,FALSE),"")</f>
        <v/>
      </c>
      <c r="H2098" s="32" t="str">
        <f>IFERROR(VLOOKUP(B2098,双一流!$B$2:$D$148,3,FALSE),"")</f>
        <v/>
      </c>
      <c r="I2098" s="32" t="str">
        <f>IFERROR(VLOOKUP(B2098,汇总!$B$2:$I$2921,8,FALSE),"")</f>
        <v>师范</v>
      </c>
      <c r="J2098" s="34" t="s">
        <v>1700</v>
      </c>
      <c r="K2098" s="34" t="s">
        <v>12</v>
      </c>
    </row>
    <row r="2099" ht="33.75" spans="1:11">
      <c r="A2099" s="34">
        <v>2098</v>
      </c>
      <c r="B2099" s="29" t="s">
        <v>2442</v>
      </c>
      <c r="C2099" s="29" t="str">
        <f>VLOOKUP(B2099,教育部大学名单!$B$1:$D$2920,3,FALSE)</f>
        <v>湖南省</v>
      </c>
      <c r="D2099" s="29" t="s">
        <v>797</v>
      </c>
      <c r="E2099" s="29" t="s">
        <v>802</v>
      </c>
      <c r="F2099" s="36" t="str">
        <f>IFERROR(VLOOKUP(B2099,'985'!$B$2:$D$40,3,FALSE),"")</f>
        <v/>
      </c>
      <c r="G2099" s="32" t="str">
        <f>IFERROR(VLOOKUP(B2099,'211'!$B$2:$D$116,3,FALSE),"")</f>
        <v/>
      </c>
      <c r="H2099" s="32" t="str">
        <f>IFERROR(VLOOKUP(B2099,双一流!$B$2:$D$148,3,FALSE),"")</f>
        <v/>
      </c>
      <c r="I2099" s="32" t="str">
        <f>IFERROR(VLOOKUP(B2099,汇总!$B$2:$I$2921,8,FALSE),"")</f>
        <v>综合</v>
      </c>
      <c r="J2099" s="29" t="s">
        <v>1700</v>
      </c>
      <c r="K2099" s="29" t="s">
        <v>12</v>
      </c>
    </row>
    <row r="2100" ht="33.75" spans="1:11">
      <c r="A2100" s="29">
        <v>2099</v>
      </c>
      <c r="B2100" s="34" t="s">
        <v>2443</v>
      </c>
      <c r="C2100" s="29" t="str">
        <f>VLOOKUP(B2100,教育部大学名单!$B$1:$D$2920,3,FALSE)</f>
        <v>湖南省</v>
      </c>
      <c r="D2100" s="34" t="s">
        <v>797</v>
      </c>
      <c r="E2100" s="34" t="s">
        <v>819</v>
      </c>
      <c r="F2100" s="36" t="str">
        <f>IFERROR(VLOOKUP(B2100,'985'!$B$2:$D$40,3,FALSE),"")</f>
        <v/>
      </c>
      <c r="G2100" s="32" t="str">
        <f>IFERROR(VLOOKUP(B2100,'211'!$B$2:$D$116,3,FALSE),"")</f>
        <v/>
      </c>
      <c r="H2100" s="32" t="str">
        <f>IFERROR(VLOOKUP(B2100,双一流!$B$2:$D$148,3,FALSE),"")</f>
        <v/>
      </c>
      <c r="I2100" s="32">
        <f>IFERROR(VLOOKUP(B2100,汇总!$B$2:$I$2921,8,FALSE),"")</f>
        <v>0</v>
      </c>
      <c r="J2100" s="34" t="s">
        <v>1700</v>
      </c>
      <c r="K2100" s="34" t="s">
        <v>12</v>
      </c>
    </row>
    <row r="2101" ht="33.75" spans="1:11">
      <c r="A2101" s="34">
        <v>2100</v>
      </c>
      <c r="B2101" s="29" t="s">
        <v>2444</v>
      </c>
      <c r="C2101" s="29" t="str">
        <f>VLOOKUP(B2101,教育部大学名单!$B$1:$D$2920,3,FALSE)</f>
        <v>湖南省</v>
      </c>
      <c r="D2101" s="29" t="s">
        <v>797</v>
      </c>
      <c r="E2101" s="29" t="s">
        <v>823</v>
      </c>
      <c r="F2101" s="36" t="str">
        <f>IFERROR(VLOOKUP(B2101,'985'!$B$2:$D$40,3,FALSE),"")</f>
        <v/>
      </c>
      <c r="G2101" s="32" t="str">
        <f>IFERROR(VLOOKUP(B2101,'211'!$B$2:$D$116,3,FALSE),"")</f>
        <v/>
      </c>
      <c r="H2101" s="32" t="str">
        <f>IFERROR(VLOOKUP(B2101,双一流!$B$2:$D$148,3,FALSE),"")</f>
        <v/>
      </c>
      <c r="I2101" s="32">
        <f>IFERROR(VLOOKUP(B2101,汇总!$B$2:$I$2921,8,FALSE),"")</f>
        <v>0</v>
      </c>
      <c r="J2101" s="29" t="s">
        <v>1700</v>
      </c>
      <c r="K2101" s="29" t="s">
        <v>12</v>
      </c>
    </row>
    <row r="2102" ht="50.25" spans="1:11">
      <c r="A2102" s="29">
        <v>2101</v>
      </c>
      <c r="B2102" s="34" t="s">
        <v>2445</v>
      </c>
      <c r="C2102" s="29" t="str">
        <f>VLOOKUP(B2102,教育部大学名单!$B$1:$D$2920,3,FALSE)</f>
        <v>湖南省</v>
      </c>
      <c r="D2102" s="34" t="s">
        <v>797</v>
      </c>
      <c r="E2102" s="34" t="s">
        <v>815</v>
      </c>
      <c r="F2102" s="36" t="str">
        <f>IFERROR(VLOOKUP(B2102,'985'!$B$2:$D$40,3,FALSE),"")</f>
        <v/>
      </c>
      <c r="G2102" s="32" t="str">
        <f>IFERROR(VLOOKUP(B2102,'211'!$B$2:$D$116,3,FALSE),"")</f>
        <v/>
      </c>
      <c r="H2102" s="32" t="str">
        <f>IFERROR(VLOOKUP(B2102,双一流!$B$2:$D$148,3,FALSE),"")</f>
        <v/>
      </c>
      <c r="I2102" s="32">
        <f>IFERROR(VLOOKUP(B2102,汇总!$B$2:$I$2921,8,FALSE),"")</f>
        <v>0</v>
      </c>
      <c r="J2102" s="34" t="s">
        <v>1700</v>
      </c>
      <c r="K2102" s="34" t="s">
        <v>12</v>
      </c>
    </row>
    <row r="2103" ht="50.25" spans="1:11">
      <c r="A2103" s="34">
        <v>2102</v>
      </c>
      <c r="B2103" s="29" t="s">
        <v>2446</v>
      </c>
      <c r="C2103" s="29" t="str">
        <f>VLOOKUP(B2103,教育部大学名单!$B$1:$D$2920,3,FALSE)</f>
        <v>湖南省</v>
      </c>
      <c r="D2103" s="29" t="s">
        <v>797</v>
      </c>
      <c r="E2103" s="29" t="s">
        <v>802</v>
      </c>
      <c r="F2103" s="36" t="str">
        <f>IFERROR(VLOOKUP(B2103,'985'!$B$2:$D$40,3,FALSE),"")</f>
        <v/>
      </c>
      <c r="G2103" s="32" t="str">
        <f>IFERROR(VLOOKUP(B2103,'211'!$B$2:$D$116,3,FALSE),"")</f>
        <v/>
      </c>
      <c r="H2103" s="32" t="str">
        <f>IFERROR(VLOOKUP(B2103,双一流!$B$2:$D$148,3,FALSE),"")</f>
        <v/>
      </c>
      <c r="I2103" s="32">
        <f>IFERROR(VLOOKUP(B2103,汇总!$B$2:$I$2921,8,FALSE),"")</f>
        <v>0</v>
      </c>
      <c r="J2103" s="29" t="s">
        <v>1700</v>
      </c>
      <c r="K2103" s="29" t="s">
        <v>12</v>
      </c>
    </row>
    <row r="2104" ht="33.75" spans="1:11">
      <c r="A2104" s="29">
        <v>2103</v>
      </c>
      <c r="B2104" s="34" t="s">
        <v>2447</v>
      </c>
      <c r="C2104" s="29" t="str">
        <f>VLOOKUP(B2104,教育部大学名单!$B$1:$D$2920,3,FALSE)</f>
        <v>广东省</v>
      </c>
      <c r="D2104" s="34" t="s">
        <v>844</v>
      </c>
      <c r="E2104" s="34" t="s">
        <v>845</v>
      </c>
      <c r="F2104" s="36" t="str">
        <f>IFERROR(VLOOKUP(B2104,'985'!$B$2:$D$40,3,FALSE),"")</f>
        <v/>
      </c>
      <c r="G2104" s="32" t="str">
        <f>IFERROR(VLOOKUP(B2104,'211'!$B$2:$D$116,3,FALSE),"")</f>
        <v/>
      </c>
      <c r="H2104" s="32" t="str">
        <f>IFERROR(VLOOKUP(B2104,双一流!$B$2:$D$148,3,FALSE),"")</f>
        <v/>
      </c>
      <c r="I2104" s="32" t="str">
        <f>IFERROR(VLOOKUP(B2104,汇总!$B$2:$I$2921,8,FALSE),"")</f>
        <v>理工</v>
      </c>
      <c r="J2104" s="34" t="s">
        <v>1700</v>
      </c>
      <c r="K2104" s="34" t="s">
        <v>12</v>
      </c>
    </row>
    <row r="2105" ht="50.25" spans="1:11">
      <c r="A2105" s="34">
        <v>2104</v>
      </c>
      <c r="B2105" s="29" t="s">
        <v>2448</v>
      </c>
      <c r="C2105" s="29" t="str">
        <f>VLOOKUP(B2105,教育部大学名单!$B$1:$D$2920,3,FALSE)</f>
        <v>广东省</v>
      </c>
      <c r="D2105" s="29" t="s">
        <v>844</v>
      </c>
      <c r="E2105" s="29" t="s">
        <v>845</v>
      </c>
      <c r="F2105" s="36" t="str">
        <f>IFERROR(VLOOKUP(B2105,'985'!$B$2:$D$40,3,FALSE),"")</f>
        <v/>
      </c>
      <c r="G2105" s="32" t="str">
        <f>IFERROR(VLOOKUP(B2105,'211'!$B$2:$D$116,3,FALSE),"")</f>
        <v/>
      </c>
      <c r="H2105" s="32" t="str">
        <f>IFERROR(VLOOKUP(B2105,双一流!$B$2:$D$148,3,FALSE),"")</f>
        <v/>
      </c>
      <c r="I2105" s="32" t="str">
        <f>IFERROR(VLOOKUP(B2105,汇总!$B$2:$I$2921,8,FALSE),"")</f>
        <v>理工</v>
      </c>
      <c r="J2105" s="29" t="s">
        <v>1700</v>
      </c>
      <c r="K2105" s="29" t="s">
        <v>12</v>
      </c>
    </row>
    <row r="2106" ht="33.75" spans="1:11">
      <c r="A2106" s="29">
        <v>2105</v>
      </c>
      <c r="B2106" s="34" t="s">
        <v>2449</v>
      </c>
      <c r="C2106" s="29" t="str">
        <f>VLOOKUP(B2106,教育部大学名单!$B$1:$D$2920,3,FALSE)</f>
        <v>广东省</v>
      </c>
      <c r="D2106" s="34" t="s">
        <v>844</v>
      </c>
      <c r="E2106" s="34" t="s">
        <v>845</v>
      </c>
      <c r="F2106" s="36" t="str">
        <f>IFERROR(VLOOKUP(B2106,'985'!$B$2:$D$40,3,FALSE),"")</f>
        <v/>
      </c>
      <c r="G2106" s="32" t="str">
        <f>IFERROR(VLOOKUP(B2106,'211'!$B$2:$D$116,3,FALSE),"")</f>
        <v/>
      </c>
      <c r="H2106" s="32" t="str">
        <f>IFERROR(VLOOKUP(B2106,双一流!$B$2:$D$148,3,FALSE),"")</f>
        <v/>
      </c>
      <c r="I2106" s="32" t="str">
        <f>IFERROR(VLOOKUP(B2106,汇总!$B$2:$I$2921,8,FALSE),"")</f>
        <v>财经</v>
      </c>
      <c r="J2106" s="34" t="s">
        <v>1700</v>
      </c>
      <c r="K2106" s="34" t="s">
        <v>12</v>
      </c>
    </row>
    <row r="2107" ht="50.25" spans="1:11">
      <c r="A2107" s="34">
        <v>2106</v>
      </c>
      <c r="B2107" s="29" t="s">
        <v>2450</v>
      </c>
      <c r="C2107" s="29" t="str">
        <f>VLOOKUP(B2107,教育部大学名单!$B$1:$D$2920,3,FALSE)</f>
        <v>交通运输部（中国民用航空局）</v>
      </c>
      <c r="D2107" s="29" t="s">
        <v>844</v>
      </c>
      <c r="E2107" s="29" t="s">
        <v>845</v>
      </c>
      <c r="F2107" s="36" t="str">
        <f>IFERROR(VLOOKUP(B2107,'985'!$B$2:$D$40,3,FALSE),"")</f>
        <v/>
      </c>
      <c r="G2107" s="32" t="str">
        <f>IFERROR(VLOOKUP(B2107,'211'!$B$2:$D$116,3,FALSE),"")</f>
        <v/>
      </c>
      <c r="H2107" s="32" t="str">
        <f>IFERROR(VLOOKUP(B2107,双一流!$B$2:$D$148,3,FALSE),"")</f>
        <v/>
      </c>
      <c r="I2107" s="32" t="str">
        <f>IFERROR(VLOOKUP(B2107,汇总!$B$2:$I$2921,8,FALSE),"")</f>
        <v>理工</v>
      </c>
      <c r="J2107" s="29" t="s">
        <v>1700</v>
      </c>
      <c r="K2107" s="29" t="s">
        <v>12</v>
      </c>
    </row>
    <row r="2108" ht="33.75" spans="1:11">
      <c r="A2108" s="29">
        <v>2107</v>
      </c>
      <c r="B2108" s="34" t="s">
        <v>2451</v>
      </c>
      <c r="C2108" s="29" t="str">
        <f>VLOOKUP(B2108,教育部大学名单!$B$1:$D$2920,3,FALSE)</f>
        <v>广东省</v>
      </c>
      <c r="D2108" s="34" t="s">
        <v>844</v>
      </c>
      <c r="E2108" s="34" t="s">
        <v>859</v>
      </c>
      <c r="F2108" s="36" t="str">
        <f>IFERROR(VLOOKUP(B2108,'985'!$B$2:$D$40,3,FALSE),"")</f>
        <v/>
      </c>
      <c r="G2108" s="32" t="str">
        <f>IFERROR(VLOOKUP(B2108,'211'!$B$2:$D$116,3,FALSE),"")</f>
        <v/>
      </c>
      <c r="H2108" s="32" t="str">
        <f>IFERROR(VLOOKUP(B2108,双一流!$B$2:$D$148,3,FALSE),"")</f>
        <v/>
      </c>
      <c r="I2108" s="32" t="str">
        <f>IFERROR(VLOOKUP(B2108,汇总!$B$2:$I$2921,8,FALSE),"")</f>
        <v>理工</v>
      </c>
      <c r="J2108" s="34" t="s">
        <v>1700</v>
      </c>
      <c r="K2108" s="34" t="s">
        <v>12</v>
      </c>
    </row>
    <row r="2109" ht="50.25" spans="1:11">
      <c r="A2109" s="34">
        <v>2108</v>
      </c>
      <c r="B2109" s="29" t="s">
        <v>2452</v>
      </c>
      <c r="C2109" s="29" t="str">
        <f>VLOOKUP(B2109,教育部大学名单!$B$1:$D$2920,3,FALSE)</f>
        <v>广东省</v>
      </c>
      <c r="D2109" s="29" t="s">
        <v>844</v>
      </c>
      <c r="E2109" s="29" t="s">
        <v>845</v>
      </c>
      <c r="F2109" s="36" t="str">
        <f>IFERROR(VLOOKUP(B2109,'985'!$B$2:$D$40,3,FALSE),"")</f>
        <v/>
      </c>
      <c r="G2109" s="32" t="str">
        <f>IFERROR(VLOOKUP(B2109,'211'!$B$2:$D$116,3,FALSE),"")</f>
        <v/>
      </c>
      <c r="H2109" s="32" t="str">
        <f>IFERROR(VLOOKUP(B2109,双一流!$B$2:$D$148,3,FALSE),"")</f>
        <v/>
      </c>
      <c r="I2109" s="32" t="str">
        <f>IFERROR(VLOOKUP(B2109,汇总!$B$2:$I$2921,8,FALSE),"")</f>
        <v>综合</v>
      </c>
      <c r="J2109" s="29" t="s">
        <v>1700</v>
      </c>
      <c r="K2109" s="29" t="s">
        <v>12</v>
      </c>
    </row>
    <row r="2110" ht="33.75" spans="1:11">
      <c r="A2110" s="29">
        <v>2109</v>
      </c>
      <c r="B2110" s="34" t="s">
        <v>2453</v>
      </c>
      <c r="C2110" s="29" t="str">
        <f>VLOOKUP(B2110,教育部大学名单!$B$1:$D$2920,3,FALSE)</f>
        <v>广东省</v>
      </c>
      <c r="D2110" s="34" t="s">
        <v>844</v>
      </c>
      <c r="E2110" s="34" t="s">
        <v>890</v>
      </c>
      <c r="F2110" s="36" t="str">
        <f>IFERROR(VLOOKUP(B2110,'985'!$B$2:$D$40,3,FALSE),"")</f>
        <v/>
      </c>
      <c r="G2110" s="32" t="str">
        <f>IFERROR(VLOOKUP(B2110,'211'!$B$2:$D$116,3,FALSE),"")</f>
        <v/>
      </c>
      <c r="H2110" s="32" t="str">
        <f>IFERROR(VLOOKUP(B2110,双一流!$B$2:$D$148,3,FALSE),"")</f>
        <v/>
      </c>
      <c r="I2110" s="32" t="str">
        <f>IFERROR(VLOOKUP(B2110,汇总!$B$2:$I$2921,8,FALSE),"")</f>
        <v>综合</v>
      </c>
      <c r="J2110" s="34" t="s">
        <v>1700</v>
      </c>
      <c r="K2110" s="34" t="s">
        <v>12</v>
      </c>
    </row>
    <row r="2111" ht="33.75" spans="1:11">
      <c r="A2111" s="34">
        <v>2110</v>
      </c>
      <c r="B2111" s="29" t="s">
        <v>2454</v>
      </c>
      <c r="C2111" s="29" t="str">
        <f>VLOOKUP(B2111,教育部大学名单!$B$1:$D$2920,3,FALSE)</f>
        <v>广东省</v>
      </c>
      <c r="D2111" s="29" t="s">
        <v>844</v>
      </c>
      <c r="E2111" s="29" t="s">
        <v>845</v>
      </c>
      <c r="F2111" s="36" t="str">
        <f>IFERROR(VLOOKUP(B2111,'985'!$B$2:$D$40,3,FALSE),"")</f>
        <v/>
      </c>
      <c r="G2111" s="32" t="str">
        <f>IFERROR(VLOOKUP(B2111,'211'!$B$2:$D$116,3,FALSE),"")</f>
        <v/>
      </c>
      <c r="H2111" s="32" t="str">
        <f>IFERROR(VLOOKUP(B2111,双一流!$B$2:$D$148,3,FALSE),"")</f>
        <v/>
      </c>
      <c r="I2111" s="32" t="str">
        <f>IFERROR(VLOOKUP(B2111,汇总!$B$2:$I$2921,8,FALSE),"")</f>
        <v>综合</v>
      </c>
      <c r="J2111" s="29" t="s">
        <v>1700</v>
      </c>
      <c r="K2111" s="29" t="s">
        <v>12</v>
      </c>
    </row>
    <row r="2112" ht="33.75" spans="1:11">
      <c r="A2112" s="29">
        <v>2111</v>
      </c>
      <c r="B2112" s="34" t="s">
        <v>2455</v>
      </c>
      <c r="C2112" s="29" t="str">
        <f>VLOOKUP(B2112,教育部大学名单!$B$1:$D$2920,3,FALSE)</f>
        <v>广东省</v>
      </c>
      <c r="D2112" s="34" t="s">
        <v>844</v>
      </c>
      <c r="E2112" s="34" t="s">
        <v>845</v>
      </c>
      <c r="F2112" s="36" t="str">
        <f>IFERROR(VLOOKUP(B2112,'985'!$B$2:$D$40,3,FALSE),"")</f>
        <v/>
      </c>
      <c r="G2112" s="32" t="str">
        <f>IFERROR(VLOOKUP(B2112,'211'!$B$2:$D$116,3,FALSE),"")</f>
        <v/>
      </c>
      <c r="H2112" s="32" t="str">
        <f>IFERROR(VLOOKUP(B2112,双一流!$B$2:$D$148,3,FALSE),"")</f>
        <v/>
      </c>
      <c r="I2112" s="32" t="str">
        <f>IFERROR(VLOOKUP(B2112,汇总!$B$2:$I$2921,8,FALSE),"")</f>
        <v>医药</v>
      </c>
      <c r="J2112" s="34" t="s">
        <v>1700</v>
      </c>
      <c r="K2112" s="34" t="s">
        <v>12</v>
      </c>
    </row>
    <row r="2113" ht="33.75" spans="1:11">
      <c r="A2113" s="34">
        <v>2112</v>
      </c>
      <c r="B2113" s="29" t="s">
        <v>2456</v>
      </c>
      <c r="C2113" s="29" t="str">
        <f>VLOOKUP(B2113,教育部大学名单!$B$1:$D$2920,3,FALSE)</f>
        <v>广东省</v>
      </c>
      <c r="D2113" s="29" t="s">
        <v>844</v>
      </c>
      <c r="E2113" s="29" t="s">
        <v>845</v>
      </c>
      <c r="F2113" s="36" t="str">
        <f>IFERROR(VLOOKUP(B2113,'985'!$B$2:$D$40,3,FALSE),"")</f>
        <v/>
      </c>
      <c r="G2113" s="32" t="str">
        <f>IFERROR(VLOOKUP(B2113,'211'!$B$2:$D$116,3,FALSE),"")</f>
        <v/>
      </c>
      <c r="H2113" s="32" t="str">
        <f>IFERROR(VLOOKUP(B2113,双一流!$B$2:$D$148,3,FALSE),"")</f>
        <v/>
      </c>
      <c r="I2113" s="32" t="str">
        <f>IFERROR(VLOOKUP(B2113,汇总!$B$2:$I$2921,8,FALSE),"")</f>
        <v>综合</v>
      </c>
      <c r="J2113" s="29" t="s">
        <v>1700</v>
      </c>
      <c r="K2113" s="29" t="s">
        <v>12</v>
      </c>
    </row>
    <row r="2114" ht="33.75" spans="1:11">
      <c r="A2114" s="29">
        <v>2113</v>
      </c>
      <c r="B2114" s="34" t="s">
        <v>2457</v>
      </c>
      <c r="C2114" s="29" t="str">
        <f>VLOOKUP(B2114,教育部大学名单!$B$1:$D$2920,3,FALSE)</f>
        <v>广东省</v>
      </c>
      <c r="D2114" s="34" t="s">
        <v>844</v>
      </c>
      <c r="E2114" s="34" t="s">
        <v>845</v>
      </c>
      <c r="F2114" s="36" t="str">
        <f>IFERROR(VLOOKUP(B2114,'985'!$B$2:$D$40,3,FALSE),"")</f>
        <v/>
      </c>
      <c r="G2114" s="32" t="str">
        <f>IFERROR(VLOOKUP(B2114,'211'!$B$2:$D$116,3,FALSE),"")</f>
        <v/>
      </c>
      <c r="H2114" s="32" t="str">
        <f>IFERROR(VLOOKUP(B2114,双一流!$B$2:$D$148,3,FALSE),"")</f>
        <v/>
      </c>
      <c r="I2114" s="32" t="str">
        <f>IFERROR(VLOOKUP(B2114,汇总!$B$2:$I$2921,8,FALSE),"")</f>
        <v>体育</v>
      </c>
      <c r="J2114" s="34" t="s">
        <v>1700</v>
      </c>
      <c r="K2114" s="34" t="s">
        <v>12</v>
      </c>
    </row>
    <row r="2115" ht="33.75" spans="1:11">
      <c r="A2115" s="34">
        <v>2114</v>
      </c>
      <c r="B2115" s="29" t="s">
        <v>2458</v>
      </c>
      <c r="C2115" s="29" t="str">
        <f>VLOOKUP(B2115,教育部大学名单!$B$1:$D$2920,3,FALSE)</f>
        <v>广东省</v>
      </c>
      <c r="D2115" s="29" t="s">
        <v>844</v>
      </c>
      <c r="E2115" s="29" t="s">
        <v>890</v>
      </c>
      <c r="F2115" s="36" t="str">
        <f>IFERROR(VLOOKUP(B2115,'985'!$B$2:$D$40,3,FALSE),"")</f>
        <v/>
      </c>
      <c r="G2115" s="32" t="str">
        <f>IFERROR(VLOOKUP(B2115,'211'!$B$2:$D$116,3,FALSE),"")</f>
        <v/>
      </c>
      <c r="H2115" s="32" t="str">
        <f>IFERROR(VLOOKUP(B2115,双一流!$B$2:$D$148,3,FALSE),"")</f>
        <v/>
      </c>
      <c r="I2115" s="32" t="str">
        <f>IFERROR(VLOOKUP(B2115,汇总!$B$2:$I$2921,8,FALSE),"")</f>
        <v>综合</v>
      </c>
      <c r="J2115" s="29" t="s">
        <v>1700</v>
      </c>
      <c r="K2115" s="29" t="s">
        <v>12</v>
      </c>
    </row>
    <row r="2116" ht="33.75" spans="1:11">
      <c r="A2116" s="29">
        <v>2115</v>
      </c>
      <c r="B2116" s="34" t="s">
        <v>2459</v>
      </c>
      <c r="C2116" s="29" t="str">
        <f>VLOOKUP(B2116,教育部大学名单!$B$1:$D$2920,3,FALSE)</f>
        <v>广东省</v>
      </c>
      <c r="D2116" s="34" t="s">
        <v>844</v>
      </c>
      <c r="E2116" s="34" t="s">
        <v>845</v>
      </c>
      <c r="F2116" s="36" t="str">
        <f>IFERROR(VLOOKUP(B2116,'985'!$B$2:$D$40,3,FALSE),"")</f>
        <v/>
      </c>
      <c r="G2116" s="32" t="str">
        <f>IFERROR(VLOOKUP(B2116,'211'!$B$2:$D$116,3,FALSE),"")</f>
        <v/>
      </c>
      <c r="H2116" s="32" t="str">
        <f>IFERROR(VLOOKUP(B2116,双一流!$B$2:$D$148,3,FALSE),"")</f>
        <v/>
      </c>
      <c r="I2116" s="32" t="str">
        <f>IFERROR(VLOOKUP(B2116,汇总!$B$2:$I$2921,8,FALSE),"")</f>
        <v>理工</v>
      </c>
      <c r="J2116" s="34" t="s">
        <v>1700</v>
      </c>
      <c r="K2116" s="34" t="s">
        <v>12</v>
      </c>
    </row>
    <row r="2117" ht="33.75" spans="1:11">
      <c r="A2117" s="34">
        <v>2116</v>
      </c>
      <c r="B2117" s="29" t="s">
        <v>2460</v>
      </c>
      <c r="C2117" s="29" t="str">
        <f>VLOOKUP(B2117,教育部大学名单!$B$1:$D$2920,3,FALSE)</f>
        <v>广东省</v>
      </c>
      <c r="D2117" s="29" t="s">
        <v>844</v>
      </c>
      <c r="E2117" s="29" t="s">
        <v>845</v>
      </c>
      <c r="F2117" s="36" t="str">
        <f>IFERROR(VLOOKUP(B2117,'985'!$B$2:$D$40,3,FALSE),"")</f>
        <v/>
      </c>
      <c r="G2117" s="32" t="str">
        <f>IFERROR(VLOOKUP(B2117,'211'!$B$2:$D$116,3,FALSE),"")</f>
        <v/>
      </c>
      <c r="H2117" s="32" t="str">
        <f>IFERROR(VLOOKUP(B2117,双一流!$B$2:$D$148,3,FALSE),"")</f>
        <v/>
      </c>
      <c r="I2117" s="32" t="str">
        <f>IFERROR(VLOOKUP(B2117,汇总!$B$2:$I$2921,8,FALSE),"")</f>
        <v>综合</v>
      </c>
      <c r="J2117" s="29" t="s">
        <v>1700</v>
      </c>
      <c r="K2117" s="29" t="s">
        <v>12</v>
      </c>
    </row>
    <row r="2118" ht="33.75" spans="1:11">
      <c r="A2118" s="29">
        <v>2117</v>
      </c>
      <c r="B2118" s="34" t="s">
        <v>2461</v>
      </c>
      <c r="C2118" s="29" t="str">
        <f>VLOOKUP(B2118,教育部大学名单!$B$1:$D$2920,3,FALSE)</f>
        <v>广东省</v>
      </c>
      <c r="D2118" s="34" t="s">
        <v>844</v>
      </c>
      <c r="E2118" s="34" t="s">
        <v>845</v>
      </c>
      <c r="F2118" s="36" t="str">
        <f>IFERROR(VLOOKUP(B2118,'985'!$B$2:$D$40,3,FALSE),"")</f>
        <v/>
      </c>
      <c r="G2118" s="32" t="str">
        <f>IFERROR(VLOOKUP(B2118,'211'!$B$2:$D$116,3,FALSE),"")</f>
        <v/>
      </c>
      <c r="H2118" s="32" t="str">
        <f>IFERROR(VLOOKUP(B2118,双一流!$B$2:$D$148,3,FALSE),"")</f>
        <v/>
      </c>
      <c r="I2118" s="32" t="str">
        <f>IFERROR(VLOOKUP(B2118,汇总!$B$2:$I$2921,8,FALSE),"")</f>
        <v>理工</v>
      </c>
      <c r="J2118" s="34" t="s">
        <v>1700</v>
      </c>
      <c r="K2118" s="34" t="s">
        <v>12</v>
      </c>
    </row>
    <row r="2119" ht="33.75" spans="1:11">
      <c r="A2119" s="34">
        <v>2118</v>
      </c>
      <c r="B2119" s="29" t="s">
        <v>2462</v>
      </c>
      <c r="C2119" s="29" t="str">
        <f>VLOOKUP(B2119,教育部大学名单!$B$1:$D$2920,3,FALSE)</f>
        <v>广东省</v>
      </c>
      <c r="D2119" s="29" t="s">
        <v>844</v>
      </c>
      <c r="E2119" s="29" t="s">
        <v>2463</v>
      </c>
      <c r="F2119" s="36" t="str">
        <f>IFERROR(VLOOKUP(B2119,'985'!$B$2:$D$40,3,FALSE),"")</f>
        <v/>
      </c>
      <c r="G2119" s="32" t="str">
        <f>IFERROR(VLOOKUP(B2119,'211'!$B$2:$D$116,3,FALSE),"")</f>
        <v/>
      </c>
      <c r="H2119" s="32" t="str">
        <f>IFERROR(VLOOKUP(B2119,双一流!$B$2:$D$148,3,FALSE),"")</f>
        <v/>
      </c>
      <c r="I2119" s="32" t="str">
        <f>IFERROR(VLOOKUP(B2119,汇总!$B$2:$I$2921,8,FALSE),"")</f>
        <v>综合</v>
      </c>
      <c r="J2119" s="29" t="s">
        <v>1700</v>
      </c>
      <c r="K2119" s="29" t="s">
        <v>12</v>
      </c>
    </row>
    <row r="2120" ht="33.75" spans="1:11">
      <c r="A2120" s="29">
        <v>2119</v>
      </c>
      <c r="B2120" s="34" t="s">
        <v>2464</v>
      </c>
      <c r="C2120" s="29" t="str">
        <f>VLOOKUP(B2120,教育部大学名单!$B$1:$D$2920,3,FALSE)</f>
        <v>广东省</v>
      </c>
      <c r="D2120" s="34" t="s">
        <v>844</v>
      </c>
      <c r="E2120" s="34" t="s">
        <v>2465</v>
      </c>
      <c r="F2120" s="36" t="str">
        <f>IFERROR(VLOOKUP(B2120,'985'!$B$2:$D$40,3,FALSE),"")</f>
        <v/>
      </c>
      <c r="G2120" s="32" t="str">
        <f>IFERROR(VLOOKUP(B2120,'211'!$B$2:$D$116,3,FALSE),"")</f>
        <v/>
      </c>
      <c r="H2120" s="32" t="str">
        <f>IFERROR(VLOOKUP(B2120,双一流!$B$2:$D$148,3,FALSE),"")</f>
        <v/>
      </c>
      <c r="I2120" s="32" t="str">
        <f>IFERROR(VLOOKUP(B2120,汇总!$B$2:$I$2921,8,FALSE),"")</f>
        <v>综合</v>
      </c>
      <c r="J2120" s="34" t="s">
        <v>1700</v>
      </c>
      <c r="K2120" s="34" t="s">
        <v>12</v>
      </c>
    </row>
    <row r="2121" ht="33.75" spans="1:11">
      <c r="A2121" s="34">
        <v>2120</v>
      </c>
      <c r="B2121" s="29" t="s">
        <v>2466</v>
      </c>
      <c r="C2121" s="29" t="str">
        <f>VLOOKUP(B2121,教育部大学名单!$B$1:$D$2920,3,FALSE)</f>
        <v>广东省</v>
      </c>
      <c r="D2121" s="29" t="s">
        <v>844</v>
      </c>
      <c r="E2121" s="29" t="s">
        <v>2467</v>
      </c>
      <c r="F2121" s="36" t="str">
        <f>IFERROR(VLOOKUP(B2121,'985'!$B$2:$D$40,3,FALSE),"")</f>
        <v/>
      </c>
      <c r="G2121" s="32" t="str">
        <f>IFERROR(VLOOKUP(B2121,'211'!$B$2:$D$116,3,FALSE),"")</f>
        <v/>
      </c>
      <c r="H2121" s="32" t="str">
        <f>IFERROR(VLOOKUP(B2121,双一流!$B$2:$D$148,3,FALSE),"")</f>
        <v/>
      </c>
      <c r="I2121" s="32" t="str">
        <f>IFERROR(VLOOKUP(B2121,汇总!$B$2:$I$2921,8,FALSE),"")</f>
        <v>综合</v>
      </c>
      <c r="J2121" s="29" t="s">
        <v>1700</v>
      </c>
      <c r="K2121" s="29" t="s">
        <v>12</v>
      </c>
    </row>
    <row r="2122" ht="33.75" spans="1:11">
      <c r="A2122" s="29">
        <v>2121</v>
      </c>
      <c r="B2122" s="34" t="s">
        <v>2468</v>
      </c>
      <c r="C2122" s="29" t="str">
        <f>VLOOKUP(B2122,教育部大学名单!$B$1:$D$2920,3,FALSE)</f>
        <v>广东省</v>
      </c>
      <c r="D2122" s="34" t="s">
        <v>844</v>
      </c>
      <c r="E2122" s="34" t="s">
        <v>2469</v>
      </c>
      <c r="F2122" s="36" t="str">
        <f>IFERROR(VLOOKUP(B2122,'985'!$B$2:$D$40,3,FALSE),"")</f>
        <v/>
      </c>
      <c r="G2122" s="32" t="str">
        <f>IFERROR(VLOOKUP(B2122,'211'!$B$2:$D$116,3,FALSE),"")</f>
        <v/>
      </c>
      <c r="H2122" s="32" t="str">
        <f>IFERROR(VLOOKUP(B2122,双一流!$B$2:$D$148,3,FALSE),"")</f>
        <v/>
      </c>
      <c r="I2122" s="32" t="str">
        <f>IFERROR(VLOOKUP(B2122,汇总!$B$2:$I$2921,8,FALSE),"")</f>
        <v>综合</v>
      </c>
      <c r="J2122" s="34" t="s">
        <v>1700</v>
      </c>
      <c r="K2122" s="34" t="s">
        <v>12</v>
      </c>
    </row>
    <row r="2123" ht="33.75" spans="1:11">
      <c r="A2123" s="34">
        <v>2122</v>
      </c>
      <c r="B2123" s="29" t="s">
        <v>2470</v>
      </c>
      <c r="C2123" s="29" t="str">
        <f>VLOOKUP(B2123,教育部大学名单!$B$1:$D$2920,3,FALSE)</f>
        <v>广东省</v>
      </c>
      <c r="D2123" s="29" t="s">
        <v>844</v>
      </c>
      <c r="E2123" s="29" t="s">
        <v>845</v>
      </c>
      <c r="F2123" s="36" t="str">
        <f>IFERROR(VLOOKUP(B2123,'985'!$B$2:$D$40,3,FALSE),"")</f>
        <v/>
      </c>
      <c r="G2123" s="32" t="str">
        <f>IFERROR(VLOOKUP(B2123,'211'!$B$2:$D$116,3,FALSE),"")</f>
        <v/>
      </c>
      <c r="H2123" s="32" t="str">
        <f>IFERROR(VLOOKUP(B2123,双一流!$B$2:$D$148,3,FALSE),"")</f>
        <v/>
      </c>
      <c r="I2123" s="32" t="str">
        <f>IFERROR(VLOOKUP(B2123,汇总!$B$2:$I$2921,8,FALSE),"")</f>
        <v>理工</v>
      </c>
      <c r="J2123" s="29" t="s">
        <v>1700</v>
      </c>
      <c r="K2123" s="29" t="s">
        <v>12</v>
      </c>
    </row>
    <row r="2124" ht="33.75" spans="1:11">
      <c r="A2124" s="29">
        <v>2123</v>
      </c>
      <c r="B2124" s="34" t="s">
        <v>2471</v>
      </c>
      <c r="C2124" s="29" t="str">
        <f>VLOOKUP(B2124,教育部大学名单!$B$1:$D$2920,3,FALSE)</f>
        <v>广东省</v>
      </c>
      <c r="D2124" s="34" t="s">
        <v>844</v>
      </c>
      <c r="E2124" s="34" t="s">
        <v>848</v>
      </c>
      <c r="F2124" s="36" t="str">
        <f>IFERROR(VLOOKUP(B2124,'985'!$B$2:$D$40,3,FALSE),"")</f>
        <v/>
      </c>
      <c r="G2124" s="32" t="str">
        <f>IFERROR(VLOOKUP(B2124,'211'!$B$2:$D$116,3,FALSE),"")</f>
        <v/>
      </c>
      <c r="H2124" s="32" t="str">
        <f>IFERROR(VLOOKUP(B2124,双一流!$B$2:$D$148,3,FALSE),"")</f>
        <v/>
      </c>
      <c r="I2124" s="32" t="str">
        <f>IFERROR(VLOOKUP(B2124,汇总!$B$2:$I$2921,8,FALSE),"")</f>
        <v>综合</v>
      </c>
      <c r="J2124" s="34" t="s">
        <v>1700</v>
      </c>
      <c r="K2124" s="34" t="s">
        <v>12</v>
      </c>
    </row>
    <row r="2125" ht="33.75" spans="1:11">
      <c r="A2125" s="34">
        <v>2124</v>
      </c>
      <c r="B2125" s="29" t="s">
        <v>2472</v>
      </c>
      <c r="C2125" s="29" t="str">
        <f>VLOOKUP(B2125,教育部大学名单!$B$1:$D$2920,3,FALSE)</f>
        <v>广东省</v>
      </c>
      <c r="D2125" s="29" t="s">
        <v>844</v>
      </c>
      <c r="E2125" s="29" t="s">
        <v>2473</v>
      </c>
      <c r="F2125" s="36" t="str">
        <f>IFERROR(VLOOKUP(B2125,'985'!$B$2:$D$40,3,FALSE),"")</f>
        <v/>
      </c>
      <c r="G2125" s="32" t="str">
        <f>IFERROR(VLOOKUP(B2125,'211'!$B$2:$D$116,3,FALSE),"")</f>
        <v/>
      </c>
      <c r="H2125" s="32" t="str">
        <f>IFERROR(VLOOKUP(B2125,双一流!$B$2:$D$148,3,FALSE),"")</f>
        <v/>
      </c>
      <c r="I2125" s="32" t="str">
        <f>IFERROR(VLOOKUP(B2125,汇总!$B$2:$I$2921,8,FALSE),"")</f>
        <v>综合</v>
      </c>
      <c r="J2125" s="29" t="s">
        <v>1700</v>
      </c>
      <c r="K2125" s="29" t="s">
        <v>12</v>
      </c>
    </row>
    <row r="2126" ht="33.75" spans="1:11">
      <c r="A2126" s="29">
        <v>2125</v>
      </c>
      <c r="B2126" s="34" t="s">
        <v>2474</v>
      </c>
      <c r="C2126" s="29" t="str">
        <f>VLOOKUP(B2126,教育部大学名单!$B$1:$D$2920,3,FALSE)</f>
        <v>广东省</v>
      </c>
      <c r="D2126" s="34" t="s">
        <v>844</v>
      </c>
      <c r="E2126" s="34" t="s">
        <v>2475</v>
      </c>
      <c r="F2126" s="36" t="str">
        <f>IFERROR(VLOOKUP(B2126,'985'!$B$2:$D$40,3,FALSE),"")</f>
        <v/>
      </c>
      <c r="G2126" s="32" t="str">
        <f>IFERROR(VLOOKUP(B2126,'211'!$B$2:$D$116,3,FALSE),"")</f>
        <v/>
      </c>
      <c r="H2126" s="32" t="str">
        <f>IFERROR(VLOOKUP(B2126,双一流!$B$2:$D$148,3,FALSE),"")</f>
        <v/>
      </c>
      <c r="I2126" s="32" t="str">
        <f>IFERROR(VLOOKUP(B2126,汇总!$B$2:$I$2921,8,FALSE),"")</f>
        <v>综合</v>
      </c>
      <c r="J2126" s="34" t="s">
        <v>1700</v>
      </c>
      <c r="K2126" s="34" t="s">
        <v>12</v>
      </c>
    </row>
    <row r="2127" ht="33.75" spans="1:11">
      <c r="A2127" s="34">
        <v>2126</v>
      </c>
      <c r="B2127" s="29" t="s">
        <v>2476</v>
      </c>
      <c r="C2127" s="29" t="str">
        <f>VLOOKUP(B2127,教育部大学名单!$B$1:$D$2920,3,FALSE)</f>
        <v>广东省</v>
      </c>
      <c r="D2127" s="29" t="s">
        <v>844</v>
      </c>
      <c r="E2127" s="29" t="s">
        <v>845</v>
      </c>
      <c r="F2127" s="36" t="str">
        <f>IFERROR(VLOOKUP(B2127,'985'!$B$2:$D$40,3,FALSE),"")</f>
        <v/>
      </c>
      <c r="G2127" s="32" t="str">
        <f>IFERROR(VLOOKUP(B2127,'211'!$B$2:$D$116,3,FALSE),"")</f>
        <v/>
      </c>
      <c r="H2127" s="32" t="str">
        <f>IFERROR(VLOOKUP(B2127,双一流!$B$2:$D$148,3,FALSE),"")</f>
        <v/>
      </c>
      <c r="I2127" s="32" t="str">
        <f>IFERROR(VLOOKUP(B2127,汇总!$B$2:$I$2921,8,FALSE),"")</f>
        <v>理工</v>
      </c>
      <c r="J2127" s="29" t="s">
        <v>1700</v>
      </c>
      <c r="K2127" s="29" t="s">
        <v>12</v>
      </c>
    </row>
    <row r="2128" ht="33.75" spans="1:11">
      <c r="A2128" s="29">
        <v>2127</v>
      </c>
      <c r="B2128" s="34" t="s">
        <v>2477</v>
      </c>
      <c r="C2128" s="29" t="str">
        <f>VLOOKUP(B2128,教育部大学名单!$B$1:$D$2920,3,FALSE)</f>
        <v>广东省</v>
      </c>
      <c r="D2128" s="34" t="s">
        <v>844</v>
      </c>
      <c r="E2128" s="34" t="s">
        <v>845</v>
      </c>
      <c r="F2128" s="36" t="str">
        <f>IFERROR(VLOOKUP(B2128,'985'!$B$2:$D$40,3,FALSE),"")</f>
        <v/>
      </c>
      <c r="G2128" s="32" t="str">
        <f>IFERROR(VLOOKUP(B2128,'211'!$B$2:$D$116,3,FALSE),"")</f>
        <v/>
      </c>
      <c r="H2128" s="32" t="str">
        <f>IFERROR(VLOOKUP(B2128,双一流!$B$2:$D$148,3,FALSE),"")</f>
        <v/>
      </c>
      <c r="I2128" s="32" t="str">
        <f>IFERROR(VLOOKUP(B2128,汇总!$B$2:$I$2921,8,FALSE),"")</f>
        <v>政法</v>
      </c>
      <c r="J2128" s="34" t="s">
        <v>1700</v>
      </c>
      <c r="K2128" s="34" t="s">
        <v>12</v>
      </c>
    </row>
    <row r="2129" ht="50.25" spans="1:11">
      <c r="A2129" s="34">
        <v>2128</v>
      </c>
      <c r="B2129" s="29" t="s">
        <v>2478</v>
      </c>
      <c r="C2129" s="29" t="str">
        <f>VLOOKUP(B2129,教育部大学名单!$B$1:$D$2920,3,FALSE)</f>
        <v>广东省</v>
      </c>
      <c r="D2129" s="29" t="s">
        <v>844</v>
      </c>
      <c r="E2129" s="29" t="s">
        <v>845</v>
      </c>
      <c r="F2129" s="36" t="str">
        <f>IFERROR(VLOOKUP(B2129,'985'!$B$2:$D$40,3,FALSE),"")</f>
        <v/>
      </c>
      <c r="G2129" s="32" t="str">
        <f>IFERROR(VLOOKUP(B2129,'211'!$B$2:$D$116,3,FALSE),"")</f>
        <v/>
      </c>
      <c r="H2129" s="32" t="str">
        <f>IFERROR(VLOOKUP(B2129,双一流!$B$2:$D$148,3,FALSE),"")</f>
        <v/>
      </c>
      <c r="I2129" s="32" t="str">
        <f>IFERROR(VLOOKUP(B2129,汇总!$B$2:$I$2921,8,FALSE),"")</f>
        <v>综合</v>
      </c>
      <c r="J2129" s="29" t="s">
        <v>1700</v>
      </c>
      <c r="K2129" s="29" t="s">
        <v>12</v>
      </c>
    </row>
    <row r="2130" ht="33.75" spans="1:11">
      <c r="A2130" s="29">
        <v>2129</v>
      </c>
      <c r="B2130" s="34" t="s">
        <v>2479</v>
      </c>
      <c r="C2130" s="29" t="str">
        <f>VLOOKUP(B2130,教育部大学名单!$B$1:$D$2920,3,FALSE)</f>
        <v>广东省</v>
      </c>
      <c r="D2130" s="34" t="s">
        <v>844</v>
      </c>
      <c r="E2130" s="34" t="s">
        <v>845</v>
      </c>
      <c r="F2130" s="36" t="str">
        <f>IFERROR(VLOOKUP(B2130,'985'!$B$2:$D$40,3,FALSE),"")</f>
        <v/>
      </c>
      <c r="G2130" s="32" t="str">
        <f>IFERROR(VLOOKUP(B2130,'211'!$B$2:$D$116,3,FALSE),"")</f>
        <v/>
      </c>
      <c r="H2130" s="32" t="str">
        <f>IFERROR(VLOOKUP(B2130,双一流!$B$2:$D$148,3,FALSE),"")</f>
        <v/>
      </c>
      <c r="I2130" s="32" t="str">
        <f>IFERROR(VLOOKUP(B2130,汇总!$B$2:$I$2921,8,FALSE),"")</f>
        <v>艺术</v>
      </c>
      <c r="J2130" s="34" t="s">
        <v>1700</v>
      </c>
      <c r="K2130" s="34" t="s">
        <v>12</v>
      </c>
    </row>
    <row r="2131" ht="33.75" spans="1:11">
      <c r="A2131" s="34">
        <v>2130</v>
      </c>
      <c r="B2131" s="29" t="s">
        <v>2480</v>
      </c>
      <c r="C2131" s="29" t="str">
        <f>VLOOKUP(B2131,教育部大学名单!$B$1:$D$2920,3,FALSE)</f>
        <v>广东省</v>
      </c>
      <c r="D2131" s="29" t="s">
        <v>844</v>
      </c>
      <c r="E2131" s="29" t="s">
        <v>845</v>
      </c>
      <c r="F2131" s="36" t="str">
        <f>IFERROR(VLOOKUP(B2131,'985'!$B$2:$D$40,3,FALSE),"")</f>
        <v/>
      </c>
      <c r="G2131" s="32" t="str">
        <f>IFERROR(VLOOKUP(B2131,'211'!$B$2:$D$116,3,FALSE),"")</f>
        <v/>
      </c>
      <c r="H2131" s="32" t="str">
        <f>IFERROR(VLOOKUP(B2131,双一流!$B$2:$D$148,3,FALSE),"")</f>
        <v/>
      </c>
      <c r="I2131" s="32" t="str">
        <f>IFERROR(VLOOKUP(B2131,汇总!$B$2:$I$2921,8,FALSE),"")</f>
        <v>体育</v>
      </c>
      <c r="J2131" s="29" t="s">
        <v>1700</v>
      </c>
      <c r="K2131" s="29" t="s">
        <v>12</v>
      </c>
    </row>
    <row r="2132" ht="33.75" spans="1:11">
      <c r="A2132" s="29">
        <v>2131</v>
      </c>
      <c r="B2132" s="34" t="s">
        <v>2481</v>
      </c>
      <c r="C2132" s="29" t="str">
        <f>VLOOKUP(B2132,教育部大学名单!$B$1:$D$2920,3,FALSE)</f>
        <v>广东省</v>
      </c>
      <c r="D2132" s="34" t="s">
        <v>844</v>
      </c>
      <c r="E2132" s="34" t="s">
        <v>845</v>
      </c>
      <c r="F2132" s="36" t="str">
        <f>IFERROR(VLOOKUP(B2132,'985'!$B$2:$D$40,3,FALSE),"")</f>
        <v/>
      </c>
      <c r="G2132" s="32" t="str">
        <f>IFERROR(VLOOKUP(B2132,'211'!$B$2:$D$116,3,FALSE),"")</f>
        <v/>
      </c>
      <c r="H2132" s="32" t="str">
        <f>IFERROR(VLOOKUP(B2132,双一流!$B$2:$D$148,3,FALSE),"")</f>
        <v/>
      </c>
      <c r="I2132" s="32" t="str">
        <f>IFERROR(VLOOKUP(B2132,汇总!$B$2:$I$2921,8,FALSE),"")</f>
        <v>综合</v>
      </c>
      <c r="J2132" s="34" t="s">
        <v>1700</v>
      </c>
      <c r="K2132" s="34" t="s">
        <v>12</v>
      </c>
    </row>
    <row r="2133" ht="33.75" spans="1:11">
      <c r="A2133" s="34">
        <v>2132</v>
      </c>
      <c r="B2133" s="29" t="s">
        <v>2482</v>
      </c>
      <c r="C2133" s="29" t="str">
        <f>VLOOKUP(B2133,教育部大学名单!$B$1:$D$2920,3,FALSE)</f>
        <v>广东省</v>
      </c>
      <c r="D2133" s="29" t="s">
        <v>844</v>
      </c>
      <c r="E2133" s="29" t="s">
        <v>1554</v>
      </c>
      <c r="F2133" s="36" t="str">
        <f>IFERROR(VLOOKUP(B2133,'985'!$B$2:$D$40,3,FALSE),"")</f>
        <v/>
      </c>
      <c r="G2133" s="32" t="str">
        <f>IFERROR(VLOOKUP(B2133,'211'!$B$2:$D$116,3,FALSE),"")</f>
        <v/>
      </c>
      <c r="H2133" s="32" t="str">
        <f>IFERROR(VLOOKUP(B2133,双一流!$B$2:$D$148,3,FALSE),"")</f>
        <v/>
      </c>
      <c r="I2133" s="32" t="str">
        <f>IFERROR(VLOOKUP(B2133,汇总!$B$2:$I$2921,8,FALSE),"")</f>
        <v>理工</v>
      </c>
      <c r="J2133" s="29" t="s">
        <v>1700</v>
      </c>
      <c r="K2133" s="29" t="s">
        <v>12</v>
      </c>
    </row>
    <row r="2134" ht="33.75" spans="1:11">
      <c r="A2134" s="29">
        <v>2133</v>
      </c>
      <c r="B2134" s="34" t="s">
        <v>2483</v>
      </c>
      <c r="C2134" s="29" t="str">
        <f>VLOOKUP(B2134,教育部大学名单!$B$1:$D$2920,3,FALSE)</f>
        <v>广东省</v>
      </c>
      <c r="D2134" s="34" t="s">
        <v>844</v>
      </c>
      <c r="E2134" s="34" t="s">
        <v>881</v>
      </c>
      <c r="F2134" s="36" t="str">
        <f>IFERROR(VLOOKUP(B2134,'985'!$B$2:$D$40,3,FALSE),"")</f>
        <v/>
      </c>
      <c r="G2134" s="32" t="str">
        <f>IFERROR(VLOOKUP(B2134,'211'!$B$2:$D$116,3,FALSE),"")</f>
        <v/>
      </c>
      <c r="H2134" s="32" t="str">
        <f>IFERROR(VLOOKUP(B2134,双一流!$B$2:$D$148,3,FALSE),"")</f>
        <v/>
      </c>
      <c r="I2134" s="32" t="str">
        <f>IFERROR(VLOOKUP(B2134,汇总!$B$2:$I$2921,8,FALSE),"")</f>
        <v>综合</v>
      </c>
      <c r="J2134" s="34" t="s">
        <v>1700</v>
      </c>
      <c r="K2134" s="34" t="s">
        <v>12</v>
      </c>
    </row>
    <row r="2135" ht="33.75" spans="1:11">
      <c r="A2135" s="34">
        <v>2134</v>
      </c>
      <c r="B2135" s="29" t="s">
        <v>2484</v>
      </c>
      <c r="C2135" s="29" t="str">
        <f>VLOOKUP(B2135,教育部大学名单!$B$1:$D$2920,3,FALSE)</f>
        <v>广东省</v>
      </c>
      <c r="D2135" s="29" t="s">
        <v>844</v>
      </c>
      <c r="E2135" s="29" t="s">
        <v>884</v>
      </c>
      <c r="F2135" s="36" t="str">
        <f>IFERROR(VLOOKUP(B2135,'985'!$B$2:$D$40,3,FALSE),"")</f>
        <v/>
      </c>
      <c r="G2135" s="32" t="str">
        <f>IFERROR(VLOOKUP(B2135,'211'!$B$2:$D$116,3,FALSE),"")</f>
        <v/>
      </c>
      <c r="H2135" s="32" t="str">
        <f>IFERROR(VLOOKUP(B2135,双一流!$B$2:$D$148,3,FALSE),"")</f>
        <v/>
      </c>
      <c r="I2135" s="32" t="str">
        <f>IFERROR(VLOOKUP(B2135,汇总!$B$2:$I$2921,8,FALSE),"")</f>
        <v>理工</v>
      </c>
      <c r="J2135" s="29" t="s">
        <v>1700</v>
      </c>
      <c r="K2135" s="29" t="s">
        <v>12</v>
      </c>
    </row>
    <row r="2136" ht="33.75" spans="1:11">
      <c r="A2136" s="29">
        <v>2135</v>
      </c>
      <c r="B2136" s="34" t="s">
        <v>2485</v>
      </c>
      <c r="C2136" s="29" t="str">
        <f>VLOOKUP(B2136,教育部大学名单!$B$1:$D$2920,3,FALSE)</f>
        <v>广东省</v>
      </c>
      <c r="D2136" s="34" t="s">
        <v>844</v>
      </c>
      <c r="E2136" s="34" t="s">
        <v>1569</v>
      </c>
      <c r="F2136" s="36" t="str">
        <f>IFERROR(VLOOKUP(B2136,'985'!$B$2:$D$40,3,FALSE),"")</f>
        <v/>
      </c>
      <c r="G2136" s="32" t="str">
        <f>IFERROR(VLOOKUP(B2136,'211'!$B$2:$D$116,3,FALSE),"")</f>
        <v/>
      </c>
      <c r="H2136" s="32" t="str">
        <f>IFERROR(VLOOKUP(B2136,双一流!$B$2:$D$148,3,FALSE),"")</f>
        <v/>
      </c>
      <c r="I2136" s="32" t="str">
        <f>IFERROR(VLOOKUP(B2136,汇总!$B$2:$I$2921,8,FALSE),"")</f>
        <v>综合</v>
      </c>
      <c r="J2136" s="34" t="s">
        <v>1700</v>
      </c>
      <c r="K2136" s="34" t="s">
        <v>12</v>
      </c>
    </row>
    <row r="2137" ht="33.75" spans="1:11">
      <c r="A2137" s="34">
        <v>2136</v>
      </c>
      <c r="B2137" s="29" t="s">
        <v>2486</v>
      </c>
      <c r="C2137" s="29" t="str">
        <f>VLOOKUP(B2137,教育部大学名单!$B$1:$D$2920,3,FALSE)</f>
        <v>广东省</v>
      </c>
      <c r="D2137" s="29" t="s">
        <v>844</v>
      </c>
      <c r="E2137" s="29" t="s">
        <v>845</v>
      </c>
      <c r="F2137" s="36" t="str">
        <f>IFERROR(VLOOKUP(B2137,'985'!$B$2:$D$40,3,FALSE),"")</f>
        <v/>
      </c>
      <c r="G2137" s="32" t="str">
        <f>IFERROR(VLOOKUP(B2137,'211'!$B$2:$D$116,3,FALSE),"")</f>
        <v/>
      </c>
      <c r="H2137" s="32" t="str">
        <f>IFERROR(VLOOKUP(B2137,双一流!$B$2:$D$148,3,FALSE),"")</f>
        <v/>
      </c>
      <c r="I2137" s="32" t="str">
        <f>IFERROR(VLOOKUP(B2137,汇总!$B$2:$I$2921,8,FALSE),"")</f>
        <v>理工</v>
      </c>
      <c r="J2137" s="29" t="s">
        <v>1700</v>
      </c>
      <c r="K2137" s="29" t="s">
        <v>12</v>
      </c>
    </row>
    <row r="2138" ht="33.75" spans="1:11">
      <c r="A2138" s="29">
        <v>2137</v>
      </c>
      <c r="B2138" s="34" t="s">
        <v>2487</v>
      </c>
      <c r="C2138" s="29" t="str">
        <f>VLOOKUP(B2138,教育部大学名单!$B$1:$D$2920,3,FALSE)</f>
        <v>广东省</v>
      </c>
      <c r="D2138" s="34" t="s">
        <v>844</v>
      </c>
      <c r="E2138" s="34" t="s">
        <v>845</v>
      </c>
      <c r="F2138" s="36" t="str">
        <f>IFERROR(VLOOKUP(B2138,'985'!$B$2:$D$40,3,FALSE),"")</f>
        <v/>
      </c>
      <c r="G2138" s="32" t="str">
        <f>IFERROR(VLOOKUP(B2138,'211'!$B$2:$D$116,3,FALSE),"")</f>
        <v/>
      </c>
      <c r="H2138" s="32" t="str">
        <f>IFERROR(VLOOKUP(B2138,双一流!$B$2:$D$148,3,FALSE),"")</f>
        <v/>
      </c>
      <c r="I2138" s="32" t="str">
        <f>IFERROR(VLOOKUP(B2138,汇总!$B$2:$I$2921,8,FALSE),"")</f>
        <v>综合</v>
      </c>
      <c r="J2138" s="34" t="s">
        <v>1700</v>
      </c>
      <c r="K2138" s="34" t="s">
        <v>12</v>
      </c>
    </row>
    <row r="2139" ht="33.75" spans="1:11">
      <c r="A2139" s="34">
        <v>2138</v>
      </c>
      <c r="B2139" s="29" t="s">
        <v>2488</v>
      </c>
      <c r="C2139" s="29" t="str">
        <f>VLOOKUP(B2139,教育部大学名单!$B$1:$D$2920,3,FALSE)</f>
        <v>广东省</v>
      </c>
      <c r="D2139" s="29" t="s">
        <v>844</v>
      </c>
      <c r="E2139" s="29" t="s">
        <v>845</v>
      </c>
      <c r="F2139" s="36" t="str">
        <f>IFERROR(VLOOKUP(B2139,'985'!$B$2:$D$40,3,FALSE),"")</f>
        <v/>
      </c>
      <c r="G2139" s="32" t="str">
        <f>IFERROR(VLOOKUP(B2139,'211'!$B$2:$D$116,3,FALSE),"")</f>
        <v/>
      </c>
      <c r="H2139" s="32" t="str">
        <f>IFERROR(VLOOKUP(B2139,双一流!$B$2:$D$148,3,FALSE),"")</f>
        <v/>
      </c>
      <c r="I2139" s="32" t="str">
        <f>IFERROR(VLOOKUP(B2139,汇总!$B$2:$I$2921,8,FALSE),"")</f>
        <v>理工</v>
      </c>
      <c r="J2139" s="29" t="s">
        <v>1700</v>
      </c>
      <c r="K2139" s="29" t="s">
        <v>12</v>
      </c>
    </row>
    <row r="2140" ht="33.75" spans="1:11">
      <c r="A2140" s="29">
        <v>2139</v>
      </c>
      <c r="B2140" s="34" t="s">
        <v>2489</v>
      </c>
      <c r="C2140" s="29" t="str">
        <f>VLOOKUP(B2140,教育部大学名单!$B$1:$D$2920,3,FALSE)</f>
        <v>广东省</v>
      </c>
      <c r="D2140" s="34" t="s">
        <v>844</v>
      </c>
      <c r="E2140" s="34" t="s">
        <v>845</v>
      </c>
      <c r="F2140" s="36" t="str">
        <f>IFERROR(VLOOKUP(B2140,'985'!$B$2:$D$40,3,FALSE),"")</f>
        <v/>
      </c>
      <c r="G2140" s="32" t="str">
        <f>IFERROR(VLOOKUP(B2140,'211'!$B$2:$D$116,3,FALSE),"")</f>
        <v/>
      </c>
      <c r="H2140" s="32" t="str">
        <f>IFERROR(VLOOKUP(B2140,双一流!$B$2:$D$148,3,FALSE),"")</f>
        <v/>
      </c>
      <c r="I2140" s="32" t="str">
        <f>IFERROR(VLOOKUP(B2140,汇总!$B$2:$I$2921,8,FALSE),"")</f>
        <v>理工</v>
      </c>
      <c r="J2140" s="34" t="s">
        <v>1700</v>
      </c>
      <c r="K2140" s="34" t="s">
        <v>12</v>
      </c>
    </row>
    <row r="2141" ht="33.75" spans="1:11">
      <c r="A2141" s="34">
        <v>2140</v>
      </c>
      <c r="B2141" s="29" t="s">
        <v>2490</v>
      </c>
      <c r="C2141" s="29" t="str">
        <f>VLOOKUP(B2141,教育部大学名单!$B$1:$D$2920,3,FALSE)</f>
        <v>广东省</v>
      </c>
      <c r="D2141" s="29" t="s">
        <v>844</v>
      </c>
      <c r="E2141" s="29" t="s">
        <v>845</v>
      </c>
      <c r="F2141" s="36" t="str">
        <f>IFERROR(VLOOKUP(B2141,'985'!$B$2:$D$40,3,FALSE),"")</f>
        <v/>
      </c>
      <c r="G2141" s="32" t="str">
        <f>IFERROR(VLOOKUP(B2141,'211'!$B$2:$D$116,3,FALSE),"")</f>
        <v/>
      </c>
      <c r="H2141" s="32" t="str">
        <f>IFERROR(VLOOKUP(B2141,双一流!$B$2:$D$148,3,FALSE),"")</f>
        <v/>
      </c>
      <c r="I2141" s="32" t="str">
        <f>IFERROR(VLOOKUP(B2141,汇总!$B$2:$I$2921,8,FALSE),"")</f>
        <v>综合</v>
      </c>
      <c r="J2141" s="29" t="s">
        <v>1700</v>
      </c>
      <c r="K2141" s="29" t="s">
        <v>12</v>
      </c>
    </row>
    <row r="2142" ht="33.75" spans="1:11">
      <c r="A2142" s="29">
        <v>2141</v>
      </c>
      <c r="B2142" s="34" t="s">
        <v>2491</v>
      </c>
      <c r="C2142" s="29" t="str">
        <f>VLOOKUP(B2142,教育部大学名单!$B$1:$D$2920,3,FALSE)</f>
        <v>广东省</v>
      </c>
      <c r="D2142" s="34" t="s">
        <v>844</v>
      </c>
      <c r="E2142" s="34" t="s">
        <v>845</v>
      </c>
      <c r="F2142" s="36" t="str">
        <f>IFERROR(VLOOKUP(B2142,'985'!$B$2:$D$40,3,FALSE),"")</f>
        <v/>
      </c>
      <c r="G2142" s="32" t="str">
        <f>IFERROR(VLOOKUP(B2142,'211'!$B$2:$D$116,3,FALSE),"")</f>
        <v/>
      </c>
      <c r="H2142" s="32" t="str">
        <f>IFERROR(VLOOKUP(B2142,双一流!$B$2:$D$148,3,FALSE),"")</f>
        <v/>
      </c>
      <c r="I2142" s="32" t="str">
        <f>IFERROR(VLOOKUP(B2142,汇总!$B$2:$I$2921,8,FALSE),"")</f>
        <v>综合</v>
      </c>
      <c r="J2142" s="34" t="s">
        <v>1700</v>
      </c>
      <c r="K2142" s="34" t="s">
        <v>12</v>
      </c>
    </row>
    <row r="2143" ht="33.75" spans="1:11">
      <c r="A2143" s="34">
        <v>2142</v>
      </c>
      <c r="B2143" s="29" t="s">
        <v>2492</v>
      </c>
      <c r="C2143" s="29" t="str">
        <f>VLOOKUP(B2143,教育部大学名单!$B$1:$D$2920,3,FALSE)</f>
        <v>广东省</v>
      </c>
      <c r="D2143" s="29" t="s">
        <v>844</v>
      </c>
      <c r="E2143" s="29" t="s">
        <v>1554</v>
      </c>
      <c r="F2143" s="36" t="str">
        <f>IFERROR(VLOOKUP(B2143,'985'!$B$2:$D$40,3,FALSE),"")</f>
        <v/>
      </c>
      <c r="G2143" s="32" t="str">
        <f>IFERROR(VLOOKUP(B2143,'211'!$B$2:$D$116,3,FALSE),"")</f>
        <v/>
      </c>
      <c r="H2143" s="32" t="str">
        <f>IFERROR(VLOOKUP(B2143,双一流!$B$2:$D$148,3,FALSE),"")</f>
        <v/>
      </c>
      <c r="I2143" s="32" t="str">
        <f>IFERROR(VLOOKUP(B2143,汇总!$B$2:$I$2921,8,FALSE),"")</f>
        <v>综合</v>
      </c>
      <c r="J2143" s="29" t="s">
        <v>1700</v>
      </c>
      <c r="K2143" s="29" t="s">
        <v>12</v>
      </c>
    </row>
    <row r="2144" ht="33.75" spans="1:11">
      <c r="A2144" s="29">
        <v>2143</v>
      </c>
      <c r="B2144" s="34" t="s">
        <v>2493</v>
      </c>
      <c r="C2144" s="29" t="str">
        <f>VLOOKUP(B2144,教育部大学名单!$B$1:$D$2920,3,FALSE)</f>
        <v>广东省</v>
      </c>
      <c r="D2144" s="34" t="s">
        <v>844</v>
      </c>
      <c r="E2144" s="34" t="s">
        <v>886</v>
      </c>
      <c r="F2144" s="36" t="str">
        <f>IFERROR(VLOOKUP(B2144,'985'!$B$2:$D$40,3,FALSE),"")</f>
        <v/>
      </c>
      <c r="G2144" s="32" t="str">
        <f>IFERROR(VLOOKUP(B2144,'211'!$B$2:$D$116,3,FALSE),"")</f>
        <v/>
      </c>
      <c r="H2144" s="32" t="str">
        <f>IFERROR(VLOOKUP(B2144,双一流!$B$2:$D$148,3,FALSE),"")</f>
        <v/>
      </c>
      <c r="I2144" s="32" t="str">
        <f>IFERROR(VLOOKUP(B2144,汇总!$B$2:$I$2921,8,FALSE),"")</f>
        <v>理工</v>
      </c>
      <c r="J2144" s="34" t="s">
        <v>1700</v>
      </c>
      <c r="K2144" s="34" t="s">
        <v>12</v>
      </c>
    </row>
    <row r="2145" ht="50.25" spans="1:11">
      <c r="A2145" s="34">
        <v>2144</v>
      </c>
      <c r="B2145" s="29" t="s">
        <v>2494</v>
      </c>
      <c r="C2145" s="29" t="str">
        <f>VLOOKUP(B2145,教育部大学名单!$B$1:$D$2920,3,FALSE)</f>
        <v>广东省</v>
      </c>
      <c r="D2145" s="29" t="s">
        <v>844</v>
      </c>
      <c r="E2145" s="29" t="s">
        <v>890</v>
      </c>
      <c r="F2145" s="36" t="str">
        <f>IFERROR(VLOOKUP(B2145,'985'!$B$2:$D$40,3,FALSE),"")</f>
        <v/>
      </c>
      <c r="G2145" s="32" t="str">
        <f>IFERROR(VLOOKUP(B2145,'211'!$B$2:$D$116,3,FALSE),"")</f>
        <v/>
      </c>
      <c r="H2145" s="32" t="str">
        <f>IFERROR(VLOOKUP(B2145,双一流!$B$2:$D$148,3,FALSE),"")</f>
        <v/>
      </c>
      <c r="I2145" s="32" t="str">
        <f>IFERROR(VLOOKUP(B2145,汇总!$B$2:$I$2921,8,FALSE),"")</f>
        <v>理工</v>
      </c>
      <c r="J2145" s="29" t="s">
        <v>1700</v>
      </c>
      <c r="K2145" s="29" t="s">
        <v>12</v>
      </c>
    </row>
    <row r="2146" ht="33.75" spans="1:11">
      <c r="A2146" s="29">
        <v>2145</v>
      </c>
      <c r="B2146" s="34" t="s">
        <v>2495</v>
      </c>
      <c r="C2146" s="29" t="str">
        <f>VLOOKUP(B2146,教育部大学名单!$B$1:$D$2920,3,FALSE)</f>
        <v>广东省</v>
      </c>
      <c r="D2146" s="34" t="s">
        <v>844</v>
      </c>
      <c r="E2146" s="34" t="s">
        <v>845</v>
      </c>
      <c r="F2146" s="36" t="str">
        <f>IFERROR(VLOOKUP(B2146,'985'!$B$2:$D$40,3,FALSE),"")</f>
        <v/>
      </c>
      <c r="G2146" s="32" t="str">
        <f>IFERROR(VLOOKUP(B2146,'211'!$B$2:$D$116,3,FALSE),"")</f>
        <v/>
      </c>
      <c r="H2146" s="32" t="str">
        <f>IFERROR(VLOOKUP(B2146,双一流!$B$2:$D$148,3,FALSE),"")</f>
        <v/>
      </c>
      <c r="I2146" s="32" t="str">
        <f>IFERROR(VLOOKUP(B2146,汇总!$B$2:$I$2921,8,FALSE),"")</f>
        <v>综合</v>
      </c>
      <c r="J2146" s="34" t="s">
        <v>1700</v>
      </c>
      <c r="K2146" s="34" t="s">
        <v>12</v>
      </c>
    </row>
    <row r="2147" ht="33.75" spans="1:11">
      <c r="A2147" s="34">
        <v>2146</v>
      </c>
      <c r="B2147" s="29" t="s">
        <v>2496</v>
      </c>
      <c r="C2147" s="29" t="str">
        <f>VLOOKUP(B2147,教育部大学名单!$B$1:$D$2920,3,FALSE)</f>
        <v>广东省</v>
      </c>
      <c r="D2147" s="29" t="s">
        <v>844</v>
      </c>
      <c r="E2147" s="29" t="s">
        <v>845</v>
      </c>
      <c r="F2147" s="36" t="str">
        <f>IFERROR(VLOOKUP(B2147,'985'!$B$2:$D$40,3,FALSE),"")</f>
        <v/>
      </c>
      <c r="G2147" s="32" t="str">
        <f>IFERROR(VLOOKUP(B2147,'211'!$B$2:$D$116,3,FALSE),"")</f>
        <v/>
      </c>
      <c r="H2147" s="32" t="str">
        <f>IFERROR(VLOOKUP(B2147,双一流!$B$2:$D$148,3,FALSE),"")</f>
        <v/>
      </c>
      <c r="I2147" s="32">
        <f>IFERROR(VLOOKUP(B2147,汇总!$B$2:$I$2921,8,FALSE),"")</f>
        <v>0</v>
      </c>
      <c r="J2147" s="29" t="s">
        <v>1700</v>
      </c>
      <c r="K2147" s="29" t="s">
        <v>12</v>
      </c>
    </row>
    <row r="2148" ht="33.75" spans="1:11">
      <c r="A2148" s="29">
        <v>2147</v>
      </c>
      <c r="B2148" s="34" t="s">
        <v>2497</v>
      </c>
      <c r="C2148" s="29" t="str">
        <f>VLOOKUP(B2148,教育部大学名单!$B$1:$D$2920,3,FALSE)</f>
        <v>广东省</v>
      </c>
      <c r="D2148" s="34" t="s">
        <v>844</v>
      </c>
      <c r="E2148" s="34" t="s">
        <v>861</v>
      </c>
      <c r="F2148" s="36" t="str">
        <f>IFERROR(VLOOKUP(B2148,'985'!$B$2:$D$40,3,FALSE),"")</f>
        <v/>
      </c>
      <c r="G2148" s="32" t="str">
        <f>IFERROR(VLOOKUP(B2148,'211'!$B$2:$D$116,3,FALSE),"")</f>
        <v/>
      </c>
      <c r="H2148" s="32" t="str">
        <f>IFERROR(VLOOKUP(B2148,双一流!$B$2:$D$148,3,FALSE),"")</f>
        <v/>
      </c>
      <c r="I2148" s="32">
        <f>IFERROR(VLOOKUP(B2148,汇总!$B$2:$I$2921,8,FALSE),"")</f>
        <v>0</v>
      </c>
      <c r="J2148" s="34" t="s">
        <v>1700</v>
      </c>
      <c r="K2148" s="34" t="s">
        <v>12</v>
      </c>
    </row>
    <row r="2149" ht="33.75" spans="1:11">
      <c r="A2149" s="34">
        <v>2148</v>
      </c>
      <c r="B2149" s="29" t="s">
        <v>2498</v>
      </c>
      <c r="C2149" s="29" t="str">
        <f>VLOOKUP(B2149,教育部大学名单!$B$1:$D$2920,3,FALSE)</f>
        <v>广东省</v>
      </c>
      <c r="D2149" s="29" t="s">
        <v>844</v>
      </c>
      <c r="E2149" s="29" t="s">
        <v>845</v>
      </c>
      <c r="F2149" s="36" t="str">
        <f>IFERROR(VLOOKUP(B2149,'985'!$B$2:$D$40,3,FALSE),"")</f>
        <v/>
      </c>
      <c r="G2149" s="32" t="str">
        <f>IFERROR(VLOOKUP(B2149,'211'!$B$2:$D$116,3,FALSE),"")</f>
        <v/>
      </c>
      <c r="H2149" s="32" t="str">
        <f>IFERROR(VLOOKUP(B2149,双一流!$B$2:$D$148,3,FALSE),"")</f>
        <v/>
      </c>
      <c r="I2149" s="32" t="str">
        <f>IFERROR(VLOOKUP(B2149,汇总!$B$2:$I$2921,8,FALSE),"")</f>
        <v>综合</v>
      </c>
      <c r="J2149" s="29" t="s">
        <v>1700</v>
      </c>
      <c r="K2149" s="29" t="s">
        <v>12</v>
      </c>
    </row>
    <row r="2150" ht="33.75" spans="1:11">
      <c r="A2150" s="29">
        <v>2149</v>
      </c>
      <c r="B2150" s="34" t="s">
        <v>2499</v>
      </c>
      <c r="C2150" s="29" t="str">
        <f>VLOOKUP(B2150,教育部大学名单!$B$1:$D$2920,3,FALSE)</f>
        <v>广东省</v>
      </c>
      <c r="D2150" s="34" t="s">
        <v>844</v>
      </c>
      <c r="E2150" s="34" t="s">
        <v>861</v>
      </c>
      <c r="F2150" s="36" t="str">
        <f>IFERROR(VLOOKUP(B2150,'985'!$B$2:$D$40,3,FALSE),"")</f>
        <v/>
      </c>
      <c r="G2150" s="32" t="str">
        <f>IFERROR(VLOOKUP(B2150,'211'!$B$2:$D$116,3,FALSE),"")</f>
        <v/>
      </c>
      <c r="H2150" s="32" t="str">
        <f>IFERROR(VLOOKUP(B2150,双一流!$B$2:$D$148,3,FALSE),"")</f>
        <v/>
      </c>
      <c r="I2150" s="32" t="str">
        <f>IFERROR(VLOOKUP(B2150,汇总!$B$2:$I$2921,8,FALSE),"")</f>
        <v>综合</v>
      </c>
      <c r="J2150" s="34" t="s">
        <v>1700</v>
      </c>
      <c r="K2150" s="34" t="s">
        <v>12</v>
      </c>
    </row>
    <row r="2151" ht="33.75" spans="1:11">
      <c r="A2151" s="34">
        <v>2150</v>
      </c>
      <c r="B2151" s="29" t="s">
        <v>2500</v>
      </c>
      <c r="C2151" s="29" t="str">
        <f>VLOOKUP(B2151,教育部大学名单!$B$1:$D$2920,3,FALSE)</f>
        <v>广东省</v>
      </c>
      <c r="D2151" s="29" t="s">
        <v>844</v>
      </c>
      <c r="E2151" s="29" t="s">
        <v>884</v>
      </c>
      <c r="F2151" s="36" t="str">
        <f>IFERROR(VLOOKUP(B2151,'985'!$B$2:$D$40,3,FALSE),"")</f>
        <v/>
      </c>
      <c r="G2151" s="32" t="str">
        <f>IFERROR(VLOOKUP(B2151,'211'!$B$2:$D$116,3,FALSE),"")</f>
        <v/>
      </c>
      <c r="H2151" s="32" t="str">
        <f>IFERROR(VLOOKUP(B2151,双一流!$B$2:$D$148,3,FALSE),"")</f>
        <v/>
      </c>
      <c r="I2151" s="32">
        <f>IFERROR(VLOOKUP(B2151,汇总!$B$2:$I$2921,8,FALSE),"")</f>
        <v>0</v>
      </c>
      <c r="J2151" s="29" t="s">
        <v>1700</v>
      </c>
      <c r="K2151" s="29" t="s">
        <v>12</v>
      </c>
    </row>
    <row r="2152" ht="50.25" spans="1:11">
      <c r="A2152" s="29">
        <v>2151</v>
      </c>
      <c r="B2152" s="34" t="s">
        <v>2501</v>
      </c>
      <c r="C2152" s="29" t="str">
        <f>VLOOKUP(B2152,教育部大学名单!$B$1:$D$2920,3,FALSE)</f>
        <v>广东省</v>
      </c>
      <c r="D2152" s="34" t="s">
        <v>844</v>
      </c>
      <c r="E2152" s="34" t="s">
        <v>884</v>
      </c>
      <c r="F2152" s="36" t="str">
        <f>IFERROR(VLOOKUP(B2152,'985'!$B$2:$D$40,3,FALSE),"")</f>
        <v/>
      </c>
      <c r="G2152" s="32" t="str">
        <f>IFERROR(VLOOKUP(B2152,'211'!$B$2:$D$116,3,FALSE),"")</f>
        <v/>
      </c>
      <c r="H2152" s="32" t="str">
        <f>IFERROR(VLOOKUP(B2152,双一流!$B$2:$D$148,3,FALSE),"")</f>
        <v/>
      </c>
      <c r="I2152" s="32" t="str">
        <f>IFERROR(VLOOKUP(B2152,汇总!$B$2:$I$2921,8,FALSE),"")</f>
        <v>师范</v>
      </c>
      <c r="J2152" s="34" t="s">
        <v>1700</v>
      </c>
      <c r="K2152" s="34" t="s">
        <v>12</v>
      </c>
    </row>
    <row r="2153" ht="33.75" spans="1:11">
      <c r="A2153" s="34">
        <v>2152</v>
      </c>
      <c r="B2153" s="29" t="s">
        <v>2502</v>
      </c>
      <c r="C2153" s="29" t="str">
        <f>VLOOKUP(B2153,教育部大学名单!$B$1:$D$2920,3,FALSE)</f>
        <v>广东省</v>
      </c>
      <c r="D2153" s="29" t="s">
        <v>844</v>
      </c>
      <c r="E2153" s="29" t="s">
        <v>845</v>
      </c>
      <c r="F2153" s="36" t="str">
        <f>IFERROR(VLOOKUP(B2153,'985'!$B$2:$D$40,3,FALSE),"")</f>
        <v/>
      </c>
      <c r="G2153" s="32" t="str">
        <f>IFERROR(VLOOKUP(B2153,'211'!$B$2:$D$116,3,FALSE),"")</f>
        <v/>
      </c>
      <c r="H2153" s="32" t="str">
        <f>IFERROR(VLOOKUP(B2153,双一流!$B$2:$D$148,3,FALSE),"")</f>
        <v/>
      </c>
      <c r="I2153" s="32" t="str">
        <f>IFERROR(VLOOKUP(B2153,汇总!$B$2:$I$2921,8,FALSE),"")</f>
        <v>医药</v>
      </c>
      <c r="J2153" s="29" t="s">
        <v>1700</v>
      </c>
      <c r="K2153" s="29" t="s">
        <v>12</v>
      </c>
    </row>
    <row r="2154" ht="33.75" spans="1:11">
      <c r="A2154" s="29">
        <v>2153</v>
      </c>
      <c r="B2154" s="34" t="s">
        <v>2503</v>
      </c>
      <c r="C2154" s="29" t="str">
        <f>VLOOKUP(B2154,教育部大学名单!$B$1:$D$2920,3,FALSE)</f>
        <v>广东省</v>
      </c>
      <c r="D2154" s="34" t="s">
        <v>844</v>
      </c>
      <c r="E2154" s="34" t="s">
        <v>861</v>
      </c>
      <c r="F2154" s="36" t="str">
        <f>IFERROR(VLOOKUP(B2154,'985'!$B$2:$D$40,3,FALSE),"")</f>
        <v/>
      </c>
      <c r="G2154" s="32" t="str">
        <f>IFERROR(VLOOKUP(B2154,'211'!$B$2:$D$116,3,FALSE),"")</f>
        <v/>
      </c>
      <c r="H2154" s="32" t="str">
        <f>IFERROR(VLOOKUP(B2154,双一流!$B$2:$D$148,3,FALSE),"")</f>
        <v/>
      </c>
      <c r="I2154" s="32">
        <f>IFERROR(VLOOKUP(B2154,汇总!$B$2:$I$2921,8,FALSE),"")</f>
        <v>0</v>
      </c>
      <c r="J2154" s="34" t="s">
        <v>1700</v>
      </c>
      <c r="K2154" s="34" t="s">
        <v>12</v>
      </c>
    </row>
    <row r="2155" ht="50.25" spans="1:11">
      <c r="A2155" s="34">
        <v>2154</v>
      </c>
      <c r="B2155" s="29" t="s">
        <v>2504</v>
      </c>
      <c r="C2155" s="29" t="str">
        <f>VLOOKUP(B2155,教育部大学名单!$B$1:$D$2920,3,FALSE)</f>
        <v>广东省</v>
      </c>
      <c r="D2155" s="29" t="s">
        <v>844</v>
      </c>
      <c r="E2155" s="29" t="s">
        <v>881</v>
      </c>
      <c r="F2155" s="36" t="str">
        <f>IFERROR(VLOOKUP(B2155,'985'!$B$2:$D$40,3,FALSE),"")</f>
        <v/>
      </c>
      <c r="G2155" s="32" t="str">
        <f>IFERROR(VLOOKUP(B2155,'211'!$B$2:$D$116,3,FALSE),"")</f>
        <v/>
      </c>
      <c r="H2155" s="32" t="str">
        <f>IFERROR(VLOOKUP(B2155,双一流!$B$2:$D$148,3,FALSE),"")</f>
        <v/>
      </c>
      <c r="I2155" s="32" t="str">
        <f>IFERROR(VLOOKUP(B2155,汇总!$B$2:$I$2921,8,FALSE),"")</f>
        <v>医药</v>
      </c>
      <c r="J2155" s="29" t="s">
        <v>1700</v>
      </c>
      <c r="K2155" s="29" t="s">
        <v>12</v>
      </c>
    </row>
    <row r="2156" ht="50.25" spans="1:11">
      <c r="A2156" s="29">
        <v>2155</v>
      </c>
      <c r="B2156" s="34" t="s">
        <v>2505</v>
      </c>
      <c r="C2156" s="29" t="str">
        <f>VLOOKUP(B2156,教育部大学名单!$B$1:$D$2920,3,FALSE)</f>
        <v>广东省</v>
      </c>
      <c r="D2156" s="34" t="s">
        <v>844</v>
      </c>
      <c r="E2156" s="34" t="s">
        <v>884</v>
      </c>
      <c r="F2156" s="36" t="str">
        <f>IFERROR(VLOOKUP(B2156,'985'!$B$2:$D$40,3,FALSE),"")</f>
        <v/>
      </c>
      <c r="G2156" s="32" t="str">
        <f>IFERROR(VLOOKUP(B2156,'211'!$B$2:$D$116,3,FALSE),"")</f>
        <v/>
      </c>
      <c r="H2156" s="32" t="str">
        <f>IFERROR(VLOOKUP(B2156,双一流!$B$2:$D$148,3,FALSE),"")</f>
        <v/>
      </c>
      <c r="I2156" s="32">
        <f>IFERROR(VLOOKUP(B2156,汇总!$B$2:$I$2921,8,FALSE),"")</f>
        <v>0</v>
      </c>
      <c r="J2156" s="34" t="s">
        <v>1700</v>
      </c>
      <c r="K2156" s="34" t="s">
        <v>12</v>
      </c>
    </row>
    <row r="2157" ht="50.25" spans="1:11">
      <c r="A2157" s="34">
        <v>2156</v>
      </c>
      <c r="B2157" s="29" t="s">
        <v>2506</v>
      </c>
      <c r="C2157" s="29" t="str">
        <f>VLOOKUP(B2157,教育部大学名单!$B$1:$D$2920,3,FALSE)</f>
        <v>广东省</v>
      </c>
      <c r="D2157" s="29" t="s">
        <v>844</v>
      </c>
      <c r="E2157" s="29" t="s">
        <v>881</v>
      </c>
      <c r="F2157" s="36" t="str">
        <f>IFERROR(VLOOKUP(B2157,'985'!$B$2:$D$40,3,FALSE),"")</f>
        <v/>
      </c>
      <c r="G2157" s="32" t="str">
        <f>IFERROR(VLOOKUP(B2157,'211'!$B$2:$D$116,3,FALSE),"")</f>
        <v/>
      </c>
      <c r="H2157" s="32" t="str">
        <f>IFERROR(VLOOKUP(B2157,双一流!$B$2:$D$148,3,FALSE),"")</f>
        <v/>
      </c>
      <c r="I2157" s="32">
        <f>IFERROR(VLOOKUP(B2157,汇总!$B$2:$I$2921,8,FALSE),"")</f>
        <v>0</v>
      </c>
      <c r="J2157" s="29" t="s">
        <v>1700</v>
      </c>
      <c r="K2157" s="29" t="s">
        <v>12</v>
      </c>
    </row>
    <row r="2158" ht="33.75" spans="1:11">
      <c r="A2158" s="29">
        <v>2157</v>
      </c>
      <c r="B2158" s="34" t="s">
        <v>2507</v>
      </c>
      <c r="C2158" s="29" t="str">
        <f>VLOOKUP(B2158,教育部大学名单!$B$1:$D$2920,3,FALSE)</f>
        <v>广东省</v>
      </c>
      <c r="D2158" s="34" t="s">
        <v>844</v>
      </c>
      <c r="E2158" s="34" t="s">
        <v>2475</v>
      </c>
      <c r="F2158" s="36" t="str">
        <f>IFERROR(VLOOKUP(B2158,'985'!$B$2:$D$40,3,FALSE),"")</f>
        <v/>
      </c>
      <c r="G2158" s="32" t="str">
        <f>IFERROR(VLOOKUP(B2158,'211'!$B$2:$D$116,3,FALSE),"")</f>
        <v/>
      </c>
      <c r="H2158" s="32" t="str">
        <f>IFERROR(VLOOKUP(B2158,双一流!$B$2:$D$148,3,FALSE),"")</f>
        <v/>
      </c>
      <c r="I2158" s="32">
        <f>IFERROR(VLOOKUP(B2158,汇总!$B$2:$I$2921,8,FALSE),"")</f>
        <v>0</v>
      </c>
      <c r="J2158" s="34" t="s">
        <v>1700</v>
      </c>
      <c r="K2158" s="34" t="s">
        <v>12</v>
      </c>
    </row>
    <row r="2159" ht="50.25" spans="1:11">
      <c r="A2159" s="34">
        <v>2158</v>
      </c>
      <c r="B2159" s="29" t="s">
        <v>2508</v>
      </c>
      <c r="C2159" s="29" t="str">
        <f>VLOOKUP(B2159,教育部大学名单!$B$1:$D$2920,3,FALSE)</f>
        <v>广东省</v>
      </c>
      <c r="D2159" s="29" t="s">
        <v>844</v>
      </c>
      <c r="E2159" s="29" t="s">
        <v>845</v>
      </c>
      <c r="F2159" s="36" t="str">
        <f>IFERROR(VLOOKUP(B2159,'985'!$B$2:$D$40,3,FALSE),"")</f>
        <v/>
      </c>
      <c r="G2159" s="32" t="str">
        <f>IFERROR(VLOOKUP(B2159,'211'!$B$2:$D$116,3,FALSE),"")</f>
        <v/>
      </c>
      <c r="H2159" s="32" t="str">
        <f>IFERROR(VLOOKUP(B2159,双一流!$B$2:$D$148,3,FALSE),"")</f>
        <v/>
      </c>
      <c r="I2159" s="32">
        <f>IFERROR(VLOOKUP(B2159,汇总!$B$2:$I$2921,8,FALSE),"")</f>
        <v>0</v>
      </c>
      <c r="J2159" s="29" t="s">
        <v>1700</v>
      </c>
      <c r="K2159" s="29" t="s">
        <v>12</v>
      </c>
    </row>
    <row r="2160" ht="50.25" spans="1:11">
      <c r="A2160" s="29">
        <v>2159</v>
      </c>
      <c r="B2160" s="34" t="s">
        <v>2509</v>
      </c>
      <c r="C2160" s="29" t="str">
        <f>VLOOKUP(B2160,教育部大学名单!$B$1:$D$2920,3,FALSE)</f>
        <v>广东省</v>
      </c>
      <c r="D2160" s="34" t="s">
        <v>844</v>
      </c>
      <c r="E2160" s="34" t="s">
        <v>848</v>
      </c>
      <c r="F2160" s="36" t="str">
        <f>IFERROR(VLOOKUP(B2160,'985'!$B$2:$D$40,3,FALSE),"")</f>
        <v/>
      </c>
      <c r="G2160" s="32" t="str">
        <f>IFERROR(VLOOKUP(B2160,'211'!$B$2:$D$116,3,FALSE),"")</f>
        <v/>
      </c>
      <c r="H2160" s="32" t="str">
        <f>IFERROR(VLOOKUP(B2160,双一流!$B$2:$D$148,3,FALSE),"")</f>
        <v/>
      </c>
      <c r="I2160" s="32">
        <f>IFERROR(VLOOKUP(B2160,汇总!$B$2:$I$2921,8,FALSE),"")</f>
        <v>0</v>
      </c>
      <c r="J2160" s="34" t="s">
        <v>1700</v>
      </c>
      <c r="K2160" s="34" t="s">
        <v>12</v>
      </c>
    </row>
    <row r="2161" ht="33.75" spans="1:11">
      <c r="A2161" s="34">
        <v>2160</v>
      </c>
      <c r="B2161" s="29" t="s">
        <v>2510</v>
      </c>
      <c r="C2161" s="29" t="str">
        <f>VLOOKUP(B2161,教育部大学名单!$B$1:$D$2920,3,FALSE)</f>
        <v>广东省</v>
      </c>
      <c r="D2161" s="29" t="s">
        <v>844</v>
      </c>
      <c r="E2161" s="29" t="s">
        <v>868</v>
      </c>
      <c r="F2161" s="36" t="str">
        <f>IFERROR(VLOOKUP(B2161,'985'!$B$2:$D$40,3,FALSE),"")</f>
        <v/>
      </c>
      <c r="G2161" s="32" t="str">
        <f>IFERROR(VLOOKUP(B2161,'211'!$B$2:$D$116,3,FALSE),"")</f>
        <v/>
      </c>
      <c r="H2161" s="32" t="str">
        <f>IFERROR(VLOOKUP(B2161,双一流!$B$2:$D$148,3,FALSE),"")</f>
        <v/>
      </c>
      <c r="I2161" s="32">
        <f>IFERROR(VLOOKUP(B2161,汇总!$B$2:$I$2921,8,FALSE),"")</f>
        <v>0</v>
      </c>
      <c r="J2161" s="29" t="s">
        <v>1700</v>
      </c>
      <c r="K2161" s="29" t="s">
        <v>12</v>
      </c>
    </row>
    <row r="2162" ht="50.25" spans="1:11">
      <c r="A2162" s="29">
        <v>2161</v>
      </c>
      <c r="B2162" s="34" t="s">
        <v>2511</v>
      </c>
      <c r="C2162" s="29" t="str">
        <f>VLOOKUP(B2162,教育部大学名单!$B$1:$D$2920,3,FALSE)</f>
        <v>广东省</v>
      </c>
      <c r="D2162" s="34" t="s">
        <v>844</v>
      </c>
      <c r="E2162" s="34" t="s">
        <v>863</v>
      </c>
      <c r="F2162" s="36" t="str">
        <f>IFERROR(VLOOKUP(B2162,'985'!$B$2:$D$40,3,FALSE),"")</f>
        <v/>
      </c>
      <c r="G2162" s="32" t="str">
        <f>IFERROR(VLOOKUP(B2162,'211'!$B$2:$D$116,3,FALSE),"")</f>
        <v/>
      </c>
      <c r="H2162" s="32" t="str">
        <f>IFERROR(VLOOKUP(B2162,双一流!$B$2:$D$148,3,FALSE),"")</f>
        <v/>
      </c>
      <c r="I2162" s="32">
        <f>IFERROR(VLOOKUP(B2162,汇总!$B$2:$I$2921,8,FALSE),"")</f>
        <v>0</v>
      </c>
      <c r="J2162" s="34" t="s">
        <v>1700</v>
      </c>
      <c r="K2162" s="34" t="s">
        <v>12</v>
      </c>
    </row>
    <row r="2163" ht="50.25" spans="1:11">
      <c r="A2163" s="34">
        <v>2162</v>
      </c>
      <c r="B2163" s="29" t="s">
        <v>2512</v>
      </c>
      <c r="C2163" s="29" t="str">
        <f>VLOOKUP(B2163,教育部大学名单!$B$1:$D$2920,3,FALSE)</f>
        <v>广东省</v>
      </c>
      <c r="D2163" s="29" t="s">
        <v>844</v>
      </c>
      <c r="E2163" s="29" t="s">
        <v>2465</v>
      </c>
      <c r="F2163" s="36" t="str">
        <f>IFERROR(VLOOKUP(B2163,'985'!$B$2:$D$40,3,FALSE),"")</f>
        <v/>
      </c>
      <c r="G2163" s="32" t="str">
        <f>IFERROR(VLOOKUP(B2163,'211'!$B$2:$D$116,3,FALSE),"")</f>
        <v/>
      </c>
      <c r="H2163" s="32" t="str">
        <f>IFERROR(VLOOKUP(B2163,双一流!$B$2:$D$148,3,FALSE),"")</f>
        <v/>
      </c>
      <c r="I2163" s="32">
        <f>IFERROR(VLOOKUP(B2163,汇总!$B$2:$I$2921,8,FALSE),"")</f>
        <v>0</v>
      </c>
      <c r="J2163" s="29" t="s">
        <v>1700</v>
      </c>
      <c r="K2163" s="29" t="s">
        <v>12</v>
      </c>
    </row>
    <row r="2164" ht="33.75" spans="1:11">
      <c r="A2164" s="29">
        <v>2163</v>
      </c>
      <c r="B2164" s="34" t="s">
        <v>2513</v>
      </c>
      <c r="C2164" s="29" t="str">
        <f>VLOOKUP(B2164,教育部大学名单!$B$1:$D$2920,3,FALSE)</f>
        <v>广东省</v>
      </c>
      <c r="D2164" s="34" t="s">
        <v>844</v>
      </c>
      <c r="E2164" s="34" t="s">
        <v>852</v>
      </c>
      <c r="F2164" s="36" t="str">
        <f>IFERROR(VLOOKUP(B2164,'985'!$B$2:$D$40,3,FALSE),"")</f>
        <v/>
      </c>
      <c r="G2164" s="32" t="str">
        <f>IFERROR(VLOOKUP(B2164,'211'!$B$2:$D$116,3,FALSE),"")</f>
        <v/>
      </c>
      <c r="H2164" s="32" t="str">
        <f>IFERROR(VLOOKUP(B2164,双一流!$B$2:$D$148,3,FALSE),"")</f>
        <v/>
      </c>
      <c r="I2164" s="32">
        <f>IFERROR(VLOOKUP(B2164,汇总!$B$2:$I$2921,8,FALSE),"")</f>
        <v>0</v>
      </c>
      <c r="J2164" s="34" t="s">
        <v>1700</v>
      </c>
      <c r="K2164" s="34" t="s">
        <v>12</v>
      </c>
    </row>
    <row r="2165" ht="33.75" spans="1:11">
      <c r="A2165" s="34">
        <v>2164</v>
      </c>
      <c r="B2165" s="29" t="s">
        <v>2514</v>
      </c>
      <c r="C2165" s="29" t="str">
        <f>VLOOKUP(B2165,教育部大学名单!$B$1:$D$2920,3,FALSE)</f>
        <v>广西壮族自治区</v>
      </c>
      <c r="D2165" s="29" t="s">
        <v>902</v>
      </c>
      <c r="E2165" s="29" t="s">
        <v>903</v>
      </c>
      <c r="F2165" s="36" t="str">
        <f>IFERROR(VLOOKUP(B2165,'985'!$B$2:$D$40,3,FALSE),"")</f>
        <v/>
      </c>
      <c r="G2165" s="32" t="str">
        <f>IFERROR(VLOOKUP(B2165,'211'!$B$2:$D$116,3,FALSE),"")</f>
        <v/>
      </c>
      <c r="H2165" s="32" t="str">
        <f>IFERROR(VLOOKUP(B2165,双一流!$B$2:$D$148,3,FALSE),"")</f>
        <v/>
      </c>
      <c r="I2165" s="32" t="str">
        <f>IFERROR(VLOOKUP(B2165,汇总!$B$2:$I$2921,8,FALSE),"")</f>
        <v>理工</v>
      </c>
      <c r="J2165" s="29" t="s">
        <v>1700</v>
      </c>
      <c r="K2165" s="29" t="s">
        <v>12</v>
      </c>
    </row>
    <row r="2166" ht="33.75" spans="1:11">
      <c r="A2166" s="29">
        <v>2165</v>
      </c>
      <c r="B2166" s="34" t="s">
        <v>2515</v>
      </c>
      <c r="C2166" s="29" t="str">
        <f>VLOOKUP(B2166,教育部大学名单!$B$1:$D$2920,3,FALSE)</f>
        <v>广西壮族自治区</v>
      </c>
      <c r="D2166" s="34" t="s">
        <v>902</v>
      </c>
      <c r="E2166" s="34" t="s">
        <v>903</v>
      </c>
      <c r="F2166" s="36" t="str">
        <f>IFERROR(VLOOKUP(B2166,'985'!$B$2:$D$40,3,FALSE),"")</f>
        <v/>
      </c>
      <c r="G2166" s="32" t="str">
        <f>IFERROR(VLOOKUP(B2166,'211'!$B$2:$D$116,3,FALSE),"")</f>
        <v/>
      </c>
      <c r="H2166" s="32" t="str">
        <f>IFERROR(VLOOKUP(B2166,双一流!$B$2:$D$148,3,FALSE),"")</f>
        <v/>
      </c>
      <c r="I2166" s="32">
        <f>IFERROR(VLOOKUP(B2166,汇总!$B$2:$I$2921,8,FALSE),"")</f>
        <v>0</v>
      </c>
      <c r="J2166" s="34" t="s">
        <v>1700</v>
      </c>
      <c r="K2166" s="34" t="s">
        <v>12</v>
      </c>
    </row>
    <row r="2167" ht="50.25" spans="1:11">
      <c r="A2167" s="34">
        <v>2166</v>
      </c>
      <c r="B2167" s="29" t="s">
        <v>2516</v>
      </c>
      <c r="C2167" s="29" t="str">
        <f>VLOOKUP(B2167,教育部大学名单!$B$1:$D$2920,3,FALSE)</f>
        <v>广西壮族自治区</v>
      </c>
      <c r="D2167" s="29" t="s">
        <v>902</v>
      </c>
      <c r="E2167" s="29" t="s">
        <v>903</v>
      </c>
      <c r="F2167" s="36" t="str">
        <f>IFERROR(VLOOKUP(B2167,'985'!$B$2:$D$40,3,FALSE),"")</f>
        <v/>
      </c>
      <c r="G2167" s="32" t="str">
        <f>IFERROR(VLOOKUP(B2167,'211'!$B$2:$D$116,3,FALSE),"")</f>
        <v/>
      </c>
      <c r="H2167" s="32" t="str">
        <f>IFERROR(VLOOKUP(B2167,双一流!$B$2:$D$148,3,FALSE),"")</f>
        <v/>
      </c>
      <c r="I2167" s="32" t="str">
        <f>IFERROR(VLOOKUP(B2167,汇总!$B$2:$I$2921,8,FALSE),"")</f>
        <v>理工</v>
      </c>
      <c r="J2167" s="29" t="s">
        <v>1700</v>
      </c>
      <c r="K2167" s="29" t="s">
        <v>12</v>
      </c>
    </row>
    <row r="2168" ht="33.75" spans="1:11">
      <c r="A2168" s="29">
        <v>2167</v>
      </c>
      <c r="B2168" s="34" t="s">
        <v>2517</v>
      </c>
      <c r="C2168" s="29" t="str">
        <f>VLOOKUP(B2168,教育部大学名单!$B$1:$D$2920,3,FALSE)</f>
        <v>广西壮族自治区</v>
      </c>
      <c r="D2168" s="34" t="s">
        <v>902</v>
      </c>
      <c r="E2168" s="34" t="s">
        <v>903</v>
      </c>
      <c r="F2168" s="36" t="str">
        <f>IFERROR(VLOOKUP(B2168,'985'!$B$2:$D$40,3,FALSE),"")</f>
        <v/>
      </c>
      <c r="G2168" s="32" t="str">
        <f>IFERROR(VLOOKUP(B2168,'211'!$B$2:$D$116,3,FALSE),"")</f>
        <v/>
      </c>
      <c r="H2168" s="32" t="str">
        <f>IFERROR(VLOOKUP(B2168,双一流!$B$2:$D$148,3,FALSE),"")</f>
        <v/>
      </c>
      <c r="I2168" s="32" t="str">
        <f>IFERROR(VLOOKUP(B2168,汇总!$B$2:$I$2921,8,FALSE),"")</f>
        <v>综合</v>
      </c>
      <c r="J2168" s="34" t="s">
        <v>1700</v>
      </c>
      <c r="K2168" s="34" t="s">
        <v>12</v>
      </c>
    </row>
    <row r="2169" ht="50.25" spans="1:11">
      <c r="A2169" s="34">
        <v>2168</v>
      </c>
      <c r="B2169" s="29" t="s">
        <v>2518</v>
      </c>
      <c r="C2169" s="29" t="str">
        <f>VLOOKUP(B2169,教育部大学名单!$B$1:$D$2920,3,FALSE)</f>
        <v>广西壮族自治区</v>
      </c>
      <c r="D2169" s="29" t="s">
        <v>902</v>
      </c>
      <c r="E2169" s="29" t="s">
        <v>905</v>
      </c>
      <c r="F2169" s="36" t="str">
        <f>IFERROR(VLOOKUP(B2169,'985'!$B$2:$D$40,3,FALSE),"")</f>
        <v/>
      </c>
      <c r="G2169" s="32" t="str">
        <f>IFERROR(VLOOKUP(B2169,'211'!$B$2:$D$116,3,FALSE),"")</f>
        <v/>
      </c>
      <c r="H2169" s="32" t="str">
        <f>IFERROR(VLOOKUP(B2169,双一流!$B$2:$D$148,3,FALSE),"")</f>
        <v/>
      </c>
      <c r="I2169" s="32" t="str">
        <f>IFERROR(VLOOKUP(B2169,汇总!$B$2:$I$2921,8,FALSE),"")</f>
        <v>综合</v>
      </c>
      <c r="J2169" s="29" t="s">
        <v>1700</v>
      </c>
      <c r="K2169" s="29" t="s">
        <v>12</v>
      </c>
    </row>
    <row r="2170" ht="33.75" spans="1:11">
      <c r="A2170" s="29">
        <v>2169</v>
      </c>
      <c r="B2170" s="34" t="s">
        <v>2519</v>
      </c>
      <c r="C2170" s="29" t="str">
        <f>VLOOKUP(B2170,教育部大学名单!$B$1:$D$2920,3,FALSE)</f>
        <v>广西壮族自治区</v>
      </c>
      <c r="D2170" s="34" t="s">
        <v>902</v>
      </c>
      <c r="E2170" s="34" t="s">
        <v>903</v>
      </c>
      <c r="F2170" s="36" t="str">
        <f>IFERROR(VLOOKUP(B2170,'985'!$B$2:$D$40,3,FALSE),"")</f>
        <v/>
      </c>
      <c r="G2170" s="32" t="str">
        <f>IFERROR(VLOOKUP(B2170,'211'!$B$2:$D$116,3,FALSE),"")</f>
        <v/>
      </c>
      <c r="H2170" s="32" t="str">
        <f>IFERROR(VLOOKUP(B2170,双一流!$B$2:$D$148,3,FALSE),"")</f>
        <v/>
      </c>
      <c r="I2170" s="32" t="str">
        <f>IFERROR(VLOOKUP(B2170,汇总!$B$2:$I$2921,8,FALSE),"")</f>
        <v>理工</v>
      </c>
      <c r="J2170" s="34" t="s">
        <v>1700</v>
      </c>
      <c r="K2170" s="34" t="s">
        <v>12</v>
      </c>
    </row>
    <row r="2171" ht="33.75" spans="1:11">
      <c r="A2171" s="34">
        <v>2170</v>
      </c>
      <c r="B2171" s="29" t="s">
        <v>2520</v>
      </c>
      <c r="C2171" s="29" t="str">
        <f>VLOOKUP(B2171,教育部大学名单!$B$1:$D$2920,3,FALSE)</f>
        <v>广西壮族自治区</v>
      </c>
      <c r="D2171" s="29" t="s">
        <v>902</v>
      </c>
      <c r="E2171" s="29" t="s">
        <v>903</v>
      </c>
      <c r="F2171" s="36" t="str">
        <f>IFERROR(VLOOKUP(B2171,'985'!$B$2:$D$40,3,FALSE),"")</f>
        <v/>
      </c>
      <c r="G2171" s="32" t="str">
        <f>IFERROR(VLOOKUP(B2171,'211'!$B$2:$D$116,3,FALSE),"")</f>
        <v/>
      </c>
      <c r="H2171" s="32" t="str">
        <f>IFERROR(VLOOKUP(B2171,双一流!$B$2:$D$148,3,FALSE),"")</f>
        <v/>
      </c>
      <c r="I2171" s="32" t="str">
        <f>IFERROR(VLOOKUP(B2171,汇总!$B$2:$I$2921,8,FALSE),"")</f>
        <v>综合</v>
      </c>
      <c r="J2171" s="29" t="s">
        <v>1700</v>
      </c>
      <c r="K2171" s="29" t="s">
        <v>12</v>
      </c>
    </row>
    <row r="2172" ht="50.25" spans="1:11">
      <c r="A2172" s="29">
        <v>2171</v>
      </c>
      <c r="B2172" s="34" t="s">
        <v>2521</v>
      </c>
      <c r="C2172" s="29" t="str">
        <f>VLOOKUP(B2172,教育部大学名单!$B$1:$D$2920,3,FALSE)</f>
        <v>广西壮族自治区</v>
      </c>
      <c r="D2172" s="34" t="s">
        <v>902</v>
      </c>
      <c r="E2172" s="34" t="s">
        <v>903</v>
      </c>
      <c r="F2172" s="36" t="str">
        <f>IFERROR(VLOOKUP(B2172,'985'!$B$2:$D$40,3,FALSE),"")</f>
        <v/>
      </c>
      <c r="G2172" s="32" t="str">
        <f>IFERROR(VLOOKUP(B2172,'211'!$B$2:$D$116,3,FALSE),"")</f>
        <v/>
      </c>
      <c r="H2172" s="32" t="str">
        <f>IFERROR(VLOOKUP(B2172,双一流!$B$2:$D$148,3,FALSE),"")</f>
        <v/>
      </c>
      <c r="I2172" s="32" t="str">
        <f>IFERROR(VLOOKUP(B2172,汇总!$B$2:$I$2921,8,FALSE),"")</f>
        <v>财经</v>
      </c>
      <c r="J2172" s="34" t="s">
        <v>1700</v>
      </c>
      <c r="K2172" s="34" t="s">
        <v>12</v>
      </c>
    </row>
    <row r="2173" ht="33.75" spans="1:11">
      <c r="A2173" s="34">
        <v>2172</v>
      </c>
      <c r="B2173" s="29" t="s">
        <v>2522</v>
      </c>
      <c r="C2173" s="29" t="str">
        <f>VLOOKUP(B2173,教育部大学名单!$B$1:$D$2920,3,FALSE)</f>
        <v>广西壮族自治区</v>
      </c>
      <c r="D2173" s="29" t="s">
        <v>902</v>
      </c>
      <c r="E2173" s="29" t="s">
        <v>905</v>
      </c>
      <c r="F2173" s="36" t="str">
        <f>IFERROR(VLOOKUP(B2173,'985'!$B$2:$D$40,3,FALSE),"")</f>
        <v/>
      </c>
      <c r="G2173" s="32" t="str">
        <f>IFERROR(VLOOKUP(B2173,'211'!$B$2:$D$116,3,FALSE),"")</f>
        <v/>
      </c>
      <c r="H2173" s="32" t="str">
        <f>IFERROR(VLOOKUP(B2173,双一流!$B$2:$D$148,3,FALSE),"")</f>
        <v/>
      </c>
      <c r="I2173" s="32" t="str">
        <f>IFERROR(VLOOKUP(B2173,汇总!$B$2:$I$2921,8,FALSE),"")</f>
        <v>理工</v>
      </c>
      <c r="J2173" s="29" t="s">
        <v>1700</v>
      </c>
      <c r="K2173" s="29" t="s">
        <v>12</v>
      </c>
    </row>
    <row r="2174" ht="33.75" spans="1:11">
      <c r="A2174" s="29">
        <v>2173</v>
      </c>
      <c r="B2174" s="34" t="s">
        <v>2523</v>
      </c>
      <c r="C2174" s="29" t="str">
        <f>VLOOKUP(B2174,教育部大学名单!$B$1:$D$2920,3,FALSE)</f>
        <v>广西壮族自治区</v>
      </c>
      <c r="D2174" s="34" t="s">
        <v>902</v>
      </c>
      <c r="E2174" s="34" t="s">
        <v>903</v>
      </c>
      <c r="F2174" s="36" t="str">
        <f>IFERROR(VLOOKUP(B2174,'985'!$B$2:$D$40,3,FALSE),"")</f>
        <v/>
      </c>
      <c r="G2174" s="32" t="str">
        <f>IFERROR(VLOOKUP(B2174,'211'!$B$2:$D$116,3,FALSE),"")</f>
        <v/>
      </c>
      <c r="H2174" s="32" t="str">
        <f>IFERROR(VLOOKUP(B2174,双一流!$B$2:$D$148,3,FALSE),"")</f>
        <v/>
      </c>
      <c r="I2174" s="32" t="str">
        <f>IFERROR(VLOOKUP(B2174,汇总!$B$2:$I$2921,8,FALSE),"")</f>
        <v>理工</v>
      </c>
      <c r="J2174" s="34" t="s">
        <v>1700</v>
      </c>
      <c r="K2174" s="34" t="s">
        <v>12</v>
      </c>
    </row>
    <row r="2175" ht="33.75" spans="1:11">
      <c r="A2175" s="34">
        <v>2174</v>
      </c>
      <c r="B2175" s="29" t="s">
        <v>2524</v>
      </c>
      <c r="C2175" s="29" t="str">
        <f>VLOOKUP(B2175,教育部大学名单!$B$1:$D$2920,3,FALSE)</f>
        <v>广西壮族自治区</v>
      </c>
      <c r="D2175" s="29" t="s">
        <v>902</v>
      </c>
      <c r="E2175" s="29" t="s">
        <v>919</v>
      </c>
      <c r="F2175" s="36" t="str">
        <f>IFERROR(VLOOKUP(B2175,'985'!$B$2:$D$40,3,FALSE),"")</f>
        <v/>
      </c>
      <c r="G2175" s="32" t="str">
        <f>IFERROR(VLOOKUP(B2175,'211'!$B$2:$D$116,3,FALSE),"")</f>
        <v/>
      </c>
      <c r="H2175" s="32" t="str">
        <f>IFERROR(VLOOKUP(B2175,双一流!$B$2:$D$148,3,FALSE),"")</f>
        <v/>
      </c>
      <c r="I2175" s="32" t="str">
        <f>IFERROR(VLOOKUP(B2175,汇总!$B$2:$I$2921,8,FALSE),"")</f>
        <v>综合</v>
      </c>
      <c r="J2175" s="29" t="s">
        <v>1700</v>
      </c>
      <c r="K2175" s="29" t="s">
        <v>12</v>
      </c>
    </row>
    <row r="2176" ht="33.75" spans="1:11">
      <c r="A2176" s="29">
        <v>2175</v>
      </c>
      <c r="B2176" s="34" t="s">
        <v>2525</v>
      </c>
      <c r="C2176" s="29" t="str">
        <f>VLOOKUP(B2176,教育部大学名单!$B$1:$D$2920,3,FALSE)</f>
        <v>广西壮族自治区</v>
      </c>
      <c r="D2176" s="34" t="s">
        <v>902</v>
      </c>
      <c r="E2176" s="34" t="s">
        <v>1580</v>
      </c>
      <c r="F2176" s="36" t="str">
        <f>IFERROR(VLOOKUP(B2176,'985'!$B$2:$D$40,3,FALSE),"")</f>
        <v/>
      </c>
      <c r="G2176" s="32" t="str">
        <f>IFERROR(VLOOKUP(B2176,'211'!$B$2:$D$116,3,FALSE),"")</f>
        <v/>
      </c>
      <c r="H2176" s="32" t="str">
        <f>IFERROR(VLOOKUP(B2176,双一流!$B$2:$D$148,3,FALSE),"")</f>
        <v/>
      </c>
      <c r="I2176" s="32" t="str">
        <f>IFERROR(VLOOKUP(B2176,汇总!$B$2:$I$2921,8,FALSE),"")</f>
        <v>综合</v>
      </c>
      <c r="J2176" s="34" t="s">
        <v>1700</v>
      </c>
      <c r="K2176" s="34" t="s">
        <v>12</v>
      </c>
    </row>
    <row r="2177" ht="33.75" spans="1:11">
      <c r="A2177" s="34">
        <v>2176</v>
      </c>
      <c r="B2177" s="29" t="s">
        <v>2526</v>
      </c>
      <c r="C2177" s="29" t="str">
        <f>VLOOKUP(B2177,教育部大学名单!$B$1:$D$2920,3,FALSE)</f>
        <v>广西壮族自治区</v>
      </c>
      <c r="D2177" s="29" t="s">
        <v>902</v>
      </c>
      <c r="E2177" s="29" t="s">
        <v>903</v>
      </c>
      <c r="F2177" s="36" t="str">
        <f>IFERROR(VLOOKUP(B2177,'985'!$B$2:$D$40,3,FALSE),"")</f>
        <v/>
      </c>
      <c r="G2177" s="32" t="str">
        <f>IFERROR(VLOOKUP(B2177,'211'!$B$2:$D$116,3,FALSE),"")</f>
        <v/>
      </c>
      <c r="H2177" s="32" t="str">
        <f>IFERROR(VLOOKUP(B2177,双一流!$B$2:$D$148,3,FALSE),"")</f>
        <v/>
      </c>
      <c r="I2177" s="32" t="str">
        <f>IFERROR(VLOOKUP(B2177,汇总!$B$2:$I$2921,8,FALSE),"")</f>
        <v>财经</v>
      </c>
      <c r="J2177" s="29" t="s">
        <v>1700</v>
      </c>
      <c r="K2177" s="29" t="s">
        <v>12</v>
      </c>
    </row>
    <row r="2178" ht="33.75" spans="1:11">
      <c r="A2178" s="29">
        <v>2177</v>
      </c>
      <c r="B2178" s="34" t="s">
        <v>2527</v>
      </c>
      <c r="C2178" s="29" t="str">
        <f>VLOOKUP(B2178,教育部大学名单!$B$1:$D$2920,3,FALSE)</f>
        <v>广西壮族自治区</v>
      </c>
      <c r="D2178" s="34" t="s">
        <v>902</v>
      </c>
      <c r="E2178" s="34" t="s">
        <v>903</v>
      </c>
      <c r="F2178" s="36" t="str">
        <f>IFERROR(VLOOKUP(B2178,'985'!$B$2:$D$40,3,FALSE),"")</f>
        <v/>
      </c>
      <c r="G2178" s="32" t="str">
        <f>IFERROR(VLOOKUP(B2178,'211'!$B$2:$D$116,3,FALSE),"")</f>
        <v/>
      </c>
      <c r="H2178" s="32" t="str">
        <f>IFERROR(VLOOKUP(B2178,双一流!$B$2:$D$148,3,FALSE),"")</f>
        <v/>
      </c>
      <c r="I2178" s="32" t="str">
        <f>IFERROR(VLOOKUP(B2178,汇总!$B$2:$I$2921,8,FALSE),"")</f>
        <v>财经</v>
      </c>
      <c r="J2178" s="34" t="s">
        <v>1700</v>
      </c>
      <c r="K2178" s="34" t="s">
        <v>12</v>
      </c>
    </row>
    <row r="2179" ht="33.75" spans="1:11">
      <c r="A2179" s="34">
        <v>2178</v>
      </c>
      <c r="B2179" s="29" t="s">
        <v>2528</v>
      </c>
      <c r="C2179" s="29" t="str">
        <f>VLOOKUP(B2179,教育部大学名单!$B$1:$D$2920,3,FALSE)</f>
        <v>广西壮族自治区</v>
      </c>
      <c r="D2179" s="29" t="s">
        <v>902</v>
      </c>
      <c r="E2179" s="29" t="s">
        <v>903</v>
      </c>
      <c r="F2179" s="36" t="str">
        <f>IFERROR(VLOOKUP(B2179,'985'!$B$2:$D$40,3,FALSE),"")</f>
        <v/>
      </c>
      <c r="G2179" s="32" t="str">
        <f>IFERROR(VLOOKUP(B2179,'211'!$B$2:$D$116,3,FALSE),"")</f>
        <v/>
      </c>
      <c r="H2179" s="32" t="str">
        <f>IFERROR(VLOOKUP(B2179,双一流!$B$2:$D$148,3,FALSE),"")</f>
        <v/>
      </c>
      <c r="I2179" s="32" t="str">
        <f>IFERROR(VLOOKUP(B2179,汇总!$B$2:$I$2921,8,FALSE),"")</f>
        <v>理工</v>
      </c>
      <c r="J2179" s="29" t="s">
        <v>1700</v>
      </c>
      <c r="K2179" s="29" t="s">
        <v>12</v>
      </c>
    </row>
    <row r="2180" ht="33.75" spans="1:11">
      <c r="A2180" s="29">
        <v>2179</v>
      </c>
      <c r="B2180" s="34" t="s">
        <v>2529</v>
      </c>
      <c r="C2180" s="29" t="str">
        <f>VLOOKUP(B2180,教育部大学名单!$B$1:$D$2920,3,FALSE)</f>
        <v>广西壮族自治区</v>
      </c>
      <c r="D2180" s="34" t="s">
        <v>902</v>
      </c>
      <c r="E2180" s="34" t="s">
        <v>905</v>
      </c>
      <c r="F2180" s="36" t="str">
        <f>IFERROR(VLOOKUP(B2180,'985'!$B$2:$D$40,3,FALSE),"")</f>
        <v/>
      </c>
      <c r="G2180" s="32" t="str">
        <f>IFERROR(VLOOKUP(B2180,'211'!$B$2:$D$116,3,FALSE),"")</f>
        <v/>
      </c>
      <c r="H2180" s="32" t="str">
        <f>IFERROR(VLOOKUP(B2180,双一流!$B$2:$D$148,3,FALSE),"")</f>
        <v/>
      </c>
      <c r="I2180" s="32" t="str">
        <f>IFERROR(VLOOKUP(B2180,汇总!$B$2:$I$2921,8,FALSE),"")</f>
        <v>综合</v>
      </c>
      <c r="J2180" s="34" t="s">
        <v>1700</v>
      </c>
      <c r="K2180" s="34" t="s">
        <v>12</v>
      </c>
    </row>
    <row r="2181" ht="33.75" spans="1:11">
      <c r="A2181" s="34">
        <v>2180</v>
      </c>
      <c r="B2181" s="29" t="s">
        <v>2530</v>
      </c>
      <c r="C2181" s="29" t="str">
        <f>VLOOKUP(B2181,教育部大学名单!$B$1:$D$2920,3,FALSE)</f>
        <v>广西壮族自治区</v>
      </c>
      <c r="D2181" s="29" t="s">
        <v>902</v>
      </c>
      <c r="E2181" s="29" t="s">
        <v>911</v>
      </c>
      <c r="F2181" s="36" t="str">
        <f>IFERROR(VLOOKUP(B2181,'985'!$B$2:$D$40,3,FALSE),"")</f>
        <v/>
      </c>
      <c r="G2181" s="32" t="str">
        <f>IFERROR(VLOOKUP(B2181,'211'!$B$2:$D$116,3,FALSE),"")</f>
        <v/>
      </c>
      <c r="H2181" s="32" t="str">
        <f>IFERROR(VLOOKUP(B2181,双一流!$B$2:$D$148,3,FALSE),"")</f>
        <v/>
      </c>
      <c r="I2181" s="32">
        <f>IFERROR(VLOOKUP(B2181,汇总!$B$2:$I$2921,8,FALSE),"")</f>
        <v>0</v>
      </c>
      <c r="J2181" s="29" t="s">
        <v>1700</v>
      </c>
      <c r="K2181" s="29" t="s">
        <v>12</v>
      </c>
    </row>
    <row r="2182" ht="33.75" spans="1:11">
      <c r="A2182" s="29">
        <v>2181</v>
      </c>
      <c r="B2182" s="34" t="s">
        <v>2531</v>
      </c>
      <c r="C2182" s="29" t="str">
        <f>VLOOKUP(B2182,教育部大学名单!$B$1:$D$2920,3,FALSE)</f>
        <v>广西壮族自治区</v>
      </c>
      <c r="D2182" s="34" t="s">
        <v>902</v>
      </c>
      <c r="E2182" s="34" t="s">
        <v>926</v>
      </c>
      <c r="F2182" s="36" t="str">
        <f>IFERROR(VLOOKUP(B2182,'985'!$B$2:$D$40,3,FALSE),"")</f>
        <v/>
      </c>
      <c r="G2182" s="32" t="str">
        <f>IFERROR(VLOOKUP(B2182,'211'!$B$2:$D$116,3,FALSE),"")</f>
        <v/>
      </c>
      <c r="H2182" s="32" t="str">
        <f>IFERROR(VLOOKUP(B2182,双一流!$B$2:$D$148,3,FALSE),"")</f>
        <v/>
      </c>
      <c r="I2182" s="32" t="str">
        <f>IFERROR(VLOOKUP(B2182,汇总!$B$2:$I$2921,8,FALSE),"")</f>
        <v>综合</v>
      </c>
      <c r="J2182" s="34" t="s">
        <v>1700</v>
      </c>
      <c r="K2182" s="34" t="s">
        <v>12</v>
      </c>
    </row>
    <row r="2183" ht="50.25" spans="1:11">
      <c r="A2183" s="34">
        <v>2182</v>
      </c>
      <c r="B2183" s="29" t="s">
        <v>2532</v>
      </c>
      <c r="C2183" s="29" t="str">
        <f>VLOOKUP(B2183,教育部大学名单!$B$1:$D$2920,3,FALSE)</f>
        <v>广西壮族自治区</v>
      </c>
      <c r="D2183" s="29" t="s">
        <v>902</v>
      </c>
      <c r="E2183" s="29" t="s">
        <v>903</v>
      </c>
      <c r="F2183" s="36" t="str">
        <f>IFERROR(VLOOKUP(B2183,'985'!$B$2:$D$40,3,FALSE),"")</f>
        <v/>
      </c>
      <c r="G2183" s="32" t="str">
        <f>IFERROR(VLOOKUP(B2183,'211'!$B$2:$D$116,3,FALSE),"")</f>
        <v/>
      </c>
      <c r="H2183" s="32" t="str">
        <f>IFERROR(VLOOKUP(B2183,双一流!$B$2:$D$148,3,FALSE),"")</f>
        <v/>
      </c>
      <c r="I2183" s="32" t="str">
        <f>IFERROR(VLOOKUP(B2183,汇总!$B$2:$I$2921,8,FALSE),"")</f>
        <v>师范</v>
      </c>
      <c r="J2183" s="29" t="s">
        <v>1700</v>
      </c>
      <c r="K2183" s="29" t="s">
        <v>12</v>
      </c>
    </row>
    <row r="2184" ht="33.75" spans="1:11">
      <c r="A2184" s="29">
        <v>2183</v>
      </c>
      <c r="B2184" s="34" t="s">
        <v>2533</v>
      </c>
      <c r="C2184" s="29" t="str">
        <f>VLOOKUP(B2184,教育部大学名单!$B$1:$D$2920,3,FALSE)</f>
        <v>广西壮族自治区</v>
      </c>
      <c r="D2184" s="34" t="s">
        <v>902</v>
      </c>
      <c r="E2184" s="34" t="s">
        <v>903</v>
      </c>
      <c r="F2184" s="36" t="str">
        <f>IFERROR(VLOOKUP(B2184,'985'!$B$2:$D$40,3,FALSE),"")</f>
        <v/>
      </c>
      <c r="G2184" s="32" t="str">
        <f>IFERROR(VLOOKUP(B2184,'211'!$B$2:$D$116,3,FALSE),"")</f>
        <v/>
      </c>
      <c r="H2184" s="32" t="str">
        <f>IFERROR(VLOOKUP(B2184,双一流!$B$2:$D$148,3,FALSE),"")</f>
        <v/>
      </c>
      <c r="I2184" s="32" t="str">
        <f>IFERROR(VLOOKUP(B2184,汇总!$B$2:$I$2921,8,FALSE),"")</f>
        <v>医药</v>
      </c>
      <c r="J2184" s="34" t="s">
        <v>1700</v>
      </c>
      <c r="K2184" s="34" t="s">
        <v>12</v>
      </c>
    </row>
    <row r="2185" ht="33.75" spans="1:11">
      <c r="A2185" s="34">
        <v>2184</v>
      </c>
      <c r="B2185" s="29" t="s">
        <v>2534</v>
      </c>
      <c r="C2185" s="29" t="str">
        <f>VLOOKUP(B2185,教育部大学名单!$B$1:$D$2920,3,FALSE)</f>
        <v>广西壮族自治区</v>
      </c>
      <c r="D2185" s="29" t="s">
        <v>902</v>
      </c>
      <c r="E2185" s="29" t="s">
        <v>903</v>
      </c>
      <c r="F2185" s="36" t="str">
        <f>IFERROR(VLOOKUP(B2185,'985'!$B$2:$D$40,3,FALSE),"")</f>
        <v/>
      </c>
      <c r="G2185" s="32" t="str">
        <f>IFERROR(VLOOKUP(B2185,'211'!$B$2:$D$116,3,FALSE),"")</f>
        <v/>
      </c>
      <c r="H2185" s="32" t="str">
        <f>IFERROR(VLOOKUP(B2185,双一流!$B$2:$D$148,3,FALSE),"")</f>
        <v/>
      </c>
      <c r="I2185" s="32" t="str">
        <f>IFERROR(VLOOKUP(B2185,汇总!$B$2:$I$2921,8,FALSE),"")</f>
        <v>财经</v>
      </c>
      <c r="J2185" s="29" t="s">
        <v>1700</v>
      </c>
      <c r="K2185" s="29" t="s">
        <v>12</v>
      </c>
    </row>
    <row r="2186" ht="50.25" spans="1:11">
      <c r="A2186" s="29">
        <v>2185</v>
      </c>
      <c r="B2186" s="34" t="s">
        <v>2535</v>
      </c>
      <c r="C2186" s="29" t="str">
        <f>VLOOKUP(B2186,教育部大学名单!$B$1:$D$2920,3,FALSE)</f>
        <v>广西壮族自治区</v>
      </c>
      <c r="D2186" s="34" t="s">
        <v>902</v>
      </c>
      <c r="E2186" s="34" t="s">
        <v>903</v>
      </c>
      <c r="F2186" s="36" t="str">
        <f>IFERROR(VLOOKUP(B2186,'985'!$B$2:$D$40,3,FALSE),"")</f>
        <v/>
      </c>
      <c r="G2186" s="32" t="str">
        <f>IFERROR(VLOOKUP(B2186,'211'!$B$2:$D$116,3,FALSE),"")</f>
        <v/>
      </c>
      <c r="H2186" s="32" t="str">
        <f>IFERROR(VLOOKUP(B2186,双一流!$B$2:$D$148,3,FALSE),"")</f>
        <v/>
      </c>
      <c r="I2186" s="32">
        <f>IFERROR(VLOOKUP(B2186,汇总!$B$2:$I$2921,8,FALSE),"")</f>
        <v>0</v>
      </c>
      <c r="J2186" s="34" t="s">
        <v>1700</v>
      </c>
      <c r="K2186" s="34" t="s">
        <v>12</v>
      </c>
    </row>
    <row r="2187" ht="50.25" spans="1:11">
      <c r="A2187" s="34">
        <v>2186</v>
      </c>
      <c r="B2187" s="29" t="s">
        <v>2536</v>
      </c>
      <c r="C2187" s="29" t="str">
        <f>VLOOKUP(B2187,教育部大学名单!$B$1:$D$2920,3,FALSE)</f>
        <v>广西壮族自治区</v>
      </c>
      <c r="D2187" s="29" t="s">
        <v>902</v>
      </c>
      <c r="E2187" s="29" t="s">
        <v>917</v>
      </c>
      <c r="F2187" s="36" t="str">
        <f>IFERROR(VLOOKUP(B2187,'985'!$B$2:$D$40,3,FALSE),"")</f>
        <v/>
      </c>
      <c r="G2187" s="32" t="str">
        <f>IFERROR(VLOOKUP(B2187,'211'!$B$2:$D$116,3,FALSE),"")</f>
        <v/>
      </c>
      <c r="H2187" s="32" t="str">
        <f>IFERROR(VLOOKUP(B2187,双一流!$B$2:$D$148,3,FALSE),"")</f>
        <v/>
      </c>
      <c r="I2187" s="32">
        <f>IFERROR(VLOOKUP(B2187,汇总!$B$2:$I$2921,8,FALSE),"")</f>
        <v>0</v>
      </c>
      <c r="J2187" s="29" t="s">
        <v>1700</v>
      </c>
      <c r="K2187" s="29" t="s">
        <v>12</v>
      </c>
    </row>
    <row r="2188" ht="50.25" spans="1:11">
      <c r="A2188" s="29">
        <v>2187</v>
      </c>
      <c r="B2188" s="34" t="s">
        <v>2537</v>
      </c>
      <c r="C2188" s="29" t="str">
        <f>VLOOKUP(B2188,教育部大学名单!$B$1:$D$2920,3,FALSE)</f>
        <v>广西壮族自治区</v>
      </c>
      <c r="D2188" s="34" t="s">
        <v>902</v>
      </c>
      <c r="E2188" s="34" t="s">
        <v>931</v>
      </c>
      <c r="F2188" s="36" t="str">
        <f>IFERROR(VLOOKUP(B2188,'985'!$B$2:$D$40,3,FALSE),"")</f>
        <v/>
      </c>
      <c r="G2188" s="32" t="str">
        <f>IFERROR(VLOOKUP(B2188,'211'!$B$2:$D$116,3,FALSE),"")</f>
        <v/>
      </c>
      <c r="H2188" s="32" t="str">
        <f>IFERROR(VLOOKUP(B2188,双一流!$B$2:$D$148,3,FALSE),"")</f>
        <v/>
      </c>
      <c r="I2188" s="32">
        <f>IFERROR(VLOOKUP(B2188,汇总!$B$2:$I$2921,8,FALSE),"")</f>
        <v>0</v>
      </c>
      <c r="J2188" s="34" t="s">
        <v>1700</v>
      </c>
      <c r="K2188" s="34" t="s">
        <v>12</v>
      </c>
    </row>
    <row r="2189" ht="50.25" spans="1:11">
      <c r="A2189" s="34">
        <v>2188</v>
      </c>
      <c r="B2189" s="29" t="s">
        <v>2538</v>
      </c>
      <c r="C2189" s="29" t="str">
        <f>VLOOKUP(B2189,教育部大学名单!$B$1:$D$2920,3,FALSE)</f>
        <v>广西壮族自治区</v>
      </c>
      <c r="D2189" s="29" t="s">
        <v>902</v>
      </c>
      <c r="E2189" s="29" t="s">
        <v>903</v>
      </c>
      <c r="F2189" s="36" t="str">
        <f>IFERROR(VLOOKUP(B2189,'985'!$B$2:$D$40,3,FALSE),"")</f>
        <v/>
      </c>
      <c r="G2189" s="32" t="str">
        <f>IFERROR(VLOOKUP(B2189,'211'!$B$2:$D$116,3,FALSE),"")</f>
        <v/>
      </c>
      <c r="H2189" s="32" t="str">
        <f>IFERROR(VLOOKUP(B2189,双一流!$B$2:$D$148,3,FALSE),"")</f>
        <v/>
      </c>
      <c r="I2189" s="32">
        <f>IFERROR(VLOOKUP(B2189,汇总!$B$2:$I$2921,8,FALSE),"")</f>
        <v>0</v>
      </c>
      <c r="J2189" s="29" t="s">
        <v>1700</v>
      </c>
      <c r="K2189" s="29" t="s">
        <v>12</v>
      </c>
    </row>
    <row r="2190" ht="33.75" spans="1:11">
      <c r="A2190" s="29">
        <v>2189</v>
      </c>
      <c r="B2190" s="34" t="s">
        <v>2539</v>
      </c>
      <c r="C2190" s="29" t="str">
        <f>VLOOKUP(B2190,教育部大学名单!$B$1:$D$2920,3,FALSE)</f>
        <v>广西壮族自治区</v>
      </c>
      <c r="D2190" s="34" t="s">
        <v>902</v>
      </c>
      <c r="E2190" s="34" t="s">
        <v>2540</v>
      </c>
      <c r="F2190" s="36" t="str">
        <f>IFERROR(VLOOKUP(B2190,'985'!$B$2:$D$40,3,FALSE),"")</f>
        <v/>
      </c>
      <c r="G2190" s="32" t="str">
        <f>IFERROR(VLOOKUP(B2190,'211'!$B$2:$D$116,3,FALSE),"")</f>
        <v/>
      </c>
      <c r="H2190" s="32" t="str">
        <f>IFERROR(VLOOKUP(B2190,双一流!$B$2:$D$148,3,FALSE),"")</f>
        <v/>
      </c>
      <c r="I2190" s="32">
        <f>IFERROR(VLOOKUP(B2190,汇总!$B$2:$I$2921,8,FALSE),"")</f>
        <v>0</v>
      </c>
      <c r="J2190" s="34" t="s">
        <v>1700</v>
      </c>
      <c r="K2190" s="34" t="s">
        <v>12</v>
      </c>
    </row>
    <row r="2191" ht="33.75" spans="1:11">
      <c r="A2191" s="34">
        <v>2190</v>
      </c>
      <c r="B2191" s="29" t="s">
        <v>2541</v>
      </c>
      <c r="C2191" s="29" t="str">
        <f>VLOOKUP(B2191,教育部大学名单!$B$1:$D$2920,3,FALSE)</f>
        <v>广西壮族自治区</v>
      </c>
      <c r="D2191" s="29" t="s">
        <v>902</v>
      </c>
      <c r="E2191" s="29" t="s">
        <v>2542</v>
      </c>
      <c r="F2191" s="36" t="str">
        <f>IFERROR(VLOOKUP(B2191,'985'!$B$2:$D$40,3,FALSE),"")</f>
        <v/>
      </c>
      <c r="G2191" s="32" t="str">
        <f>IFERROR(VLOOKUP(B2191,'211'!$B$2:$D$116,3,FALSE),"")</f>
        <v/>
      </c>
      <c r="H2191" s="32" t="str">
        <f>IFERROR(VLOOKUP(B2191,双一流!$B$2:$D$148,3,FALSE),"")</f>
        <v/>
      </c>
      <c r="I2191" s="32">
        <f>IFERROR(VLOOKUP(B2191,汇总!$B$2:$I$2921,8,FALSE),"")</f>
        <v>0</v>
      </c>
      <c r="J2191" s="29" t="s">
        <v>1700</v>
      </c>
      <c r="K2191" s="29" t="s">
        <v>12</v>
      </c>
    </row>
    <row r="2192" ht="33.75" spans="1:11">
      <c r="A2192" s="29">
        <v>2191</v>
      </c>
      <c r="B2192" s="34" t="s">
        <v>2543</v>
      </c>
      <c r="C2192" s="29" t="str">
        <f>VLOOKUP(B2192,教育部大学名单!$B$1:$D$2920,3,FALSE)</f>
        <v>广西壮族自治区</v>
      </c>
      <c r="D2192" s="34" t="s">
        <v>902</v>
      </c>
      <c r="E2192" s="34" t="s">
        <v>903</v>
      </c>
      <c r="F2192" s="36" t="str">
        <f>IFERROR(VLOOKUP(B2192,'985'!$B$2:$D$40,3,FALSE),"")</f>
        <v/>
      </c>
      <c r="G2192" s="32" t="str">
        <f>IFERROR(VLOOKUP(B2192,'211'!$B$2:$D$116,3,FALSE),"")</f>
        <v/>
      </c>
      <c r="H2192" s="32" t="str">
        <f>IFERROR(VLOOKUP(B2192,双一流!$B$2:$D$148,3,FALSE),"")</f>
        <v/>
      </c>
      <c r="I2192" s="32">
        <f>IFERROR(VLOOKUP(B2192,汇总!$B$2:$I$2921,8,FALSE),"")</f>
        <v>0</v>
      </c>
      <c r="J2192" s="34" t="s">
        <v>1700</v>
      </c>
      <c r="K2192" s="34" t="s">
        <v>12</v>
      </c>
    </row>
    <row r="2193" ht="50.25" spans="1:11">
      <c r="A2193" s="34">
        <v>2192</v>
      </c>
      <c r="B2193" s="29" t="s">
        <v>2544</v>
      </c>
      <c r="C2193" s="29" t="str">
        <f>VLOOKUP(B2193,教育部大学名单!$B$1:$D$2920,3,FALSE)</f>
        <v>广西壮族自治区</v>
      </c>
      <c r="D2193" s="29" t="s">
        <v>902</v>
      </c>
      <c r="E2193" s="29" t="s">
        <v>917</v>
      </c>
      <c r="F2193" s="36" t="str">
        <f>IFERROR(VLOOKUP(B2193,'985'!$B$2:$D$40,3,FALSE),"")</f>
        <v/>
      </c>
      <c r="G2193" s="32" t="str">
        <f>IFERROR(VLOOKUP(B2193,'211'!$B$2:$D$116,3,FALSE),"")</f>
        <v/>
      </c>
      <c r="H2193" s="32" t="str">
        <f>IFERROR(VLOOKUP(B2193,双一流!$B$2:$D$148,3,FALSE),"")</f>
        <v/>
      </c>
      <c r="I2193" s="32">
        <f>IFERROR(VLOOKUP(B2193,汇总!$B$2:$I$2921,8,FALSE),"")</f>
        <v>0</v>
      </c>
      <c r="J2193" s="29" t="s">
        <v>1700</v>
      </c>
      <c r="K2193" s="29" t="s">
        <v>12</v>
      </c>
    </row>
    <row r="2194" ht="50.25" spans="1:11">
      <c r="A2194" s="29">
        <v>2193</v>
      </c>
      <c r="B2194" s="34" t="s">
        <v>2545</v>
      </c>
      <c r="C2194" s="29" t="str">
        <f>VLOOKUP(B2194,教育部大学名单!$B$1:$D$2920,3,FALSE)</f>
        <v>广西壮族自治区</v>
      </c>
      <c r="D2194" s="34" t="s">
        <v>902</v>
      </c>
      <c r="E2194" s="34" t="s">
        <v>917</v>
      </c>
      <c r="F2194" s="36" t="str">
        <f>IFERROR(VLOOKUP(B2194,'985'!$B$2:$D$40,3,FALSE),"")</f>
        <v/>
      </c>
      <c r="G2194" s="32" t="str">
        <f>IFERROR(VLOOKUP(B2194,'211'!$B$2:$D$116,3,FALSE),"")</f>
        <v/>
      </c>
      <c r="H2194" s="32" t="str">
        <f>IFERROR(VLOOKUP(B2194,双一流!$B$2:$D$148,3,FALSE),"")</f>
        <v/>
      </c>
      <c r="I2194" s="32">
        <f>IFERROR(VLOOKUP(B2194,汇总!$B$2:$I$2921,8,FALSE),"")</f>
        <v>0</v>
      </c>
      <c r="J2194" s="34" t="s">
        <v>1700</v>
      </c>
      <c r="K2194" s="34" t="s">
        <v>12</v>
      </c>
    </row>
    <row r="2195" ht="33.75" spans="1:11">
      <c r="A2195" s="34">
        <v>2194</v>
      </c>
      <c r="B2195" s="29" t="s">
        <v>2546</v>
      </c>
      <c r="C2195" s="29" t="str">
        <f>VLOOKUP(B2195,教育部大学名单!$B$1:$D$2920,3,FALSE)</f>
        <v>海南省</v>
      </c>
      <c r="D2195" s="29" t="s">
        <v>943</v>
      </c>
      <c r="E2195" s="29" t="s">
        <v>944</v>
      </c>
      <c r="F2195" s="36" t="str">
        <f>IFERROR(VLOOKUP(B2195,'985'!$B$2:$D$40,3,FALSE),"")</f>
        <v/>
      </c>
      <c r="G2195" s="32" t="str">
        <f>IFERROR(VLOOKUP(B2195,'211'!$B$2:$D$116,3,FALSE),"")</f>
        <v/>
      </c>
      <c r="H2195" s="32" t="str">
        <f>IFERROR(VLOOKUP(B2195,双一流!$B$2:$D$148,3,FALSE),"")</f>
        <v/>
      </c>
      <c r="I2195" s="32" t="str">
        <f>IFERROR(VLOOKUP(B2195,汇总!$B$2:$I$2921,8,FALSE),"")</f>
        <v>综合</v>
      </c>
      <c r="J2195" s="29" t="s">
        <v>1700</v>
      </c>
      <c r="K2195" s="29" t="s">
        <v>12</v>
      </c>
    </row>
    <row r="2196" ht="33.75" spans="1:11">
      <c r="A2196" s="29">
        <v>2195</v>
      </c>
      <c r="B2196" s="34" t="s">
        <v>2547</v>
      </c>
      <c r="C2196" s="29" t="str">
        <f>VLOOKUP(B2196,教育部大学名单!$B$1:$D$2920,3,FALSE)</f>
        <v>海南省</v>
      </c>
      <c r="D2196" s="34" t="s">
        <v>943</v>
      </c>
      <c r="E2196" s="34" t="s">
        <v>2548</v>
      </c>
      <c r="F2196" s="36" t="str">
        <f>IFERROR(VLOOKUP(B2196,'985'!$B$2:$D$40,3,FALSE),"")</f>
        <v/>
      </c>
      <c r="G2196" s="32" t="str">
        <f>IFERROR(VLOOKUP(B2196,'211'!$B$2:$D$116,3,FALSE),"")</f>
        <v/>
      </c>
      <c r="H2196" s="32" t="str">
        <f>IFERROR(VLOOKUP(B2196,双一流!$B$2:$D$148,3,FALSE),"")</f>
        <v/>
      </c>
      <c r="I2196" s="32" t="str">
        <f>IFERROR(VLOOKUP(B2196,汇总!$B$2:$I$2921,8,FALSE),"")</f>
        <v>理工</v>
      </c>
      <c r="J2196" s="34" t="s">
        <v>1700</v>
      </c>
      <c r="K2196" s="34" t="s">
        <v>12</v>
      </c>
    </row>
    <row r="2197" ht="33.75" spans="1:11">
      <c r="A2197" s="34">
        <v>2196</v>
      </c>
      <c r="B2197" s="29" t="s">
        <v>2549</v>
      </c>
      <c r="C2197" s="29" t="str">
        <f>VLOOKUP(B2197,教育部大学名单!$B$1:$D$2920,3,FALSE)</f>
        <v>海南省</v>
      </c>
      <c r="D2197" s="29" t="s">
        <v>943</v>
      </c>
      <c r="E2197" s="29" t="s">
        <v>944</v>
      </c>
      <c r="F2197" s="36" t="str">
        <f>IFERROR(VLOOKUP(B2197,'985'!$B$2:$D$40,3,FALSE),"")</f>
        <v/>
      </c>
      <c r="G2197" s="32" t="str">
        <f>IFERROR(VLOOKUP(B2197,'211'!$B$2:$D$116,3,FALSE),"")</f>
        <v/>
      </c>
      <c r="H2197" s="32" t="str">
        <f>IFERROR(VLOOKUP(B2197,双一流!$B$2:$D$148,3,FALSE),"")</f>
        <v/>
      </c>
      <c r="I2197" s="32" t="str">
        <f>IFERROR(VLOOKUP(B2197,汇总!$B$2:$I$2921,8,FALSE),"")</f>
        <v>政法</v>
      </c>
      <c r="J2197" s="29" t="s">
        <v>1700</v>
      </c>
      <c r="K2197" s="29" t="s">
        <v>12</v>
      </c>
    </row>
    <row r="2198" ht="33.75" spans="1:11">
      <c r="A2198" s="29">
        <v>2197</v>
      </c>
      <c r="B2198" s="34" t="s">
        <v>2550</v>
      </c>
      <c r="C2198" s="29" t="str">
        <f>VLOOKUP(B2198,教育部大学名单!$B$1:$D$2920,3,FALSE)</f>
        <v>海南省</v>
      </c>
      <c r="D2198" s="34" t="s">
        <v>943</v>
      </c>
      <c r="E2198" s="34" t="s">
        <v>2551</v>
      </c>
      <c r="F2198" s="36" t="str">
        <f>IFERROR(VLOOKUP(B2198,'985'!$B$2:$D$40,3,FALSE),"")</f>
        <v/>
      </c>
      <c r="G2198" s="32" t="str">
        <f>IFERROR(VLOOKUP(B2198,'211'!$B$2:$D$116,3,FALSE),"")</f>
        <v/>
      </c>
      <c r="H2198" s="32" t="str">
        <f>IFERROR(VLOOKUP(B2198,双一流!$B$2:$D$148,3,FALSE),"")</f>
        <v/>
      </c>
      <c r="I2198" s="32" t="str">
        <f>IFERROR(VLOOKUP(B2198,汇总!$B$2:$I$2921,8,FALSE),"")</f>
        <v>语言</v>
      </c>
      <c r="J2198" s="34" t="s">
        <v>1700</v>
      </c>
      <c r="K2198" s="34" t="s">
        <v>12</v>
      </c>
    </row>
    <row r="2199" ht="33.75" spans="1:11">
      <c r="A2199" s="34">
        <v>2198</v>
      </c>
      <c r="B2199" s="29" t="s">
        <v>2552</v>
      </c>
      <c r="C2199" s="29" t="str">
        <f>VLOOKUP(B2199,教育部大学名单!$B$1:$D$2920,3,FALSE)</f>
        <v>海南省</v>
      </c>
      <c r="D2199" s="29" t="s">
        <v>943</v>
      </c>
      <c r="E2199" s="29" t="s">
        <v>944</v>
      </c>
      <c r="F2199" s="36" t="str">
        <f>IFERROR(VLOOKUP(B2199,'985'!$B$2:$D$40,3,FALSE),"")</f>
        <v/>
      </c>
      <c r="G2199" s="32" t="str">
        <f>IFERROR(VLOOKUP(B2199,'211'!$B$2:$D$116,3,FALSE),"")</f>
        <v/>
      </c>
      <c r="H2199" s="32" t="str">
        <f>IFERROR(VLOOKUP(B2199,双一流!$B$2:$D$148,3,FALSE),"")</f>
        <v/>
      </c>
      <c r="I2199" s="32" t="str">
        <f>IFERROR(VLOOKUP(B2199,汇总!$B$2:$I$2921,8,FALSE),"")</f>
        <v>财经</v>
      </c>
      <c r="J2199" s="29" t="s">
        <v>1700</v>
      </c>
      <c r="K2199" s="29" t="s">
        <v>12</v>
      </c>
    </row>
    <row r="2200" ht="33.75" spans="1:11">
      <c r="A2200" s="29">
        <v>2199</v>
      </c>
      <c r="B2200" s="34" t="s">
        <v>2553</v>
      </c>
      <c r="C2200" s="29" t="str">
        <f>VLOOKUP(B2200,教育部大学名单!$B$1:$D$2920,3,FALSE)</f>
        <v>海南省</v>
      </c>
      <c r="D2200" s="34" t="s">
        <v>943</v>
      </c>
      <c r="E2200" s="34" t="s">
        <v>944</v>
      </c>
      <c r="F2200" s="36" t="str">
        <f>IFERROR(VLOOKUP(B2200,'985'!$B$2:$D$40,3,FALSE),"")</f>
        <v/>
      </c>
      <c r="G2200" s="32" t="str">
        <f>IFERROR(VLOOKUP(B2200,'211'!$B$2:$D$116,3,FALSE),"")</f>
        <v/>
      </c>
      <c r="H2200" s="32" t="str">
        <f>IFERROR(VLOOKUP(B2200,双一流!$B$2:$D$148,3,FALSE),"")</f>
        <v/>
      </c>
      <c r="I2200" s="32">
        <f>IFERROR(VLOOKUP(B2200,汇总!$B$2:$I$2921,8,FALSE),"")</f>
        <v>0</v>
      </c>
      <c r="J2200" s="34" t="s">
        <v>1700</v>
      </c>
      <c r="K2200" s="34" t="s">
        <v>12</v>
      </c>
    </row>
    <row r="2201" ht="33.75" spans="1:11">
      <c r="A2201" s="34">
        <v>2200</v>
      </c>
      <c r="B2201" s="29" t="s">
        <v>2554</v>
      </c>
      <c r="C2201" s="29" t="str">
        <f>VLOOKUP(B2201,教育部大学名单!$B$1:$D$2920,3,FALSE)</f>
        <v>海南省</v>
      </c>
      <c r="D2201" s="29" t="s">
        <v>943</v>
      </c>
      <c r="E2201" s="29" t="s">
        <v>944</v>
      </c>
      <c r="F2201" s="36" t="str">
        <f>IFERROR(VLOOKUP(B2201,'985'!$B$2:$D$40,3,FALSE),"")</f>
        <v/>
      </c>
      <c r="G2201" s="32" t="str">
        <f>IFERROR(VLOOKUP(B2201,'211'!$B$2:$D$116,3,FALSE),"")</f>
        <v/>
      </c>
      <c r="H2201" s="32" t="str">
        <f>IFERROR(VLOOKUP(B2201,双一流!$B$2:$D$148,3,FALSE),"")</f>
        <v/>
      </c>
      <c r="I2201" s="32">
        <f>IFERROR(VLOOKUP(B2201,汇总!$B$2:$I$2921,8,FALSE),"")</f>
        <v>0</v>
      </c>
      <c r="J2201" s="29" t="s">
        <v>1700</v>
      </c>
      <c r="K2201" s="29" t="s">
        <v>12</v>
      </c>
    </row>
    <row r="2202" ht="33.75" spans="1:11">
      <c r="A2202" s="29">
        <v>2201</v>
      </c>
      <c r="B2202" s="34" t="s">
        <v>2555</v>
      </c>
      <c r="C2202" s="29" t="str">
        <f>VLOOKUP(B2202,教育部大学名单!$B$1:$D$2920,3,FALSE)</f>
        <v>重庆市</v>
      </c>
      <c r="D2202" s="34" t="s">
        <v>951</v>
      </c>
      <c r="E2202" s="34" t="s">
        <v>951</v>
      </c>
      <c r="F2202" s="36" t="str">
        <f>IFERROR(VLOOKUP(B2202,'985'!$B$2:$D$40,3,FALSE),"")</f>
        <v/>
      </c>
      <c r="G2202" s="32" t="str">
        <f>IFERROR(VLOOKUP(B2202,'211'!$B$2:$D$116,3,FALSE),"")</f>
        <v/>
      </c>
      <c r="H2202" s="32" t="str">
        <f>IFERROR(VLOOKUP(B2202,双一流!$B$2:$D$148,3,FALSE),"")</f>
        <v/>
      </c>
      <c r="I2202" s="32" t="str">
        <f>IFERROR(VLOOKUP(B2202,汇总!$B$2:$I$2921,8,FALSE),"")</f>
        <v>理工</v>
      </c>
      <c r="J2202" s="34" t="s">
        <v>1700</v>
      </c>
      <c r="K2202" s="34" t="s">
        <v>12</v>
      </c>
    </row>
    <row r="2203" ht="33.75" spans="1:11">
      <c r="A2203" s="34">
        <v>2202</v>
      </c>
      <c r="B2203" s="29" t="s">
        <v>2556</v>
      </c>
      <c r="C2203" s="29" t="str">
        <f>VLOOKUP(B2203,教育部大学名单!$B$1:$D$2920,3,FALSE)</f>
        <v>重庆市</v>
      </c>
      <c r="D2203" s="29" t="s">
        <v>951</v>
      </c>
      <c r="E2203" s="29" t="s">
        <v>951</v>
      </c>
      <c r="F2203" s="36" t="str">
        <f>IFERROR(VLOOKUP(B2203,'985'!$B$2:$D$40,3,FALSE),"")</f>
        <v/>
      </c>
      <c r="G2203" s="32" t="str">
        <f>IFERROR(VLOOKUP(B2203,'211'!$B$2:$D$116,3,FALSE),"")</f>
        <v/>
      </c>
      <c r="H2203" s="32" t="str">
        <f>IFERROR(VLOOKUP(B2203,双一流!$B$2:$D$148,3,FALSE),"")</f>
        <v/>
      </c>
      <c r="I2203" s="32" t="str">
        <f>IFERROR(VLOOKUP(B2203,汇总!$B$2:$I$2921,8,FALSE),"")</f>
        <v>理工</v>
      </c>
      <c r="J2203" s="29" t="s">
        <v>1700</v>
      </c>
      <c r="K2203" s="29" t="s">
        <v>12</v>
      </c>
    </row>
    <row r="2204" ht="33.75" spans="1:11">
      <c r="A2204" s="29">
        <v>2203</v>
      </c>
      <c r="B2204" s="34" t="s">
        <v>2557</v>
      </c>
      <c r="C2204" s="29" t="str">
        <f>VLOOKUP(B2204,教育部大学名单!$B$1:$D$2920,3,FALSE)</f>
        <v>重庆市</v>
      </c>
      <c r="D2204" s="34" t="s">
        <v>951</v>
      </c>
      <c r="E2204" s="34" t="s">
        <v>951</v>
      </c>
      <c r="F2204" s="36" t="str">
        <f>IFERROR(VLOOKUP(B2204,'985'!$B$2:$D$40,3,FALSE),"")</f>
        <v/>
      </c>
      <c r="G2204" s="32" t="str">
        <f>IFERROR(VLOOKUP(B2204,'211'!$B$2:$D$116,3,FALSE),"")</f>
        <v/>
      </c>
      <c r="H2204" s="32" t="str">
        <f>IFERROR(VLOOKUP(B2204,双一流!$B$2:$D$148,3,FALSE),"")</f>
        <v/>
      </c>
      <c r="I2204" s="32" t="str">
        <f>IFERROR(VLOOKUP(B2204,汇总!$B$2:$I$2921,8,FALSE),"")</f>
        <v>综合</v>
      </c>
      <c r="J2204" s="34" t="s">
        <v>1700</v>
      </c>
      <c r="K2204" s="34" t="s">
        <v>12</v>
      </c>
    </row>
    <row r="2205" ht="33.75" spans="1:11">
      <c r="A2205" s="34">
        <v>2204</v>
      </c>
      <c r="B2205" s="29" t="s">
        <v>2558</v>
      </c>
      <c r="C2205" s="29" t="str">
        <f>VLOOKUP(B2205,教育部大学名单!$B$1:$D$2920,3,FALSE)</f>
        <v>重庆市</v>
      </c>
      <c r="D2205" s="29" t="s">
        <v>951</v>
      </c>
      <c r="E2205" s="29" t="s">
        <v>951</v>
      </c>
      <c r="F2205" s="36" t="str">
        <f>IFERROR(VLOOKUP(B2205,'985'!$B$2:$D$40,3,FALSE),"")</f>
        <v/>
      </c>
      <c r="G2205" s="32" t="str">
        <f>IFERROR(VLOOKUP(B2205,'211'!$B$2:$D$116,3,FALSE),"")</f>
        <v/>
      </c>
      <c r="H2205" s="32" t="str">
        <f>IFERROR(VLOOKUP(B2205,双一流!$B$2:$D$148,3,FALSE),"")</f>
        <v/>
      </c>
      <c r="I2205" s="32" t="str">
        <f>IFERROR(VLOOKUP(B2205,汇总!$B$2:$I$2921,8,FALSE),"")</f>
        <v>理工</v>
      </c>
      <c r="J2205" s="29" t="s">
        <v>1700</v>
      </c>
      <c r="K2205" s="29" t="s">
        <v>12</v>
      </c>
    </row>
    <row r="2206" ht="33.75" spans="1:11">
      <c r="A2206" s="29">
        <v>2205</v>
      </c>
      <c r="B2206" s="34" t="s">
        <v>2559</v>
      </c>
      <c r="C2206" s="29" t="str">
        <f>VLOOKUP(B2206,教育部大学名单!$B$1:$D$2920,3,FALSE)</f>
        <v>重庆市</v>
      </c>
      <c r="D2206" s="34" t="s">
        <v>951</v>
      </c>
      <c r="E2206" s="34" t="s">
        <v>951</v>
      </c>
      <c r="F2206" s="36" t="str">
        <f>IFERROR(VLOOKUP(B2206,'985'!$B$2:$D$40,3,FALSE),"")</f>
        <v/>
      </c>
      <c r="G2206" s="32" t="str">
        <f>IFERROR(VLOOKUP(B2206,'211'!$B$2:$D$116,3,FALSE),"")</f>
        <v/>
      </c>
      <c r="H2206" s="32" t="str">
        <f>IFERROR(VLOOKUP(B2206,双一流!$B$2:$D$148,3,FALSE),"")</f>
        <v/>
      </c>
      <c r="I2206" s="32" t="str">
        <f>IFERROR(VLOOKUP(B2206,汇总!$B$2:$I$2921,8,FALSE),"")</f>
        <v>综合</v>
      </c>
      <c r="J2206" s="34" t="s">
        <v>1700</v>
      </c>
      <c r="K2206" s="34" t="s">
        <v>12</v>
      </c>
    </row>
    <row r="2207" ht="33.75" spans="1:11">
      <c r="A2207" s="34">
        <v>2206</v>
      </c>
      <c r="B2207" s="29" t="s">
        <v>2560</v>
      </c>
      <c r="C2207" s="29" t="str">
        <f>VLOOKUP(B2207,教育部大学名单!$B$1:$D$2920,3,FALSE)</f>
        <v>重庆市</v>
      </c>
      <c r="D2207" s="29" t="s">
        <v>951</v>
      </c>
      <c r="E2207" s="29" t="s">
        <v>951</v>
      </c>
      <c r="F2207" s="36" t="str">
        <f>IFERROR(VLOOKUP(B2207,'985'!$B$2:$D$40,3,FALSE),"")</f>
        <v/>
      </c>
      <c r="G2207" s="32" t="str">
        <f>IFERROR(VLOOKUP(B2207,'211'!$B$2:$D$116,3,FALSE),"")</f>
        <v/>
      </c>
      <c r="H2207" s="32" t="str">
        <f>IFERROR(VLOOKUP(B2207,双一流!$B$2:$D$148,3,FALSE),"")</f>
        <v/>
      </c>
      <c r="I2207" s="32" t="str">
        <f>IFERROR(VLOOKUP(B2207,汇总!$B$2:$I$2921,8,FALSE),"")</f>
        <v>理工</v>
      </c>
      <c r="J2207" s="29" t="s">
        <v>1700</v>
      </c>
      <c r="K2207" s="29" t="s">
        <v>12</v>
      </c>
    </row>
    <row r="2208" ht="33.75" spans="1:11">
      <c r="A2208" s="29">
        <v>2207</v>
      </c>
      <c r="B2208" s="34" t="s">
        <v>2561</v>
      </c>
      <c r="C2208" s="29" t="str">
        <f>VLOOKUP(B2208,教育部大学名单!$B$1:$D$2920,3,FALSE)</f>
        <v>重庆市</v>
      </c>
      <c r="D2208" s="34" t="s">
        <v>951</v>
      </c>
      <c r="E2208" s="34" t="s">
        <v>951</v>
      </c>
      <c r="F2208" s="36" t="str">
        <f>IFERROR(VLOOKUP(B2208,'985'!$B$2:$D$40,3,FALSE),"")</f>
        <v/>
      </c>
      <c r="G2208" s="32" t="str">
        <f>IFERROR(VLOOKUP(B2208,'211'!$B$2:$D$116,3,FALSE),"")</f>
        <v/>
      </c>
      <c r="H2208" s="32" t="str">
        <f>IFERROR(VLOOKUP(B2208,双一流!$B$2:$D$148,3,FALSE),"")</f>
        <v/>
      </c>
      <c r="I2208" s="32" t="str">
        <f>IFERROR(VLOOKUP(B2208,汇总!$B$2:$I$2921,8,FALSE),"")</f>
        <v>综合</v>
      </c>
      <c r="J2208" s="34" t="s">
        <v>1700</v>
      </c>
      <c r="K2208" s="34" t="s">
        <v>12</v>
      </c>
    </row>
    <row r="2209" ht="50.25" spans="1:11">
      <c r="A2209" s="34">
        <v>2208</v>
      </c>
      <c r="B2209" s="29" t="s">
        <v>2562</v>
      </c>
      <c r="C2209" s="29" t="str">
        <f>VLOOKUP(B2209,教育部大学名单!$B$1:$D$2920,3,FALSE)</f>
        <v>重庆市</v>
      </c>
      <c r="D2209" s="29" t="s">
        <v>951</v>
      </c>
      <c r="E2209" s="29" t="s">
        <v>951</v>
      </c>
      <c r="F2209" s="36" t="str">
        <f>IFERROR(VLOOKUP(B2209,'985'!$B$2:$D$40,3,FALSE),"")</f>
        <v/>
      </c>
      <c r="G2209" s="32" t="str">
        <f>IFERROR(VLOOKUP(B2209,'211'!$B$2:$D$116,3,FALSE),"")</f>
        <v/>
      </c>
      <c r="H2209" s="32" t="str">
        <f>IFERROR(VLOOKUP(B2209,双一流!$B$2:$D$148,3,FALSE),"")</f>
        <v/>
      </c>
      <c r="I2209" s="32" t="str">
        <f>IFERROR(VLOOKUP(B2209,汇总!$B$2:$I$2921,8,FALSE),"")</f>
        <v>理工</v>
      </c>
      <c r="J2209" s="29" t="s">
        <v>1700</v>
      </c>
      <c r="K2209" s="29" t="s">
        <v>12</v>
      </c>
    </row>
    <row r="2210" ht="33.75" spans="1:11">
      <c r="A2210" s="29">
        <v>2209</v>
      </c>
      <c r="B2210" s="34" t="s">
        <v>2563</v>
      </c>
      <c r="C2210" s="29" t="str">
        <f>VLOOKUP(B2210,教育部大学名单!$B$1:$D$2920,3,FALSE)</f>
        <v>重庆市</v>
      </c>
      <c r="D2210" s="34" t="s">
        <v>951</v>
      </c>
      <c r="E2210" s="34" t="s">
        <v>951</v>
      </c>
      <c r="F2210" s="36" t="str">
        <f>IFERROR(VLOOKUP(B2210,'985'!$B$2:$D$40,3,FALSE),"")</f>
        <v/>
      </c>
      <c r="G2210" s="32" t="str">
        <f>IFERROR(VLOOKUP(B2210,'211'!$B$2:$D$116,3,FALSE),"")</f>
        <v/>
      </c>
      <c r="H2210" s="32" t="str">
        <f>IFERROR(VLOOKUP(B2210,双一流!$B$2:$D$148,3,FALSE),"")</f>
        <v/>
      </c>
      <c r="I2210" s="32" t="str">
        <f>IFERROR(VLOOKUP(B2210,汇总!$B$2:$I$2921,8,FALSE),"")</f>
        <v>综合</v>
      </c>
      <c r="J2210" s="34" t="s">
        <v>1700</v>
      </c>
      <c r="K2210" s="34" t="s">
        <v>12</v>
      </c>
    </row>
    <row r="2211" ht="50.25" spans="1:11">
      <c r="A2211" s="34">
        <v>2210</v>
      </c>
      <c r="B2211" s="29" t="s">
        <v>2564</v>
      </c>
      <c r="C2211" s="29" t="str">
        <f>VLOOKUP(B2211,教育部大学名单!$B$1:$D$2920,3,FALSE)</f>
        <v>重庆市</v>
      </c>
      <c r="D2211" s="29" t="s">
        <v>951</v>
      </c>
      <c r="E2211" s="29" t="s">
        <v>951</v>
      </c>
      <c r="F2211" s="36" t="str">
        <f>IFERROR(VLOOKUP(B2211,'985'!$B$2:$D$40,3,FALSE),"")</f>
        <v/>
      </c>
      <c r="G2211" s="32" t="str">
        <f>IFERROR(VLOOKUP(B2211,'211'!$B$2:$D$116,3,FALSE),"")</f>
        <v/>
      </c>
      <c r="H2211" s="32" t="str">
        <f>IFERROR(VLOOKUP(B2211,双一流!$B$2:$D$148,3,FALSE),"")</f>
        <v/>
      </c>
      <c r="I2211" s="32" t="str">
        <f>IFERROR(VLOOKUP(B2211,汇总!$B$2:$I$2921,8,FALSE),"")</f>
        <v>医药</v>
      </c>
      <c r="J2211" s="29" t="s">
        <v>1700</v>
      </c>
      <c r="K2211" s="29" t="s">
        <v>12</v>
      </c>
    </row>
    <row r="2212" ht="33.75" spans="1:11">
      <c r="A2212" s="29">
        <v>2211</v>
      </c>
      <c r="B2212" s="34" t="s">
        <v>2565</v>
      </c>
      <c r="C2212" s="29" t="str">
        <f>VLOOKUP(B2212,教育部大学名单!$B$1:$D$2920,3,FALSE)</f>
        <v>重庆市</v>
      </c>
      <c r="D2212" s="34" t="s">
        <v>951</v>
      </c>
      <c r="E2212" s="34" t="s">
        <v>951</v>
      </c>
      <c r="F2212" s="36" t="str">
        <f>IFERROR(VLOOKUP(B2212,'985'!$B$2:$D$40,3,FALSE),"")</f>
        <v/>
      </c>
      <c r="G2212" s="32" t="str">
        <f>IFERROR(VLOOKUP(B2212,'211'!$B$2:$D$116,3,FALSE),"")</f>
        <v/>
      </c>
      <c r="H2212" s="32" t="str">
        <f>IFERROR(VLOOKUP(B2212,双一流!$B$2:$D$148,3,FALSE),"")</f>
        <v/>
      </c>
      <c r="I2212" s="32" t="str">
        <f>IFERROR(VLOOKUP(B2212,汇总!$B$2:$I$2921,8,FALSE),"")</f>
        <v>医药</v>
      </c>
      <c r="J2212" s="34" t="s">
        <v>1700</v>
      </c>
      <c r="K2212" s="34" t="s">
        <v>12</v>
      </c>
    </row>
    <row r="2213" ht="33.75" spans="1:11">
      <c r="A2213" s="34">
        <v>2212</v>
      </c>
      <c r="B2213" s="29" t="s">
        <v>2566</v>
      </c>
      <c r="C2213" s="29" t="str">
        <f>VLOOKUP(B2213,教育部大学名单!$B$1:$D$2920,3,FALSE)</f>
        <v>重庆市</v>
      </c>
      <c r="D2213" s="29" t="s">
        <v>951</v>
      </c>
      <c r="E2213" s="29" t="s">
        <v>951</v>
      </c>
      <c r="F2213" s="36" t="str">
        <f>IFERROR(VLOOKUP(B2213,'985'!$B$2:$D$40,3,FALSE),"")</f>
        <v/>
      </c>
      <c r="G2213" s="32" t="str">
        <f>IFERROR(VLOOKUP(B2213,'211'!$B$2:$D$116,3,FALSE),"")</f>
        <v/>
      </c>
      <c r="H2213" s="32" t="str">
        <f>IFERROR(VLOOKUP(B2213,双一流!$B$2:$D$148,3,FALSE),"")</f>
        <v/>
      </c>
      <c r="I2213" s="32" t="str">
        <f>IFERROR(VLOOKUP(B2213,汇总!$B$2:$I$2921,8,FALSE),"")</f>
        <v>综合</v>
      </c>
      <c r="J2213" s="29" t="s">
        <v>1700</v>
      </c>
      <c r="K2213" s="29" t="s">
        <v>12</v>
      </c>
    </row>
    <row r="2214" ht="33.75" spans="1:11">
      <c r="A2214" s="29">
        <v>2213</v>
      </c>
      <c r="B2214" s="34" t="s">
        <v>2567</v>
      </c>
      <c r="C2214" s="29" t="str">
        <f>VLOOKUP(B2214,教育部大学名单!$B$1:$D$2920,3,FALSE)</f>
        <v>重庆市</v>
      </c>
      <c r="D2214" s="34" t="s">
        <v>951</v>
      </c>
      <c r="E2214" s="34" t="s">
        <v>951</v>
      </c>
      <c r="F2214" s="36" t="str">
        <f>IFERROR(VLOOKUP(B2214,'985'!$B$2:$D$40,3,FALSE),"")</f>
        <v/>
      </c>
      <c r="G2214" s="32" t="str">
        <f>IFERROR(VLOOKUP(B2214,'211'!$B$2:$D$116,3,FALSE),"")</f>
        <v/>
      </c>
      <c r="H2214" s="32" t="str">
        <f>IFERROR(VLOOKUP(B2214,双一流!$B$2:$D$148,3,FALSE),"")</f>
        <v/>
      </c>
      <c r="I2214" s="32" t="str">
        <f>IFERROR(VLOOKUP(B2214,汇总!$B$2:$I$2921,8,FALSE),"")</f>
        <v>财经</v>
      </c>
      <c r="J2214" s="34" t="s">
        <v>1700</v>
      </c>
      <c r="K2214" s="34" t="s">
        <v>12</v>
      </c>
    </row>
    <row r="2215" ht="33.75" spans="1:11">
      <c r="A2215" s="34">
        <v>2214</v>
      </c>
      <c r="B2215" s="29" t="s">
        <v>2568</v>
      </c>
      <c r="C2215" s="29" t="str">
        <f>VLOOKUP(B2215,教育部大学名单!$B$1:$D$2920,3,FALSE)</f>
        <v>重庆市</v>
      </c>
      <c r="D2215" s="29" t="s">
        <v>951</v>
      </c>
      <c r="E2215" s="29" t="s">
        <v>951</v>
      </c>
      <c r="F2215" s="36" t="str">
        <f>IFERROR(VLOOKUP(B2215,'985'!$B$2:$D$40,3,FALSE),"")</f>
        <v/>
      </c>
      <c r="G2215" s="32" t="str">
        <f>IFERROR(VLOOKUP(B2215,'211'!$B$2:$D$116,3,FALSE),"")</f>
        <v/>
      </c>
      <c r="H2215" s="32" t="str">
        <f>IFERROR(VLOOKUP(B2215,双一流!$B$2:$D$148,3,FALSE),"")</f>
        <v/>
      </c>
      <c r="I2215" s="32" t="str">
        <f>IFERROR(VLOOKUP(B2215,汇总!$B$2:$I$2921,8,FALSE),"")</f>
        <v>理工</v>
      </c>
      <c r="J2215" s="29" t="s">
        <v>1700</v>
      </c>
      <c r="K2215" s="29" t="s">
        <v>12</v>
      </c>
    </row>
    <row r="2216" ht="33.75" spans="1:11">
      <c r="A2216" s="29">
        <v>2215</v>
      </c>
      <c r="B2216" s="34" t="s">
        <v>2569</v>
      </c>
      <c r="C2216" s="29" t="str">
        <f>VLOOKUP(B2216,教育部大学名单!$B$1:$D$2920,3,FALSE)</f>
        <v>重庆市</v>
      </c>
      <c r="D2216" s="34" t="s">
        <v>951</v>
      </c>
      <c r="E2216" s="34" t="s">
        <v>951</v>
      </c>
      <c r="F2216" s="36" t="str">
        <f>IFERROR(VLOOKUP(B2216,'985'!$B$2:$D$40,3,FALSE),"")</f>
        <v/>
      </c>
      <c r="G2216" s="32" t="str">
        <f>IFERROR(VLOOKUP(B2216,'211'!$B$2:$D$116,3,FALSE),"")</f>
        <v/>
      </c>
      <c r="H2216" s="32" t="str">
        <f>IFERROR(VLOOKUP(B2216,双一流!$B$2:$D$148,3,FALSE),"")</f>
        <v/>
      </c>
      <c r="I2216" s="32" t="str">
        <f>IFERROR(VLOOKUP(B2216,汇总!$B$2:$I$2921,8,FALSE),"")</f>
        <v>财经</v>
      </c>
      <c r="J2216" s="34" t="s">
        <v>1700</v>
      </c>
      <c r="K2216" s="34" t="s">
        <v>12</v>
      </c>
    </row>
    <row r="2217" ht="33.75" spans="1:11">
      <c r="A2217" s="34">
        <v>2216</v>
      </c>
      <c r="B2217" s="29" t="s">
        <v>2570</v>
      </c>
      <c r="C2217" s="29" t="str">
        <f>VLOOKUP(B2217,教育部大学名单!$B$1:$D$2920,3,FALSE)</f>
        <v>重庆市</v>
      </c>
      <c r="D2217" s="29" t="s">
        <v>951</v>
      </c>
      <c r="E2217" s="29" t="s">
        <v>951</v>
      </c>
      <c r="F2217" s="36" t="str">
        <f>IFERROR(VLOOKUP(B2217,'985'!$B$2:$D$40,3,FALSE),"")</f>
        <v/>
      </c>
      <c r="G2217" s="32" t="str">
        <f>IFERROR(VLOOKUP(B2217,'211'!$B$2:$D$116,3,FALSE),"")</f>
        <v/>
      </c>
      <c r="H2217" s="32" t="str">
        <f>IFERROR(VLOOKUP(B2217,双一流!$B$2:$D$148,3,FALSE),"")</f>
        <v/>
      </c>
      <c r="I2217" s="32" t="str">
        <f>IFERROR(VLOOKUP(B2217,汇总!$B$2:$I$2921,8,FALSE),"")</f>
        <v>理工</v>
      </c>
      <c r="J2217" s="29" t="s">
        <v>1700</v>
      </c>
      <c r="K2217" s="29" t="s">
        <v>12</v>
      </c>
    </row>
    <row r="2218" ht="33.75" spans="1:11">
      <c r="A2218" s="29">
        <v>2217</v>
      </c>
      <c r="B2218" s="34" t="s">
        <v>2571</v>
      </c>
      <c r="C2218" s="29" t="str">
        <f>VLOOKUP(B2218,教育部大学名单!$B$1:$D$2920,3,FALSE)</f>
        <v>重庆市</v>
      </c>
      <c r="D2218" s="34" t="s">
        <v>951</v>
      </c>
      <c r="E2218" s="34" t="s">
        <v>951</v>
      </c>
      <c r="F2218" s="36" t="str">
        <f>IFERROR(VLOOKUP(B2218,'985'!$B$2:$D$40,3,FALSE),"")</f>
        <v/>
      </c>
      <c r="G2218" s="32" t="str">
        <f>IFERROR(VLOOKUP(B2218,'211'!$B$2:$D$116,3,FALSE),"")</f>
        <v/>
      </c>
      <c r="H2218" s="32" t="str">
        <f>IFERROR(VLOOKUP(B2218,双一流!$B$2:$D$148,3,FALSE),"")</f>
        <v/>
      </c>
      <c r="I2218" s="32" t="str">
        <f>IFERROR(VLOOKUP(B2218,汇总!$B$2:$I$2921,8,FALSE),"")</f>
        <v>综合</v>
      </c>
      <c r="J2218" s="34" t="s">
        <v>1700</v>
      </c>
      <c r="K2218" s="34" t="s">
        <v>12</v>
      </c>
    </row>
    <row r="2219" ht="33.75" spans="1:11">
      <c r="A2219" s="34">
        <v>2218</v>
      </c>
      <c r="B2219" s="29" t="s">
        <v>2572</v>
      </c>
      <c r="C2219" s="29" t="str">
        <f>VLOOKUP(B2219,教育部大学名单!$B$1:$D$2920,3,FALSE)</f>
        <v>重庆市</v>
      </c>
      <c r="D2219" s="29" t="s">
        <v>951</v>
      </c>
      <c r="E2219" s="29" t="s">
        <v>951</v>
      </c>
      <c r="F2219" s="36" t="str">
        <f>IFERROR(VLOOKUP(B2219,'985'!$B$2:$D$40,3,FALSE),"")</f>
        <v/>
      </c>
      <c r="G2219" s="32" t="str">
        <f>IFERROR(VLOOKUP(B2219,'211'!$B$2:$D$116,3,FALSE),"")</f>
        <v/>
      </c>
      <c r="H2219" s="32" t="str">
        <f>IFERROR(VLOOKUP(B2219,双一流!$B$2:$D$148,3,FALSE),"")</f>
        <v/>
      </c>
      <c r="I2219" s="32">
        <f>IFERROR(VLOOKUP(B2219,汇总!$B$2:$I$2921,8,FALSE),"")</f>
        <v>0</v>
      </c>
      <c r="J2219" s="29" t="s">
        <v>1700</v>
      </c>
      <c r="K2219" s="29" t="s">
        <v>12</v>
      </c>
    </row>
    <row r="2220" ht="50.25" spans="1:11">
      <c r="A2220" s="29">
        <v>2219</v>
      </c>
      <c r="B2220" s="34" t="s">
        <v>2573</v>
      </c>
      <c r="C2220" s="29" t="str">
        <f>VLOOKUP(B2220,教育部大学名单!$B$1:$D$2920,3,FALSE)</f>
        <v>重庆市</v>
      </c>
      <c r="D2220" s="34" t="s">
        <v>951</v>
      </c>
      <c r="E2220" s="34" t="s">
        <v>951</v>
      </c>
      <c r="F2220" s="36" t="str">
        <f>IFERROR(VLOOKUP(B2220,'985'!$B$2:$D$40,3,FALSE),"")</f>
        <v/>
      </c>
      <c r="G2220" s="32" t="str">
        <f>IFERROR(VLOOKUP(B2220,'211'!$B$2:$D$116,3,FALSE),"")</f>
        <v/>
      </c>
      <c r="H2220" s="32" t="str">
        <f>IFERROR(VLOOKUP(B2220,双一流!$B$2:$D$148,3,FALSE),"")</f>
        <v/>
      </c>
      <c r="I2220" s="32" t="str">
        <f>IFERROR(VLOOKUP(B2220,汇总!$B$2:$I$2921,8,FALSE),"")</f>
        <v>师范</v>
      </c>
      <c r="J2220" s="34" t="s">
        <v>1700</v>
      </c>
      <c r="K2220" s="34" t="s">
        <v>12</v>
      </c>
    </row>
    <row r="2221" ht="33.75" spans="1:11">
      <c r="A2221" s="34">
        <v>2220</v>
      </c>
      <c r="B2221" s="29" t="s">
        <v>2574</v>
      </c>
      <c r="C2221" s="29" t="str">
        <f>VLOOKUP(B2221,教育部大学名单!$B$1:$D$2920,3,FALSE)</f>
        <v>重庆市</v>
      </c>
      <c r="D2221" s="29" t="s">
        <v>951</v>
      </c>
      <c r="E2221" s="29" t="s">
        <v>951</v>
      </c>
      <c r="F2221" s="36" t="str">
        <f>IFERROR(VLOOKUP(B2221,'985'!$B$2:$D$40,3,FALSE),"")</f>
        <v/>
      </c>
      <c r="G2221" s="32" t="str">
        <f>IFERROR(VLOOKUP(B2221,'211'!$B$2:$D$116,3,FALSE),"")</f>
        <v/>
      </c>
      <c r="H2221" s="32" t="str">
        <f>IFERROR(VLOOKUP(B2221,双一流!$B$2:$D$148,3,FALSE),"")</f>
        <v/>
      </c>
      <c r="I2221" s="32" t="str">
        <f>IFERROR(VLOOKUP(B2221,汇总!$B$2:$I$2921,8,FALSE),"")</f>
        <v>艺术</v>
      </c>
      <c r="J2221" s="29" t="s">
        <v>1700</v>
      </c>
      <c r="K2221" s="29" t="s">
        <v>12</v>
      </c>
    </row>
    <row r="2222" ht="33.75" spans="1:11">
      <c r="A2222" s="29">
        <v>2221</v>
      </c>
      <c r="B2222" s="34" t="s">
        <v>2575</v>
      </c>
      <c r="C2222" s="29" t="str">
        <f>VLOOKUP(B2222,教育部大学名单!$B$1:$D$2920,3,FALSE)</f>
        <v>重庆市</v>
      </c>
      <c r="D2222" s="34" t="s">
        <v>951</v>
      </c>
      <c r="E2222" s="34" t="s">
        <v>951</v>
      </c>
      <c r="F2222" s="36" t="str">
        <f>IFERROR(VLOOKUP(B2222,'985'!$B$2:$D$40,3,FALSE),"")</f>
        <v/>
      </c>
      <c r="G2222" s="32" t="str">
        <f>IFERROR(VLOOKUP(B2222,'211'!$B$2:$D$116,3,FALSE),"")</f>
        <v/>
      </c>
      <c r="H2222" s="32" t="str">
        <f>IFERROR(VLOOKUP(B2222,双一流!$B$2:$D$148,3,FALSE),"")</f>
        <v/>
      </c>
      <c r="I2222" s="32">
        <f>IFERROR(VLOOKUP(B2222,汇总!$B$2:$I$2921,8,FALSE),"")</f>
        <v>0</v>
      </c>
      <c r="J2222" s="34" t="s">
        <v>1700</v>
      </c>
      <c r="K2222" s="34" t="s">
        <v>12</v>
      </c>
    </row>
    <row r="2223" ht="33.75" spans="1:11">
      <c r="A2223" s="34">
        <v>2222</v>
      </c>
      <c r="B2223" s="29" t="s">
        <v>2576</v>
      </c>
      <c r="C2223" s="29" t="str">
        <f>VLOOKUP(B2223,教育部大学名单!$B$1:$D$2920,3,FALSE)</f>
        <v>四川省</v>
      </c>
      <c r="D2223" s="29" t="s">
        <v>971</v>
      </c>
      <c r="E2223" s="29" t="s">
        <v>972</v>
      </c>
      <c r="F2223" s="36" t="str">
        <f>IFERROR(VLOOKUP(B2223,'985'!$B$2:$D$40,3,FALSE),"")</f>
        <v/>
      </c>
      <c r="G2223" s="32" t="str">
        <f>IFERROR(VLOOKUP(B2223,'211'!$B$2:$D$116,3,FALSE),"")</f>
        <v/>
      </c>
      <c r="H2223" s="32" t="str">
        <f>IFERROR(VLOOKUP(B2223,双一流!$B$2:$D$148,3,FALSE),"")</f>
        <v/>
      </c>
      <c r="I2223" s="32" t="str">
        <f>IFERROR(VLOOKUP(B2223,汇总!$B$2:$I$2921,8,FALSE),"")</f>
        <v>理工</v>
      </c>
      <c r="J2223" s="29" t="s">
        <v>1700</v>
      </c>
      <c r="K2223" s="29" t="s">
        <v>12</v>
      </c>
    </row>
    <row r="2224" ht="33.75" spans="1:11">
      <c r="A2224" s="29">
        <v>2223</v>
      </c>
      <c r="B2224" s="34" t="s">
        <v>2577</v>
      </c>
      <c r="C2224" s="29" t="str">
        <f>VLOOKUP(B2224,教育部大学名单!$B$1:$D$2920,3,FALSE)</f>
        <v>四川省</v>
      </c>
      <c r="D2224" s="34" t="s">
        <v>971</v>
      </c>
      <c r="E2224" s="34" t="s">
        <v>972</v>
      </c>
      <c r="F2224" s="36" t="str">
        <f>IFERROR(VLOOKUP(B2224,'985'!$B$2:$D$40,3,FALSE),"")</f>
        <v/>
      </c>
      <c r="G2224" s="32" t="str">
        <f>IFERROR(VLOOKUP(B2224,'211'!$B$2:$D$116,3,FALSE),"")</f>
        <v/>
      </c>
      <c r="H2224" s="32" t="str">
        <f>IFERROR(VLOOKUP(B2224,双一流!$B$2:$D$148,3,FALSE),"")</f>
        <v/>
      </c>
      <c r="I2224" s="32" t="str">
        <f>IFERROR(VLOOKUP(B2224,汇总!$B$2:$I$2921,8,FALSE),"")</f>
        <v>综合</v>
      </c>
      <c r="J2224" s="34" t="s">
        <v>1700</v>
      </c>
      <c r="K2224" s="34" t="s">
        <v>12</v>
      </c>
    </row>
    <row r="2225" ht="33.75" spans="1:11">
      <c r="A2225" s="34">
        <v>2224</v>
      </c>
      <c r="B2225" s="29" t="s">
        <v>2578</v>
      </c>
      <c r="C2225" s="29" t="str">
        <f>VLOOKUP(B2225,教育部大学名单!$B$1:$D$2920,3,FALSE)</f>
        <v>四川省</v>
      </c>
      <c r="D2225" s="29" t="s">
        <v>971</v>
      </c>
      <c r="E2225" s="29" t="s">
        <v>990</v>
      </c>
      <c r="F2225" s="36" t="str">
        <f>IFERROR(VLOOKUP(B2225,'985'!$B$2:$D$40,3,FALSE),"")</f>
        <v/>
      </c>
      <c r="G2225" s="32" t="str">
        <f>IFERROR(VLOOKUP(B2225,'211'!$B$2:$D$116,3,FALSE),"")</f>
        <v/>
      </c>
      <c r="H2225" s="32" t="str">
        <f>IFERROR(VLOOKUP(B2225,双一流!$B$2:$D$148,3,FALSE),"")</f>
        <v/>
      </c>
      <c r="I2225" s="32" t="str">
        <f>IFERROR(VLOOKUP(B2225,汇总!$B$2:$I$2921,8,FALSE),"")</f>
        <v>理工</v>
      </c>
      <c r="J2225" s="29" t="s">
        <v>1700</v>
      </c>
      <c r="K2225" s="29" t="s">
        <v>12</v>
      </c>
    </row>
    <row r="2226" ht="33.75" spans="1:11">
      <c r="A2226" s="29">
        <v>2225</v>
      </c>
      <c r="B2226" s="34" t="s">
        <v>2579</v>
      </c>
      <c r="C2226" s="29" t="str">
        <f>VLOOKUP(B2226,教育部大学名单!$B$1:$D$2920,3,FALSE)</f>
        <v>四川省</v>
      </c>
      <c r="D2226" s="34" t="s">
        <v>971</v>
      </c>
      <c r="E2226" s="34" t="s">
        <v>972</v>
      </c>
      <c r="F2226" s="36" t="str">
        <f>IFERROR(VLOOKUP(B2226,'985'!$B$2:$D$40,3,FALSE),"")</f>
        <v/>
      </c>
      <c r="G2226" s="32" t="str">
        <f>IFERROR(VLOOKUP(B2226,'211'!$B$2:$D$116,3,FALSE),"")</f>
        <v/>
      </c>
      <c r="H2226" s="32" t="str">
        <f>IFERROR(VLOOKUP(B2226,双一流!$B$2:$D$148,3,FALSE),"")</f>
        <v/>
      </c>
      <c r="I2226" s="32" t="str">
        <f>IFERROR(VLOOKUP(B2226,汇总!$B$2:$I$2921,8,FALSE),"")</f>
        <v>理工</v>
      </c>
      <c r="J2226" s="34" t="s">
        <v>1700</v>
      </c>
      <c r="K2226" s="34" t="s">
        <v>12</v>
      </c>
    </row>
    <row r="2227" ht="33.75" spans="1:11">
      <c r="A2227" s="34">
        <v>2226</v>
      </c>
      <c r="B2227" s="29" t="s">
        <v>2580</v>
      </c>
      <c r="C2227" s="29" t="str">
        <f>VLOOKUP(B2227,教育部大学名单!$B$1:$D$2920,3,FALSE)</f>
        <v>四川省</v>
      </c>
      <c r="D2227" s="29" t="s">
        <v>971</v>
      </c>
      <c r="E2227" s="29" t="s">
        <v>993</v>
      </c>
      <c r="F2227" s="36" t="str">
        <f>IFERROR(VLOOKUP(B2227,'985'!$B$2:$D$40,3,FALSE),"")</f>
        <v/>
      </c>
      <c r="G2227" s="32" t="str">
        <f>IFERROR(VLOOKUP(B2227,'211'!$B$2:$D$116,3,FALSE),"")</f>
        <v/>
      </c>
      <c r="H2227" s="32" t="str">
        <f>IFERROR(VLOOKUP(B2227,双一流!$B$2:$D$148,3,FALSE),"")</f>
        <v/>
      </c>
      <c r="I2227" s="32" t="str">
        <f>IFERROR(VLOOKUP(B2227,汇总!$B$2:$I$2921,8,FALSE),"")</f>
        <v>综合</v>
      </c>
      <c r="J2227" s="29" t="s">
        <v>1700</v>
      </c>
      <c r="K2227" s="29" t="s">
        <v>12</v>
      </c>
    </row>
    <row r="2228" ht="33.75" spans="1:11">
      <c r="A2228" s="29">
        <v>2227</v>
      </c>
      <c r="B2228" s="34" t="s">
        <v>2581</v>
      </c>
      <c r="C2228" s="29" t="str">
        <f>VLOOKUP(B2228,教育部大学名单!$B$1:$D$2920,3,FALSE)</f>
        <v>四川省</v>
      </c>
      <c r="D2228" s="34" t="s">
        <v>971</v>
      </c>
      <c r="E2228" s="34" t="s">
        <v>998</v>
      </c>
      <c r="F2228" s="36" t="str">
        <f>IFERROR(VLOOKUP(B2228,'985'!$B$2:$D$40,3,FALSE),"")</f>
        <v/>
      </c>
      <c r="G2228" s="32" t="str">
        <f>IFERROR(VLOOKUP(B2228,'211'!$B$2:$D$116,3,FALSE),"")</f>
        <v/>
      </c>
      <c r="H2228" s="32" t="str">
        <f>IFERROR(VLOOKUP(B2228,双一流!$B$2:$D$148,3,FALSE),"")</f>
        <v/>
      </c>
      <c r="I2228" s="32" t="str">
        <f>IFERROR(VLOOKUP(B2228,汇总!$B$2:$I$2921,8,FALSE),"")</f>
        <v>综合</v>
      </c>
      <c r="J2228" s="34" t="s">
        <v>1700</v>
      </c>
      <c r="K2228" s="34" t="s">
        <v>12</v>
      </c>
    </row>
    <row r="2229" ht="33.75" spans="1:11">
      <c r="A2229" s="34">
        <v>2228</v>
      </c>
      <c r="B2229" s="29" t="s">
        <v>2582</v>
      </c>
      <c r="C2229" s="29" t="str">
        <f>VLOOKUP(B2229,教育部大学名单!$B$1:$D$2920,3,FALSE)</f>
        <v>四川省</v>
      </c>
      <c r="D2229" s="29" t="s">
        <v>971</v>
      </c>
      <c r="E2229" s="29" t="s">
        <v>972</v>
      </c>
      <c r="F2229" s="36" t="str">
        <f>IFERROR(VLOOKUP(B2229,'985'!$B$2:$D$40,3,FALSE),"")</f>
        <v/>
      </c>
      <c r="G2229" s="32" t="str">
        <f>IFERROR(VLOOKUP(B2229,'211'!$B$2:$D$116,3,FALSE),"")</f>
        <v/>
      </c>
      <c r="H2229" s="32" t="str">
        <f>IFERROR(VLOOKUP(B2229,双一流!$B$2:$D$148,3,FALSE),"")</f>
        <v/>
      </c>
      <c r="I2229" s="32" t="str">
        <f>IFERROR(VLOOKUP(B2229,汇总!$B$2:$I$2921,8,FALSE),"")</f>
        <v>理工</v>
      </c>
      <c r="J2229" s="29" t="s">
        <v>1700</v>
      </c>
      <c r="K2229" s="29" t="s">
        <v>12</v>
      </c>
    </row>
    <row r="2230" ht="33.75" spans="1:11">
      <c r="A2230" s="29">
        <v>2229</v>
      </c>
      <c r="B2230" s="34" t="s">
        <v>2583</v>
      </c>
      <c r="C2230" s="29" t="str">
        <f>VLOOKUP(B2230,教育部大学名单!$B$1:$D$2920,3,FALSE)</f>
        <v>四川省</v>
      </c>
      <c r="D2230" s="34" t="s">
        <v>971</v>
      </c>
      <c r="E2230" s="34" t="s">
        <v>972</v>
      </c>
      <c r="F2230" s="36" t="str">
        <f>IFERROR(VLOOKUP(B2230,'985'!$B$2:$D$40,3,FALSE),"")</f>
        <v/>
      </c>
      <c r="G2230" s="32" t="str">
        <f>IFERROR(VLOOKUP(B2230,'211'!$B$2:$D$116,3,FALSE),"")</f>
        <v/>
      </c>
      <c r="H2230" s="32" t="str">
        <f>IFERROR(VLOOKUP(B2230,双一流!$B$2:$D$148,3,FALSE),"")</f>
        <v/>
      </c>
      <c r="I2230" s="32" t="str">
        <f>IFERROR(VLOOKUP(B2230,汇总!$B$2:$I$2921,8,FALSE),"")</f>
        <v>理工</v>
      </c>
      <c r="J2230" s="34" t="s">
        <v>1700</v>
      </c>
      <c r="K2230" s="34" t="s">
        <v>12</v>
      </c>
    </row>
    <row r="2231" ht="33.75" spans="1:11">
      <c r="A2231" s="34">
        <v>2230</v>
      </c>
      <c r="B2231" s="29" t="s">
        <v>2584</v>
      </c>
      <c r="C2231" s="29" t="str">
        <f>VLOOKUP(B2231,教育部大学名单!$B$1:$D$2920,3,FALSE)</f>
        <v>四川省</v>
      </c>
      <c r="D2231" s="29" t="s">
        <v>971</v>
      </c>
      <c r="E2231" s="29" t="s">
        <v>1014</v>
      </c>
      <c r="F2231" s="36" t="str">
        <f>IFERROR(VLOOKUP(B2231,'985'!$B$2:$D$40,3,FALSE),"")</f>
        <v/>
      </c>
      <c r="G2231" s="32" t="str">
        <f>IFERROR(VLOOKUP(B2231,'211'!$B$2:$D$116,3,FALSE),"")</f>
        <v/>
      </c>
      <c r="H2231" s="32" t="str">
        <f>IFERROR(VLOOKUP(B2231,双一流!$B$2:$D$148,3,FALSE),"")</f>
        <v/>
      </c>
      <c r="I2231" s="32" t="str">
        <f>IFERROR(VLOOKUP(B2231,汇总!$B$2:$I$2921,8,FALSE),"")</f>
        <v>理工</v>
      </c>
      <c r="J2231" s="29" t="s">
        <v>1700</v>
      </c>
      <c r="K2231" s="29" t="s">
        <v>12</v>
      </c>
    </row>
    <row r="2232" ht="33.75" spans="1:11">
      <c r="A2232" s="29">
        <v>2231</v>
      </c>
      <c r="B2232" s="34" t="s">
        <v>2585</v>
      </c>
      <c r="C2232" s="29" t="str">
        <f>VLOOKUP(B2232,教育部大学名单!$B$1:$D$2920,3,FALSE)</f>
        <v>四川省</v>
      </c>
      <c r="D2232" s="34" t="s">
        <v>971</v>
      </c>
      <c r="E2232" s="34" t="s">
        <v>978</v>
      </c>
      <c r="F2232" s="36" t="str">
        <f>IFERROR(VLOOKUP(B2232,'985'!$B$2:$D$40,3,FALSE),"")</f>
        <v/>
      </c>
      <c r="G2232" s="32" t="str">
        <f>IFERROR(VLOOKUP(B2232,'211'!$B$2:$D$116,3,FALSE),"")</f>
        <v/>
      </c>
      <c r="H2232" s="32" t="str">
        <f>IFERROR(VLOOKUP(B2232,双一流!$B$2:$D$148,3,FALSE),"")</f>
        <v/>
      </c>
      <c r="I2232" s="32" t="str">
        <f>IFERROR(VLOOKUP(B2232,汇总!$B$2:$I$2921,8,FALSE),"")</f>
        <v>综合</v>
      </c>
      <c r="J2232" s="34" t="s">
        <v>1700</v>
      </c>
      <c r="K2232" s="34" t="s">
        <v>12</v>
      </c>
    </row>
    <row r="2233" ht="33.75" spans="1:11">
      <c r="A2233" s="34">
        <v>2232</v>
      </c>
      <c r="B2233" s="29" t="s">
        <v>2586</v>
      </c>
      <c r="C2233" s="29" t="str">
        <f>VLOOKUP(B2233,教育部大学名单!$B$1:$D$2920,3,FALSE)</f>
        <v>四川省</v>
      </c>
      <c r="D2233" s="29" t="s">
        <v>971</v>
      </c>
      <c r="E2233" s="29" t="s">
        <v>972</v>
      </c>
      <c r="F2233" s="36" t="str">
        <f>IFERROR(VLOOKUP(B2233,'985'!$B$2:$D$40,3,FALSE),"")</f>
        <v/>
      </c>
      <c r="G2233" s="32" t="str">
        <f>IFERROR(VLOOKUP(B2233,'211'!$B$2:$D$116,3,FALSE),"")</f>
        <v/>
      </c>
      <c r="H2233" s="32" t="str">
        <f>IFERROR(VLOOKUP(B2233,双一流!$B$2:$D$148,3,FALSE),"")</f>
        <v/>
      </c>
      <c r="I2233" s="32" t="str">
        <f>IFERROR(VLOOKUP(B2233,汇总!$B$2:$I$2921,8,FALSE),"")</f>
        <v>综合</v>
      </c>
      <c r="J2233" s="29" t="s">
        <v>1700</v>
      </c>
      <c r="K2233" s="29" t="s">
        <v>12</v>
      </c>
    </row>
    <row r="2234" ht="33.75" spans="1:11">
      <c r="A2234" s="29">
        <v>2233</v>
      </c>
      <c r="B2234" s="34" t="s">
        <v>2587</v>
      </c>
      <c r="C2234" s="29" t="str">
        <f>VLOOKUP(B2234,教育部大学名单!$B$1:$D$2920,3,FALSE)</f>
        <v>四川省</v>
      </c>
      <c r="D2234" s="34" t="s">
        <v>971</v>
      </c>
      <c r="E2234" s="34" t="s">
        <v>972</v>
      </c>
      <c r="F2234" s="36" t="str">
        <f>IFERROR(VLOOKUP(B2234,'985'!$B$2:$D$40,3,FALSE),"")</f>
        <v/>
      </c>
      <c r="G2234" s="32" t="str">
        <f>IFERROR(VLOOKUP(B2234,'211'!$B$2:$D$116,3,FALSE),"")</f>
        <v/>
      </c>
      <c r="H2234" s="32" t="str">
        <f>IFERROR(VLOOKUP(B2234,双一流!$B$2:$D$148,3,FALSE),"")</f>
        <v/>
      </c>
      <c r="I2234" s="32" t="str">
        <f>IFERROR(VLOOKUP(B2234,汇总!$B$2:$I$2921,8,FALSE),"")</f>
        <v>综合</v>
      </c>
      <c r="J2234" s="34" t="s">
        <v>1700</v>
      </c>
      <c r="K2234" s="34" t="s">
        <v>12</v>
      </c>
    </row>
    <row r="2235" ht="33.75" spans="1:11">
      <c r="A2235" s="34">
        <v>2234</v>
      </c>
      <c r="B2235" s="29" t="s">
        <v>2588</v>
      </c>
      <c r="C2235" s="29" t="str">
        <f>VLOOKUP(B2235,教育部大学名单!$B$1:$D$2920,3,FALSE)</f>
        <v>四川省</v>
      </c>
      <c r="D2235" s="29" t="s">
        <v>971</v>
      </c>
      <c r="E2235" s="29" t="s">
        <v>1002</v>
      </c>
      <c r="F2235" s="36" t="str">
        <f>IFERROR(VLOOKUP(B2235,'985'!$B$2:$D$40,3,FALSE),"")</f>
        <v/>
      </c>
      <c r="G2235" s="32" t="str">
        <f>IFERROR(VLOOKUP(B2235,'211'!$B$2:$D$116,3,FALSE),"")</f>
        <v/>
      </c>
      <c r="H2235" s="32" t="str">
        <f>IFERROR(VLOOKUP(B2235,双一流!$B$2:$D$148,3,FALSE),"")</f>
        <v/>
      </c>
      <c r="I2235" s="32" t="str">
        <f>IFERROR(VLOOKUP(B2235,汇总!$B$2:$I$2921,8,FALSE),"")</f>
        <v>综合</v>
      </c>
      <c r="J2235" s="29" t="s">
        <v>1700</v>
      </c>
      <c r="K2235" s="29" t="s">
        <v>12</v>
      </c>
    </row>
    <row r="2236" ht="33.75" spans="1:11">
      <c r="A2236" s="29">
        <v>2235</v>
      </c>
      <c r="B2236" s="34" t="s">
        <v>2589</v>
      </c>
      <c r="C2236" s="29" t="str">
        <f>VLOOKUP(B2236,教育部大学名单!$B$1:$D$2920,3,FALSE)</f>
        <v>四川省</v>
      </c>
      <c r="D2236" s="34" t="s">
        <v>971</v>
      </c>
      <c r="E2236" s="34" t="s">
        <v>972</v>
      </c>
      <c r="F2236" s="36" t="str">
        <f>IFERROR(VLOOKUP(B2236,'985'!$B$2:$D$40,3,FALSE),"")</f>
        <v/>
      </c>
      <c r="G2236" s="32" t="str">
        <f>IFERROR(VLOOKUP(B2236,'211'!$B$2:$D$116,3,FALSE),"")</f>
        <v/>
      </c>
      <c r="H2236" s="32" t="str">
        <f>IFERROR(VLOOKUP(B2236,双一流!$B$2:$D$148,3,FALSE),"")</f>
        <v/>
      </c>
      <c r="I2236" s="32" t="str">
        <f>IFERROR(VLOOKUP(B2236,汇总!$B$2:$I$2921,8,FALSE),"")</f>
        <v>综合</v>
      </c>
      <c r="J2236" s="34" t="s">
        <v>1700</v>
      </c>
      <c r="K2236" s="34" t="s">
        <v>12</v>
      </c>
    </row>
    <row r="2237" ht="33.75" spans="1:11">
      <c r="A2237" s="34">
        <v>2236</v>
      </c>
      <c r="B2237" s="29" t="s">
        <v>2590</v>
      </c>
      <c r="C2237" s="29" t="str">
        <f>VLOOKUP(B2237,教育部大学名单!$B$1:$D$2920,3,FALSE)</f>
        <v>四川省</v>
      </c>
      <c r="D2237" s="29" t="s">
        <v>971</v>
      </c>
      <c r="E2237" s="29" t="s">
        <v>1000</v>
      </c>
      <c r="F2237" s="36" t="str">
        <f>IFERROR(VLOOKUP(B2237,'985'!$B$2:$D$40,3,FALSE),"")</f>
        <v/>
      </c>
      <c r="G2237" s="32" t="str">
        <f>IFERROR(VLOOKUP(B2237,'211'!$B$2:$D$116,3,FALSE),"")</f>
        <v/>
      </c>
      <c r="H2237" s="32" t="str">
        <f>IFERROR(VLOOKUP(B2237,双一流!$B$2:$D$148,3,FALSE),"")</f>
        <v/>
      </c>
      <c r="I2237" s="32" t="str">
        <f>IFERROR(VLOOKUP(B2237,汇总!$B$2:$I$2921,8,FALSE),"")</f>
        <v>综合</v>
      </c>
      <c r="J2237" s="29" t="s">
        <v>1700</v>
      </c>
      <c r="K2237" s="29" t="s">
        <v>12</v>
      </c>
    </row>
    <row r="2238" ht="33.75" spans="1:11">
      <c r="A2238" s="29">
        <v>2237</v>
      </c>
      <c r="B2238" s="34" t="s">
        <v>2591</v>
      </c>
      <c r="C2238" s="29" t="str">
        <f>VLOOKUP(B2238,教育部大学名单!$B$1:$D$2920,3,FALSE)</f>
        <v>四川省</v>
      </c>
      <c r="D2238" s="34" t="s">
        <v>971</v>
      </c>
      <c r="E2238" s="34" t="s">
        <v>990</v>
      </c>
      <c r="F2238" s="36" t="str">
        <f>IFERROR(VLOOKUP(B2238,'985'!$B$2:$D$40,3,FALSE),"")</f>
        <v/>
      </c>
      <c r="G2238" s="32" t="str">
        <f>IFERROR(VLOOKUP(B2238,'211'!$B$2:$D$116,3,FALSE),"")</f>
        <v/>
      </c>
      <c r="H2238" s="32" t="str">
        <f>IFERROR(VLOOKUP(B2238,双一流!$B$2:$D$148,3,FALSE),"")</f>
        <v/>
      </c>
      <c r="I2238" s="32" t="str">
        <f>IFERROR(VLOOKUP(B2238,汇总!$B$2:$I$2921,8,FALSE),"")</f>
        <v>综合</v>
      </c>
      <c r="J2238" s="34" t="s">
        <v>1700</v>
      </c>
      <c r="K2238" s="34" t="s">
        <v>12</v>
      </c>
    </row>
    <row r="2239" ht="33.75" spans="1:11">
      <c r="A2239" s="34">
        <v>2238</v>
      </c>
      <c r="B2239" s="29" t="s">
        <v>2592</v>
      </c>
      <c r="C2239" s="29" t="str">
        <f>VLOOKUP(B2239,教育部大学名单!$B$1:$D$2920,3,FALSE)</f>
        <v>四川省</v>
      </c>
      <c r="D2239" s="29" t="s">
        <v>971</v>
      </c>
      <c r="E2239" s="29" t="s">
        <v>1616</v>
      </c>
      <c r="F2239" s="36" t="str">
        <f>IFERROR(VLOOKUP(B2239,'985'!$B$2:$D$40,3,FALSE),"")</f>
        <v/>
      </c>
      <c r="G2239" s="32" t="str">
        <f>IFERROR(VLOOKUP(B2239,'211'!$B$2:$D$116,3,FALSE),"")</f>
        <v/>
      </c>
      <c r="H2239" s="32" t="str">
        <f>IFERROR(VLOOKUP(B2239,双一流!$B$2:$D$148,3,FALSE),"")</f>
        <v/>
      </c>
      <c r="I2239" s="32" t="str">
        <f>IFERROR(VLOOKUP(B2239,汇总!$B$2:$I$2921,8,FALSE),"")</f>
        <v>综合</v>
      </c>
      <c r="J2239" s="29" t="s">
        <v>1700</v>
      </c>
      <c r="K2239" s="29" t="s">
        <v>12</v>
      </c>
    </row>
    <row r="2240" ht="33.75" spans="1:11">
      <c r="A2240" s="29">
        <v>2239</v>
      </c>
      <c r="B2240" s="34" t="s">
        <v>2593</v>
      </c>
      <c r="C2240" s="29" t="str">
        <f>VLOOKUP(B2240,教育部大学名单!$B$1:$D$2920,3,FALSE)</f>
        <v>四川省</v>
      </c>
      <c r="D2240" s="34" t="s">
        <v>971</v>
      </c>
      <c r="E2240" s="34" t="s">
        <v>2594</v>
      </c>
      <c r="F2240" s="36" t="str">
        <f>IFERROR(VLOOKUP(B2240,'985'!$B$2:$D$40,3,FALSE),"")</f>
        <v/>
      </c>
      <c r="G2240" s="32" t="str">
        <f>IFERROR(VLOOKUP(B2240,'211'!$B$2:$D$116,3,FALSE),"")</f>
        <v/>
      </c>
      <c r="H2240" s="32" t="str">
        <f>IFERROR(VLOOKUP(B2240,双一流!$B$2:$D$148,3,FALSE),"")</f>
        <v/>
      </c>
      <c r="I2240" s="32" t="str">
        <f>IFERROR(VLOOKUP(B2240,汇总!$B$2:$I$2921,8,FALSE),"")</f>
        <v>综合</v>
      </c>
      <c r="J2240" s="34" t="s">
        <v>1700</v>
      </c>
      <c r="K2240" s="34" t="s">
        <v>12</v>
      </c>
    </row>
    <row r="2241" ht="33.75" spans="1:11">
      <c r="A2241" s="34">
        <v>2240</v>
      </c>
      <c r="B2241" s="29" t="s">
        <v>2595</v>
      </c>
      <c r="C2241" s="29" t="str">
        <f>VLOOKUP(B2241,教育部大学名单!$B$1:$D$2920,3,FALSE)</f>
        <v>四川省</v>
      </c>
      <c r="D2241" s="29" t="s">
        <v>971</v>
      </c>
      <c r="E2241" s="29" t="s">
        <v>1006</v>
      </c>
      <c r="F2241" s="36" t="str">
        <f>IFERROR(VLOOKUP(B2241,'985'!$B$2:$D$40,3,FALSE),"")</f>
        <v/>
      </c>
      <c r="G2241" s="32" t="str">
        <f>IFERROR(VLOOKUP(B2241,'211'!$B$2:$D$116,3,FALSE),"")</f>
        <v/>
      </c>
      <c r="H2241" s="32" t="str">
        <f>IFERROR(VLOOKUP(B2241,双一流!$B$2:$D$148,3,FALSE),"")</f>
        <v/>
      </c>
      <c r="I2241" s="32" t="str">
        <f>IFERROR(VLOOKUP(B2241,汇总!$B$2:$I$2921,8,FALSE),"")</f>
        <v>综合</v>
      </c>
      <c r="J2241" s="29" t="s">
        <v>1700</v>
      </c>
      <c r="K2241" s="29" t="s">
        <v>12</v>
      </c>
    </row>
    <row r="2242" ht="33.75" spans="1:11">
      <c r="A2242" s="29">
        <v>2241</v>
      </c>
      <c r="B2242" s="34" t="s">
        <v>2596</v>
      </c>
      <c r="C2242" s="29" t="str">
        <f>VLOOKUP(B2242,教育部大学名单!$B$1:$D$2920,3,FALSE)</f>
        <v>四川省</v>
      </c>
      <c r="D2242" s="34" t="s">
        <v>971</v>
      </c>
      <c r="E2242" s="34" t="s">
        <v>986</v>
      </c>
      <c r="F2242" s="36" t="str">
        <f>IFERROR(VLOOKUP(B2242,'985'!$B$2:$D$40,3,FALSE),"")</f>
        <v/>
      </c>
      <c r="G2242" s="32" t="str">
        <f>IFERROR(VLOOKUP(B2242,'211'!$B$2:$D$116,3,FALSE),"")</f>
        <v/>
      </c>
      <c r="H2242" s="32" t="str">
        <f>IFERROR(VLOOKUP(B2242,双一流!$B$2:$D$148,3,FALSE),"")</f>
        <v/>
      </c>
      <c r="I2242" s="32" t="str">
        <f>IFERROR(VLOOKUP(B2242,汇总!$B$2:$I$2921,8,FALSE),"")</f>
        <v>综合</v>
      </c>
      <c r="J2242" s="34" t="s">
        <v>1700</v>
      </c>
      <c r="K2242" s="34" t="s">
        <v>12</v>
      </c>
    </row>
    <row r="2243" ht="33.75" spans="1:11">
      <c r="A2243" s="34">
        <v>2242</v>
      </c>
      <c r="B2243" s="29" t="s">
        <v>2597</v>
      </c>
      <c r="C2243" s="29" t="str">
        <f>VLOOKUP(B2243,教育部大学名单!$B$1:$D$2920,3,FALSE)</f>
        <v>四川省</v>
      </c>
      <c r="D2243" s="29" t="s">
        <v>971</v>
      </c>
      <c r="E2243" s="29" t="s">
        <v>972</v>
      </c>
      <c r="F2243" s="36" t="str">
        <f>IFERROR(VLOOKUP(B2243,'985'!$B$2:$D$40,3,FALSE),"")</f>
        <v/>
      </c>
      <c r="G2243" s="32" t="str">
        <f>IFERROR(VLOOKUP(B2243,'211'!$B$2:$D$116,3,FALSE),"")</f>
        <v/>
      </c>
      <c r="H2243" s="32" t="str">
        <f>IFERROR(VLOOKUP(B2243,双一流!$B$2:$D$148,3,FALSE),"")</f>
        <v/>
      </c>
      <c r="I2243" s="32" t="str">
        <f>IFERROR(VLOOKUP(B2243,汇总!$B$2:$I$2921,8,FALSE),"")</f>
        <v>财经</v>
      </c>
      <c r="J2243" s="29" t="s">
        <v>1700</v>
      </c>
      <c r="K2243" s="29" t="s">
        <v>12</v>
      </c>
    </row>
    <row r="2244" ht="33.75" spans="1:11">
      <c r="A2244" s="29">
        <v>2243</v>
      </c>
      <c r="B2244" s="34" t="s">
        <v>2598</v>
      </c>
      <c r="C2244" s="29" t="str">
        <f>VLOOKUP(B2244,教育部大学名单!$B$1:$D$2920,3,FALSE)</f>
        <v>四川省</v>
      </c>
      <c r="D2244" s="34" t="s">
        <v>971</v>
      </c>
      <c r="E2244" s="34" t="s">
        <v>984</v>
      </c>
      <c r="F2244" s="36" t="str">
        <f>IFERROR(VLOOKUP(B2244,'985'!$B$2:$D$40,3,FALSE),"")</f>
        <v/>
      </c>
      <c r="G2244" s="32" t="str">
        <f>IFERROR(VLOOKUP(B2244,'211'!$B$2:$D$116,3,FALSE),"")</f>
        <v/>
      </c>
      <c r="H2244" s="32" t="str">
        <f>IFERROR(VLOOKUP(B2244,双一流!$B$2:$D$148,3,FALSE),"")</f>
        <v/>
      </c>
      <c r="I2244" s="32" t="str">
        <f>IFERROR(VLOOKUP(B2244,汇总!$B$2:$I$2921,8,FALSE),"")</f>
        <v>政法</v>
      </c>
      <c r="J2244" s="34" t="s">
        <v>1700</v>
      </c>
      <c r="K2244" s="34" t="s">
        <v>12</v>
      </c>
    </row>
    <row r="2245" ht="33.75" spans="1:11">
      <c r="A2245" s="34">
        <v>2244</v>
      </c>
      <c r="B2245" s="29" t="s">
        <v>2599</v>
      </c>
      <c r="C2245" s="29" t="str">
        <f>VLOOKUP(B2245,教育部大学名单!$B$1:$D$2920,3,FALSE)</f>
        <v>四川省</v>
      </c>
      <c r="D2245" s="29" t="s">
        <v>971</v>
      </c>
      <c r="E2245" s="29" t="s">
        <v>2600</v>
      </c>
      <c r="F2245" s="36" t="str">
        <f>IFERROR(VLOOKUP(B2245,'985'!$B$2:$D$40,3,FALSE),"")</f>
        <v/>
      </c>
      <c r="G2245" s="32" t="str">
        <f>IFERROR(VLOOKUP(B2245,'211'!$B$2:$D$116,3,FALSE),"")</f>
        <v/>
      </c>
      <c r="H2245" s="32" t="str">
        <f>IFERROR(VLOOKUP(B2245,双一流!$B$2:$D$148,3,FALSE),"")</f>
        <v/>
      </c>
      <c r="I2245" s="32" t="str">
        <f>IFERROR(VLOOKUP(B2245,汇总!$B$2:$I$2921,8,FALSE),"")</f>
        <v>综合</v>
      </c>
      <c r="J2245" s="29" t="s">
        <v>1700</v>
      </c>
      <c r="K2245" s="29" t="s">
        <v>12</v>
      </c>
    </row>
    <row r="2246" ht="33.75" spans="1:11">
      <c r="A2246" s="29">
        <v>2245</v>
      </c>
      <c r="B2246" s="34" t="s">
        <v>2601</v>
      </c>
      <c r="C2246" s="29" t="str">
        <f>VLOOKUP(B2246,教育部大学名单!$B$1:$D$2920,3,FALSE)</f>
        <v>四川省</v>
      </c>
      <c r="D2246" s="34" t="s">
        <v>971</v>
      </c>
      <c r="E2246" s="34" t="s">
        <v>2602</v>
      </c>
      <c r="F2246" s="36" t="str">
        <f>IFERROR(VLOOKUP(B2246,'985'!$B$2:$D$40,3,FALSE),"")</f>
        <v/>
      </c>
      <c r="G2246" s="32" t="str">
        <f>IFERROR(VLOOKUP(B2246,'211'!$B$2:$D$116,3,FALSE),"")</f>
        <v/>
      </c>
      <c r="H2246" s="32" t="str">
        <f>IFERROR(VLOOKUP(B2246,双一流!$B$2:$D$148,3,FALSE),"")</f>
        <v/>
      </c>
      <c r="I2246" s="32" t="str">
        <f>IFERROR(VLOOKUP(B2246,汇总!$B$2:$I$2921,8,FALSE),"")</f>
        <v>理工</v>
      </c>
      <c r="J2246" s="34" t="s">
        <v>1700</v>
      </c>
      <c r="K2246" s="34" t="s">
        <v>12</v>
      </c>
    </row>
    <row r="2247" ht="33.75" spans="1:11">
      <c r="A2247" s="34">
        <v>2246</v>
      </c>
      <c r="B2247" s="29" t="s">
        <v>2603</v>
      </c>
      <c r="C2247" s="29" t="str">
        <f>VLOOKUP(B2247,教育部大学名单!$B$1:$D$2920,3,FALSE)</f>
        <v>四川省</v>
      </c>
      <c r="D2247" s="29" t="s">
        <v>971</v>
      </c>
      <c r="E2247" s="29" t="s">
        <v>972</v>
      </c>
      <c r="F2247" s="36" t="str">
        <f>IFERROR(VLOOKUP(B2247,'985'!$B$2:$D$40,3,FALSE),"")</f>
        <v/>
      </c>
      <c r="G2247" s="32" t="str">
        <f>IFERROR(VLOOKUP(B2247,'211'!$B$2:$D$116,3,FALSE),"")</f>
        <v/>
      </c>
      <c r="H2247" s="32" t="str">
        <f>IFERROR(VLOOKUP(B2247,双一流!$B$2:$D$148,3,FALSE),"")</f>
        <v/>
      </c>
      <c r="I2247" s="32" t="str">
        <f>IFERROR(VLOOKUP(B2247,汇总!$B$2:$I$2921,8,FALSE),"")</f>
        <v>理工</v>
      </c>
      <c r="J2247" s="29" t="s">
        <v>1700</v>
      </c>
      <c r="K2247" s="29" t="s">
        <v>12</v>
      </c>
    </row>
    <row r="2248" ht="33.75" spans="1:11">
      <c r="A2248" s="29">
        <v>2247</v>
      </c>
      <c r="B2248" s="34" t="s">
        <v>2604</v>
      </c>
      <c r="C2248" s="29" t="str">
        <f>VLOOKUP(B2248,教育部大学名单!$B$1:$D$2920,3,FALSE)</f>
        <v>四川省</v>
      </c>
      <c r="D2248" s="34" t="s">
        <v>971</v>
      </c>
      <c r="E2248" s="34" t="s">
        <v>972</v>
      </c>
      <c r="F2248" s="36" t="str">
        <f>IFERROR(VLOOKUP(B2248,'985'!$B$2:$D$40,3,FALSE),"")</f>
        <v/>
      </c>
      <c r="G2248" s="32" t="str">
        <f>IFERROR(VLOOKUP(B2248,'211'!$B$2:$D$116,3,FALSE),"")</f>
        <v/>
      </c>
      <c r="H2248" s="32" t="str">
        <f>IFERROR(VLOOKUP(B2248,双一流!$B$2:$D$148,3,FALSE),"")</f>
        <v/>
      </c>
      <c r="I2248" s="32" t="str">
        <f>IFERROR(VLOOKUP(B2248,汇总!$B$2:$I$2921,8,FALSE),"")</f>
        <v>艺术</v>
      </c>
      <c r="J2248" s="34" t="s">
        <v>1700</v>
      </c>
      <c r="K2248" s="34" t="s">
        <v>12</v>
      </c>
    </row>
    <row r="2249" ht="50.25" spans="1:11">
      <c r="A2249" s="34">
        <v>2248</v>
      </c>
      <c r="B2249" s="29" t="s">
        <v>2605</v>
      </c>
      <c r="C2249" s="29" t="str">
        <f>VLOOKUP(B2249,教育部大学名单!$B$1:$D$2920,3,FALSE)</f>
        <v>四川省</v>
      </c>
      <c r="D2249" s="29" t="s">
        <v>971</v>
      </c>
      <c r="E2249" s="29" t="s">
        <v>978</v>
      </c>
      <c r="F2249" s="36" t="str">
        <f>IFERROR(VLOOKUP(B2249,'985'!$B$2:$D$40,3,FALSE),"")</f>
        <v/>
      </c>
      <c r="G2249" s="32" t="str">
        <f>IFERROR(VLOOKUP(B2249,'211'!$B$2:$D$116,3,FALSE),"")</f>
        <v/>
      </c>
      <c r="H2249" s="32" t="str">
        <f>IFERROR(VLOOKUP(B2249,双一流!$B$2:$D$148,3,FALSE),"")</f>
        <v/>
      </c>
      <c r="I2249" s="32" t="str">
        <f>IFERROR(VLOOKUP(B2249,汇总!$B$2:$I$2921,8,FALSE),"")</f>
        <v>医药</v>
      </c>
      <c r="J2249" s="29" t="s">
        <v>1700</v>
      </c>
      <c r="K2249" s="29" t="s">
        <v>12</v>
      </c>
    </row>
    <row r="2250" ht="33.75" spans="1:11">
      <c r="A2250" s="29">
        <v>2249</v>
      </c>
      <c r="B2250" s="34" t="s">
        <v>2606</v>
      </c>
      <c r="C2250" s="29" t="str">
        <f>VLOOKUP(B2250,教育部大学名单!$B$1:$D$2920,3,FALSE)</f>
        <v>四川省</v>
      </c>
      <c r="D2250" s="34" t="s">
        <v>971</v>
      </c>
      <c r="E2250" s="34" t="s">
        <v>972</v>
      </c>
      <c r="F2250" s="36" t="str">
        <f>IFERROR(VLOOKUP(B2250,'985'!$B$2:$D$40,3,FALSE),"")</f>
        <v/>
      </c>
      <c r="G2250" s="32" t="str">
        <f>IFERROR(VLOOKUP(B2250,'211'!$B$2:$D$116,3,FALSE),"")</f>
        <v/>
      </c>
      <c r="H2250" s="32" t="str">
        <f>IFERROR(VLOOKUP(B2250,双一流!$B$2:$D$148,3,FALSE),"")</f>
        <v/>
      </c>
      <c r="I2250" s="32" t="str">
        <f>IFERROR(VLOOKUP(B2250,汇总!$B$2:$I$2921,8,FALSE),"")</f>
        <v>综合</v>
      </c>
      <c r="J2250" s="34" t="s">
        <v>1700</v>
      </c>
      <c r="K2250" s="34" t="s">
        <v>12</v>
      </c>
    </row>
    <row r="2251" ht="33.75" spans="1:11">
      <c r="A2251" s="34">
        <v>2250</v>
      </c>
      <c r="B2251" s="29" t="s">
        <v>2607</v>
      </c>
      <c r="C2251" s="29" t="str">
        <f>VLOOKUP(B2251,教育部大学名单!$B$1:$D$2920,3,FALSE)</f>
        <v>四川省</v>
      </c>
      <c r="D2251" s="29" t="s">
        <v>971</v>
      </c>
      <c r="E2251" s="29" t="s">
        <v>972</v>
      </c>
      <c r="F2251" s="36" t="str">
        <f>IFERROR(VLOOKUP(B2251,'985'!$B$2:$D$40,3,FALSE),"")</f>
        <v/>
      </c>
      <c r="G2251" s="32" t="str">
        <f>IFERROR(VLOOKUP(B2251,'211'!$B$2:$D$116,3,FALSE),"")</f>
        <v/>
      </c>
      <c r="H2251" s="32" t="str">
        <f>IFERROR(VLOOKUP(B2251,双一流!$B$2:$D$148,3,FALSE),"")</f>
        <v/>
      </c>
      <c r="I2251" s="32" t="str">
        <f>IFERROR(VLOOKUP(B2251,汇总!$B$2:$I$2921,8,FALSE),"")</f>
        <v>财经</v>
      </c>
      <c r="J2251" s="29" t="s">
        <v>1700</v>
      </c>
      <c r="K2251" s="29" t="s">
        <v>12</v>
      </c>
    </row>
    <row r="2252" ht="50.25" spans="1:11">
      <c r="A2252" s="29">
        <v>2251</v>
      </c>
      <c r="B2252" s="34" t="s">
        <v>2608</v>
      </c>
      <c r="C2252" s="29" t="str">
        <f>VLOOKUP(B2252,教育部大学名单!$B$1:$D$2920,3,FALSE)</f>
        <v>四川省</v>
      </c>
      <c r="D2252" s="34" t="s">
        <v>971</v>
      </c>
      <c r="E2252" s="34" t="s">
        <v>978</v>
      </c>
      <c r="F2252" s="36" t="str">
        <f>IFERROR(VLOOKUP(B2252,'985'!$B$2:$D$40,3,FALSE),"")</f>
        <v/>
      </c>
      <c r="G2252" s="32" t="str">
        <f>IFERROR(VLOOKUP(B2252,'211'!$B$2:$D$116,3,FALSE),"")</f>
        <v/>
      </c>
      <c r="H2252" s="32" t="str">
        <f>IFERROR(VLOOKUP(B2252,双一流!$B$2:$D$148,3,FALSE),"")</f>
        <v/>
      </c>
      <c r="I2252" s="32" t="str">
        <f>IFERROR(VLOOKUP(B2252,汇总!$B$2:$I$2921,8,FALSE),"")</f>
        <v>师范</v>
      </c>
      <c r="J2252" s="34" t="s">
        <v>1700</v>
      </c>
      <c r="K2252" s="34" t="s">
        <v>12</v>
      </c>
    </row>
    <row r="2253" ht="50.25" spans="1:11">
      <c r="A2253" s="34">
        <v>2252</v>
      </c>
      <c r="B2253" s="29" t="s">
        <v>2609</v>
      </c>
      <c r="C2253" s="29" t="str">
        <f>VLOOKUP(B2253,教育部大学名单!$B$1:$D$2920,3,FALSE)</f>
        <v>四川省</v>
      </c>
      <c r="D2253" s="29" t="s">
        <v>971</v>
      </c>
      <c r="E2253" s="29" t="s">
        <v>2602</v>
      </c>
      <c r="F2253" s="36" t="str">
        <f>IFERROR(VLOOKUP(B2253,'985'!$B$2:$D$40,3,FALSE),"")</f>
        <v/>
      </c>
      <c r="G2253" s="32" t="str">
        <f>IFERROR(VLOOKUP(B2253,'211'!$B$2:$D$116,3,FALSE),"")</f>
        <v/>
      </c>
      <c r="H2253" s="32" t="str">
        <f>IFERROR(VLOOKUP(B2253,双一流!$B$2:$D$148,3,FALSE),"")</f>
        <v/>
      </c>
      <c r="I2253" s="32" t="str">
        <f>IFERROR(VLOOKUP(B2253,汇总!$B$2:$I$2921,8,FALSE),"")</f>
        <v>师范</v>
      </c>
      <c r="J2253" s="29" t="s">
        <v>1700</v>
      </c>
      <c r="K2253" s="29" t="s">
        <v>12</v>
      </c>
    </row>
    <row r="2254" ht="33.75" spans="1:11">
      <c r="A2254" s="29">
        <v>2253</v>
      </c>
      <c r="B2254" s="34" t="s">
        <v>2610</v>
      </c>
      <c r="C2254" s="29" t="str">
        <f>VLOOKUP(B2254,教育部大学名单!$B$1:$D$2920,3,FALSE)</f>
        <v>四川省</v>
      </c>
      <c r="D2254" s="34" t="s">
        <v>971</v>
      </c>
      <c r="E2254" s="34" t="s">
        <v>981</v>
      </c>
      <c r="F2254" s="36" t="str">
        <f>IFERROR(VLOOKUP(B2254,'985'!$B$2:$D$40,3,FALSE),"")</f>
        <v/>
      </c>
      <c r="G2254" s="32" t="str">
        <f>IFERROR(VLOOKUP(B2254,'211'!$B$2:$D$116,3,FALSE),"")</f>
        <v/>
      </c>
      <c r="H2254" s="32" t="str">
        <f>IFERROR(VLOOKUP(B2254,双一流!$B$2:$D$148,3,FALSE),"")</f>
        <v/>
      </c>
      <c r="I2254" s="32" t="str">
        <f>IFERROR(VLOOKUP(B2254,汇总!$B$2:$I$2921,8,FALSE),"")</f>
        <v>医药</v>
      </c>
      <c r="J2254" s="34" t="s">
        <v>1700</v>
      </c>
      <c r="K2254" s="34" t="s">
        <v>12</v>
      </c>
    </row>
    <row r="2255" ht="50.25" spans="1:11">
      <c r="A2255" s="34">
        <v>2254</v>
      </c>
      <c r="B2255" s="29" t="s">
        <v>2611</v>
      </c>
      <c r="C2255" s="29" t="str">
        <f>VLOOKUP(B2255,教育部大学名单!$B$1:$D$2920,3,FALSE)</f>
        <v>四川省</v>
      </c>
      <c r="D2255" s="29" t="s">
        <v>971</v>
      </c>
      <c r="E2255" s="29" t="s">
        <v>998</v>
      </c>
      <c r="F2255" s="36" t="str">
        <f>IFERROR(VLOOKUP(B2255,'985'!$B$2:$D$40,3,FALSE),"")</f>
        <v/>
      </c>
      <c r="G2255" s="32" t="str">
        <f>IFERROR(VLOOKUP(B2255,'211'!$B$2:$D$116,3,FALSE),"")</f>
        <v/>
      </c>
      <c r="H2255" s="32" t="str">
        <f>IFERROR(VLOOKUP(B2255,双一流!$B$2:$D$148,3,FALSE),"")</f>
        <v/>
      </c>
      <c r="I2255" s="32" t="str">
        <f>IFERROR(VLOOKUP(B2255,汇总!$B$2:$I$2921,8,FALSE),"")</f>
        <v>师范</v>
      </c>
      <c r="J2255" s="29" t="s">
        <v>1700</v>
      </c>
      <c r="K2255" s="29" t="s">
        <v>12</v>
      </c>
    </row>
    <row r="2256" ht="33.75" spans="1:11">
      <c r="A2256" s="29">
        <v>2255</v>
      </c>
      <c r="B2256" s="34" t="s">
        <v>2612</v>
      </c>
      <c r="C2256" s="29" t="str">
        <f>VLOOKUP(B2256,教育部大学名单!$B$1:$D$2920,3,FALSE)</f>
        <v>四川省</v>
      </c>
      <c r="D2256" s="34" t="s">
        <v>971</v>
      </c>
      <c r="E2256" s="34" t="s">
        <v>984</v>
      </c>
      <c r="F2256" s="36" t="str">
        <f>IFERROR(VLOOKUP(B2256,'985'!$B$2:$D$40,3,FALSE),"")</f>
        <v/>
      </c>
      <c r="G2256" s="32" t="str">
        <f>IFERROR(VLOOKUP(B2256,'211'!$B$2:$D$116,3,FALSE),"")</f>
        <v/>
      </c>
      <c r="H2256" s="32" t="str">
        <f>IFERROR(VLOOKUP(B2256,双一流!$B$2:$D$148,3,FALSE),"")</f>
        <v/>
      </c>
      <c r="I2256" s="32" t="str">
        <f>IFERROR(VLOOKUP(B2256,汇总!$B$2:$I$2921,8,FALSE),"")</f>
        <v>医药</v>
      </c>
      <c r="J2256" s="34" t="s">
        <v>1700</v>
      </c>
      <c r="K2256" s="34" t="s">
        <v>12</v>
      </c>
    </row>
    <row r="2257" ht="33.75" spans="1:11">
      <c r="A2257" s="34">
        <v>2256</v>
      </c>
      <c r="B2257" s="29" t="s">
        <v>2613</v>
      </c>
      <c r="C2257" s="29" t="str">
        <f>VLOOKUP(B2257,教育部大学名单!$B$1:$D$2920,3,FALSE)</f>
        <v>四川省</v>
      </c>
      <c r="D2257" s="29" t="s">
        <v>971</v>
      </c>
      <c r="E2257" s="29" t="s">
        <v>972</v>
      </c>
      <c r="F2257" s="36" t="str">
        <f>IFERROR(VLOOKUP(B2257,'985'!$B$2:$D$40,3,FALSE),"")</f>
        <v/>
      </c>
      <c r="G2257" s="32" t="str">
        <f>IFERROR(VLOOKUP(B2257,'211'!$B$2:$D$116,3,FALSE),"")</f>
        <v/>
      </c>
      <c r="H2257" s="32" t="str">
        <f>IFERROR(VLOOKUP(B2257,双一流!$B$2:$D$148,3,FALSE),"")</f>
        <v/>
      </c>
      <c r="I2257" s="32" t="str">
        <f>IFERROR(VLOOKUP(B2257,汇总!$B$2:$I$2921,8,FALSE),"")</f>
        <v>综合</v>
      </c>
      <c r="J2257" s="29" t="s">
        <v>1700</v>
      </c>
      <c r="K2257" s="29" t="s">
        <v>12</v>
      </c>
    </row>
    <row r="2258" ht="33.75" spans="1:11">
      <c r="A2258" s="29">
        <v>2257</v>
      </c>
      <c r="B2258" s="34" t="s">
        <v>2614</v>
      </c>
      <c r="C2258" s="29" t="str">
        <f>VLOOKUP(B2258,教育部大学名单!$B$1:$D$2920,3,FALSE)</f>
        <v>四川省</v>
      </c>
      <c r="D2258" s="34" t="s">
        <v>971</v>
      </c>
      <c r="E2258" s="34" t="s">
        <v>972</v>
      </c>
      <c r="F2258" s="36" t="str">
        <f>IFERROR(VLOOKUP(B2258,'985'!$B$2:$D$40,3,FALSE),"")</f>
        <v/>
      </c>
      <c r="G2258" s="32" t="str">
        <f>IFERROR(VLOOKUP(B2258,'211'!$B$2:$D$116,3,FALSE),"")</f>
        <v/>
      </c>
      <c r="H2258" s="32" t="str">
        <f>IFERROR(VLOOKUP(B2258,双一流!$B$2:$D$148,3,FALSE),"")</f>
        <v/>
      </c>
      <c r="I2258" s="32" t="str">
        <f>IFERROR(VLOOKUP(B2258,汇总!$B$2:$I$2921,8,FALSE),"")</f>
        <v>综合</v>
      </c>
      <c r="J2258" s="34" t="s">
        <v>1700</v>
      </c>
      <c r="K2258" s="34" t="s">
        <v>12</v>
      </c>
    </row>
    <row r="2259" ht="50.25" spans="1:11">
      <c r="A2259" s="34">
        <v>2258</v>
      </c>
      <c r="B2259" s="29" t="s">
        <v>2615</v>
      </c>
      <c r="C2259" s="29" t="str">
        <f>VLOOKUP(B2259,教育部大学名单!$B$1:$D$2920,3,FALSE)</f>
        <v>四川省</v>
      </c>
      <c r="D2259" s="29" t="s">
        <v>971</v>
      </c>
      <c r="E2259" s="29" t="s">
        <v>988</v>
      </c>
      <c r="F2259" s="36" t="str">
        <f>IFERROR(VLOOKUP(B2259,'985'!$B$2:$D$40,3,FALSE),"")</f>
        <v/>
      </c>
      <c r="G2259" s="32" t="str">
        <f>IFERROR(VLOOKUP(B2259,'211'!$B$2:$D$116,3,FALSE),"")</f>
        <v/>
      </c>
      <c r="H2259" s="32" t="str">
        <f>IFERROR(VLOOKUP(B2259,双一流!$B$2:$D$148,3,FALSE),"")</f>
        <v/>
      </c>
      <c r="I2259" s="32">
        <f>IFERROR(VLOOKUP(B2259,汇总!$B$2:$I$2921,8,FALSE),"")</f>
        <v>0</v>
      </c>
      <c r="J2259" s="29" t="s">
        <v>1700</v>
      </c>
      <c r="K2259" s="29" t="s">
        <v>12</v>
      </c>
    </row>
    <row r="2260" ht="33.75" spans="1:11">
      <c r="A2260" s="29">
        <v>2259</v>
      </c>
      <c r="B2260" s="34" t="s">
        <v>2616</v>
      </c>
      <c r="C2260" s="29" t="str">
        <f>VLOOKUP(B2260,教育部大学名单!$B$1:$D$2920,3,FALSE)</f>
        <v>四川省</v>
      </c>
      <c r="D2260" s="34" t="s">
        <v>971</v>
      </c>
      <c r="E2260" s="34" t="s">
        <v>1004</v>
      </c>
      <c r="F2260" s="36" t="str">
        <f>IFERROR(VLOOKUP(B2260,'985'!$B$2:$D$40,3,FALSE),"")</f>
        <v/>
      </c>
      <c r="G2260" s="32" t="str">
        <f>IFERROR(VLOOKUP(B2260,'211'!$B$2:$D$116,3,FALSE),"")</f>
        <v/>
      </c>
      <c r="H2260" s="32" t="str">
        <f>IFERROR(VLOOKUP(B2260,双一流!$B$2:$D$148,3,FALSE),"")</f>
        <v/>
      </c>
      <c r="I2260" s="32">
        <f>IFERROR(VLOOKUP(B2260,汇总!$B$2:$I$2921,8,FALSE),"")</f>
        <v>0</v>
      </c>
      <c r="J2260" s="34" t="s">
        <v>1700</v>
      </c>
      <c r="K2260" s="34" t="s">
        <v>12</v>
      </c>
    </row>
    <row r="2261" ht="33.75" spans="1:11">
      <c r="A2261" s="34">
        <v>2260</v>
      </c>
      <c r="B2261" s="29" t="s">
        <v>2617</v>
      </c>
      <c r="C2261" s="29" t="str">
        <f>VLOOKUP(B2261,教育部大学名单!$B$1:$D$2920,3,FALSE)</f>
        <v>四川省</v>
      </c>
      <c r="D2261" s="29" t="s">
        <v>971</v>
      </c>
      <c r="E2261" s="29" t="s">
        <v>1002</v>
      </c>
      <c r="F2261" s="36" t="str">
        <f>IFERROR(VLOOKUP(B2261,'985'!$B$2:$D$40,3,FALSE),"")</f>
        <v/>
      </c>
      <c r="G2261" s="32" t="str">
        <f>IFERROR(VLOOKUP(B2261,'211'!$B$2:$D$116,3,FALSE),"")</f>
        <v/>
      </c>
      <c r="H2261" s="32" t="str">
        <f>IFERROR(VLOOKUP(B2261,双一流!$B$2:$D$148,3,FALSE),"")</f>
        <v/>
      </c>
      <c r="I2261" s="32">
        <f>IFERROR(VLOOKUP(B2261,汇总!$B$2:$I$2921,8,FALSE),"")</f>
        <v>0</v>
      </c>
      <c r="J2261" s="29" t="s">
        <v>1700</v>
      </c>
      <c r="K2261" s="29" t="s">
        <v>12</v>
      </c>
    </row>
    <row r="2262" ht="50.25" spans="1:11">
      <c r="A2262" s="29">
        <v>2261</v>
      </c>
      <c r="B2262" s="34" t="s">
        <v>2618</v>
      </c>
      <c r="C2262" s="29" t="str">
        <f>VLOOKUP(B2262,教育部大学名单!$B$1:$D$2920,3,FALSE)</f>
        <v>四川省</v>
      </c>
      <c r="D2262" s="34" t="s">
        <v>971</v>
      </c>
      <c r="E2262" s="34" t="s">
        <v>998</v>
      </c>
      <c r="F2262" s="36" t="str">
        <f>IFERROR(VLOOKUP(B2262,'985'!$B$2:$D$40,3,FALSE),"")</f>
        <v/>
      </c>
      <c r="G2262" s="32" t="str">
        <f>IFERROR(VLOOKUP(B2262,'211'!$B$2:$D$116,3,FALSE),"")</f>
        <v/>
      </c>
      <c r="H2262" s="32" t="str">
        <f>IFERROR(VLOOKUP(B2262,双一流!$B$2:$D$148,3,FALSE),"")</f>
        <v/>
      </c>
      <c r="I2262" s="32">
        <f>IFERROR(VLOOKUP(B2262,汇总!$B$2:$I$2921,8,FALSE),"")</f>
        <v>0</v>
      </c>
      <c r="J2262" s="34" t="s">
        <v>1700</v>
      </c>
      <c r="K2262" s="34" t="s">
        <v>12</v>
      </c>
    </row>
    <row r="2263" ht="33.75" spans="1:11">
      <c r="A2263" s="34">
        <v>2262</v>
      </c>
      <c r="B2263" s="29" t="s">
        <v>2619</v>
      </c>
      <c r="C2263" s="29" t="str">
        <f>VLOOKUP(B2263,教育部大学名单!$B$1:$D$2920,3,FALSE)</f>
        <v>四川省</v>
      </c>
      <c r="D2263" s="29" t="s">
        <v>971</v>
      </c>
      <c r="E2263" s="29" t="s">
        <v>993</v>
      </c>
      <c r="F2263" s="36" t="str">
        <f>IFERROR(VLOOKUP(B2263,'985'!$B$2:$D$40,3,FALSE),"")</f>
        <v/>
      </c>
      <c r="G2263" s="32" t="str">
        <f>IFERROR(VLOOKUP(B2263,'211'!$B$2:$D$116,3,FALSE),"")</f>
        <v/>
      </c>
      <c r="H2263" s="32" t="str">
        <f>IFERROR(VLOOKUP(B2263,双一流!$B$2:$D$148,3,FALSE),"")</f>
        <v/>
      </c>
      <c r="I2263" s="32">
        <f>IFERROR(VLOOKUP(B2263,汇总!$B$2:$I$2921,8,FALSE),"")</f>
        <v>0</v>
      </c>
      <c r="J2263" s="29" t="s">
        <v>1700</v>
      </c>
      <c r="K2263" s="29" t="s">
        <v>12</v>
      </c>
    </row>
    <row r="2264" ht="33.75" spans="1:11">
      <c r="A2264" s="29">
        <v>2263</v>
      </c>
      <c r="B2264" s="34" t="s">
        <v>2620</v>
      </c>
      <c r="C2264" s="29" t="str">
        <f>VLOOKUP(B2264,教育部大学名单!$B$1:$D$2920,3,FALSE)</f>
        <v>四川省</v>
      </c>
      <c r="D2264" s="34" t="s">
        <v>971</v>
      </c>
      <c r="E2264" s="34" t="s">
        <v>1017</v>
      </c>
      <c r="F2264" s="36" t="str">
        <f>IFERROR(VLOOKUP(B2264,'985'!$B$2:$D$40,3,FALSE),"")</f>
        <v/>
      </c>
      <c r="G2264" s="32" t="str">
        <f>IFERROR(VLOOKUP(B2264,'211'!$B$2:$D$116,3,FALSE),"")</f>
        <v/>
      </c>
      <c r="H2264" s="32" t="str">
        <f>IFERROR(VLOOKUP(B2264,双一流!$B$2:$D$148,3,FALSE),"")</f>
        <v/>
      </c>
      <c r="I2264" s="32">
        <f>IFERROR(VLOOKUP(B2264,汇总!$B$2:$I$2921,8,FALSE),"")</f>
        <v>0</v>
      </c>
      <c r="J2264" s="34" t="s">
        <v>1700</v>
      </c>
      <c r="K2264" s="34" t="s">
        <v>12</v>
      </c>
    </row>
    <row r="2265" ht="33.75" spans="1:11">
      <c r="A2265" s="34">
        <v>2264</v>
      </c>
      <c r="B2265" s="29" t="s">
        <v>2621</v>
      </c>
      <c r="C2265" s="29" t="str">
        <f>VLOOKUP(B2265,教育部大学名单!$B$1:$D$2920,3,FALSE)</f>
        <v>四川省</v>
      </c>
      <c r="D2265" s="29" t="s">
        <v>971</v>
      </c>
      <c r="E2265" s="29" t="s">
        <v>972</v>
      </c>
      <c r="F2265" s="36" t="str">
        <f>IFERROR(VLOOKUP(B2265,'985'!$B$2:$D$40,3,FALSE),"")</f>
        <v/>
      </c>
      <c r="G2265" s="32" t="str">
        <f>IFERROR(VLOOKUP(B2265,'211'!$B$2:$D$116,3,FALSE),"")</f>
        <v/>
      </c>
      <c r="H2265" s="32" t="str">
        <f>IFERROR(VLOOKUP(B2265,双一流!$B$2:$D$148,3,FALSE),"")</f>
        <v/>
      </c>
      <c r="I2265" s="32">
        <f>IFERROR(VLOOKUP(B2265,汇总!$B$2:$I$2921,8,FALSE),"")</f>
        <v>0</v>
      </c>
      <c r="J2265" s="29" t="s">
        <v>1700</v>
      </c>
      <c r="K2265" s="29" t="s">
        <v>12</v>
      </c>
    </row>
    <row r="2266" ht="50.25" spans="1:11">
      <c r="A2266" s="29">
        <v>2265</v>
      </c>
      <c r="B2266" s="34" t="s">
        <v>2622</v>
      </c>
      <c r="C2266" s="29" t="str">
        <f>VLOOKUP(B2266,教育部大学名单!$B$1:$D$2920,3,FALSE)</f>
        <v>贵州省</v>
      </c>
      <c r="D2266" s="34" t="s">
        <v>1026</v>
      </c>
      <c r="E2266" s="34" t="s">
        <v>1045</v>
      </c>
      <c r="F2266" s="36" t="str">
        <f>IFERROR(VLOOKUP(B2266,'985'!$B$2:$D$40,3,FALSE),"")</f>
        <v/>
      </c>
      <c r="G2266" s="32" t="str">
        <f>IFERROR(VLOOKUP(B2266,'211'!$B$2:$D$116,3,FALSE),"")</f>
        <v/>
      </c>
      <c r="H2266" s="32" t="str">
        <f>IFERROR(VLOOKUP(B2266,双一流!$B$2:$D$148,3,FALSE),"")</f>
        <v/>
      </c>
      <c r="I2266" s="32" t="str">
        <f>IFERROR(VLOOKUP(B2266,汇总!$B$2:$I$2921,8,FALSE),"")</f>
        <v>医药</v>
      </c>
      <c r="J2266" s="34" t="s">
        <v>1700</v>
      </c>
      <c r="K2266" s="34" t="s">
        <v>12</v>
      </c>
    </row>
    <row r="2267" ht="33.75" spans="1:11">
      <c r="A2267" s="34">
        <v>2266</v>
      </c>
      <c r="B2267" s="29" t="s">
        <v>2623</v>
      </c>
      <c r="C2267" s="29" t="str">
        <f>VLOOKUP(B2267,教育部大学名单!$B$1:$D$2920,3,FALSE)</f>
        <v>贵州省</v>
      </c>
      <c r="D2267" s="29" t="s">
        <v>1026</v>
      </c>
      <c r="E2267" s="29" t="s">
        <v>1030</v>
      </c>
      <c r="F2267" s="36" t="str">
        <f>IFERROR(VLOOKUP(B2267,'985'!$B$2:$D$40,3,FALSE),"")</f>
        <v/>
      </c>
      <c r="G2267" s="32" t="str">
        <f>IFERROR(VLOOKUP(B2267,'211'!$B$2:$D$116,3,FALSE),"")</f>
        <v/>
      </c>
      <c r="H2267" s="32" t="str">
        <f>IFERROR(VLOOKUP(B2267,双一流!$B$2:$D$148,3,FALSE),"")</f>
        <v/>
      </c>
      <c r="I2267" s="32" t="str">
        <f>IFERROR(VLOOKUP(B2267,汇总!$B$2:$I$2921,8,FALSE),"")</f>
        <v>理工</v>
      </c>
      <c r="J2267" s="29" t="s">
        <v>1700</v>
      </c>
      <c r="K2267" s="29" t="s">
        <v>12</v>
      </c>
    </row>
    <row r="2268" ht="50.25" spans="1:11">
      <c r="A2268" s="29">
        <v>2267</v>
      </c>
      <c r="B2268" s="34" t="s">
        <v>2624</v>
      </c>
      <c r="C2268" s="29" t="str">
        <f>VLOOKUP(B2268,教育部大学名单!$B$1:$D$2920,3,FALSE)</f>
        <v>贵州省</v>
      </c>
      <c r="D2268" s="34" t="s">
        <v>1026</v>
      </c>
      <c r="E2268" s="34" t="s">
        <v>1043</v>
      </c>
      <c r="F2268" s="36" t="str">
        <f>IFERROR(VLOOKUP(B2268,'985'!$B$2:$D$40,3,FALSE),"")</f>
        <v/>
      </c>
      <c r="G2268" s="32" t="str">
        <f>IFERROR(VLOOKUP(B2268,'211'!$B$2:$D$116,3,FALSE),"")</f>
        <v/>
      </c>
      <c r="H2268" s="32" t="str">
        <f>IFERROR(VLOOKUP(B2268,双一流!$B$2:$D$148,3,FALSE),"")</f>
        <v/>
      </c>
      <c r="I2268" s="32" t="str">
        <f>IFERROR(VLOOKUP(B2268,汇总!$B$2:$I$2921,8,FALSE),"")</f>
        <v>理工</v>
      </c>
      <c r="J2268" s="34" t="s">
        <v>1700</v>
      </c>
      <c r="K2268" s="34" t="s">
        <v>12</v>
      </c>
    </row>
    <row r="2269" ht="33.75" spans="1:11">
      <c r="A2269" s="34">
        <v>2268</v>
      </c>
      <c r="B2269" s="29" t="s">
        <v>2625</v>
      </c>
      <c r="C2269" s="29" t="str">
        <f>VLOOKUP(B2269,教育部大学名单!$B$1:$D$2920,3,FALSE)</f>
        <v>贵州省</v>
      </c>
      <c r="D2269" s="29" t="s">
        <v>1026</v>
      </c>
      <c r="E2269" s="29" t="s">
        <v>1039</v>
      </c>
      <c r="F2269" s="36" t="str">
        <f>IFERROR(VLOOKUP(B2269,'985'!$B$2:$D$40,3,FALSE),"")</f>
        <v/>
      </c>
      <c r="G2269" s="32" t="str">
        <f>IFERROR(VLOOKUP(B2269,'211'!$B$2:$D$116,3,FALSE),"")</f>
        <v/>
      </c>
      <c r="H2269" s="32" t="str">
        <f>IFERROR(VLOOKUP(B2269,双一流!$B$2:$D$148,3,FALSE),"")</f>
        <v/>
      </c>
      <c r="I2269" s="32" t="str">
        <f>IFERROR(VLOOKUP(B2269,汇总!$B$2:$I$2921,8,FALSE),"")</f>
        <v>综合</v>
      </c>
      <c r="J2269" s="29" t="s">
        <v>1700</v>
      </c>
      <c r="K2269" s="29" t="s">
        <v>12</v>
      </c>
    </row>
    <row r="2270" ht="50.25" spans="1:11">
      <c r="A2270" s="29">
        <v>2269</v>
      </c>
      <c r="B2270" s="34" t="s">
        <v>2626</v>
      </c>
      <c r="C2270" s="29" t="str">
        <f>VLOOKUP(B2270,教育部大学名单!$B$1:$D$2920,3,FALSE)</f>
        <v>贵州省</v>
      </c>
      <c r="D2270" s="34" t="s">
        <v>1026</v>
      </c>
      <c r="E2270" s="34" t="s">
        <v>1043</v>
      </c>
      <c r="F2270" s="36" t="str">
        <f>IFERROR(VLOOKUP(B2270,'985'!$B$2:$D$40,3,FALSE),"")</f>
        <v/>
      </c>
      <c r="G2270" s="32" t="str">
        <f>IFERROR(VLOOKUP(B2270,'211'!$B$2:$D$116,3,FALSE),"")</f>
        <v/>
      </c>
      <c r="H2270" s="32" t="str">
        <f>IFERROR(VLOOKUP(B2270,双一流!$B$2:$D$148,3,FALSE),"")</f>
        <v/>
      </c>
      <c r="I2270" s="32" t="str">
        <f>IFERROR(VLOOKUP(B2270,汇总!$B$2:$I$2921,8,FALSE),"")</f>
        <v>综合</v>
      </c>
      <c r="J2270" s="34" t="s">
        <v>1700</v>
      </c>
      <c r="K2270" s="34" t="s">
        <v>12</v>
      </c>
    </row>
    <row r="2271" ht="33.75" spans="1:11">
      <c r="A2271" s="34">
        <v>2270</v>
      </c>
      <c r="B2271" s="29" t="s">
        <v>2627</v>
      </c>
      <c r="C2271" s="29" t="str">
        <f>VLOOKUP(B2271,教育部大学名单!$B$1:$D$2920,3,FALSE)</f>
        <v>贵州省</v>
      </c>
      <c r="D2271" s="29" t="s">
        <v>1026</v>
      </c>
      <c r="E2271" s="29" t="s">
        <v>1045</v>
      </c>
      <c r="F2271" s="36" t="str">
        <f>IFERROR(VLOOKUP(B2271,'985'!$B$2:$D$40,3,FALSE),"")</f>
        <v/>
      </c>
      <c r="G2271" s="32" t="str">
        <f>IFERROR(VLOOKUP(B2271,'211'!$B$2:$D$116,3,FALSE),"")</f>
        <v/>
      </c>
      <c r="H2271" s="32" t="str">
        <f>IFERROR(VLOOKUP(B2271,双一流!$B$2:$D$148,3,FALSE),"")</f>
        <v/>
      </c>
      <c r="I2271" s="32" t="str">
        <f>IFERROR(VLOOKUP(B2271,汇总!$B$2:$I$2921,8,FALSE),"")</f>
        <v>综合</v>
      </c>
      <c r="J2271" s="29" t="s">
        <v>1700</v>
      </c>
      <c r="K2271" s="29" t="s">
        <v>12</v>
      </c>
    </row>
    <row r="2272" ht="33.75" spans="1:11">
      <c r="A2272" s="29">
        <v>2271</v>
      </c>
      <c r="B2272" s="34" t="s">
        <v>2628</v>
      </c>
      <c r="C2272" s="29" t="str">
        <f>VLOOKUP(B2272,教育部大学名单!$B$1:$D$2920,3,FALSE)</f>
        <v>贵州省</v>
      </c>
      <c r="D2272" s="34" t="s">
        <v>1026</v>
      </c>
      <c r="E2272" s="34" t="s">
        <v>1030</v>
      </c>
      <c r="F2272" s="36" t="str">
        <f>IFERROR(VLOOKUP(B2272,'985'!$B$2:$D$40,3,FALSE),"")</f>
        <v/>
      </c>
      <c r="G2272" s="32" t="str">
        <f>IFERROR(VLOOKUP(B2272,'211'!$B$2:$D$116,3,FALSE),"")</f>
        <v/>
      </c>
      <c r="H2272" s="32" t="str">
        <f>IFERROR(VLOOKUP(B2272,双一流!$B$2:$D$148,3,FALSE),"")</f>
        <v/>
      </c>
      <c r="I2272" s="32" t="str">
        <f>IFERROR(VLOOKUP(B2272,汇总!$B$2:$I$2921,8,FALSE),"")</f>
        <v>综合</v>
      </c>
      <c r="J2272" s="34" t="s">
        <v>1700</v>
      </c>
      <c r="K2272" s="34" t="s">
        <v>12</v>
      </c>
    </row>
    <row r="2273" ht="33.75" spans="1:11">
      <c r="A2273" s="34">
        <v>2272</v>
      </c>
      <c r="B2273" s="29" t="s">
        <v>2629</v>
      </c>
      <c r="C2273" s="29" t="str">
        <f>VLOOKUP(B2273,教育部大学名单!$B$1:$D$2920,3,FALSE)</f>
        <v>贵州省</v>
      </c>
      <c r="D2273" s="29" t="s">
        <v>1026</v>
      </c>
      <c r="E2273" s="29" t="s">
        <v>1027</v>
      </c>
      <c r="F2273" s="36" t="str">
        <f>IFERROR(VLOOKUP(B2273,'985'!$B$2:$D$40,3,FALSE),"")</f>
        <v/>
      </c>
      <c r="G2273" s="32" t="str">
        <f>IFERROR(VLOOKUP(B2273,'211'!$B$2:$D$116,3,FALSE),"")</f>
        <v/>
      </c>
      <c r="H2273" s="32" t="str">
        <f>IFERROR(VLOOKUP(B2273,双一流!$B$2:$D$148,3,FALSE),"")</f>
        <v/>
      </c>
      <c r="I2273" s="32" t="str">
        <f>IFERROR(VLOOKUP(B2273,汇总!$B$2:$I$2921,8,FALSE),"")</f>
        <v>理工</v>
      </c>
      <c r="J2273" s="29" t="s">
        <v>1700</v>
      </c>
      <c r="K2273" s="29" t="s">
        <v>12</v>
      </c>
    </row>
    <row r="2274" ht="33.75" spans="1:11">
      <c r="A2274" s="29">
        <v>2273</v>
      </c>
      <c r="B2274" s="34" t="s">
        <v>2630</v>
      </c>
      <c r="C2274" s="29" t="str">
        <f>VLOOKUP(B2274,教育部大学名单!$B$1:$D$2920,3,FALSE)</f>
        <v>贵州省</v>
      </c>
      <c r="D2274" s="34" t="s">
        <v>1026</v>
      </c>
      <c r="E2274" s="34" t="s">
        <v>1027</v>
      </c>
      <c r="F2274" s="36" t="str">
        <f>IFERROR(VLOOKUP(B2274,'985'!$B$2:$D$40,3,FALSE),"")</f>
        <v/>
      </c>
      <c r="G2274" s="32" t="str">
        <f>IFERROR(VLOOKUP(B2274,'211'!$B$2:$D$116,3,FALSE),"")</f>
        <v/>
      </c>
      <c r="H2274" s="32" t="str">
        <f>IFERROR(VLOOKUP(B2274,双一流!$B$2:$D$148,3,FALSE),"")</f>
        <v/>
      </c>
      <c r="I2274" s="32">
        <f>IFERROR(VLOOKUP(B2274,汇总!$B$2:$I$2921,8,FALSE),"")</f>
        <v>0</v>
      </c>
      <c r="J2274" s="34" t="s">
        <v>1700</v>
      </c>
      <c r="K2274" s="34" t="s">
        <v>12</v>
      </c>
    </row>
    <row r="2275" ht="33.75" spans="1:11">
      <c r="A2275" s="34">
        <v>2274</v>
      </c>
      <c r="B2275" s="29" t="s">
        <v>2631</v>
      </c>
      <c r="C2275" s="29" t="str">
        <f>VLOOKUP(B2275,教育部大学名单!$B$1:$D$2920,3,FALSE)</f>
        <v>贵州省</v>
      </c>
      <c r="D2275" s="29" t="s">
        <v>1026</v>
      </c>
      <c r="E2275" s="29" t="s">
        <v>1050</v>
      </c>
      <c r="F2275" s="36" t="str">
        <f>IFERROR(VLOOKUP(B2275,'985'!$B$2:$D$40,3,FALSE),"")</f>
        <v/>
      </c>
      <c r="G2275" s="32" t="str">
        <f>IFERROR(VLOOKUP(B2275,'211'!$B$2:$D$116,3,FALSE),"")</f>
        <v/>
      </c>
      <c r="H2275" s="32" t="str">
        <f>IFERROR(VLOOKUP(B2275,双一流!$B$2:$D$148,3,FALSE),"")</f>
        <v/>
      </c>
      <c r="I2275" s="32" t="str">
        <f>IFERROR(VLOOKUP(B2275,汇总!$B$2:$I$2921,8,FALSE),"")</f>
        <v>综合</v>
      </c>
      <c r="J2275" s="29" t="s">
        <v>1700</v>
      </c>
      <c r="K2275" s="29" t="s">
        <v>12</v>
      </c>
    </row>
    <row r="2276" ht="50.25" spans="1:11">
      <c r="A2276" s="29">
        <v>2275</v>
      </c>
      <c r="B2276" s="34" t="s">
        <v>2632</v>
      </c>
      <c r="C2276" s="29" t="str">
        <f>VLOOKUP(B2276,教育部大学名单!$B$1:$D$2920,3,FALSE)</f>
        <v>贵州省</v>
      </c>
      <c r="D2276" s="34" t="s">
        <v>1026</v>
      </c>
      <c r="E2276" s="34" t="s">
        <v>1037</v>
      </c>
      <c r="F2276" s="36" t="str">
        <f>IFERROR(VLOOKUP(B2276,'985'!$B$2:$D$40,3,FALSE),"")</f>
        <v/>
      </c>
      <c r="G2276" s="32" t="str">
        <f>IFERROR(VLOOKUP(B2276,'211'!$B$2:$D$116,3,FALSE),"")</f>
        <v/>
      </c>
      <c r="H2276" s="32" t="str">
        <f>IFERROR(VLOOKUP(B2276,双一流!$B$2:$D$148,3,FALSE),"")</f>
        <v/>
      </c>
      <c r="I2276" s="32" t="str">
        <f>IFERROR(VLOOKUP(B2276,汇总!$B$2:$I$2921,8,FALSE),"")</f>
        <v>综合</v>
      </c>
      <c r="J2276" s="34" t="s">
        <v>1700</v>
      </c>
      <c r="K2276" s="34" t="s">
        <v>12</v>
      </c>
    </row>
    <row r="2277" ht="33.75" spans="1:11">
      <c r="A2277" s="34">
        <v>2276</v>
      </c>
      <c r="B2277" s="29" t="s">
        <v>2633</v>
      </c>
      <c r="C2277" s="29" t="str">
        <f>VLOOKUP(B2277,教育部大学名单!$B$1:$D$2920,3,FALSE)</f>
        <v>贵州省</v>
      </c>
      <c r="D2277" s="29" t="s">
        <v>1026</v>
      </c>
      <c r="E2277" s="29" t="s">
        <v>1030</v>
      </c>
      <c r="F2277" s="36" t="str">
        <f>IFERROR(VLOOKUP(B2277,'985'!$B$2:$D$40,3,FALSE),"")</f>
        <v/>
      </c>
      <c r="G2277" s="32" t="str">
        <f>IFERROR(VLOOKUP(B2277,'211'!$B$2:$D$116,3,FALSE),"")</f>
        <v/>
      </c>
      <c r="H2277" s="32" t="str">
        <f>IFERROR(VLOOKUP(B2277,双一流!$B$2:$D$148,3,FALSE),"")</f>
        <v/>
      </c>
      <c r="I2277" s="32" t="str">
        <f>IFERROR(VLOOKUP(B2277,汇总!$B$2:$I$2921,8,FALSE),"")</f>
        <v>医药</v>
      </c>
      <c r="J2277" s="29" t="s">
        <v>1700</v>
      </c>
      <c r="K2277" s="29" t="s">
        <v>12</v>
      </c>
    </row>
    <row r="2278" ht="33.75" spans="1:11">
      <c r="A2278" s="29">
        <v>2277</v>
      </c>
      <c r="B2278" s="34" t="s">
        <v>2634</v>
      </c>
      <c r="C2278" s="29" t="str">
        <f>VLOOKUP(B2278,教育部大学名单!$B$1:$D$2920,3,FALSE)</f>
        <v>贵州省</v>
      </c>
      <c r="D2278" s="34" t="s">
        <v>1026</v>
      </c>
      <c r="E2278" s="34" t="s">
        <v>1027</v>
      </c>
      <c r="F2278" s="36" t="str">
        <f>IFERROR(VLOOKUP(B2278,'985'!$B$2:$D$40,3,FALSE),"")</f>
        <v/>
      </c>
      <c r="G2278" s="32" t="str">
        <f>IFERROR(VLOOKUP(B2278,'211'!$B$2:$D$116,3,FALSE),"")</f>
        <v/>
      </c>
      <c r="H2278" s="32" t="str">
        <f>IFERROR(VLOOKUP(B2278,双一流!$B$2:$D$148,3,FALSE),"")</f>
        <v/>
      </c>
      <c r="I2278" s="32" t="str">
        <f>IFERROR(VLOOKUP(B2278,汇总!$B$2:$I$2921,8,FALSE),"")</f>
        <v>综合</v>
      </c>
      <c r="J2278" s="34" t="s">
        <v>1700</v>
      </c>
      <c r="K2278" s="34" t="s">
        <v>12</v>
      </c>
    </row>
    <row r="2279" ht="33.75" spans="1:11">
      <c r="A2279" s="34">
        <v>2278</v>
      </c>
      <c r="B2279" s="29" t="s">
        <v>2635</v>
      </c>
      <c r="C2279" s="29" t="str">
        <f>VLOOKUP(B2279,教育部大学名单!$B$1:$D$2920,3,FALSE)</f>
        <v>贵州省</v>
      </c>
      <c r="D2279" s="29" t="s">
        <v>1026</v>
      </c>
      <c r="E2279" s="29" t="s">
        <v>1041</v>
      </c>
      <c r="F2279" s="36" t="str">
        <f>IFERROR(VLOOKUP(B2279,'985'!$B$2:$D$40,3,FALSE),"")</f>
        <v/>
      </c>
      <c r="G2279" s="32" t="str">
        <f>IFERROR(VLOOKUP(B2279,'211'!$B$2:$D$116,3,FALSE),"")</f>
        <v/>
      </c>
      <c r="H2279" s="32" t="str">
        <f>IFERROR(VLOOKUP(B2279,双一流!$B$2:$D$148,3,FALSE),"")</f>
        <v/>
      </c>
      <c r="I2279" s="32" t="str">
        <f>IFERROR(VLOOKUP(B2279,汇总!$B$2:$I$2921,8,FALSE),"")</f>
        <v>综合</v>
      </c>
      <c r="J2279" s="29" t="s">
        <v>1700</v>
      </c>
      <c r="K2279" s="29" t="s">
        <v>12</v>
      </c>
    </row>
    <row r="2280" ht="33.75" spans="1:11">
      <c r="A2280" s="29">
        <v>2279</v>
      </c>
      <c r="B2280" s="34" t="s">
        <v>2636</v>
      </c>
      <c r="C2280" s="29" t="str">
        <f>VLOOKUP(B2280,教育部大学名单!$B$1:$D$2920,3,FALSE)</f>
        <v>贵州省</v>
      </c>
      <c r="D2280" s="34" t="s">
        <v>1026</v>
      </c>
      <c r="E2280" s="34" t="s">
        <v>1027</v>
      </c>
      <c r="F2280" s="36" t="str">
        <f>IFERROR(VLOOKUP(B2280,'985'!$B$2:$D$40,3,FALSE),"")</f>
        <v/>
      </c>
      <c r="G2280" s="32" t="str">
        <f>IFERROR(VLOOKUP(B2280,'211'!$B$2:$D$116,3,FALSE),"")</f>
        <v/>
      </c>
      <c r="H2280" s="32" t="str">
        <f>IFERROR(VLOOKUP(B2280,双一流!$B$2:$D$148,3,FALSE),"")</f>
        <v/>
      </c>
      <c r="I2280" s="32" t="str">
        <f>IFERROR(VLOOKUP(B2280,汇总!$B$2:$I$2921,8,FALSE),"")</f>
        <v>综合</v>
      </c>
      <c r="J2280" s="34" t="s">
        <v>1700</v>
      </c>
      <c r="K2280" s="34" t="s">
        <v>12</v>
      </c>
    </row>
    <row r="2281" ht="50.25" spans="1:11">
      <c r="A2281" s="34">
        <v>2280</v>
      </c>
      <c r="B2281" s="29" t="s">
        <v>2637</v>
      </c>
      <c r="C2281" s="29" t="str">
        <f>VLOOKUP(B2281,教育部大学名单!$B$1:$D$2920,3,FALSE)</f>
        <v>贵州省</v>
      </c>
      <c r="D2281" s="29" t="s">
        <v>1026</v>
      </c>
      <c r="E2281" s="29" t="s">
        <v>1027</v>
      </c>
      <c r="F2281" s="36" t="str">
        <f>IFERROR(VLOOKUP(B2281,'985'!$B$2:$D$40,3,FALSE),"")</f>
        <v/>
      </c>
      <c r="G2281" s="32" t="str">
        <f>IFERROR(VLOOKUP(B2281,'211'!$B$2:$D$116,3,FALSE),"")</f>
        <v/>
      </c>
      <c r="H2281" s="32" t="str">
        <f>IFERROR(VLOOKUP(B2281,双一流!$B$2:$D$148,3,FALSE),"")</f>
        <v/>
      </c>
      <c r="I2281" s="32" t="str">
        <f>IFERROR(VLOOKUP(B2281,汇总!$B$2:$I$2921,8,FALSE),"")</f>
        <v>师范</v>
      </c>
      <c r="J2281" s="29" t="s">
        <v>1700</v>
      </c>
      <c r="K2281" s="29" t="s">
        <v>12</v>
      </c>
    </row>
    <row r="2282" ht="50.25" spans="1:11">
      <c r="A2282" s="29">
        <v>2281</v>
      </c>
      <c r="B2282" s="34" t="s">
        <v>2638</v>
      </c>
      <c r="C2282" s="29" t="str">
        <f>VLOOKUP(B2282,教育部大学名单!$B$1:$D$2920,3,FALSE)</f>
        <v>贵州省</v>
      </c>
      <c r="D2282" s="34" t="s">
        <v>1026</v>
      </c>
      <c r="E2282" s="34" t="s">
        <v>1035</v>
      </c>
      <c r="F2282" s="36" t="str">
        <f>IFERROR(VLOOKUP(B2282,'985'!$B$2:$D$40,3,FALSE),"")</f>
        <v/>
      </c>
      <c r="G2282" s="32" t="str">
        <f>IFERROR(VLOOKUP(B2282,'211'!$B$2:$D$116,3,FALSE),"")</f>
        <v/>
      </c>
      <c r="H2282" s="32" t="str">
        <f>IFERROR(VLOOKUP(B2282,双一流!$B$2:$D$148,3,FALSE),"")</f>
        <v/>
      </c>
      <c r="I2282" s="32" t="str">
        <f>IFERROR(VLOOKUP(B2282,汇总!$B$2:$I$2921,8,FALSE),"")</f>
        <v>师范</v>
      </c>
      <c r="J2282" s="34" t="s">
        <v>1700</v>
      </c>
      <c r="K2282" s="34" t="s">
        <v>12</v>
      </c>
    </row>
    <row r="2283" ht="50.25" spans="1:11">
      <c r="A2283" s="34">
        <v>2282</v>
      </c>
      <c r="B2283" s="29" t="s">
        <v>2639</v>
      </c>
      <c r="C2283" s="29" t="str">
        <f>VLOOKUP(B2283,教育部大学名单!$B$1:$D$2920,3,FALSE)</f>
        <v>贵州省</v>
      </c>
      <c r="D2283" s="29" t="s">
        <v>1026</v>
      </c>
      <c r="E2283" s="29" t="s">
        <v>1045</v>
      </c>
      <c r="F2283" s="36" t="str">
        <f>IFERROR(VLOOKUP(B2283,'985'!$B$2:$D$40,3,FALSE),"")</f>
        <v/>
      </c>
      <c r="G2283" s="32" t="str">
        <f>IFERROR(VLOOKUP(B2283,'211'!$B$2:$D$116,3,FALSE),"")</f>
        <v/>
      </c>
      <c r="H2283" s="32" t="str">
        <f>IFERROR(VLOOKUP(B2283,双一流!$B$2:$D$148,3,FALSE),"")</f>
        <v/>
      </c>
      <c r="I2283" s="32" t="str">
        <f>IFERROR(VLOOKUP(B2283,汇总!$B$2:$I$2921,8,FALSE),"")</f>
        <v>师范</v>
      </c>
      <c r="J2283" s="29" t="s">
        <v>1700</v>
      </c>
      <c r="K2283" s="29" t="s">
        <v>12</v>
      </c>
    </row>
    <row r="2284" ht="33.75" spans="1:11">
      <c r="A2284" s="29">
        <v>2283</v>
      </c>
      <c r="B2284" s="34" t="s">
        <v>2640</v>
      </c>
      <c r="C2284" s="29" t="str">
        <f>VLOOKUP(B2284,教育部大学名单!$B$1:$D$2920,3,FALSE)</f>
        <v>贵州省</v>
      </c>
      <c r="D2284" s="34" t="s">
        <v>1026</v>
      </c>
      <c r="E2284" s="34" t="s">
        <v>1041</v>
      </c>
      <c r="F2284" s="36" t="str">
        <f>IFERROR(VLOOKUP(B2284,'985'!$B$2:$D$40,3,FALSE),"")</f>
        <v/>
      </c>
      <c r="G2284" s="32" t="str">
        <f>IFERROR(VLOOKUP(B2284,'211'!$B$2:$D$116,3,FALSE),"")</f>
        <v/>
      </c>
      <c r="H2284" s="32" t="str">
        <f>IFERROR(VLOOKUP(B2284,双一流!$B$2:$D$148,3,FALSE),"")</f>
        <v/>
      </c>
      <c r="I2284" s="32" t="str">
        <f>IFERROR(VLOOKUP(B2284,汇总!$B$2:$I$2921,8,FALSE),"")</f>
        <v>医药</v>
      </c>
      <c r="J2284" s="34" t="s">
        <v>1700</v>
      </c>
      <c r="K2284" s="34" t="s">
        <v>12</v>
      </c>
    </row>
    <row r="2285" ht="33.75" spans="1:11">
      <c r="A2285" s="34">
        <v>2284</v>
      </c>
      <c r="B2285" s="29" t="s">
        <v>2641</v>
      </c>
      <c r="C2285" s="29" t="str">
        <f>VLOOKUP(B2285,教育部大学名单!$B$1:$D$2920,3,FALSE)</f>
        <v>贵州省</v>
      </c>
      <c r="D2285" s="29" t="s">
        <v>1026</v>
      </c>
      <c r="E2285" s="29" t="s">
        <v>1027</v>
      </c>
      <c r="F2285" s="36" t="str">
        <f>IFERROR(VLOOKUP(B2285,'985'!$B$2:$D$40,3,FALSE),"")</f>
        <v/>
      </c>
      <c r="G2285" s="32" t="str">
        <f>IFERROR(VLOOKUP(B2285,'211'!$B$2:$D$116,3,FALSE),"")</f>
        <v/>
      </c>
      <c r="H2285" s="32" t="str">
        <f>IFERROR(VLOOKUP(B2285,双一流!$B$2:$D$148,3,FALSE),"")</f>
        <v/>
      </c>
      <c r="I2285" s="32" t="str">
        <f>IFERROR(VLOOKUP(B2285,汇总!$B$2:$I$2921,8,FALSE),"")</f>
        <v>理工</v>
      </c>
      <c r="J2285" s="29" t="s">
        <v>1700</v>
      </c>
      <c r="K2285" s="29" t="s">
        <v>12</v>
      </c>
    </row>
    <row r="2286" ht="50.25" spans="1:11">
      <c r="A2286" s="29">
        <v>2285</v>
      </c>
      <c r="B2286" s="34" t="s">
        <v>2642</v>
      </c>
      <c r="C2286" s="29" t="str">
        <f>VLOOKUP(B2286,教育部大学名单!$B$1:$D$2920,3,FALSE)</f>
        <v>贵州省</v>
      </c>
      <c r="D2286" s="34" t="s">
        <v>1026</v>
      </c>
      <c r="E2286" s="34" t="s">
        <v>1041</v>
      </c>
      <c r="F2286" s="36" t="str">
        <f>IFERROR(VLOOKUP(B2286,'985'!$B$2:$D$40,3,FALSE),"")</f>
        <v/>
      </c>
      <c r="G2286" s="32" t="str">
        <f>IFERROR(VLOOKUP(B2286,'211'!$B$2:$D$116,3,FALSE),"")</f>
        <v/>
      </c>
      <c r="H2286" s="32" t="str">
        <f>IFERROR(VLOOKUP(B2286,双一流!$B$2:$D$148,3,FALSE),"")</f>
        <v/>
      </c>
      <c r="I2286" s="32">
        <f>IFERROR(VLOOKUP(B2286,汇总!$B$2:$I$2921,8,FALSE),"")</f>
        <v>0</v>
      </c>
      <c r="J2286" s="34" t="s">
        <v>1700</v>
      </c>
      <c r="K2286" s="34" t="s">
        <v>12</v>
      </c>
    </row>
    <row r="2287" ht="33.75" spans="1:11">
      <c r="A2287" s="34">
        <v>2286</v>
      </c>
      <c r="B2287" s="29" t="s">
        <v>2643</v>
      </c>
      <c r="C2287" s="29" t="str">
        <f>VLOOKUP(B2287,教育部大学名单!$B$1:$D$2920,3,FALSE)</f>
        <v>贵州省</v>
      </c>
      <c r="D2287" s="29" t="s">
        <v>1026</v>
      </c>
      <c r="E2287" s="29" t="s">
        <v>1027</v>
      </c>
      <c r="F2287" s="36" t="str">
        <f>IFERROR(VLOOKUP(B2287,'985'!$B$2:$D$40,3,FALSE),"")</f>
        <v/>
      </c>
      <c r="G2287" s="32" t="str">
        <f>IFERROR(VLOOKUP(B2287,'211'!$B$2:$D$116,3,FALSE),"")</f>
        <v/>
      </c>
      <c r="H2287" s="32" t="str">
        <f>IFERROR(VLOOKUP(B2287,双一流!$B$2:$D$148,3,FALSE),"")</f>
        <v/>
      </c>
      <c r="I2287" s="32" t="str">
        <f>IFERROR(VLOOKUP(B2287,汇总!$B$2:$I$2921,8,FALSE),"")</f>
        <v>综合</v>
      </c>
      <c r="J2287" s="29" t="s">
        <v>1700</v>
      </c>
      <c r="K2287" s="29" t="s">
        <v>12</v>
      </c>
    </row>
    <row r="2288" ht="50.25" spans="1:11">
      <c r="A2288" s="29">
        <v>2287</v>
      </c>
      <c r="B2288" s="34" t="s">
        <v>2644</v>
      </c>
      <c r="C2288" s="29" t="str">
        <f>VLOOKUP(B2288,教育部大学名单!$B$1:$D$2920,3,FALSE)</f>
        <v>贵州省</v>
      </c>
      <c r="D2288" s="34" t="s">
        <v>1026</v>
      </c>
      <c r="E2288" s="34" t="s">
        <v>1027</v>
      </c>
      <c r="F2288" s="36" t="str">
        <f>IFERROR(VLOOKUP(B2288,'985'!$B$2:$D$40,3,FALSE),"")</f>
        <v/>
      </c>
      <c r="G2288" s="32" t="str">
        <f>IFERROR(VLOOKUP(B2288,'211'!$B$2:$D$116,3,FALSE),"")</f>
        <v/>
      </c>
      <c r="H2288" s="32" t="str">
        <f>IFERROR(VLOOKUP(B2288,双一流!$B$2:$D$148,3,FALSE),"")</f>
        <v/>
      </c>
      <c r="I2288" s="32" t="str">
        <f>IFERROR(VLOOKUP(B2288,汇总!$B$2:$I$2921,8,FALSE),"")</f>
        <v>理工</v>
      </c>
      <c r="J2288" s="34" t="s">
        <v>1700</v>
      </c>
      <c r="K2288" s="34" t="s">
        <v>12</v>
      </c>
    </row>
    <row r="2289" ht="50.25" spans="1:11">
      <c r="A2289" s="34">
        <v>2288</v>
      </c>
      <c r="B2289" s="29" t="s">
        <v>2645</v>
      </c>
      <c r="C2289" s="29" t="str">
        <f>VLOOKUP(B2289,教育部大学名单!$B$1:$D$2920,3,FALSE)</f>
        <v>贵州省</v>
      </c>
      <c r="D2289" s="29" t="s">
        <v>1026</v>
      </c>
      <c r="E2289" s="29" t="s">
        <v>1027</v>
      </c>
      <c r="F2289" s="36" t="str">
        <f>IFERROR(VLOOKUP(B2289,'985'!$B$2:$D$40,3,FALSE),"")</f>
        <v/>
      </c>
      <c r="G2289" s="32" t="str">
        <f>IFERROR(VLOOKUP(B2289,'211'!$B$2:$D$116,3,FALSE),"")</f>
        <v/>
      </c>
      <c r="H2289" s="32" t="str">
        <f>IFERROR(VLOOKUP(B2289,双一流!$B$2:$D$148,3,FALSE),"")</f>
        <v/>
      </c>
      <c r="I2289" s="32">
        <f>IFERROR(VLOOKUP(B2289,汇总!$B$2:$I$2921,8,FALSE),"")</f>
        <v>0</v>
      </c>
      <c r="J2289" s="29" t="s">
        <v>1700</v>
      </c>
      <c r="K2289" s="29" t="s">
        <v>12</v>
      </c>
    </row>
    <row r="2290" ht="33.75" spans="1:11">
      <c r="A2290" s="29">
        <v>2289</v>
      </c>
      <c r="B2290" s="34" t="s">
        <v>2646</v>
      </c>
      <c r="C2290" s="29" t="str">
        <f>VLOOKUP(B2290,教育部大学名单!$B$1:$D$2920,3,FALSE)</f>
        <v>贵州省</v>
      </c>
      <c r="D2290" s="34" t="s">
        <v>1026</v>
      </c>
      <c r="E2290" s="34" t="s">
        <v>1027</v>
      </c>
      <c r="F2290" s="36" t="str">
        <f>IFERROR(VLOOKUP(B2290,'985'!$B$2:$D$40,3,FALSE),"")</f>
        <v/>
      </c>
      <c r="G2290" s="32" t="str">
        <f>IFERROR(VLOOKUP(B2290,'211'!$B$2:$D$116,3,FALSE),"")</f>
        <v/>
      </c>
      <c r="H2290" s="32" t="str">
        <f>IFERROR(VLOOKUP(B2290,双一流!$B$2:$D$148,3,FALSE),"")</f>
        <v/>
      </c>
      <c r="I2290" s="32" t="str">
        <f>IFERROR(VLOOKUP(B2290,汇总!$B$2:$I$2921,8,FALSE),"")</f>
        <v>理工</v>
      </c>
      <c r="J2290" s="34" t="s">
        <v>1700</v>
      </c>
      <c r="K2290" s="34" t="s">
        <v>12</v>
      </c>
    </row>
    <row r="2291" ht="33.75" spans="1:11">
      <c r="A2291" s="34">
        <v>2290</v>
      </c>
      <c r="B2291" s="29" t="s">
        <v>2647</v>
      </c>
      <c r="C2291" s="29" t="str">
        <f>VLOOKUP(B2291,教育部大学名单!$B$1:$D$2920,3,FALSE)</f>
        <v>贵州省</v>
      </c>
      <c r="D2291" s="29" t="s">
        <v>1026</v>
      </c>
      <c r="E2291" s="29" t="s">
        <v>1027</v>
      </c>
      <c r="F2291" s="36" t="str">
        <f>IFERROR(VLOOKUP(B2291,'985'!$B$2:$D$40,3,FALSE),"")</f>
        <v/>
      </c>
      <c r="G2291" s="32" t="str">
        <f>IFERROR(VLOOKUP(B2291,'211'!$B$2:$D$116,3,FALSE),"")</f>
        <v/>
      </c>
      <c r="H2291" s="32" t="str">
        <f>IFERROR(VLOOKUP(B2291,双一流!$B$2:$D$148,3,FALSE),"")</f>
        <v/>
      </c>
      <c r="I2291" s="32">
        <f>IFERROR(VLOOKUP(B2291,汇总!$B$2:$I$2921,8,FALSE),"")</f>
        <v>0</v>
      </c>
      <c r="J2291" s="29" t="s">
        <v>1700</v>
      </c>
      <c r="K2291" s="29" t="s">
        <v>12</v>
      </c>
    </row>
    <row r="2292" ht="33.75" spans="1:11">
      <c r="A2292" s="29">
        <v>2291</v>
      </c>
      <c r="B2292" s="34" t="s">
        <v>2648</v>
      </c>
      <c r="C2292" s="29" t="str">
        <f>VLOOKUP(B2292,教育部大学名单!$B$1:$D$2920,3,FALSE)</f>
        <v>贵州省</v>
      </c>
      <c r="D2292" s="34" t="s">
        <v>1026</v>
      </c>
      <c r="E2292" s="34" t="s">
        <v>1035</v>
      </c>
      <c r="F2292" s="36" t="str">
        <f>IFERROR(VLOOKUP(B2292,'985'!$B$2:$D$40,3,FALSE),"")</f>
        <v/>
      </c>
      <c r="G2292" s="32" t="str">
        <f>IFERROR(VLOOKUP(B2292,'211'!$B$2:$D$116,3,FALSE),"")</f>
        <v/>
      </c>
      <c r="H2292" s="32" t="str">
        <f>IFERROR(VLOOKUP(B2292,双一流!$B$2:$D$148,3,FALSE),"")</f>
        <v/>
      </c>
      <c r="I2292" s="32">
        <f>IFERROR(VLOOKUP(B2292,汇总!$B$2:$I$2921,8,FALSE),"")</f>
        <v>0</v>
      </c>
      <c r="J2292" s="34" t="s">
        <v>1700</v>
      </c>
      <c r="K2292" s="34" t="s">
        <v>12</v>
      </c>
    </row>
    <row r="2293" ht="33.75" spans="1:11">
      <c r="A2293" s="34">
        <v>2292</v>
      </c>
      <c r="B2293" s="29" t="s">
        <v>2649</v>
      </c>
      <c r="C2293" s="29" t="str">
        <f>VLOOKUP(B2293,教育部大学名单!$B$1:$D$2920,3,FALSE)</f>
        <v>贵州省</v>
      </c>
      <c r="D2293" s="29" t="s">
        <v>1026</v>
      </c>
      <c r="E2293" s="29" t="s">
        <v>1027</v>
      </c>
      <c r="F2293" s="36" t="str">
        <f>IFERROR(VLOOKUP(B2293,'985'!$B$2:$D$40,3,FALSE),"")</f>
        <v/>
      </c>
      <c r="G2293" s="32" t="str">
        <f>IFERROR(VLOOKUP(B2293,'211'!$B$2:$D$116,3,FALSE),"")</f>
        <v/>
      </c>
      <c r="H2293" s="32" t="str">
        <f>IFERROR(VLOOKUP(B2293,双一流!$B$2:$D$148,3,FALSE),"")</f>
        <v/>
      </c>
      <c r="I2293" s="32">
        <f>IFERROR(VLOOKUP(B2293,汇总!$B$2:$I$2921,8,FALSE),"")</f>
        <v>0</v>
      </c>
      <c r="J2293" s="29" t="s">
        <v>1700</v>
      </c>
      <c r="K2293" s="29" t="s">
        <v>12</v>
      </c>
    </row>
    <row r="2294" ht="33.75" spans="1:11">
      <c r="A2294" s="29">
        <v>2293</v>
      </c>
      <c r="B2294" s="34" t="s">
        <v>2650</v>
      </c>
      <c r="C2294" s="29" t="str">
        <f>VLOOKUP(B2294,教育部大学名单!$B$1:$D$2920,3,FALSE)</f>
        <v>贵州省</v>
      </c>
      <c r="D2294" s="34" t="s">
        <v>1026</v>
      </c>
      <c r="E2294" s="34" t="s">
        <v>1045</v>
      </c>
      <c r="F2294" s="36" t="str">
        <f>IFERROR(VLOOKUP(B2294,'985'!$B$2:$D$40,3,FALSE),"")</f>
        <v/>
      </c>
      <c r="G2294" s="32" t="str">
        <f>IFERROR(VLOOKUP(B2294,'211'!$B$2:$D$116,3,FALSE),"")</f>
        <v/>
      </c>
      <c r="H2294" s="32" t="str">
        <f>IFERROR(VLOOKUP(B2294,双一流!$B$2:$D$148,3,FALSE),"")</f>
        <v/>
      </c>
      <c r="I2294" s="32">
        <f>IFERROR(VLOOKUP(B2294,汇总!$B$2:$I$2921,8,FALSE),"")</f>
        <v>0</v>
      </c>
      <c r="J2294" s="34" t="s">
        <v>1700</v>
      </c>
      <c r="K2294" s="34" t="s">
        <v>12</v>
      </c>
    </row>
    <row r="2295" ht="33.75" spans="1:11">
      <c r="A2295" s="34">
        <v>2294</v>
      </c>
      <c r="B2295" s="29" t="s">
        <v>2651</v>
      </c>
      <c r="C2295" s="29" t="str">
        <f>VLOOKUP(B2295,教育部大学名单!$B$1:$D$2920,3,FALSE)</f>
        <v>贵州省</v>
      </c>
      <c r="D2295" s="29" t="s">
        <v>1026</v>
      </c>
      <c r="E2295" s="29" t="s">
        <v>1045</v>
      </c>
      <c r="F2295" s="36" t="str">
        <f>IFERROR(VLOOKUP(B2295,'985'!$B$2:$D$40,3,FALSE),"")</f>
        <v/>
      </c>
      <c r="G2295" s="32" t="str">
        <f>IFERROR(VLOOKUP(B2295,'211'!$B$2:$D$116,3,FALSE),"")</f>
        <v/>
      </c>
      <c r="H2295" s="32" t="str">
        <f>IFERROR(VLOOKUP(B2295,双一流!$B$2:$D$148,3,FALSE),"")</f>
        <v/>
      </c>
      <c r="I2295" s="32">
        <f>IFERROR(VLOOKUP(B2295,汇总!$B$2:$I$2921,8,FALSE),"")</f>
        <v>0</v>
      </c>
      <c r="J2295" s="29" t="s">
        <v>1700</v>
      </c>
      <c r="K2295" s="29" t="s">
        <v>12</v>
      </c>
    </row>
    <row r="2296" ht="50.25" spans="1:11">
      <c r="A2296" s="29">
        <v>2295</v>
      </c>
      <c r="B2296" s="34" t="s">
        <v>2652</v>
      </c>
      <c r="C2296" s="29" t="str">
        <f>VLOOKUP(B2296,教育部大学名单!$B$1:$D$2920,3,FALSE)</f>
        <v>贵州省</v>
      </c>
      <c r="D2296" s="34" t="s">
        <v>1026</v>
      </c>
      <c r="E2296" s="34" t="s">
        <v>1050</v>
      </c>
      <c r="F2296" s="36" t="str">
        <f>IFERROR(VLOOKUP(B2296,'985'!$B$2:$D$40,3,FALSE),"")</f>
        <v/>
      </c>
      <c r="G2296" s="32" t="str">
        <f>IFERROR(VLOOKUP(B2296,'211'!$B$2:$D$116,3,FALSE),"")</f>
        <v/>
      </c>
      <c r="H2296" s="32" t="str">
        <f>IFERROR(VLOOKUP(B2296,双一流!$B$2:$D$148,3,FALSE),"")</f>
        <v/>
      </c>
      <c r="I2296" s="32">
        <f>IFERROR(VLOOKUP(B2296,汇总!$B$2:$I$2921,8,FALSE),"")</f>
        <v>0</v>
      </c>
      <c r="J2296" s="34" t="s">
        <v>1700</v>
      </c>
      <c r="K2296" s="34" t="s">
        <v>12</v>
      </c>
    </row>
    <row r="2297" ht="33.75" spans="1:11">
      <c r="A2297" s="34">
        <v>2296</v>
      </c>
      <c r="B2297" s="29" t="s">
        <v>2653</v>
      </c>
      <c r="C2297" s="29" t="str">
        <f>VLOOKUP(B2297,教育部大学名单!$B$1:$D$2920,3,FALSE)</f>
        <v>贵州省</v>
      </c>
      <c r="D2297" s="29" t="s">
        <v>1026</v>
      </c>
      <c r="E2297" s="29" t="s">
        <v>1041</v>
      </c>
      <c r="F2297" s="36" t="str">
        <f>IFERROR(VLOOKUP(B2297,'985'!$B$2:$D$40,3,FALSE),"")</f>
        <v/>
      </c>
      <c r="G2297" s="32" t="str">
        <f>IFERROR(VLOOKUP(B2297,'211'!$B$2:$D$116,3,FALSE),"")</f>
        <v/>
      </c>
      <c r="H2297" s="32" t="str">
        <f>IFERROR(VLOOKUP(B2297,双一流!$B$2:$D$148,3,FALSE),"")</f>
        <v/>
      </c>
      <c r="I2297" s="32">
        <f>IFERROR(VLOOKUP(B2297,汇总!$B$2:$I$2921,8,FALSE),"")</f>
        <v>0</v>
      </c>
      <c r="J2297" s="29" t="s">
        <v>1700</v>
      </c>
      <c r="K2297" s="29" t="s">
        <v>12</v>
      </c>
    </row>
    <row r="2298" ht="33.75" spans="1:11">
      <c r="A2298" s="29">
        <v>2297</v>
      </c>
      <c r="B2298" s="34" t="s">
        <v>2654</v>
      </c>
      <c r="C2298" s="29" t="str">
        <f>VLOOKUP(B2298,教育部大学名单!$B$1:$D$2920,3,FALSE)</f>
        <v>贵州省</v>
      </c>
      <c r="D2298" s="34" t="s">
        <v>1026</v>
      </c>
      <c r="E2298" s="34" t="s">
        <v>1045</v>
      </c>
      <c r="F2298" s="36" t="str">
        <f>IFERROR(VLOOKUP(B2298,'985'!$B$2:$D$40,3,FALSE),"")</f>
        <v/>
      </c>
      <c r="G2298" s="32" t="str">
        <f>IFERROR(VLOOKUP(B2298,'211'!$B$2:$D$116,3,FALSE),"")</f>
        <v/>
      </c>
      <c r="H2298" s="32" t="str">
        <f>IFERROR(VLOOKUP(B2298,双一流!$B$2:$D$148,3,FALSE),"")</f>
        <v/>
      </c>
      <c r="I2298" s="32">
        <f>IFERROR(VLOOKUP(B2298,汇总!$B$2:$I$2921,8,FALSE),"")</f>
        <v>0</v>
      </c>
      <c r="J2298" s="34" t="s">
        <v>1700</v>
      </c>
      <c r="K2298" s="34" t="s">
        <v>12</v>
      </c>
    </row>
    <row r="2299" ht="33.75" spans="1:11">
      <c r="A2299" s="34">
        <v>2298</v>
      </c>
      <c r="B2299" s="29" t="s">
        <v>2655</v>
      </c>
      <c r="C2299" s="29" t="str">
        <f>VLOOKUP(B2299,教育部大学名单!$B$1:$D$2920,3,FALSE)</f>
        <v>贵州省</v>
      </c>
      <c r="D2299" s="29" t="s">
        <v>1026</v>
      </c>
      <c r="E2299" s="29" t="s">
        <v>1027</v>
      </c>
      <c r="F2299" s="36" t="str">
        <f>IFERROR(VLOOKUP(B2299,'985'!$B$2:$D$40,3,FALSE),"")</f>
        <v/>
      </c>
      <c r="G2299" s="32" t="str">
        <f>IFERROR(VLOOKUP(B2299,'211'!$B$2:$D$116,3,FALSE),"")</f>
        <v/>
      </c>
      <c r="H2299" s="32" t="str">
        <f>IFERROR(VLOOKUP(B2299,双一流!$B$2:$D$148,3,FALSE),"")</f>
        <v/>
      </c>
      <c r="I2299" s="32">
        <f>IFERROR(VLOOKUP(B2299,汇总!$B$2:$I$2921,8,FALSE),"")</f>
        <v>0</v>
      </c>
      <c r="J2299" s="29" t="s">
        <v>1700</v>
      </c>
      <c r="K2299" s="29" t="s">
        <v>12</v>
      </c>
    </row>
    <row r="2300" ht="33.75" spans="1:11">
      <c r="A2300" s="29">
        <v>2299</v>
      </c>
      <c r="B2300" s="34" t="s">
        <v>2656</v>
      </c>
      <c r="C2300" s="29" t="str">
        <f>VLOOKUP(B2300,教育部大学名单!$B$1:$D$2920,3,FALSE)</f>
        <v>贵州省</v>
      </c>
      <c r="D2300" s="34" t="s">
        <v>1026</v>
      </c>
      <c r="E2300" s="34" t="s">
        <v>1027</v>
      </c>
      <c r="F2300" s="36" t="str">
        <f>IFERROR(VLOOKUP(B2300,'985'!$B$2:$D$40,3,FALSE),"")</f>
        <v/>
      </c>
      <c r="G2300" s="32" t="str">
        <f>IFERROR(VLOOKUP(B2300,'211'!$B$2:$D$116,3,FALSE),"")</f>
        <v/>
      </c>
      <c r="H2300" s="32" t="str">
        <f>IFERROR(VLOOKUP(B2300,双一流!$B$2:$D$148,3,FALSE),"")</f>
        <v/>
      </c>
      <c r="I2300" s="32">
        <f>IFERROR(VLOOKUP(B2300,汇总!$B$2:$I$2921,8,FALSE),"")</f>
        <v>0</v>
      </c>
      <c r="J2300" s="34" t="s">
        <v>1700</v>
      </c>
      <c r="K2300" s="34" t="s">
        <v>12</v>
      </c>
    </row>
    <row r="2301" ht="33.75" spans="1:11">
      <c r="A2301" s="34">
        <v>2300</v>
      </c>
      <c r="B2301" s="29" t="s">
        <v>2657</v>
      </c>
      <c r="C2301" s="29" t="str">
        <f>VLOOKUP(B2301,教育部大学名单!$B$1:$D$2920,3,FALSE)</f>
        <v>贵州省</v>
      </c>
      <c r="D2301" s="29" t="s">
        <v>1026</v>
      </c>
      <c r="E2301" s="29" t="s">
        <v>1027</v>
      </c>
      <c r="F2301" s="36" t="str">
        <f>IFERROR(VLOOKUP(B2301,'985'!$B$2:$D$40,3,FALSE),"")</f>
        <v/>
      </c>
      <c r="G2301" s="32" t="str">
        <f>IFERROR(VLOOKUP(B2301,'211'!$B$2:$D$116,3,FALSE),"")</f>
        <v/>
      </c>
      <c r="H2301" s="32" t="str">
        <f>IFERROR(VLOOKUP(B2301,双一流!$B$2:$D$148,3,FALSE),"")</f>
        <v/>
      </c>
      <c r="I2301" s="32" t="str">
        <f>IFERROR(VLOOKUP(B2301,汇总!$B$2:$I$2921,8,FALSE),"")</f>
        <v>理工</v>
      </c>
      <c r="J2301" s="29" t="s">
        <v>1700</v>
      </c>
      <c r="K2301" s="29" t="s">
        <v>12</v>
      </c>
    </row>
    <row r="2302" ht="33.75" spans="1:11">
      <c r="A2302" s="29">
        <v>2301</v>
      </c>
      <c r="B2302" s="34" t="s">
        <v>2658</v>
      </c>
      <c r="C2302" s="29" t="str">
        <f>VLOOKUP(B2302,教育部大学名单!$B$1:$D$2920,3,FALSE)</f>
        <v>云南省</v>
      </c>
      <c r="D2302" s="34" t="s">
        <v>1060</v>
      </c>
      <c r="E2302" s="34" t="s">
        <v>1061</v>
      </c>
      <c r="F2302" s="36" t="str">
        <f>IFERROR(VLOOKUP(B2302,'985'!$B$2:$D$40,3,FALSE),"")</f>
        <v/>
      </c>
      <c r="G2302" s="32" t="str">
        <f>IFERROR(VLOOKUP(B2302,'211'!$B$2:$D$116,3,FALSE),"")</f>
        <v/>
      </c>
      <c r="H2302" s="32" t="str">
        <f>IFERROR(VLOOKUP(B2302,双一流!$B$2:$D$148,3,FALSE),"")</f>
        <v/>
      </c>
      <c r="I2302" s="32" t="str">
        <f>IFERROR(VLOOKUP(B2302,汇总!$B$2:$I$2921,8,FALSE),"")</f>
        <v>理工</v>
      </c>
      <c r="J2302" s="34" t="s">
        <v>1700</v>
      </c>
      <c r="K2302" s="34" t="s">
        <v>12</v>
      </c>
    </row>
    <row r="2303" ht="33.75" spans="1:11">
      <c r="A2303" s="34">
        <v>2302</v>
      </c>
      <c r="B2303" s="29" t="s">
        <v>2659</v>
      </c>
      <c r="C2303" s="29" t="str">
        <f>VLOOKUP(B2303,教育部大学名单!$B$1:$D$2920,3,FALSE)</f>
        <v>云南省</v>
      </c>
      <c r="D2303" s="29" t="s">
        <v>1060</v>
      </c>
      <c r="E2303" s="29" t="s">
        <v>1061</v>
      </c>
      <c r="F2303" s="36" t="str">
        <f>IFERROR(VLOOKUP(B2303,'985'!$B$2:$D$40,3,FALSE),"")</f>
        <v/>
      </c>
      <c r="G2303" s="32" t="str">
        <f>IFERROR(VLOOKUP(B2303,'211'!$B$2:$D$116,3,FALSE),"")</f>
        <v/>
      </c>
      <c r="H2303" s="32" t="str">
        <f>IFERROR(VLOOKUP(B2303,双一流!$B$2:$D$148,3,FALSE),"")</f>
        <v/>
      </c>
      <c r="I2303" s="32" t="str">
        <f>IFERROR(VLOOKUP(B2303,汇总!$B$2:$I$2921,8,FALSE),"")</f>
        <v>理工</v>
      </c>
      <c r="J2303" s="29" t="s">
        <v>1700</v>
      </c>
      <c r="K2303" s="29" t="s">
        <v>12</v>
      </c>
    </row>
    <row r="2304" ht="33.75" spans="1:11">
      <c r="A2304" s="29">
        <v>2303</v>
      </c>
      <c r="B2304" s="34" t="s">
        <v>2660</v>
      </c>
      <c r="C2304" s="29" t="str">
        <f>VLOOKUP(B2304,教育部大学名单!$B$1:$D$2920,3,FALSE)</f>
        <v>云南省</v>
      </c>
      <c r="D2304" s="34" t="s">
        <v>1060</v>
      </c>
      <c r="E2304" s="34" t="s">
        <v>1061</v>
      </c>
      <c r="F2304" s="36" t="str">
        <f>IFERROR(VLOOKUP(B2304,'985'!$B$2:$D$40,3,FALSE),"")</f>
        <v/>
      </c>
      <c r="G2304" s="32" t="str">
        <f>IFERROR(VLOOKUP(B2304,'211'!$B$2:$D$116,3,FALSE),"")</f>
        <v/>
      </c>
      <c r="H2304" s="32" t="str">
        <f>IFERROR(VLOOKUP(B2304,双一流!$B$2:$D$148,3,FALSE),"")</f>
        <v/>
      </c>
      <c r="I2304" s="32" t="str">
        <f>IFERROR(VLOOKUP(B2304,汇总!$B$2:$I$2921,8,FALSE),"")</f>
        <v>理工</v>
      </c>
      <c r="J2304" s="34" t="s">
        <v>1700</v>
      </c>
      <c r="K2304" s="34" t="s">
        <v>12</v>
      </c>
    </row>
    <row r="2305" ht="33.75" spans="1:11">
      <c r="A2305" s="34">
        <v>2304</v>
      </c>
      <c r="B2305" s="29" t="s">
        <v>2661</v>
      </c>
      <c r="C2305" s="29" t="str">
        <f>VLOOKUP(B2305,教育部大学名单!$B$1:$D$2920,3,FALSE)</f>
        <v>云南省</v>
      </c>
      <c r="D2305" s="29" t="s">
        <v>1060</v>
      </c>
      <c r="E2305" s="29" t="s">
        <v>1061</v>
      </c>
      <c r="F2305" s="36" t="str">
        <f>IFERROR(VLOOKUP(B2305,'985'!$B$2:$D$40,3,FALSE),"")</f>
        <v/>
      </c>
      <c r="G2305" s="32" t="str">
        <f>IFERROR(VLOOKUP(B2305,'211'!$B$2:$D$116,3,FALSE),"")</f>
        <v/>
      </c>
      <c r="H2305" s="32" t="str">
        <f>IFERROR(VLOOKUP(B2305,双一流!$B$2:$D$148,3,FALSE),"")</f>
        <v/>
      </c>
      <c r="I2305" s="32" t="str">
        <f>IFERROR(VLOOKUP(B2305,汇总!$B$2:$I$2921,8,FALSE),"")</f>
        <v>农林</v>
      </c>
      <c r="J2305" s="29" t="s">
        <v>1700</v>
      </c>
      <c r="K2305" s="29" t="s">
        <v>12</v>
      </c>
    </row>
    <row r="2306" ht="33.75" spans="1:11">
      <c r="A2306" s="29">
        <v>2305</v>
      </c>
      <c r="B2306" s="34" t="s">
        <v>2662</v>
      </c>
      <c r="C2306" s="29" t="str">
        <f>VLOOKUP(B2306,教育部大学名单!$B$1:$D$2920,3,FALSE)</f>
        <v>云南省</v>
      </c>
      <c r="D2306" s="34" t="s">
        <v>1060</v>
      </c>
      <c r="E2306" s="34" t="s">
        <v>1061</v>
      </c>
      <c r="F2306" s="36" t="str">
        <f>IFERROR(VLOOKUP(B2306,'985'!$B$2:$D$40,3,FALSE),"")</f>
        <v/>
      </c>
      <c r="G2306" s="32" t="str">
        <f>IFERROR(VLOOKUP(B2306,'211'!$B$2:$D$116,3,FALSE),"")</f>
        <v/>
      </c>
      <c r="H2306" s="32" t="str">
        <f>IFERROR(VLOOKUP(B2306,双一流!$B$2:$D$148,3,FALSE),"")</f>
        <v/>
      </c>
      <c r="I2306" s="32" t="str">
        <f>IFERROR(VLOOKUP(B2306,汇总!$B$2:$I$2921,8,FALSE),"")</f>
        <v>政法</v>
      </c>
      <c r="J2306" s="34" t="s">
        <v>1700</v>
      </c>
      <c r="K2306" s="34" t="s">
        <v>12</v>
      </c>
    </row>
    <row r="2307" ht="33.75" spans="1:11">
      <c r="A2307" s="34">
        <v>2306</v>
      </c>
      <c r="B2307" s="29" t="s">
        <v>2663</v>
      </c>
      <c r="C2307" s="29" t="str">
        <f>VLOOKUP(B2307,教育部大学名单!$B$1:$D$2920,3,FALSE)</f>
        <v>云南省</v>
      </c>
      <c r="D2307" s="29" t="s">
        <v>1060</v>
      </c>
      <c r="E2307" s="29" t="s">
        <v>1061</v>
      </c>
      <c r="F2307" s="36" t="str">
        <f>IFERROR(VLOOKUP(B2307,'985'!$B$2:$D$40,3,FALSE),"")</f>
        <v/>
      </c>
      <c r="G2307" s="32" t="str">
        <f>IFERROR(VLOOKUP(B2307,'211'!$B$2:$D$116,3,FALSE),"")</f>
        <v/>
      </c>
      <c r="H2307" s="32" t="str">
        <f>IFERROR(VLOOKUP(B2307,双一流!$B$2:$D$148,3,FALSE),"")</f>
        <v/>
      </c>
      <c r="I2307" s="32" t="str">
        <f>IFERROR(VLOOKUP(B2307,汇总!$B$2:$I$2921,8,FALSE),"")</f>
        <v>艺术</v>
      </c>
      <c r="J2307" s="29" t="s">
        <v>1700</v>
      </c>
      <c r="K2307" s="29" t="s">
        <v>12</v>
      </c>
    </row>
    <row r="2308" ht="50.25" spans="1:11">
      <c r="A2308" s="29">
        <v>2307</v>
      </c>
      <c r="B2308" s="34" t="s">
        <v>2664</v>
      </c>
      <c r="C2308" s="29" t="str">
        <f>VLOOKUP(B2308,教育部大学名单!$B$1:$D$2920,3,FALSE)</f>
        <v>云南省</v>
      </c>
      <c r="D2308" s="34" t="s">
        <v>1060</v>
      </c>
      <c r="E2308" s="34" t="s">
        <v>1061</v>
      </c>
      <c r="F2308" s="36" t="str">
        <f>IFERROR(VLOOKUP(B2308,'985'!$B$2:$D$40,3,FALSE),"")</f>
        <v/>
      </c>
      <c r="G2308" s="32" t="str">
        <f>IFERROR(VLOOKUP(B2308,'211'!$B$2:$D$116,3,FALSE),"")</f>
        <v/>
      </c>
      <c r="H2308" s="32" t="str">
        <f>IFERROR(VLOOKUP(B2308,双一流!$B$2:$D$148,3,FALSE),"")</f>
        <v/>
      </c>
      <c r="I2308" s="32" t="str">
        <f>IFERROR(VLOOKUP(B2308,汇总!$B$2:$I$2921,8,FALSE),"")</f>
        <v>体育</v>
      </c>
      <c r="J2308" s="34" t="s">
        <v>1700</v>
      </c>
      <c r="K2308" s="34" t="s">
        <v>12</v>
      </c>
    </row>
    <row r="2309" ht="33.75" spans="1:11">
      <c r="A2309" s="34">
        <v>2308</v>
      </c>
      <c r="B2309" s="29" t="s">
        <v>2665</v>
      </c>
      <c r="C2309" s="29" t="str">
        <f>VLOOKUP(B2309,教育部大学名单!$B$1:$D$2920,3,FALSE)</f>
        <v>云南省</v>
      </c>
      <c r="D2309" s="29" t="s">
        <v>1060</v>
      </c>
      <c r="E2309" s="29" t="s">
        <v>2666</v>
      </c>
      <c r="F2309" s="36" t="str">
        <f>IFERROR(VLOOKUP(B2309,'985'!$B$2:$D$40,3,FALSE),"")</f>
        <v/>
      </c>
      <c r="G2309" s="32" t="str">
        <f>IFERROR(VLOOKUP(B2309,'211'!$B$2:$D$116,3,FALSE),"")</f>
        <v/>
      </c>
      <c r="H2309" s="32" t="str">
        <f>IFERROR(VLOOKUP(B2309,双一流!$B$2:$D$148,3,FALSE),"")</f>
        <v/>
      </c>
      <c r="I2309" s="32" t="str">
        <f>IFERROR(VLOOKUP(B2309,汇总!$B$2:$I$2921,8,FALSE),"")</f>
        <v>综合</v>
      </c>
      <c r="J2309" s="29" t="s">
        <v>1700</v>
      </c>
      <c r="K2309" s="29" t="s">
        <v>12</v>
      </c>
    </row>
    <row r="2310" ht="33.75" spans="1:11">
      <c r="A2310" s="29">
        <v>2309</v>
      </c>
      <c r="B2310" s="34" t="s">
        <v>2667</v>
      </c>
      <c r="C2310" s="29" t="str">
        <f>VLOOKUP(B2310,教育部大学名单!$B$1:$D$2920,3,FALSE)</f>
        <v>云南省</v>
      </c>
      <c r="D2310" s="34" t="s">
        <v>1060</v>
      </c>
      <c r="E2310" s="34" t="s">
        <v>1084</v>
      </c>
      <c r="F2310" s="36" t="str">
        <f>IFERROR(VLOOKUP(B2310,'985'!$B$2:$D$40,3,FALSE),"")</f>
        <v/>
      </c>
      <c r="G2310" s="32" t="str">
        <f>IFERROR(VLOOKUP(B2310,'211'!$B$2:$D$116,3,FALSE),"")</f>
        <v/>
      </c>
      <c r="H2310" s="32" t="str">
        <f>IFERROR(VLOOKUP(B2310,双一流!$B$2:$D$148,3,FALSE),"")</f>
        <v/>
      </c>
      <c r="I2310" s="32" t="str">
        <f>IFERROR(VLOOKUP(B2310,汇总!$B$2:$I$2921,8,FALSE),"")</f>
        <v>农林</v>
      </c>
      <c r="J2310" s="34" t="s">
        <v>1700</v>
      </c>
      <c r="K2310" s="34" t="s">
        <v>12</v>
      </c>
    </row>
    <row r="2311" ht="33.75" spans="1:11">
      <c r="A2311" s="34">
        <v>2310</v>
      </c>
      <c r="B2311" s="29" t="s">
        <v>2668</v>
      </c>
      <c r="C2311" s="29" t="str">
        <f>VLOOKUP(B2311,教育部大学名单!$B$1:$D$2920,3,FALSE)</f>
        <v>云南省</v>
      </c>
      <c r="D2311" s="29" t="s">
        <v>1060</v>
      </c>
      <c r="E2311" s="29" t="s">
        <v>1073</v>
      </c>
      <c r="F2311" s="36" t="str">
        <f>IFERROR(VLOOKUP(B2311,'985'!$B$2:$D$40,3,FALSE),"")</f>
        <v/>
      </c>
      <c r="G2311" s="32" t="str">
        <f>IFERROR(VLOOKUP(B2311,'211'!$B$2:$D$116,3,FALSE),"")</f>
        <v/>
      </c>
      <c r="H2311" s="32" t="str">
        <f>IFERROR(VLOOKUP(B2311,双一流!$B$2:$D$148,3,FALSE),"")</f>
        <v/>
      </c>
      <c r="I2311" s="32" t="str">
        <f>IFERROR(VLOOKUP(B2311,汇总!$B$2:$I$2921,8,FALSE),"")</f>
        <v>理工</v>
      </c>
      <c r="J2311" s="29" t="s">
        <v>1700</v>
      </c>
      <c r="K2311" s="29" t="s">
        <v>12</v>
      </c>
    </row>
    <row r="2312" ht="50.25" spans="1:11">
      <c r="A2312" s="29">
        <v>2311</v>
      </c>
      <c r="B2312" s="34" t="s">
        <v>2669</v>
      </c>
      <c r="C2312" s="29" t="str">
        <f>VLOOKUP(B2312,教育部大学名单!$B$1:$D$2920,3,FALSE)</f>
        <v>云南省</v>
      </c>
      <c r="D2312" s="34" t="s">
        <v>1060</v>
      </c>
      <c r="E2312" s="34" t="s">
        <v>1061</v>
      </c>
      <c r="F2312" s="36" t="str">
        <f>IFERROR(VLOOKUP(B2312,'985'!$B$2:$D$40,3,FALSE),"")</f>
        <v/>
      </c>
      <c r="G2312" s="32" t="str">
        <f>IFERROR(VLOOKUP(B2312,'211'!$B$2:$D$116,3,FALSE),"")</f>
        <v/>
      </c>
      <c r="H2312" s="32" t="str">
        <f>IFERROR(VLOOKUP(B2312,双一流!$B$2:$D$148,3,FALSE),"")</f>
        <v/>
      </c>
      <c r="I2312" s="32" t="str">
        <f>IFERROR(VLOOKUP(B2312,汇总!$B$2:$I$2921,8,FALSE),"")</f>
        <v>理工</v>
      </c>
      <c r="J2312" s="34" t="s">
        <v>1700</v>
      </c>
      <c r="K2312" s="34" t="s">
        <v>12</v>
      </c>
    </row>
    <row r="2313" ht="33.75" spans="1:11">
      <c r="A2313" s="34">
        <v>2312</v>
      </c>
      <c r="B2313" s="29" t="s">
        <v>2670</v>
      </c>
      <c r="C2313" s="29" t="str">
        <f>VLOOKUP(B2313,教育部大学名单!$B$1:$D$2920,3,FALSE)</f>
        <v>云南省</v>
      </c>
      <c r="D2313" s="29" t="s">
        <v>1060</v>
      </c>
      <c r="E2313" s="29" t="s">
        <v>1061</v>
      </c>
      <c r="F2313" s="36" t="str">
        <f>IFERROR(VLOOKUP(B2313,'985'!$B$2:$D$40,3,FALSE),"")</f>
        <v/>
      </c>
      <c r="G2313" s="32" t="str">
        <f>IFERROR(VLOOKUP(B2313,'211'!$B$2:$D$116,3,FALSE),"")</f>
        <v/>
      </c>
      <c r="H2313" s="32" t="str">
        <f>IFERROR(VLOOKUP(B2313,双一流!$B$2:$D$148,3,FALSE),"")</f>
        <v/>
      </c>
      <c r="I2313" s="32" t="str">
        <f>IFERROR(VLOOKUP(B2313,汇总!$B$2:$I$2921,8,FALSE),"")</f>
        <v>理工</v>
      </c>
      <c r="J2313" s="29" t="s">
        <v>1700</v>
      </c>
      <c r="K2313" s="29" t="s">
        <v>12</v>
      </c>
    </row>
    <row r="2314" ht="33.75" spans="1:11">
      <c r="A2314" s="29">
        <v>2313</v>
      </c>
      <c r="B2314" s="34" t="s">
        <v>2671</v>
      </c>
      <c r="C2314" s="29" t="str">
        <f>VLOOKUP(B2314,教育部大学名单!$B$1:$D$2920,3,FALSE)</f>
        <v>云南省</v>
      </c>
      <c r="D2314" s="34" t="s">
        <v>1060</v>
      </c>
      <c r="E2314" s="34" t="s">
        <v>1061</v>
      </c>
      <c r="F2314" s="36" t="str">
        <f>IFERROR(VLOOKUP(B2314,'985'!$B$2:$D$40,3,FALSE),"")</f>
        <v/>
      </c>
      <c r="G2314" s="32" t="str">
        <f>IFERROR(VLOOKUP(B2314,'211'!$B$2:$D$116,3,FALSE),"")</f>
        <v/>
      </c>
      <c r="H2314" s="32" t="str">
        <f>IFERROR(VLOOKUP(B2314,双一流!$B$2:$D$148,3,FALSE),"")</f>
        <v/>
      </c>
      <c r="I2314" s="32" t="str">
        <f>IFERROR(VLOOKUP(B2314,汇总!$B$2:$I$2921,8,FALSE),"")</f>
        <v>农林</v>
      </c>
      <c r="J2314" s="34" t="s">
        <v>1700</v>
      </c>
      <c r="K2314" s="34" t="s">
        <v>12</v>
      </c>
    </row>
    <row r="2315" ht="33.75" spans="1:11">
      <c r="A2315" s="34">
        <v>2314</v>
      </c>
      <c r="B2315" s="29" t="s">
        <v>2672</v>
      </c>
      <c r="C2315" s="29" t="str">
        <f>VLOOKUP(B2315,教育部大学名单!$B$1:$D$2920,3,FALSE)</f>
        <v>云南省</v>
      </c>
      <c r="D2315" s="29" t="s">
        <v>1060</v>
      </c>
      <c r="E2315" s="29" t="s">
        <v>1086</v>
      </c>
      <c r="F2315" s="36" t="str">
        <f>IFERROR(VLOOKUP(B2315,'985'!$B$2:$D$40,3,FALSE),"")</f>
        <v/>
      </c>
      <c r="G2315" s="32" t="str">
        <f>IFERROR(VLOOKUP(B2315,'211'!$B$2:$D$116,3,FALSE),"")</f>
        <v/>
      </c>
      <c r="H2315" s="32" t="str">
        <f>IFERROR(VLOOKUP(B2315,双一流!$B$2:$D$148,3,FALSE),"")</f>
        <v/>
      </c>
      <c r="I2315" s="32" t="str">
        <f>IFERROR(VLOOKUP(B2315,汇总!$B$2:$I$2921,8,FALSE),"")</f>
        <v>医药</v>
      </c>
      <c r="J2315" s="29" t="s">
        <v>1700</v>
      </c>
      <c r="K2315" s="29" t="s">
        <v>12</v>
      </c>
    </row>
    <row r="2316" ht="50.25" spans="1:11">
      <c r="A2316" s="29">
        <v>2315</v>
      </c>
      <c r="B2316" s="34" t="s">
        <v>2673</v>
      </c>
      <c r="C2316" s="29" t="str">
        <f>VLOOKUP(B2316,教育部大学名单!$B$1:$D$2920,3,FALSE)</f>
        <v>云南省</v>
      </c>
      <c r="D2316" s="34" t="s">
        <v>1060</v>
      </c>
      <c r="E2316" s="34" t="s">
        <v>1077</v>
      </c>
      <c r="F2316" s="36" t="str">
        <f>IFERROR(VLOOKUP(B2316,'985'!$B$2:$D$40,3,FALSE),"")</f>
        <v/>
      </c>
      <c r="G2316" s="32" t="str">
        <f>IFERROR(VLOOKUP(B2316,'211'!$B$2:$D$116,3,FALSE),"")</f>
        <v/>
      </c>
      <c r="H2316" s="32" t="str">
        <f>IFERROR(VLOOKUP(B2316,双一流!$B$2:$D$148,3,FALSE),"")</f>
        <v/>
      </c>
      <c r="I2316" s="32" t="str">
        <f>IFERROR(VLOOKUP(B2316,汇总!$B$2:$I$2921,8,FALSE),"")</f>
        <v>医药</v>
      </c>
      <c r="J2316" s="34" t="s">
        <v>1700</v>
      </c>
      <c r="K2316" s="34" t="s">
        <v>12</v>
      </c>
    </row>
    <row r="2317" ht="33.75" spans="1:11">
      <c r="A2317" s="34">
        <v>2316</v>
      </c>
      <c r="B2317" s="29" t="s">
        <v>2674</v>
      </c>
      <c r="C2317" s="29" t="str">
        <f>VLOOKUP(B2317,教育部大学名单!$B$1:$D$2920,3,FALSE)</f>
        <v>云南省</v>
      </c>
      <c r="D2317" s="29" t="s">
        <v>1060</v>
      </c>
      <c r="E2317" s="29" t="s">
        <v>1079</v>
      </c>
      <c r="F2317" s="36" t="str">
        <f>IFERROR(VLOOKUP(B2317,'985'!$B$2:$D$40,3,FALSE),"")</f>
        <v/>
      </c>
      <c r="G2317" s="32" t="str">
        <f>IFERROR(VLOOKUP(B2317,'211'!$B$2:$D$116,3,FALSE),"")</f>
        <v/>
      </c>
      <c r="H2317" s="32" t="str">
        <f>IFERROR(VLOOKUP(B2317,双一流!$B$2:$D$148,3,FALSE),"")</f>
        <v/>
      </c>
      <c r="I2317" s="32" t="str">
        <f>IFERROR(VLOOKUP(B2317,汇总!$B$2:$I$2921,8,FALSE),"")</f>
        <v>理工</v>
      </c>
      <c r="J2317" s="29" t="s">
        <v>1700</v>
      </c>
      <c r="K2317" s="29" t="s">
        <v>12</v>
      </c>
    </row>
    <row r="2318" ht="33.75" spans="1:11">
      <c r="A2318" s="29">
        <v>2317</v>
      </c>
      <c r="B2318" s="34" t="s">
        <v>2675</v>
      </c>
      <c r="C2318" s="29" t="str">
        <f>VLOOKUP(B2318,教育部大学名单!$B$1:$D$2920,3,FALSE)</f>
        <v>云南省</v>
      </c>
      <c r="D2318" s="34" t="s">
        <v>1060</v>
      </c>
      <c r="E2318" s="34" t="s">
        <v>1099</v>
      </c>
      <c r="F2318" s="36" t="str">
        <f>IFERROR(VLOOKUP(B2318,'985'!$B$2:$D$40,3,FALSE),"")</f>
        <v/>
      </c>
      <c r="G2318" s="32" t="str">
        <f>IFERROR(VLOOKUP(B2318,'211'!$B$2:$D$116,3,FALSE),"")</f>
        <v/>
      </c>
      <c r="H2318" s="32" t="str">
        <f>IFERROR(VLOOKUP(B2318,双一流!$B$2:$D$148,3,FALSE),"")</f>
        <v/>
      </c>
      <c r="I2318" s="32" t="str">
        <f>IFERROR(VLOOKUP(B2318,汇总!$B$2:$I$2921,8,FALSE),"")</f>
        <v>综合</v>
      </c>
      <c r="J2318" s="34" t="s">
        <v>1700</v>
      </c>
      <c r="K2318" s="34" t="s">
        <v>12</v>
      </c>
    </row>
    <row r="2319" ht="33.75" spans="1:11">
      <c r="A2319" s="34">
        <v>2318</v>
      </c>
      <c r="B2319" s="29" t="s">
        <v>2676</v>
      </c>
      <c r="C2319" s="29" t="str">
        <f>VLOOKUP(B2319,教育部大学名单!$B$1:$D$2920,3,FALSE)</f>
        <v>云南省</v>
      </c>
      <c r="D2319" s="29" t="s">
        <v>1060</v>
      </c>
      <c r="E2319" s="29" t="s">
        <v>1086</v>
      </c>
      <c r="F2319" s="36" t="str">
        <f>IFERROR(VLOOKUP(B2319,'985'!$B$2:$D$40,3,FALSE),"")</f>
        <v/>
      </c>
      <c r="G2319" s="32" t="str">
        <f>IFERROR(VLOOKUP(B2319,'211'!$B$2:$D$116,3,FALSE),"")</f>
        <v/>
      </c>
      <c r="H2319" s="32" t="str">
        <f>IFERROR(VLOOKUP(B2319,双一流!$B$2:$D$148,3,FALSE),"")</f>
        <v/>
      </c>
      <c r="I2319" s="32">
        <f>IFERROR(VLOOKUP(B2319,汇总!$B$2:$I$2921,8,FALSE),"")</f>
        <v>0</v>
      </c>
      <c r="J2319" s="29" t="s">
        <v>1700</v>
      </c>
      <c r="K2319" s="29" t="s">
        <v>12</v>
      </c>
    </row>
    <row r="2320" ht="33.75" spans="1:11">
      <c r="A2320" s="29">
        <v>2319</v>
      </c>
      <c r="B2320" s="34" t="s">
        <v>2677</v>
      </c>
      <c r="C2320" s="29" t="str">
        <f>VLOOKUP(B2320,教育部大学名单!$B$1:$D$2920,3,FALSE)</f>
        <v>云南省</v>
      </c>
      <c r="D2320" s="34" t="s">
        <v>1060</v>
      </c>
      <c r="E2320" s="34" t="s">
        <v>1061</v>
      </c>
      <c r="F2320" s="36" t="str">
        <f>IFERROR(VLOOKUP(B2320,'985'!$B$2:$D$40,3,FALSE),"")</f>
        <v/>
      </c>
      <c r="G2320" s="32" t="str">
        <f>IFERROR(VLOOKUP(B2320,'211'!$B$2:$D$116,3,FALSE),"")</f>
        <v/>
      </c>
      <c r="H2320" s="32" t="str">
        <f>IFERROR(VLOOKUP(B2320,双一流!$B$2:$D$148,3,FALSE),"")</f>
        <v/>
      </c>
      <c r="I2320" s="32" t="str">
        <f>IFERROR(VLOOKUP(B2320,汇总!$B$2:$I$2921,8,FALSE),"")</f>
        <v>综合</v>
      </c>
      <c r="J2320" s="34" t="s">
        <v>1700</v>
      </c>
      <c r="K2320" s="34" t="s">
        <v>12</v>
      </c>
    </row>
    <row r="2321" ht="33.75" spans="1:11">
      <c r="A2321" s="34">
        <v>2320</v>
      </c>
      <c r="B2321" s="29" t="s">
        <v>2678</v>
      </c>
      <c r="C2321" s="29" t="str">
        <f>VLOOKUP(B2321,教育部大学名单!$B$1:$D$2920,3,FALSE)</f>
        <v>云南省</v>
      </c>
      <c r="D2321" s="29" t="s">
        <v>1060</v>
      </c>
      <c r="E2321" s="29" t="s">
        <v>1079</v>
      </c>
      <c r="F2321" s="36" t="str">
        <f>IFERROR(VLOOKUP(B2321,'985'!$B$2:$D$40,3,FALSE),"")</f>
        <v/>
      </c>
      <c r="G2321" s="32" t="str">
        <f>IFERROR(VLOOKUP(B2321,'211'!$B$2:$D$116,3,FALSE),"")</f>
        <v/>
      </c>
      <c r="H2321" s="32" t="str">
        <f>IFERROR(VLOOKUP(B2321,双一流!$B$2:$D$148,3,FALSE),"")</f>
        <v/>
      </c>
      <c r="I2321" s="32" t="str">
        <f>IFERROR(VLOOKUP(B2321,汇总!$B$2:$I$2921,8,FALSE),"")</f>
        <v>医药</v>
      </c>
      <c r="J2321" s="29" t="s">
        <v>1700</v>
      </c>
      <c r="K2321" s="29" t="s">
        <v>12</v>
      </c>
    </row>
    <row r="2322" ht="33.75" spans="1:11">
      <c r="A2322" s="29">
        <v>2321</v>
      </c>
      <c r="B2322" s="34" t="s">
        <v>2679</v>
      </c>
      <c r="C2322" s="29" t="str">
        <f>VLOOKUP(B2322,教育部大学名单!$B$1:$D$2920,3,FALSE)</f>
        <v>云南省</v>
      </c>
      <c r="D2322" s="34" t="s">
        <v>1060</v>
      </c>
      <c r="E2322" s="34" t="s">
        <v>1067</v>
      </c>
      <c r="F2322" s="36" t="str">
        <f>IFERROR(VLOOKUP(B2322,'985'!$B$2:$D$40,3,FALSE),"")</f>
        <v/>
      </c>
      <c r="G2322" s="32" t="str">
        <f>IFERROR(VLOOKUP(B2322,'211'!$B$2:$D$116,3,FALSE),"")</f>
        <v/>
      </c>
      <c r="H2322" s="32" t="str">
        <f>IFERROR(VLOOKUP(B2322,双一流!$B$2:$D$148,3,FALSE),"")</f>
        <v/>
      </c>
      <c r="I2322" s="32" t="str">
        <f>IFERROR(VLOOKUP(B2322,汇总!$B$2:$I$2921,8,FALSE),"")</f>
        <v>农林</v>
      </c>
      <c r="J2322" s="34" t="s">
        <v>1700</v>
      </c>
      <c r="K2322" s="34" t="s">
        <v>12</v>
      </c>
    </row>
    <row r="2323" ht="50.25" spans="1:11">
      <c r="A2323" s="34">
        <v>2322</v>
      </c>
      <c r="B2323" s="29" t="s">
        <v>2680</v>
      </c>
      <c r="C2323" s="29" t="str">
        <f>VLOOKUP(B2323,教育部大学名单!$B$1:$D$2920,3,FALSE)</f>
        <v>应急管理部</v>
      </c>
      <c r="D2323" s="29" t="s">
        <v>1060</v>
      </c>
      <c r="E2323" s="29" t="s">
        <v>1061</v>
      </c>
      <c r="F2323" s="36" t="str">
        <f>IFERROR(VLOOKUP(B2323,'985'!$B$2:$D$40,3,FALSE),"")</f>
        <v/>
      </c>
      <c r="G2323" s="32" t="str">
        <f>IFERROR(VLOOKUP(B2323,'211'!$B$2:$D$116,3,FALSE),"")</f>
        <v/>
      </c>
      <c r="H2323" s="32" t="str">
        <f>IFERROR(VLOOKUP(B2323,双一流!$B$2:$D$148,3,FALSE),"")</f>
        <v/>
      </c>
      <c r="I2323" s="32" t="str">
        <f>IFERROR(VLOOKUP(B2323,汇总!$B$2:$I$2921,8,FALSE),"")</f>
        <v>政法</v>
      </c>
      <c r="J2323" s="29" t="s">
        <v>1700</v>
      </c>
      <c r="K2323" s="29" t="s">
        <v>12</v>
      </c>
    </row>
    <row r="2324" ht="33.75" spans="1:11">
      <c r="A2324" s="29">
        <v>2323</v>
      </c>
      <c r="B2324" s="34" t="s">
        <v>2681</v>
      </c>
      <c r="C2324" s="29" t="str">
        <f>VLOOKUP(B2324,教育部大学名单!$B$1:$D$2920,3,FALSE)</f>
        <v>云南省</v>
      </c>
      <c r="D2324" s="34" t="s">
        <v>1060</v>
      </c>
      <c r="E2324" s="34" t="s">
        <v>1061</v>
      </c>
      <c r="F2324" s="36" t="str">
        <f>IFERROR(VLOOKUP(B2324,'985'!$B$2:$D$40,3,FALSE),"")</f>
        <v/>
      </c>
      <c r="G2324" s="32" t="str">
        <f>IFERROR(VLOOKUP(B2324,'211'!$B$2:$D$116,3,FALSE),"")</f>
        <v/>
      </c>
      <c r="H2324" s="32" t="str">
        <f>IFERROR(VLOOKUP(B2324,双一流!$B$2:$D$148,3,FALSE),"")</f>
        <v/>
      </c>
      <c r="I2324" s="32" t="str">
        <f>IFERROR(VLOOKUP(B2324,汇总!$B$2:$I$2921,8,FALSE),"")</f>
        <v>财经</v>
      </c>
      <c r="J2324" s="34" t="s">
        <v>1700</v>
      </c>
      <c r="K2324" s="34" t="s">
        <v>12</v>
      </c>
    </row>
    <row r="2325" ht="33.75" spans="1:11">
      <c r="A2325" s="34">
        <v>2324</v>
      </c>
      <c r="B2325" s="29" t="s">
        <v>2682</v>
      </c>
      <c r="C2325" s="29" t="str">
        <f>VLOOKUP(B2325,教育部大学名单!$B$1:$D$2920,3,FALSE)</f>
        <v>云南省</v>
      </c>
      <c r="D2325" s="29" t="s">
        <v>1060</v>
      </c>
      <c r="E2325" s="29" t="s">
        <v>1061</v>
      </c>
      <c r="F2325" s="36" t="str">
        <f>IFERROR(VLOOKUP(B2325,'985'!$B$2:$D$40,3,FALSE),"")</f>
        <v/>
      </c>
      <c r="G2325" s="32" t="str">
        <f>IFERROR(VLOOKUP(B2325,'211'!$B$2:$D$116,3,FALSE),"")</f>
        <v/>
      </c>
      <c r="H2325" s="32" t="str">
        <f>IFERROR(VLOOKUP(B2325,双一流!$B$2:$D$148,3,FALSE),"")</f>
        <v/>
      </c>
      <c r="I2325" s="32" t="str">
        <f>IFERROR(VLOOKUP(B2325,汇总!$B$2:$I$2921,8,FALSE),"")</f>
        <v>理工</v>
      </c>
      <c r="J2325" s="29" t="s">
        <v>1700</v>
      </c>
      <c r="K2325" s="29" t="s">
        <v>12</v>
      </c>
    </row>
    <row r="2326" ht="33.75" spans="1:11">
      <c r="A2326" s="29">
        <v>2325</v>
      </c>
      <c r="B2326" s="34" t="s">
        <v>2683</v>
      </c>
      <c r="C2326" s="29" t="str">
        <f>VLOOKUP(B2326,教育部大学名单!$B$1:$D$2920,3,FALSE)</f>
        <v>云南省</v>
      </c>
      <c r="D2326" s="34" t="s">
        <v>1060</v>
      </c>
      <c r="E2326" s="34" t="s">
        <v>1071</v>
      </c>
      <c r="F2326" s="36" t="str">
        <f>IFERROR(VLOOKUP(B2326,'985'!$B$2:$D$40,3,FALSE),"")</f>
        <v/>
      </c>
      <c r="G2326" s="32" t="str">
        <f>IFERROR(VLOOKUP(B2326,'211'!$B$2:$D$116,3,FALSE),"")</f>
        <v/>
      </c>
      <c r="H2326" s="32" t="str">
        <f>IFERROR(VLOOKUP(B2326,双一流!$B$2:$D$148,3,FALSE),"")</f>
        <v/>
      </c>
      <c r="I2326" s="32">
        <f>IFERROR(VLOOKUP(B2326,汇总!$B$2:$I$2921,8,FALSE),"")</f>
        <v>0</v>
      </c>
      <c r="J2326" s="34" t="s">
        <v>1700</v>
      </c>
      <c r="K2326" s="34" t="s">
        <v>12</v>
      </c>
    </row>
    <row r="2327" ht="33.75" spans="1:11">
      <c r="A2327" s="34">
        <v>2326</v>
      </c>
      <c r="B2327" s="29" t="s">
        <v>2684</v>
      </c>
      <c r="C2327" s="29" t="str">
        <f>VLOOKUP(B2327,教育部大学名单!$B$1:$D$2920,3,FALSE)</f>
        <v>云南省</v>
      </c>
      <c r="D2327" s="29" t="s">
        <v>1060</v>
      </c>
      <c r="E2327" s="29" t="s">
        <v>1067</v>
      </c>
      <c r="F2327" s="36" t="str">
        <f>IFERROR(VLOOKUP(B2327,'985'!$B$2:$D$40,3,FALSE),"")</f>
        <v/>
      </c>
      <c r="G2327" s="32" t="str">
        <f>IFERROR(VLOOKUP(B2327,'211'!$B$2:$D$116,3,FALSE),"")</f>
        <v/>
      </c>
      <c r="H2327" s="32" t="str">
        <f>IFERROR(VLOOKUP(B2327,双一流!$B$2:$D$148,3,FALSE),"")</f>
        <v/>
      </c>
      <c r="I2327" s="32">
        <f>IFERROR(VLOOKUP(B2327,汇总!$B$2:$I$2921,8,FALSE),"")</f>
        <v>0</v>
      </c>
      <c r="J2327" s="29" t="s">
        <v>1700</v>
      </c>
      <c r="K2327" s="29" t="s">
        <v>12</v>
      </c>
    </row>
    <row r="2328" ht="33.75" spans="1:11">
      <c r="A2328" s="29">
        <v>2327</v>
      </c>
      <c r="B2328" s="34" t="s">
        <v>2685</v>
      </c>
      <c r="C2328" s="29" t="str">
        <f>VLOOKUP(B2328,教育部大学名单!$B$1:$D$2920,3,FALSE)</f>
        <v>云南省</v>
      </c>
      <c r="D2328" s="34" t="s">
        <v>1060</v>
      </c>
      <c r="E2328" s="34" t="s">
        <v>1061</v>
      </c>
      <c r="F2328" s="36" t="str">
        <f>IFERROR(VLOOKUP(B2328,'985'!$B$2:$D$40,3,FALSE),"")</f>
        <v/>
      </c>
      <c r="G2328" s="32" t="str">
        <f>IFERROR(VLOOKUP(B2328,'211'!$B$2:$D$116,3,FALSE),"")</f>
        <v/>
      </c>
      <c r="H2328" s="32" t="str">
        <f>IFERROR(VLOOKUP(B2328,双一流!$B$2:$D$148,3,FALSE),"")</f>
        <v/>
      </c>
      <c r="I2328" s="32" t="str">
        <f>IFERROR(VLOOKUP(B2328,汇总!$B$2:$I$2921,8,FALSE),"")</f>
        <v>理工</v>
      </c>
      <c r="J2328" s="34" t="s">
        <v>1700</v>
      </c>
      <c r="K2328" s="34" t="s">
        <v>12</v>
      </c>
    </row>
    <row r="2329" ht="33.75" spans="1:11">
      <c r="A2329" s="34">
        <v>2328</v>
      </c>
      <c r="B2329" s="29" t="s">
        <v>2686</v>
      </c>
      <c r="C2329" s="29" t="str">
        <f>VLOOKUP(B2329,教育部大学名单!$B$1:$D$2920,3,FALSE)</f>
        <v>云南省</v>
      </c>
      <c r="D2329" s="29" t="s">
        <v>1060</v>
      </c>
      <c r="E2329" s="29" t="s">
        <v>1061</v>
      </c>
      <c r="F2329" s="36" t="str">
        <f>IFERROR(VLOOKUP(B2329,'985'!$B$2:$D$40,3,FALSE),"")</f>
        <v/>
      </c>
      <c r="G2329" s="32" t="str">
        <f>IFERROR(VLOOKUP(B2329,'211'!$B$2:$D$116,3,FALSE),"")</f>
        <v/>
      </c>
      <c r="H2329" s="32" t="str">
        <f>IFERROR(VLOOKUP(B2329,双一流!$B$2:$D$148,3,FALSE),"")</f>
        <v/>
      </c>
      <c r="I2329" s="32">
        <f>IFERROR(VLOOKUP(B2329,汇总!$B$2:$I$2921,8,FALSE),"")</f>
        <v>0</v>
      </c>
      <c r="J2329" s="29" t="s">
        <v>1700</v>
      </c>
      <c r="K2329" s="29" t="s">
        <v>12</v>
      </c>
    </row>
    <row r="2330" ht="33.75" spans="1:11">
      <c r="A2330" s="29">
        <v>2329</v>
      </c>
      <c r="B2330" s="34" t="s">
        <v>2687</v>
      </c>
      <c r="C2330" s="29" t="str">
        <f>VLOOKUP(B2330,教育部大学名单!$B$1:$D$2920,3,FALSE)</f>
        <v>云南省</v>
      </c>
      <c r="D2330" s="34" t="s">
        <v>1060</v>
      </c>
      <c r="E2330" s="34" t="s">
        <v>1061</v>
      </c>
      <c r="F2330" s="36" t="str">
        <f>IFERROR(VLOOKUP(B2330,'985'!$B$2:$D$40,3,FALSE),"")</f>
        <v/>
      </c>
      <c r="G2330" s="32" t="str">
        <f>IFERROR(VLOOKUP(B2330,'211'!$B$2:$D$116,3,FALSE),"")</f>
        <v/>
      </c>
      <c r="H2330" s="32" t="str">
        <f>IFERROR(VLOOKUP(B2330,双一流!$B$2:$D$148,3,FALSE),"")</f>
        <v/>
      </c>
      <c r="I2330" s="32">
        <f>IFERROR(VLOOKUP(B2330,汇总!$B$2:$I$2921,8,FALSE),"")</f>
        <v>0</v>
      </c>
      <c r="J2330" s="34" t="s">
        <v>1700</v>
      </c>
      <c r="K2330" s="34" t="s">
        <v>12</v>
      </c>
    </row>
    <row r="2331" ht="33.75" spans="1:11">
      <c r="A2331" s="34">
        <v>2330</v>
      </c>
      <c r="B2331" s="29" t="s">
        <v>2688</v>
      </c>
      <c r="C2331" s="29" t="str">
        <f>VLOOKUP(B2331,教育部大学名单!$B$1:$D$2920,3,FALSE)</f>
        <v>云南省</v>
      </c>
      <c r="D2331" s="29" t="s">
        <v>1060</v>
      </c>
      <c r="E2331" s="29" t="s">
        <v>1061</v>
      </c>
      <c r="F2331" s="36" t="str">
        <f>IFERROR(VLOOKUP(B2331,'985'!$B$2:$D$40,3,FALSE),"")</f>
        <v/>
      </c>
      <c r="G2331" s="32" t="str">
        <f>IFERROR(VLOOKUP(B2331,'211'!$B$2:$D$116,3,FALSE),"")</f>
        <v/>
      </c>
      <c r="H2331" s="32" t="str">
        <f>IFERROR(VLOOKUP(B2331,双一流!$B$2:$D$148,3,FALSE),"")</f>
        <v/>
      </c>
      <c r="I2331" s="32" t="str">
        <f>IFERROR(VLOOKUP(B2331,汇总!$B$2:$I$2921,8,FALSE),"")</f>
        <v>综合</v>
      </c>
      <c r="J2331" s="29" t="s">
        <v>1700</v>
      </c>
      <c r="K2331" s="29" t="s">
        <v>12</v>
      </c>
    </row>
    <row r="2332" ht="33.75" spans="1:11">
      <c r="A2332" s="29">
        <v>2331</v>
      </c>
      <c r="B2332" s="34" t="s">
        <v>2689</v>
      </c>
      <c r="C2332" s="29" t="str">
        <f>VLOOKUP(B2332,教育部大学名单!$B$1:$D$2920,3,FALSE)</f>
        <v>云南省</v>
      </c>
      <c r="D2332" s="34" t="s">
        <v>1060</v>
      </c>
      <c r="E2332" s="34" t="s">
        <v>1061</v>
      </c>
      <c r="F2332" s="36" t="str">
        <f>IFERROR(VLOOKUP(B2332,'985'!$B$2:$D$40,3,FALSE),"")</f>
        <v/>
      </c>
      <c r="G2332" s="32" t="str">
        <f>IFERROR(VLOOKUP(B2332,'211'!$B$2:$D$116,3,FALSE),"")</f>
        <v/>
      </c>
      <c r="H2332" s="32" t="str">
        <f>IFERROR(VLOOKUP(B2332,双一流!$B$2:$D$148,3,FALSE),"")</f>
        <v/>
      </c>
      <c r="I2332" s="32" t="str">
        <f>IFERROR(VLOOKUP(B2332,汇总!$B$2:$I$2921,8,FALSE),"")</f>
        <v>综合</v>
      </c>
      <c r="J2332" s="34" t="s">
        <v>1700</v>
      </c>
      <c r="K2332" s="34" t="s">
        <v>12</v>
      </c>
    </row>
    <row r="2333" ht="50.25" spans="1:11">
      <c r="A2333" s="34">
        <v>2332</v>
      </c>
      <c r="B2333" s="29" t="s">
        <v>2690</v>
      </c>
      <c r="C2333" s="29" t="str">
        <f>VLOOKUP(B2333,教育部大学名单!$B$1:$D$2920,3,FALSE)</f>
        <v>云南省</v>
      </c>
      <c r="D2333" s="29" t="s">
        <v>1060</v>
      </c>
      <c r="E2333" s="29" t="s">
        <v>1061</v>
      </c>
      <c r="F2333" s="36" t="str">
        <f>IFERROR(VLOOKUP(B2333,'985'!$B$2:$D$40,3,FALSE),"")</f>
        <v/>
      </c>
      <c r="G2333" s="32" t="str">
        <f>IFERROR(VLOOKUP(B2333,'211'!$B$2:$D$116,3,FALSE),"")</f>
        <v/>
      </c>
      <c r="H2333" s="32" t="str">
        <f>IFERROR(VLOOKUP(B2333,双一流!$B$2:$D$148,3,FALSE),"")</f>
        <v/>
      </c>
      <c r="I2333" s="32">
        <f>IFERROR(VLOOKUP(B2333,汇总!$B$2:$I$2921,8,FALSE),"")</f>
        <v>0</v>
      </c>
      <c r="J2333" s="29" t="s">
        <v>1700</v>
      </c>
      <c r="K2333" s="29" t="s">
        <v>12</v>
      </c>
    </row>
    <row r="2334" ht="33.75" spans="1:11">
      <c r="A2334" s="29">
        <v>2333</v>
      </c>
      <c r="B2334" s="34" t="s">
        <v>2691</v>
      </c>
      <c r="C2334" s="29" t="str">
        <f>VLOOKUP(B2334,教育部大学名单!$B$1:$D$2920,3,FALSE)</f>
        <v>云南省</v>
      </c>
      <c r="D2334" s="34" t="s">
        <v>1060</v>
      </c>
      <c r="E2334" s="34" t="s">
        <v>1073</v>
      </c>
      <c r="F2334" s="36" t="str">
        <f>IFERROR(VLOOKUP(B2334,'985'!$B$2:$D$40,3,FALSE),"")</f>
        <v/>
      </c>
      <c r="G2334" s="32" t="str">
        <f>IFERROR(VLOOKUP(B2334,'211'!$B$2:$D$116,3,FALSE),"")</f>
        <v/>
      </c>
      <c r="H2334" s="32" t="str">
        <f>IFERROR(VLOOKUP(B2334,双一流!$B$2:$D$148,3,FALSE),"")</f>
        <v/>
      </c>
      <c r="I2334" s="32">
        <f>IFERROR(VLOOKUP(B2334,汇总!$B$2:$I$2921,8,FALSE),"")</f>
        <v>0</v>
      </c>
      <c r="J2334" s="34" t="s">
        <v>1700</v>
      </c>
      <c r="K2334" s="34" t="s">
        <v>12</v>
      </c>
    </row>
    <row r="2335" ht="33.75" spans="1:11">
      <c r="A2335" s="34">
        <v>2334</v>
      </c>
      <c r="B2335" s="29" t="s">
        <v>2692</v>
      </c>
      <c r="C2335" s="29" t="str">
        <f>VLOOKUP(B2335,教育部大学名单!$B$1:$D$2920,3,FALSE)</f>
        <v>云南省</v>
      </c>
      <c r="D2335" s="29" t="s">
        <v>1060</v>
      </c>
      <c r="E2335" s="29" t="s">
        <v>1079</v>
      </c>
      <c r="F2335" s="36" t="str">
        <f>IFERROR(VLOOKUP(B2335,'985'!$B$2:$D$40,3,FALSE),"")</f>
        <v/>
      </c>
      <c r="G2335" s="32" t="str">
        <f>IFERROR(VLOOKUP(B2335,'211'!$B$2:$D$116,3,FALSE),"")</f>
        <v/>
      </c>
      <c r="H2335" s="32" t="str">
        <f>IFERROR(VLOOKUP(B2335,双一流!$B$2:$D$148,3,FALSE),"")</f>
        <v/>
      </c>
      <c r="I2335" s="32">
        <f>IFERROR(VLOOKUP(B2335,汇总!$B$2:$I$2921,8,FALSE),"")</f>
        <v>0</v>
      </c>
      <c r="J2335" s="29" t="s">
        <v>1700</v>
      </c>
      <c r="K2335" s="29" t="s">
        <v>12</v>
      </c>
    </row>
    <row r="2336" ht="33.75" spans="1:11">
      <c r="A2336" s="29">
        <v>2335</v>
      </c>
      <c r="B2336" s="34" t="s">
        <v>2693</v>
      </c>
      <c r="C2336" s="29" t="str">
        <f>VLOOKUP(B2336,教育部大学名单!$B$1:$D$2920,3,FALSE)</f>
        <v>西藏自治区</v>
      </c>
      <c r="D2336" s="34" t="s">
        <v>1101</v>
      </c>
      <c r="E2336" s="34" t="s">
        <v>1104</v>
      </c>
      <c r="F2336" s="36" t="str">
        <f>IFERROR(VLOOKUP(B2336,'985'!$B$2:$D$40,3,FALSE),"")</f>
        <v/>
      </c>
      <c r="G2336" s="32" t="str">
        <f>IFERROR(VLOOKUP(B2336,'211'!$B$2:$D$116,3,FALSE),"")</f>
        <v/>
      </c>
      <c r="H2336" s="32" t="str">
        <f>IFERROR(VLOOKUP(B2336,双一流!$B$2:$D$148,3,FALSE),"")</f>
        <v/>
      </c>
      <c r="I2336" s="32" t="str">
        <f>IFERROR(VLOOKUP(B2336,汇总!$B$2:$I$2921,8,FALSE),"")</f>
        <v>政法</v>
      </c>
      <c r="J2336" s="34" t="s">
        <v>1700</v>
      </c>
      <c r="K2336" s="34" t="s">
        <v>12</v>
      </c>
    </row>
    <row r="2337" ht="33.75" spans="1:11">
      <c r="A2337" s="34">
        <v>2336</v>
      </c>
      <c r="B2337" s="29" t="s">
        <v>2694</v>
      </c>
      <c r="C2337" s="29" t="str">
        <f>VLOOKUP(B2337,教育部大学名单!$B$1:$D$2920,3,FALSE)</f>
        <v>西藏自治区</v>
      </c>
      <c r="D2337" s="29" t="s">
        <v>1101</v>
      </c>
      <c r="E2337" s="29" t="s">
        <v>1104</v>
      </c>
      <c r="F2337" s="36" t="str">
        <f>IFERROR(VLOOKUP(B2337,'985'!$B$2:$D$40,3,FALSE),"")</f>
        <v/>
      </c>
      <c r="G2337" s="32" t="str">
        <f>IFERROR(VLOOKUP(B2337,'211'!$B$2:$D$116,3,FALSE),"")</f>
        <v/>
      </c>
      <c r="H2337" s="32" t="str">
        <f>IFERROR(VLOOKUP(B2337,双一流!$B$2:$D$148,3,FALSE),"")</f>
        <v/>
      </c>
      <c r="I2337" s="32" t="str">
        <f>IFERROR(VLOOKUP(B2337,汇总!$B$2:$I$2921,8,FALSE),"")</f>
        <v>综合</v>
      </c>
      <c r="J2337" s="29" t="s">
        <v>1700</v>
      </c>
      <c r="K2337" s="29" t="s">
        <v>12</v>
      </c>
    </row>
    <row r="2338" ht="33.75" spans="1:11">
      <c r="A2338" s="29">
        <v>2337</v>
      </c>
      <c r="B2338" s="34" t="s">
        <v>2695</v>
      </c>
      <c r="C2338" s="29" t="str">
        <f>VLOOKUP(B2338,教育部大学名单!$B$1:$D$2920,3,FALSE)</f>
        <v>陕西省</v>
      </c>
      <c r="D2338" s="34" t="s">
        <v>1106</v>
      </c>
      <c r="E2338" s="34" t="s">
        <v>1111</v>
      </c>
      <c r="F2338" s="36" t="str">
        <f>IFERROR(VLOOKUP(B2338,'985'!$B$2:$D$40,3,FALSE),"")</f>
        <v/>
      </c>
      <c r="G2338" s="32" t="str">
        <f>IFERROR(VLOOKUP(B2338,'211'!$B$2:$D$116,3,FALSE),"")</f>
        <v/>
      </c>
      <c r="H2338" s="32" t="str">
        <f>IFERROR(VLOOKUP(B2338,双一流!$B$2:$D$148,3,FALSE),"")</f>
        <v/>
      </c>
      <c r="I2338" s="32" t="str">
        <f>IFERROR(VLOOKUP(B2338,汇总!$B$2:$I$2921,8,FALSE),"")</f>
        <v>理工</v>
      </c>
      <c r="J2338" s="34" t="s">
        <v>1700</v>
      </c>
      <c r="K2338" s="34" t="s">
        <v>12</v>
      </c>
    </row>
    <row r="2339" ht="33.75" spans="1:11">
      <c r="A2339" s="34">
        <v>2338</v>
      </c>
      <c r="B2339" s="29" t="s">
        <v>2696</v>
      </c>
      <c r="C2339" s="29" t="str">
        <f>VLOOKUP(B2339,教育部大学名单!$B$1:$D$2920,3,FALSE)</f>
        <v>陕西省</v>
      </c>
      <c r="D2339" s="29" t="s">
        <v>1106</v>
      </c>
      <c r="E2339" s="29" t="s">
        <v>1107</v>
      </c>
      <c r="F2339" s="36" t="str">
        <f>IFERROR(VLOOKUP(B2339,'985'!$B$2:$D$40,3,FALSE),"")</f>
        <v/>
      </c>
      <c r="G2339" s="32" t="str">
        <f>IFERROR(VLOOKUP(B2339,'211'!$B$2:$D$116,3,FALSE),"")</f>
        <v/>
      </c>
      <c r="H2339" s="32" t="str">
        <f>IFERROR(VLOOKUP(B2339,双一流!$B$2:$D$148,3,FALSE),"")</f>
        <v/>
      </c>
      <c r="I2339" s="32" t="str">
        <f>IFERROR(VLOOKUP(B2339,汇总!$B$2:$I$2921,8,FALSE),"")</f>
        <v>理工</v>
      </c>
      <c r="J2339" s="29" t="s">
        <v>1700</v>
      </c>
      <c r="K2339" s="29" t="s">
        <v>12</v>
      </c>
    </row>
    <row r="2340" ht="50.25" spans="1:11">
      <c r="A2340" s="29">
        <v>2339</v>
      </c>
      <c r="B2340" s="34" t="s">
        <v>2697</v>
      </c>
      <c r="C2340" s="29" t="str">
        <f>VLOOKUP(B2340,教育部大学名单!$B$1:$D$2920,3,FALSE)</f>
        <v>陕西省</v>
      </c>
      <c r="D2340" s="34" t="s">
        <v>1106</v>
      </c>
      <c r="E2340" s="34" t="s">
        <v>1111</v>
      </c>
      <c r="F2340" s="36" t="str">
        <f>IFERROR(VLOOKUP(B2340,'985'!$B$2:$D$40,3,FALSE),"")</f>
        <v/>
      </c>
      <c r="G2340" s="32" t="str">
        <f>IFERROR(VLOOKUP(B2340,'211'!$B$2:$D$116,3,FALSE),"")</f>
        <v/>
      </c>
      <c r="H2340" s="32" t="str">
        <f>IFERROR(VLOOKUP(B2340,双一流!$B$2:$D$148,3,FALSE),"")</f>
        <v/>
      </c>
      <c r="I2340" s="32" t="str">
        <f>IFERROR(VLOOKUP(B2340,汇总!$B$2:$I$2921,8,FALSE),"")</f>
        <v>理工</v>
      </c>
      <c r="J2340" s="34" t="s">
        <v>1700</v>
      </c>
      <c r="K2340" s="34" t="s">
        <v>12</v>
      </c>
    </row>
    <row r="2341" ht="33.75" spans="1:11">
      <c r="A2341" s="34">
        <v>2340</v>
      </c>
      <c r="B2341" s="29" t="s">
        <v>2698</v>
      </c>
      <c r="C2341" s="29" t="str">
        <f>VLOOKUP(B2341,教育部大学名单!$B$1:$D$2920,3,FALSE)</f>
        <v>陕西省</v>
      </c>
      <c r="D2341" s="29" t="s">
        <v>1106</v>
      </c>
      <c r="E2341" s="29" t="s">
        <v>1111</v>
      </c>
      <c r="F2341" s="36" t="str">
        <f>IFERROR(VLOOKUP(B2341,'985'!$B$2:$D$40,3,FALSE),"")</f>
        <v/>
      </c>
      <c r="G2341" s="32" t="str">
        <f>IFERROR(VLOOKUP(B2341,'211'!$B$2:$D$116,3,FALSE),"")</f>
        <v/>
      </c>
      <c r="H2341" s="32" t="str">
        <f>IFERROR(VLOOKUP(B2341,双一流!$B$2:$D$148,3,FALSE),"")</f>
        <v/>
      </c>
      <c r="I2341" s="32" t="str">
        <f>IFERROR(VLOOKUP(B2341,汇总!$B$2:$I$2921,8,FALSE),"")</f>
        <v>理工</v>
      </c>
      <c r="J2341" s="29" t="s">
        <v>1700</v>
      </c>
      <c r="K2341" s="29" t="s">
        <v>12</v>
      </c>
    </row>
    <row r="2342" ht="33.75" spans="1:11">
      <c r="A2342" s="29">
        <v>2341</v>
      </c>
      <c r="B2342" s="34" t="s">
        <v>2699</v>
      </c>
      <c r="C2342" s="29" t="str">
        <f>VLOOKUP(B2342,教育部大学名单!$B$1:$D$2920,3,FALSE)</f>
        <v>陕西省</v>
      </c>
      <c r="D2342" s="34" t="s">
        <v>1106</v>
      </c>
      <c r="E2342" s="34" t="s">
        <v>1107</v>
      </c>
      <c r="F2342" s="36" t="str">
        <f>IFERROR(VLOOKUP(B2342,'985'!$B$2:$D$40,3,FALSE),"")</f>
        <v/>
      </c>
      <c r="G2342" s="32" t="str">
        <f>IFERROR(VLOOKUP(B2342,'211'!$B$2:$D$116,3,FALSE),"")</f>
        <v/>
      </c>
      <c r="H2342" s="32" t="str">
        <f>IFERROR(VLOOKUP(B2342,双一流!$B$2:$D$148,3,FALSE),"")</f>
        <v/>
      </c>
      <c r="I2342" s="32" t="str">
        <f>IFERROR(VLOOKUP(B2342,汇总!$B$2:$I$2921,8,FALSE),"")</f>
        <v>财经</v>
      </c>
      <c r="J2342" s="34" t="s">
        <v>1700</v>
      </c>
      <c r="K2342" s="34" t="s">
        <v>12</v>
      </c>
    </row>
    <row r="2343" ht="33.75" spans="1:11">
      <c r="A2343" s="34">
        <v>2342</v>
      </c>
      <c r="B2343" s="29" t="s">
        <v>2700</v>
      </c>
      <c r="C2343" s="29" t="str">
        <f>VLOOKUP(B2343,教育部大学名单!$B$1:$D$2920,3,FALSE)</f>
        <v>陕西省</v>
      </c>
      <c r="D2343" s="29" t="s">
        <v>1106</v>
      </c>
      <c r="E2343" s="29" t="s">
        <v>1111</v>
      </c>
      <c r="F2343" s="36" t="str">
        <f>IFERROR(VLOOKUP(B2343,'985'!$B$2:$D$40,3,FALSE),"")</f>
        <v/>
      </c>
      <c r="G2343" s="32" t="str">
        <f>IFERROR(VLOOKUP(B2343,'211'!$B$2:$D$116,3,FALSE),"")</f>
        <v/>
      </c>
      <c r="H2343" s="32" t="str">
        <f>IFERROR(VLOOKUP(B2343,双一流!$B$2:$D$148,3,FALSE),"")</f>
        <v/>
      </c>
      <c r="I2343" s="32" t="str">
        <f>IFERROR(VLOOKUP(B2343,汇总!$B$2:$I$2921,8,FALSE),"")</f>
        <v>理工</v>
      </c>
      <c r="J2343" s="29" t="s">
        <v>1700</v>
      </c>
      <c r="K2343" s="29" t="s">
        <v>12</v>
      </c>
    </row>
    <row r="2344" ht="33.75" spans="1:11">
      <c r="A2344" s="29">
        <v>2343</v>
      </c>
      <c r="B2344" s="34" t="s">
        <v>2701</v>
      </c>
      <c r="C2344" s="29" t="str">
        <f>VLOOKUP(B2344,教育部大学名单!$B$1:$D$2920,3,FALSE)</f>
        <v>陕西省</v>
      </c>
      <c r="D2344" s="34" t="s">
        <v>1106</v>
      </c>
      <c r="E2344" s="34" t="s">
        <v>1111</v>
      </c>
      <c r="F2344" s="36" t="str">
        <f>IFERROR(VLOOKUP(B2344,'985'!$B$2:$D$40,3,FALSE),"")</f>
        <v/>
      </c>
      <c r="G2344" s="32" t="str">
        <f>IFERROR(VLOOKUP(B2344,'211'!$B$2:$D$116,3,FALSE),"")</f>
        <v/>
      </c>
      <c r="H2344" s="32" t="str">
        <f>IFERROR(VLOOKUP(B2344,双一流!$B$2:$D$148,3,FALSE),"")</f>
        <v/>
      </c>
      <c r="I2344" s="32" t="str">
        <f>IFERROR(VLOOKUP(B2344,汇总!$B$2:$I$2921,8,FALSE),"")</f>
        <v>综合</v>
      </c>
      <c r="J2344" s="34" t="s">
        <v>1700</v>
      </c>
      <c r="K2344" s="34" t="s">
        <v>12</v>
      </c>
    </row>
    <row r="2345" ht="50.25" spans="1:11">
      <c r="A2345" s="34">
        <v>2344</v>
      </c>
      <c r="B2345" s="29" t="s">
        <v>2702</v>
      </c>
      <c r="C2345" s="29" t="str">
        <f>VLOOKUP(B2345,教育部大学名单!$B$1:$D$2920,3,FALSE)</f>
        <v>陕西省</v>
      </c>
      <c r="D2345" s="29" t="s">
        <v>1106</v>
      </c>
      <c r="E2345" s="29" t="s">
        <v>1134</v>
      </c>
      <c r="F2345" s="36" t="str">
        <f>IFERROR(VLOOKUP(B2345,'985'!$B$2:$D$40,3,FALSE),"")</f>
        <v/>
      </c>
      <c r="G2345" s="32" t="str">
        <f>IFERROR(VLOOKUP(B2345,'211'!$B$2:$D$116,3,FALSE),"")</f>
        <v/>
      </c>
      <c r="H2345" s="32" t="str">
        <f>IFERROR(VLOOKUP(B2345,双一流!$B$2:$D$148,3,FALSE),"")</f>
        <v/>
      </c>
      <c r="I2345" s="32" t="str">
        <f>IFERROR(VLOOKUP(B2345,汇总!$B$2:$I$2921,8,FALSE),"")</f>
        <v>理工</v>
      </c>
      <c r="J2345" s="29" t="s">
        <v>1700</v>
      </c>
      <c r="K2345" s="29" t="s">
        <v>12</v>
      </c>
    </row>
    <row r="2346" ht="33.75" spans="1:11">
      <c r="A2346" s="29">
        <v>2345</v>
      </c>
      <c r="B2346" s="34" t="s">
        <v>2703</v>
      </c>
      <c r="C2346" s="29" t="str">
        <f>VLOOKUP(B2346,教育部大学名单!$B$1:$D$2920,3,FALSE)</f>
        <v>陕西省</v>
      </c>
      <c r="D2346" s="34" t="s">
        <v>1106</v>
      </c>
      <c r="E2346" s="34" t="s">
        <v>1131</v>
      </c>
      <c r="F2346" s="36" t="str">
        <f>IFERROR(VLOOKUP(B2346,'985'!$B$2:$D$40,3,FALSE),"")</f>
        <v/>
      </c>
      <c r="G2346" s="32" t="str">
        <f>IFERROR(VLOOKUP(B2346,'211'!$B$2:$D$116,3,FALSE),"")</f>
        <v/>
      </c>
      <c r="H2346" s="32" t="str">
        <f>IFERROR(VLOOKUP(B2346,双一流!$B$2:$D$148,3,FALSE),"")</f>
        <v/>
      </c>
      <c r="I2346" s="32" t="str">
        <f>IFERROR(VLOOKUP(B2346,汇总!$B$2:$I$2921,8,FALSE),"")</f>
        <v>综合</v>
      </c>
      <c r="J2346" s="34" t="s">
        <v>1700</v>
      </c>
      <c r="K2346" s="34" t="s">
        <v>12</v>
      </c>
    </row>
    <row r="2347" ht="33.75" spans="1:11">
      <c r="A2347" s="34">
        <v>2346</v>
      </c>
      <c r="B2347" s="29" t="s">
        <v>2704</v>
      </c>
      <c r="C2347" s="29" t="str">
        <f>VLOOKUP(B2347,教育部大学名单!$B$1:$D$2920,3,FALSE)</f>
        <v>陕西省</v>
      </c>
      <c r="D2347" s="29" t="s">
        <v>1106</v>
      </c>
      <c r="E2347" s="29" t="s">
        <v>1129</v>
      </c>
      <c r="F2347" s="36" t="str">
        <f>IFERROR(VLOOKUP(B2347,'985'!$B$2:$D$40,3,FALSE),"")</f>
        <v/>
      </c>
      <c r="G2347" s="32" t="str">
        <f>IFERROR(VLOOKUP(B2347,'211'!$B$2:$D$116,3,FALSE),"")</f>
        <v/>
      </c>
      <c r="H2347" s="32" t="str">
        <f>IFERROR(VLOOKUP(B2347,双一流!$B$2:$D$148,3,FALSE),"")</f>
        <v/>
      </c>
      <c r="I2347" s="32" t="str">
        <f>IFERROR(VLOOKUP(B2347,汇总!$B$2:$I$2921,8,FALSE),"")</f>
        <v>理工</v>
      </c>
      <c r="J2347" s="29" t="s">
        <v>1700</v>
      </c>
      <c r="K2347" s="29" t="s">
        <v>12</v>
      </c>
    </row>
    <row r="2348" ht="33.75" spans="1:11">
      <c r="A2348" s="29">
        <v>2347</v>
      </c>
      <c r="B2348" s="34" t="s">
        <v>2705</v>
      </c>
      <c r="C2348" s="29" t="str">
        <f>VLOOKUP(B2348,教育部大学名单!$B$1:$D$2920,3,FALSE)</f>
        <v>陕西省</v>
      </c>
      <c r="D2348" s="34" t="s">
        <v>1106</v>
      </c>
      <c r="E2348" s="34" t="s">
        <v>1107</v>
      </c>
      <c r="F2348" s="36" t="str">
        <f>IFERROR(VLOOKUP(B2348,'985'!$B$2:$D$40,3,FALSE),"")</f>
        <v/>
      </c>
      <c r="G2348" s="32" t="str">
        <f>IFERROR(VLOOKUP(B2348,'211'!$B$2:$D$116,3,FALSE),"")</f>
        <v/>
      </c>
      <c r="H2348" s="32" t="str">
        <f>IFERROR(VLOOKUP(B2348,双一流!$B$2:$D$148,3,FALSE),"")</f>
        <v/>
      </c>
      <c r="I2348" s="32" t="str">
        <f>IFERROR(VLOOKUP(B2348,汇总!$B$2:$I$2921,8,FALSE),"")</f>
        <v>理工</v>
      </c>
      <c r="J2348" s="34" t="s">
        <v>1700</v>
      </c>
      <c r="K2348" s="34" t="s">
        <v>12</v>
      </c>
    </row>
    <row r="2349" ht="50.25" spans="1:11">
      <c r="A2349" s="34">
        <v>2348</v>
      </c>
      <c r="B2349" s="29" t="s">
        <v>2706</v>
      </c>
      <c r="C2349" s="29" t="str">
        <f>VLOOKUP(B2349,教育部大学名单!$B$1:$D$2920,3,FALSE)</f>
        <v>陕西省</v>
      </c>
      <c r="D2349" s="29" t="s">
        <v>1106</v>
      </c>
      <c r="E2349" s="29" t="s">
        <v>1111</v>
      </c>
      <c r="F2349" s="36" t="str">
        <f>IFERROR(VLOOKUP(B2349,'985'!$B$2:$D$40,3,FALSE),"")</f>
        <v/>
      </c>
      <c r="G2349" s="32" t="str">
        <f>IFERROR(VLOOKUP(B2349,'211'!$B$2:$D$116,3,FALSE),"")</f>
        <v/>
      </c>
      <c r="H2349" s="32" t="str">
        <f>IFERROR(VLOOKUP(B2349,双一流!$B$2:$D$148,3,FALSE),"")</f>
        <v/>
      </c>
      <c r="I2349" s="32">
        <f>IFERROR(VLOOKUP(B2349,汇总!$B$2:$I$2921,8,FALSE),"")</f>
        <v>0</v>
      </c>
      <c r="J2349" s="29" t="s">
        <v>1700</v>
      </c>
      <c r="K2349" s="29" t="s">
        <v>12</v>
      </c>
    </row>
    <row r="2350" ht="33.75" spans="1:11">
      <c r="A2350" s="29">
        <v>2349</v>
      </c>
      <c r="B2350" s="34" t="s">
        <v>2707</v>
      </c>
      <c r="C2350" s="29" t="str">
        <f>VLOOKUP(B2350,教育部大学名单!$B$1:$D$2920,3,FALSE)</f>
        <v>陕西省</v>
      </c>
      <c r="D2350" s="34" t="s">
        <v>1106</v>
      </c>
      <c r="E2350" s="34" t="s">
        <v>1111</v>
      </c>
      <c r="F2350" s="36" t="str">
        <f>IFERROR(VLOOKUP(B2350,'985'!$B$2:$D$40,3,FALSE),"")</f>
        <v/>
      </c>
      <c r="G2350" s="32" t="str">
        <f>IFERROR(VLOOKUP(B2350,'211'!$B$2:$D$116,3,FALSE),"")</f>
        <v/>
      </c>
      <c r="H2350" s="32" t="str">
        <f>IFERROR(VLOOKUP(B2350,双一流!$B$2:$D$148,3,FALSE),"")</f>
        <v/>
      </c>
      <c r="I2350" s="32" t="str">
        <f>IFERROR(VLOOKUP(B2350,汇总!$B$2:$I$2921,8,FALSE),"")</f>
        <v>理工</v>
      </c>
      <c r="J2350" s="34" t="s">
        <v>1700</v>
      </c>
      <c r="K2350" s="34" t="s">
        <v>12</v>
      </c>
    </row>
    <row r="2351" ht="33.75" spans="1:11">
      <c r="A2351" s="34">
        <v>2350</v>
      </c>
      <c r="B2351" s="29" t="s">
        <v>2708</v>
      </c>
      <c r="C2351" s="29" t="str">
        <f>VLOOKUP(B2351,教育部大学名单!$B$1:$D$2920,3,FALSE)</f>
        <v>陕西省</v>
      </c>
      <c r="D2351" s="29" t="s">
        <v>1106</v>
      </c>
      <c r="E2351" s="29" t="s">
        <v>1107</v>
      </c>
      <c r="F2351" s="36" t="str">
        <f>IFERROR(VLOOKUP(B2351,'985'!$B$2:$D$40,3,FALSE),"")</f>
        <v/>
      </c>
      <c r="G2351" s="32" t="str">
        <f>IFERROR(VLOOKUP(B2351,'211'!$B$2:$D$116,3,FALSE),"")</f>
        <v/>
      </c>
      <c r="H2351" s="32" t="str">
        <f>IFERROR(VLOOKUP(B2351,双一流!$B$2:$D$148,3,FALSE),"")</f>
        <v/>
      </c>
      <c r="I2351" s="32" t="str">
        <f>IFERROR(VLOOKUP(B2351,汇总!$B$2:$I$2921,8,FALSE),"")</f>
        <v>综合</v>
      </c>
      <c r="J2351" s="29" t="s">
        <v>1700</v>
      </c>
      <c r="K2351" s="29" t="s">
        <v>12</v>
      </c>
    </row>
    <row r="2352" ht="33.75" spans="1:11">
      <c r="A2352" s="29">
        <v>2351</v>
      </c>
      <c r="B2352" s="34" t="s">
        <v>2709</v>
      </c>
      <c r="C2352" s="29" t="str">
        <f>VLOOKUP(B2352,教育部大学名单!$B$1:$D$2920,3,FALSE)</f>
        <v>陕西省</v>
      </c>
      <c r="D2352" s="34" t="s">
        <v>1106</v>
      </c>
      <c r="E2352" s="34" t="s">
        <v>1111</v>
      </c>
      <c r="F2352" s="36" t="str">
        <f>IFERROR(VLOOKUP(B2352,'985'!$B$2:$D$40,3,FALSE),"")</f>
        <v/>
      </c>
      <c r="G2352" s="32" t="str">
        <f>IFERROR(VLOOKUP(B2352,'211'!$B$2:$D$116,3,FALSE),"")</f>
        <v/>
      </c>
      <c r="H2352" s="32" t="str">
        <f>IFERROR(VLOOKUP(B2352,双一流!$B$2:$D$148,3,FALSE),"")</f>
        <v/>
      </c>
      <c r="I2352" s="32" t="str">
        <f>IFERROR(VLOOKUP(B2352,汇总!$B$2:$I$2921,8,FALSE),"")</f>
        <v>综合</v>
      </c>
      <c r="J2352" s="34" t="s">
        <v>1700</v>
      </c>
      <c r="K2352" s="34" t="s">
        <v>12</v>
      </c>
    </row>
    <row r="2353" ht="33.75" spans="1:11">
      <c r="A2353" s="34">
        <v>2352</v>
      </c>
      <c r="B2353" s="29" t="s">
        <v>2710</v>
      </c>
      <c r="C2353" s="29" t="str">
        <f>VLOOKUP(B2353,教育部大学名单!$B$1:$D$2920,3,FALSE)</f>
        <v>陕西省</v>
      </c>
      <c r="D2353" s="29" t="s">
        <v>1106</v>
      </c>
      <c r="E2353" s="29" t="s">
        <v>1144</v>
      </c>
      <c r="F2353" s="36" t="str">
        <f>IFERROR(VLOOKUP(B2353,'985'!$B$2:$D$40,3,FALSE),"")</f>
        <v/>
      </c>
      <c r="G2353" s="32" t="str">
        <f>IFERROR(VLOOKUP(B2353,'211'!$B$2:$D$116,3,FALSE),"")</f>
        <v/>
      </c>
      <c r="H2353" s="32" t="str">
        <f>IFERROR(VLOOKUP(B2353,双一流!$B$2:$D$148,3,FALSE),"")</f>
        <v/>
      </c>
      <c r="I2353" s="32" t="str">
        <f>IFERROR(VLOOKUP(B2353,汇总!$B$2:$I$2921,8,FALSE),"")</f>
        <v>综合</v>
      </c>
      <c r="J2353" s="29" t="s">
        <v>1700</v>
      </c>
      <c r="K2353" s="29" t="s">
        <v>12</v>
      </c>
    </row>
    <row r="2354" ht="33.75" spans="1:11">
      <c r="A2354" s="29">
        <v>2353</v>
      </c>
      <c r="B2354" s="34" t="s">
        <v>2711</v>
      </c>
      <c r="C2354" s="29" t="str">
        <f>VLOOKUP(B2354,教育部大学名单!$B$1:$D$2920,3,FALSE)</f>
        <v>陕西省</v>
      </c>
      <c r="D2354" s="34" t="s">
        <v>1106</v>
      </c>
      <c r="E2354" s="34" t="s">
        <v>1129</v>
      </c>
      <c r="F2354" s="36" t="str">
        <f>IFERROR(VLOOKUP(B2354,'985'!$B$2:$D$40,3,FALSE),"")</f>
        <v/>
      </c>
      <c r="G2354" s="32" t="str">
        <f>IFERROR(VLOOKUP(B2354,'211'!$B$2:$D$116,3,FALSE),"")</f>
        <v/>
      </c>
      <c r="H2354" s="32" t="str">
        <f>IFERROR(VLOOKUP(B2354,双一流!$B$2:$D$148,3,FALSE),"")</f>
        <v/>
      </c>
      <c r="I2354" s="32" t="str">
        <f>IFERROR(VLOOKUP(B2354,汇总!$B$2:$I$2921,8,FALSE),"")</f>
        <v>综合</v>
      </c>
      <c r="J2354" s="34" t="s">
        <v>1700</v>
      </c>
      <c r="K2354" s="34" t="s">
        <v>12</v>
      </c>
    </row>
    <row r="2355" ht="33.75" spans="1:11">
      <c r="A2355" s="34">
        <v>2354</v>
      </c>
      <c r="B2355" s="29" t="s">
        <v>2712</v>
      </c>
      <c r="C2355" s="29" t="str">
        <f>VLOOKUP(B2355,教育部大学名单!$B$1:$D$2920,3,FALSE)</f>
        <v>陕西省</v>
      </c>
      <c r="D2355" s="29" t="s">
        <v>1106</v>
      </c>
      <c r="E2355" s="29" t="s">
        <v>1127</v>
      </c>
      <c r="F2355" s="36" t="str">
        <f>IFERROR(VLOOKUP(B2355,'985'!$B$2:$D$40,3,FALSE),"")</f>
        <v/>
      </c>
      <c r="G2355" s="32" t="str">
        <f>IFERROR(VLOOKUP(B2355,'211'!$B$2:$D$116,3,FALSE),"")</f>
        <v/>
      </c>
      <c r="H2355" s="32" t="str">
        <f>IFERROR(VLOOKUP(B2355,双一流!$B$2:$D$148,3,FALSE),"")</f>
        <v/>
      </c>
      <c r="I2355" s="32" t="str">
        <f>IFERROR(VLOOKUP(B2355,汇总!$B$2:$I$2921,8,FALSE),"")</f>
        <v>综合</v>
      </c>
      <c r="J2355" s="29" t="s">
        <v>1700</v>
      </c>
      <c r="K2355" s="29" t="s">
        <v>12</v>
      </c>
    </row>
    <row r="2356" ht="33.75" spans="1:11">
      <c r="A2356" s="29">
        <v>2355</v>
      </c>
      <c r="B2356" s="34" t="s">
        <v>2713</v>
      </c>
      <c r="C2356" s="29" t="str">
        <f>VLOOKUP(B2356,教育部大学名单!$B$1:$D$2920,3,FALSE)</f>
        <v>陕西省</v>
      </c>
      <c r="D2356" s="34" t="s">
        <v>1106</v>
      </c>
      <c r="E2356" s="34" t="s">
        <v>1134</v>
      </c>
      <c r="F2356" s="36" t="str">
        <f>IFERROR(VLOOKUP(B2356,'985'!$B$2:$D$40,3,FALSE),"")</f>
        <v/>
      </c>
      <c r="G2356" s="32" t="str">
        <f>IFERROR(VLOOKUP(B2356,'211'!$B$2:$D$116,3,FALSE),"")</f>
        <v/>
      </c>
      <c r="H2356" s="32" t="str">
        <f>IFERROR(VLOOKUP(B2356,双一流!$B$2:$D$148,3,FALSE),"")</f>
        <v/>
      </c>
      <c r="I2356" s="32" t="str">
        <f>IFERROR(VLOOKUP(B2356,汇总!$B$2:$I$2921,8,FALSE),"")</f>
        <v>综合</v>
      </c>
      <c r="J2356" s="34" t="s">
        <v>1700</v>
      </c>
      <c r="K2356" s="34" t="s">
        <v>12</v>
      </c>
    </row>
    <row r="2357" ht="33.75" spans="1:11">
      <c r="A2357" s="34">
        <v>2356</v>
      </c>
      <c r="B2357" s="29" t="s">
        <v>2714</v>
      </c>
      <c r="C2357" s="29" t="str">
        <f>VLOOKUP(B2357,教育部大学名单!$B$1:$D$2920,3,FALSE)</f>
        <v>陕西省</v>
      </c>
      <c r="D2357" s="29" t="s">
        <v>1106</v>
      </c>
      <c r="E2357" s="29" t="s">
        <v>1146</v>
      </c>
      <c r="F2357" s="36" t="str">
        <f>IFERROR(VLOOKUP(B2357,'985'!$B$2:$D$40,3,FALSE),"")</f>
        <v/>
      </c>
      <c r="G2357" s="32" t="str">
        <f>IFERROR(VLOOKUP(B2357,'211'!$B$2:$D$116,3,FALSE),"")</f>
        <v/>
      </c>
      <c r="H2357" s="32" t="str">
        <f>IFERROR(VLOOKUP(B2357,双一流!$B$2:$D$148,3,FALSE),"")</f>
        <v/>
      </c>
      <c r="I2357" s="32" t="str">
        <f>IFERROR(VLOOKUP(B2357,汇总!$B$2:$I$2921,8,FALSE),"")</f>
        <v>综合</v>
      </c>
      <c r="J2357" s="29" t="s">
        <v>1700</v>
      </c>
      <c r="K2357" s="29" t="s">
        <v>12</v>
      </c>
    </row>
    <row r="2358" ht="33.75" spans="1:11">
      <c r="A2358" s="29">
        <v>2357</v>
      </c>
      <c r="B2358" s="34" t="s">
        <v>2715</v>
      </c>
      <c r="C2358" s="29" t="str">
        <f>VLOOKUP(B2358,教育部大学名单!$B$1:$D$2920,3,FALSE)</f>
        <v>陕西省</v>
      </c>
      <c r="D2358" s="34" t="s">
        <v>1106</v>
      </c>
      <c r="E2358" s="34" t="s">
        <v>2716</v>
      </c>
      <c r="F2358" s="36" t="str">
        <f>IFERROR(VLOOKUP(B2358,'985'!$B$2:$D$40,3,FALSE),"")</f>
        <v/>
      </c>
      <c r="G2358" s="32" t="str">
        <f>IFERROR(VLOOKUP(B2358,'211'!$B$2:$D$116,3,FALSE),"")</f>
        <v/>
      </c>
      <c r="H2358" s="32" t="str">
        <f>IFERROR(VLOOKUP(B2358,双一流!$B$2:$D$148,3,FALSE),"")</f>
        <v/>
      </c>
      <c r="I2358" s="32" t="str">
        <f>IFERROR(VLOOKUP(B2358,汇总!$B$2:$I$2921,8,FALSE),"")</f>
        <v>综合</v>
      </c>
      <c r="J2358" s="34" t="s">
        <v>1700</v>
      </c>
      <c r="K2358" s="34" t="s">
        <v>12</v>
      </c>
    </row>
    <row r="2359" ht="33.75" spans="1:11">
      <c r="A2359" s="34">
        <v>2358</v>
      </c>
      <c r="B2359" s="29" t="s">
        <v>2717</v>
      </c>
      <c r="C2359" s="29" t="str">
        <f>VLOOKUP(B2359,教育部大学名单!$B$1:$D$2920,3,FALSE)</f>
        <v>陕西省</v>
      </c>
      <c r="D2359" s="29" t="s">
        <v>1106</v>
      </c>
      <c r="E2359" s="29" t="s">
        <v>1111</v>
      </c>
      <c r="F2359" s="36" t="str">
        <f>IFERROR(VLOOKUP(B2359,'985'!$B$2:$D$40,3,FALSE),"")</f>
        <v/>
      </c>
      <c r="G2359" s="32" t="str">
        <f>IFERROR(VLOOKUP(B2359,'211'!$B$2:$D$116,3,FALSE),"")</f>
        <v/>
      </c>
      <c r="H2359" s="32" t="str">
        <f>IFERROR(VLOOKUP(B2359,双一流!$B$2:$D$148,3,FALSE),"")</f>
        <v/>
      </c>
      <c r="I2359" s="32" t="str">
        <f>IFERROR(VLOOKUP(B2359,汇总!$B$2:$I$2921,8,FALSE),"")</f>
        <v>综合</v>
      </c>
      <c r="J2359" s="29" t="s">
        <v>1700</v>
      </c>
      <c r="K2359" s="29" t="s">
        <v>12</v>
      </c>
    </row>
    <row r="2360" ht="33.75" spans="1:11">
      <c r="A2360" s="29">
        <v>2359</v>
      </c>
      <c r="B2360" s="34" t="s">
        <v>2718</v>
      </c>
      <c r="C2360" s="29" t="str">
        <f>VLOOKUP(B2360,教育部大学名单!$B$1:$D$2920,3,FALSE)</f>
        <v>陕西省</v>
      </c>
      <c r="D2360" s="34" t="s">
        <v>1106</v>
      </c>
      <c r="E2360" s="34" t="s">
        <v>1111</v>
      </c>
      <c r="F2360" s="36" t="str">
        <f>IFERROR(VLOOKUP(B2360,'985'!$B$2:$D$40,3,FALSE),"")</f>
        <v/>
      </c>
      <c r="G2360" s="32" t="str">
        <f>IFERROR(VLOOKUP(B2360,'211'!$B$2:$D$116,3,FALSE),"")</f>
        <v/>
      </c>
      <c r="H2360" s="32" t="str">
        <f>IFERROR(VLOOKUP(B2360,双一流!$B$2:$D$148,3,FALSE),"")</f>
        <v/>
      </c>
      <c r="I2360" s="32" t="str">
        <f>IFERROR(VLOOKUP(B2360,汇总!$B$2:$I$2921,8,FALSE),"")</f>
        <v>综合</v>
      </c>
      <c r="J2360" s="34" t="s">
        <v>1700</v>
      </c>
      <c r="K2360" s="34" t="s">
        <v>12</v>
      </c>
    </row>
    <row r="2361" ht="33.75" spans="1:11">
      <c r="A2361" s="34">
        <v>2360</v>
      </c>
      <c r="B2361" s="29" t="s">
        <v>2719</v>
      </c>
      <c r="C2361" s="29" t="str">
        <f>VLOOKUP(B2361,教育部大学名单!$B$1:$D$2920,3,FALSE)</f>
        <v>陕西省</v>
      </c>
      <c r="D2361" s="29" t="s">
        <v>1106</v>
      </c>
      <c r="E2361" s="29" t="s">
        <v>1142</v>
      </c>
      <c r="F2361" s="36" t="str">
        <f>IFERROR(VLOOKUP(B2361,'985'!$B$2:$D$40,3,FALSE),"")</f>
        <v/>
      </c>
      <c r="G2361" s="32" t="str">
        <f>IFERROR(VLOOKUP(B2361,'211'!$B$2:$D$116,3,FALSE),"")</f>
        <v/>
      </c>
      <c r="H2361" s="32" t="str">
        <f>IFERROR(VLOOKUP(B2361,双一流!$B$2:$D$148,3,FALSE),"")</f>
        <v/>
      </c>
      <c r="I2361" s="32" t="str">
        <f>IFERROR(VLOOKUP(B2361,汇总!$B$2:$I$2921,8,FALSE),"")</f>
        <v>理工</v>
      </c>
      <c r="J2361" s="29" t="s">
        <v>1700</v>
      </c>
      <c r="K2361" s="29" t="s">
        <v>12</v>
      </c>
    </row>
    <row r="2362" ht="33.75" spans="1:11">
      <c r="A2362" s="29">
        <v>2361</v>
      </c>
      <c r="B2362" s="34" t="s">
        <v>2720</v>
      </c>
      <c r="C2362" s="29" t="str">
        <f>VLOOKUP(B2362,教育部大学名单!$B$1:$D$2920,3,FALSE)</f>
        <v>陕西省</v>
      </c>
      <c r="D2362" s="34" t="s">
        <v>1106</v>
      </c>
      <c r="E2362" s="34" t="s">
        <v>1111</v>
      </c>
      <c r="F2362" s="36" t="str">
        <f>IFERROR(VLOOKUP(B2362,'985'!$B$2:$D$40,3,FALSE),"")</f>
        <v/>
      </c>
      <c r="G2362" s="32" t="str">
        <f>IFERROR(VLOOKUP(B2362,'211'!$B$2:$D$116,3,FALSE),"")</f>
        <v/>
      </c>
      <c r="H2362" s="32" t="str">
        <f>IFERROR(VLOOKUP(B2362,双一流!$B$2:$D$148,3,FALSE),"")</f>
        <v/>
      </c>
      <c r="I2362" s="32" t="str">
        <f>IFERROR(VLOOKUP(B2362,汇总!$B$2:$I$2921,8,FALSE),"")</f>
        <v>艺术</v>
      </c>
      <c r="J2362" s="34" t="s">
        <v>1700</v>
      </c>
      <c r="K2362" s="34" t="s">
        <v>12</v>
      </c>
    </row>
    <row r="2363" ht="33.75" spans="1:11">
      <c r="A2363" s="34">
        <v>2362</v>
      </c>
      <c r="B2363" s="29" t="s">
        <v>2721</v>
      </c>
      <c r="C2363" s="29" t="str">
        <f>VLOOKUP(B2363,教育部大学名单!$B$1:$D$2920,3,FALSE)</f>
        <v>陕西省</v>
      </c>
      <c r="D2363" s="29" t="s">
        <v>1106</v>
      </c>
      <c r="E2363" s="29" t="s">
        <v>1142</v>
      </c>
      <c r="F2363" s="36" t="str">
        <f>IFERROR(VLOOKUP(B2363,'985'!$B$2:$D$40,3,FALSE),"")</f>
        <v/>
      </c>
      <c r="G2363" s="32" t="str">
        <f>IFERROR(VLOOKUP(B2363,'211'!$B$2:$D$116,3,FALSE),"")</f>
        <v/>
      </c>
      <c r="H2363" s="32" t="str">
        <f>IFERROR(VLOOKUP(B2363,双一流!$B$2:$D$148,3,FALSE),"")</f>
        <v/>
      </c>
      <c r="I2363" s="32">
        <f>IFERROR(VLOOKUP(B2363,汇总!$B$2:$I$2921,8,FALSE),"")</f>
        <v>0</v>
      </c>
      <c r="J2363" s="29" t="s">
        <v>1700</v>
      </c>
      <c r="K2363" s="29" t="s">
        <v>12</v>
      </c>
    </row>
    <row r="2364" ht="33.75" spans="1:11">
      <c r="A2364" s="29">
        <v>2363</v>
      </c>
      <c r="B2364" s="34" t="s">
        <v>2722</v>
      </c>
      <c r="C2364" s="29" t="str">
        <f>VLOOKUP(B2364,教育部大学名单!$B$1:$D$2920,3,FALSE)</f>
        <v>陕西省</v>
      </c>
      <c r="D2364" s="34" t="s">
        <v>1106</v>
      </c>
      <c r="E2364" s="34" t="s">
        <v>1131</v>
      </c>
      <c r="F2364" s="36" t="str">
        <f>IFERROR(VLOOKUP(B2364,'985'!$B$2:$D$40,3,FALSE),"")</f>
        <v/>
      </c>
      <c r="G2364" s="32" t="str">
        <f>IFERROR(VLOOKUP(B2364,'211'!$B$2:$D$116,3,FALSE),"")</f>
        <v/>
      </c>
      <c r="H2364" s="32" t="str">
        <f>IFERROR(VLOOKUP(B2364,双一流!$B$2:$D$148,3,FALSE),"")</f>
        <v/>
      </c>
      <c r="I2364" s="32" t="str">
        <f>IFERROR(VLOOKUP(B2364,汇总!$B$2:$I$2921,8,FALSE),"")</f>
        <v>理工</v>
      </c>
      <c r="J2364" s="34" t="s">
        <v>1700</v>
      </c>
      <c r="K2364" s="34" t="s">
        <v>12</v>
      </c>
    </row>
    <row r="2365" ht="33.75" spans="1:11">
      <c r="A2365" s="34">
        <v>2364</v>
      </c>
      <c r="B2365" s="29" t="s">
        <v>2723</v>
      </c>
      <c r="C2365" s="29" t="str">
        <f>VLOOKUP(B2365,教育部大学名单!$B$1:$D$2920,3,FALSE)</f>
        <v>甘肃省</v>
      </c>
      <c r="D2365" s="29" t="s">
        <v>1156</v>
      </c>
      <c r="E2365" s="29" t="s">
        <v>2724</v>
      </c>
      <c r="F2365" s="36" t="str">
        <f>IFERROR(VLOOKUP(B2365,'985'!$B$2:$D$40,3,FALSE),"")</f>
        <v/>
      </c>
      <c r="G2365" s="32" t="str">
        <f>IFERROR(VLOOKUP(B2365,'211'!$B$2:$D$116,3,FALSE),"")</f>
        <v/>
      </c>
      <c r="H2365" s="32" t="str">
        <f>IFERROR(VLOOKUP(B2365,双一流!$B$2:$D$148,3,FALSE),"")</f>
        <v/>
      </c>
      <c r="I2365" s="32">
        <f>IFERROR(VLOOKUP(B2365,汇总!$B$2:$I$2921,8,FALSE),"")</f>
        <v>0</v>
      </c>
      <c r="J2365" s="29" t="s">
        <v>1700</v>
      </c>
      <c r="K2365" s="29" t="s">
        <v>12</v>
      </c>
    </row>
    <row r="2366" ht="33.75" spans="1:11">
      <c r="A2366" s="29">
        <v>2365</v>
      </c>
      <c r="B2366" s="34" t="s">
        <v>2725</v>
      </c>
      <c r="C2366" s="29" t="str">
        <f>VLOOKUP(B2366,教育部大学名单!$B$1:$D$2920,3,FALSE)</f>
        <v>甘肃省</v>
      </c>
      <c r="D2366" s="34" t="s">
        <v>1156</v>
      </c>
      <c r="E2366" s="34" t="s">
        <v>1157</v>
      </c>
      <c r="F2366" s="36" t="str">
        <f>IFERROR(VLOOKUP(B2366,'985'!$B$2:$D$40,3,FALSE),"")</f>
        <v/>
      </c>
      <c r="G2366" s="32" t="str">
        <f>IFERROR(VLOOKUP(B2366,'211'!$B$2:$D$116,3,FALSE),"")</f>
        <v/>
      </c>
      <c r="H2366" s="32" t="str">
        <f>IFERROR(VLOOKUP(B2366,双一流!$B$2:$D$148,3,FALSE),"")</f>
        <v/>
      </c>
      <c r="I2366" s="32" t="str">
        <f>IFERROR(VLOOKUP(B2366,汇总!$B$2:$I$2921,8,FALSE),"")</f>
        <v>理工</v>
      </c>
      <c r="J2366" s="34" t="s">
        <v>1700</v>
      </c>
      <c r="K2366" s="34" t="s">
        <v>12</v>
      </c>
    </row>
    <row r="2367" ht="33.75" spans="1:11">
      <c r="A2367" s="34">
        <v>2366</v>
      </c>
      <c r="B2367" s="29" t="s">
        <v>2726</v>
      </c>
      <c r="C2367" s="29" t="str">
        <f>VLOOKUP(B2367,教育部大学名单!$B$1:$D$2920,3,FALSE)</f>
        <v>甘肃省</v>
      </c>
      <c r="D2367" s="29" t="s">
        <v>1156</v>
      </c>
      <c r="E2367" s="29" t="s">
        <v>1157</v>
      </c>
      <c r="F2367" s="36" t="str">
        <f>IFERROR(VLOOKUP(B2367,'985'!$B$2:$D$40,3,FALSE),"")</f>
        <v/>
      </c>
      <c r="G2367" s="32" t="str">
        <f>IFERROR(VLOOKUP(B2367,'211'!$B$2:$D$116,3,FALSE),"")</f>
        <v/>
      </c>
      <c r="H2367" s="32" t="str">
        <f>IFERROR(VLOOKUP(B2367,双一流!$B$2:$D$148,3,FALSE),"")</f>
        <v/>
      </c>
      <c r="I2367" s="32" t="str">
        <f>IFERROR(VLOOKUP(B2367,汇总!$B$2:$I$2921,8,FALSE),"")</f>
        <v>综合</v>
      </c>
      <c r="J2367" s="29" t="s">
        <v>1700</v>
      </c>
      <c r="K2367" s="29" t="s">
        <v>12</v>
      </c>
    </row>
    <row r="2368" ht="33.75" spans="1:11">
      <c r="A2368" s="29">
        <v>2367</v>
      </c>
      <c r="B2368" s="34" t="s">
        <v>2727</v>
      </c>
      <c r="C2368" s="29" t="str">
        <f>VLOOKUP(B2368,教育部大学名单!$B$1:$D$2920,3,FALSE)</f>
        <v>甘肃省</v>
      </c>
      <c r="D2368" s="34" t="s">
        <v>1156</v>
      </c>
      <c r="E2368" s="34" t="s">
        <v>1157</v>
      </c>
      <c r="F2368" s="36" t="str">
        <f>IFERROR(VLOOKUP(B2368,'985'!$B$2:$D$40,3,FALSE),"")</f>
        <v/>
      </c>
      <c r="G2368" s="32" t="str">
        <f>IFERROR(VLOOKUP(B2368,'211'!$B$2:$D$116,3,FALSE),"")</f>
        <v/>
      </c>
      <c r="H2368" s="32" t="str">
        <f>IFERROR(VLOOKUP(B2368,双一流!$B$2:$D$148,3,FALSE),"")</f>
        <v/>
      </c>
      <c r="I2368" s="32" t="str">
        <f>IFERROR(VLOOKUP(B2368,汇总!$B$2:$I$2921,8,FALSE),"")</f>
        <v>理工</v>
      </c>
      <c r="J2368" s="34" t="s">
        <v>1700</v>
      </c>
      <c r="K2368" s="34" t="s">
        <v>12</v>
      </c>
    </row>
    <row r="2369" ht="33.75" spans="1:11">
      <c r="A2369" s="34">
        <v>2368</v>
      </c>
      <c r="B2369" s="29" t="s">
        <v>2728</v>
      </c>
      <c r="C2369" s="29" t="str">
        <f>VLOOKUP(B2369,教育部大学名单!$B$1:$D$2920,3,FALSE)</f>
        <v>甘肃省</v>
      </c>
      <c r="D2369" s="29" t="s">
        <v>1156</v>
      </c>
      <c r="E2369" s="29" t="s">
        <v>1157</v>
      </c>
      <c r="F2369" s="36" t="str">
        <f>IFERROR(VLOOKUP(B2369,'985'!$B$2:$D$40,3,FALSE),"")</f>
        <v/>
      </c>
      <c r="G2369" s="32" t="str">
        <f>IFERROR(VLOOKUP(B2369,'211'!$B$2:$D$116,3,FALSE),"")</f>
        <v/>
      </c>
      <c r="H2369" s="32" t="str">
        <f>IFERROR(VLOOKUP(B2369,双一流!$B$2:$D$148,3,FALSE),"")</f>
        <v/>
      </c>
      <c r="I2369" s="32" t="str">
        <f>IFERROR(VLOOKUP(B2369,汇总!$B$2:$I$2921,8,FALSE),"")</f>
        <v>农林</v>
      </c>
      <c r="J2369" s="29" t="s">
        <v>1700</v>
      </c>
      <c r="K2369" s="29" t="s">
        <v>12</v>
      </c>
    </row>
    <row r="2370" ht="50.25" spans="1:11">
      <c r="A2370" s="29">
        <v>2369</v>
      </c>
      <c r="B2370" s="34" t="s">
        <v>2729</v>
      </c>
      <c r="C2370" s="29" t="str">
        <f>VLOOKUP(B2370,教育部大学名单!$B$1:$D$2920,3,FALSE)</f>
        <v>甘肃省</v>
      </c>
      <c r="D2370" s="34" t="s">
        <v>1156</v>
      </c>
      <c r="E2370" s="34" t="s">
        <v>1189</v>
      </c>
      <c r="F2370" s="36" t="str">
        <f>IFERROR(VLOOKUP(B2370,'985'!$B$2:$D$40,3,FALSE),"")</f>
        <v/>
      </c>
      <c r="G2370" s="32" t="str">
        <f>IFERROR(VLOOKUP(B2370,'211'!$B$2:$D$116,3,FALSE),"")</f>
        <v/>
      </c>
      <c r="H2370" s="32" t="str">
        <f>IFERROR(VLOOKUP(B2370,双一流!$B$2:$D$148,3,FALSE),"")</f>
        <v/>
      </c>
      <c r="I2370" s="32" t="str">
        <f>IFERROR(VLOOKUP(B2370,汇总!$B$2:$I$2921,8,FALSE),"")</f>
        <v>农林</v>
      </c>
      <c r="J2370" s="34" t="s">
        <v>1700</v>
      </c>
      <c r="K2370" s="34" t="s">
        <v>12</v>
      </c>
    </row>
    <row r="2371" ht="33.75" spans="1:11">
      <c r="A2371" s="34">
        <v>2370</v>
      </c>
      <c r="B2371" s="29" t="s">
        <v>2730</v>
      </c>
      <c r="C2371" s="29" t="str">
        <f>VLOOKUP(B2371,教育部大学名单!$B$1:$D$2920,3,FALSE)</f>
        <v>甘肃省</v>
      </c>
      <c r="D2371" s="29" t="s">
        <v>1156</v>
      </c>
      <c r="E2371" s="29" t="s">
        <v>2731</v>
      </c>
      <c r="F2371" s="36" t="str">
        <f>IFERROR(VLOOKUP(B2371,'985'!$B$2:$D$40,3,FALSE),"")</f>
        <v/>
      </c>
      <c r="G2371" s="32" t="str">
        <f>IFERROR(VLOOKUP(B2371,'211'!$B$2:$D$116,3,FALSE),"")</f>
        <v/>
      </c>
      <c r="H2371" s="32" t="str">
        <f>IFERROR(VLOOKUP(B2371,双一流!$B$2:$D$148,3,FALSE),"")</f>
        <v/>
      </c>
      <c r="I2371" s="32" t="str">
        <f>IFERROR(VLOOKUP(B2371,汇总!$B$2:$I$2921,8,FALSE),"")</f>
        <v>理工</v>
      </c>
      <c r="J2371" s="29" t="s">
        <v>1700</v>
      </c>
      <c r="K2371" s="29" t="s">
        <v>12</v>
      </c>
    </row>
    <row r="2372" ht="50.25" spans="1:11">
      <c r="A2372" s="29">
        <v>2371</v>
      </c>
      <c r="B2372" s="34" t="s">
        <v>2732</v>
      </c>
      <c r="C2372" s="29" t="str">
        <f>VLOOKUP(B2372,教育部大学名单!$B$1:$D$2920,3,FALSE)</f>
        <v>甘肃省</v>
      </c>
      <c r="D2372" s="34" t="s">
        <v>1156</v>
      </c>
      <c r="E2372" s="34" t="s">
        <v>2733</v>
      </c>
      <c r="F2372" s="36" t="str">
        <f>IFERROR(VLOOKUP(B2372,'985'!$B$2:$D$40,3,FALSE),"")</f>
        <v/>
      </c>
      <c r="G2372" s="32" t="str">
        <f>IFERROR(VLOOKUP(B2372,'211'!$B$2:$D$116,3,FALSE),"")</f>
        <v/>
      </c>
      <c r="H2372" s="32" t="str">
        <f>IFERROR(VLOOKUP(B2372,双一流!$B$2:$D$148,3,FALSE),"")</f>
        <v/>
      </c>
      <c r="I2372" s="32" t="str">
        <f>IFERROR(VLOOKUP(B2372,汇总!$B$2:$I$2921,8,FALSE),"")</f>
        <v>理工</v>
      </c>
      <c r="J2372" s="34" t="s">
        <v>1700</v>
      </c>
      <c r="K2372" s="34" t="s">
        <v>12</v>
      </c>
    </row>
    <row r="2373" ht="33.75" spans="1:11">
      <c r="A2373" s="34">
        <v>2372</v>
      </c>
      <c r="B2373" s="29" t="s">
        <v>2734</v>
      </c>
      <c r="C2373" s="29" t="str">
        <f>VLOOKUP(B2373,教育部大学名单!$B$1:$D$2920,3,FALSE)</f>
        <v>甘肃省</v>
      </c>
      <c r="D2373" s="29" t="s">
        <v>1156</v>
      </c>
      <c r="E2373" s="29" t="s">
        <v>2735</v>
      </c>
      <c r="F2373" s="36" t="str">
        <f>IFERROR(VLOOKUP(B2373,'985'!$B$2:$D$40,3,FALSE),"")</f>
        <v/>
      </c>
      <c r="G2373" s="32" t="str">
        <f>IFERROR(VLOOKUP(B2373,'211'!$B$2:$D$116,3,FALSE),"")</f>
        <v/>
      </c>
      <c r="H2373" s="32" t="str">
        <f>IFERROR(VLOOKUP(B2373,双一流!$B$2:$D$148,3,FALSE),"")</f>
        <v/>
      </c>
      <c r="I2373" s="32" t="str">
        <f>IFERROR(VLOOKUP(B2373,汇总!$B$2:$I$2921,8,FALSE),"")</f>
        <v>理工</v>
      </c>
      <c r="J2373" s="29" t="s">
        <v>1700</v>
      </c>
      <c r="K2373" s="29" t="s">
        <v>12</v>
      </c>
    </row>
    <row r="2374" ht="33.75" spans="1:11">
      <c r="A2374" s="29">
        <v>2373</v>
      </c>
      <c r="B2374" s="34" t="s">
        <v>2736</v>
      </c>
      <c r="C2374" s="29" t="str">
        <f>VLOOKUP(B2374,教育部大学名单!$B$1:$D$2920,3,FALSE)</f>
        <v>甘肃省</v>
      </c>
      <c r="D2374" s="34" t="s">
        <v>1156</v>
      </c>
      <c r="E2374" s="34" t="s">
        <v>1157</v>
      </c>
      <c r="F2374" s="36" t="str">
        <f>IFERROR(VLOOKUP(B2374,'985'!$B$2:$D$40,3,FALSE),"")</f>
        <v/>
      </c>
      <c r="G2374" s="32" t="str">
        <f>IFERROR(VLOOKUP(B2374,'211'!$B$2:$D$116,3,FALSE),"")</f>
        <v/>
      </c>
      <c r="H2374" s="32" t="str">
        <f>IFERROR(VLOOKUP(B2374,双一流!$B$2:$D$148,3,FALSE),"")</f>
        <v/>
      </c>
      <c r="I2374" s="32" t="str">
        <f>IFERROR(VLOOKUP(B2374,汇总!$B$2:$I$2921,8,FALSE),"")</f>
        <v>医药</v>
      </c>
      <c r="J2374" s="34" t="s">
        <v>1700</v>
      </c>
      <c r="K2374" s="34" t="s">
        <v>12</v>
      </c>
    </row>
    <row r="2375" ht="33.75" spans="1:11">
      <c r="A2375" s="34">
        <v>2374</v>
      </c>
      <c r="B2375" s="29" t="s">
        <v>2737</v>
      </c>
      <c r="C2375" s="29" t="str">
        <f>VLOOKUP(B2375,教育部大学名单!$B$1:$D$2920,3,FALSE)</f>
        <v>甘肃省</v>
      </c>
      <c r="D2375" s="29" t="s">
        <v>1156</v>
      </c>
      <c r="E2375" s="29" t="s">
        <v>1165</v>
      </c>
      <c r="F2375" s="36" t="str">
        <f>IFERROR(VLOOKUP(B2375,'985'!$B$2:$D$40,3,FALSE),"")</f>
        <v/>
      </c>
      <c r="G2375" s="32" t="str">
        <f>IFERROR(VLOOKUP(B2375,'211'!$B$2:$D$116,3,FALSE),"")</f>
        <v/>
      </c>
      <c r="H2375" s="32" t="str">
        <f>IFERROR(VLOOKUP(B2375,双一流!$B$2:$D$148,3,FALSE),"")</f>
        <v/>
      </c>
      <c r="I2375" s="32">
        <f>IFERROR(VLOOKUP(B2375,汇总!$B$2:$I$2921,8,FALSE),"")</f>
        <v>0</v>
      </c>
      <c r="J2375" s="29" t="s">
        <v>1700</v>
      </c>
      <c r="K2375" s="29" t="s">
        <v>12</v>
      </c>
    </row>
    <row r="2376" ht="33.75" spans="1:11">
      <c r="A2376" s="29">
        <v>2375</v>
      </c>
      <c r="B2376" s="34" t="s">
        <v>2738</v>
      </c>
      <c r="C2376" s="29" t="str">
        <f>VLOOKUP(B2376,教育部大学名单!$B$1:$D$2920,3,FALSE)</f>
        <v>甘肃省</v>
      </c>
      <c r="D2376" s="34" t="s">
        <v>1156</v>
      </c>
      <c r="E2376" s="34" t="s">
        <v>2739</v>
      </c>
      <c r="F2376" s="36" t="str">
        <f>IFERROR(VLOOKUP(B2376,'985'!$B$2:$D$40,3,FALSE),"")</f>
        <v/>
      </c>
      <c r="G2376" s="32" t="str">
        <f>IFERROR(VLOOKUP(B2376,'211'!$B$2:$D$116,3,FALSE),"")</f>
        <v/>
      </c>
      <c r="H2376" s="32" t="str">
        <f>IFERROR(VLOOKUP(B2376,双一流!$B$2:$D$148,3,FALSE),"")</f>
        <v/>
      </c>
      <c r="I2376" s="32">
        <f>IFERROR(VLOOKUP(B2376,汇总!$B$2:$I$2921,8,FALSE),"")</f>
        <v>0</v>
      </c>
      <c r="J2376" s="34" t="s">
        <v>1700</v>
      </c>
      <c r="K2376" s="34" t="s">
        <v>12</v>
      </c>
    </row>
    <row r="2377" ht="33.75" spans="1:11">
      <c r="A2377" s="34">
        <v>2376</v>
      </c>
      <c r="B2377" s="29" t="s">
        <v>2740</v>
      </c>
      <c r="C2377" s="29" t="str">
        <f>VLOOKUP(B2377,教育部大学名单!$B$1:$D$2920,3,FALSE)</f>
        <v>甘肃省</v>
      </c>
      <c r="D2377" s="29" t="s">
        <v>1156</v>
      </c>
      <c r="E2377" s="29" t="s">
        <v>1157</v>
      </c>
      <c r="F2377" s="36" t="str">
        <f>IFERROR(VLOOKUP(B2377,'985'!$B$2:$D$40,3,FALSE),"")</f>
        <v/>
      </c>
      <c r="G2377" s="32" t="str">
        <f>IFERROR(VLOOKUP(B2377,'211'!$B$2:$D$116,3,FALSE),"")</f>
        <v/>
      </c>
      <c r="H2377" s="32" t="str">
        <f>IFERROR(VLOOKUP(B2377,双一流!$B$2:$D$148,3,FALSE),"")</f>
        <v/>
      </c>
      <c r="I2377" s="32" t="str">
        <f>IFERROR(VLOOKUP(B2377,汇总!$B$2:$I$2921,8,FALSE),"")</f>
        <v>综合</v>
      </c>
      <c r="J2377" s="29" t="s">
        <v>1700</v>
      </c>
      <c r="K2377" s="29" t="s">
        <v>12</v>
      </c>
    </row>
    <row r="2378" ht="33.75" spans="1:11">
      <c r="A2378" s="29">
        <v>2377</v>
      </c>
      <c r="B2378" s="34" t="s">
        <v>2741</v>
      </c>
      <c r="C2378" s="29" t="str">
        <f>VLOOKUP(B2378,教育部大学名单!$B$1:$D$2920,3,FALSE)</f>
        <v>甘肃省</v>
      </c>
      <c r="D2378" s="34" t="s">
        <v>1156</v>
      </c>
      <c r="E2378" s="34" t="s">
        <v>1177</v>
      </c>
      <c r="F2378" s="36" t="str">
        <f>IFERROR(VLOOKUP(B2378,'985'!$B$2:$D$40,3,FALSE),"")</f>
        <v/>
      </c>
      <c r="G2378" s="32" t="str">
        <f>IFERROR(VLOOKUP(B2378,'211'!$B$2:$D$116,3,FALSE),"")</f>
        <v/>
      </c>
      <c r="H2378" s="32" t="str">
        <f>IFERROR(VLOOKUP(B2378,双一流!$B$2:$D$148,3,FALSE),"")</f>
        <v/>
      </c>
      <c r="I2378" s="32" t="str">
        <f>IFERROR(VLOOKUP(B2378,汇总!$B$2:$I$2921,8,FALSE),"")</f>
        <v>综合</v>
      </c>
      <c r="J2378" s="34" t="s">
        <v>1700</v>
      </c>
      <c r="K2378" s="34" t="s">
        <v>12</v>
      </c>
    </row>
    <row r="2379" ht="33.75" spans="1:11">
      <c r="A2379" s="34">
        <v>2378</v>
      </c>
      <c r="B2379" s="29" t="s">
        <v>2742</v>
      </c>
      <c r="C2379" s="29" t="str">
        <f>VLOOKUP(B2379,教育部大学名单!$B$1:$D$2920,3,FALSE)</f>
        <v>甘肃省</v>
      </c>
      <c r="D2379" s="29" t="s">
        <v>1156</v>
      </c>
      <c r="E2379" s="29" t="s">
        <v>1169</v>
      </c>
      <c r="F2379" s="36" t="str">
        <f>IFERROR(VLOOKUP(B2379,'985'!$B$2:$D$40,3,FALSE),"")</f>
        <v/>
      </c>
      <c r="G2379" s="32" t="str">
        <f>IFERROR(VLOOKUP(B2379,'211'!$B$2:$D$116,3,FALSE),"")</f>
        <v/>
      </c>
      <c r="H2379" s="32" t="str">
        <f>IFERROR(VLOOKUP(B2379,双一流!$B$2:$D$148,3,FALSE),"")</f>
        <v/>
      </c>
      <c r="I2379" s="32">
        <f>IFERROR(VLOOKUP(B2379,汇总!$B$2:$I$2921,8,FALSE),"")</f>
        <v>0</v>
      </c>
      <c r="J2379" s="29" t="s">
        <v>1700</v>
      </c>
      <c r="K2379" s="29" t="s">
        <v>12</v>
      </c>
    </row>
    <row r="2380" ht="33.75" spans="1:11">
      <c r="A2380" s="29">
        <v>2379</v>
      </c>
      <c r="B2380" s="34" t="s">
        <v>2743</v>
      </c>
      <c r="C2380" s="29" t="str">
        <f>VLOOKUP(B2380,教育部大学名单!$B$1:$D$2920,3,FALSE)</f>
        <v>甘肃省</v>
      </c>
      <c r="D2380" s="34" t="s">
        <v>1156</v>
      </c>
      <c r="E2380" s="34" t="s">
        <v>1157</v>
      </c>
      <c r="F2380" s="36" t="str">
        <f>IFERROR(VLOOKUP(B2380,'985'!$B$2:$D$40,3,FALSE),"")</f>
        <v/>
      </c>
      <c r="G2380" s="32" t="str">
        <f>IFERROR(VLOOKUP(B2380,'211'!$B$2:$D$116,3,FALSE),"")</f>
        <v/>
      </c>
      <c r="H2380" s="32" t="str">
        <f>IFERROR(VLOOKUP(B2380,双一流!$B$2:$D$148,3,FALSE),"")</f>
        <v/>
      </c>
      <c r="I2380" s="32">
        <f>IFERROR(VLOOKUP(B2380,汇总!$B$2:$I$2921,8,FALSE),"")</f>
        <v>0</v>
      </c>
      <c r="J2380" s="34" t="s">
        <v>1700</v>
      </c>
      <c r="K2380" s="34" t="s">
        <v>12</v>
      </c>
    </row>
    <row r="2381" ht="33.75" spans="1:11">
      <c r="A2381" s="34">
        <v>2380</v>
      </c>
      <c r="B2381" s="29" t="s">
        <v>2744</v>
      </c>
      <c r="C2381" s="29" t="str">
        <f>VLOOKUP(B2381,教育部大学名单!$B$1:$D$2920,3,FALSE)</f>
        <v>甘肃省</v>
      </c>
      <c r="D2381" s="29" t="s">
        <v>1156</v>
      </c>
      <c r="E2381" s="29" t="s">
        <v>1157</v>
      </c>
      <c r="F2381" s="36" t="str">
        <f>IFERROR(VLOOKUP(B2381,'985'!$B$2:$D$40,3,FALSE),"")</f>
        <v/>
      </c>
      <c r="G2381" s="32" t="str">
        <f>IFERROR(VLOOKUP(B2381,'211'!$B$2:$D$116,3,FALSE),"")</f>
        <v/>
      </c>
      <c r="H2381" s="32" t="str">
        <f>IFERROR(VLOOKUP(B2381,双一流!$B$2:$D$148,3,FALSE),"")</f>
        <v/>
      </c>
      <c r="I2381" s="32" t="str">
        <f>IFERROR(VLOOKUP(B2381,汇总!$B$2:$I$2921,8,FALSE),"")</f>
        <v>财经</v>
      </c>
      <c r="J2381" s="29" t="s">
        <v>1700</v>
      </c>
      <c r="K2381" s="29" t="s">
        <v>12</v>
      </c>
    </row>
    <row r="2382" ht="33.75" spans="1:11">
      <c r="A2382" s="29">
        <v>2381</v>
      </c>
      <c r="B2382" s="34" t="s">
        <v>2745</v>
      </c>
      <c r="C2382" s="29" t="str">
        <f>VLOOKUP(B2382,教育部大学名单!$B$1:$D$2920,3,FALSE)</f>
        <v>青海省</v>
      </c>
      <c r="D2382" s="34" t="s">
        <v>1191</v>
      </c>
      <c r="E2382" s="34" t="s">
        <v>1192</v>
      </c>
      <c r="F2382" s="36" t="str">
        <f>IFERROR(VLOOKUP(B2382,'985'!$B$2:$D$40,3,FALSE),"")</f>
        <v/>
      </c>
      <c r="G2382" s="32" t="str">
        <f>IFERROR(VLOOKUP(B2382,'211'!$B$2:$D$116,3,FALSE),"")</f>
        <v/>
      </c>
      <c r="H2382" s="32" t="str">
        <f>IFERROR(VLOOKUP(B2382,双一流!$B$2:$D$148,3,FALSE),"")</f>
        <v/>
      </c>
      <c r="I2382" s="32" t="str">
        <f>IFERROR(VLOOKUP(B2382,汇总!$B$2:$I$2921,8,FALSE),"")</f>
        <v>医药</v>
      </c>
      <c r="J2382" s="34" t="s">
        <v>1700</v>
      </c>
      <c r="K2382" s="34" t="s">
        <v>12</v>
      </c>
    </row>
    <row r="2383" ht="33.75" spans="1:11">
      <c r="A2383" s="34">
        <v>2382</v>
      </c>
      <c r="B2383" s="29" t="s">
        <v>2746</v>
      </c>
      <c r="C2383" s="29" t="str">
        <f>VLOOKUP(B2383,教育部大学名单!$B$1:$D$2920,3,FALSE)</f>
        <v>青海省</v>
      </c>
      <c r="D2383" s="29" t="s">
        <v>1191</v>
      </c>
      <c r="E2383" s="29" t="s">
        <v>1192</v>
      </c>
      <c r="F2383" s="36" t="str">
        <f>IFERROR(VLOOKUP(B2383,'985'!$B$2:$D$40,3,FALSE),"")</f>
        <v/>
      </c>
      <c r="G2383" s="32" t="str">
        <f>IFERROR(VLOOKUP(B2383,'211'!$B$2:$D$116,3,FALSE),"")</f>
        <v/>
      </c>
      <c r="H2383" s="32" t="str">
        <f>IFERROR(VLOOKUP(B2383,双一流!$B$2:$D$148,3,FALSE),"")</f>
        <v/>
      </c>
      <c r="I2383" s="32" t="str">
        <f>IFERROR(VLOOKUP(B2383,汇总!$B$2:$I$2921,8,FALSE),"")</f>
        <v>政法</v>
      </c>
      <c r="J2383" s="29" t="s">
        <v>1700</v>
      </c>
      <c r="K2383" s="29" t="s">
        <v>12</v>
      </c>
    </row>
    <row r="2384" ht="33.75" spans="1:11">
      <c r="A2384" s="29">
        <v>2383</v>
      </c>
      <c r="B2384" s="34" t="s">
        <v>2747</v>
      </c>
      <c r="C2384" s="29" t="str">
        <f>VLOOKUP(B2384,教育部大学名单!$B$1:$D$2920,3,FALSE)</f>
        <v>青海省</v>
      </c>
      <c r="D2384" s="34" t="s">
        <v>1191</v>
      </c>
      <c r="E2384" s="34" t="s">
        <v>1192</v>
      </c>
      <c r="F2384" s="36" t="str">
        <f>IFERROR(VLOOKUP(B2384,'985'!$B$2:$D$40,3,FALSE),"")</f>
        <v/>
      </c>
      <c r="G2384" s="32" t="str">
        <f>IFERROR(VLOOKUP(B2384,'211'!$B$2:$D$116,3,FALSE),"")</f>
        <v/>
      </c>
      <c r="H2384" s="32" t="str">
        <f>IFERROR(VLOOKUP(B2384,双一流!$B$2:$D$148,3,FALSE),"")</f>
        <v/>
      </c>
      <c r="I2384" s="32" t="str">
        <f>IFERROR(VLOOKUP(B2384,汇总!$B$2:$I$2921,8,FALSE),"")</f>
        <v>农林</v>
      </c>
      <c r="J2384" s="34" t="s">
        <v>1700</v>
      </c>
      <c r="K2384" s="34" t="s">
        <v>12</v>
      </c>
    </row>
    <row r="2385" ht="33.75" spans="1:11">
      <c r="A2385" s="34">
        <v>2384</v>
      </c>
      <c r="B2385" s="29" t="s">
        <v>2748</v>
      </c>
      <c r="C2385" s="29" t="str">
        <f>VLOOKUP(B2385,教育部大学名单!$B$1:$D$2920,3,FALSE)</f>
        <v>青海省</v>
      </c>
      <c r="D2385" s="29" t="s">
        <v>1191</v>
      </c>
      <c r="E2385" s="29" t="s">
        <v>1192</v>
      </c>
      <c r="F2385" s="36" t="str">
        <f>IFERROR(VLOOKUP(B2385,'985'!$B$2:$D$40,3,FALSE),"")</f>
        <v/>
      </c>
      <c r="G2385" s="32" t="str">
        <f>IFERROR(VLOOKUP(B2385,'211'!$B$2:$D$116,3,FALSE),"")</f>
        <v/>
      </c>
      <c r="H2385" s="32" t="str">
        <f>IFERROR(VLOOKUP(B2385,双一流!$B$2:$D$148,3,FALSE),"")</f>
        <v/>
      </c>
      <c r="I2385" s="32" t="str">
        <f>IFERROR(VLOOKUP(B2385,汇总!$B$2:$I$2921,8,FALSE),"")</f>
        <v>理工</v>
      </c>
      <c r="J2385" s="29" t="s">
        <v>1700</v>
      </c>
      <c r="K2385" s="29" t="s">
        <v>12</v>
      </c>
    </row>
    <row r="2386" ht="33.75" spans="1:11">
      <c r="A2386" s="29">
        <v>2385</v>
      </c>
      <c r="B2386" s="34" t="s">
        <v>2749</v>
      </c>
      <c r="C2386" s="29" t="str">
        <f>VLOOKUP(B2386,教育部大学名单!$B$1:$D$2920,3,FALSE)</f>
        <v>青海省</v>
      </c>
      <c r="D2386" s="34" t="s">
        <v>1191</v>
      </c>
      <c r="E2386" s="34" t="s">
        <v>1192</v>
      </c>
      <c r="F2386" s="36" t="str">
        <f>IFERROR(VLOOKUP(B2386,'985'!$B$2:$D$40,3,FALSE),"")</f>
        <v/>
      </c>
      <c r="G2386" s="32" t="str">
        <f>IFERROR(VLOOKUP(B2386,'211'!$B$2:$D$116,3,FALSE),"")</f>
        <v/>
      </c>
      <c r="H2386" s="32" t="str">
        <f>IFERROR(VLOOKUP(B2386,双一流!$B$2:$D$148,3,FALSE),"")</f>
        <v/>
      </c>
      <c r="I2386" s="32" t="str">
        <f>IFERROR(VLOOKUP(B2386,汇总!$B$2:$I$2921,8,FALSE),"")</f>
        <v>综合</v>
      </c>
      <c r="J2386" s="34" t="s">
        <v>1700</v>
      </c>
      <c r="K2386" s="34" t="s">
        <v>12</v>
      </c>
    </row>
    <row r="2387" ht="33.75" spans="1:11">
      <c r="A2387" s="34">
        <v>2386</v>
      </c>
      <c r="B2387" s="29" t="s">
        <v>2750</v>
      </c>
      <c r="C2387" s="29" t="str">
        <f>VLOOKUP(B2387,教育部大学名单!$B$1:$D$2920,3,FALSE)</f>
        <v>青海省</v>
      </c>
      <c r="D2387" s="29" t="s">
        <v>1191</v>
      </c>
      <c r="E2387" s="29" t="s">
        <v>2751</v>
      </c>
      <c r="F2387" s="36" t="str">
        <f>IFERROR(VLOOKUP(B2387,'985'!$B$2:$D$40,3,FALSE),"")</f>
        <v/>
      </c>
      <c r="G2387" s="32" t="str">
        <f>IFERROR(VLOOKUP(B2387,'211'!$B$2:$D$116,3,FALSE),"")</f>
        <v/>
      </c>
      <c r="H2387" s="32" t="str">
        <f>IFERROR(VLOOKUP(B2387,双一流!$B$2:$D$148,3,FALSE),"")</f>
        <v/>
      </c>
      <c r="I2387" s="32" t="str">
        <f>IFERROR(VLOOKUP(B2387,汇总!$B$2:$I$2921,8,FALSE),"")</f>
        <v>综合</v>
      </c>
      <c r="J2387" s="29" t="s">
        <v>1700</v>
      </c>
      <c r="K2387" s="29" t="s">
        <v>12</v>
      </c>
    </row>
    <row r="2388" ht="50.25" spans="1:11">
      <c r="A2388" s="29">
        <v>2387</v>
      </c>
      <c r="B2388" s="34" t="s">
        <v>2752</v>
      </c>
      <c r="C2388" s="29" t="str">
        <f>VLOOKUP(B2388,教育部大学名单!$B$1:$D$2920,3,FALSE)</f>
        <v>青海省</v>
      </c>
      <c r="D2388" s="34" t="s">
        <v>1191</v>
      </c>
      <c r="E2388" s="34" t="s">
        <v>2753</v>
      </c>
      <c r="F2388" s="36" t="str">
        <f>IFERROR(VLOOKUP(B2388,'985'!$B$2:$D$40,3,FALSE),"")</f>
        <v/>
      </c>
      <c r="G2388" s="32" t="str">
        <f>IFERROR(VLOOKUP(B2388,'211'!$B$2:$D$116,3,FALSE),"")</f>
        <v/>
      </c>
      <c r="H2388" s="32" t="str">
        <f>IFERROR(VLOOKUP(B2388,双一流!$B$2:$D$148,3,FALSE),"")</f>
        <v/>
      </c>
      <c r="I2388" s="32">
        <f>IFERROR(VLOOKUP(B2388,汇总!$B$2:$I$2921,8,FALSE),"")</f>
        <v>0</v>
      </c>
      <c r="J2388" s="34" t="s">
        <v>1700</v>
      </c>
      <c r="K2388" s="34" t="s">
        <v>12</v>
      </c>
    </row>
    <row r="2389" ht="33.75" spans="1:11">
      <c r="A2389" s="34">
        <v>2388</v>
      </c>
      <c r="B2389" s="29" t="s">
        <v>2754</v>
      </c>
      <c r="C2389" s="29" t="str">
        <f>VLOOKUP(B2389,教育部大学名单!$B$1:$D$2920,3,FALSE)</f>
        <v>宁夏回族自治区</v>
      </c>
      <c r="D2389" s="29" t="s">
        <v>1197</v>
      </c>
      <c r="E2389" s="29" t="s">
        <v>2755</v>
      </c>
      <c r="F2389" s="36" t="str">
        <f>IFERROR(VLOOKUP(B2389,'985'!$B$2:$D$40,3,FALSE),"")</f>
        <v/>
      </c>
      <c r="G2389" s="32" t="str">
        <f>IFERROR(VLOOKUP(B2389,'211'!$B$2:$D$116,3,FALSE),"")</f>
        <v/>
      </c>
      <c r="H2389" s="32" t="str">
        <f>IFERROR(VLOOKUP(B2389,双一流!$B$2:$D$148,3,FALSE),"")</f>
        <v/>
      </c>
      <c r="I2389" s="32" t="str">
        <f>IFERROR(VLOOKUP(B2389,汇总!$B$2:$I$2921,8,FALSE),"")</f>
        <v>综合</v>
      </c>
      <c r="J2389" s="29" t="s">
        <v>1700</v>
      </c>
      <c r="K2389" s="29" t="s">
        <v>12</v>
      </c>
    </row>
    <row r="2390" ht="33.75" spans="1:11">
      <c r="A2390" s="29">
        <v>2389</v>
      </c>
      <c r="B2390" s="34" t="s">
        <v>2756</v>
      </c>
      <c r="C2390" s="29" t="str">
        <f>VLOOKUP(B2390,教育部大学名单!$B$1:$D$2920,3,FALSE)</f>
        <v>宁夏回族自治区</v>
      </c>
      <c r="D2390" s="34" t="s">
        <v>1197</v>
      </c>
      <c r="E2390" s="34" t="s">
        <v>1198</v>
      </c>
      <c r="F2390" s="36" t="str">
        <f>IFERROR(VLOOKUP(B2390,'985'!$B$2:$D$40,3,FALSE),"")</f>
        <v/>
      </c>
      <c r="G2390" s="32" t="str">
        <f>IFERROR(VLOOKUP(B2390,'211'!$B$2:$D$116,3,FALSE),"")</f>
        <v/>
      </c>
      <c r="H2390" s="32" t="str">
        <f>IFERROR(VLOOKUP(B2390,双一流!$B$2:$D$148,3,FALSE),"")</f>
        <v/>
      </c>
      <c r="I2390" s="32">
        <f>IFERROR(VLOOKUP(B2390,汇总!$B$2:$I$2921,8,FALSE),"")</f>
        <v>0</v>
      </c>
      <c r="J2390" s="34" t="s">
        <v>1700</v>
      </c>
      <c r="K2390" s="34" t="s">
        <v>12</v>
      </c>
    </row>
    <row r="2391" ht="33.75" spans="1:11">
      <c r="A2391" s="34">
        <v>2390</v>
      </c>
      <c r="B2391" s="29" t="s">
        <v>2757</v>
      </c>
      <c r="C2391" s="29" t="str">
        <f>VLOOKUP(B2391,教育部大学名单!$B$1:$D$2920,3,FALSE)</f>
        <v>宁夏回族自治区</v>
      </c>
      <c r="D2391" s="29" t="s">
        <v>1197</v>
      </c>
      <c r="E2391" s="29" t="s">
        <v>1198</v>
      </c>
      <c r="F2391" s="36" t="str">
        <f>IFERROR(VLOOKUP(B2391,'985'!$B$2:$D$40,3,FALSE),"")</f>
        <v/>
      </c>
      <c r="G2391" s="32" t="str">
        <f>IFERROR(VLOOKUP(B2391,'211'!$B$2:$D$116,3,FALSE),"")</f>
        <v/>
      </c>
      <c r="H2391" s="32" t="str">
        <f>IFERROR(VLOOKUP(B2391,双一流!$B$2:$D$148,3,FALSE),"")</f>
        <v/>
      </c>
      <c r="I2391" s="32" t="str">
        <f>IFERROR(VLOOKUP(B2391,汇总!$B$2:$I$2921,8,FALSE),"")</f>
        <v>财经</v>
      </c>
      <c r="J2391" s="29" t="s">
        <v>1700</v>
      </c>
      <c r="K2391" s="29" t="s">
        <v>12</v>
      </c>
    </row>
    <row r="2392" ht="33.75" spans="1:11">
      <c r="A2392" s="29">
        <v>2391</v>
      </c>
      <c r="B2392" s="34" t="s">
        <v>2758</v>
      </c>
      <c r="C2392" s="29" t="str">
        <f>VLOOKUP(B2392,教育部大学名单!$B$1:$D$2920,3,FALSE)</f>
        <v>宁夏回族自治区</v>
      </c>
      <c r="D2392" s="34" t="s">
        <v>1197</v>
      </c>
      <c r="E2392" s="34" t="s">
        <v>1198</v>
      </c>
      <c r="F2392" s="36" t="str">
        <f>IFERROR(VLOOKUP(B2392,'985'!$B$2:$D$40,3,FALSE),"")</f>
        <v/>
      </c>
      <c r="G2392" s="32" t="str">
        <f>IFERROR(VLOOKUP(B2392,'211'!$B$2:$D$116,3,FALSE),"")</f>
        <v/>
      </c>
      <c r="H2392" s="32" t="str">
        <f>IFERROR(VLOOKUP(B2392,双一流!$B$2:$D$148,3,FALSE),"")</f>
        <v/>
      </c>
      <c r="I2392" s="32" t="str">
        <f>IFERROR(VLOOKUP(B2392,汇总!$B$2:$I$2921,8,FALSE),"")</f>
        <v>政法</v>
      </c>
      <c r="J2392" s="34" t="s">
        <v>1700</v>
      </c>
      <c r="K2392" s="34" t="s">
        <v>12</v>
      </c>
    </row>
    <row r="2393" ht="33.75" spans="1:11">
      <c r="A2393" s="34">
        <v>2392</v>
      </c>
      <c r="B2393" s="29" t="s">
        <v>2759</v>
      </c>
      <c r="C2393" s="29" t="str">
        <f>VLOOKUP(B2393,教育部大学名单!$B$1:$D$2920,3,FALSE)</f>
        <v>宁夏回族自治区</v>
      </c>
      <c r="D2393" s="29" t="s">
        <v>1197</v>
      </c>
      <c r="E2393" s="29" t="s">
        <v>1198</v>
      </c>
      <c r="F2393" s="36" t="str">
        <f>IFERROR(VLOOKUP(B2393,'985'!$B$2:$D$40,3,FALSE),"")</f>
        <v/>
      </c>
      <c r="G2393" s="32" t="str">
        <f>IFERROR(VLOOKUP(B2393,'211'!$B$2:$D$116,3,FALSE),"")</f>
        <v/>
      </c>
      <c r="H2393" s="32" t="str">
        <f>IFERROR(VLOOKUP(B2393,双一流!$B$2:$D$148,3,FALSE),"")</f>
        <v/>
      </c>
      <c r="I2393" s="32" t="str">
        <f>IFERROR(VLOOKUP(B2393,汇总!$B$2:$I$2921,8,FALSE),"")</f>
        <v>理工</v>
      </c>
      <c r="J2393" s="29" t="s">
        <v>1700</v>
      </c>
      <c r="K2393" s="29" t="s">
        <v>12</v>
      </c>
    </row>
    <row r="2394" ht="66.75" spans="1:11">
      <c r="A2394" s="29">
        <v>2393</v>
      </c>
      <c r="B2394" s="34" t="s">
        <v>2760</v>
      </c>
      <c r="C2394" s="29" t="str">
        <f>VLOOKUP(B2394,教育部大学名单!$B$1:$D$2920,3,FALSE)</f>
        <v>宁夏回族自治区</v>
      </c>
      <c r="D2394" s="34" t="s">
        <v>1197</v>
      </c>
      <c r="E2394" s="34" t="s">
        <v>1198</v>
      </c>
      <c r="F2394" s="36" t="str">
        <f>IFERROR(VLOOKUP(B2394,'985'!$B$2:$D$40,3,FALSE),"")</f>
        <v/>
      </c>
      <c r="G2394" s="32" t="str">
        <f>IFERROR(VLOOKUP(B2394,'211'!$B$2:$D$116,3,FALSE),"")</f>
        <v/>
      </c>
      <c r="H2394" s="32" t="str">
        <f>IFERROR(VLOOKUP(B2394,双一流!$B$2:$D$148,3,FALSE),"")</f>
        <v/>
      </c>
      <c r="I2394" s="32">
        <f>IFERROR(VLOOKUP(B2394,汇总!$B$2:$I$2921,8,FALSE),"")</f>
        <v>0</v>
      </c>
      <c r="J2394" s="34" t="s">
        <v>1700</v>
      </c>
      <c r="K2394" s="34" t="s">
        <v>12</v>
      </c>
    </row>
    <row r="2395" ht="50.25" spans="1:11">
      <c r="A2395" s="34">
        <v>2394</v>
      </c>
      <c r="B2395" s="29" t="s">
        <v>2761</v>
      </c>
      <c r="C2395" s="29" t="str">
        <f>VLOOKUP(B2395,教育部大学名单!$B$1:$D$2920,3,FALSE)</f>
        <v>宁夏回族自治区</v>
      </c>
      <c r="D2395" s="29" t="s">
        <v>1197</v>
      </c>
      <c r="E2395" s="29" t="s">
        <v>1198</v>
      </c>
      <c r="F2395" s="36" t="str">
        <f>IFERROR(VLOOKUP(B2395,'985'!$B$2:$D$40,3,FALSE),"")</f>
        <v/>
      </c>
      <c r="G2395" s="32" t="str">
        <f>IFERROR(VLOOKUP(B2395,'211'!$B$2:$D$116,3,FALSE),"")</f>
        <v/>
      </c>
      <c r="H2395" s="32" t="str">
        <f>IFERROR(VLOOKUP(B2395,双一流!$B$2:$D$148,3,FALSE),"")</f>
        <v/>
      </c>
      <c r="I2395" s="32" t="str">
        <f>IFERROR(VLOOKUP(B2395,汇总!$B$2:$I$2921,8,FALSE),"")</f>
        <v>师范</v>
      </c>
      <c r="J2395" s="29" t="s">
        <v>1700</v>
      </c>
      <c r="K2395" s="29" t="s">
        <v>12</v>
      </c>
    </row>
    <row r="2396" ht="33.75" spans="1:11">
      <c r="A2396" s="29">
        <v>2395</v>
      </c>
      <c r="B2396" s="34" t="s">
        <v>2762</v>
      </c>
      <c r="C2396" s="29" t="str">
        <f>VLOOKUP(B2396,教育部大学名单!$B$1:$D$2920,3,FALSE)</f>
        <v>宁夏回族自治区</v>
      </c>
      <c r="D2396" s="34" t="s">
        <v>1197</v>
      </c>
      <c r="E2396" s="34" t="s">
        <v>1198</v>
      </c>
      <c r="F2396" s="36" t="str">
        <f>IFERROR(VLOOKUP(B2396,'985'!$B$2:$D$40,3,FALSE),"")</f>
        <v/>
      </c>
      <c r="G2396" s="32" t="str">
        <f>IFERROR(VLOOKUP(B2396,'211'!$B$2:$D$116,3,FALSE),"")</f>
        <v/>
      </c>
      <c r="H2396" s="32" t="str">
        <f>IFERROR(VLOOKUP(B2396,双一流!$B$2:$D$148,3,FALSE),"")</f>
        <v/>
      </c>
      <c r="I2396" s="32">
        <f>IFERROR(VLOOKUP(B2396,汇总!$B$2:$I$2921,8,FALSE),"")</f>
        <v>0</v>
      </c>
      <c r="J2396" s="34" t="s">
        <v>1700</v>
      </c>
      <c r="K2396" s="34" t="s">
        <v>12</v>
      </c>
    </row>
    <row r="2397" ht="33.75" spans="1:11">
      <c r="A2397" s="34">
        <v>2396</v>
      </c>
      <c r="B2397" s="29" t="s">
        <v>2763</v>
      </c>
      <c r="C2397" s="29" t="str">
        <f>VLOOKUP(B2397,教育部大学名单!$B$1:$D$2920,3,FALSE)</f>
        <v>宁夏回族自治区</v>
      </c>
      <c r="D2397" s="29" t="s">
        <v>1197</v>
      </c>
      <c r="E2397" s="29" t="s">
        <v>1198</v>
      </c>
      <c r="F2397" s="36" t="str">
        <f>IFERROR(VLOOKUP(B2397,'985'!$B$2:$D$40,3,FALSE),"")</f>
        <v/>
      </c>
      <c r="G2397" s="32" t="str">
        <f>IFERROR(VLOOKUP(B2397,'211'!$B$2:$D$116,3,FALSE),"")</f>
        <v/>
      </c>
      <c r="H2397" s="32" t="str">
        <f>IFERROR(VLOOKUP(B2397,双一流!$B$2:$D$148,3,FALSE),"")</f>
        <v/>
      </c>
      <c r="I2397" s="32">
        <f>IFERROR(VLOOKUP(B2397,汇总!$B$2:$I$2921,8,FALSE),"")</f>
        <v>0</v>
      </c>
      <c r="J2397" s="29" t="s">
        <v>1700</v>
      </c>
      <c r="K2397" s="29" t="s">
        <v>12</v>
      </c>
    </row>
    <row r="2398" ht="50.25" spans="1:11">
      <c r="A2398" s="29">
        <v>2397</v>
      </c>
      <c r="B2398" s="34" t="s">
        <v>2764</v>
      </c>
      <c r="C2398" s="29" t="str">
        <f>VLOOKUP(B2398,教育部大学名单!$B$1:$D$2920,3,FALSE)</f>
        <v>宁夏回族自治区</v>
      </c>
      <c r="D2398" s="34" t="s">
        <v>1197</v>
      </c>
      <c r="E2398" s="34" t="s">
        <v>1669</v>
      </c>
      <c r="F2398" s="36" t="str">
        <f>IFERROR(VLOOKUP(B2398,'985'!$B$2:$D$40,3,FALSE),"")</f>
        <v/>
      </c>
      <c r="G2398" s="32" t="str">
        <f>IFERROR(VLOOKUP(B2398,'211'!$B$2:$D$116,3,FALSE),"")</f>
        <v/>
      </c>
      <c r="H2398" s="32" t="str">
        <f>IFERROR(VLOOKUP(B2398,双一流!$B$2:$D$148,3,FALSE),"")</f>
        <v/>
      </c>
      <c r="I2398" s="32">
        <f>IFERROR(VLOOKUP(B2398,汇总!$B$2:$I$2921,8,FALSE),"")</f>
        <v>0</v>
      </c>
      <c r="J2398" s="34" t="s">
        <v>1700</v>
      </c>
      <c r="K2398" s="34" t="s">
        <v>12</v>
      </c>
    </row>
    <row r="2399" ht="33.75" spans="1:11">
      <c r="A2399" s="34">
        <v>2398</v>
      </c>
      <c r="B2399" s="29" t="s">
        <v>2765</v>
      </c>
      <c r="C2399" s="29" t="str">
        <f>VLOOKUP(B2399,教育部大学名单!$B$1:$D$2920,3,FALSE)</f>
        <v>新疆维吾尔自治区</v>
      </c>
      <c r="D2399" s="29" t="s">
        <v>1206</v>
      </c>
      <c r="E2399" s="29" t="s">
        <v>1207</v>
      </c>
      <c r="F2399" s="36" t="str">
        <f>IFERROR(VLOOKUP(B2399,'985'!$B$2:$D$40,3,FALSE),"")</f>
        <v/>
      </c>
      <c r="G2399" s="32" t="str">
        <f>IFERROR(VLOOKUP(B2399,'211'!$B$2:$D$116,3,FALSE),"")</f>
        <v/>
      </c>
      <c r="H2399" s="32" t="str">
        <f>IFERROR(VLOOKUP(B2399,双一流!$B$2:$D$148,3,FALSE),"")</f>
        <v/>
      </c>
      <c r="I2399" s="32">
        <f>IFERROR(VLOOKUP(B2399,汇总!$B$2:$I$2921,8,FALSE),"")</f>
        <v>0</v>
      </c>
      <c r="J2399" s="29" t="s">
        <v>1700</v>
      </c>
      <c r="K2399" s="29" t="s">
        <v>12</v>
      </c>
    </row>
    <row r="2400" ht="33.75" spans="1:11">
      <c r="A2400" s="29">
        <v>2399</v>
      </c>
      <c r="B2400" s="34" t="s">
        <v>2766</v>
      </c>
      <c r="C2400" s="29" t="str">
        <f>VLOOKUP(B2400,教育部大学名单!$B$1:$D$2920,3,FALSE)</f>
        <v>新疆维吾尔自治区</v>
      </c>
      <c r="D2400" s="34" t="s">
        <v>1206</v>
      </c>
      <c r="E2400" s="34" t="s">
        <v>1228</v>
      </c>
      <c r="F2400" s="36" t="str">
        <f>IFERROR(VLOOKUP(B2400,'985'!$B$2:$D$40,3,FALSE),"")</f>
        <v/>
      </c>
      <c r="G2400" s="32" t="str">
        <f>IFERROR(VLOOKUP(B2400,'211'!$B$2:$D$116,3,FALSE),"")</f>
        <v/>
      </c>
      <c r="H2400" s="32" t="str">
        <f>IFERROR(VLOOKUP(B2400,双一流!$B$2:$D$148,3,FALSE),"")</f>
        <v/>
      </c>
      <c r="I2400" s="32" t="str">
        <f>IFERROR(VLOOKUP(B2400,汇总!$B$2:$I$2921,8,FALSE),"")</f>
        <v>理工</v>
      </c>
      <c r="J2400" s="34" t="s">
        <v>1700</v>
      </c>
      <c r="K2400" s="34" t="s">
        <v>12</v>
      </c>
    </row>
    <row r="2401" ht="33.75" spans="1:11">
      <c r="A2401" s="34">
        <v>2400</v>
      </c>
      <c r="B2401" s="29" t="s">
        <v>2767</v>
      </c>
      <c r="C2401" s="29" t="str">
        <f>VLOOKUP(B2401,教育部大学名单!$B$1:$D$2920,3,FALSE)</f>
        <v>新疆维吾尔自治区</v>
      </c>
      <c r="D2401" s="29" t="s">
        <v>1206</v>
      </c>
      <c r="E2401" s="29" t="s">
        <v>1207</v>
      </c>
      <c r="F2401" s="36" t="str">
        <f>IFERROR(VLOOKUP(B2401,'985'!$B$2:$D$40,3,FALSE),"")</f>
        <v/>
      </c>
      <c r="G2401" s="32" t="str">
        <f>IFERROR(VLOOKUP(B2401,'211'!$B$2:$D$116,3,FALSE),"")</f>
        <v/>
      </c>
      <c r="H2401" s="32" t="str">
        <f>IFERROR(VLOOKUP(B2401,双一流!$B$2:$D$148,3,FALSE),"")</f>
        <v/>
      </c>
      <c r="I2401" s="32">
        <f>IFERROR(VLOOKUP(B2401,汇总!$B$2:$I$2921,8,FALSE),"")</f>
        <v>0</v>
      </c>
      <c r="J2401" s="29" t="s">
        <v>1700</v>
      </c>
      <c r="K2401" s="29" t="s">
        <v>12</v>
      </c>
    </row>
    <row r="2402" ht="33.75" spans="1:11">
      <c r="A2402" s="29">
        <v>2401</v>
      </c>
      <c r="B2402" s="34" t="s">
        <v>2768</v>
      </c>
      <c r="C2402" s="29" t="str">
        <f>VLOOKUP(B2402,教育部大学名单!$B$1:$D$2920,3,FALSE)</f>
        <v>新疆维吾尔自治区</v>
      </c>
      <c r="D2402" s="34" t="s">
        <v>1206</v>
      </c>
      <c r="E2402" s="34" t="s">
        <v>1207</v>
      </c>
      <c r="F2402" s="36" t="str">
        <f>IFERROR(VLOOKUP(B2402,'985'!$B$2:$D$40,3,FALSE),"")</f>
        <v/>
      </c>
      <c r="G2402" s="32" t="str">
        <f>IFERROR(VLOOKUP(B2402,'211'!$B$2:$D$116,3,FALSE),"")</f>
        <v/>
      </c>
      <c r="H2402" s="32" t="str">
        <f>IFERROR(VLOOKUP(B2402,双一流!$B$2:$D$148,3,FALSE),"")</f>
        <v/>
      </c>
      <c r="I2402" s="32" t="str">
        <f>IFERROR(VLOOKUP(B2402,汇总!$B$2:$I$2921,8,FALSE),"")</f>
        <v>理工</v>
      </c>
      <c r="J2402" s="34" t="s">
        <v>1700</v>
      </c>
      <c r="K2402" s="34" t="s">
        <v>12</v>
      </c>
    </row>
    <row r="2403" ht="33.75" spans="1:11">
      <c r="A2403" s="34">
        <v>2402</v>
      </c>
      <c r="B2403" s="29" t="s">
        <v>2769</v>
      </c>
      <c r="C2403" s="29" t="str">
        <f>VLOOKUP(B2403,教育部大学名单!$B$1:$D$2920,3,FALSE)</f>
        <v>新疆维吾尔自治区</v>
      </c>
      <c r="D2403" s="29" t="s">
        <v>1206</v>
      </c>
      <c r="E2403" s="29" t="s">
        <v>1223</v>
      </c>
      <c r="F2403" s="36" t="str">
        <f>IFERROR(VLOOKUP(B2403,'985'!$B$2:$D$40,3,FALSE),"")</f>
        <v/>
      </c>
      <c r="G2403" s="32" t="str">
        <f>IFERROR(VLOOKUP(B2403,'211'!$B$2:$D$116,3,FALSE),"")</f>
        <v/>
      </c>
      <c r="H2403" s="32" t="str">
        <f>IFERROR(VLOOKUP(B2403,双一流!$B$2:$D$148,3,FALSE),"")</f>
        <v/>
      </c>
      <c r="I2403" s="32" t="str">
        <f>IFERROR(VLOOKUP(B2403,汇总!$B$2:$I$2921,8,FALSE),"")</f>
        <v>理工</v>
      </c>
      <c r="J2403" s="29" t="s">
        <v>1700</v>
      </c>
      <c r="K2403" s="29" t="s">
        <v>12</v>
      </c>
    </row>
    <row r="2404" ht="33.75" spans="1:11">
      <c r="A2404" s="29">
        <v>2403</v>
      </c>
      <c r="B2404" s="34" t="s">
        <v>2770</v>
      </c>
      <c r="C2404" s="29" t="str">
        <f>VLOOKUP(B2404,教育部大学名单!$B$1:$D$2920,3,FALSE)</f>
        <v>新疆维吾尔自治区</v>
      </c>
      <c r="D2404" s="34" t="s">
        <v>1206</v>
      </c>
      <c r="E2404" s="34" t="s">
        <v>1218</v>
      </c>
      <c r="F2404" s="36" t="str">
        <f>IFERROR(VLOOKUP(B2404,'985'!$B$2:$D$40,3,FALSE),"")</f>
        <v/>
      </c>
      <c r="G2404" s="32" t="str">
        <f>IFERROR(VLOOKUP(B2404,'211'!$B$2:$D$116,3,FALSE),"")</f>
        <v/>
      </c>
      <c r="H2404" s="32" t="str">
        <f>IFERROR(VLOOKUP(B2404,双一流!$B$2:$D$148,3,FALSE),"")</f>
        <v/>
      </c>
      <c r="I2404" s="32" t="str">
        <f>IFERROR(VLOOKUP(B2404,汇总!$B$2:$I$2921,8,FALSE),"")</f>
        <v>农林</v>
      </c>
      <c r="J2404" s="34" t="s">
        <v>1700</v>
      </c>
      <c r="K2404" s="34" t="s">
        <v>12</v>
      </c>
    </row>
    <row r="2405" ht="33.75" spans="1:11">
      <c r="A2405" s="34">
        <v>2404</v>
      </c>
      <c r="B2405" s="29" t="s">
        <v>2771</v>
      </c>
      <c r="C2405" s="29" t="str">
        <f>VLOOKUP(B2405,教育部大学名单!$B$1:$D$2920,3,FALSE)</f>
        <v>新疆维吾尔自治区</v>
      </c>
      <c r="D2405" s="29" t="s">
        <v>1206</v>
      </c>
      <c r="E2405" s="29" t="s">
        <v>1226</v>
      </c>
      <c r="F2405" s="36" t="str">
        <f>IFERROR(VLOOKUP(B2405,'985'!$B$2:$D$40,3,FALSE),"")</f>
        <v/>
      </c>
      <c r="G2405" s="32" t="str">
        <f>IFERROR(VLOOKUP(B2405,'211'!$B$2:$D$116,3,FALSE),"")</f>
        <v/>
      </c>
      <c r="H2405" s="32" t="str">
        <f>IFERROR(VLOOKUP(B2405,双一流!$B$2:$D$148,3,FALSE),"")</f>
        <v/>
      </c>
      <c r="I2405" s="32" t="str">
        <f>IFERROR(VLOOKUP(B2405,汇总!$B$2:$I$2921,8,FALSE),"")</f>
        <v>综合</v>
      </c>
      <c r="J2405" s="29" t="s">
        <v>1700</v>
      </c>
      <c r="K2405" s="29" t="s">
        <v>12</v>
      </c>
    </row>
    <row r="2406" ht="33.75" spans="1:11">
      <c r="A2406" s="29">
        <v>2405</v>
      </c>
      <c r="B2406" s="34" t="s">
        <v>2772</v>
      </c>
      <c r="C2406" s="29" t="str">
        <f>VLOOKUP(B2406,教育部大学名单!$B$1:$D$2920,3,FALSE)</f>
        <v>新疆维吾尔自治区</v>
      </c>
      <c r="D2406" s="34" t="s">
        <v>1206</v>
      </c>
      <c r="E2406" s="34" t="s">
        <v>1230</v>
      </c>
      <c r="F2406" s="36" t="str">
        <f>IFERROR(VLOOKUP(B2406,'985'!$B$2:$D$40,3,FALSE),"")</f>
        <v/>
      </c>
      <c r="G2406" s="32" t="str">
        <f>IFERROR(VLOOKUP(B2406,'211'!$B$2:$D$116,3,FALSE),"")</f>
        <v/>
      </c>
      <c r="H2406" s="32" t="str">
        <f>IFERROR(VLOOKUP(B2406,双一流!$B$2:$D$148,3,FALSE),"")</f>
        <v/>
      </c>
      <c r="I2406" s="32" t="str">
        <f>IFERROR(VLOOKUP(B2406,汇总!$B$2:$I$2921,8,FALSE),"")</f>
        <v>综合</v>
      </c>
      <c r="J2406" s="34" t="s">
        <v>1700</v>
      </c>
      <c r="K2406" s="34" t="s">
        <v>12</v>
      </c>
    </row>
    <row r="2407" ht="33.75" spans="1:11">
      <c r="A2407" s="34">
        <v>2406</v>
      </c>
      <c r="B2407" s="29" t="s">
        <v>2773</v>
      </c>
      <c r="C2407" s="29" t="str">
        <f>VLOOKUP(B2407,教育部大学名单!$B$1:$D$2920,3,FALSE)</f>
        <v>新疆维吾尔自治区</v>
      </c>
      <c r="D2407" s="29" t="s">
        <v>1206</v>
      </c>
      <c r="E2407" s="29" t="s">
        <v>1207</v>
      </c>
      <c r="F2407" s="36" t="str">
        <f>IFERROR(VLOOKUP(B2407,'985'!$B$2:$D$40,3,FALSE),"")</f>
        <v/>
      </c>
      <c r="G2407" s="32" t="str">
        <f>IFERROR(VLOOKUP(B2407,'211'!$B$2:$D$116,3,FALSE),"")</f>
        <v/>
      </c>
      <c r="H2407" s="32" t="str">
        <f>IFERROR(VLOOKUP(B2407,双一流!$B$2:$D$148,3,FALSE),"")</f>
        <v/>
      </c>
      <c r="I2407" s="32" t="str">
        <f>IFERROR(VLOOKUP(B2407,汇总!$B$2:$I$2921,8,FALSE),"")</f>
        <v>理工</v>
      </c>
      <c r="J2407" s="29" t="s">
        <v>1700</v>
      </c>
      <c r="K2407" s="29" t="s">
        <v>12</v>
      </c>
    </row>
    <row r="2408" ht="50.25" spans="1:11">
      <c r="A2408" s="29">
        <v>2407</v>
      </c>
      <c r="B2408" s="34" t="s">
        <v>2774</v>
      </c>
      <c r="C2408" s="29" t="str">
        <f>VLOOKUP(B2408,教育部大学名单!$B$1:$D$2920,3,FALSE)</f>
        <v>新疆生产建设兵团</v>
      </c>
      <c r="D2408" s="34" t="s">
        <v>1206</v>
      </c>
      <c r="E2408" s="34" t="s">
        <v>1212</v>
      </c>
      <c r="F2408" s="36" t="str">
        <f>IFERROR(VLOOKUP(B2408,'985'!$B$2:$D$40,3,FALSE),"")</f>
        <v/>
      </c>
      <c r="G2408" s="32" t="str">
        <f>IFERROR(VLOOKUP(B2408,'211'!$B$2:$D$116,3,FALSE),"")</f>
        <v/>
      </c>
      <c r="H2408" s="32" t="str">
        <f>IFERROR(VLOOKUP(B2408,双一流!$B$2:$D$148,3,FALSE),"")</f>
        <v/>
      </c>
      <c r="I2408" s="32" t="str">
        <f>IFERROR(VLOOKUP(B2408,汇总!$B$2:$I$2921,8,FALSE),"")</f>
        <v>综合</v>
      </c>
      <c r="J2408" s="34" t="s">
        <v>1700</v>
      </c>
      <c r="K2408" s="34" t="s">
        <v>12</v>
      </c>
    </row>
    <row r="2409" ht="33.75" spans="1:11">
      <c r="A2409" s="34">
        <v>2408</v>
      </c>
      <c r="B2409" s="29" t="s">
        <v>2775</v>
      </c>
      <c r="C2409" s="29" t="str">
        <f>VLOOKUP(B2409,教育部大学名单!$B$1:$D$2920,3,FALSE)</f>
        <v>新疆维吾尔自治区</v>
      </c>
      <c r="D2409" s="29" t="s">
        <v>1206</v>
      </c>
      <c r="E2409" s="29" t="s">
        <v>1207</v>
      </c>
      <c r="F2409" s="36" t="str">
        <f>IFERROR(VLOOKUP(B2409,'985'!$B$2:$D$40,3,FALSE),"")</f>
        <v/>
      </c>
      <c r="G2409" s="32" t="str">
        <f>IFERROR(VLOOKUP(B2409,'211'!$B$2:$D$116,3,FALSE),"")</f>
        <v/>
      </c>
      <c r="H2409" s="32" t="str">
        <f>IFERROR(VLOOKUP(B2409,双一流!$B$2:$D$148,3,FALSE),"")</f>
        <v/>
      </c>
      <c r="I2409" s="32" t="str">
        <f>IFERROR(VLOOKUP(B2409,汇总!$B$2:$I$2921,8,FALSE),"")</f>
        <v>综合</v>
      </c>
      <c r="J2409" s="29" t="s">
        <v>1700</v>
      </c>
      <c r="K2409" s="29" t="s">
        <v>12</v>
      </c>
    </row>
    <row r="2410" ht="33.75" spans="1:11">
      <c r="A2410" s="29">
        <v>2409</v>
      </c>
      <c r="B2410" s="34" t="s">
        <v>2776</v>
      </c>
      <c r="C2410" s="29" t="str">
        <f>VLOOKUP(B2410,教育部大学名单!$B$1:$D$2920,3,FALSE)</f>
        <v>新疆维吾尔自治区</v>
      </c>
      <c r="D2410" s="34" t="s">
        <v>1206</v>
      </c>
      <c r="E2410" s="34" t="s">
        <v>1207</v>
      </c>
      <c r="F2410" s="36" t="str">
        <f>IFERROR(VLOOKUP(B2410,'985'!$B$2:$D$40,3,FALSE),"")</f>
        <v/>
      </c>
      <c r="G2410" s="32" t="str">
        <f>IFERROR(VLOOKUP(B2410,'211'!$B$2:$D$116,3,FALSE),"")</f>
        <v/>
      </c>
      <c r="H2410" s="32" t="str">
        <f>IFERROR(VLOOKUP(B2410,双一流!$B$2:$D$148,3,FALSE),"")</f>
        <v/>
      </c>
      <c r="I2410" s="32">
        <f>IFERROR(VLOOKUP(B2410,汇总!$B$2:$I$2921,8,FALSE),"")</f>
        <v>0</v>
      </c>
      <c r="J2410" s="34" t="s">
        <v>1700</v>
      </c>
      <c r="K2410" s="34" t="s">
        <v>12</v>
      </c>
    </row>
    <row r="2411" ht="33.75" spans="1:11">
      <c r="A2411" s="34">
        <v>2410</v>
      </c>
      <c r="B2411" s="29" t="s">
        <v>2777</v>
      </c>
      <c r="C2411" s="29" t="str">
        <f>VLOOKUP(B2411,教育部大学名单!$B$1:$D$2920,3,FALSE)</f>
        <v>新疆维吾尔自治区</v>
      </c>
      <c r="D2411" s="29" t="s">
        <v>1206</v>
      </c>
      <c r="E2411" s="29" t="s">
        <v>1218</v>
      </c>
      <c r="F2411" s="36" t="str">
        <f>IFERROR(VLOOKUP(B2411,'985'!$B$2:$D$40,3,FALSE),"")</f>
        <v/>
      </c>
      <c r="G2411" s="32" t="str">
        <f>IFERROR(VLOOKUP(B2411,'211'!$B$2:$D$116,3,FALSE),"")</f>
        <v/>
      </c>
      <c r="H2411" s="32" t="str">
        <f>IFERROR(VLOOKUP(B2411,双一流!$B$2:$D$148,3,FALSE),"")</f>
        <v/>
      </c>
      <c r="I2411" s="32" t="str">
        <f>IFERROR(VLOOKUP(B2411,汇总!$B$2:$I$2921,8,FALSE),"")</f>
        <v>综合</v>
      </c>
      <c r="J2411" s="29" t="s">
        <v>1700</v>
      </c>
      <c r="K2411" s="29" t="s">
        <v>12</v>
      </c>
    </row>
    <row r="2412" ht="33.75" spans="1:11">
      <c r="A2412" s="29">
        <v>2411</v>
      </c>
      <c r="B2412" s="34" t="s">
        <v>2778</v>
      </c>
      <c r="C2412" s="29" t="str">
        <f>VLOOKUP(B2412,教育部大学名单!$B$1:$D$2920,3,FALSE)</f>
        <v>新疆维吾尔自治区</v>
      </c>
      <c r="D2412" s="34" t="s">
        <v>1206</v>
      </c>
      <c r="E2412" s="34" t="s">
        <v>1207</v>
      </c>
      <c r="F2412" s="36" t="str">
        <f>IFERROR(VLOOKUP(B2412,'985'!$B$2:$D$40,3,FALSE),"")</f>
        <v/>
      </c>
      <c r="G2412" s="32" t="str">
        <f>IFERROR(VLOOKUP(B2412,'211'!$B$2:$D$116,3,FALSE),"")</f>
        <v/>
      </c>
      <c r="H2412" s="32" t="str">
        <f>IFERROR(VLOOKUP(B2412,双一流!$B$2:$D$148,3,FALSE),"")</f>
        <v/>
      </c>
      <c r="I2412" s="32" t="str">
        <f>IFERROR(VLOOKUP(B2412,汇总!$B$2:$I$2921,8,FALSE),"")</f>
        <v>师范</v>
      </c>
      <c r="J2412" s="34" t="s">
        <v>1700</v>
      </c>
      <c r="K2412" s="34" t="s">
        <v>12</v>
      </c>
    </row>
    <row r="2413" ht="33.75" spans="1:11">
      <c r="A2413" s="34">
        <v>2412</v>
      </c>
      <c r="B2413" s="29" t="s">
        <v>2779</v>
      </c>
      <c r="C2413" s="29" t="str">
        <f>VLOOKUP(B2413,教育部大学名单!$B$1:$D$2920,3,FALSE)</f>
        <v>新疆维吾尔自治区</v>
      </c>
      <c r="D2413" s="29" t="s">
        <v>1206</v>
      </c>
      <c r="E2413" s="29" t="s">
        <v>1207</v>
      </c>
      <c r="F2413" s="36" t="str">
        <f>IFERROR(VLOOKUP(B2413,'985'!$B$2:$D$40,3,FALSE),"")</f>
        <v/>
      </c>
      <c r="G2413" s="32" t="str">
        <f>IFERROR(VLOOKUP(B2413,'211'!$B$2:$D$116,3,FALSE),"")</f>
        <v/>
      </c>
      <c r="H2413" s="32" t="str">
        <f>IFERROR(VLOOKUP(B2413,双一流!$B$2:$D$148,3,FALSE),"")</f>
        <v/>
      </c>
      <c r="I2413" s="32" t="str">
        <f>IFERROR(VLOOKUP(B2413,汇总!$B$2:$I$2921,8,FALSE),"")</f>
        <v>理工</v>
      </c>
      <c r="J2413" s="29" t="s">
        <v>1700</v>
      </c>
      <c r="K2413" s="29" t="s">
        <v>12</v>
      </c>
    </row>
    <row r="2414" ht="66.75" spans="1:11">
      <c r="A2414" s="29">
        <v>2413</v>
      </c>
      <c r="B2414" s="34" t="s">
        <v>2780</v>
      </c>
      <c r="C2414" s="29" t="str">
        <f>VLOOKUP(B2414,教育部大学名单!$B$1:$D$2920,3,FALSE)</f>
        <v>新疆生产建设兵团</v>
      </c>
      <c r="D2414" s="34" t="s">
        <v>1206</v>
      </c>
      <c r="E2414" s="34" t="s">
        <v>1207</v>
      </c>
      <c r="F2414" s="36" t="str">
        <f>IFERROR(VLOOKUP(B2414,'985'!$B$2:$D$40,3,FALSE),"")</f>
        <v/>
      </c>
      <c r="G2414" s="32" t="str">
        <f>IFERROR(VLOOKUP(B2414,'211'!$B$2:$D$116,3,FALSE),"")</f>
        <v/>
      </c>
      <c r="H2414" s="32" t="str">
        <f>IFERROR(VLOOKUP(B2414,双一流!$B$2:$D$148,3,FALSE),"")</f>
        <v/>
      </c>
      <c r="I2414" s="32">
        <f>IFERROR(VLOOKUP(B2414,汇总!$B$2:$I$2921,8,FALSE),"")</f>
        <v>0</v>
      </c>
      <c r="J2414" s="34" t="s">
        <v>1700</v>
      </c>
      <c r="K2414" s="34" t="s">
        <v>12</v>
      </c>
    </row>
    <row r="2415" ht="33.75" spans="1:11">
      <c r="A2415" s="34">
        <v>2414</v>
      </c>
      <c r="B2415" s="29" t="s">
        <v>2781</v>
      </c>
      <c r="C2415" s="29" t="str">
        <f>VLOOKUP(B2415,教育部大学名单!$B$1:$D$2920,3,FALSE)</f>
        <v>新疆维吾尔自治区</v>
      </c>
      <c r="D2415" s="29" t="s">
        <v>1206</v>
      </c>
      <c r="E2415" s="29" t="s">
        <v>2782</v>
      </c>
      <c r="F2415" s="36" t="str">
        <f>IFERROR(VLOOKUP(B2415,'985'!$B$2:$D$40,3,FALSE),"")</f>
        <v/>
      </c>
      <c r="G2415" s="32" t="str">
        <f>IFERROR(VLOOKUP(B2415,'211'!$B$2:$D$116,3,FALSE),"")</f>
        <v/>
      </c>
      <c r="H2415" s="32" t="str">
        <f>IFERROR(VLOOKUP(B2415,双一流!$B$2:$D$148,3,FALSE),"")</f>
        <v/>
      </c>
      <c r="I2415" s="32">
        <f>IFERROR(VLOOKUP(B2415,汇总!$B$2:$I$2921,8,FALSE),"")</f>
        <v>0</v>
      </c>
      <c r="J2415" s="29" t="s">
        <v>1700</v>
      </c>
      <c r="K2415" s="29" t="s">
        <v>12</v>
      </c>
    </row>
    <row r="2416" ht="33.75" spans="1:11">
      <c r="A2416" s="29">
        <v>2415</v>
      </c>
      <c r="B2416" s="34" t="s">
        <v>2783</v>
      </c>
      <c r="C2416" s="29" t="str">
        <f>VLOOKUP(B2416,教育部大学名单!$B$1:$D$2920,3,FALSE)</f>
        <v>新疆维吾尔自治区</v>
      </c>
      <c r="D2416" s="34" t="s">
        <v>1206</v>
      </c>
      <c r="E2416" s="34" t="s">
        <v>2784</v>
      </c>
      <c r="F2416" s="36" t="str">
        <f>IFERROR(VLOOKUP(B2416,'985'!$B$2:$D$40,3,FALSE),"")</f>
        <v/>
      </c>
      <c r="G2416" s="32" t="str">
        <f>IFERROR(VLOOKUP(B2416,'211'!$B$2:$D$116,3,FALSE),"")</f>
        <v/>
      </c>
      <c r="H2416" s="32" t="str">
        <f>IFERROR(VLOOKUP(B2416,双一流!$B$2:$D$148,3,FALSE),"")</f>
        <v/>
      </c>
      <c r="I2416" s="32" t="str">
        <f>IFERROR(VLOOKUP(B2416,汇总!$B$2:$I$2921,8,FALSE),"")</f>
        <v>综合</v>
      </c>
      <c r="J2416" s="34" t="s">
        <v>1700</v>
      </c>
      <c r="K2416" s="34" t="s">
        <v>12</v>
      </c>
    </row>
    <row r="2417" ht="33.75" spans="1:11">
      <c r="A2417" s="34">
        <v>2416</v>
      </c>
      <c r="B2417" s="29" t="s">
        <v>2785</v>
      </c>
      <c r="C2417" s="29" t="str">
        <f>VLOOKUP(B2417,教育部大学名单!$B$1:$D$2920,3,FALSE)</f>
        <v>新疆维吾尔自治区</v>
      </c>
      <c r="D2417" s="29" t="s">
        <v>1206</v>
      </c>
      <c r="E2417" s="29" t="s">
        <v>2786</v>
      </c>
      <c r="F2417" s="36" t="str">
        <f>IFERROR(VLOOKUP(B2417,'985'!$B$2:$D$40,3,FALSE),"")</f>
        <v/>
      </c>
      <c r="G2417" s="32" t="str">
        <f>IFERROR(VLOOKUP(B2417,'211'!$B$2:$D$116,3,FALSE),"")</f>
        <v/>
      </c>
      <c r="H2417" s="32" t="str">
        <f>IFERROR(VLOOKUP(B2417,双一流!$B$2:$D$148,3,FALSE),"")</f>
        <v/>
      </c>
      <c r="I2417" s="32">
        <f>IFERROR(VLOOKUP(B2417,汇总!$B$2:$I$2921,8,FALSE),"")</f>
        <v>0</v>
      </c>
      <c r="J2417" s="29" t="s">
        <v>1700</v>
      </c>
      <c r="K2417" s="29" t="s">
        <v>12</v>
      </c>
    </row>
    <row r="2418" ht="33.75" spans="1:11">
      <c r="A2418" s="29">
        <v>2417</v>
      </c>
      <c r="B2418" s="34" t="s">
        <v>2787</v>
      </c>
      <c r="C2418" s="29" t="str">
        <f>VLOOKUP(B2418,教育部大学名单!$B$1:$D$2920,3,FALSE)</f>
        <v>新疆维吾尔自治区</v>
      </c>
      <c r="D2418" s="34" t="s">
        <v>1206</v>
      </c>
      <c r="E2418" s="34" t="s">
        <v>1234</v>
      </c>
      <c r="F2418" s="36" t="str">
        <f>IFERROR(VLOOKUP(B2418,'985'!$B$2:$D$40,3,FALSE),"")</f>
        <v/>
      </c>
      <c r="G2418" s="32" t="str">
        <f>IFERROR(VLOOKUP(B2418,'211'!$B$2:$D$116,3,FALSE),"")</f>
        <v/>
      </c>
      <c r="H2418" s="32" t="str">
        <f>IFERROR(VLOOKUP(B2418,双一流!$B$2:$D$148,3,FALSE),"")</f>
        <v/>
      </c>
      <c r="I2418" s="32">
        <f>IFERROR(VLOOKUP(B2418,汇总!$B$2:$I$2921,8,FALSE),"")</f>
        <v>0</v>
      </c>
      <c r="J2418" s="34" t="s">
        <v>1700</v>
      </c>
      <c r="K2418" s="34" t="s">
        <v>12</v>
      </c>
    </row>
    <row r="2419" ht="50.25" spans="1:11">
      <c r="A2419" s="34">
        <v>2418</v>
      </c>
      <c r="B2419" s="29" t="s">
        <v>2788</v>
      </c>
      <c r="C2419" s="29" t="str">
        <f>VLOOKUP(B2419,教育部大学名单!$B$1:$D$2920,3,FALSE)</f>
        <v>新疆生产建设兵团</v>
      </c>
      <c r="D2419" s="29" t="s">
        <v>1206</v>
      </c>
      <c r="E2419" s="29" t="s">
        <v>1212</v>
      </c>
      <c r="F2419" s="36" t="str">
        <f>IFERROR(VLOOKUP(B2419,'985'!$B$2:$D$40,3,FALSE),"")</f>
        <v/>
      </c>
      <c r="G2419" s="32" t="str">
        <f>IFERROR(VLOOKUP(B2419,'211'!$B$2:$D$116,3,FALSE),"")</f>
        <v/>
      </c>
      <c r="H2419" s="32" t="str">
        <f>IFERROR(VLOOKUP(B2419,双一流!$B$2:$D$148,3,FALSE),"")</f>
        <v/>
      </c>
      <c r="I2419" s="32">
        <f>IFERROR(VLOOKUP(B2419,汇总!$B$2:$I$2921,8,FALSE),"")</f>
        <v>0</v>
      </c>
      <c r="J2419" s="29" t="s">
        <v>1700</v>
      </c>
      <c r="K2419" s="29" t="s">
        <v>12</v>
      </c>
    </row>
    <row r="2420" ht="33.75" spans="1:11">
      <c r="A2420" s="29">
        <v>2419</v>
      </c>
      <c r="B2420" s="34" t="s">
        <v>2789</v>
      </c>
      <c r="C2420" s="29" t="str">
        <f>VLOOKUP(B2420,教育部大学名单!$B$1:$D$2920,3,FALSE)</f>
        <v>新疆维吾尔自治区</v>
      </c>
      <c r="D2420" s="34" t="s">
        <v>1206</v>
      </c>
      <c r="E2420" s="34" t="s">
        <v>1216</v>
      </c>
      <c r="F2420" s="36" t="str">
        <f>IFERROR(VLOOKUP(B2420,'985'!$B$2:$D$40,3,FALSE),"")</f>
        <v/>
      </c>
      <c r="G2420" s="32" t="str">
        <f>IFERROR(VLOOKUP(B2420,'211'!$B$2:$D$116,3,FALSE),"")</f>
        <v/>
      </c>
      <c r="H2420" s="32" t="str">
        <f>IFERROR(VLOOKUP(B2420,双一流!$B$2:$D$148,3,FALSE),"")</f>
        <v/>
      </c>
      <c r="I2420" s="32" t="str">
        <f>IFERROR(VLOOKUP(B2420,汇总!$B$2:$I$2921,8,FALSE),"")</f>
        <v>理工</v>
      </c>
      <c r="J2420" s="34" t="s">
        <v>1700</v>
      </c>
      <c r="K2420" s="34" t="s">
        <v>12</v>
      </c>
    </row>
    <row r="2421" ht="33.75" spans="1:11">
      <c r="A2421" s="34">
        <v>2420</v>
      </c>
      <c r="B2421" s="29" t="s">
        <v>2790</v>
      </c>
      <c r="C2421" s="29" t="str">
        <f>VLOOKUP(B2421,教育部大学名单!$B$1:$D$2920,3,FALSE)</f>
        <v>新疆维吾尔自治区</v>
      </c>
      <c r="D2421" s="29" t="s">
        <v>1206</v>
      </c>
      <c r="E2421" s="29" t="s">
        <v>2791</v>
      </c>
      <c r="F2421" s="36" t="str">
        <f>IFERROR(VLOOKUP(B2421,'985'!$B$2:$D$40,3,FALSE),"")</f>
        <v/>
      </c>
      <c r="G2421" s="32" t="str">
        <f>IFERROR(VLOOKUP(B2421,'211'!$B$2:$D$116,3,FALSE),"")</f>
        <v/>
      </c>
      <c r="H2421" s="32" t="str">
        <f>IFERROR(VLOOKUP(B2421,双一流!$B$2:$D$148,3,FALSE),"")</f>
        <v/>
      </c>
      <c r="I2421" s="32">
        <f>IFERROR(VLOOKUP(B2421,汇总!$B$2:$I$2921,8,FALSE),"")</f>
        <v>0</v>
      </c>
      <c r="J2421" s="29" t="s">
        <v>1700</v>
      </c>
      <c r="K2421" s="29" t="s">
        <v>12</v>
      </c>
    </row>
    <row r="2422" ht="33.75" spans="1:11">
      <c r="A2422" s="29">
        <v>2421</v>
      </c>
      <c r="B2422" s="34" t="s">
        <v>2792</v>
      </c>
      <c r="C2422" s="29" t="str">
        <f>VLOOKUP(B2422,教育部大学名单!$B$1:$D$2920,3,FALSE)</f>
        <v>新疆维吾尔自治区</v>
      </c>
      <c r="D2422" s="34" t="s">
        <v>1206</v>
      </c>
      <c r="E2422" s="34" t="s">
        <v>2793</v>
      </c>
      <c r="F2422" s="36" t="str">
        <f>IFERROR(VLOOKUP(B2422,'985'!$B$2:$D$40,3,FALSE),"")</f>
        <v/>
      </c>
      <c r="G2422" s="32" t="str">
        <f>IFERROR(VLOOKUP(B2422,'211'!$B$2:$D$116,3,FALSE),"")</f>
        <v/>
      </c>
      <c r="H2422" s="32" t="str">
        <f>IFERROR(VLOOKUP(B2422,双一流!$B$2:$D$148,3,FALSE),"")</f>
        <v/>
      </c>
      <c r="I2422" s="32">
        <f>IFERROR(VLOOKUP(B2422,汇总!$B$2:$I$2921,8,FALSE),"")</f>
        <v>0</v>
      </c>
      <c r="J2422" s="34" t="s">
        <v>1700</v>
      </c>
      <c r="K2422" s="34" t="s">
        <v>12</v>
      </c>
    </row>
    <row r="2423" ht="33.75" spans="1:11">
      <c r="A2423" s="34">
        <v>2422</v>
      </c>
      <c r="B2423" s="29" t="s">
        <v>2794</v>
      </c>
      <c r="C2423" s="29" t="str">
        <f>VLOOKUP(B2423,教育部大学名单!$B$1:$D$2920,3,FALSE)</f>
        <v>新疆维吾尔自治区</v>
      </c>
      <c r="D2423" s="29" t="s">
        <v>1206</v>
      </c>
      <c r="E2423" s="29" t="s">
        <v>2795</v>
      </c>
      <c r="F2423" s="36" t="str">
        <f>IFERROR(VLOOKUP(B2423,'985'!$B$2:$D$40,3,FALSE),"")</f>
        <v/>
      </c>
      <c r="G2423" s="32" t="str">
        <f>IFERROR(VLOOKUP(B2423,'211'!$B$2:$D$116,3,FALSE),"")</f>
        <v/>
      </c>
      <c r="H2423" s="32" t="str">
        <f>IFERROR(VLOOKUP(B2423,双一流!$B$2:$D$148,3,FALSE),"")</f>
        <v/>
      </c>
      <c r="I2423" s="32">
        <f>IFERROR(VLOOKUP(B2423,汇总!$B$2:$I$2921,8,FALSE),"")</f>
        <v>0</v>
      </c>
      <c r="J2423" s="29" t="s">
        <v>1700</v>
      </c>
      <c r="K2423" s="29" t="s">
        <v>12</v>
      </c>
    </row>
    <row r="2424" ht="33.75" spans="1:11">
      <c r="A2424" s="29">
        <v>2423</v>
      </c>
      <c r="B2424" s="34" t="s">
        <v>2796</v>
      </c>
      <c r="C2424" s="29" t="str">
        <f>VLOOKUP(B2424,教育部大学名单!$B$1:$D$2920,3,FALSE)</f>
        <v>新疆生产建设兵团</v>
      </c>
      <c r="D2424" s="34" t="s">
        <v>1206</v>
      </c>
      <c r="E2424" s="34" t="s">
        <v>1209</v>
      </c>
      <c r="F2424" s="36" t="str">
        <f>IFERROR(VLOOKUP(B2424,'985'!$B$2:$D$40,3,FALSE),"")</f>
        <v/>
      </c>
      <c r="G2424" s="32" t="str">
        <f>IFERROR(VLOOKUP(B2424,'211'!$B$2:$D$116,3,FALSE),"")</f>
        <v/>
      </c>
      <c r="H2424" s="32" t="str">
        <f>IFERROR(VLOOKUP(B2424,双一流!$B$2:$D$148,3,FALSE),"")</f>
        <v/>
      </c>
      <c r="I2424" s="32">
        <f>IFERROR(VLOOKUP(B2424,汇总!$B$2:$I$2921,8,FALSE),"")</f>
        <v>0</v>
      </c>
      <c r="J2424" s="34" t="s">
        <v>1700</v>
      </c>
      <c r="K2424" s="34" t="s">
        <v>12</v>
      </c>
    </row>
    <row r="2425" ht="33.75" spans="1:11">
      <c r="A2425" s="34">
        <v>2424</v>
      </c>
      <c r="B2425" s="29" t="s">
        <v>2797</v>
      </c>
      <c r="C2425" s="29" t="str">
        <f>VLOOKUP(B2425,教育部大学名单!$B$1:$D$2920,3,FALSE)</f>
        <v>新疆维吾尔自治区</v>
      </c>
      <c r="D2425" s="29" t="s">
        <v>1206</v>
      </c>
      <c r="E2425" s="29" t="s">
        <v>1207</v>
      </c>
      <c r="F2425" s="36" t="str">
        <f>IFERROR(VLOOKUP(B2425,'985'!$B$2:$D$40,3,FALSE),"")</f>
        <v/>
      </c>
      <c r="G2425" s="32" t="str">
        <f>IFERROR(VLOOKUP(B2425,'211'!$B$2:$D$116,3,FALSE),"")</f>
        <v/>
      </c>
      <c r="H2425" s="32" t="str">
        <f>IFERROR(VLOOKUP(B2425,双一流!$B$2:$D$148,3,FALSE),"")</f>
        <v/>
      </c>
      <c r="I2425" s="32" t="str">
        <f>IFERROR(VLOOKUP(B2425,汇总!$B$2:$I$2921,8,FALSE),"")</f>
        <v>综合</v>
      </c>
      <c r="J2425" s="29" t="s">
        <v>1700</v>
      </c>
      <c r="K2425" s="29" t="s">
        <v>12</v>
      </c>
    </row>
    <row r="2426" ht="33.75" spans="1:11">
      <c r="A2426" s="29">
        <v>2425</v>
      </c>
      <c r="B2426" s="34" t="s">
        <v>2798</v>
      </c>
      <c r="C2426" s="29" t="str">
        <f>VLOOKUP(B2426,教育部大学名单!$B$1:$D$2920,3,FALSE)</f>
        <v>新疆生产建设兵团</v>
      </c>
      <c r="D2426" s="34" t="s">
        <v>1206</v>
      </c>
      <c r="E2426" s="34" t="s">
        <v>2799</v>
      </c>
      <c r="F2426" s="36" t="str">
        <f>IFERROR(VLOOKUP(B2426,'985'!$B$2:$D$40,3,FALSE),"")</f>
        <v/>
      </c>
      <c r="G2426" s="32" t="str">
        <f>IFERROR(VLOOKUP(B2426,'211'!$B$2:$D$116,3,FALSE),"")</f>
        <v/>
      </c>
      <c r="H2426" s="32" t="str">
        <f>IFERROR(VLOOKUP(B2426,双一流!$B$2:$D$148,3,FALSE),"")</f>
        <v/>
      </c>
      <c r="I2426" s="32">
        <f>IFERROR(VLOOKUP(B2426,汇总!$B$2:$I$2921,8,FALSE),"")</f>
        <v>0</v>
      </c>
      <c r="J2426" s="34" t="s">
        <v>1700</v>
      </c>
      <c r="K2426" s="34" t="s">
        <v>12</v>
      </c>
    </row>
    <row r="2427" ht="33.75" spans="1:11">
      <c r="A2427" s="34">
        <v>2426</v>
      </c>
      <c r="B2427" s="29" t="s">
        <v>2800</v>
      </c>
      <c r="C2427" s="29" t="str">
        <f>VLOOKUP(B2427,教育部大学名单!$B$1:$D$2920,3,FALSE)</f>
        <v>重庆市</v>
      </c>
      <c r="D2427" s="29" t="s">
        <v>951</v>
      </c>
      <c r="E2427" s="29" t="s">
        <v>951</v>
      </c>
      <c r="F2427" s="36" t="str">
        <f>IFERROR(VLOOKUP(B2427,'985'!$B$2:$D$40,3,FALSE),"")</f>
        <v/>
      </c>
      <c r="G2427" s="32" t="str">
        <f>IFERROR(VLOOKUP(B2427,'211'!$B$2:$D$116,3,FALSE),"")</f>
        <v/>
      </c>
      <c r="H2427" s="32" t="str">
        <f>IFERROR(VLOOKUP(B2427,双一流!$B$2:$D$148,3,FALSE),"")</f>
        <v/>
      </c>
      <c r="I2427" s="32">
        <f>IFERROR(VLOOKUP(B2427,汇总!$B$2:$I$2921,8,FALSE),"")</f>
        <v>0</v>
      </c>
      <c r="J2427" s="29" t="s">
        <v>1700</v>
      </c>
      <c r="K2427" s="29" t="s">
        <v>12</v>
      </c>
    </row>
    <row r="2428" ht="50.25" spans="1:11">
      <c r="A2428" s="29">
        <v>2427</v>
      </c>
      <c r="B2428" s="34" t="s">
        <v>2801</v>
      </c>
      <c r="C2428" s="29" t="str">
        <f>VLOOKUP(B2428,教育部大学名单!$B$1:$D$2920,3,FALSE)</f>
        <v>河北省</v>
      </c>
      <c r="D2428" s="34" t="s">
        <v>98</v>
      </c>
      <c r="E2428" s="34" t="s">
        <v>103</v>
      </c>
      <c r="F2428" s="36" t="str">
        <f>IFERROR(VLOOKUP(B2428,'985'!$B$2:$D$40,3,FALSE),"")</f>
        <v/>
      </c>
      <c r="G2428" s="32" t="str">
        <f>IFERROR(VLOOKUP(B2428,'211'!$B$2:$D$116,3,FALSE),"")</f>
        <v/>
      </c>
      <c r="H2428" s="32" t="str">
        <f>IFERROR(VLOOKUP(B2428,双一流!$B$2:$D$148,3,FALSE),"")</f>
        <v/>
      </c>
      <c r="I2428" s="32">
        <f>IFERROR(VLOOKUP(B2428,汇总!$B$2:$I$2921,8,FALSE),"")</f>
        <v>0</v>
      </c>
      <c r="J2428" s="34" t="s">
        <v>1700</v>
      </c>
      <c r="K2428" s="34" t="s">
        <v>12</v>
      </c>
    </row>
    <row r="2429" ht="50.25" spans="1:11">
      <c r="A2429" s="34">
        <v>2428</v>
      </c>
      <c r="B2429" s="29" t="s">
        <v>2802</v>
      </c>
      <c r="C2429" s="29" t="str">
        <f>VLOOKUP(B2429,教育部大学名单!$B$1:$D$2920,3,FALSE)</f>
        <v>江苏省</v>
      </c>
      <c r="D2429" s="29" t="s">
        <v>379</v>
      </c>
      <c r="E2429" s="29" t="s">
        <v>392</v>
      </c>
      <c r="F2429" s="36" t="str">
        <f>IFERROR(VLOOKUP(B2429,'985'!$B$2:$D$40,3,FALSE),"")</f>
        <v/>
      </c>
      <c r="G2429" s="32" t="str">
        <f>IFERROR(VLOOKUP(B2429,'211'!$B$2:$D$116,3,FALSE),"")</f>
        <v/>
      </c>
      <c r="H2429" s="32" t="str">
        <f>IFERROR(VLOOKUP(B2429,双一流!$B$2:$D$148,3,FALSE),"")</f>
        <v/>
      </c>
      <c r="I2429" s="32">
        <f>IFERROR(VLOOKUP(B2429,汇总!$B$2:$I$2921,8,FALSE),"")</f>
        <v>0</v>
      </c>
      <c r="J2429" s="29" t="s">
        <v>1700</v>
      </c>
      <c r="K2429" s="29" t="s">
        <v>12</v>
      </c>
    </row>
    <row r="2430" ht="33.75" spans="1:11">
      <c r="A2430" s="29">
        <v>2429</v>
      </c>
      <c r="B2430" s="34" t="s">
        <v>2803</v>
      </c>
      <c r="C2430" s="29" t="str">
        <f>VLOOKUP(B2430,教育部大学名单!$B$1:$D$2920,3,FALSE)</f>
        <v>湖南省</v>
      </c>
      <c r="D2430" s="34" t="s">
        <v>797</v>
      </c>
      <c r="E2430" s="34" t="s">
        <v>831</v>
      </c>
      <c r="F2430" s="36" t="str">
        <f>IFERROR(VLOOKUP(B2430,'985'!$B$2:$D$40,3,FALSE),"")</f>
        <v/>
      </c>
      <c r="G2430" s="32" t="str">
        <f>IFERROR(VLOOKUP(B2430,'211'!$B$2:$D$116,3,FALSE),"")</f>
        <v/>
      </c>
      <c r="H2430" s="32" t="str">
        <f>IFERROR(VLOOKUP(B2430,双一流!$B$2:$D$148,3,FALSE),"")</f>
        <v/>
      </c>
      <c r="I2430" s="32">
        <f>IFERROR(VLOOKUP(B2430,汇总!$B$2:$I$2921,8,FALSE),"")</f>
        <v>0</v>
      </c>
      <c r="J2430" s="34" t="s">
        <v>1700</v>
      </c>
      <c r="K2430" s="34" t="s">
        <v>12</v>
      </c>
    </row>
    <row r="2431" ht="50.25" spans="1:11">
      <c r="A2431" s="34">
        <v>2430</v>
      </c>
      <c r="B2431" s="29" t="s">
        <v>2804</v>
      </c>
      <c r="C2431" s="29" t="str">
        <f>VLOOKUP(B2431,教育部大学名单!$B$1:$D$2920,3,FALSE)</f>
        <v>湖南省</v>
      </c>
      <c r="D2431" s="29" t="s">
        <v>797</v>
      </c>
      <c r="E2431" s="29" t="s">
        <v>825</v>
      </c>
      <c r="F2431" s="36" t="str">
        <f>IFERROR(VLOOKUP(B2431,'985'!$B$2:$D$40,3,FALSE),"")</f>
        <v/>
      </c>
      <c r="G2431" s="32" t="str">
        <f>IFERROR(VLOOKUP(B2431,'211'!$B$2:$D$116,3,FALSE),"")</f>
        <v/>
      </c>
      <c r="H2431" s="32" t="str">
        <f>IFERROR(VLOOKUP(B2431,双一流!$B$2:$D$148,3,FALSE),"")</f>
        <v/>
      </c>
      <c r="I2431" s="32">
        <f>IFERROR(VLOOKUP(B2431,汇总!$B$2:$I$2921,8,FALSE),"")</f>
        <v>0</v>
      </c>
      <c r="J2431" s="29" t="s">
        <v>1700</v>
      </c>
      <c r="K2431" s="29" t="s">
        <v>12</v>
      </c>
    </row>
    <row r="2432" ht="33.75" spans="1:11">
      <c r="A2432" s="29">
        <v>2431</v>
      </c>
      <c r="B2432" s="34" t="s">
        <v>2805</v>
      </c>
      <c r="C2432" s="29" t="str">
        <f>VLOOKUP(B2432,教育部大学名单!$B$1:$D$2920,3,FALSE)</f>
        <v>山西省</v>
      </c>
      <c r="D2432" s="34" t="s">
        <v>151</v>
      </c>
      <c r="E2432" s="34" t="s">
        <v>174</v>
      </c>
      <c r="F2432" s="36" t="str">
        <f>IFERROR(VLOOKUP(B2432,'985'!$B$2:$D$40,3,FALSE),"")</f>
        <v/>
      </c>
      <c r="G2432" s="32" t="str">
        <f>IFERROR(VLOOKUP(B2432,'211'!$B$2:$D$116,3,FALSE),"")</f>
        <v/>
      </c>
      <c r="H2432" s="32" t="str">
        <f>IFERROR(VLOOKUP(B2432,双一流!$B$2:$D$148,3,FALSE),"")</f>
        <v/>
      </c>
      <c r="I2432" s="32">
        <f>IFERROR(VLOOKUP(B2432,汇总!$B$2:$I$2921,8,FALSE),"")</f>
        <v>0</v>
      </c>
      <c r="J2432" s="34" t="s">
        <v>1700</v>
      </c>
      <c r="K2432" s="34" t="s">
        <v>12</v>
      </c>
    </row>
    <row r="2433" ht="33.75" spans="1:11">
      <c r="A2433" s="34">
        <v>2432</v>
      </c>
      <c r="B2433" s="29" t="s">
        <v>2806</v>
      </c>
      <c r="C2433" s="29" t="str">
        <f>VLOOKUP(B2433,教育部大学名单!$B$1:$D$2920,3,FALSE)</f>
        <v>河南省</v>
      </c>
      <c r="D2433" s="29" t="s">
        <v>692</v>
      </c>
      <c r="E2433" s="29" t="s">
        <v>720</v>
      </c>
      <c r="F2433" s="36" t="str">
        <f>IFERROR(VLOOKUP(B2433,'985'!$B$2:$D$40,3,FALSE),"")</f>
        <v/>
      </c>
      <c r="G2433" s="32" t="str">
        <f>IFERROR(VLOOKUP(B2433,'211'!$B$2:$D$116,3,FALSE),"")</f>
        <v/>
      </c>
      <c r="H2433" s="32" t="str">
        <f>IFERROR(VLOOKUP(B2433,双一流!$B$2:$D$148,3,FALSE),"")</f>
        <v/>
      </c>
      <c r="I2433" s="32">
        <f>IFERROR(VLOOKUP(B2433,汇总!$B$2:$I$2921,8,FALSE),"")</f>
        <v>0</v>
      </c>
      <c r="J2433" s="29" t="s">
        <v>1700</v>
      </c>
      <c r="K2433" s="29" t="s">
        <v>12</v>
      </c>
    </row>
    <row r="2434" ht="33.75" spans="1:11">
      <c r="A2434" s="29">
        <v>2433</v>
      </c>
      <c r="B2434" s="34" t="s">
        <v>2807</v>
      </c>
      <c r="C2434" s="29" t="str">
        <f>VLOOKUP(B2434,教育部大学名单!$B$1:$D$2920,3,FALSE)</f>
        <v>河南省</v>
      </c>
      <c r="D2434" s="34" t="s">
        <v>692</v>
      </c>
      <c r="E2434" s="34" t="s">
        <v>2262</v>
      </c>
      <c r="F2434" s="36" t="str">
        <f>IFERROR(VLOOKUP(B2434,'985'!$B$2:$D$40,3,FALSE),"")</f>
        <v/>
      </c>
      <c r="G2434" s="32" t="str">
        <f>IFERROR(VLOOKUP(B2434,'211'!$B$2:$D$116,3,FALSE),"")</f>
        <v/>
      </c>
      <c r="H2434" s="32" t="str">
        <f>IFERROR(VLOOKUP(B2434,双一流!$B$2:$D$148,3,FALSE),"")</f>
        <v/>
      </c>
      <c r="I2434" s="32">
        <f>IFERROR(VLOOKUP(B2434,汇总!$B$2:$I$2921,8,FALSE),"")</f>
        <v>0</v>
      </c>
      <c r="J2434" s="34" t="s">
        <v>1700</v>
      </c>
      <c r="K2434" s="34" t="s">
        <v>12</v>
      </c>
    </row>
    <row r="2435" ht="50.25" spans="1:11">
      <c r="A2435" s="34">
        <v>2434</v>
      </c>
      <c r="B2435" s="29" t="s">
        <v>2808</v>
      </c>
      <c r="C2435" s="29" t="str">
        <f>VLOOKUP(B2435,教育部大学名单!$B$1:$D$2920,3,FALSE)</f>
        <v>河南省</v>
      </c>
      <c r="D2435" s="29" t="s">
        <v>692</v>
      </c>
      <c r="E2435" s="29" t="s">
        <v>723</v>
      </c>
      <c r="F2435" s="36" t="str">
        <f>IFERROR(VLOOKUP(B2435,'985'!$B$2:$D$40,3,FALSE),"")</f>
        <v/>
      </c>
      <c r="G2435" s="32" t="str">
        <f>IFERROR(VLOOKUP(B2435,'211'!$B$2:$D$116,3,FALSE),"")</f>
        <v/>
      </c>
      <c r="H2435" s="32" t="str">
        <f>IFERROR(VLOOKUP(B2435,双一流!$B$2:$D$148,3,FALSE),"")</f>
        <v/>
      </c>
      <c r="I2435" s="32">
        <f>IFERROR(VLOOKUP(B2435,汇总!$B$2:$I$2921,8,FALSE),"")</f>
        <v>0</v>
      </c>
      <c r="J2435" s="29" t="s">
        <v>1700</v>
      </c>
      <c r="K2435" s="29" t="s">
        <v>12</v>
      </c>
    </row>
    <row r="2436" ht="33.75" spans="1:11">
      <c r="A2436" s="29">
        <v>2435</v>
      </c>
      <c r="B2436" s="34" t="s">
        <v>2809</v>
      </c>
      <c r="C2436" s="29" t="str">
        <f>VLOOKUP(B2436,教育部大学名单!$B$1:$D$2920,3,FALSE)</f>
        <v>河南省</v>
      </c>
      <c r="D2436" s="34" t="s">
        <v>692</v>
      </c>
      <c r="E2436" s="34" t="s">
        <v>714</v>
      </c>
      <c r="F2436" s="36" t="str">
        <f>IFERROR(VLOOKUP(B2436,'985'!$B$2:$D$40,3,FALSE),"")</f>
        <v/>
      </c>
      <c r="G2436" s="32" t="str">
        <f>IFERROR(VLOOKUP(B2436,'211'!$B$2:$D$116,3,FALSE),"")</f>
        <v/>
      </c>
      <c r="H2436" s="32" t="str">
        <f>IFERROR(VLOOKUP(B2436,双一流!$B$2:$D$148,3,FALSE),"")</f>
        <v/>
      </c>
      <c r="I2436" s="32">
        <f>IFERROR(VLOOKUP(B2436,汇总!$B$2:$I$2921,8,FALSE),"")</f>
        <v>0</v>
      </c>
      <c r="J2436" s="34" t="s">
        <v>1700</v>
      </c>
      <c r="K2436" s="34" t="s">
        <v>12</v>
      </c>
    </row>
    <row r="2437" ht="33.75" spans="1:11">
      <c r="A2437" s="34">
        <v>2436</v>
      </c>
      <c r="B2437" s="29" t="s">
        <v>2810</v>
      </c>
      <c r="C2437" s="29" t="str">
        <f>VLOOKUP(B2437,教育部大学名单!$B$1:$D$2920,3,FALSE)</f>
        <v>上海市</v>
      </c>
      <c r="D2437" s="29" t="s">
        <v>347</v>
      </c>
      <c r="E2437" s="29" t="s">
        <v>347</v>
      </c>
      <c r="F2437" s="36" t="str">
        <f>IFERROR(VLOOKUP(B2437,'985'!$B$2:$D$40,3,FALSE),"")</f>
        <v/>
      </c>
      <c r="G2437" s="32" t="str">
        <f>IFERROR(VLOOKUP(B2437,'211'!$B$2:$D$116,3,FALSE),"")</f>
        <v/>
      </c>
      <c r="H2437" s="32" t="str">
        <f>IFERROR(VLOOKUP(B2437,双一流!$B$2:$D$148,3,FALSE),"")</f>
        <v/>
      </c>
      <c r="I2437" s="32">
        <f>IFERROR(VLOOKUP(B2437,汇总!$B$2:$I$2921,8,FALSE),"")</f>
        <v>0</v>
      </c>
      <c r="J2437" s="29" t="s">
        <v>1700</v>
      </c>
      <c r="K2437" s="29" t="s">
        <v>12</v>
      </c>
    </row>
    <row r="2438" ht="33.75" spans="1:11">
      <c r="A2438" s="29">
        <v>2437</v>
      </c>
      <c r="B2438" s="34" t="s">
        <v>2811</v>
      </c>
      <c r="C2438" s="29" t="str">
        <f>VLOOKUP(B2438,教育部大学名单!$B$1:$D$2920,3,FALSE)</f>
        <v>上海市</v>
      </c>
      <c r="D2438" s="34" t="s">
        <v>347</v>
      </c>
      <c r="E2438" s="34" t="s">
        <v>347</v>
      </c>
      <c r="F2438" s="36" t="str">
        <f>IFERROR(VLOOKUP(B2438,'985'!$B$2:$D$40,3,FALSE),"")</f>
        <v/>
      </c>
      <c r="G2438" s="32" t="str">
        <f>IFERROR(VLOOKUP(B2438,'211'!$B$2:$D$116,3,FALSE),"")</f>
        <v/>
      </c>
      <c r="H2438" s="32" t="str">
        <f>IFERROR(VLOOKUP(B2438,双一流!$B$2:$D$148,3,FALSE),"")</f>
        <v/>
      </c>
      <c r="I2438" s="32">
        <f>IFERROR(VLOOKUP(B2438,汇总!$B$2:$I$2921,8,FALSE),"")</f>
        <v>0</v>
      </c>
      <c r="J2438" s="34" t="s">
        <v>1700</v>
      </c>
      <c r="K2438" s="34" t="s">
        <v>12</v>
      </c>
    </row>
    <row r="2439" ht="33.75" spans="1:11">
      <c r="A2439" s="34">
        <v>2438</v>
      </c>
      <c r="B2439" s="29" t="s">
        <v>2812</v>
      </c>
      <c r="C2439" s="29" t="str">
        <f>VLOOKUP(B2439,教育部大学名单!$B$1:$D$2920,3,FALSE)</f>
        <v>上海市</v>
      </c>
      <c r="D2439" s="29" t="s">
        <v>347</v>
      </c>
      <c r="E2439" s="29" t="s">
        <v>347</v>
      </c>
      <c r="F2439" s="36" t="str">
        <f>IFERROR(VLOOKUP(B2439,'985'!$B$2:$D$40,3,FALSE),"")</f>
        <v/>
      </c>
      <c r="G2439" s="32" t="str">
        <f>IFERROR(VLOOKUP(B2439,'211'!$B$2:$D$116,3,FALSE),"")</f>
        <v/>
      </c>
      <c r="H2439" s="32" t="str">
        <f>IFERROR(VLOOKUP(B2439,双一流!$B$2:$D$148,3,FALSE),"")</f>
        <v/>
      </c>
      <c r="I2439" s="32">
        <f>IFERROR(VLOOKUP(B2439,汇总!$B$2:$I$2921,8,FALSE),"")</f>
        <v>0</v>
      </c>
      <c r="J2439" s="29" t="s">
        <v>1700</v>
      </c>
      <c r="K2439" s="29" t="s">
        <v>12</v>
      </c>
    </row>
    <row r="2440" ht="50.25" spans="1:11">
      <c r="A2440" s="29">
        <v>2439</v>
      </c>
      <c r="B2440" s="34" t="s">
        <v>2813</v>
      </c>
      <c r="C2440" s="29" t="str">
        <f>VLOOKUP(B2440,教育部大学名单!$B$1:$D$2920,3,FALSE)</f>
        <v>上海市</v>
      </c>
      <c r="D2440" s="34" t="s">
        <v>347</v>
      </c>
      <c r="E2440" s="34" t="s">
        <v>347</v>
      </c>
      <c r="F2440" s="36" t="str">
        <f>IFERROR(VLOOKUP(B2440,'985'!$B$2:$D$40,3,FALSE),"")</f>
        <v/>
      </c>
      <c r="G2440" s="32" t="str">
        <f>IFERROR(VLOOKUP(B2440,'211'!$B$2:$D$116,3,FALSE),"")</f>
        <v/>
      </c>
      <c r="H2440" s="32" t="str">
        <f>IFERROR(VLOOKUP(B2440,双一流!$B$2:$D$148,3,FALSE),"")</f>
        <v/>
      </c>
      <c r="I2440" s="32">
        <f>IFERROR(VLOOKUP(B2440,汇总!$B$2:$I$2921,8,FALSE),"")</f>
        <v>0</v>
      </c>
      <c r="J2440" s="34" t="s">
        <v>1700</v>
      </c>
      <c r="K2440" s="34" t="s">
        <v>12</v>
      </c>
    </row>
    <row r="2441" ht="33.75" spans="1:11">
      <c r="A2441" s="34">
        <v>2440</v>
      </c>
      <c r="B2441" s="29" t="s">
        <v>2814</v>
      </c>
      <c r="C2441" s="29" t="str">
        <f>VLOOKUP(B2441,教育部大学名单!$B$1:$D$2920,3,FALSE)</f>
        <v>云南省</v>
      </c>
      <c r="D2441" s="29" t="s">
        <v>1060</v>
      </c>
      <c r="E2441" s="29" t="s">
        <v>1084</v>
      </c>
      <c r="F2441" s="36" t="str">
        <f>IFERROR(VLOOKUP(B2441,'985'!$B$2:$D$40,3,FALSE),"")</f>
        <v/>
      </c>
      <c r="G2441" s="32" t="str">
        <f>IFERROR(VLOOKUP(B2441,'211'!$B$2:$D$116,3,FALSE),"")</f>
        <v/>
      </c>
      <c r="H2441" s="32" t="str">
        <f>IFERROR(VLOOKUP(B2441,双一流!$B$2:$D$148,3,FALSE),"")</f>
        <v/>
      </c>
      <c r="I2441" s="32">
        <f>IFERROR(VLOOKUP(B2441,汇总!$B$2:$I$2921,8,FALSE),"")</f>
        <v>0</v>
      </c>
      <c r="J2441" s="29" t="s">
        <v>1700</v>
      </c>
      <c r="K2441" s="29" t="s">
        <v>12</v>
      </c>
    </row>
    <row r="2442" ht="33.75" spans="1:11">
      <c r="A2442" s="29">
        <v>2441</v>
      </c>
      <c r="B2442" s="34" t="s">
        <v>2815</v>
      </c>
      <c r="C2442" s="29" t="str">
        <f>VLOOKUP(B2442,教育部大学名单!$B$1:$D$2920,3,FALSE)</f>
        <v>云南省</v>
      </c>
      <c r="D2442" s="34" t="s">
        <v>1060</v>
      </c>
      <c r="E2442" s="34" t="s">
        <v>1077</v>
      </c>
      <c r="F2442" s="36" t="str">
        <f>IFERROR(VLOOKUP(B2442,'985'!$B$2:$D$40,3,FALSE),"")</f>
        <v/>
      </c>
      <c r="G2442" s="32" t="str">
        <f>IFERROR(VLOOKUP(B2442,'211'!$B$2:$D$116,3,FALSE),"")</f>
        <v/>
      </c>
      <c r="H2442" s="32" t="str">
        <f>IFERROR(VLOOKUP(B2442,双一流!$B$2:$D$148,3,FALSE),"")</f>
        <v/>
      </c>
      <c r="I2442" s="32">
        <f>IFERROR(VLOOKUP(B2442,汇总!$B$2:$I$2921,8,FALSE),"")</f>
        <v>0</v>
      </c>
      <c r="J2442" s="34" t="s">
        <v>1700</v>
      </c>
      <c r="K2442" s="34" t="s">
        <v>12</v>
      </c>
    </row>
    <row r="2443" ht="33.75" spans="1:11">
      <c r="A2443" s="34">
        <v>2442</v>
      </c>
      <c r="B2443" s="29" t="s">
        <v>2816</v>
      </c>
      <c r="C2443" s="29" t="str">
        <f>VLOOKUP(B2443,教育部大学名单!$B$1:$D$2920,3,FALSE)</f>
        <v>云南省</v>
      </c>
      <c r="D2443" s="29" t="s">
        <v>1060</v>
      </c>
      <c r="E2443" s="29" t="s">
        <v>1071</v>
      </c>
      <c r="F2443" s="36" t="str">
        <f>IFERROR(VLOOKUP(B2443,'985'!$B$2:$D$40,3,FALSE),"")</f>
        <v/>
      </c>
      <c r="G2443" s="32" t="str">
        <f>IFERROR(VLOOKUP(B2443,'211'!$B$2:$D$116,3,FALSE),"")</f>
        <v/>
      </c>
      <c r="H2443" s="32" t="str">
        <f>IFERROR(VLOOKUP(B2443,双一流!$B$2:$D$148,3,FALSE),"")</f>
        <v/>
      </c>
      <c r="I2443" s="32">
        <f>IFERROR(VLOOKUP(B2443,汇总!$B$2:$I$2921,8,FALSE),"")</f>
        <v>0</v>
      </c>
      <c r="J2443" s="29" t="s">
        <v>1700</v>
      </c>
      <c r="K2443" s="29" t="s">
        <v>12</v>
      </c>
    </row>
    <row r="2444" ht="33.75" spans="1:11">
      <c r="A2444" s="29">
        <v>2443</v>
      </c>
      <c r="B2444" s="34" t="s">
        <v>2817</v>
      </c>
      <c r="C2444" s="29" t="str">
        <f>VLOOKUP(B2444,教育部大学名单!$B$1:$D$2920,3,FALSE)</f>
        <v>河北省</v>
      </c>
      <c r="D2444" s="34" t="s">
        <v>98</v>
      </c>
      <c r="E2444" s="34" t="s">
        <v>124</v>
      </c>
      <c r="F2444" s="36" t="str">
        <f>IFERROR(VLOOKUP(B2444,'985'!$B$2:$D$40,3,FALSE),"")</f>
        <v/>
      </c>
      <c r="G2444" s="32" t="str">
        <f>IFERROR(VLOOKUP(B2444,'211'!$B$2:$D$116,3,FALSE),"")</f>
        <v/>
      </c>
      <c r="H2444" s="32" t="str">
        <f>IFERROR(VLOOKUP(B2444,双一流!$B$2:$D$148,3,FALSE),"")</f>
        <v/>
      </c>
      <c r="I2444" s="32">
        <f>IFERROR(VLOOKUP(B2444,汇总!$B$2:$I$2921,8,FALSE),"")</f>
        <v>0</v>
      </c>
      <c r="J2444" s="34" t="s">
        <v>1700</v>
      </c>
      <c r="K2444" s="34" t="s">
        <v>12</v>
      </c>
    </row>
    <row r="2445" ht="50.25" spans="1:11">
      <c r="A2445" s="34">
        <v>2444</v>
      </c>
      <c r="B2445" s="29" t="s">
        <v>2818</v>
      </c>
      <c r="C2445" s="29" t="str">
        <f>VLOOKUP(B2445,教育部大学名单!$B$1:$D$2920,3,FALSE)</f>
        <v>河北省</v>
      </c>
      <c r="D2445" s="29" t="s">
        <v>98</v>
      </c>
      <c r="E2445" s="29" t="s">
        <v>132</v>
      </c>
      <c r="F2445" s="36" t="str">
        <f>IFERROR(VLOOKUP(B2445,'985'!$B$2:$D$40,3,FALSE),"")</f>
        <v/>
      </c>
      <c r="G2445" s="32" t="str">
        <f>IFERROR(VLOOKUP(B2445,'211'!$B$2:$D$116,3,FALSE),"")</f>
        <v/>
      </c>
      <c r="H2445" s="32" t="str">
        <f>IFERROR(VLOOKUP(B2445,双一流!$B$2:$D$148,3,FALSE),"")</f>
        <v/>
      </c>
      <c r="I2445" s="32">
        <f>IFERROR(VLOOKUP(B2445,汇总!$B$2:$I$2921,8,FALSE),"")</f>
        <v>0</v>
      </c>
      <c r="J2445" s="29" t="s">
        <v>1700</v>
      </c>
      <c r="K2445" s="29" t="s">
        <v>12</v>
      </c>
    </row>
    <row r="2446" ht="33.75" spans="1:11">
      <c r="A2446" s="29">
        <v>2445</v>
      </c>
      <c r="B2446" s="34" t="s">
        <v>2819</v>
      </c>
      <c r="C2446" s="29" t="str">
        <f>VLOOKUP(B2446,教育部大学名单!$B$1:$D$2920,3,FALSE)</f>
        <v>贵州省</v>
      </c>
      <c r="D2446" s="34" t="s">
        <v>1026</v>
      </c>
      <c r="E2446" s="34" t="s">
        <v>1027</v>
      </c>
      <c r="F2446" s="36" t="str">
        <f>IFERROR(VLOOKUP(B2446,'985'!$B$2:$D$40,3,FALSE),"")</f>
        <v/>
      </c>
      <c r="G2446" s="32" t="str">
        <f>IFERROR(VLOOKUP(B2446,'211'!$B$2:$D$116,3,FALSE),"")</f>
        <v/>
      </c>
      <c r="H2446" s="32" t="str">
        <f>IFERROR(VLOOKUP(B2446,双一流!$B$2:$D$148,3,FALSE),"")</f>
        <v/>
      </c>
      <c r="I2446" s="32">
        <f>IFERROR(VLOOKUP(B2446,汇总!$B$2:$I$2921,8,FALSE),"")</f>
        <v>0</v>
      </c>
      <c r="J2446" s="34" t="s">
        <v>1700</v>
      </c>
      <c r="K2446" s="34" t="s">
        <v>12</v>
      </c>
    </row>
    <row r="2447" ht="33.75" spans="1:11">
      <c r="A2447" s="34">
        <v>2446</v>
      </c>
      <c r="B2447" s="29" t="s">
        <v>2820</v>
      </c>
      <c r="C2447" s="29" t="str">
        <f>VLOOKUP(B2447,教育部大学名单!$B$1:$D$2920,3,FALSE)</f>
        <v>云南省</v>
      </c>
      <c r="D2447" s="29" t="s">
        <v>1060</v>
      </c>
      <c r="E2447" s="29" t="s">
        <v>1090</v>
      </c>
      <c r="F2447" s="36" t="str">
        <f>IFERROR(VLOOKUP(B2447,'985'!$B$2:$D$40,3,FALSE),"")</f>
        <v/>
      </c>
      <c r="G2447" s="32" t="str">
        <f>IFERROR(VLOOKUP(B2447,'211'!$B$2:$D$116,3,FALSE),"")</f>
        <v/>
      </c>
      <c r="H2447" s="32" t="str">
        <f>IFERROR(VLOOKUP(B2447,双一流!$B$2:$D$148,3,FALSE),"")</f>
        <v/>
      </c>
      <c r="I2447" s="32">
        <f>IFERROR(VLOOKUP(B2447,汇总!$B$2:$I$2921,8,FALSE),"")</f>
        <v>0</v>
      </c>
      <c r="J2447" s="29" t="s">
        <v>1700</v>
      </c>
      <c r="K2447" s="29" t="s">
        <v>12</v>
      </c>
    </row>
    <row r="2448" ht="33.75" spans="1:11">
      <c r="A2448" s="29">
        <v>2447</v>
      </c>
      <c r="B2448" s="34" t="s">
        <v>2821</v>
      </c>
      <c r="C2448" s="29" t="str">
        <f>VLOOKUP(B2448,教育部大学名单!$B$1:$D$2920,3,FALSE)</f>
        <v>云南省</v>
      </c>
      <c r="D2448" s="34" t="s">
        <v>1060</v>
      </c>
      <c r="E2448" s="34" t="s">
        <v>1097</v>
      </c>
      <c r="F2448" s="36" t="str">
        <f>IFERROR(VLOOKUP(B2448,'985'!$B$2:$D$40,3,FALSE),"")</f>
        <v/>
      </c>
      <c r="G2448" s="32" t="str">
        <f>IFERROR(VLOOKUP(B2448,'211'!$B$2:$D$116,3,FALSE),"")</f>
        <v/>
      </c>
      <c r="H2448" s="32" t="str">
        <f>IFERROR(VLOOKUP(B2448,双一流!$B$2:$D$148,3,FALSE),"")</f>
        <v/>
      </c>
      <c r="I2448" s="32">
        <f>IFERROR(VLOOKUP(B2448,汇总!$B$2:$I$2921,8,FALSE),"")</f>
        <v>0</v>
      </c>
      <c r="J2448" s="34" t="s">
        <v>1700</v>
      </c>
      <c r="K2448" s="34" t="s">
        <v>12</v>
      </c>
    </row>
    <row r="2449" ht="33.75" spans="1:11">
      <c r="A2449" s="34">
        <v>2448</v>
      </c>
      <c r="B2449" s="29" t="s">
        <v>2822</v>
      </c>
      <c r="C2449" s="29" t="str">
        <f>VLOOKUP(B2449,教育部大学名单!$B$1:$D$2920,3,FALSE)</f>
        <v>云南省</v>
      </c>
      <c r="D2449" s="29" t="s">
        <v>1060</v>
      </c>
      <c r="E2449" s="29" t="s">
        <v>2823</v>
      </c>
      <c r="F2449" s="36" t="str">
        <f>IFERROR(VLOOKUP(B2449,'985'!$B$2:$D$40,3,FALSE),"")</f>
        <v/>
      </c>
      <c r="G2449" s="32" t="str">
        <f>IFERROR(VLOOKUP(B2449,'211'!$B$2:$D$116,3,FALSE),"")</f>
        <v/>
      </c>
      <c r="H2449" s="32" t="str">
        <f>IFERROR(VLOOKUP(B2449,双一流!$B$2:$D$148,3,FALSE),"")</f>
        <v/>
      </c>
      <c r="I2449" s="32">
        <f>IFERROR(VLOOKUP(B2449,汇总!$B$2:$I$2921,8,FALSE),"")</f>
        <v>0</v>
      </c>
      <c r="J2449" s="29" t="s">
        <v>1700</v>
      </c>
      <c r="K2449" s="29" t="s">
        <v>12</v>
      </c>
    </row>
    <row r="2450" ht="50.25" spans="1:11">
      <c r="A2450" s="29">
        <v>2449</v>
      </c>
      <c r="B2450" s="34" t="s">
        <v>2824</v>
      </c>
      <c r="C2450" s="29" t="str">
        <f>VLOOKUP(B2450,教育部大学名单!$B$1:$D$2920,3,FALSE)</f>
        <v>宁夏回族自治区</v>
      </c>
      <c r="D2450" s="34" t="s">
        <v>1197</v>
      </c>
      <c r="E2450" s="34" t="s">
        <v>1669</v>
      </c>
      <c r="F2450" s="36" t="str">
        <f>IFERROR(VLOOKUP(B2450,'985'!$B$2:$D$40,3,FALSE),"")</f>
        <v/>
      </c>
      <c r="G2450" s="32" t="str">
        <f>IFERROR(VLOOKUP(B2450,'211'!$B$2:$D$116,3,FALSE),"")</f>
        <v/>
      </c>
      <c r="H2450" s="32" t="str">
        <f>IFERROR(VLOOKUP(B2450,双一流!$B$2:$D$148,3,FALSE),"")</f>
        <v/>
      </c>
      <c r="I2450" s="32">
        <f>IFERROR(VLOOKUP(B2450,汇总!$B$2:$I$2921,8,FALSE),"")</f>
        <v>0</v>
      </c>
      <c r="J2450" s="34" t="s">
        <v>1700</v>
      </c>
      <c r="K2450" s="34" t="s">
        <v>12</v>
      </c>
    </row>
    <row r="2451" ht="33.75" spans="1:11">
      <c r="A2451" s="34">
        <v>2450</v>
      </c>
      <c r="B2451" s="29" t="s">
        <v>2825</v>
      </c>
      <c r="C2451" s="29" t="str">
        <f>VLOOKUP(B2451,教育部大学名单!$B$1:$D$2920,3,FALSE)</f>
        <v>新疆维吾尔自治区</v>
      </c>
      <c r="D2451" s="29" t="s">
        <v>1206</v>
      </c>
      <c r="E2451" s="29" t="s">
        <v>1207</v>
      </c>
      <c r="F2451" s="36" t="str">
        <f>IFERROR(VLOOKUP(B2451,'985'!$B$2:$D$40,3,FALSE),"")</f>
        <v/>
      </c>
      <c r="G2451" s="32" t="str">
        <f>IFERROR(VLOOKUP(B2451,'211'!$B$2:$D$116,3,FALSE),"")</f>
        <v/>
      </c>
      <c r="H2451" s="32" t="str">
        <f>IFERROR(VLOOKUP(B2451,双一流!$B$2:$D$148,3,FALSE),"")</f>
        <v/>
      </c>
      <c r="I2451" s="32">
        <f>IFERROR(VLOOKUP(B2451,汇总!$B$2:$I$2921,8,FALSE),"")</f>
        <v>0</v>
      </c>
      <c r="J2451" s="29" t="s">
        <v>1700</v>
      </c>
      <c r="K2451" s="29" t="s">
        <v>12</v>
      </c>
    </row>
    <row r="2452" ht="50.25" spans="1:11">
      <c r="A2452" s="29">
        <v>2451</v>
      </c>
      <c r="B2452" s="34" t="s">
        <v>2826</v>
      </c>
      <c r="C2452" s="29" t="str">
        <f>VLOOKUP(B2452,教育部大学名单!$B$1:$D$2920,3,FALSE)</f>
        <v>新疆维吾尔自治区</v>
      </c>
      <c r="D2452" s="34" t="s">
        <v>1206</v>
      </c>
      <c r="E2452" s="34" t="s">
        <v>1226</v>
      </c>
      <c r="F2452" s="36" t="str">
        <f>IFERROR(VLOOKUP(B2452,'985'!$B$2:$D$40,3,FALSE),"")</f>
        <v/>
      </c>
      <c r="G2452" s="32" t="str">
        <f>IFERROR(VLOOKUP(B2452,'211'!$B$2:$D$116,3,FALSE),"")</f>
        <v/>
      </c>
      <c r="H2452" s="32" t="str">
        <f>IFERROR(VLOOKUP(B2452,双一流!$B$2:$D$148,3,FALSE),"")</f>
        <v/>
      </c>
      <c r="I2452" s="32">
        <f>IFERROR(VLOOKUP(B2452,汇总!$B$2:$I$2921,8,FALSE),"")</f>
        <v>0</v>
      </c>
      <c r="J2452" s="34" t="s">
        <v>1700</v>
      </c>
      <c r="K2452" s="34" t="s">
        <v>12</v>
      </c>
    </row>
    <row r="2453" ht="50.25" spans="1:11">
      <c r="A2453" s="34">
        <v>2452</v>
      </c>
      <c r="B2453" s="29" t="s">
        <v>2827</v>
      </c>
      <c r="C2453" s="29" t="str">
        <f>VLOOKUP(B2453,教育部大学名单!$B$1:$D$2920,3,FALSE)</f>
        <v>江西省</v>
      </c>
      <c r="D2453" s="29" t="s">
        <v>587</v>
      </c>
      <c r="E2453" s="29" t="s">
        <v>607</v>
      </c>
      <c r="F2453" s="36" t="str">
        <f>IFERROR(VLOOKUP(B2453,'985'!$B$2:$D$40,3,FALSE),"")</f>
        <v/>
      </c>
      <c r="G2453" s="32" t="str">
        <f>IFERROR(VLOOKUP(B2453,'211'!$B$2:$D$116,3,FALSE),"")</f>
        <v/>
      </c>
      <c r="H2453" s="32" t="str">
        <f>IFERROR(VLOOKUP(B2453,双一流!$B$2:$D$148,3,FALSE),"")</f>
        <v/>
      </c>
      <c r="I2453" s="32">
        <f>IFERROR(VLOOKUP(B2453,汇总!$B$2:$I$2921,8,FALSE),"")</f>
        <v>0</v>
      </c>
      <c r="J2453" s="29" t="s">
        <v>1700</v>
      </c>
      <c r="K2453" s="29" t="s">
        <v>12</v>
      </c>
    </row>
    <row r="2454" ht="33.75" spans="1:11">
      <c r="A2454" s="29">
        <v>2453</v>
      </c>
      <c r="B2454" s="34" t="s">
        <v>2828</v>
      </c>
      <c r="C2454" s="29" t="str">
        <f>VLOOKUP(B2454,教育部大学名单!$B$1:$D$2920,3,FALSE)</f>
        <v>江西省</v>
      </c>
      <c r="D2454" s="34" t="s">
        <v>587</v>
      </c>
      <c r="E2454" s="34" t="s">
        <v>602</v>
      </c>
      <c r="F2454" s="36" t="str">
        <f>IFERROR(VLOOKUP(B2454,'985'!$B$2:$D$40,3,FALSE),"")</f>
        <v/>
      </c>
      <c r="G2454" s="32" t="str">
        <f>IFERROR(VLOOKUP(B2454,'211'!$B$2:$D$116,3,FALSE),"")</f>
        <v/>
      </c>
      <c r="H2454" s="32" t="str">
        <f>IFERROR(VLOOKUP(B2454,双一流!$B$2:$D$148,3,FALSE),"")</f>
        <v/>
      </c>
      <c r="I2454" s="32">
        <f>IFERROR(VLOOKUP(B2454,汇总!$B$2:$I$2921,8,FALSE),"")</f>
        <v>0</v>
      </c>
      <c r="J2454" s="34" t="s">
        <v>1700</v>
      </c>
      <c r="K2454" s="34" t="s">
        <v>12</v>
      </c>
    </row>
    <row r="2455" ht="33.75" spans="1:11">
      <c r="A2455" s="34">
        <v>2454</v>
      </c>
      <c r="B2455" s="29" t="s">
        <v>2829</v>
      </c>
      <c r="C2455" s="29" t="str">
        <f>VLOOKUP(B2455,教育部大学名单!$B$1:$D$2920,3,FALSE)</f>
        <v>山东省</v>
      </c>
      <c r="D2455" s="29" t="s">
        <v>628</v>
      </c>
      <c r="E2455" s="29" t="s">
        <v>660</v>
      </c>
      <c r="F2455" s="36" t="str">
        <f>IFERROR(VLOOKUP(B2455,'985'!$B$2:$D$40,3,FALSE),"")</f>
        <v/>
      </c>
      <c r="G2455" s="32" t="str">
        <f>IFERROR(VLOOKUP(B2455,'211'!$B$2:$D$116,3,FALSE),"")</f>
        <v/>
      </c>
      <c r="H2455" s="32" t="str">
        <f>IFERROR(VLOOKUP(B2455,双一流!$B$2:$D$148,3,FALSE),"")</f>
        <v/>
      </c>
      <c r="I2455" s="32">
        <f>IFERROR(VLOOKUP(B2455,汇总!$B$2:$I$2921,8,FALSE),"")</f>
        <v>0</v>
      </c>
      <c r="J2455" s="29" t="s">
        <v>1700</v>
      </c>
      <c r="K2455" s="29" t="s">
        <v>12</v>
      </c>
    </row>
    <row r="2456" ht="33.75" spans="1:11">
      <c r="A2456" s="29">
        <v>2455</v>
      </c>
      <c r="B2456" s="34" t="s">
        <v>2830</v>
      </c>
      <c r="C2456" s="29" t="str">
        <f>VLOOKUP(B2456,教育部大学名单!$B$1:$D$2920,3,FALSE)</f>
        <v>湖南省</v>
      </c>
      <c r="D2456" s="34" t="s">
        <v>797</v>
      </c>
      <c r="E2456" s="34" t="s">
        <v>821</v>
      </c>
      <c r="F2456" s="36" t="str">
        <f>IFERROR(VLOOKUP(B2456,'985'!$B$2:$D$40,3,FALSE),"")</f>
        <v/>
      </c>
      <c r="G2456" s="32" t="str">
        <f>IFERROR(VLOOKUP(B2456,'211'!$B$2:$D$116,3,FALSE),"")</f>
        <v/>
      </c>
      <c r="H2456" s="32" t="str">
        <f>IFERROR(VLOOKUP(B2456,双一流!$B$2:$D$148,3,FALSE),"")</f>
        <v/>
      </c>
      <c r="I2456" s="32">
        <f>IFERROR(VLOOKUP(B2456,汇总!$B$2:$I$2921,8,FALSE),"")</f>
        <v>0</v>
      </c>
      <c r="J2456" s="34" t="s">
        <v>1700</v>
      </c>
      <c r="K2456" s="34" t="s">
        <v>12</v>
      </c>
    </row>
    <row r="2457" ht="33.75" spans="1:11">
      <c r="A2457" s="34">
        <v>2456</v>
      </c>
      <c r="B2457" s="29" t="s">
        <v>2831</v>
      </c>
      <c r="C2457" s="29" t="str">
        <f>VLOOKUP(B2457,教育部大学名单!$B$1:$D$2920,3,FALSE)</f>
        <v>湖南省</v>
      </c>
      <c r="D2457" s="29" t="s">
        <v>797</v>
      </c>
      <c r="E2457" s="29" t="s">
        <v>817</v>
      </c>
      <c r="F2457" s="36" t="str">
        <f>IFERROR(VLOOKUP(B2457,'985'!$B$2:$D$40,3,FALSE),"")</f>
        <v/>
      </c>
      <c r="G2457" s="32" t="str">
        <f>IFERROR(VLOOKUP(B2457,'211'!$B$2:$D$116,3,FALSE),"")</f>
        <v/>
      </c>
      <c r="H2457" s="32" t="str">
        <f>IFERROR(VLOOKUP(B2457,双一流!$B$2:$D$148,3,FALSE),"")</f>
        <v/>
      </c>
      <c r="I2457" s="32">
        <f>IFERROR(VLOOKUP(B2457,汇总!$B$2:$I$2921,8,FALSE),"")</f>
        <v>0</v>
      </c>
      <c r="J2457" s="29" t="s">
        <v>1700</v>
      </c>
      <c r="K2457" s="29" t="s">
        <v>12</v>
      </c>
    </row>
    <row r="2458" ht="50.25" spans="1:11">
      <c r="A2458" s="29">
        <v>2457</v>
      </c>
      <c r="B2458" s="34" t="s">
        <v>2832</v>
      </c>
      <c r="C2458" s="29" t="str">
        <f>VLOOKUP(B2458,教育部大学名单!$B$1:$D$2920,3,FALSE)</f>
        <v>广西壮族自治区</v>
      </c>
      <c r="D2458" s="34" t="s">
        <v>902</v>
      </c>
      <c r="E2458" s="34" t="s">
        <v>903</v>
      </c>
      <c r="F2458" s="36" t="str">
        <f>IFERROR(VLOOKUP(B2458,'985'!$B$2:$D$40,3,FALSE),"")</f>
        <v/>
      </c>
      <c r="G2458" s="32" t="str">
        <f>IFERROR(VLOOKUP(B2458,'211'!$B$2:$D$116,3,FALSE),"")</f>
        <v/>
      </c>
      <c r="H2458" s="32" t="str">
        <f>IFERROR(VLOOKUP(B2458,双一流!$B$2:$D$148,3,FALSE),"")</f>
        <v/>
      </c>
      <c r="I2458" s="32">
        <f>IFERROR(VLOOKUP(B2458,汇总!$B$2:$I$2921,8,FALSE),"")</f>
        <v>0</v>
      </c>
      <c r="J2458" s="34" t="s">
        <v>1700</v>
      </c>
      <c r="K2458" s="34" t="s">
        <v>12</v>
      </c>
    </row>
    <row r="2459" ht="33.75" spans="1:11">
      <c r="A2459" s="34">
        <v>2458</v>
      </c>
      <c r="B2459" s="29" t="s">
        <v>2833</v>
      </c>
      <c r="C2459" s="29" t="str">
        <f>VLOOKUP(B2459,教育部大学名单!$B$1:$D$2920,3,FALSE)</f>
        <v>甘肃省</v>
      </c>
      <c r="D2459" s="29" t="s">
        <v>1156</v>
      </c>
      <c r="E2459" s="29" t="s">
        <v>2724</v>
      </c>
      <c r="F2459" s="36" t="str">
        <f>IFERROR(VLOOKUP(B2459,'985'!$B$2:$D$40,3,FALSE),"")</f>
        <v/>
      </c>
      <c r="G2459" s="32" t="str">
        <f>IFERROR(VLOOKUP(B2459,'211'!$B$2:$D$116,3,FALSE),"")</f>
        <v/>
      </c>
      <c r="H2459" s="32" t="str">
        <f>IFERROR(VLOOKUP(B2459,双一流!$B$2:$D$148,3,FALSE),"")</f>
        <v/>
      </c>
      <c r="I2459" s="32">
        <f>IFERROR(VLOOKUP(B2459,汇总!$B$2:$I$2921,8,FALSE),"")</f>
        <v>0</v>
      </c>
      <c r="J2459" s="29" t="s">
        <v>1700</v>
      </c>
      <c r="K2459" s="29" t="s">
        <v>12</v>
      </c>
    </row>
    <row r="2460" ht="33.75" spans="1:11">
      <c r="A2460" s="29">
        <v>2459</v>
      </c>
      <c r="B2460" s="34" t="s">
        <v>2834</v>
      </c>
      <c r="C2460" s="29" t="str">
        <f>VLOOKUP(B2460,教育部大学名单!$B$1:$D$2920,3,FALSE)</f>
        <v>新疆维吾尔自治区</v>
      </c>
      <c r="D2460" s="34" t="s">
        <v>1206</v>
      </c>
      <c r="E2460" s="34" t="s">
        <v>1216</v>
      </c>
      <c r="F2460" s="36" t="str">
        <f>IFERROR(VLOOKUP(B2460,'985'!$B$2:$D$40,3,FALSE),"")</f>
        <v/>
      </c>
      <c r="G2460" s="32" t="str">
        <f>IFERROR(VLOOKUP(B2460,'211'!$B$2:$D$116,3,FALSE),"")</f>
        <v/>
      </c>
      <c r="H2460" s="32" t="str">
        <f>IFERROR(VLOOKUP(B2460,双一流!$B$2:$D$148,3,FALSE),"")</f>
        <v/>
      </c>
      <c r="I2460" s="32">
        <f>IFERROR(VLOOKUP(B2460,汇总!$B$2:$I$2921,8,FALSE),"")</f>
        <v>0</v>
      </c>
      <c r="J2460" s="34" t="s">
        <v>1700</v>
      </c>
      <c r="K2460" s="34" t="s">
        <v>12</v>
      </c>
    </row>
    <row r="2461" ht="33.75" spans="1:11">
      <c r="A2461" s="34">
        <v>2460</v>
      </c>
      <c r="B2461" s="29" t="s">
        <v>2835</v>
      </c>
      <c r="C2461" s="29" t="str">
        <f>VLOOKUP(B2461,教育部大学名单!$B$1:$D$2920,3,FALSE)</f>
        <v>新疆生产建设兵团</v>
      </c>
      <c r="D2461" s="29" t="s">
        <v>1206</v>
      </c>
      <c r="E2461" s="29" t="s">
        <v>1232</v>
      </c>
      <c r="F2461" s="36" t="str">
        <f>IFERROR(VLOOKUP(B2461,'985'!$B$2:$D$40,3,FALSE),"")</f>
        <v/>
      </c>
      <c r="G2461" s="32" t="str">
        <f>IFERROR(VLOOKUP(B2461,'211'!$B$2:$D$116,3,FALSE),"")</f>
        <v/>
      </c>
      <c r="H2461" s="32" t="str">
        <f>IFERROR(VLOOKUP(B2461,双一流!$B$2:$D$148,3,FALSE),"")</f>
        <v/>
      </c>
      <c r="I2461" s="32">
        <f>IFERROR(VLOOKUP(B2461,汇总!$B$2:$I$2921,8,FALSE),"")</f>
        <v>0</v>
      </c>
      <c r="J2461" s="29" t="s">
        <v>1700</v>
      </c>
      <c r="K2461" s="29" t="s">
        <v>12</v>
      </c>
    </row>
    <row r="2462" ht="33.75" spans="1:11">
      <c r="A2462" s="29">
        <v>2461</v>
      </c>
      <c r="B2462" s="34" t="s">
        <v>2836</v>
      </c>
      <c r="C2462" s="29" t="str">
        <f>VLOOKUP(B2462,教育部大学名单!$B$1:$D$2920,3,FALSE)</f>
        <v>新疆生产建设兵团</v>
      </c>
      <c r="D2462" s="34" t="s">
        <v>1206</v>
      </c>
      <c r="E2462" s="34" t="s">
        <v>2837</v>
      </c>
      <c r="F2462" s="36" t="str">
        <f>IFERROR(VLOOKUP(B2462,'985'!$B$2:$D$40,3,FALSE),"")</f>
        <v/>
      </c>
      <c r="G2462" s="32" t="str">
        <f>IFERROR(VLOOKUP(B2462,'211'!$B$2:$D$116,3,FALSE),"")</f>
        <v/>
      </c>
      <c r="H2462" s="32" t="str">
        <f>IFERROR(VLOOKUP(B2462,双一流!$B$2:$D$148,3,FALSE),"")</f>
        <v/>
      </c>
      <c r="I2462" s="32">
        <f>IFERROR(VLOOKUP(B2462,汇总!$B$2:$I$2921,8,FALSE),"")</f>
        <v>0</v>
      </c>
      <c r="J2462" s="34" t="s">
        <v>1700</v>
      </c>
      <c r="K2462" s="34" t="s">
        <v>12</v>
      </c>
    </row>
    <row r="2463" ht="33.75" spans="1:11">
      <c r="A2463" s="34">
        <v>2462</v>
      </c>
      <c r="B2463" s="29" t="s">
        <v>2838</v>
      </c>
      <c r="C2463" s="29" t="str">
        <f>VLOOKUP(B2463,教育部大学名单!$B$1:$D$2920,3,FALSE)</f>
        <v>新疆生产建设兵团</v>
      </c>
      <c r="D2463" s="29" t="s">
        <v>1206</v>
      </c>
      <c r="E2463" s="29" t="s">
        <v>2839</v>
      </c>
      <c r="F2463" s="36" t="str">
        <f>IFERROR(VLOOKUP(B2463,'985'!$B$2:$D$40,3,FALSE),"")</f>
        <v/>
      </c>
      <c r="G2463" s="32" t="str">
        <f>IFERROR(VLOOKUP(B2463,'211'!$B$2:$D$116,3,FALSE),"")</f>
        <v/>
      </c>
      <c r="H2463" s="32" t="str">
        <f>IFERROR(VLOOKUP(B2463,双一流!$B$2:$D$148,3,FALSE),"")</f>
        <v/>
      </c>
      <c r="I2463" s="32">
        <f>IFERROR(VLOOKUP(B2463,汇总!$B$2:$I$2921,8,FALSE),"")</f>
        <v>0</v>
      </c>
      <c r="J2463" s="29" t="s">
        <v>1700</v>
      </c>
      <c r="K2463" s="29" t="s">
        <v>12</v>
      </c>
    </row>
    <row r="2464" ht="33.75" spans="1:11">
      <c r="A2464" s="29">
        <v>2463</v>
      </c>
      <c r="B2464" s="34" t="s">
        <v>2840</v>
      </c>
      <c r="C2464" s="29" t="str">
        <f>VLOOKUP(B2464,教育部大学名单!$B$1:$D$2920,3,FALSE)</f>
        <v>新疆生产建设兵团</v>
      </c>
      <c r="D2464" s="34" t="s">
        <v>1206</v>
      </c>
      <c r="E2464" s="34" t="s">
        <v>2841</v>
      </c>
      <c r="F2464" s="36" t="str">
        <f>IFERROR(VLOOKUP(B2464,'985'!$B$2:$D$40,3,FALSE),"")</f>
        <v/>
      </c>
      <c r="G2464" s="32" t="str">
        <f>IFERROR(VLOOKUP(B2464,'211'!$B$2:$D$116,3,FALSE),"")</f>
        <v/>
      </c>
      <c r="H2464" s="32" t="str">
        <f>IFERROR(VLOOKUP(B2464,双一流!$B$2:$D$148,3,FALSE),"")</f>
        <v/>
      </c>
      <c r="I2464" s="32">
        <f>IFERROR(VLOOKUP(B2464,汇总!$B$2:$I$2921,8,FALSE),"")</f>
        <v>0</v>
      </c>
      <c r="J2464" s="34" t="s">
        <v>1700</v>
      </c>
      <c r="K2464" s="34" t="s">
        <v>12</v>
      </c>
    </row>
    <row r="2465" ht="33.75" spans="1:11">
      <c r="A2465" s="34">
        <v>2464</v>
      </c>
      <c r="B2465" s="29" t="s">
        <v>2842</v>
      </c>
      <c r="C2465" s="29" t="str">
        <f>VLOOKUP(B2465,教育部大学名单!$B$1:$D$2920,3,FALSE)</f>
        <v>湖北省</v>
      </c>
      <c r="D2465" s="29" t="s">
        <v>746</v>
      </c>
      <c r="E2465" s="29" t="s">
        <v>771</v>
      </c>
      <c r="F2465" s="36" t="str">
        <f>IFERROR(VLOOKUP(B2465,'985'!$B$2:$D$40,3,FALSE),"")</f>
        <v/>
      </c>
      <c r="G2465" s="32" t="str">
        <f>IFERROR(VLOOKUP(B2465,'211'!$B$2:$D$116,3,FALSE),"")</f>
        <v/>
      </c>
      <c r="H2465" s="32" t="str">
        <f>IFERROR(VLOOKUP(B2465,双一流!$B$2:$D$148,3,FALSE),"")</f>
        <v/>
      </c>
      <c r="I2465" s="32">
        <f>IFERROR(VLOOKUP(B2465,汇总!$B$2:$I$2921,8,FALSE),"")</f>
        <v>0</v>
      </c>
      <c r="J2465" s="29" t="s">
        <v>1700</v>
      </c>
      <c r="K2465" s="29" t="s">
        <v>12</v>
      </c>
    </row>
    <row r="2466" ht="33.75" spans="1:11">
      <c r="A2466" s="29">
        <v>2465</v>
      </c>
      <c r="B2466" s="34" t="s">
        <v>2843</v>
      </c>
      <c r="C2466" s="29" t="str">
        <f>VLOOKUP(B2466,教育部大学名单!$B$1:$D$2920,3,FALSE)</f>
        <v>湖北省</v>
      </c>
      <c r="D2466" s="34" t="s">
        <v>746</v>
      </c>
      <c r="E2466" s="34" t="s">
        <v>785</v>
      </c>
      <c r="F2466" s="36" t="str">
        <f>IFERROR(VLOOKUP(B2466,'985'!$B$2:$D$40,3,FALSE),"")</f>
        <v/>
      </c>
      <c r="G2466" s="32" t="str">
        <f>IFERROR(VLOOKUP(B2466,'211'!$B$2:$D$116,3,FALSE),"")</f>
        <v/>
      </c>
      <c r="H2466" s="32" t="str">
        <f>IFERROR(VLOOKUP(B2466,双一流!$B$2:$D$148,3,FALSE),"")</f>
        <v/>
      </c>
      <c r="I2466" s="32">
        <f>IFERROR(VLOOKUP(B2466,汇总!$B$2:$I$2921,8,FALSE),"")</f>
        <v>0</v>
      </c>
      <c r="J2466" s="34" t="s">
        <v>1700</v>
      </c>
      <c r="K2466" s="34" t="s">
        <v>12</v>
      </c>
    </row>
    <row r="2467" ht="33.75" spans="1:11">
      <c r="A2467" s="34">
        <v>2466</v>
      </c>
      <c r="B2467" s="29" t="s">
        <v>2844</v>
      </c>
      <c r="C2467" s="29" t="str">
        <f>VLOOKUP(B2467,教育部大学名单!$B$1:$D$2920,3,FALSE)</f>
        <v>上海市</v>
      </c>
      <c r="D2467" s="29" t="s">
        <v>347</v>
      </c>
      <c r="E2467" s="29" t="s">
        <v>347</v>
      </c>
      <c r="F2467" s="36" t="str">
        <f>IFERROR(VLOOKUP(B2467,'985'!$B$2:$D$40,3,FALSE),"")</f>
        <v/>
      </c>
      <c r="G2467" s="32" t="str">
        <f>IFERROR(VLOOKUP(B2467,'211'!$B$2:$D$116,3,FALSE),"")</f>
        <v/>
      </c>
      <c r="H2467" s="32" t="str">
        <f>IFERROR(VLOOKUP(B2467,双一流!$B$2:$D$148,3,FALSE),"")</f>
        <v/>
      </c>
      <c r="I2467" s="32">
        <f>IFERROR(VLOOKUP(B2467,汇总!$B$2:$I$2921,8,FALSE),"")</f>
        <v>0</v>
      </c>
      <c r="J2467" s="29" t="s">
        <v>1700</v>
      </c>
      <c r="K2467" s="29" t="s">
        <v>12</v>
      </c>
    </row>
    <row r="2468" ht="33.75" spans="1:11">
      <c r="A2468" s="29">
        <v>2467</v>
      </c>
      <c r="B2468" s="34" t="s">
        <v>2845</v>
      </c>
      <c r="C2468" s="29" t="str">
        <f>VLOOKUP(B2468,教育部大学名单!$B$1:$D$2920,3,FALSE)</f>
        <v>江苏省</v>
      </c>
      <c r="D2468" s="34" t="s">
        <v>379</v>
      </c>
      <c r="E2468" s="34" t="s">
        <v>380</v>
      </c>
      <c r="F2468" s="36" t="str">
        <f>IFERROR(VLOOKUP(B2468,'985'!$B$2:$D$40,3,FALSE),"")</f>
        <v/>
      </c>
      <c r="G2468" s="32" t="str">
        <f>IFERROR(VLOOKUP(B2468,'211'!$B$2:$D$116,3,FALSE),"")</f>
        <v/>
      </c>
      <c r="H2468" s="32" t="str">
        <f>IFERROR(VLOOKUP(B2468,双一流!$B$2:$D$148,3,FALSE),"")</f>
        <v/>
      </c>
      <c r="I2468" s="32">
        <f>IFERROR(VLOOKUP(B2468,汇总!$B$2:$I$2921,8,FALSE),"")</f>
        <v>0</v>
      </c>
      <c r="J2468" s="34" t="s">
        <v>1700</v>
      </c>
      <c r="K2468" s="34" t="s">
        <v>12</v>
      </c>
    </row>
    <row r="2469" ht="33.75" spans="1:11">
      <c r="A2469" s="34">
        <v>2468</v>
      </c>
      <c r="B2469" s="29" t="s">
        <v>2846</v>
      </c>
      <c r="C2469" s="29" t="str">
        <f>VLOOKUP(B2469,教育部大学名单!$B$1:$D$2920,3,FALSE)</f>
        <v>广东省</v>
      </c>
      <c r="D2469" s="29" t="s">
        <v>844</v>
      </c>
      <c r="E2469" s="29" t="s">
        <v>874</v>
      </c>
      <c r="F2469" s="36" t="str">
        <f>IFERROR(VLOOKUP(B2469,'985'!$B$2:$D$40,3,FALSE),"")</f>
        <v/>
      </c>
      <c r="G2469" s="32" t="str">
        <f>IFERROR(VLOOKUP(B2469,'211'!$B$2:$D$116,3,FALSE),"")</f>
        <v/>
      </c>
      <c r="H2469" s="32" t="str">
        <f>IFERROR(VLOOKUP(B2469,双一流!$B$2:$D$148,3,FALSE),"")</f>
        <v/>
      </c>
      <c r="I2469" s="32">
        <f>IFERROR(VLOOKUP(B2469,汇总!$B$2:$I$2921,8,FALSE),"")</f>
        <v>0</v>
      </c>
      <c r="J2469" s="29" t="s">
        <v>1700</v>
      </c>
      <c r="K2469" s="29" t="s">
        <v>12</v>
      </c>
    </row>
    <row r="2470" ht="33.75" spans="1:11">
      <c r="A2470" s="29">
        <v>2469</v>
      </c>
      <c r="B2470" s="34" t="s">
        <v>2847</v>
      </c>
      <c r="C2470" s="29" t="str">
        <f>VLOOKUP(B2470,教育部大学名单!$B$1:$D$2920,3,FALSE)</f>
        <v>宁夏回族自治区</v>
      </c>
      <c r="D2470" s="34" t="s">
        <v>1197</v>
      </c>
      <c r="E2470" s="34" t="s">
        <v>1198</v>
      </c>
      <c r="F2470" s="36" t="str">
        <f>IFERROR(VLOOKUP(B2470,'985'!$B$2:$D$40,3,FALSE),"")</f>
        <v/>
      </c>
      <c r="G2470" s="32" t="str">
        <f>IFERROR(VLOOKUP(B2470,'211'!$B$2:$D$116,3,FALSE),"")</f>
        <v/>
      </c>
      <c r="H2470" s="32" t="str">
        <f>IFERROR(VLOOKUP(B2470,双一流!$B$2:$D$148,3,FALSE),"")</f>
        <v/>
      </c>
      <c r="I2470" s="32">
        <f>IFERROR(VLOOKUP(B2470,汇总!$B$2:$I$2921,8,FALSE),"")</f>
        <v>0</v>
      </c>
      <c r="J2470" s="34" t="s">
        <v>1700</v>
      </c>
      <c r="K2470" s="34" t="s">
        <v>12</v>
      </c>
    </row>
    <row r="2471" ht="33.75" spans="1:11">
      <c r="A2471" s="34">
        <v>2470</v>
      </c>
      <c r="B2471" s="29" t="s">
        <v>2848</v>
      </c>
      <c r="C2471" s="29" t="str">
        <f>VLOOKUP(B2471,教育部大学名单!$B$1:$D$2920,3,FALSE)</f>
        <v>贵州省</v>
      </c>
      <c r="D2471" s="29" t="s">
        <v>1026</v>
      </c>
      <c r="E2471" s="29" t="s">
        <v>1027</v>
      </c>
      <c r="F2471" s="36" t="str">
        <f>IFERROR(VLOOKUP(B2471,'985'!$B$2:$D$40,3,FALSE),"")</f>
        <v/>
      </c>
      <c r="G2471" s="32" t="str">
        <f>IFERROR(VLOOKUP(B2471,'211'!$B$2:$D$116,3,FALSE),"")</f>
        <v/>
      </c>
      <c r="H2471" s="32" t="str">
        <f>IFERROR(VLOOKUP(B2471,双一流!$B$2:$D$148,3,FALSE),"")</f>
        <v/>
      </c>
      <c r="I2471" s="32">
        <f>IFERROR(VLOOKUP(B2471,汇总!$B$2:$I$2921,8,FALSE),"")</f>
        <v>0</v>
      </c>
      <c r="J2471" s="29" t="s">
        <v>1700</v>
      </c>
      <c r="K2471" s="29" t="s">
        <v>12</v>
      </c>
    </row>
    <row r="2472" ht="33.75" spans="1:11">
      <c r="A2472" s="29">
        <v>2471</v>
      </c>
      <c r="B2472" s="34" t="s">
        <v>2849</v>
      </c>
      <c r="C2472" s="29" t="str">
        <f>VLOOKUP(B2472,教育部大学名单!$B$1:$D$2920,3,FALSE)</f>
        <v>贵州省</v>
      </c>
      <c r="D2472" s="34" t="s">
        <v>1026</v>
      </c>
      <c r="E2472" s="34" t="s">
        <v>1027</v>
      </c>
      <c r="F2472" s="36" t="str">
        <f>IFERROR(VLOOKUP(B2472,'985'!$B$2:$D$40,3,FALSE),"")</f>
        <v/>
      </c>
      <c r="G2472" s="32" t="str">
        <f>IFERROR(VLOOKUP(B2472,'211'!$B$2:$D$116,3,FALSE),"")</f>
        <v/>
      </c>
      <c r="H2472" s="32" t="str">
        <f>IFERROR(VLOOKUP(B2472,双一流!$B$2:$D$148,3,FALSE),"")</f>
        <v/>
      </c>
      <c r="I2472" s="32">
        <f>IFERROR(VLOOKUP(B2472,汇总!$B$2:$I$2921,8,FALSE),"")</f>
        <v>0</v>
      </c>
      <c r="J2472" s="34" t="s">
        <v>1700</v>
      </c>
      <c r="K2472" s="34" t="s">
        <v>12</v>
      </c>
    </row>
    <row r="2473" ht="33.75" spans="1:11">
      <c r="A2473" s="34">
        <v>2472</v>
      </c>
      <c r="B2473" s="29" t="s">
        <v>2850</v>
      </c>
      <c r="C2473" s="29" t="str">
        <f>VLOOKUP(B2473,教育部大学名单!$B$1:$D$2920,3,FALSE)</f>
        <v>贵州省</v>
      </c>
      <c r="D2473" s="29" t="s">
        <v>1026</v>
      </c>
      <c r="E2473" s="29" t="s">
        <v>1043</v>
      </c>
      <c r="F2473" s="36" t="str">
        <f>IFERROR(VLOOKUP(B2473,'985'!$B$2:$D$40,3,FALSE),"")</f>
        <v/>
      </c>
      <c r="G2473" s="32" t="str">
        <f>IFERROR(VLOOKUP(B2473,'211'!$B$2:$D$116,3,FALSE),"")</f>
        <v/>
      </c>
      <c r="H2473" s="32" t="str">
        <f>IFERROR(VLOOKUP(B2473,双一流!$B$2:$D$148,3,FALSE),"")</f>
        <v/>
      </c>
      <c r="I2473" s="32">
        <f>IFERROR(VLOOKUP(B2473,汇总!$B$2:$I$2921,8,FALSE),"")</f>
        <v>0</v>
      </c>
      <c r="J2473" s="29" t="s">
        <v>1700</v>
      </c>
      <c r="K2473" s="29" t="s">
        <v>12</v>
      </c>
    </row>
    <row r="2474" ht="33.75" spans="1:11">
      <c r="A2474" s="29">
        <v>2473</v>
      </c>
      <c r="B2474" s="34" t="s">
        <v>2851</v>
      </c>
      <c r="C2474" s="29" t="str">
        <f>VLOOKUP(B2474,教育部大学名单!$B$1:$D$2920,3,FALSE)</f>
        <v>江苏省</v>
      </c>
      <c r="D2474" s="34" t="s">
        <v>379</v>
      </c>
      <c r="E2474" s="34" t="s">
        <v>403</v>
      </c>
      <c r="F2474" s="36" t="str">
        <f>IFERROR(VLOOKUP(B2474,'985'!$B$2:$D$40,3,FALSE),"")</f>
        <v/>
      </c>
      <c r="G2474" s="32" t="str">
        <f>IFERROR(VLOOKUP(B2474,'211'!$B$2:$D$116,3,FALSE),"")</f>
        <v/>
      </c>
      <c r="H2474" s="32" t="str">
        <f>IFERROR(VLOOKUP(B2474,双一流!$B$2:$D$148,3,FALSE),"")</f>
        <v/>
      </c>
      <c r="I2474" s="32">
        <f>IFERROR(VLOOKUP(B2474,汇总!$B$2:$I$2921,8,FALSE),"")</f>
        <v>0</v>
      </c>
      <c r="J2474" s="34" t="s">
        <v>1700</v>
      </c>
      <c r="K2474" s="34" t="s">
        <v>12</v>
      </c>
    </row>
    <row r="2475" ht="50.25" spans="1:11">
      <c r="A2475" s="34">
        <v>2474</v>
      </c>
      <c r="B2475" s="29" t="s">
        <v>2852</v>
      </c>
      <c r="C2475" s="29" t="str">
        <f>VLOOKUP(B2475,教育部大学名单!$B$1:$D$2920,3,FALSE)</f>
        <v>江苏省</v>
      </c>
      <c r="D2475" s="29" t="s">
        <v>379</v>
      </c>
      <c r="E2475" s="29" t="s">
        <v>440</v>
      </c>
      <c r="F2475" s="36" t="str">
        <f>IFERROR(VLOOKUP(B2475,'985'!$B$2:$D$40,3,FALSE),"")</f>
        <v/>
      </c>
      <c r="G2475" s="32" t="str">
        <f>IFERROR(VLOOKUP(B2475,'211'!$B$2:$D$116,3,FALSE),"")</f>
        <v/>
      </c>
      <c r="H2475" s="32" t="str">
        <f>IFERROR(VLOOKUP(B2475,双一流!$B$2:$D$148,3,FALSE),"")</f>
        <v/>
      </c>
      <c r="I2475" s="32">
        <f>IFERROR(VLOOKUP(B2475,汇总!$B$2:$I$2921,8,FALSE),"")</f>
        <v>0</v>
      </c>
      <c r="J2475" s="29" t="s">
        <v>1700</v>
      </c>
      <c r="K2475" s="29" t="s">
        <v>12</v>
      </c>
    </row>
    <row r="2476" ht="33.75" spans="1:11">
      <c r="A2476" s="29">
        <v>2475</v>
      </c>
      <c r="B2476" s="34" t="s">
        <v>2853</v>
      </c>
      <c r="C2476" s="29" t="str">
        <f>VLOOKUP(B2476,教育部大学名单!$B$1:$D$2920,3,FALSE)</f>
        <v>江苏省</v>
      </c>
      <c r="D2476" s="34" t="s">
        <v>379</v>
      </c>
      <c r="E2476" s="34" t="s">
        <v>396</v>
      </c>
      <c r="F2476" s="36" t="str">
        <f>IFERROR(VLOOKUP(B2476,'985'!$B$2:$D$40,3,FALSE),"")</f>
        <v/>
      </c>
      <c r="G2476" s="32" t="str">
        <f>IFERROR(VLOOKUP(B2476,'211'!$B$2:$D$116,3,FALSE),"")</f>
        <v/>
      </c>
      <c r="H2476" s="32" t="str">
        <f>IFERROR(VLOOKUP(B2476,双一流!$B$2:$D$148,3,FALSE),"")</f>
        <v/>
      </c>
      <c r="I2476" s="32">
        <f>IFERROR(VLOOKUP(B2476,汇总!$B$2:$I$2921,8,FALSE),"")</f>
        <v>0</v>
      </c>
      <c r="J2476" s="34" t="s">
        <v>1700</v>
      </c>
      <c r="K2476" s="34" t="s">
        <v>12</v>
      </c>
    </row>
    <row r="2477" ht="33.75" spans="1:11">
      <c r="A2477" s="34">
        <v>2476</v>
      </c>
      <c r="B2477" s="29" t="s">
        <v>2854</v>
      </c>
      <c r="C2477" s="29" t="str">
        <f>VLOOKUP(B2477,教育部大学名单!$B$1:$D$2920,3,FALSE)</f>
        <v>山东省</v>
      </c>
      <c r="D2477" s="29" t="s">
        <v>628</v>
      </c>
      <c r="E2477" s="29" t="s">
        <v>660</v>
      </c>
      <c r="F2477" s="36" t="str">
        <f>IFERROR(VLOOKUP(B2477,'985'!$B$2:$D$40,3,FALSE),"")</f>
        <v/>
      </c>
      <c r="G2477" s="32" t="str">
        <f>IFERROR(VLOOKUP(B2477,'211'!$B$2:$D$116,3,FALSE),"")</f>
        <v/>
      </c>
      <c r="H2477" s="32" t="str">
        <f>IFERROR(VLOOKUP(B2477,双一流!$B$2:$D$148,3,FALSE),"")</f>
        <v/>
      </c>
      <c r="I2477" s="32">
        <f>IFERROR(VLOOKUP(B2477,汇总!$B$2:$I$2921,8,FALSE),"")</f>
        <v>0</v>
      </c>
      <c r="J2477" s="29" t="s">
        <v>1700</v>
      </c>
      <c r="K2477" s="29" t="s">
        <v>12</v>
      </c>
    </row>
    <row r="2478" ht="33.75" spans="1:11">
      <c r="A2478" s="29">
        <v>2477</v>
      </c>
      <c r="B2478" s="34" t="s">
        <v>2855</v>
      </c>
      <c r="C2478" s="29" t="str">
        <f>VLOOKUP(B2478,教育部大学名单!$B$1:$D$2920,3,FALSE)</f>
        <v>山东省</v>
      </c>
      <c r="D2478" s="34" t="s">
        <v>628</v>
      </c>
      <c r="E2478" s="34" t="s">
        <v>657</v>
      </c>
      <c r="F2478" s="36" t="str">
        <f>IFERROR(VLOOKUP(B2478,'985'!$B$2:$D$40,3,FALSE),"")</f>
        <v/>
      </c>
      <c r="G2478" s="32" t="str">
        <f>IFERROR(VLOOKUP(B2478,'211'!$B$2:$D$116,3,FALSE),"")</f>
        <v/>
      </c>
      <c r="H2478" s="32" t="str">
        <f>IFERROR(VLOOKUP(B2478,双一流!$B$2:$D$148,3,FALSE),"")</f>
        <v/>
      </c>
      <c r="I2478" s="32">
        <f>IFERROR(VLOOKUP(B2478,汇总!$B$2:$I$2921,8,FALSE),"")</f>
        <v>0</v>
      </c>
      <c r="J2478" s="34" t="s">
        <v>1700</v>
      </c>
      <c r="K2478" s="34" t="s">
        <v>12</v>
      </c>
    </row>
    <row r="2479" ht="50.25" spans="1:11">
      <c r="A2479" s="34">
        <v>2478</v>
      </c>
      <c r="B2479" s="29" t="s">
        <v>2856</v>
      </c>
      <c r="C2479" s="29" t="str">
        <f>VLOOKUP(B2479,教育部大学名单!$B$1:$D$2920,3,FALSE)</f>
        <v>河南省</v>
      </c>
      <c r="D2479" s="29" t="s">
        <v>692</v>
      </c>
      <c r="E2479" s="29" t="s">
        <v>727</v>
      </c>
      <c r="F2479" s="36" t="str">
        <f>IFERROR(VLOOKUP(B2479,'985'!$B$2:$D$40,3,FALSE),"")</f>
        <v/>
      </c>
      <c r="G2479" s="32" t="str">
        <f>IFERROR(VLOOKUP(B2479,'211'!$B$2:$D$116,3,FALSE),"")</f>
        <v/>
      </c>
      <c r="H2479" s="32" t="str">
        <f>IFERROR(VLOOKUP(B2479,双一流!$B$2:$D$148,3,FALSE),"")</f>
        <v/>
      </c>
      <c r="I2479" s="32">
        <f>IFERROR(VLOOKUP(B2479,汇总!$B$2:$I$2921,8,FALSE),"")</f>
        <v>0</v>
      </c>
      <c r="J2479" s="29" t="s">
        <v>1700</v>
      </c>
      <c r="K2479" s="29" t="s">
        <v>12</v>
      </c>
    </row>
    <row r="2480" ht="50.25" spans="1:11">
      <c r="A2480" s="29">
        <v>2479</v>
      </c>
      <c r="B2480" s="34" t="s">
        <v>2857</v>
      </c>
      <c r="C2480" s="29" t="str">
        <f>VLOOKUP(B2480,教育部大学名单!$B$1:$D$2920,3,FALSE)</f>
        <v>湖北省</v>
      </c>
      <c r="D2480" s="34" t="s">
        <v>746</v>
      </c>
      <c r="E2480" s="34" t="s">
        <v>788</v>
      </c>
      <c r="F2480" s="36" t="str">
        <f>IFERROR(VLOOKUP(B2480,'985'!$B$2:$D$40,3,FALSE),"")</f>
        <v/>
      </c>
      <c r="G2480" s="32" t="str">
        <f>IFERROR(VLOOKUP(B2480,'211'!$B$2:$D$116,3,FALSE),"")</f>
        <v/>
      </c>
      <c r="H2480" s="32" t="str">
        <f>IFERROR(VLOOKUP(B2480,双一流!$B$2:$D$148,3,FALSE),"")</f>
        <v/>
      </c>
      <c r="I2480" s="32">
        <f>IFERROR(VLOOKUP(B2480,汇总!$B$2:$I$2921,8,FALSE),"")</f>
        <v>0</v>
      </c>
      <c r="J2480" s="34" t="s">
        <v>1700</v>
      </c>
      <c r="K2480" s="34" t="s">
        <v>12</v>
      </c>
    </row>
    <row r="2481" ht="33.75" spans="1:11">
      <c r="A2481" s="34">
        <v>2480</v>
      </c>
      <c r="B2481" s="29" t="s">
        <v>2858</v>
      </c>
      <c r="C2481" s="29" t="str">
        <f>VLOOKUP(B2481,教育部大学名单!$B$1:$D$2920,3,FALSE)</f>
        <v>湖南省</v>
      </c>
      <c r="D2481" s="29" t="s">
        <v>797</v>
      </c>
      <c r="E2481" s="29" t="s">
        <v>819</v>
      </c>
      <c r="F2481" s="36" t="str">
        <f>IFERROR(VLOOKUP(B2481,'985'!$B$2:$D$40,3,FALSE),"")</f>
        <v/>
      </c>
      <c r="G2481" s="32" t="str">
        <f>IFERROR(VLOOKUP(B2481,'211'!$B$2:$D$116,3,FALSE),"")</f>
        <v/>
      </c>
      <c r="H2481" s="32" t="str">
        <f>IFERROR(VLOOKUP(B2481,双一流!$B$2:$D$148,3,FALSE),"")</f>
        <v/>
      </c>
      <c r="I2481" s="32">
        <f>IFERROR(VLOOKUP(B2481,汇总!$B$2:$I$2921,8,FALSE),"")</f>
        <v>0</v>
      </c>
      <c r="J2481" s="29" t="s">
        <v>1700</v>
      </c>
      <c r="K2481" s="29" t="s">
        <v>12</v>
      </c>
    </row>
    <row r="2482" ht="33.75" spans="1:11">
      <c r="A2482" s="29">
        <v>2481</v>
      </c>
      <c r="B2482" s="34" t="s">
        <v>2859</v>
      </c>
      <c r="C2482" s="29" t="str">
        <f>VLOOKUP(B2482,教育部大学名单!$B$1:$D$2920,3,FALSE)</f>
        <v>湖南省</v>
      </c>
      <c r="D2482" s="34" t="s">
        <v>797</v>
      </c>
      <c r="E2482" s="34" t="s">
        <v>798</v>
      </c>
      <c r="F2482" s="36" t="str">
        <f>IFERROR(VLOOKUP(B2482,'985'!$B$2:$D$40,3,FALSE),"")</f>
        <v/>
      </c>
      <c r="G2482" s="32" t="str">
        <f>IFERROR(VLOOKUP(B2482,'211'!$B$2:$D$116,3,FALSE),"")</f>
        <v/>
      </c>
      <c r="H2482" s="32" t="str">
        <f>IFERROR(VLOOKUP(B2482,双一流!$B$2:$D$148,3,FALSE),"")</f>
        <v/>
      </c>
      <c r="I2482" s="32">
        <f>IFERROR(VLOOKUP(B2482,汇总!$B$2:$I$2921,8,FALSE),"")</f>
        <v>0</v>
      </c>
      <c r="J2482" s="34" t="s">
        <v>1700</v>
      </c>
      <c r="K2482" s="34" t="s">
        <v>12</v>
      </c>
    </row>
    <row r="2483" ht="33.75" spans="1:11">
      <c r="A2483" s="34">
        <v>2482</v>
      </c>
      <c r="B2483" s="29" t="s">
        <v>2860</v>
      </c>
      <c r="C2483" s="29" t="str">
        <f>VLOOKUP(B2483,教育部大学名单!$B$1:$D$2920,3,FALSE)</f>
        <v>广西壮族自治区</v>
      </c>
      <c r="D2483" s="29" t="s">
        <v>902</v>
      </c>
      <c r="E2483" s="29" t="s">
        <v>921</v>
      </c>
      <c r="F2483" s="36" t="str">
        <f>IFERROR(VLOOKUP(B2483,'985'!$B$2:$D$40,3,FALSE),"")</f>
        <v/>
      </c>
      <c r="G2483" s="32" t="str">
        <f>IFERROR(VLOOKUP(B2483,'211'!$B$2:$D$116,3,FALSE),"")</f>
        <v/>
      </c>
      <c r="H2483" s="32" t="str">
        <f>IFERROR(VLOOKUP(B2483,双一流!$B$2:$D$148,3,FALSE),"")</f>
        <v/>
      </c>
      <c r="I2483" s="32">
        <f>IFERROR(VLOOKUP(B2483,汇总!$B$2:$I$2921,8,FALSE),"")</f>
        <v>0</v>
      </c>
      <c r="J2483" s="29" t="s">
        <v>1700</v>
      </c>
      <c r="K2483" s="29" t="s">
        <v>12</v>
      </c>
    </row>
    <row r="2484" ht="50.25" spans="1:11">
      <c r="A2484" s="29">
        <v>2483</v>
      </c>
      <c r="B2484" s="34" t="s">
        <v>2861</v>
      </c>
      <c r="C2484" s="29" t="str">
        <f>VLOOKUP(B2484,教育部大学名单!$B$1:$D$2920,3,FALSE)</f>
        <v>广西壮族自治区</v>
      </c>
      <c r="D2484" s="34" t="s">
        <v>902</v>
      </c>
      <c r="E2484" s="34" t="s">
        <v>905</v>
      </c>
      <c r="F2484" s="36" t="str">
        <f>IFERROR(VLOOKUP(B2484,'985'!$B$2:$D$40,3,FALSE),"")</f>
        <v/>
      </c>
      <c r="G2484" s="32" t="str">
        <f>IFERROR(VLOOKUP(B2484,'211'!$B$2:$D$116,3,FALSE),"")</f>
        <v/>
      </c>
      <c r="H2484" s="32" t="str">
        <f>IFERROR(VLOOKUP(B2484,双一流!$B$2:$D$148,3,FALSE),"")</f>
        <v/>
      </c>
      <c r="I2484" s="32">
        <f>IFERROR(VLOOKUP(B2484,汇总!$B$2:$I$2921,8,FALSE),"")</f>
        <v>0</v>
      </c>
      <c r="J2484" s="34" t="s">
        <v>1700</v>
      </c>
      <c r="K2484" s="34" t="s">
        <v>12</v>
      </c>
    </row>
    <row r="2485" ht="33.75" spans="1:11">
      <c r="A2485" s="34">
        <v>2484</v>
      </c>
      <c r="B2485" s="29" t="s">
        <v>2862</v>
      </c>
      <c r="C2485" s="29" t="str">
        <f>VLOOKUP(B2485,教育部大学名单!$B$1:$D$2920,3,FALSE)</f>
        <v>海南省</v>
      </c>
      <c r="D2485" s="29" t="s">
        <v>943</v>
      </c>
      <c r="E2485" s="29" t="s">
        <v>944</v>
      </c>
      <c r="F2485" s="36" t="str">
        <f>IFERROR(VLOOKUP(B2485,'985'!$B$2:$D$40,3,FALSE),"")</f>
        <v/>
      </c>
      <c r="G2485" s="32" t="str">
        <f>IFERROR(VLOOKUP(B2485,'211'!$B$2:$D$116,3,FALSE),"")</f>
        <v/>
      </c>
      <c r="H2485" s="32" t="str">
        <f>IFERROR(VLOOKUP(B2485,双一流!$B$2:$D$148,3,FALSE),"")</f>
        <v/>
      </c>
      <c r="I2485" s="32">
        <f>IFERROR(VLOOKUP(B2485,汇总!$B$2:$I$2921,8,FALSE),"")</f>
        <v>0</v>
      </c>
      <c r="J2485" s="29" t="s">
        <v>1700</v>
      </c>
      <c r="K2485" s="29" t="s">
        <v>12</v>
      </c>
    </row>
    <row r="2486" ht="33.75" spans="1:11">
      <c r="A2486" s="29">
        <v>2485</v>
      </c>
      <c r="B2486" s="34" t="s">
        <v>2863</v>
      </c>
      <c r="C2486" s="29" t="str">
        <f>VLOOKUP(B2486,教育部大学名单!$B$1:$D$2920,3,FALSE)</f>
        <v>海南省</v>
      </c>
      <c r="D2486" s="34" t="s">
        <v>943</v>
      </c>
      <c r="E2486" s="34" t="s">
        <v>944</v>
      </c>
      <c r="F2486" s="36" t="str">
        <f>IFERROR(VLOOKUP(B2486,'985'!$B$2:$D$40,3,FALSE),"")</f>
        <v/>
      </c>
      <c r="G2486" s="32" t="str">
        <f>IFERROR(VLOOKUP(B2486,'211'!$B$2:$D$116,3,FALSE),"")</f>
        <v/>
      </c>
      <c r="H2486" s="32" t="str">
        <f>IFERROR(VLOOKUP(B2486,双一流!$B$2:$D$148,3,FALSE),"")</f>
        <v/>
      </c>
      <c r="I2486" s="32">
        <f>IFERROR(VLOOKUP(B2486,汇总!$B$2:$I$2921,8,FALSE),"")</f>
        <v>0</v>
      </c>
      <c r="J2486" s="34" t="s">
        <v>1700</v>
      </c>
      <c r="K2486" s="34" t="s">
        <v>12</v>
      </c>
    </row>
    <row r="2487" ht="33.75" spans="1:11">
      <c r="A2487" s="34">
        <v>2486</v>
      </c>
      <c r="B2487" s="29" t="s">
        <v>2864</v>
      </c>
      <c r="C2487" s="29" t="str">
        <f>VLOOKUP(B2487,教育部大学名单!$B$1:$D$2920,3,FALSE)</f>
        <v>四川省</v>
      </c>
      <c r="D2487" s="29" t="s">
        <v>971</v>
      </c>
      <c r="E2487" s="29" t="s">
        <v>2865</v>
      </c>
      <c r="F2487" s="36" t="str">
        <f>IFERROR(VLOOKUP(B2487,'985'!$B$2:$D$40,3,FALSE),"")</f>
        <v/>
      </c>
      <c r="G2487" s="32" t="str">
        <f>IFERROR(VLOOKUP(B2487,'211'!$B$2:$D$116,3,FALSE),"")</f>
        <v/>
      </c>
      <c r="H2487" s="32" t="str">
        <f>IFERROR(VLOOKUP(B2487,双一流!$B$2:$D$148,3,FALSE),"")</f>
        <v/>
      </c>
      <c r="I2487" s="32">
        <f>IFERROR(VLOOKUP(B2487,汇总!$B$2:$I$2921,8,FALSE),"")</f>
        <v>0</v>
      </c>
      <c r="J2487" s="29" t="s">
        <v>1700</v>
      </c>
      <c r="K2487" s="29" t="s">
        <v>12</v>
      </c>
    </row>
    <row r="2488" ht="33.75" spans="1:11">
      <c r="A2488" s="29">
        <v>2487</v>
      </c>
      <c r="B2488" s="34" t="s">
        <v>2866</v>
      </c>
      <c r="C2488" s="29" t="str">
        <f>VLOOKUP(B2488,教育部大学名单!$B$1:$D$2920,3,FALSE)</f>
        <v>云南省</v>
      </c>
      <c r="D2488" s="34" t="s">
        <v>1060</v>
      </c>
      <c r="E2488" s="34" t="s">
        <v>2867</v>
      </c>
      <c r="F2488" s="36" t="str">
        <f>IFERROR(VLOOKUP(B2488,'985'!$B$2:$D$40,3,FALSE),"")</f>
        <v/>
      </c>
      <c r="G2488" s="32" t="str">
        <f>IFERROR(VLOOKUP(B2488,'211'!$B$2:$D$116,3,FALSE),"")</f>
        <v/>
      </c>
      <c r="H2488" s="32" t="str">
        <f>IFERROR(VLOOKUP(B2488,双一流!$B$2:$D$148,3,FALSE),"")</f>
        <v/>
      </c>
      <c r="I2488" s="32">
        <f>IFERROR(VLOOKUP(B2488,汇总!$B$2:$I$2921,8,FALSE),"")</f>
        <v>0</v>
      </c>
      <c r="J2488" s="34" t="s">
        <v>1700</v>
      </c>
      <c r="K2488" s="34" t="s">
        <v>12</v>
      </c>
    </row>
    <row r="2489" ht="33.75" spans="1:11">
      <c r="A2489" s="34">
        <v>2488</v>
      </c>
      <c r="B2489" s="29" t="s">
        <v>2868</v>
      </c>
      <c r="C2489" s="29" t="str">
        <f>VLOOKUP(B2489,教育部大学名单!$B$1:$D$2920,3,FALSE)</f>
        <v>云南省</v>
      </c>
      <c r="D2489" s="29" t="s">
        <v>1060</v>
      </c>
      <c r="E2489" s="29" t="s">
        <v>1092</v>
      </c>
      <c r="F2489" s="36" t="str">
        <f>IFERROR(VLOOKUP(B2489,'985'!$B$2:$D$40,3,FALSE),"")</f>
        <v/>
      </c>
      <c r="G2489" s="32" t="str">
        <f>IFERROR(VLOOKUP(B2489,'211'!$B$2:$D$116,3,FALSE),"")</f>
        <v/>
      </c>
      <c r="H2489" s="32" t="str">
        <f>IFERROR(VLOOKUP(B2489,双一流!$B$2:$D$148,3,FALSE),"")</f>
        <v/>
      </c>
      <c r="I2489" s="32">
        <f>IFERROR(VLOOKUP(B2489,汇总!$B$2:$I$2921,8,FALSE),"")</f>
        <v>0</v>
      </c>
      <c r="J2489" s="29" t="s">
        <v>1700</v>
      </c>
      <c r="K2489" s="29" t="s">
        <v>12</v>
      </c>
    </row>
    <row r="2490" ht="33.75" spans="1:11">
      <c r="A2490" s="29">
        <v>2489</v>
      </c>
      <c r="B2490" s="34" t="s">
        <v>2869</v>
      </c>
      <c r="C2490" s="29" t="str">
        <f>VLOOKUP(B2490,教育部大学名单!$B$1:$D$2920,3,FALSE)</f>
        <v>云南省</v>
      </c>
      <c r="D2490" s="34" t="s">
        <v>1060</v>
      </c>
      <c r="E2490" s="34" t="s">
        <v>1073</v>
      </c>
      <c r="F2490" s="36" t="str">
        <f>IFERROR(VLOOKUP(B2490,'985'!$B$2:$D$40,3,FALSE),"")</f>
        <v/>
      </c>
      <c r="G2490" s="32" t="str">
        <f>IFERROR(VLOOKUP(B2490,'211'!$B$2:$D$116,3,FALSE),"")</f>
        <v/>
      </c>
      <c r="H2490" s="32" t="str">
        <f>IFERROR(VLOOKUP(B2490,双一流!$B$2:$D$148,3,FALSE),"")</f>
        <v/>
      </c>
      <c r="I2490" s="32">
        <f>IFERROR(VLOOKUP(B2490,汇总!$B$2:$I$2921,8,FALSE),"")</f>
        <v>0</v>
      </c>
      <c r="J2490" s="34" t="s">
        <v>1700</v>
      </c>
      <c r="K2490" s="34" t="s">
        <v>12</v>
      </c>
    </row>
    <row r="2491" ht="33.75" spans="1:11">
      <c r="A2491" s="34">
        <v>2490</v>
      </c>
      <c r="B2491" s="29" t="s">
        <v>2870</v>
      </c>
      <c r="C2491" s="29" t="str">
        <f>VLOOKUP(B2491,教育部大学名单!$B$1:$D$2920,3,FALSE)</f>
        <v>新疆生产建设兵团</v>
      </c>
      <c r="D2491" s="29" t="s">
        <v>1206</v>
      </c>
      <c r="E2491" s="29" t="s">
        <v>2871</v>
      </c>
      <c r="F2491" s="36" t="str">
        <f>IFERROR(VLOOKUP(B2491,'985'!$B$2:$D$40,3,FALSE),"")</f>
        <v/>
      </c>
      <c r="G2491" s="32" t="str">
        <f>IFERROR(VLOOKUP(B2491,'211'!$B$2:$D$116,3,FALSE),"")</f>
        <v/>
      </c>
      <c r="H2491" s="32" t="str">
        <f>IFERROR(VLOOKUP(B2491,双一流!$B$2:$D$148,3,FALSE),"")</f>
        <v/>
      </c>
      <c r="I2491" s="32">
        <f>IFERROR(VLOOKUP(B2491,汇总!$B$2:$I$2921,8,FALSE),"")</f>
        <v>0</v>
      </c>
      <c r="J2491" s="29" t="s">
        <v>1700</v>
      </c>
      <c r="K2491" s="29" t="s">
        <v>12</v>
      </c>
    </row>
    <row r="2492" ht="50.25" spans="1:11">
      <c r="A2492" s="29">
        <v>2491</v>
      </c>
      <c r="B2492" s="34" t="s">
        <v>2872</v>
      </c>
      <c r="C2492" s="29" t="str">
        <f>VLOOKUP(B2492,教育部大学名单!$B$1:$D$2920,3,FALSE)</f>
        <v>江西省</v>
      </c>
      <c r="D2492" s="34" t="s">
        <v>587</v>
      </c>
      <c r="E2492" s="34"/>
      <c r="F2492" s="36" t="str">
        <f>IFERROR(VLOOKUP(B2492,'985'!$B$2:$D$40,3,FALSE),"")</f>
        <v/>
      </c>
      <c r="G2492" s="32" t="str">
        <f>IFERROR(VLOOKUP(B2492,'211'!$B$2:$D$116,3,FALSE),"")</f>
        <v/>
      </c>
      <c r="H2492" s="32" t="str">
        <f>IFERROR(VLOOKUP(B2492,双一流!$B$2:$D$148,3,FALSE),"")</f>
        <v/>
      </c>
      <c r="I2492" s="32" t="str">
        <f>IFERROR(VLOOKUP(B2492,汇总!$B$2:$I$2921,8,FALSE),"")</f>
        <v/>
      </c>
      <c r="J2492" s="34" t="s">
        <v>1700</v>
      </c>
      <c r="K2492" s="34" t="s">
        <v>12</v>
      </c>
    </row>
    <row r="2493" ht="33.75" spans="1:11">
      <c r="A2493" s="34">
        <v>2492</v>
      </c>
      <c r="B2493" s="29" t="s">
        <v>2873</v>
      </c>
      <c r="C2493" s="29" t="str">
        <f>VLOOKUP(B2493,教育部大学名单!$B$1:$D$2920,3,FALSE)</f>
        <v>吉林省</v>
      </c>
      <c r="D2493" s="29" t="s">
        <v>273</v>
      </c>
      <c r="E2493" s="29" t="s">
        <v>290</v>
      </c>
      <c r="F2493" s="36" t="str">
        <f>IFERROR(VLOOKUP(B2493,'985'!$B$2:$D$40,3,FALSE),"")</f>
        <v/>
      </c>
      <c r="G2493" s="32" t="str">
        <f>IFERROR(VLOOKUP(B2493,'211'!$B$2:$D$116,3,FALSE),"")</f>
        <v/>
      </c>
      <c r="H2493" s="32" t="str">
        <f>IFERROR(VLOOKUP(B2493,双一流!$B$2:$D$148,3,FALSE),"")</f>
        <v/>
      </c>
      <c r="I2493" s="32" t="str">
        <f>IFERROR(VLOOKUP(B2493,汇总!$B$2:$I$2921,8,FALSE),"")</f>
        <v/>
      </c>
      <c r="J2493" s="29" t="s">
        <v>1700</v>
      </c>
      <c r="K2493" s="29" t="s">
        <v>12</v>
      </c>
    </row>
    <row r="2494" ht="33.75" spans="1:11">
      <c r="A2494" s="29">
        <v>2493</v>
      </c>
      <c r="B2494" s="34" t="s">
        <v>2874</v>
      </c>
      <c r="C2494" s="29" t="str">
        <f>VLOOKUP(B2494,教育部大学名单!$B$1:$D$2920,3,FALSE)</f>
        <v>江苏省</v>
      </c>
      <c r="D2494" s="34" t="s">
        <v>379</v>
      </c>
      <c r="E2494" s="34" t="s">
        <v>392</v>
      </c>
      <c r="F2494" s="36" t="str">
        <f>IFERROR(VLOOKUP(B2494,'985'!$B$2:$D$40,3,FALSE),"")</f>
        <v/>
      </c>
      <c r="G2494" s="32" t="str">
        <f>IFERROR(VLOOKUP(B2494,'211'!$B$2:$D$116,3,FALSE),"")</f>
        <v/>
      </c>
      <c r="H2494" s="32" t="str">
        <f>IFERROR(VLOOKUP(B2494,双一流!$B$2:$D$148,3,FALSE),"")</f>
        <v/>
      </c>
      <c r="I2494" s="32" t="str">
        <f>IFERROR(VLOOKUP(B2494,汇总!$B$2:$I$2921,8,FALSE),"")</f>
        <v/>
      </c>
      <c r="J2494" s="34" t="s">
        <v>1700</v>
      </c>
      <c r="K2494" s="34" t="s">
        <v>12</v>
      </c>
    </row>
    <row r="2495" ht="33.75" spans="1:11">
      <c r="A2495" s="34">
        <v>2494</v>
      </c>
      <c r="B2495" s="29" t="s">
        <v>2875</v>
      </c>
      <c r="C2495" s="29" t="str">
        <f>VLOOKUP(B2495,教育部大学名单!$B$1:$D$2920,3,FALSE)</f>
        <v>江苏省</v>
      </c>
      <c r="D2495" s="29" t="s">
        <v>379</v>
      </c>
      <c r="E2495" s="29" t="s">
        <v>382</v>
      </c>
      <c r="F2495" s="36" t="str">
        <f>IFERROR(VLOOKUP(B2495,'985'!$B$2:$D$40,3,FALSE),"")</f>
        <v/>
      </c>
      <c r="G2495" s="32" t="str">
        <f>IFERROR(VLOOKUP(B2495,'211'!$B$2:$D$116,3,FALSE),"")</f>
        <v/>
      </c>
      <c r="H2495" s="32" t="str">
        <f>IFERROR(VLOOKUP(B2495,双一流!$B$2:$D$148,3,FALSE),"")</f>
        <v/>
      </c>
      <c r="I2495" s="32" t="str">
        <f>IFERROR(VLOOKUP(B2495,汇总!$B$2:$I$2921,8,FALSE),"")</f>
        <v/>
      </c>
      <c r="J2495" s="29" t="s">
        <v>1700</v>
      </c>
      <c r="K2495" s="29" t="s">
        <v>12</v>
      </c>
    </row>
    <row r="2496" ht="33.75" spans="1:11">
      <c r="A2496" s="29">
        <v>2495</v>
      </c>
      <c r="B2496" s="34" t="s">
        <v>2876</v>
      </c>
      <c r="C2496" s="29" t="str">
        <f>VLOOKUP(B2496,教育部大学名单!$B$1:$D$2920,3,FALSE)</f>
        <v>江苏省</v>
      </c>
      <c r="D2496" s="34" t="s">
        <v>379</v>
      </c>
      <c r="E2496" s="34" t="s">
        <v>401</v>
      </c>
      <c r="F2496" s="36" t="str">
        <f>IFERROR(VLOOKUP(B2496,'985'!$B$2:$D$40,3,FALSE),"")</f>
        <v/>
      </c>
      <c r="G2496" s="32" t="str">
        <f>IFERROR(VLOOKUP(B2496,'211'!$B$2:$D$116,3,FALSE),"")</f>
        <v/>
      </c>
      <c r="H2496" s="32" t="str">
        <f>IFERROR(VLOOKUP(B2496,双一流!$B$2:$D$148,3,FALSE),"")</f>
        <v/>
      </c>
      <c r="I2496" s="32" t="str">
        <f>IFERROR(VLOOKUP(B2496,汇总!$B$2:$I$2921,8,FALSE),"")</f>
        <v/>
      </c>
      <c r="J2496" s="34" t="s">
        <v>1700</v>
      </c>
      <c r="K2496" s="34" t="s">
        <v>12</v>
      </c>
    </row>
    <row r="2497" ht="33.75" spans="1:11">
      <c r="A2497" s="34">
        <v>2496</v>
      </c>
      <c r="B2497" s="29" t="s">
        <v>2877</v>
      </c>
      <c r="C2497" s="29" t="str">
        <f>VLOOKUP(B2497,教育部大学名单!$B$1:$D$2920,3,FALSE)</f>
        <v>安徽省</v>
      </c>
      <c r="D2497" s="29" t="s">
        <v>502</v>
      </c>
      <c r="E2497" s="29" t="s">
        <v>528</v>
      </c>
      <c r="F2497" s="36" t="str">
        <f>IFERROR(VLOOKUP(B2497,'985'!$B$2:$D$40,3,FALSE),"")</f>
        <v/>
      </c>
      <c r="G2497" s="32" t="str">
        <f>IFERROR(VLOOKUP(B2497,'211'!$B$2:$D$116,3,FALSE),"")</f>
        <v/>
      </c>
      <c r="H2497" s="32" t="str">
        <f>IFERROR(VLOOKUP(B2497,双一流!$B$2:$D$148,3,FALSE),"")</f>
        <v/>
      </c>
      <c r="I2497" s="32" t="str">
        <f>IFERROR(VLOOKUP(B2497,汇总!$B$2:$I$2921,8,FALSE),"")</f>
        <v/>
      </c>
      <c r="J2497" s="29" t="s">
        <v>1700</v>
      </c>
      <c r="K2497" s="29" t="s">
        <v>12</v>
      </c>
    </row>
    <row r="2498" ht="33.75" spans="1:11">
      <c r="A2498" s="29">
        <v>2497</v>
      </c>
      <c r="B2498" s="34" t="s">
        <v>2878</v>
      </c>
      <c r="C2498" s="29" t="str">
        <f>VLOOKUP(B2498,教育部大学名单!$B$1:$D$2920,3,FALSE)</f>
        <v>福建省</v>
      </c>
      <c r="D2498" s="34" t="s">
        <v>553</v>
      </c>
      <c r="E2498" s="34" t="s">
        <v>554</v>
      </c>
      <c r="F2498" s="36" t="str">
        <f>IFERROR(VLOOKUP(B2498,'985'!$B$2:$D$40,3,FALSE),"")</f>
        <v/>
      </c>
      <c r="G2498" s="32" t="str">
        <f>IFERROR(VLOOKUP(B2498,'211'!$B$2:$D$116,3,FALSE),"")</f>
        <v/>
      </c>
      <c r="H2498" s="32" t="str">
        <f>IFERROR(VLOOKUP(B2498,双一流!$B$2:$D$148,3,FALSE),"")</f>
        <v/>
      </c>
      <c r="I2498" s="32" t="str">
        <f>IFERROR(VLOOKUP(B2498,汇总!$B$2:$I$2921,8,FALSE),"")</f>
        <v/>
      </c>
      <c r="J2498" s="34" t="s">
        <v>1700</v>
      </c>
      <c r="K2498" s="34" t="s">
        <v>12</v>
      </c>
    </row>
    <row r="2499" ht="33.75" spans="1:11">
      <c r="A2499" s="34">
        <v>2498</v>
      </c>
      <c r="B2499" s="29" t="s">
        <v>2879</v>
      </c>
      <c r="C2499" s="29" t="str">
        <f>VLOOKUP(B2499,教育部大学名单!$B$1:$D$2920,3,FALSE)</f>
        <v>江西省</v>
      </c>
      <c r="D2499" s="29" t="s">
        <v>587</v>
      </c>
      <c r="E2499" s="29" t="s">
        <v>618</v>
      </c>
      <c r="F2499" s="36" t="str">
        <f>IFERROR(VLOOKUP(B2499,'985'!$B$2:$D$40,3,FALSE),"")</f>
        <v/>
      </c>
      <c r="G2499" s="32" t="str">
        <f>IFERROR(VLOOKUP(B2499,'211'!$B$2:$D$116,3,FALSE),"")</f>
        <v/>
      </c>
      <c r="H2499" s="32" t="str">
        <f>IFERROR(VLOOKUP(B2499,双一流!$B$2:$D$148,3,FALSE),"")</f>
        <v/>
      </c>
      <c r="I2499" s="32" t="str">
        <f>IFERROR(VLOOKUP(B2499,汇总!$B$2:$I$2921,8,FALSE),"")</f>
        <v/>
      </c>
      <c r="J2499" s="29" t="s">
        <v>1700</v>
      </c>
      <c r="K2499" s="29" t="s">
        <v>12</v>
      </c>
    </row>
    <row r="2500" ht="33.75" spans="1:11">
      <c r="A2500" s="29">
        <v>2499</v>
      </c>
      <c r="B2500" s="34" t="s">
        <v>2880</v>
      </c>
      <c r="C2500" s="29" t="str">
        <f>VLOOKUP(B2500,教育部大学名单!$B$1:$D$2920,3,FALSE)</f>
        <v>江西省</v>
      </c>
      <c r="D2500" s="34" t="s">
        <v>587</v>
      </c>
      <c r="E2500" s="34" t="s">
        <v>616</v>
      </c>
      <c r="F2500" s="36" t="str">
        <f>IFERROR(VLOOKUP(B2500,'985'!$B$2:$D$40,3,FALSE),"")</f>
        <v/>
      </c>
      <c r="G2500" s="32" t="str">
        <f>IFERROR(VLOOKUP(B2500,'211'!$B$2:$D$116,3,FALSE),"")</f>
        <v/>
      </c>
      <c r="H2500" s="32" t="str">
        <f>IFERROR(VLOOKUP(B2500,双一流!$B$2:$D$148,3,FALSE),"")</f>
        <v/>
      </c>
      <c r="I2500" s="32" t="str">
        <f>IFERROR(VLOOKUP(B2500,汇总!$B$2:$I$2921,8,FALSE),"")</f>
        <v/>
      </c>
      <c r="J2500" s="34" t="s">
        <v>1700</v>
      </c>
      <c r="K2500" s="34" t="s">
        <v>12</v>
      </c>
    </row>
    <row r="2501" ht="33.75" spans="1:11">
      <c r="A2501" s="34">
        <v>2500</v>
      </c>
      <c r="B2501" s="29" t="s">
        <v>2881</v>
      </c>
      <c r="C2501" s="29" t="str">
        <f>VLOOKUP(B2501,教育部大学名单!$B$1:$D$2920,3,FALSE)</f>
        <v>山东省</v>
      </c>
      <c r="D2501" s="29" t="s">
        <v>628</v>
      </c>
      <c r="E2501" s="29" t="s">
        <v>655</v>
      </c>
      <c r="F2501" s="36" t="str">
        <f>IFERROR(VLOOKUP(B2501,'985'!$B$2:$D$40,3,FALSE),"")</f>
        <v/>
      </c>
      <c r="G2501" s="32" t="str">
        <f>IFERROR(VLOOKUP(B2501,'211'!$B$2:$D$116,3,FALSE),"")</f>
        <v/>
      </c>
      <c r="H2501" s="32" t="str">
        <f>IFERROR(VLOOKUP(B2501,双一流!$B$2:$D$148,3,FALSE),"")</f>
        <v/>
      </c>
      <c r="I2501" s="32" t="str">
        <f>IFERROR(VLOOKUP(B2501,汇总!$B$2:$I$2921,8,FALSE),"")</f>
        <v/>
      </c>
      <c r="J2501" s="29" t="s">
        <v>1700</v>
      </c>
      <c r="K2501" s="29" t="s">
        <v>12</v>
      </c>
    </row>
    <row r="2502" ht="33.75" spans="1:11">
      <c r="A2502" s="29">
        <v>2501</v>
      </c>
      <c r="B2502" s="34" t="s">
        <v>2882</v>
      </c>
      <c r="C2502" s="29" t="str">
        <f>VLOOKUP(B2502,教育部大学名单!$B$1:$D$2920,3,FALSE)</f>
        <v>重庆市</v>
      </c>
      <c r="D2502" s="34" t="s">
        <v>951</v>
      </c>
      <c r="E2502" s="34" t="s">
        <v>951</v>
      </c>
      <c r="F2502" s="36" t="str">
        <f>IFERROR(VLOOKUP(B2502,'985'!$B$2:$D$40,3,FALSE),"")</f>
        <v/>
      </c>
      <c r="G2502" s="32" t="str">
        <f>IFERROR(VLOOKUP(B2502,'211'!$B$2:$D$116,3,FALSE),"")</f>
        <v/>
      </c>
      <c r="H2502" s="32" t="str">
        <f>IFERROR(VLOOKUP(B2502,双一流!$B$2:$D$148,3,FALSE),"")</f>
        <v/>
      </c>
      <c r="I2502" s="32" t="str">
        <f>IFERROR(VLOOKUP(B2502,汇总!$B$2:$I$2921,8,FALSE),"")</f>
        <v/>
      </c>
      <c r="J2502" s="34" t="s">
        <v>1700</v>
      </c>
      <c r="K2502" s="34" t="s">
        <v>12</v>
      </c>
    </row>
    <row r="2503" ht="33.75" spans="1:11">
      <c r="A2503" s="34">
        <v>2502</v>
      </c>
      <c r="B2503" s="29" t="s">
        <v>2883</v>
      </c>
      <c r="C2503" s="29" t="str">
        <f>VLOOKUP(B2503,教育部大学名单!$B$1:$D$2920,3,FALSE)</f>
        <v>四川省</v>
      </c>
      <c r="D2503" s="29" t="s">
        <v>971</v>
      </c>
      <c r="E2503" s="29" t="s">
        <v>1000</v>
      </c>
      <c r="F2503" s="36" t="str">
        <f>IFERROR(VLOOKUP(B2503,'985'!$B$2:$D$40,3,FALSE),"")</f>
        <v/>
      </c>
      <c r="G2503" s="32" t="str">
        <f>IFERROR(VLOOKUP(B2503,'211'!$B$2:$D$116,3,FALSE),"")</f>
        <v/>
      </c>
      <c r="H2503" s="32" t="str">
        <f>IFERROR(VLOOKUP(B2503,双一流!$B$2:$D$148,3,FALSE),"")</f>
        <v/>
      </c>
      <c r="I2503" s="32" t="str">
        <f>IFERROR(VLOOKUP(B2503,汇总!$B$2:$I$2921,8,FALSE),"")</f>
        <v/>
      </c>
      <c r="J2503" s="29" t="s">
        <v>1700</v>
      </c>
      <c r="K2503" s="29" t="s">
        <v>12</v>
      </c>
    </row>
    <row r="2504" ht="33.75" spans="1:11">
      <c r="A2504" s="29">
        <v>2503</v>
      </c>
      <c r="B2504" s="34" t="s">
        <v>2884</v>
      </c>
      <c r="C2504" s="29" t="str">
        <f>VLOOKUP(B2504,教育部大学名单!$B$1:$D$2920,3,FALSE)</f>
        <v>四川省</v>
      </c>
      <c r="D2504" s="34" t="s">
        <v>971</v>
      </c>
      <c r="E2504" s="34" t="s">
        <v>1000</v>
      </c>
      <c r="F2504" s="36" t="str">
        <f>IFERROR(VLOOKUP(B2504,'985'!$B$2:$D$40,3,FALSE),"")</f>
        <v/>
      </c>
      <c r="G2504" s="32" t="str">
        <f>IFERROR(VLOOKUP(B2504,'211'!$B$2:$D$116,3,FALSE),"")</f>
        <v/>
      </c>
      <c r="H2504" s="32" t="str">
        <f>IFERROR(VLOOKUP(B2504,双一流!$B$2:$D$148,3,FALSE),"")</f>
        <v/>
      </c>
      <c r="I2504" s="32" t="str">
        <f>IFERROR(VLOOKUP(B2504,汇总!$B$2:$I$2921,8,FALSE),"")</f>
        <v/>
      </c>
      <c r="J2504" s="34" t="s">
        <v>1700</v>
      </c>
      <c r="K2504" s="34" t="s">
        <v>12</v>
      </c>
    </row>
    <row r="2505" ht="33.75" spans="1:11">
      <c r="A2505" s="34">
        <v>2504</v>
      </c>
      <c r="B2505" s="29" t="s">
        <v>2885</v>
      </c>
      <c r="C2505" s="29" t="str">
        <f>VLOOKUP(B2505,教育部大学名单!$B$1:$D$2920,3,FALSE)</f>
        <v>西藏自治区</v>
      </c>
      <c r="D2505" s="29" t="s">
        <v>1101</v>
      </c>
      <c r="E2505" s="29" t="s">
        <v>2886</v>
      </c>
      <c r="F2505" s="36" t="str">
        <f>IFERROR(VLOOKUP(B2505,'985'!$B$2:$D$40,3,FALSE),"")</f>
        <v/>
      </c>
      <c r="G2505" s="32" t="str">
        <f>IFERROR(VLOOKUP(B2505,'211'!$B$2:$D$116,3,FALSE),"")</f>
        <v/>
      </c>
      <c r="H2505" s="32" t="str">
        <f>IFERROR(VLOOKUP(B2505,双一流!$B$2:$D$148,3,FALSE),"")</f>
        <v/>
      </c>
      <c r="I2505" s="32" t="str">
        <f>IFERROR(VLOOKUP(B2505,汇总!$B$2:$I$2921,8,FALSE),"")</f>
        <v/>
      </c>
      <c r="J2505" s="29" t="s">
        <v>1700</v>
      </c>
      <c r="K2505" s="29" t="s">
        <v>12</v>
      </c>
    </row>
    <row r="2506" ht="33.75" spans="1:11">
      <c r="A2506" s="29">
        <v>2505</v>
      </c>
      <c r="B2506" s="34" t="s">
        <v>2887</v>
      </c>
      <c r="C2506" s="29" t="str">
        <f>VLOOKUP(B2506,教育部大学名单!$B$1:$D$2920,3,FALSE)</f>
        <v>新疆维吾尔自治区</v>
      </c>
      <c r="D2506" s="34" t="s">
        <v>1206</v>
      </c>
      <c r="E2506" s="34" t="s">
        <v>1223</v>
      </c>
      <c r="F2506" s="36" t="str">
        <f>IFERROR(VLOOKUP(B2506,'985'!$B$2:$D$40,3,FALSE),"")</f>
        <v/>
      </c>
      <c r="G2506" s="32" t="str">
        <f>IFERROR(VLOOKUP(B2506,'211'!$B$2:$D$116,3,FALSE),"")</f>
        <v/>
      </c>
      <c r="H2506" s="32" t="str">
        <f>IFERROR(VLOOKUP(B2506,双一流!$B$2:$D$148,3,FALSE),"")</f>
        <v/>
      </c>
      <c r="I2506" s="32" t="str">
        <f>IFERROR(VLOOKUP(B2506,汇总!$B$2:$I$2921,8,FALSE),"")</f>
        <v/>
      </c>
      <c r="J2506" s="34" t="s">
        <v>1700</v>
      </c>
      <c r="K2506" s="34" t="s">
        <v>12</v>
      </c>
    </row>
    <row r="2507" ht="50.25" spans="1:11">
      <c r="A2507" s="34">
        <v>2506</v>
      </c>
      <c r="B2507" s="29" t="s">
        <v>2888</v>
      </c>
      <c r="C2507" s="29" t="str">
        <f>VLOOKUP(B2507,教育部大学名单!$B$1:$D$2920,3,FALSE)</f>
        <v>北京市教委</v>
      </c>
      <c r="D2507" s="29" t="s">
        <v>10</v>
      </c>
      <c r="E2507" s="29" t="s">
        <v>10</v>
      </c>
      <c r="F2507" s="36" t="str">
        <f>IFERROR(VLOOKUP(B2507,'985'!$B$2:$D$40,3,FALSE),"")</f>
        <v/>
      </c>
      <c r="G2507" s="32" t="str">
        <f>IFERROR(VLOOKUP(B2507,'211'!$B$2:$D$116,3,FALSE),"")</f>
        <v/>
      </c>
      <c r="H2507" s="32" t="str">
        <f>IFERROR(VLOOKUP(B2507,双一流!$B$2:$D$148,3,FALSE),"")</f>
        <v/>
      </c>
      <c r="I2507" s="32">
        <f>IFERROR(VLOOKUP(B2507,汇总!$B$2:$I$2921,8,FALSE),"")</f>
        <v>0</v>
      </c>
      <c r="J2507" s="29" t="s">
        <v>1700</v>
      </c>
      <c r="K2507" s="29" t="s">
        <v>1252</v>
      </c>
    </row>
    <row r="2508" ht="33.75" spans="1:11">
      <c r="A2508" s="29">
        <v>2507</v>
      </c>
      <c r="B2508" s="34" t="s">
        <v>2889</v>
      </c>
      <c r="C2508" s="29" t="str">
        <f>VLOOKUP(B2508,教育部大学名单!$B$1:$D$2920,3,FALSE)</f>
        <v>北京市教委</v>
      </c>
      <c r="D2508" s="34" t="s">
        <v>10</v>
      </c>
      <c r="E2508" s="34" t="s">
        <v>10</v>
      </c>
      <c r="F2508" s="36" t="str">
        <f>IFERROR(VLOOKUP(B2508,'985'!$B$2:$D$40,3,FALSE),"")</f>
        <v/>
      </c>
      <c r="G2508" s="32" t="str">
        <f>IFERROR(VLOOKUP(B2508,'211'!$B$2:$D$116,3,FALSE),"")</f>
        <v/>
      </c>
      <c r="H2508" s="32" t="str">
        <f>IFERROR(VLOOKUP(B2508,双一流!$B$2:$D$148,3,FALSE),"")</f>
        <v/>
      </c>
      <c r="I2508" s="32">
        <f>IFERROR(VLOOKUP(B2508,汇总!$B$2:$I$2921,8,FALSE),"")</f>
        <v>0</v>
      </c>
      <c r="J2508" s="34" t="s">
        <v>1700</v>
      </c>
      <c r="K2508" s="34" t="s">
        <v>1252</v>
      </c>
    </row>
    <row r="2509" ht="33.75" spans="1:11">
      <c r="A2509" s="34">
        <v>2508</v>
      </c>
      <c r="B2509" s="29" t="s">
        <v>2890</v>
      </c>
      <c r="C2509" s="29" t="str">
        <f>VLOOKUP(B2509,教育部大学名单!$B$1:$D$2920,3,FALSE)</f>
        <v>北京市教委</v>
      </c>
      <c r="D2509" s="29" t="s">
        <v>10</v>
      </c>
      <c r="E2509" s="29" t="s">
        <v>10</v>
      </c>
      <c r="F2509" s="36" t="str">
        <f>IFERROR(VLOOKUP(B2509,'985'!$B$2:$D$40,3,FALSE),"")</f>
        <v/>
      </c>
      <c r="G2509" s="32" t="str">
        <f>IFERROR(VLOOKUP(B2509,'211'!$B$2:$D$116,3,FALSE),"")</f>
        <v/>
      </c>
      <c r="H2509" s="32" t="str">
        <f>IFERROR(VLOOKUP(B2509,双一流!$B$2:$D$148,3,FALSE),"")</f>
        <v/>
      </c>
      <c r="I2509" s="32">
        <f>IFERROR(VLOOKUP(B2509,汇总!$B$2:$I$2921,8,FALSE),"")</f>
        <v>0</v>
      </c>
      <c r="J2509" s="29" t="s">
        <v>1700</v>
      </c>
      <c r="K2509" s="29" t="s">
        <v>1252</v>
      </c>
    </row>
    <row r="2510" ht="33.75" spans="1:11">
      <c r="A2510" s="29">
        <v>2509</v>
      </c>
      <c r="B2510" s="34" t="s">
        <v>2891</v>
      </c>
      <c r="C2510" s="29" t="str">
        <f>VLOOKUP(B2510,教育部大学名单!$B$1:$D$2920,3,FALSE)</f>
        <v>北京市教委</v>
      </c>
      <c r="D2510" s="34" t="s">
        <v>10</v>
      </c>
      <c r="E2510" s="34" t="s">
        <v>10</v>
      </c>
      <c r="F2510" s="36" t="str">
        <f>IFERROR(VLOOKUP(B2510,'985'!$B$2:$D$40,3,FALSE),"")</f>
        <v/>
      </c>
      <c r="G2510" s="32" t="str">
        <f>IFERROR(VLOOKUP(B2510,'211'!$B$2:$D$116,3,FALSE),"")</f>
        <v/>
      </c>
      <c r="H2510" s="32" t="str">
        <f>IFERROR(VLOOKUP(B2510,双一流!$B$2:$D$148,3,FALSE),"")</f>
        <v/>
      </c>
      <c r="I2510" s="32">
        <f>IFERROR(VLOOKUP(B2510,汇总!$B$2:$I$2921,8,FALSE),"")</f>
        <v>0</v>
      </c>
      <c r="J2510" s="34" t="s">
        <v>1700</v>
      </c>
      <c r="K2510" s="34" t="s">
        <v>1252</v>
      </c>
    </row>
    <row r="2511" ht="33.75" spans="1:11">
      <c r="A2511" s="34">
        <v>2510</v>
      </c>
      <c r="B2511" s="29" t="s">
        <v>2892</v>
      </c>
      <c r="C2511" s="29" t="str">
        <f>VLOOKUP(B2511,教育部大学名单!$B$1:$D$2920,3,FALSE)</f>
        <v>北京市教委</v>
      </c>
      <c r="D2511" s="29" t="s">
        <v>10</v>
      </c>
      <c r="E2511" s="29" t="s">
        <v>10</v>
      </c>
      <c r="F2511" s="36" t="str">
        <f>IFERROR(VLOOKUP(B2511,'985'!$B$2:$D$40,3,FALSE),"")</f>
        <v/>
      </c>
      <c r="G2511" s="32" t="str">
        <f>IFERROR(VLOOKUP(B2511,'211'!$B$2:$D$116,3,FALSE),"")</f>
        <v/>
      </c>
      <c r="H2511" s="32" t="str">
        <f>IFERROR(VLOOKUP(B2511,双一流!$B$2:$D$148,3,FALSE),"")</f>
        <v/>
      </c>
      <c r="I2511" s="32">
        <f>IFERROR(VLOOKUP(B2511,汇总!$B$2:$I$2921,8,FALSE),"")</f>
        <v>0</v>
      </c>
      <c r="J2511" s="29" t="s">
        <v>1700</v>
      </c>
      <c r="K2511" s="29" t="s">
        <v>1252</v>
      </c>
    </row>
    <row r="2512" ht="33.75" spans="1:11">
      <c r="A2512" s="29">
        <v>2511</v>
      </c>
      <c r="B2512" s="34" t="s">
        <v>2893</v>
      </c>
      <c r="C2512" s="29" t="str">
        <f>VLOOKUP(B2512,教育部大学名单!$B$1:$D$2920,3,FALSE)</f>
        <v>北京市教委</v>
      </c>
      <c r="D2512" s="34" t="s">
        <v>10</v>
      </c>
      <c r="E2512" s="34" t="s">
        <v>10</v>
      </c>
      <c r="F2512" s="36" t="str">
        <f>IFERROR(VLOOKUP(B2512,'985'!$B$2:$D$40,3,FALSE),"")</f>
        <v/>
      </c>
      <c r="G2512" s="32" t="str">
        <f>IFERROR(VLOOKUP(B2512,'211'!$B$2:$D$116,3,FALSE),"")</f>
        <v/>
      </c>
      <c r="H2512" s="32" t="str">
        <f>IFERROR(VLOOKUP(B2512,双一流!$B$2:$D$148,3,FALSE),"")</f>
        <v/>
      </c>
      <c r="I2512" s="32" t="str">
        <f>IFERROR(VLOOKUP(B2512,汇总!$B$2:$I$2921,8,FALSE),"")</f>
        <v>综合</v>
      </c>
      <c r="J2512" s="34" t="s">
        <v>1700</v>
      </c>
      <c r="K2512" s="34" t="s">
        <v>1252</v>
      </c>
    </row>
    <row r="2513" ht="33.75" spans="1:11">
      <c r="A2513" s="34">
        <v>2512</v>
      </c>
      <c r="B2513" s="29" t="s">
        <v>2894</v>
      </c>
      <c r="C2513" s="29" t="str">
        <f>VLOOKUP(B2513,教育部大学名单!$B$1:$D$2920,3,FALSE)</f>
        <v>北京市教委</v>
      </c>
      <c r="D2513" s="29" t="s">
        <v>10</v>
      </c>
      <c r="E2513" s="29" t="s">
        <v>10</v>
      </c>
      <c r="F2513" s="36" t="str">
        <f>IFERROR(VLOOKUP(B2513,'985'!$B$2:$D$40,3,FALSE),"")</f>
        <v/>
      </c>
      <c r="G2513" s="32" t="str">
        <f>IFERROR(VLOOKUP(B2513,'211'!$B$2:$D$116,3,FALSE),"")</f>
        <v/>
      </c>
      <c r="H2513" s="32" t="str">
        <f>IFERROR(VLOOKUP(B2513,双一流!$B$2:$D$148,3,FALSE),"")</f>
        <v/>
      </c>
      <c r="I2513" s="32">
        <f>IFERROR(VLOOKUP(B2513,汇总!$B$2:$I$2921,8,FALSE),"")</f>
        <v>0</v>
      </c>
      <c r="J2513" s="29" t="s">
        <v>1700</v>
      </c>
      <c r="K2513" s="29" t="s">
        <v>1252</v>
      </c>
    </row>
    <row r="2514" ht="33.75" spans="1:11">
      <c r="A2514" s="29">
        <v>2513</v>
      </c>
      <c r="B2514" s="34" t="s">
        <v>2895</v>
      </c>
      <c r="C2514" s="29" t="str">
        <f>VLOOKUP(B2514,教育部大学名单!$B$1:$D$2920,3,FALSE)</f>
        <v>北京市教委</v>
      </c>
      <c r="D2514" s="34" t="s">
        <v>10</v>
      </c>
      <c r="E2514" s="34" t="s">
        <v>10</v>
      </c>
      <c r="F2514" s="36" t="str">
        <f>IFERROR(VLOOKUP(B2514,'985'!$B$2:$D$40,3,FALSE),"")</f>
        <v/>
      </c>
      <c r="G2514" s="32" t="str">
        <f>IFERROR(VLOOKUP(B2514,'211'!$B$2:$D$116,3,FALSE),"")</f>
        <v/>
      </c>
      <c r="H2514" s="32" t="str">
        <f>IFERROR(VLOOKUP(B2514,双一流!$B$2:$D$148,3,FALSE),"")</f>
        <v/>
      </c>
      <c r="I2514" s="32">
        <f>IFERROR(VLOOKUP(B2514,汇总!$B$2:$I$2921,8,FALSE),"")</f>
        <v>0</v>
      </c>
      <c r="J2514" s="34" t="s">
        <v>1700</v>
      </c>
      <c r="K2514" s="34" t="s">
        <v>1252</v>
      </c>
    </row>
    <row r="2515" ht="33.75" spans="1:11">
      <c r="A2515" s="34">
        <v>2514</v>
      </c>
      <c r="B2515" s="29" t="s">
        <v>2896</v>
      </c>
      <c r="C2515" s="29" t="str">
        <f>VLOOKUP(B2515,教育部大学名单!$B$1:$D$2920,3,FALSE)</f>
        <v>北京市教委</v>
      </c>
      <c r="D2515" s="29" t="s">
        <v>10</v>
      </c>
      <c r="E2515" s="29" t="s">
        <v>10</v>
      </c>
      <c r="F2515" s="36" t="str">
        <f>IFERROR(VLOOKUP(B2515,'985'!$B$2:$D$40,3,FALSE),"")</f>
        <v/>
      </c>
      <c r="G2515" s="32" t="str">
        <f>IFERROR(VLOOKUP(B2515,'211'!$B$2:$D$116,3,FALSE),"")</f>
        <v/>
      </c>
      <c r="H2515" s="32" t="str">
        <f>IFERROR(VLOOKUP(B2515,双一流!$B$2:$D$148,3,FALSE),"")</f>
        <v/>
      </c>
      <c r="I2515" s="32">
        <f>IFERROR(VLOOKUP(B2515,汇总!$B$2:$I$2921,8,FALSE),"")</f>
        <v>0</v>
      </c>
      <c r="J2515" s="29" t="s">
        <v>1700</v>
      </c>
      <c r="K2515" s="29" t="s">
        <v>1252</v>
      </c>
    </row>
    <row r="2516" ht="50.25" spans="1:11">
      <c r="A2516" s="29">
        <v>2515</v>
      </c>
      <c r="B2516" s="34" t="s">
        <v>2897</v>
      </c>
      <c r="C2516" s="29" t="str">
        <f>VLOOKUP(B2516,教育部大学名单!$B$1:$D$2920,3,FALSE)</f>
        <v>天津市教委</v>
      </c>
      <c r="D2516" s="34" t="s">
        <v>76</v>
      </c>
      <c r="E2516" s="34" t="s">
        <v>76</v>
      </c>
      <c r="F2516" s="36" t="str">
        <f>IFERROR(VLOOKUP(B2516,'985'!$B$2:$D$40,3,FALSE),"")</f>
        <v/>
      </c>
      <c r="G2516" s="32" t="str">
        <f>IFERROR(VLOOKUP(B2516,'211'!$B$2:$D$116,3,FALSE),"")</f>
        <v/>
      </c>
      <c r="H2516" s="32" t="str">
        <f>IFERROR(VLOOKUP(B2516,双一流!$B$2:$D$148,3,FALSE),"")</f>
        <v/>
      </c>
      <c r="I2516" s="32">
        <f>IFERROR(VLOOKUP(B2516,汇总!$B$2:$I$2921,8,FALSE),"")</f>
        <v>0</v>
      </c>
      <c r="J2516" s="34" t="s">
        <v>1700</v>
      </c>
      <c r="K2516" s="34" t="s">
        <v>1252</v>
      </c>
    </row>
    <row r="2517" ht="33.75" spans="1:11">
      <c r="A2517" s="34">
        <v>2516</v>
      </c>
      <c r="B2517" s="29" t="s">
        <v>2898</v>
      </c>
      <c r="C2517" s="29" t="str">
        <f>VLOOKUP(B2517,教育部大学名单!$B$1:$D$2920,3,FALSE)</f>
        <v>河北省教育厅</v>
      </c>
      <c r="D2517" s="29" t="s">
        <v>98</v>
      </c>
      <c r="E2517" s="29" t="s">
        <v>103</v>
      </c>
      <c r="F2517" s="36" t="str">
        <f>IFERROR(VLOOKUP(B2517,'985'!$B$2:$D$40,3,FALSE),"")</f>
        <v/>
      </c>
      <c r="G2517" s="32" t="str">
        <f>IFERROR(VLOOKUP(B2517,'211'!$B$2:$D$116,3,FALSE),"")</f>
        <v/>
      </c>
      <c r="H2517" s="32" t="str">
        <f>IFERROR(VLOOKUP(B2517,双一流!$B$2:$D$148,3,FALSE),"")</f>
        <v/>
      </c>
      <c r="I2517" s="32" t="str">
        <f>IFERROR(VLOOKUP(B2517,汇总!$B$2:$I$2921,8,FALSE),"")</f>
        <v>理工</v>
      </c>
      <c r="J2517" s="29" t="s">
        <v>1700</v>
      </c>
      <c r="K2517" s="29" t="s">
        <v>1252</v>
      </c>
    </row>
    <row r="2518" ht="50.25" spans="1:11">
      <c r="A2518" s="29">
        <v>2517</v>
      </c>
      <c r="B2518" s="34" t="s">
        <v>2899</v>
      </c>
      <c r="C2518" s="29" t="str">
        <f>VLOOKUP(B2518,教育部大学名单!$B$1:$D$2920,3,FALSE)</f>
        <v>河北省教育厅</v>
      </c>
      <c r="D2518" s="34" t="s">
        <v>98</v>
      </c>
      <c r="E2518" s="34" t="s">
        <v>103</v>
      </c>
      <c r="F2518" s="36" t="str">
        <f>IFERROR(VLOOKUP(B2518,'985'!$B$2:$D$40,3,FALSE),"")</f>
        <v/>
      </c>
      <c r="G2518" s="32" t="str">
        <f>IFERROR(VLOOKUP(B2518,'211'!$B$2:$D$116,3,FALSE),"")</f>
        <v/>
      </c>
      <c r="H2518" s="32" t="str">
        <f>IFERROR(VLOOKUP(B2518,双一流!$B$2:$D$148,3,FALSE),"")</f>
        <v/>
      </c>
      <c r="I2518" s="32">
        <f>IFERROR(VLOOKUP(B2518,汇总!$B$2:$I$2921,8,FALSE),"")</f>
        <v>0</v>
      </c>
      <c r="J2518" s="34" t="s">
        <v>1700</v>
      </c>
      <c r="K2518" s="34" t="s">
        <v>1252</v>
      </c>
    </row>
    <row r="2519" ht="33.75" spans="1:11">
      <c r="A2519" s="34">
        <v>2518</v>
      </c>
      <c r="B2519" s="29" t="s">
        <v>2900</v>
      </c>
      <c r="C2519" s="29" t="str">
        <f>VLOOKUP(B2519,教育部大学名单!$B$1:$D$2920,3,FALSE)</f>
        <v>河北省教育厅</v>
      </c>
      <c r="D2519" s="29" t="s">
        <v>98</v>
      </c>
      <c r="E2519" s="29" t="s">
        <v>103</v>
      </c>
      <c r="F2519" s="36" t="str">
        <f>IFERROR(VLOOKUP(B2519,'985'!$B$2:$D$40,3,FALSE),"")</f>
        <v/>
      </c>
      <c r="G2519" s="32" t="str">
        <f>IFERROR(VLOOKUP(B2519,'211'!$B$2:$D$116,3,FALSE),"")</f>
        <v/>
      </c>
      <c r="H2519" s="32" t="str">
        <f>IFERROR(VLOOKUP(B2519,双一流!$B$2:$D$148,3,FALSE),"")</f>
        <v/>
      </c>
      <c r="I2519" s="32" t="str">
        <f>IFERROR(VLOOKUP(B2519,汇总!$B$2:$I$2921,8,FALSE),"")</f>
        <v>财经</v>
      </c>
      <c r="J2519" s="29" t="s">
        <v>1700</v>
      </c>
      <c r="K2519" s="29" t="s">
        <v>1252</v>
      </c>
    </row>
    <row r="2520" ht="33.75" spans="1:11">
      <c r="A2520" s="29">
        <v>2519</v>
      </c>
      <c r="B2520" s="34" t="s">
        <v>2901</v>
      </c>
      <c r="C2520" s="29" t="str">
        <f>VLOOKUP(B2520,教育部大学名单!$B$1:$D$2920,3,FALSE)</f>
        <v>河北省教育厅</v>
      </c>
      <c r="D2520" s="34" t="s">
        <v>98</v>
      </c>
      <c r="E2520" s="34" t="s">
        <v>103</v>
      </c>
      <c r="F2520" s="36" t="str">
        <f>IFERROR(VLOOKUP(B2520,'985'!$B$2:$D$40,3,FALSE),"")</f>
        <v/>
      </c>
      <c r="G2520" s="32" t="str">
        <f>IFERROR(VLOOKUP(B2520,'211'!$B$2:$D$116,3,FALSE),"")</f>
        <v/>
      </c>
      <c r="H2520" s="32" t="str">
        <f>IFERROR(VLOOKUP(B2520,双一流!$B$2:$D$148,3,FALSE),"")</f>
        <v/>
      </c>
      <c r="I2520" s="32">
        <f>IFERROR(VLOOKUP(B2520,汇总!$B$2:$I$2921,8,FALSE),"")</f>
        <v>0</v>
      </c>
      <c r="J2520" s="34" t="s">
        <v>1700</v>
      </c>
      <c r="K2520" s="34" t="s">
        <v>1252</v>
      </c>
    </row>
    <row r="2521" ht="33.75" spans="1:11">
      <c r="A2521" s="34">
        <v>2520</v>
      </c>
      <c r="B2521" s="29" t="s">
        <v>2902</v>
      </c>
      <c r="C2521" s="29" t="str">
        <f>VLOOKUP(B2521,教育部大学名单!$B$1:$D$2920,3,FALSE)</f>
        <v>河北省教育厅</v>
      </c>
      <c r="D2521" s="29" t="s">
        <v>98</v>
      </c>
      <c r="E2521" s="29" t="s">
        <v>103</v>
      </c>
      <c r="F2521" s="36" t="str">
        <f>IFERROR(VLOOKUP(B2521,'985'!$B$2:$D$40,3,FALSE),"")</f>
        <v/>
      </c>
      <c r="G2521" s="32" t="str">
        <f>IFERROR(VLOOKUP(B2521,'211'!$B$2:$D$116,3,FALSE),"")</f>
        <v/>
      </c>
      <c r="H2521" s="32" t="str">
        <f>IFERROR(VLOOKUP(B2521,双一流!$B$2:$D$148,3,FALSE),"")</f>
        <v/>
      </c>
      <c r="I2521" s="32">
        <f>IFERROR(VLOOKUP(B2521,汇总!$B$2:$I$2921,8,FALSE),"")</f>
        <v>0</v>
      </c>
      <c r="J2521" s="29" t="s">
        <v>1700</v>
      </c>
      <c r="K2521" s="29" t="s">
        <v>1252</v>
      </c>
    </row>
    <row r="2522" ht="50.25" spans="1:11">
      <c r="A2522" s="29">
        <v>2521</v>
      </c>
      <c r="B2522" s="34" t="s">
        <v>2903</v>
      </c>
      <c r="C2522" s="29" t="str">
        <f>VLOOKUP(B2522,教育部大学名单!$B$1:$D$2920,3,FALSE)</f>
        <v>河北省教育厅</v>
      </c>
      <c r="D2522" s="34" t="s">
        <v>98</v>
      </c>
      <c r="E2522" s="34" t="s">
        <v>103</v>
      </c>
      <c r="F2522" s="36" t="str">
        <f>IFERROR(VLOOKUP(B2522,'985'!$B$2:$D$40,3,FALSE),"")</f>
        <v/>
      </c>
      <c r="G2522" s="32" t="str">
        <f>IFERROR(VLOOKUP(B2522,'211'!$B$2:$D$116,3,FALSE),"")</f>
        <v/>
      </c>
      <c r="H2522" s="32" t="str">
        <f>IFERROR(VLOOKUP(B2522,双一流!$B$2:$D$148,3,FALSE),"")</f>
        <v/>
      </c>
      <c r="I2522" s="32" t="str">
        <f>IFERROR(VLOOKUP(B2522,汇总!$B$2:$I$2921,8,FALSE),"")</f>
        <v>理工</v>
      </c>
      <c r="J2522" s="34" t="s">
        <v>1700</v>
      </c>
      <c r="K2522" s="34" t="s">
        <v>1252</v>
      </c>
    </row>
    <row r="2523" ht="50.25" spans="1:11">
      <c r="A2523" s="34">
        <v>2522</v>
      </c>
      <c r="B2523" s="29" t="s">
        <v>2904</v>
      </c>
      <c r="C2523" s="29" t="str">
        <f>VLOOKUP(B2523,教育部大学名单!$B$1:$D$2920,3,FALSE)</f>
        <v>河北省教育厅</v>
      </c>
      <c r="D2523" s="29" t="s">
        <v>98</v>
      </c>
      <c r="E2523" s="29" t="s">
        <v>103</v>
      </c>
      <c r="F2523" s="36" t="str">
        <f>IFERROR(VLOOKUP(B2523,'985'!$B$2:$D$40,3,FALSE),"")</f>
        <v/>
      </c>
      <c r="G2523" s="32" t="str">
        <f>IFERROR(VLOOKUP(B2523,'211'!$B$2:$D$116,3,FALSE),"")</f>
        <v/>
      </c>
      <c r="H2523" s="32" t="str">
        <f>IFERROR(VLOOKUP(B2523,双一流!$B$2:$D$148,3,FALSE),"")</f>
        <v/>
      </c>
      <c r="I2523" s="32" t="str">
        <f>IFERROR(VLOOKUP(B2523,汇总!$B$2:$I$2921,8,FALSE),"")</f>
        <v>医药</v>
      </c>
      <c r="J2523" s="29" t="s">
        <v>1700</v>
      </c>
      <c r="K2523" s="29" t="s">
        <v>1252</v>
      </c>
    </row>
    <row r="2524" ht="33.75" spans="1:11">
      <c r="A2524" s="29">
        <v>2523</v>
      </c>
      <c r="B2524" s="34" t="s">
        <v>2905</v>
      </c>
      <c r="C2524" s="29" t="str">
        <f>VLOOKUP(B2524,教育部大学名单!$B$1:$D$2920,3,FALSE)</f>
        <v>河北省教育厅</v>
      </c>
      <c r="D2524" s="34" t="s">
        <v>98</v>
      </c>
      <c r="E2524" s="34" t="s">
        <v>103</v>
      </c>
      <c r="F2524" s="36" t="str">
        <f>IFERROR(VLOOKUP(B2524,'985'!$B$2:$D$40,3,FALSE),"")</f>
        <v/>
      </c>
      <c r="G2524" s="32" t="str">
        <f>IFERROR(VLOOKUP(B2524,'211'!$B$2:$D$116,3,FALSE),"")</f>
        <v/>
      </c>
      <c r="H2524" s="32" t="str">
        <f>IFERROR(VLOOKUP(B2524,双一流!$B$2:$D$148,3,FALSE),"")</f>
        <v/>
      </c>
      <c r="I2524" s="32" t="str">
        <f>IFERROR(VLOOKUP(B2524,汇总!$B$2:$I$2921,8,FALSE),"")</f>
        <v>综合</v>
      </c>
      <c r="J2524" s="34" t="s">
        <v>1700</v>
      </c>
      <c r="K2524" s="34" t="s">
        <v>1252</v>
      </c>
    </row>
    <row r="2525" ht="50.25" spans="1:11">
      <c r="A2525" s="34">
        <v>2524</v>
      </c>
      <c r="B2525" s="29" t="s">
        <v>2906</v>
      </c>
      <c r="C2525" s="29" t="str">
        <f>VLOOKUP(B2525,教育部大学名单!$B$1:$D$2920,3,FALSE)</f>
        <v>河北省教育厅</v>
      </c>
      <c r="D2525" s="29" t="s">
        <v>98</v>
      </c>
      <c r="E2525" s="29" t="s">
        <v>103</v>
      </c>
      <c r="F2525" s="36" t="str">
        <f>IFERROR(VLOOKUP(B2525,'985'!$B$2:$D$40,3,FALSE),"")</f>
        <v/>
      </c>
      <c r="G2525" s="32" t="str">
        <f>IFERROR(VLOOKUP(B2525,'211'!$B$2:$D$116,3,FALSE),"")</f>
        <v/>
      </c>
      <c r="H2525" s="32" t="str">
        <f>IFERROR(VLOOKUP(B2525,双一流!$B$2:$D$148,3,FALSE),"")</f>
        <v/>
      </c>
      <c r="I2525" s="32">
        <f>IFERROR(VLOOKUP(B2525,汇总!$B$2:$I$2921,8,FALSE),"")</f>
        <v>0</v>
      </c>
      <c r="J2525" s="29" t="s">
        <v>1700</v>
      </c>
      <c r="K2525" s="29" t="s">
        <v>1252</v>
      </c>
    </row>
    <row r="2526" ht="33.75" spans="1:11">
      <c r="A2526" s="29">
        <v>2525</v>
      </c>
      <c r="B2526" s="34" t="s">
        <v>2907</v>
      </c>
      <c r="C2526" s="29" t="str">
        <f>VLOOKUP(B2526,教育部大学名单!$B$1:$D$2920,3,FALSE)</f>
        <v>河北省教育厅</v>
      </c>
      <c r="D2526" s="34" t="s">
        <v>98</v>
      </c>
      <c r="E2526" s="34" t="s">
        <v>103</v>
      </c>
      <c r="F2526" s="36" t="str">
        <f>IFERROR(VLOOKUP(B2526,'985'!$B$2:$D$40,3,FALSE),"")</f>
        <v/>
      </c>
      <c r="G2526" s="32" t="str">
        <f>IFERROR(VLOOKUP(B2526,'211'!$B$2:$D$116,3,FALSE),"")</f>
        <v/>
      </c>
      <c r="H2526" s="32" t="str">
        <f>IFERROR(VLOOKUP(B2526,双一流!$B$2:$D$148,3,FALSE),"")</f>
        <v/>
      </c>
      <c r="I2526" s="32">
        <f>IFERROR(VLOOKUP(B2526,汇总!$B$2:$I$2921,8,FALSE),"")</f>
        <v>0</v>
      </c>
      <c r="J2526" s="34" t="s">
        <v>1700</v>
      </c>
      <c r="K2526" s="34" t="s">
        <v>1252</v>
      </c>
    </row>
    <row r="2527" ht="33.75" spans="1:11">
      <c r="A2527" s="34">
        <v>2526</v>
      </c>
      <c r="B2527" s="29" t="s">
        <v>2908</v>
      </c>
      <c r="C2527" s="29" t="str">
        <f>VLOOKUP(B2527,教育部大学名单!$B$1:$D$2920,3,FALSE)</f>
        <v>河北省教育厅</v>
      </c>
      <c r="D2527" s="29" t="s">
        <v>98</v>
      </c>
      <c r="E2527" s="29" t="s">
        <v>111</v>
      </c>
      <c r="F2527" s="36" t="str">
        <f>IFERROR(VLOOKUP(B2527,'985'!$B$2:$D$40,3,FALSE),"")</f>
        <v/>
      </c>
      <c r="G2527" s="32" t="str">
        <f>IFERROR(VLOOKUP(B2527,'211'!$B$2:$D$116,3,FALSE),"")</f>
        <v/>
      </c>
      <c r="H2527" s="32" t="str">
        <f>IFERROR(VLOOKUP(B2527,双一流!$B$2:$D$148,3,FALSE),"")</f>
        <v/>
      </c>
      <c r="I2527" s="32">
        <f>IFERROR(VLOOKUP(B2527,汇总!$B$2:$I$2921,8,FALSE),"")</f>
        <v>0</v>
      </c>
      <c r="J2527" s="29" t="s">
        <v>1700</v>
      </c>
      <c r="K2527" s="29" t="s">
        <v>1252</v>
      </c>
    </row>
    <row r="2528" ht="33.75" spans="1:11">
      <c r="A2528" s="29">
        <v>2527</v>
      </c>
      <c r="B2528" s="34" t="s">
        <v>2909</v>
      </c>
      <c r="C2528" s="29" t="str">
        <f>VLOOKUP(B2528,教育部大学名单!$B$1:$D$2920,3,FALSE)</f>
        <v>河北省教育厅</v>
      </c>
      <c r="D2528" s="34" t="s">
        <v>98</v>
      </c>
      <c r="E2528" s="34" t="s">
        <v>106</v>
      </c>
      <c r="F2528" s="36" t="str">
        <f>IFERROR(VLOOKUP(B2528,'985'!$B$2:$D$40,3,FALSE),"")</f>
        <v/>
      </c>
      <c r="G2528" s="32" t="str">
        <f>IFERROR(VLOOKUP(B2528,'211'!$B$2:$D$116,3,FALSE),"")</f>
        <v/>
      </c>
      <c r="H2528" s="32" t="str">
        <f>IFERROR(VLOOKUP(B2528,双一流!$B$2:$D$148,3,FALSE),"")</f>
        <v/>
      </c>
      <c r="I2528" s="32">
        <f>IFERROR(VLOOKUP(B2528,汇总!$B$2:$I$2921,8,FALSE),"")</f>
        <v>0</v>
      </c>
      <c r="J2528" s="34" t="s">
        <v>1700</v>
      </c>
      <c r="K2528" s="34" t="s">
        <v>1252</v>
      </c>
    </row>
    <row r="2529" ht="33.75" spans="1:11">
      <c r="A2529" s="34">
        <v>2528</v>
      </c>
      <c r="B2529" s="29" t="s">
        <v>2910</v>
      </c>
      <c r="C2529" s="29" t="str">
        <f>VLOOKUP(B2529,教育部大学名单!$B$1:$D$2920,3,FALSE)</f>
        <v>河北省教育厅</v>
      </c>
      <c r="D2529" s="29" t="s">
        <v>98</v>
      </c>
      <c r="E2529" s="29" t="s">
        <v>106</v>
      </c>
      <c r="F2529" s="36" t="str">
        <f>IFERROR(VLOOKUP(B2529,'985'!$B$2:$D$40,3,FALSE),"")</f>
        <v/>
      </c>
      <c r="G2529" s="32" t="str">
        <f>IFERROR(VLOOKUP(B2529,'211'!$B$2:$D$116,3,FALSE),"")</f>
        <v/>
      </c>
      <c r="H2529" s="32" t="str">
        <f>IFERROR(VLOOKUP(B2529,双一流!$B$2:$D$148,3,FALSE),"")</f>
        <v/>
      </c>
      <c r="I2529" s="32">
        <f>IFERROR(VLOOKUP(B2529,汇总!$B$2:$I$2921,8,FALSE),"")</f>
        <v>0</v>
      </c>
      <c r="J2529" s="29" t="s">
        <v>1700</v>
      </c>
      <c r="K2529" s="29" t="s">
        <v>1252</v>
      </c>
    </row>
    <row r="2530" ht="33.75" spans="1:11">
      <c r="A2530" s="29">
        <v>2529</v>
      </c>
      <c r="B2530" s="34" t="s">
        <v>2911</v>
      </c>
      <c r="C2530" s="29" t="str">
        <f>VLOOKUP(B2530,教育部大学名单!$B$1:$D$2920,3,FALSE)</f>
        <v>河北省教育厅</v>
      </c>
      <c r="D2530" s="34" t="s">
        <v>98</v>
      </c>
      <c r="E2530" s="34" t="s">
        <v>128</v>
      </c>
      <c r="F2530" s="36" t="str">
        <f>IFERROR(VLOOKUP(B2530,'985'!$B$2:$D$40,3,FALSE),"")</f>
        <v/>
      </c>
      <c r="G2530" s="32" t="str">
        <f>IFERROR(VLOOKUP(B2530,'211'!$B$2:$D$116,3,FALSE),"")</f>
        <v/>
      </c>
      <c r="H2530" s="32" t="str">
        <f>IFERROR(VLOOKUP(B2530,双一流!$B$2:$D$148,3,FALSE),"")</f>
        <v/>
      </c>
      <c r="I2530" s="32">
        <f>IFERROR(VLOOKUP(B2530,汇总!$B$2:$I$2921,8,FALSE),"")</f>
        <v>0</v>
      </c>
      <c r="J2530" s="34" t="s">
        <v>1700</v>
      </c>
      <c r="K2530" s="34" t="s">
        <v>1252</v>
      </c>
    </row>
    <row r="2531" ht="33.75" spans="1:11">
      <c r="A2531" s="34">
        <v>2530</v>
      </c>
      <c r="B2531" s="29" t="s">
        <v>2912</v>
      </c>
      <c r="C2531" s="29" t="str">
        <f>VLOOKUP(B2531,教育部大学名单!$B$1:$D$2920,3,FALSE)</f>
        <v>山西省教育厅</v>
      </c>
      <c r="D2531" s="29" t="s">
        <v>151</v>
      </c>
      <c r="E2531" s="29" t="s">
        <v>181</v>
      </c>
      <c r="F2531" s="36" t="str">
        <f>IFERROR(VLOOKUP(B2531,'985'!$B$2:$D$40,3,FALSE),"")</f>
        <v/>
      </c>
      <c r="G2531" s="32" t="str">
        <f>IFERROR(VLOOKUP(B2531,'211'!$B$2:$D$116,3,FALSE),"")</f>
        <v/>
      </c>
      <c r="H2531" s="32" t="str">
        <f>IFERROR(VLOOKUP(B2531,双一流!$B$2:$D$148,3,FALSE),"")</f>
        <v/>
      </c>
      <c r="I2531" s="32">
        <f>IFERROR(VLOOKUP(B2531,汇总!$B$2:$I$2921,8,FALSE),"")</f>
        <v>0</v>
      </c>
      <c r="J2531" s="29" t="s">
        <v>1700</v>
      </c>
      <c r="K2531" s="29" t="s">
        <v>1252</v>
      </c>
    </row>
    <row r="2532" ht="33.75" spans="1:11">
      <c r="A2532" s="29">
        <v>2531</v>
      </c>
      <c r="B2532" s="34" t="s">
        <v>2913</v>
      </c>
      <c r="C2532" s="29" t="str">
        <f>VLOOKUP(B2532,教育部大学名单!$B$1:$D$2920,3,FALSE)</f>
        <v>山西省教育厅</v>
      </c>
      <c r="D2532" s="34" t="s">
        <v>151</v>
      </c>
      <c r="E2532" s="34" t="s">
        <v>157</v>
      </c>
      <c r="F2532" s="36" t="str">
        <f>IFERROR(VLOOKUP(B2532,'985'!$B$2:$D$40,3,FALSE),"")</f>
        <v/>
      </c>
      <c r="G2532" s="32" t="str">
        <f>IFERROR(VLOOKUP(B2532,'211'!$B$2:$D$116,3,FALSE),"")</f>
        <v/>
      </c>
      <c r="H2532" s="32" t="str">
        <f>IFERROR(VLOOKUP(B2532,双一流!$B$2:$D$148,3,FALSE),"")</f>
        <v/>
      </c>
      <c r="I2532" s="32">
        <f>IFERROR(VLOOKUP(B2532,汇总!$B$2:$I$2921,8,FALSE),"")</f>
        <v>0</v>
      </c>
      <c r="J2532" s="34" t="s">
        <v>1700</v>
      </c>
      <c r="K2532" s="34" t="s">
        <v>1252</v>
      </c>
    </row>
    <row r="2533" ht="33.75" spans="1:11">
      <c r="A2533" s="34">
        <v>2532</v>
      </c>
      <c r="B2533" s="29" t="s">
        <v>2914</v>
      </c>
      <c r="C2533" s="29" t="str">
        <f>VLOOKUP(B2533,教育部大学名单!$B$1:$D$2920,3,FALSE)</f>
        <v>山西省教育厅</v>
      </c>
      <c r="D2533" s="29" t="s">
        <v>151</v>
      </c>
      <c r="E2533" s="29" t="s">
        <v>157</v>
      </c>
      <c r="F2533" s="36" t="str">
        <f>IFERROR(VLOOKUP(B2533,'985'!$B$2:$D$40,3,FALSE),"")</f>
        <v/>
      </c>
      <c r="G2533" s="32" t="str">
        <f>IFERROR(VLOOKUP(B2533,'211'!$B$2:$D$116,3,FALSE),"")</f>
        <v/>
      </c>
      <c r="H2533" s="32" t="str">
        <f>IFERROR(VLOOKUP(B2533,双一流!$B$2:$D$148,3,FALSE),"")</f>
        <v/>
      </c>
      <c r="I2533" s="32">
        <f>IFERROR(VLOOKUP(B2533,汇总!$B$2:$I$2921,8,FALSE),"")</f>
        <v>0</v>
      </c>
      <c r="J2533" s="29" t="s">
        <v>1700</v>
      </c>
      <c r="K2533" s="29" t="s">
        <v>1252</v>
      </c>
    </row>
    <row r="2534" ht="33.75" spans="1:11">
      <c r="A2534" s="29">
        <v>2533</v>
      </c>
      <c r="B2534" s="34" t="s">
        <v>2915</v>
      </c>
      <c r="C2534" s="29" t="str">
        <f>VLOOKUP(B2534,教育部大学名单!$B$1:$D$2920,3,FALSE)</f>
        <v>山西省教育厅</v>
      </c>
      <c r="D2534" s="34" t="s">
        <v>151</v>
      </c>
      <c r="E2534" s="34" t="s">
        <v>152</v>
      </c>
      <c r="F2534" s="36" t="str">
        <f>IFERROR(VLOOKUP(B2534,'985'!$B$2:$D$40,3,FALSE),"")</f>
        <v/>
      </c>
      <c r="G2534" s="32" t="str">
        <f>IFERROR(VLOOKUP(B2534,'211'!$B$2:$D$116,3,FALSE),"")</f>
        <v/>
      </c>
      <c r="H2534" s="32" t="str">
        <f>IFERROR(VLOOKUP(B2534,双一流!$B$2:$D$148,3,FALSE),"")</f>
        <v/>
      </c>
      <c r="I2534" s="32">
        <f>IFERROR(VLOOKUP(B2534,汇总!$B$2:$I$2921,8,FALSE),"")</f>
        <v>0</v>
      </c>
      <c r="J2534" s="34" t="s">
        <v>1700</v>
      </c>
      <c r="K2534" s="34" t="s">
        <v>1252</v>
      </c>
    </row>
    <row r="2535" ht="33.75" spans="1:11">
      <c r="A2535" s="34">
        <v>2534</v>
      </c>
      <c r="B2535" s="29" t="s">
        <v>2916</v>
      </c>
      <c r="C2535" s="29" t="str">
        <f>VLOOKUP(B2535,教育部大学名单!$B$1:$D$2920,3,FALSE)</f>
        <v>内蒙古自治区教育厅</v>
      </c>
      <c r="D2535" s="29" t="s">
        <v>191</v>
      </c>
      <c r="E2535" s="29" t="s">
        <v>192</v>
      </c>
      <c r="F2535" s="36" t="str">
        <f>IFERROR(VLOOKUP(B2535,'985'!$B$2:$D$40,3,FALSE),"")</f>
        <v/>
      </c>
      <c r="G2535" s="32" t="str">
        <f>IFERROR(VLOOKUP(B2535,'211'!$B$2:$D$116,3,FALSE),"")</f>
        <v/>
      </c>
      <c r="H2535" s="32" t="str">
        <f>IFERROR(VLOOKUP(B2535,双一流!$B$2:$D$148,3,FALSE),"")</f>
        <v/>
      </c>
      <c r="I2535" s="32">
        <f>IFERROR(VLOOKUP(B2535,汇总!$B$2:$I$2921,8,FALSE),"")</f>
        <v>0</v>
      </c>
      <c r="J2535" s="29" t="s">
        <v>1700</v>
      </c>
      <c r="K2535" s="29" t="s">
        <v>1252</v>
      </c>
    </row>
    <row r="2536" ht="33.75" spans="1:11">
      <c r="A2536" s="29">
        <v>2535</v>
      </c>
      <c r="B2536" s="34" t="s">
        <v>2917</v>
      </c>
      <c r="C2536" s="29" t="str">
        <f>VLOOKUP(B2536,教育部大学名单!$B$1:$D$2920,3,FALSE)</f>
        <v>内蒙古自治区教育厅</v>
      </c>
      <c r="D2536" s="34" t="s">
        <v>191</v>
      </c>
      <c r="E2536" s="34" t="s">
        <v>192</v>
      </c>
      <c r="F2536" s="36" t="str">
        <f>IFERROR(VLOOKUP(B2536,'985'!$B$2:$D$40,3,FALSE),"")</f>
        <v/>
      </c>
      <c r="G2536" s="32" t="str">
        <f>IFERROR(VLOOKUP(B2536,'211'!$B$2:$D$116,3,FALSE),"")</f>
        <v/>
      </c>
      <c r="H2536" s="32" t="str">
        <f>IFERROR(VLOOKUP(B2536,双一流!$B$2:$D$148,3,FALSE),"")</f>
        <v/>
      </c>
      <c r="I2536" s="32">
        <f>IFERROR(VLOOKUP(B2536,汇总!$B$2:$I$2921,8,FALSE),"")</f>
        <v>0</v>
      </c>
      <c r="J2536" s="34" t="s">
        <v>1700</v>
      </c>
      <c r="K2536" s="34" t="s">
        <v>1252</v>
      </c>
    </row>
    <row r="2537" ht="50.25" spans="1:11">
      <c r="A2537" s="34">
        <v>2536</v>
      </c>
      <c r="B2537" s="29" t="s">
        <v>2918</v>
      </c>
      <c r="C2537" s="29" t="str">
        <f>VLOOKUP(B2537,教育部大学名单!$B$1:$D$2920,3,FALSE)</f>
        <v>内蒙古自治区教育厅</v>
      </c>
      <c r="D2537" s="29" t="s">
        <v>191</v>
      </c>
      <c r="E2537" s="29" t="s">
        <v>192</v>
      </c>
      <c r="F2537" s="36" t="str">
        <f>IFERROR(VLOOKUP(B2537,'985'!$B$2:$D$40,3,FALSE),"")</f>
        <v/>
      </c>
      <c r="G2537" s="32" t="str">
        <f>IFERROR(VLOOKUP(B2537,'211'!$B$2:$D$116,3,FALSE),"")</f>
        <v/>
      </c>
      <c r="H2537" s="32" t="str">
        <f>IFERROR(VLOOKUP(B2537,双一流!$B$2:$D$148,3,FALSE),"")</f>
        <v/>
      </c>
      <c r="I2537" s="32">
        <f>IFERROR(VLOOKUP(B2537,汇总!$B$2:$I$2921,8,FALSE),"")</f>
        <v>0</v>
      </c>
      <c r="J2537" s="29" t="s">
        <v>1700</v>
      </c>
      <c r="K2537" s="29" t="s">
        <v>1252</v>
      </c>
    </row>
    <row r="2538" ht="33.75" spans="1:11">
      <c r="A2538" s="29">
        <v>2537</v>
      </c>
      <c r="B2538" s="34" t="s">
        <v>2919</v>
      </c>
      <c r="C2538" s="29" t="str">
        <f>VLOOKUP(B2538,教育部大学名单!$B$1:$D$2920,3,FALSE)</f>
        <v>内蒙古自治区教育厅</v>
      </c>
      <c r="D2538" s="34" t="s">
        <v>191</v>
      </c>
      <c r="E2538" s="34" t="s">
        <v>202</v>
      </c>
      <c r="F2538" s="36" t="str">
        <f>IFERROR(VLOOKUP(B2538,'985'!$B$2:$D$40,3,FALSE),"")</f>
        <v/>
      </c>
      <c r="G2538" s="32" t="str">
        <f>IFERROR(VLOOKUP(B2538,'211'!$B$2:$D$116,3,FALSE),"")</f>
        <v/>
      </c>
      <c r="H2538" s="32" t="str">
        <f>IFERROR(VLOOKUP(B2538,双一流!$B$2:$D$148,3,FALSE),"")</f>
        <v/>
      </c>
      <c r="I2538" s="32">
        <f>IFERROR(VLOOKUP(B2538,汇总!$B$2:$I$2921,8,FALSE),"")</f>
        <v>0</v>
      </c>
      <c r="J2538" s="34" t="s">
        <v>1700</v>
      </c>
      <c r="K2538" s="34" t="s">
        <v>1252</v>
      </c>
    </row>
    <row r="2539" ht="50.25" spans="1:11">
      <c r="A2539" s="34">
        <v>2538</v>
      </c>
      <c r="B2539" s="29" t="s">
        <v>2920</v>
      </c>
      <c r="C2539" s="29" t="str">
        <f>VLOOKUP(B2539,教育部大学名单!$B$1:$D$2920,3,FALSE)</f>
        <v>内蒙古自治区教育厅</v>
      </c>
      <c r="D2539" s="29" t="s">
        <v>191</v>
      </c>
      <c r="E2539" s="29" t="s">
        <v>192</v>
      </c>
      <c r="F2539" s="36" t="str">
        <f>IFERROR(VLOOKUP(B2539,'985'!$B$2:$D$40,3,FALSE),"")</f>
        <v/>
      </c>
      <c r="G2539" s="32" t="str">
        <f>IFERROR(VLOOKUP(B2539,'211'!$B$2:$D$116,3,FALSE),"")</f>
        <v/>
      </c>
      <c r="H2539" s="32" t="str">
        <f>IFERROR(VLOOKUP(B2539,双一流!$B$2:$D$148,3,FALSE),"")</f>
        <v/>
      </c>
      <c r="I2539" s="32">
        <f>IFERROR(VLOOKUP(B2539,汇总!$B$2:$I$2921,8,FALSE),"")</f>
        <v>0</v>
      </c>
      <c r="J2539" s="29" t="s">
        <v>1700</v>
      </c>
      <c r="K2539" s="29" t="s">
        <v>1252</v>
      </c>
    </row>
    <row r="2540" ht="33.75" spans="1:11">
      <c r="A2540" s="29">
        <v>2539</v>
      </c>
      <c r="B2540" s="34" t="s">
        <v>2921</v>
      </c>
      <c r="C2540" s="29" t="str">
        <f>VLOOKUP(B2540,教育部大学名单!$B$1:$D$2920,3,FALSE)</f>
        <v>内蒙古自治区教育厅</v>
      </c>
      <c r="D2540" s="34" t="s">
        <v>191</v>
      </c>
      <c r="E2540" s="34" t="s">
        <v>192</v>
      </c>
      <c r="F2540" s="36" t="str">
        <f>IFERROR(VLOOKUP(B2540,'985'!$B$2:$D$40,3,FALSE),"")</f>
        <v/>
      </c>
      <c r="G2540" s="32" t="str">
        <f>IFERROR(VLOOKUP(B2540,'211'!$B$2:$D$116,3,FALSE),"")</f>
        <v/>
      </c>
      <c r="H2540" s="32" t="str">
        <f>IFERROR(VLOOKUP(B2540,双一流!$B$2:$D$148,3,FALSE),"")</f>
        <v/>
      </c>
      <c r="I2540" s="32">
        <f>IFERROR(VLOOKUP(B2540,汇总!$B$2:$I$2921,8,FALSE),"")</f>
        <v>0</v>
      </c>
      <c r="J2540" s="34" t="s">
        <v>1700</v>
      </c>
      <c r="K2540" s="34" t="s">
        <v>1252</v>
      </c>
    </row>
    <row r="2541" ht="33.75" spans="1:11">
      <c r="A2541" s="34">
        <v>2540</v>
      </c>
      <c r="B2541" s="29" t="s">
        <v>2922</v>
      </c>
      <c r="C2541" s="29" t="str">
        <f>VLOOKUP(B2541,教育部大学名单!$B$1:$D$2920,3,FALSE)</f>
        <v>内蒙古自治区教育厅</v>
      </c>
      <c r="D2541" s="29" t="s">
        <v>191</v>
      </c>
      <c r="E2541" s="29" t="s">
        <v>192</v>
      </c>
      <c r="F2541" s="36" t="str">
        <f>IFERROR(VLOOKUP(B2541,'985'!$B$2:$D$40,3,FALSE),"")</f>
        <v/>
      </c>
      <c r="G2541" s="32" t="str">
        <f>IFERROR(VLOOKUP(B2541,'211'!$B$2:$D$116,3,FALSE),"")</f>
        <v/>
      </c>
      <c r="H2541" s="32" t="str">
        <f>IFERROR(VLOOKUP(B2541,双一流!$B$2:$D$148,3,FALSE),"")</f>
        <v/>
      </c>
      <c r="I2541" s="32">
        <f>IFERROR(VLOOKUP(B2541,汇总!$B$2:$I$2921,8,FALSE),"")</f>
        <v>0</v>
      </c>
      <c r="J2541" s="29" t="s">
        <v>1700</v>
      </c>
      <c r="K2541" s="29" t="s">
        <v>1252</v>
      </c>
    </row>
    <row r="2542" ht="33.75" spans="1:11">
      <c r="A2542" s="29">
        <v>2541</v>
      </c>
      <c r="B2542" s="34" t="s">
        <v>2923</v>
      </c>
      <c r="C2542" s="29" t="str">
        <f>VLOOKUP(B2542,教育部大学名单!$B$1:$D$2920,3,FALSE)</f>
        <v>内蒙古自治区教育厅</v>
      </c>
      <c r="D2542" s="34" t="s">
        <v>191</v>
      </c>
      <c r="E2542" s="34" t="s">
        <v>209</v>
      </c>
      <c r="F2542" s="36" t="str">
        <f>IFERROR(VLOOKUP(B2542,'985'!$B$2:$D$40,3,FALSE),"")</f>
        <v/>
      </c>
      <c r="G2542" s="32" t="str">
        <f>IFERROR(VLOOKUP(B2542,'211'!$B$2:$D$116,3,FALSE),"")</f>
        <v/>
      </c>
      <c r="H2542" s="32" t="str">
        <f>IFERROR(VLOOKUP(B2542,双一流!$B$2:$D$148,3,FALSE),"")</f>
        <v/>
      </c>
      <c r="I2542" s="32">
        <f>IFERROR(VLOOKUP(B2542,汇总!$B$2:$I$2921,8,FALSE),"")</f>
        <v>0</v>
      </c>
      <c r="J2542" s="34" t="s">
        <v>1700</v>
      </c>
      <c r="K2542" s="34" t="s">
        <v>1252</v>
      </c>
    </row>
    <row r="2543" ht="33.75" spans="1:11">
      <c r="A2543" s="34">
        <v>2542</v>
      </c>
      <c r="B2543" s="29" t="s">
        <v>2924</v>
      </c>
      <c r="C2543" s="29" t="str">
        <f>VLOOKUP(B2543,教育部大学名单!$B$1:$D$2920,3,FALSE)</f>
        <v>辽宁省教育厅</v>
      </c>
      <c r="D2543" s="29" t="s">
        <v>220</v>
      </c>
      <c r="E2543" s="29" t="s">
        <v>223</v>
      </c>
      <c r="F2543" s="36" t="str">
        <f>IFERROR(VLOOKUP(B2543,'985'!$B$2:$D$40,3,FALSE),"")</f>
        <v/>
      </c>
      <c r="G2543" s="32" t="str">
        <f>IFERROR(VLOOKUP(B2543,'211'!$B$2:$D$116,3,FALSE),"")</f>
        <v/>
      </c>
      <c r="H2543" s="32" t="str">
        <f>IFERROR(VLOOKUP(B2543,双一流!$B$2:$D$148,3,FALSE),"")</f>
        <v/>
      </c>
      <c r="I2543" s="32">
        <f>IFERROR(VLOOKUP(B2543,汇总!$B$2:$I$2921,8,FALSE),"")</f>
        <v>0</v>
      </c>
      <c r="J2543" s="29" t="s">
        <v>1700</v>
      </c>
      <c r="K2543" s="29" t="s">
        <v>1252</v>
      </c>
    </row>
    <row r="2544" ht="33.75" spans="1:11">
      <c r="A2544" s="29">
        <v>2543</v>
      </c>
      <c r="B2544" s="34" t="s">
        <v>2925</v>
      </c>
      <c r="C2544" s="29" t="str">
        <f>VLOOKUP(B2544,教育部大学名单!$B$1:$D$2920,3,FALSE)</f>
        <v>辽宁省教育厅</v>
      </c>
      <c r="D2544" s="34" t="s">
        <v>220</v>
      </c>
      <c r="E2544" s="34" t="s">
        <v>221</v>
      </c>
      <c r="F2544" s="36" t="str">
        <f>IFERROR(VLOOKUP(B2544,'985'!$B$2:$D$40,3,FALSE),"")</f>
        <v/>
      </c>
      <c r="G2544" s="32" t="str">
        <f>IFERROR(VLOOKUP(B2544,'211'!$B$2:$D$116,3,FALSE),"")</f>
        <v/>
      </c>
      <c r="H2544" s="32" t="str">
        <f>IFERROR(VLOOKUP(B2544,双一流!$B$2:$D$148,3,FALSE),"")</f>
        <v/>
      </c>
      <c r="I2544" s="32">
        <f>IFERROR(VLOOKUP(B2544,汇总!$B$2:$I$2921,8,FALSE),"")</f>
        <v>0</v>
      </c>
      <c r="J2544" s="34" t="s">
        <v>1700</v>
      </c>
      <c r="K2544" s="34" t="s">
        <v>1252</v>
      </c>
    </row>
    <row r="2545" ht="33.75" spans="1:11">
      <c r="A2545" s="34">
        <v>2544</v>
      </c>
      <c r="B2545" s="29" t="s">
        <v>2926</v>
      </c>
      <c r="C2545" s="29" t="str">
        <f>VLOOKUP(B2545,教育部大学名单!$B$1:$D$2920,3,FALSE)</f>
        <v>辽宁省教育厅</v>
      </c>
      <c r="D2545" s="29" t="s">
        <v>220</v>
      </c>
      <c r="E2545" s="29" t="s">
        <v>223</v>
      </c>
      <c r="F2545" s="36" t="str">
        <f>IFERROR(VLOOKUP(B2545,'985'!$B$2:$D$40,3,FALSE),"")</f>
        <v/>
      </c>
      <c r="G2545" s="32" t="str">
        <f>IFERROR(VLOOKUP(B2545,'211'!$B$2:$D$116,3,FALSE),"")</f>
        <v/>
      </c>
      <c r="H2545" s="32" t="str">
        <f>IFERROR(VLOOKUP(B2545,双一流!$B$2:$D$148,3,FALSE),"")</f>
        <v/>
      </c>
      <c r="I2545" s="32">
        <f>IFERROR(VLOOKUP(B2545,汇总!$B$2:$I$2921,8,FALSE),"")</f>
        <v>0</v>
      </c>
      <c r="J2545" s="29" t="s">
        <v>1700</v>
      </c>
      <c r="K2545" s="29" t="s">
        <v>1252</v>
      </c>
    </row>
    <row r="2546" ht="33.75" spans="1:11">
      <c r="A2546" s="29">
        <v>2545</v>
      </c>
      <c r="B2546" s="34" t="s">
        <v>2927</v>
      </c>
      <c r="C2546" s="29" t="str">
        <f>VLOOKUP(B2546,教育部大学名单!$B$1:$D$2920,3,FALSE)</f>
        <v>辽宁省教育厅</v>
      </c>
      <c r="D2546" s="34" t="s">
        <v>220</v>
      </c>
      <c r="E2546" s="34" t="s">
        <v>223</v>
      </c>
      <c r="F2546" s="36" t="str">
        <f>IFERROR(VLOOKUP(B2546,'985'!$B$2:$D$40,3,FALSE),"")</f>
        <v/>
      </c>
      <c r="G2546" s="32" t="str">
        <f>IFERROR(VLOOKUP(B2546,'211'!$B$2:$D$116,3,FALSE),"")</f>
        <v/>
      </c>
      <c r="H2546" s="32" t="str">
        <f>IFERROR(VLOOKUP(B2546,双一流!$B$2:$D$148,3,FALSE),"")</f>
        <v/>
      </c>
      <c r="I2546" s="32">
        <f>IFERROR(VLOOKUP(B2546,汇总!$B$2:$I$2921,8,FALSE),"")</f>
        <v>0</v>
      </c>
      <c r="J2546" s="34" t="s">
        <v>1700</v>
      </c>
      <c r="K2546" s="34" t="s">
        <v>1252</v>
      </c>
    </row>
    <row r="2547" ht="33.75" spans="1:11">
      <c r="A2547" s="34">
        <v>2546</v>
      </c>
      <c r="B2547" s="29" t="s">
        <v>2928</v>
      </c>
      <c r="C2547" s="29" t="str">
        <f>VLOOKUP(B2547,教育部大学名单!$B$1:$D$2920,3,FALSE)</f>
        <v>辽宁省教育厅</v>
      </c>
      <c r="D2547" s="29" t="s">
        <v>220</v>
      </c>
      <c r="E2547" s="29" t="s">
        <v>223</v>
      </c>
      <c r="F2547" s="36" t="str">
        <f>IFERROR(VLOOKUP(B2547,'985'!$B$2:$D$40,3,FALSE),"")</f>
        <v/>
      </c>
      <c r="G2547" s="32" t="str">
        <f>IFERROR(VLOOKUP(B2547,'211'!$B$2:$D$116,3,FALSE),"")</f>
        <v/>
      </c>
      <c r="H2547" s="32" t="str">
        <f>IFERROR(VLOOKUP(B2547,双一流!$B$2:$D$148,3,FALSE),"")</f>
        <v/>
      </c>
      <c r="I2547" s="32">
        <f>IFERROR(VLOOKUP(B2547,汇总!$B$2:$I$2921,8,FALSE),"")</f>
        <v>0</v>
      </c>
      <c r="J2547" s="29" t="s">
        <v>1700</v>
      </c>
      <c r="K2547" s="29" t="s">
        <v>1252</v>
      </c>
    </row>
    <row r="2548" ht="33.75" spans="1:11">
      <c r="A2548" s="29">
        <v>2547</v>
      </c>
      <c r="B2548" s="34" t="s">
        <v>2929</v>
      </c>
      <c r="C2548" s="29" t="str">
        <f>VLOOKUP(B2548,教育部大学名单!$B$1:$D$2920,3,FALSE)</f>
        <v>辽宁省教育厅</v>
      </c>
      <c r="D2548" s="34" t="s">
        <v>220</v>
      </c>
      <c r="E2548" s="34" t="s">
        <v>223</v>
      </c>
      <c r="F2548" s="36" t="str">
        <f>IFERROR(VLOOKUP(B2548,'985'!$B$2:$D$40,3,FALSE),"")</f>
        <v/>
      </c>
      <c r="G2548" s="32" t="str">
        <f>IFERROR(VLOOKUP(B2548,'211'!$B$2:$D$116,3,FALSE),"")</f>
        <v/>
      </c>
      <c r="H2548" s="32" t="str">
        <f>IFERROR(VLOOKUP(B2548,双一流!$B$2:$D$148,3,FALSE),"")</f>
        <v/>
      </c>
      <c r="I2548" s="32">
        <f>IFERROR(VLOOKUP(B2548,汇总!$B$2:$I$2921,8,FALSE),"")</f>
        <v>0</v>
      </c>
      <c r="J2548" s="34" t="s">
        <v>1700</v>
      </c>
      <c r="K2548" s="34" t="s">
        <v>1252</v>
      </c>
    </row>
    <row r="2549" ht="50.25" spans="1:11">
      <c r="A2549" s="34">
        <v>2548</v>
      </c>
      <c r="B2549" s="29" t="s">
        <v>2930</v>
      </c>
      <c r="C2549" s="29" t="str">
        <f>VLOOKUP(B2549,教育部大学名单!$B$1:$D$2920,3,FALSE)</f>
        <v>辽宁省教育厅</v>
      </c>
      <c r="D2549" s="29" t="s">
        <v>220</v>
      </c>
      <c r="E2549" s="29" t="s">
        <v>223</v>
      </c>
      <c r="F2549" s="36" t="str">
        <f>IFERROR(VLOOKUP(B2549,'985'!$B$2:$D$40,3,FALSE),"")</f>
        <v/>
      </c>
      <c r="G2549" s="32" t="str">
        <f>IFERROR(VLOOKUP(B2549,'211'!$B$2:$D$116,3,FALSE),"")</f>
        <v/>
      </c>
      <c r="H2549" s="32" t="str">
        <f>IFERROR(VLOOKUP(B2549,双一流!$B$2:$D$148,3,FALSE),"")</f>
        <v/>
      </c>
      <c r="I2549" s="32">
        <f>IFERROR(VLOOKUP(B2549,汇总!$B$2:$I$2921,8,FALSE),"")</f>
        <v>0</v>
      </c>
      <c r="J2549" s="29" t="s">
        <v>1700</v>
      </c>
      <c r="K2549" s="29" t="s">
        <v>1252</v>
      </c>
    </row>
    <row r="2550" ht="33.75" spans="1:11">
      <c r="A2550" s="29">
        <v>2549</v>
      </c>
      <c r="B2550" s="34" t="s">
        <v>2931</v>
      </c>
      <c r="C2550" s="29" t="str">
        <f>VLOOKUP(B2550,教育部大学名单!$B$1:$D$2920,3,FALSE)</f>
        <v>辽宁省教育厅</v>
      </c>
      <c r="D2550" s="34" t="s">
        <v>220</v>
      </c>
      <c r="E2550" s="34" t="s">
        <v>223</v>
      </c>
      <c r="F2550" s="36" t="str">
        <f>IFERROR(VLOOKUP(B2550,'985'!$B$2:$D$40,3,FALSE),"")</f>
        <v/>
      </c>
      <c r="G2550" s="32" t="str">
        <f>IFERROR(VLOOKUP(B2550,'211'!$B$2:$D$116,3,FALSE),"")</f>
        <v/>
      </c>
      <c r="H2550" s="32" t="str">
        <f>IFERROR(VLOOKUP(B2550,双一流!$B$2:$D$148,3,FALSE),"")</f>
        <v/>
      </c>
      <c r="I2550" s="32">
        <f>IFERROR(VLOOKUP(B2550,汇总!$B$2:$I$2921,8,FALSE),"")</f>
        <v>0</v>
      </c>
      <c r="J2550" s="34" t="s">
        <v>1700</v>
      </c>
      <c r="K2550" s="34" t="s">
        <v>1252</v>
      </c>
    </row>
    <row r="2551" ht="50.25" spans="1:11">
      <c r="A2551" s="34">
        <v>2550</v>
      </c>
      <c r="B2551" s="29" t="s">
        <v>2932</v>
      </c>
      <c r="C2551" s="29" t="str">
        <f>VLOOKUP(B2551,教育部大学名单!$B$1:$D$2920,3,FALSE)</f>
        <v>辽宁省教育厅</v>
      </c>
      <c r="D2551" s="29" t="s">
        <v>220</v>
      </c>
      <c r="E2551" s="29" t="s">
        <v>221</v>
      </c>
      <c r="F2551" s="36" t="str">
        <f>IFERROR(VLOOKUP(B2551,'985'!$B$2:$D$40,3,FALSE),"")</f>
        <v/>
      </c>
      <c r="G2551" s="32" t="str">
        <f>IFERROR(VLOOKUP(B2551,'211'!$B$2:$D$116,3,FALSE),"")</f>
        <v/>
      </c>
      <c r="H2551" s="32" t="str">
        <f>IFERROR(VLOOKUP(B2551,双一流!$B$2:$D$148,3,FALSE),"")</f>
        <v/>
      </c>
      <c r="I2551" s="32">
        <f>IFERROR(VLOOKUP(B2551,汇总!$B$2:$I$2921,8,FALSE),"")</f>
        <v>0</v>
      </c>
      <c r="J2551" s="29" t="s">
        <v>1700</v>
      </c>
      <c r="K2551" s="29" t="s">
        <v>1252</v>
      </c>
    </row>
    <row r="2552" ht="33.75" spans="1:11">
      <c r="A2552" s="29">
        <v>2551</v>
      </c>
      <c r="B2552" s="34" t="s">
        <v>2933</v>
      </c>
      <c r="C2552" s="29" t="str">
        <f>VLOOKUP(B2552,教育部大学名单!$B$1:$D$2920,3,FALSE)</f>
        <v>吉林省教育厅</v>
      </c>
      <c r="D2552" s="34" t="s">
        <v>273</v>
      </c>
      <c r="E2552" s="34" t="s">
        <v>274</v>
      </c>
      <c r="F2552" s="36" t="str">
        <f>IFERROR(VLOOKUP(B2552,'985'!$B$2:$D$40,3,FALSE),"")</f>
        <v/>
      </c>
      <c r="G2552" s="32" t="str">
        <f>IFERROR(VLOOKUP(B2552,'211'!$B$2:$D$116,3,FALSE),"")</f>
        <v/>
      </c>
      <c r="H2552" s="32" t="str">
        <f>IFERROR(VLOOKUP(B2552,双一流!$B$2:$D$148,3,FALSE),"")</f>
        <v/>
      </c>
      <c r="I2552" s="32">
        <f>IFERROR(VLOOKUP(B2552,汇总!$B$2:$I$2921,8,FALSE),"")</f>
        <v>0</v>
      </c>
      <c r="J2552" s="34" t="s">
        <v>1700</v>
      </c>
      <c r="K2552" s="34" t="s">
        <v>1252</v>
      </c>
    </row>
    <row r="2553" ht="33.75" spans="1:11">
      <c r="A2553" s="34">
        <v>2552</v>
      </c>
      <c r="B2553" s="29" t="s">
        <v>2934</v>
      </c>
      <c r="C2553" s="29" t="str">
        <f>VLOOKUP(B2553,教育部大学名单!$B$1:$D$2920,3,FALSE)</f>
        <v>吉林省教育厅</v>
      </c>
      <c r="D2553" s="29" t="s">
        <v>273</v>
      </c>
      <c r="E2553" s="29" t="s">
        <v>274</v>
      </c>
      <c r="F2553" s="36" t="str">
        <f>IFERROR(VLOOKUP(B2553,'985'!$B$2:$D$40,3,FALSE),"")</f>
        <v/>
      </c>
      <c r="G2553" s="32" t="str">
        <f>IFERROR(VLOOKUP(B2553,'211'!$B$2:$D$116,3,FALSE),"")</f>
        <v/>
      </c>
      <c r="H2553" s="32" t="str">
        <f>IFERROR(VLOOKUP(B2553,双一流!$B$2:$D$148,3,FALSE),"")</f>
        <v/>
      </c>
      <c r="I2553" s="32">
        <f>IFERROR(VLOOKUP(B2553,汇总!$B$2:$I$2921,8,FALSE),"")</f>
        <v>0</v>
      </c>
      <c r="J2553" s="29" t="s">
        <v>1700</v>
      </c>
      <c r="K2553" s="29" t="s">
        <v>1252</v>
      </c>
    </row>
    <row r="2554" ht="33.75" spans="1:11">
      <c r="A2554" s="29">
        <v>2553</v>
      </c>
      <c r="B2554" s="34" t="s">
        <v>2935</v>
      </c>
      <c r="C2554" s="29" t="str">
        <f>VLOOKUP(B2554,教育部大学名单!$B$1:$D$2920,3,FALSE)</f>
        <v>吉林省教育厅</v>
      </c>
      <c r="D2554" s="34" t="s">
        <v>273</v>
      </c>
      <c r="E2554" s="34" t="s">
        <v>274</v>
      </c>
      <c r="F2554" s="36" t="str">
        <f>IFERROR(VLOOKUP(B2554,'985'!$B$2:$D$40,3,FALSE),"")</f>
        <v/>
      </c>
      <c r="G2554" s="32" t="str">
        <f>IFERROR(VLOOKUP(B2554,'211'!$B$2:$D$116,3,FALSE),"")</f>
        <v/>
      </c>
      <c r="H2554" s="32" t="str">
        <f>IFERROR(VLOOKUP(B2554,双一流!$B$2:$D$148,3,FALSE),"")</f>
        <v/>
      </c>
      <c r="I2554" s="32">
        <f>IFERROR(VLOOKUP(B2554,汇总!$B$2:$I$2921,8,FALSE),"")</f>
        <v>0</v>
      </c>
      <c r="J2554" s="34" t="s">
        <v>1700</v>
      </c>
      <c r="K2554" s="34" t="s">
        <v>1252</v>
      </c>
    </row>
    <row r="2555" ht="33.75" spans="1:11">
      <c r="A2555" s="34">
        <v>2554</v>
      </c>
      <c r="B2555" s="29" t="s">
        <v>2936</v>
      </c>
      <c r="C2555" s="29" t="str">
        <f>VLOOKUP(B2555,教育部大学名单!$B$1:$D$2920,3,FALSE)</f>
        <v>吉林省教育厅</v>
      </c>
      <c r="D2555" s="29" t="s">
        <v>273</v>
      </c>
      <c r="E2555" s="29" t="s">
        <v>274</v>
      </c>
      <c r="F2555" s="36" t="str">
        <f>IFERROR(VLOOKUP(B2555,'985'!$B$2:$D$40,3,FALSE),"")</f>
        <v/>
      </c>
      <c r="G2555" s="32" t="str">
        <f>IFERROR(VLOOKUP(B2555,'211'!$B$2:$D$116,3,FALSE),"")</f>
        <v/>
      </c>
      <c r="H2555" s="32" t="str">
        <f>IFERROR(VLOOKUP(B2555,双一流!$B$2:$D$148,3,FALSE),"")</f>
        <v/>
      </c>
      <c r="I2555" s="32">
        <f>IFERROR(VLOOKUP(B2555,汇总!$B$2:$I$2921,8,FALSE),"")</f>
        <v>0</v>
      </c>
      <c r="J2555" s="29" t="s">
        <v>1700</v>
      </c>
      <c r="K2555" s="29" t="s">
        <v>1252</v>
      </c>
    </row>
    <row r="2556" ht="33.75" spans="1:11">
      <c r="A2556" s="29">
        <v>2555</v>
      </c>
      <c r="B2556" s="34" t="s">
        <v>2937</v>
      </c>
      <c r="C2556" s="29" t="str">
        <f>VLOOKUP(B2556,教育部大学名单!$B$1:$D$2920,3,FALSE)</f>
        <v>吉林省教育厅</v>
      </c>
      <c r="D2556" s="34" t="s">
        <v>273</v>
      </c>
      <c r="E2556" s="34" t="s">
        <v>276</v>
      </c>
      <c r="F2556" s="36" t="str">
        <f>IFERROR(VLOOKUP(B2556,'985'!$B$2:$D$40,3,FALSE),"")</f>
        <v/>
      </c>
      <c r="G2556" s="32" t="str">
        <f>IFERROR(VLOOKUP(B2556,'211'!$B$2:$D$116,3,FALSE),"")</f>
        <v/>
      </c>
      <c r="H2556" s="32" t="str">
        <f>IFERROR(VLOOKUP(B2556,双一流!$B$2:$D$148,3,FALSE),"")</f>
        <v/>
      </c>
      <c r="I2556" s="32">
        <f>IFERROR(VLOOKUP(B2556,汇总!$B$2:$I$2921,8,FALSE),"")</f>
        <v>0</v>
      </c>
      <c r="J2556" s="34" t="s">
        <v>1700</v>
      </c>
      <c r="K2556" s="34" t="s">
        <v>1252</v>
      </c>
    </row>
    <row r="2557" ht="33.75" spans="1:11">
      <c r="A2557" s="34">
        <v>2556</v>
      </c>
      <c r="B2557" s="29" t="s">
        <v>2938</v>
      </c>
      <c r="C2557" s="29" t="str">
        <f>VLOOKUP(B2557,教育部大学名单!$B$1:$D$2920,3,FALSE)</f>
        <v>吉林省教育厅</v>
      </c>
      <c r="D2557" s="29" t="s">
        <v>273</v>
      </c>
      <c r="E2557" s="29" t="s">
        <v>274</v>
      </c>
      <c r="F2557" s="36" t="str">
        <f>IFERROR(VLOOKUP(B2557,'985'!$B$2:$D$40,3,FALSE),"")</f>
        <v/>
      </c>
      <c r="G2557" s="32" t="str">
        <f>IFERROR(VLOOKUP(B2557,'211'!$B$2:$D$116,3,FALSE),"")</f>
        <v/>
      </c>
      <c r="H2557" s="32" t="str">
        <f>IFERROR(VLOOKUP(B2557,双一流!$B$2:$D$148,3,FALSE),"")</f>
        <v/>
      </c>
      <c r="I2557" s="32">
        <f>IFERROR(VLOOKUP(B2557,汇总!$B$2:$I$2921,8,FALSE),"")</f>
        <v>0</v>
      </c>
      <c r="J2557" s="29" t="s">
        <v>1700</v>
      </c>
      <c r="K2557" s="29" t="s">
        <v>1252</v>
      </c>
    </row>
    <row r="2558" ht="33.75" spans="1:11">
      <c r="A2558" s="29">
        <v>2557</v>
      </c>
      <c r="B2558" s="34" t="s">
        <v>2939</v>
      </c>
      <c r="C2558" s="29" t="str">
        <f>VLOOKUP(B2558,教育部大学名单!$B$1:$D$2920,3,FALSE)</f>
        <v>吉林省教育厅</v>
      </c>
      <c r="D2558" s="34" t="s">
        <v>273</v>
      </c>
      <c r="E2558" s="34" t="s">
        <v>274</v>
      </c>
      <c r="F2558" s="36" t="str">
        <f>IFERROR(VLOOKUP(B2558,'985'!$B$2:$D$40,3,FALSE),"")</f>
        <v/>
      </c>
      <c r="G2558" s="32" t="str">
        <f>IFERROR(VLOOKUP(B2558,'211'!$B$2:$D$116,3,FALSE),"")</f>
        <v/>
      </c>
      <c r="H2558" s="32" t="str">
        <f>IFERROR(VLOOKUP(B2558,双一流!$B$2:$D$148,3,FALSE),"")</f>
        <v/>
      </c>
      <c r="I2558" s="32">
        <f>IFERROR(VLOOKUP(B2558,汇总!$B$2:$I$2921,8,FALSE),"")</f>
        <v>0</v>
      </c>
      <c r="J2558" s="34" t="s">
        <v>1700</v>
      </c>
      <c r="K2558" s="34" t="s">
        <v>1252</v>
      </c>
    </row>
    <row r="2559" ht="50.25" spans="1:11">
      <c r="A2559" s="34">
        <v>2558</v>
      </c>
      <c r="B2559" s="29" t="s">
        <v>2940</v>
      </c>
      <c r="C2559" s="29" t="str">
        <f>VLOOKUP(B2559,教育部大学名单!$B$1:$D$2920,3,FALSE)</f>
        <v>吉林省教育厅</v>
      </c>
      <c r="D2559" s="29" t="s">
        <v>273</v>
      </c>
      <c r="E2559" s="29" t="s">
        <v>288</v>
      </c>
      <c r="F2559" s="36" t="str">
        <f>IFERROR(VLOOKUP(B2559,'985'!$B$2:$D$40,3,FALSE),"")</f>
        <v/>
      </c>
      <c r="G2559" s="32" t="str">
        <f>IFERROR(VLOOKUP(B2559,'211'!$B$2:$D$116,3,FALSE),"")</f>
        <v/>
      </c>
      <c r="H2559" s="32" t="str">
        <f>IFERROR(VLOOKUP(B2559,双一流!$B$2:$D$148,3,FALSE),"")</f>
        <v/>
      </c>
      <c r="I2559" s="32">
        <f>IFERROR(VLOOKUP(B2559,汇总!$B$2:$I$2921,8,FALSE),"")</f>
        <v>0</v>
      </c>
      <c r="J2559" s="29" t="s">
        <v>1700</v>
      </c>
      <c r="K2559" s="29" t="s">
        <v>1252</v>
      </c>
    </row>
    <row r="2560" ht="33.75" spans="1:11">
      <c r="A2560" s="29">
        <v>2559</v>
      </c>
      <c r="B2560" s="34" t="s">
        <v>2941</v>
      </c>
      <c r="C2560" s="29" t="str">
        <f>VLOOKUP(B2560,教育部大学名单!$B$1:$D$2920,3,FALSE)</f>
        <v>黑龙江省教育厅</v>
      </c>
      <c r="D2560" s="34" t="s">
        <v>308</v>
      </c>
      <c r="E2560" s="34" t="s">
        <v>309</v>
      </c>
      <c r="F2560" s="36" t="str">
        <f>IFERROR(VLOOKUP(B2560,'985'!$B$2:$D$40,3,FALSE),"")</f>
        <v/>
      </c>
      <c r="G2560" s="32" t="str">
        <f>IFERROR(VLOOKUP(B2560,'211'!$B$2:$D$116,3,FALSE),"")</f>
        <v/>
      </c>
      <c r="H2560" s="32" t="str">
        <f>IFERROR(VLOOKUP(B2560,双一流!$B$2:$D$148,3,FALSE),"")</f>
        <v/>
      </c>
      <c r="I2560" s="32">
        <f>IFERROR(VLOOKUP(B2560,汇总!$B$2:$I$2921,8,FALSE),"")</f>
        <v>0</v>
      </c>
      <c r="J2560" s="34" t="s">
        <v>1700</v>
      </c>
      <c r="K2560" s="34" t="s">
        <v>1252</v>
      </c>
    </row>
    <row r="2561" ht="33.75" spans="1:11">
      <c r="A2561" s="34">
        <v>2560</v>
      </c>
      <c r="B2561" s="29" t="s">
        <v>2942</v>
      </c>
      <c r="C2561" s="29" t="str">
        <f>VLOOKUP(B2561,教育部大学名单!$B$1:$D$2920,3,FALSE)</f>
        <v>黑龙江省教育厅</v>
      </c>
      <c r="D2561" s="29" t="s">
        <v>308</v>
      </c>
      <c r="E2561" s="29" t="s">
        <v>309</v>
      </c>
      <c r="F2561" s="36" t="str">
        <f>IFERROR(VLOOKUP(B2561,'985'!$B$2:$D$40,3,FALSE),"")</f>
        <v/>
      </c>
      <c r="G2561" s="32" t="str">
        <f>IFERROR(VLOOKUP(B2561,'211'!$B$2:$D$116,3,FALSE),"")</f>
        <v/>
      </c>
      <c r="H2561" s="32" t="str">
        <f>IFERROR(VLOOKUP(B2561,双一流!$B$2:$D$148,3,FALSE),"")</f>
        <v/>
      </c>
      <c r="I2561" s="32">
        <f>IFERROR(VLOOKUP(B2561,汇总!$B$2:$I$2921,8,FALSE),"")</f>
        <v>0</v>
      </c>
      <c r="J2561" s="29" t="s">
        <v>1700</v>
      </c>
      <c r="K2561" s="29" t="s">
        <v>1252</v>
      </c>
    </row>
    <row r="2562" ht="50.25" spans="1:11">
      <c r="A2562" s="29">
        <v>2561</v>
      </c>
      <c r="B2562" s="34" t="s">
        <v>2943</v>
      </c>
      <c r="C2562" s="29" t="str">
        <f>VLOOKUP(B2562,教育部大学名单!$B$1:$D$2920,3,FALSE)</f>
        <v>黑龙江省教育厅</v>
      </c>
      <c r="D2562" s="34" t="s">
        <v>308</v>
      </c>
      <c r="E2562" s="34" t="s">
        <v>317</v>
      </c>
      <c r="F2562" s="36" t="str">
        <f>IFERROR(VLOOKUP(B2562,'985'!$B$2:$D$40,3,FALSE),"")</f>
        <v/>
      </c>
      <c r="G2562" s="32" t="str">
        <f>IFERROR(VLOOKUP(B2562,'211'!$B$2:$D$116,3,FALSE),"")</f>
        <v/>
      </c>
      <c r="H2562" s="32" t="str">
        <f>IFERROR(VLOOKUP(B2562,双一流!$B$2:$D$148,3,FALSE),"")</f>
        <v/>
      </c>
      <c r="I2562" s="32">
        <f>IFERROR(VLOOKUP(B2562,汇总!$B$2:$I$2921,8,FALSE),"")</f>
        <v>0</v>
      </c>
      <c r="J2562" s="34" t="s">
        <v>1700</v>
      </c>
      <c r="K2562" s="34" t="s">
        <v>1252</v>
      </c>
    </row>
    <row r="2563" ht="50.25" spans="1:11">
      <c r="A2563" s="34">
        <v>2562</v>
      </c>
      <c r="B2563" s="29" t="s">
        <v>2944</v>
      </c>
      <c r="C2563" s="29" t="str">
        <f>VLOOKUP(B2563,教育部大学名单!$B$1:$D$2920,3,FALSE)</f>
        <v>黑龙江省教育厅</v>
      </c>
      <c r="D2563" s="29" t="s">
        <v>308</v>
      </c>
      <c r="E2563" s="29" t="s">
        <v>309</v>
      </c>
      <c r="F2563" s="36" t="str">
        <f>IFERROR(VLOOKUP(B2563,'985'!$B$2:$D$40,3,FALSE),"")</f>
        <v/>
      </c>
      <c r="G2563" s="32" t="str">
        <f>IFERROR(VLOOKUP(B2563,'211'!$B$2:$D$116,3,FALSE),"")</f>
        <v/>
      </c>
      <c r="H2563" s="32" t="str">
        <f>IFERROR(VLOOKUP(B2563,双一流!$B$2:$D$148,3,FALSE),"")</f>
        <v/>
      </c>
      <c r="I2563" s="32">
        <f>IFERROR(VLOOKUP(B2563,汇总!$B$2:$I$2921,8,FALSE),"")</f>
        <v>0</v>
      </c>
      <c r="J2563" s="29" t="s">
        <v>1700</v>
      </c>
      <c r="K2563" s="29" t="s">
        <v>1252</v>
      </c>
    </row>
    <row r="2564" ht="33.75" spans="1:11">
      <c r="A2564" s="29">
        <v>2563</v>
      </c>
      <c r="B2564" s="34" t="s">
        <v>2945</v>
      </c>
      <c r="C2564" s="29" t="str">
        <f>VLOOKUP(B2564,教育部大学名单!$B$1:$D$2920,3,FALSE)</f>
        <v>黑龙江省教育厅</v>
      </c>
      <c r="D2564" s="34" t="s">
        <v>308</v>
      </c>
      <c r="E2564" s="34" t="s">
        <v>327</v>
      </c>
      <c r="F2564" s="36" t="str">
        <f>IFERROR(VLOOKUP(B2564,'985'!$B$2:$D$40,3,FALSE),"")</f>
        <v/>
      </c>
      <c r="G2564" s="32" t="str">
        <f>IFERROR(VLOOKUP(B2564,'211'!$B$2:$D$116,3,FALSE),"")</f>
        <v/>
      </c>
      <c r="H2564" s="32" t="str">
        <f>IFERROR(VLOOKUP(B2564,双一流!$B$2:$D$148,3,FALSE),"")</f>
        <v/>
      </c>
      <c r="I2564" s="32">
        <f>IFERROR(VLOOKUP(B2564,汇总!$B$2:$I$2921,8,FALSE),"")</f>
        <v>0</v>
      </c>
      <c r="J2564" s="34" t="s">
        <v>1700</v>
      </c>
      <c r="K2564" s="34" t="s">
        <v>1252</v>
      </c>
    </row>
    <row r="2565" ht="50.25" spans="1:11">
      <c r="A2565" s="34">
        <v>2564</v>
      </c>
      <c r="B2565" s="29" t="s">
        <v>2946</v>
      </c>
      <c r="C2565" s="29" t="str">
        <f>VLOOKUP(B2565,教育部大学名单!$B$1:$D$2920,3,FALSE)</f>
        <v>黑龙江省教育厅</v>
      </c>
      <c r="D2565" s="29" t="s">
        <v>308</v>
      </c>
      <c r="E2565" s="29" t="s">
        <v>309</v>
      </c>
      <c r="F2565" s="36" t="str">
        <f>IFERROR(VLOOKUP(B2565,'985'!$B$2:$D$40,3,FALSE),"")</f>
        <v/>
      </c>
      <c r="G2565" s="32" t="str">
        <f>IFERROR(VLOOKUP(B2565,'211'!$B$2:$D$116,3,FALSE),"")</f>
        <v/>
      </c>
      <c r="H2565" s="32" t="str">
        <f>IFERROR(VLOOKUP(B2565,双一流!$B$2:$D$148,3,FALSE),"")</f>
        <v/>
      </c>
      <c r="I2565" s="32">
        <f>IFERROR(VLOOKUP(B2565,汇总!$B$2:$I$2921,8,FALSE),"")</f>
        <v>0</v>
      </c>
      <c r="J2565" s="29" t="s">
        <v>1700</v>
      </c>
      <c r="K2565" s="29" t="s">
        <v>1252</v>
      </c>
    </row>
    <row r="2566" ht="33.75" spans="1:11">
      <c r="A2566" s="29">
        <v>2565</v>
      </c>
      <c r="B2566" s="34" t="s">
        <v>2947</v>
      </c>
      <c r="C2566" s="29" t="str">
        <f>VLOOKUP(B2566,教育部大学名单!$B$1:$D$2920,3,FALSE)</f>
        <v>上海市教委</v>
      </c>
      <c r="D2566" s="34" t="s">
        <v>347</v>
      </c>
      <c r="E2566" s="34" t="s">
        <v>347</v>
      </c>
      <c r="F2566" s="36" t="str">
        <f>IFERROR(VLOOKUP(B2566,'985'!$B$2:$D$40,3,FALSE),"")</f>
        <v/>
      </c>
      <c r="G2566" s="32" t="str">
        <f>IFERROR(VLOOKUP(B2566,'211'!$B$2:$D$116,3,FALSE),"")</f>
        <v/>
      </c>
      <c r="H2566" s="32" t="str">
        <f>IFERROR(VLOOKUP(B2566,双一流!$B$2:$D$148,3,FALSE),"")</f>
        <v/>
      </c>
      <c r="I2566" s="32" t="str">
        <f>IFERROR(VLOOKUP(B2566,汇总!$B$2:$I$2921,8,FALSE),"")</f>
        <v>综合</v>
      </c>
      <c r="J2566" s="34" t="s">
        <v>1700</v>
      </c>
      <c r="K2566" s="34" t="s">
        <v>1252</v>
      </c>
    </row>
    <row r="2567" ht="33.75" spans="1:11">
      <c r="A2567" s="34">
        <v>2566</v>
      </c>
      <c r="B2567" s="29" t="s">
        <v>2948</v>
      </c>
      <c r="C2567" s="29" t="str">
        <f>VLOOKUP(B2567,教育部大学名单!$B$1:$D$2920,3,FALSE)</f>
        <v>上海市教委</v>
      </c>
      <c r="D2567" s="29" t="s">
        <v>347</v>
      </c>
      <c r="E2567" s="29" t="s">
        <v>347</v>
      </c>
      <c r="F2567" s="36" t="str">
        <f>IFERROR(VLOOKUP(B2567,'985'!$B$2:$D$40,3,FALSE),"")</f>
        <v/>
      </c>
      <c r="G2567" s="32" t="str">
        <f>IFERROR(VLOOKUP(B2567,'211'!$B$2:$D$116,3,FALSE),"")</f>
        <v/>
      </c>
      <c r="H2567" s="32" t="str">
        <f>IFERROR(VLOOKUP(B2567,双一流!$B$2:$D$148,3,FALSE),"")</f>
        <v/>
      </c>
      <c r="I2567" s="32" t="str">
        <f>IFERROR(VLOOKUP(B2567,汇总!$B$2:$I$2921,8,FALSE),"")</f>
        <v>综合</v>
      </c>
      <c r="J2567" s="29" t="s">
        <v>1700</v>
      </c>
      <c r="K2567" s="29" t="s">
        <v>1252</v>
      </c>
    </row>
    <row r="2568" ht="33.75" spans="1:11">
      <c r="A2568" s="29">
        <v>2567</v>
      </c>
      <c r="B2568" s="34" t="s">
        <v>2949</v>
      </c>
      <c r="C2568" s="29" t="str">
        <f>VLOOKUP(B2568,教育部大学名单!$B$1:$D$2920,3,FALSE)</f>
        <v>上海市教委</v>
      </c>
      <c r="D2568" s="34" t="s">
        <v>347</v>
      </c>
      <c r="E2568" s="34" t="s">
        <v>347</v>
      </c>
      <c r="F2568" s="36" t="str">
        <f>IFERROR(VLOOKUP(B2568,'985'!$B$2:$D$40,3,FALSE),"")</f>
        <v/>
      </c>
      <c r="G2568" s="32" t="str">
        <f>IFERROR(VLOOKUP(B2568,'211'!$B$2:$D$116,3,FALSE),"")</f>
        <v/>
      </c>
      <c r="H2568" s="32" t="str">
        <f>IFERROR(VLOOKUP(B2568,双一流!$B$2:$D$148,3,FALSE),"")</f>
        <v/>
      </c>
      <c r="I2568" s="32" t="str">
        <f>IFERROR(VLOOKUP(B2568,汇总!$B$2:$I$2921,8,FALSE),"")</f>
        <v>综合</v>
      </c>
      <c r="J2568" s="34" t="s">
        <v>1700</v>
      </c>
      <c r="K2568" s="34" t="s">
        <v>1252</v>
      </c>
    </row>
    <row r="2569" ht="33.75" spans="1:11">
      <c r="A2569" s="34">
        <v>2568</v>
      </c>
      <c r="B2569" s="29" t="s">
        <v>2950</v>
      </c>
      <c r="C2569" s="29" t="str">
        <f>VLOOKUP(B2569,教育部大学名单!$B$1:$D$2920,3,FALSE)</f>
        <v>上海市教委</v>
      </c>
      <c r="D2569" s="29" t="s">
        <v>347</v>
      </c>
      <c r="E2569" s="29" t="s">
        <v>347</v>
      </c>
      <c r="F2569" s="36" t="str">
        <f>IFERROR(VLOOKUP(B2569,'985'!$B$2:$D$40,3,FALSE),"")</f>
        <v/>
      </c>
      <c r="G2569" s="32" t="str">
        <f>IFERROR(VLOOKUP(B2569,'211'!$B$2:$D$116,3,FALSE),"")</f>
        <v/>
      </c>
      <c r="H2569" s="32" t="str">
        <f>IFERROR(VLOOKUP(B2569,双一流!$B$2:$D$148,3,FALSE),"")</f>
        <v/>
      </c>
      <c r="I2569" s="32">
        <f>IFERROR(VLOOKUP(B2569,汇总!$B$2:$I$2921,8,FALSE),"")</f>
        <v>0</v>
      </c>
      <c r="J2569" s="29" t="s">
        <v>1700</v>
      </c>
      <c r="K2569" s="29" t="s">
        <v>1252</v>
      </c>
    </row>
    <row r="2570" ht="33.75" spans="1:11">
      <c r="A2570" s="29">
        <v>2569</v>
      </c>
      <c r="B2570" s="34" t="s">
        <v>2951</v>
      </c>
      <c r="C2570" s="29" t="str">
        <f>VLOOKUP(B2570,教育部大学名单!$B$1:$D$2920,3,FALSE)</f>
        <v>上海市教委</v>
      </c>
      <c r="D2570" s="34" t="s">
        <v>347</v>
      </c>
      <c r="E2570" s="34" t="s">
        <v>347</v>
      </c>
      <c r="F2570" s="36" t="str">
        <f>IFERROR(VLOOKUP(B2570,'985'!$B$2:$D$40,3,FALSE),"")</f>
        <v/>
      </c>
      <c r="G2570" s="32" t="str">
        <f>IFERROR(VLOOKUP(B2570,'211'!$B$2:$D$116,3,FALSE),"")</f>
        <v/>
      </c>
      <c r="H2570" s="32" t="str">
        <f>IFERROR(VLOOKUP(B2570,双一流!$B$2:$D$148,3,FALSE),"")</f>
        <v/>
      </c>
      <c r="I2570" s="32">
        <f>IFERROR(VLOOKUP(B2570,汇总!$B$2:$I$2921,8,FALSE),"")</f>
        <v>0</v>
      </c>
      <c r="J2570" s="34" t="s">
        <v>1700</v>
      </c>
      <c r="K2570" s="34" t="s">
        <v>1252</v>
      </c>
    </row>
    <row r="2571" ht="33.75" spans="1:11">
      <c r="A2571" s="34">
        <v>2570</v>
      </c>
      <c r="B2571" s="29" t="s">
        <v>2952</v>
      </c>
      <c r="C2571" s="29" t="str">
        <f>VLOOKUP(B2571,教育部大学名单!$B$1:$D$2920,3,FALSE)</f>
        <v>上海市教委</v>
      </c>
      <c r="D2571" s="29" t="s">
        <v>347</v>
      </c>
      <c r="E2571" s="29" t="s">
        <v>347</v>
      </c>
      <c r="F2571" s="36" t="str">
        <f>IFERROR(VLOOKUP(B2571,'985'!$B$2:$D$40,3,FALSE),"")</f>
        <v/>
      </c>
      <c r="G2571" s="32" t="str">
        <f>IFERROR(VLOOKUP(B2571,'211'!$B$2:$D$116,3,FALSE),"")</f>
        <v/>
      </c>
      <c r="H2571" s="32" t="str">
        <f>IFERROR(VLOOKUP(B2571,双一流!$B$2:$D$148,3,FALSE),"")</f>
        <v/>
      </c>
      <c r="I2571" s="32">
        <f>IFERROR(VLOOKUP(B2571,汇总!$B$2:$I$2921,8,FALSE),"")</f>
        <v>0</v>
      </c>
      <c r="J2571" s="29" t="s">
        <v>1700</v>
      </c>
      <c r="K2571" s="29" t="s">
        <v>1252</v>
      </c>
    </row>
    <row r="2572" ht="33.75" spans="1:11">
      <c r="A2572" s="29">
        <v>2571</v>
      </c>
      <c r="B2572" s="34" t="s">
        <v>2953</v>
      </c>
      <c r="C2572" s="29" t="str">
        <f>VLOOKUP(B2572,教育部大学名单!$B$1:$D$2920,3,FALSE)</f>
        <v>上海市教委</v>
      </c>
      <c r="D2572" s="34" t="s">
        <v>347</v>
      </c>
      <c r="E2572" s="34" t="s">
        <v>347</v>
      </c>
      <c r="F2572" s="36" t="str">
        <f>IFERROR(VLOOKUP(B2572,'985'!$B$2:$D$40,3,FALSE),"")</f>
        <v/>
      </c>
      <c r="G2572" s="32" t="str">
        <f>IFERROR(VLOOKUP(B2572,'211'!$B$2:$D$116,3,FALSE),"")</f>
        <v/>
      </c>
      <c r="H2572" s="32" t="str">
        <f>IFERROR(VLOOKUP(B2572,双一流!$B$2:$D$148,3,FALSE),"")</f>
        <v/>
      </c>
      <c r="I2572" s="32">
        <f>IFERROR(VLOOKUP(B2572,汇总!$B$2:$I$2921,8,FALSE),"")</f>
        <v>0</v>
      </c>
      <c r="J2572" s="34" t="s">
        <v>1700</v>
      </c>
      <c r="K2572" s="34" t="s">
        <v>1252</v>
      </c>
    </row>
    <row r="2573" ht="50.25" spans="1:11">
      <c r="A2573" s="34">
        <v>2572</v>
      </c>
      <c r="B2573" s="29" t="s">
        <v>2954</v>
      </c>
      <c r="C2573" s="29" t="str">
        <f>VLOOKUP(B2573,教育部大学名单!$B$1:$D$2920,3,FALSE)</f>
        <v>上海市教委</v>
      </c>
      <c r="D2573" s="29" t="s">
        <v>347</v>
      </c>
      <c r="E2573" s="29" t="s">
        <v>347</v>
      </c>
      <c r="F2573" s="36" t="str">
        <f>IFERROR(VLOOKUP(B2573,'985'!$B$2:$D$40,3,FALSE),"")</f>
        <v/>
      </c>
      <c r="G2573" s="32" t="str">
        <f>IFERROR(VLOOKUP(B2573,'211'!$B$2:$D$116,3,FALSE),"")</f>
        <v/>
      </c>
      <c r="H2573" s="32" t="str">
        <f>IFERROR(VLOOKUP(B2573,双一流!$B$2:$D$148,3,FALSE),"")</f>
        <v/>
      </c>
      <c r="I2573" s="32" t="str">
        <f>IFERROR(VLOOKUP(B2573,汇总!$B$2:$I$2921,8,FALSE),"")</f>
        <v>语言</v>
      </c>
      <c r="J2573" s="29" t="s">
        <v>1700</v>
      </c>
      <c r="K2573" s="29" t="s">
        <v>1252</v>
      </c>
    </row>
    <row r="2574" ht="33.75" spans="1:11">
      <c r="A2574" s="29">
        <v>2573</v>
      </c>
      <c r="B2574" s="34" t="s">
        <v>2955</v>
      </c>
      <c r="C2574" s="29" t="str">
        <f>VLOOKUP(B2574,教育部大学名单!$B$1:$D$2920,3,FALSE)</f>
        <v>上海市教委</v>
      </c>
      <c r="D2574" s="34" t="s">
        <v>347</v>
      </c>
      <c r="E2574" s="34" t="s">
        <v>347</v>
      </c>
      <c r="F2574" s="36" t="str">
        <f>IFERROR(VLOOKUP(B2574,'985'!$B$2:$D$40,3,FALSE),"")</f>
        <v/>
      </c>
      <c r="G2574" s="32" t="str">
        <f>IFERROR(VLOOKUP(B2574,'211'!$B$2:$D$116,3,FALSE),"")</f>
        <v/>
      </c>
      <c r="H2574" s="32" t="str">
        <f>IFERROR(VLOOKUP(B2574,双一流!$B$2:$D$148,3,FALSE),"")</f>
        <v/>
      </c>
      <c r="I2574" s="32">
        <f>IFERROR(VLOOKUP(B2574,汇总!$B$2:$I$2921,8,FALSE),"")</f>
        <v>0</v>
      </c>
      <c r="J2574" s="34" t="s">
        <v>1700</v>
      </c>
      <c r="K2574" s="34" t="s">
        <v>1252</v>
      </c>
    </row>
    <row r="2575" ht="33.75" spans="1:11">
      <c r="A2575" s="34">
        <v>2574</v>
      </c>
      <c r="B2575" s="29" t="s">
        <v>2956</v>
      </c>
      <c r="C2575" s="29" t="str">
        <f>VLOOKUP(B2575,教育部大学名单!$B$1:$D$2920,3,FALSE)</f>
        <v>上海市教委</v>
      </c>
      <c r="D2575" s="29" t="s">
        <v>347</v>
      </c>
      <c r="E2575" s="29" t="s">
        <v>347</v>
      </c>
      <c r="F2575" s="36" t="str">
        <f>IFERROR(VLOOKUP(B2575,'985'!$B$2:$D$40,3,FALSE),"")</f>
        <v/>
      </c>
      <c r="G2575" s="32" t="str">
        <f>IFERROR(VLOOKUP(B2575,'211'!$B$2:$D$116,3,FALSE),"")</f>
        <v/>
      </c>
      <c r="H2575" s="32" t="str">
        <f>IFERROR(VLOOKUP(B2575,双一流!$B$2:$D$148,3,FALSE),"")</f>
        <v/>
      </c>
      <c r="I2575" s="32" t="str">
        <f>IFERROR(VLOOKUP(B2575,汇总!$B$2:$I$2921,8,FALSE),"")</f>
        <v>艺术</v>
      </c>
      <c r="J2575" s="29" t="s">
        <v>1700</v>
      </c>
      <c r="K2575" s="29" t="s">
        <v>1252</v>
      </c>
    </row>
    <row r="2576" ht="33.75" spans="1:11">
      <c r="A2576" s="29">
        <v>2575</v>
      </c>
      <c r="B2576" s="34" t="s">
        <v>2957</v>
      </c>
      <c r="C2576" s="29" t="str">
        <f>VLOOKUP(B2576,教育部大学名单!$B$1:$D$2920,3,FALSE)</f>
        <v>上海市教委</v>
      </c>
      <c r="D2576" s="34" t="s">
        <v>347</v>
      </c>
      <c r="E2576" s="34" t="s">
        <v>347</v>
      </c>
      <c r="F2576" s="36" t="str">
        <f>IFERROR(VLOOKUP(B2576,'985'!$B$2:$D$40,3,FALSE),"")</f>
        <v/>
      </c>
      <c r="G2576" s="32" t="str">
        <f>IFERROR(VLOOKUP(B2576,'211'!$B$2:$D$116,3,FALSE),"")</f>
        <v/>
      </c>
      <c r="H2576" s="32" t="str">
        <f>IFERROR(VLOOKUP(B2576,双一流!$B$2:$D$148,3,FALSE),"")</f>
        <v/>
      </c>
      <c r="I2576" s="32">
        <f>IFERROR(VLOOKUP(B2576,汇总!$B$2:$I$2921,8,FALSE),"")</f>
        <v>0</v>
      </c>
      <c r="J2576" s="34" t="s">
        <v>1700</v>
      </c>
      <c r="K2576" s="34" t="s">
        <v>1252</v>
      </c>
    </row>
    <row r="2577" ht="33.75" spans="1:11">
      <c r="A2577" s="34">
        <v>2576</v>
      </c>
      <c r="B2577" s="29" t="s">
        <v>2958</v>
      </c>
      <c r="C2577" s="29" t="str">
        <f>VLOOKUP(B2577,教育部大学名单!$B$1:$D$2920,3,FALSE)</f>
        <v>江苏省教育厅</v>
      </c>
      <c r="D2577" s="29" t="s">
        <v>379</v>
      </c>
      <c r="E2577" s="29" t="s">
        <v>403</v>
      </c>
      <c r="F2577" s="36" t="str">
        <f>IFERROR(VLOOKUP(B2577,'985'!$B$2:$D$40,3,FALSE),"")</f>
        <v/>
      </c>
      <c r="G2577" s="32" t="str">
        <f>IFERROR(VLOOKUP(B2577,'211'!$B$2:$D$116,3,FALSE),"")</f>
        <v/>
      </c>
      <c r="H2577" s="32" t="str">
        <f>IFERROR(VLOOKUP(B2577,双一流!$B$2:$D$148,3,FALSE),"")</f>
        <v/>
      </c>
      <c r="I2577" s="32">
        <f>IFERROR(VLOOKUP(B2577,汇总!$B$2:$I$2921,8,FALSE),"")</f>
        <v>0</v>
      </c>
      <c r="J2577" s="29" t="s">
        <v>1700</v>
      </c>
      <c r="K2577" s="29" t="s">
        <v>1252</v>
      </c>
    </row>
    <row r="2578" ht="33.75" spans="1:11">
      <c r="A2578" s="29">
        <v>2577</v>
      </c>
      <c r="B2578" s="34" t="s">
        <v>2959</v>
      </c>
      <c r="C2578" s="29" t="str">
        <f>VLOOKUP(B2578,教育部大学名单!$B$1:$D$2920,3,FALSE)</f>
        <v>江苏省教育厅</v>
      </c>
      <c r="D2578" s="34" t="s">
        <v>379</v>
      </c>
      <c r="E2578" s="34" t="s">
        <v>389</v>
      </c>
      <c r="F2578" s="36" t="str">
        <f>IFERROR(VLOOKUP(B2578,'985'!$B$2:$D$40,3,FALSE),"")</f>
        <v/>
      </c>
      <c r="G2578" s="32" t="str">
        <f>IFERROR(VLOOKUP(B2578,'211'!$B$2:$D$116,3,FALSE),"")</f>
        <v/>
      </c>
      <c r="H2578" s="32" t="str">
        <f>IFERROR(VLOOKUP(B2578,双一流!$B$2:$D$148,3,FALSE),"")</f>
        <v/>
      </c>
      <c r="I2578" s="32">
        <f>IFERROR(VLOOKUP(B2578,汇总!$B$2:$I$2921,8,FALSE),"")</f>
        <v>0</v>
      </c>
      <c r="J2578" s="34" t="s">
        <v>1700</v>
      </c>
      <c r="K2578" s="34" t="s">
        <v>1252</v>
      </c>
    </row>
    <row r="2579" ht="33.75" spans="1:11">
      <c r="A2579" s="34">
        <v>2578</v>
      </c>
      <c r="B2579" s="29" t="s">
        <v>2960</v>
      </c>
      <c r="C2579" s="29" t="str">
        <f>VLOOKUP(B2579,教育部大学名单!$B$1:$D$2920,3,FALSE)</f>
        <v>江苏省教育厅</v>
      </c>
      <c r="D2579" s="29" t="s">
        <v>379</v>
      </c>
      <c r="E2579" s="29" t="s">
        <v>382</v>
      </c>
      <c r="F2579" s="36" t="str">
        <f>IFERROR(VLOOKUP(B2579,'985'!$B$2:$D$40,3,FALSE),"")</f>
        <v/>
      </c>
      <c r="G2579" s="32" t="str">
        <f>IFERROR(VLOOKUP(B2579,'211'!$B$2:$D$116,3,FALSE),"")</f>
        <v/>
      </c>
      <c r="H2579" s="32" t="str">
        <f>IFERROR(VLOOKUP(B2579,双一流!$B$2:$D$148,3,FALSE),"")</f>
        <v/>
      </c>
      <c r="I2579" s="32">
        <f>IFERROR(VLOOKUP(B2579,汇总!$B$2:$I$2921,8,FALSE),"")</f>
        <v>0</v>
      </c>
      <c r="J2579" s="29" t="s">
        <v>1700</v>
      </c>
      <c r="K2579" s="29" t="s">
        <v>1252</v>
      </c>
    </row>
    <row r="2580" ht="33.75" spans="1:11">
      <c r="A2580" s="29">
        <v>2579</v>
      </c>
      <c r="B2580" s="34" t="s">
        <v>2961</v>
      </c>
      <c r="C2580" s="29" t="str">
        <f>VLOOKUP(B2580,教育部大学名单!$B$1:$D$2920,3,FALSE)</f>
        <v>江苏省教育厅</v>
      </c>
      <c r="D2580" s="34" t="s">
        <v>379</v>
      </c>
      <c r="E2580" s="34" t="s">
        <v>380</v>
      </c>
      <c r="F2580" s="36" t="str">
        <f>IFERROR(VLOOKUP(B2580,'985'!$B$2:$D$40,3,FALSE),"")</f>
        <v/>
      </c>
      <c r="G2580" s="32" t="str">
        <f>IFERROR(VLOOKUP(B2580,'211'!$B$2:$D$116,3,FALSE),"")</f>
        <v/>
      </c>
      <c r="H2580" s="32" t="str">
        <f>IFERROR(VLOOKUP(B2580,双一流!$B$2:$D$148,3,FALSE),"")</f>
        <v/>
      </c>
      <c r="I2580" s="32">
        <f>IFERROR(VLOOKUP(B2580,汇总!$B$2:$I$2921,8,FALSE),"")</f>
        <v>0</v>
      </c>
      <c r="J2580" s="34" t="s">
        <v>1700</v>
      </c>
      <c r="K2580" s="34" t="s">
        <v>1252</v>
      </c>
    </row>
    <row r="2581" ht="50.25" spans="1:11">
      <c r="A2581" s="34">
        <v>2580</v>
      </c>
      <c r="B2581" s="29" t="s">
        <v>2962</v>
      </c>
      <c r="C2581" s="29" t="str">
        <f>VLOOKUP(B2581,教育部大学名单!$B$1:$D$2920,3,FALSE)</f>
        <v>江苏省教育厅</v>
      </c>
      <c r="D2581" s="29" t="s">
        <v>379</v>
      </c>
      <c r="E2581" s="29" t="s">
        <v>382</v>
      </c>
      <c r="F2581" s="36" t="str">
        <f>IFERROR(VLOOKUP(B2581,'985'!$B$2:$D$40,3,FALSE),"")</f>
        <v/>
      </c>
      <c r="G2581" s="32" t="str">
        <f>IFERROR(VLOOKUP(B2581,'211'!$B$2:$D$116,3,FALSE),"")</f>
        <v/>
      </c>
      <c r="H2581" s="32" t="str">
        <f>IFERROR(VLOOKUP(B2581,双一流!$B$2:$D$148,3,FALSE),"")</f>
        <v/>
      </c>
      <c r="I2581" s="32">
        <f>IFERROR(VLOOKUP(B2581,汇总!$B$2:$I$2921,8,FALSE),"")</f>
        <v>0</v>
      </c>
      <c r="J2581" s="29" t="s">
        <v>1700</v>
      </c>
      <c r="K2581" s="29" t="s">
        <v>1252</v>
      </c>
    </row>
    <row r="2582" ht="33.75" spans="1:11">
      <c r="A2582" s="29">
        <v>2581</v>
      </c>
      <c r="B2582" s="34" t="s">
        <v>2963</v>
      </c>
      <c r="C2582" s="29" t="str">
        <f>VLOOKUP(B2582,教育部大学名单!$B$1:$D$2920,3,FALSE)</f>
        <v>江苏省教育厅</v>
      </c>
      <c r="D2582" s="34" t="s">
        <v>379</v>
      </c>
      <c r="E2582" s="34" t="s">
        <v>396</v>
      </c>
      <c r="F2582" s="36" t="str">
        <f>IFERROR(VLOOKUP(B2582,'985'!$B$2:$D$40,3,FALSE),"")</f>
        <v/>
      </c>
      <c r="G2582" s="32" t="str">
        <f>IFERROR(VLOOKUP(B2582,'211'!$B$2:$D$116,3,FALSE),"")</f>
        <v/>
      </c>
      <c r="H2582" s="32" t="str">
        <f>IFERROR(VLOOKUP(B2582,双一流!$B$2:$D$148,3,FALSE),"")</f>
        <v/>
      </c>
      <c r="I2582" s="32">
        <f>IFERROR(VLOOKUP(B2582,汇总!$B$2:$I$2921,8,FALSE),"")</f>
        <v>0</v>
      </c>
      <c r="J2582" s="34" t="s">
        <v>1700</v>
      </c>
      <c r="K2582" s="34" t="s">
        <v>1252</v>
      </c>
    </row>
    <row r="2583" ht="33.75" spans="1:11">
      <c r="A2583" s="34">
        <v>2582</v>
      </c>
      <c r="B2583" s="29" t="s">
        <v>2964</v>
      </c>
      <c r="C2583" s="29" t="str">
        <f>VLOOKUP(B2583,教育部大学名单!$B$1:$D$2920,3,FALSE)</f>
        <v>江苏省教育厅</v>
      </c>
      <c r="D2583" s="29" t="s">
        <v>379</v>
      </c>
      <c r="E2583" s="29" t="s">
        <v>412</v>
      </c>
      <c r="F2583" s="36" t="str">
        <f>IFERROR(VLOOKUP(B2583,'985'!$B$2:$D$40,3,FALSE),"")</f>
        <v/>
      </c>
      <c r="G2583" s="32" t="str">
        <f>IFERROR(VLOOKUP(B2583,'211'!$B$2:$D$116,3,FALSE),"")</f>
        <v/>
      </c>
      <c r="H2583" s="32" t="str">
        <f>IFERROR(VLOOKUP(B2583,双一流!$B$2:$D$148,3,FALSE),"")</f>
        <v/>
      </c>
      <c r="I2583" s="32">
        <f>IFERROR(VLOOKUP(B2583,汇总!$B$2:$I$2921,8,FALSE),"")</f>
        <v>0</v>
      </c>
      <c r="J2583" s="29" t="s">
        <v>1700</v>
      </c>
      <c r="K2583" s="29" t="s">
        <v>1252</v>
      </c>
    </row>
    <row r="2584" ht="33.75" spans="1:11">
      <c r="A2584" s="29">
        <v>2583</v>
      </c>
      <c r="B2584" s="34" t="s">
        <v>2965</v>
      </c>
      <c r="C2584" s="29" t="str">
        <f>VLOOKUP(B2584,教育部大学名单!$B$1:$D$2920,3,FALSE)</f>
        <v>江苏省教育厅</v>
      </c>
      <c r="D2584" s="34" t="s">
        <v>379</v>
      </c>
      <c r="E2584" s="34" t="s">
        <v>380</v>
      </c>
      <c r="F2584" s="36" t="str">
        <f>IFERROR(VLOOKUP(B2584,'985'!$B$2:$D$40,3,FALSE),"")</f>
        <v/>
      </c>
      <c r="G2584" s="32" t="str">
        <f>IFERROR(VLOOKUP(B2584,'211'!$B$2:$D$116,3,FALSE),"")</f>
        <v/>
      </c>
      <c r="H2584" s="32" t="str">
        <f>IFERROR(VLOOKUP(B2584,双一流!$B$2:$D$148,3,FALSE),"")</f>
        <v/>
      </c>
      <c r="I2584" s="32">
        <f>IFERROR(VLOOKUP(B2584,汇总!$B$2:$I$2921,8,FALSE),"")</f>
        <v>0</v>
      </c>
      <c r="J2584" s="34" t="s">
        <v>1700</v>
      </c>
      <c r="K2584" s="34" t="s">
        <v>1252</v>
      </c>
    </row>
    <row r="2585" ht="33.75" spans="1:11">
      <c r="A2585" s="34">
        <v>2584</v>
      </c>
      <c r="B2585" s="29" t="s">
        <v>2966</v>
      </c>
      <c r="C2585" s="29" t="str">
        <f>VLOOKUP(B2585,教育部大学名单!$B$1:$D$2920,3,FALSE)</f>
        <v>江苏省教育厅</v>
      </c>
      <c r="D2585" s="29" t="s">
        <v>379</v>
      </c>
      <c r="E2585" s="29" t="s">
        <v>380</v>
      </c>
      <c r="F2585" s="36" t="str">
        <f>IFERROR(VLOOKUP(B2585,'985'!$B$2:$D$40,3,FALSE),"")</f>
        <v/>
      </c>
      <c r="G2585" s="32" t="str">
        <f>IFERROR(VLOOKUP(B2585,'211'!$B$2:$D$116,3,FALSE),"")</f>
        <v/>
      </c>
      <c r="H2585" s="32" t="str">
        <f>IFERROR(VLOOKUP(B2585,双一流!$B$2:$D$148,3,FALSE),"")</f>
        <v/>
      </c>
      <c r="I2585" s="32">
        <f>IFERROR(VLOOKUP(B2585,汇总!$B$2:$I$2921,8,FALSE),"")</f>
        <v>0</v>
      </c>
      <c r="J2585" s="29" t="s">
        <v>1700</v>
      </c>
      <c r="K2585" s="29" t="s">
        <v>1252</v>
      </c>
    </row>
    <row r="2586" ht="33.75" spans="1:11">
      <c r="A2586" s="29">
        <v>2585</v>
      </c>
      <c r="B2586" s="34" t="s">
        <v>2967</v>
      </c>
      <c r="C2586" s="29" t="str">
        <f>VLOOKUP(B2586,教育部大学名单!$B$1:$D$2920,3,FALSE)</f>
        <v>江苏省教育厅</v>
      </c>
      <c r="D2586" s="34" t="s">
        <v>379</v>
      </c>
      <c r="E2586" s="34" t="s">
        <v>396</v>
      </c>
      <c r="F2586" s="36" t="str">
        <f>IFERROR(VLOOKUP(B2586,'985'!$B$2:$D$40,3,FALSE),"")</f>
        <v/>
      </c>
      <c r="G2586" s="32" t="str">
        <f>IFERROR(VLOOKUP(B2586,'211'!$B$2:$D$116,3,FALSE),"")</f>
        <v/>
      </c>
      <c r="H2586" s="32" t="str">
        <f>IFERROR(VLOOKUP(B2586,双一流!$B$2:$D$148,3,FALSE),"")</f>
        <v/>
      </c>
      <c r="I2586" s="32" t="str">
        <f>IFERROR(VLOOKUP(B2586,汇总!$B$2:$I$2921,8,FALSE),"")</f>
        <v>综合</v>
      </c>
      <c r="J2586" s="34" t="s">
        <v>1700</v>
      </c>
      <c r="K2586" s="34" t="s">
        <v>1252</v>
      </c>
    </row>
    <row r="2587" ht="33.75" spans="1:11">
      <c r="A2587" s="34">
        <v>2586</v>
      </c>
      <c r="B2587" s="29" t="s">
        <v>2968</v>
      </c>
      <c r="C2587" s="29" t="str">
        <f>VLOOKUP(B2587,教育部大学名单!$B$1:$D$2920,3,FALSE)</f>
        <v>江苏省教育厅</v>
      </c>
      <c r="D2587" s="29" t="s">
        <v>379</v>
      </c>
      <c r="E2587" s="29" t="s">
        <v>396</v>
      </c>
      <c r="F2587" s="36" t="str">
        <f>IFERROR(VLOOKUP(B2587,'985'!$B$2:$D$40,3,FALSE),"")</f>
        <v/>
      </c>
      <c r="G2587" s="32" t="str">
        <f>IFERROR(VLOOKUP(B2587,'211'!$B$2:$D$116,3,FALSE),"")</f>
        <v/>
      </c>
      <c r="H2587" s="32" t="str">
        <f>IFERROR(VLOOKUP(B2587,双一流!$B$2:$D$148,3,FALSE),"")</f>
        <v/>
      </c>
      <c r="I2587" s="32" t="str">
        <f>IFERROR(VLOOKUP(B2587,汇总!$B$2:$I$2921,8,FALSE),"")</f>
        <v>艺术</v>
      </c>
      <c r="J2587" s="29" t="s">
        <v>1700</v>
      </c>
      <c r="K2587" s="29" t="s">
        <v>1252</v>
      </c>
    </row>
    <row r="2588" ht="33.75" spans="1:11">
      <c r="A2588" s="29">
        <v>2587</v>
      </c>
      <c r="B2588" s="34" t="s">
        <v>2969</v>
      </c>
      <c r="C2588" s="29" t="str">
        <f>VLOOKUP(B2588,教育部大学名单!$B$1:$D$2920,3,FALSE)</f>
        <v>江苏省教育厅</v>
      </c>
      <c r="D2588" s="34" t="s">
        <v>379</v>
      </c>
      <c r="E2588" s="34" t="s">
        <v>380</v>
      </c>
      <c r="F2588" s="36" t="str">
        <f>IFERROR(VLOOKUP(B2588,'985'!$B$2:$D$40,3,FALSE),"")</f>
        <v/>
      </c>
      <c r="G2588" s="32" t="str">
        <f>IFERROR(VLOOKUP(B2588,'211'!$B$2:$D$116,3,FALSE),"")</f>
        <v/>
      </c>
      <c r="H2588" s="32" t="str">
        <f>IFERROR(VLOOKUP(B2588,双一流!$B$2:$D$148,3,FALSE),"")</f>
        <v/>
      </c>
      <c r="I2588" s="32">
        <f>IFERROR(VLOOKUP(B2588,汇总!$B$2:$I$2921,8,FALSE),"")</f>
        <v>0</v>
      </c>
      <c r="J2588" s="34" t="s">
        <v>1700</v>
      </c>
      <c r="K2588" s="34" t="s">
        <v>1252</v>
      </c>
    </row>
    <row r="2589" ht="33.75" spans="1:11">
      <c r="A2589" s="34">
        <v>2588</v>
      </c>
      <c r="B2589" s="29" t="s">
        <v>2970</v>
      </c>
      <c r="C2589" s="29" t="str">
        <f>VLOOKUP(B2589,教育部大学名单!$B$1:$D$2920,3,FALSE)</f>
        <v>江苏省教育厅</v>
      </c>
      <c r="D2589" s="29" t="s">
        <v>379</v>
      </c>
      <c r="E2589" s="29" t="s">
        <v>392</v>
      </c>
      <c r="F2589" s="36" t="str">
        <f>IFERROR(VLOOKUP(B2589,'985'!$B$2:$D$40,3,FALSE),"")</f>
        <v/>
      </c>
      <c r="G2589" s="32" t="str">
        <f>IFERROR(VLOOKUP(B2589,'211'!$B$2:$D$116,3,FALSE),"")</f>
        <v/>
      </c>
      <c r="H2589" s="32" t="str">
        <f>IFERROR(VLOOKUP(B2589,双一流!$B$2:$D$148,3,FALSE),"")</f>
        <v/>
      </c>
      <c r="I2589" s="32">
        <f>IFERROR(VLOOKUP(B2589,汇总!$B$2:$I$2921,8,FALSE),"")</f>
        <v>0</v>
      </c>
      <c r="J2589" s="29" t="s">
        <v>1700</v>
      </c>
      <c r="K2589" s="29" t="s">
        <v>1252</v>
      </c>
    </row>
    <row r="2590" ht="33.75" spans="1:11">
      <c r="A2590" s="29">
        <v>2589</v>
      </c>
      <c r="B2590" s="34" t="s">
        <v>2971</v>
      </c>
      <c r="C2590" s="29" t="str">
        <f>VLOOKUP(B2590,教育部大学名单!$B$1:$D$2920,3,FALSE)</f>
        <v>江苏省教育厅</v>
      </c>
      <c r="D2590" s="34" t="s">
        <v>379</v>
      </c>
      <c r="E2590" s="34" t="s">
        <v>424</v>
      </c>
      <c r="F2590" s="36" t="str">
        <f>IFERROR(VLOOKUP(B2590,'985'!$B$2:$D$40,3,FALSE),"")</f>
        <v/>
      </c>
      <c r="G2590" s="32" t="str">
        <f>IFERROR(VLOOKUP(B2590,'211'!$B$2:$D$116,3,FALSE),"")</f>
        <v/>
      </c>
      <c r="H2590" s="32" t="str">
        <f>IFERROR(VLOOKUP(B2590,双一流!$B$2:$D$148,3,FALSE),"")</f>
        <v/>
      </c>
      <c r="I2590" s="32">
        <f>IFERROR(VLOOKUP(B2590,汇总!$B$2:$I$2921,8,FALSE),"")</f>
        <v>0</v>
      </c>
      <c r="J2590" s="34" t="s">
        <v>1700</v>
      </c>
      <c r="K2590" s="34" t="s">
        <v>1252</v>
      </c>
    </row>
    <row r="2591" ht="33.75" spans="1:11">
      <c r="A2591" s="34">
        <v>2590</v>
      </c>
      <c r="B2591" s="29" t="s">
        <v>2972</v>
      </c>
      <c r="C2591" s="29" t="str">
        <f>VLOOKUP(B2591,教育部大学名单!$B$1:$D$2920,3,FALSE)</f>
        <v>江苏省教育厅</v>
      </c>
      <c r="D2591" s="29" t="s">
        <v>379</v>
      </c>
      <c r="E2591" s="29" t="s">
        <v>387</v>
      </c>
      <c r="F2591" s="36" t="str">
        <f>IFERROR(VLOOKUP(B2591,'985'!$B$2:$D$40,3,FALSE),"")</f>
        <v/>
      </c>
      <c r="G2591" s="32" t="str">
        <f>IFERROR(VLOOKUP(B2591,'211'!$B$2:$D$116,3,FALSE),"")</f>
        <v/>
      </c>
      <c r="H2591" s="32" t="str">
        <f>IFERROR(VLOOKUP(B2591,双一流!$B$2:$D$148,3,FALSE),"")</f>
        <v/>
      </c>
      <c r="I2591" s="32">
        <f>IFERROR(VLOOKUP(B2591,汇总!$B$2:$I$2921,8,FALSE),"")</f>
        <v>0</v>
      </c>
      <c r="J2591" s="29" t="s">
        <v>1700</v>
      </c>
      <c r="K2591" s="29" t="s">
        <v>1252</v>
      </c>
    </row>
    <row r="2592" ht="33.75" spans="1:11">
      <c r="A2592" s="29">
        <v>2591</v>
      </c>
      <c r="B2592" s="34" t="s">
        <v>2973</v>
      </c>
      <c r="C2592" s="29" t="str">
        <f>VLOOKUP(B2592,教育部大学名单!$B$1:$D$2920,3,FALSE)</f>
        <v>江苏省教育厅</v>
      </c>
      <c r="D2592" s="34" t="s">
        <v>379</v>
      </c>
      <c r="E2592" s="34" t="s">
        <v>382</v>
      </c>
      <c r="F2592" s="36" t="str">
        <f>IFERROR(VLOOKUP(B2592,'985'!$B$2:$D$40,3,FALSE),"")</f>
        <v/>
      </c>
      <c r="G2592" s="32" t="str">
        <f>IFERROR(VLOOKUP(B2592,'211'!$B$2:$D$116,3,FALSE),"")</f>
        <v/>
      </c>
      <c r="H2592" s="32" t="str">
        <f>IFERROR(VLOOKUP(B2592,双一流!$B$2:$D$148,3,FALSE),"")</f>
        <v/>
      </c>
      <c r="I2592" s="32">
        <f>IFERROR(VLOOKUP(B2592,汇总!$B$2:$I$2921,8,FALSE),"")</f>
        <v>0</v>
      </c>
      <c r="J2592" s="34" t="s">
        <v>1700</v>
      </c>
      <c r="K2592" s="34" t="s">
        <v>1252</v>
      </c>
    </row>
    <row r="2593" ht="33.75" spans="1:11">
      <c r="A2593" s="34">
        <v>2592</v>
      </c>
      <c r="B2593" s="29" t="s">
        <v>2974</v>
      </c>
      <c r="C2593" s="29" t="str">
        <f>VLOOKUP(B2593,教育部大学名单!$B$1:$D$2920,3,FALSE)</f>
        <v>江苏省教育厅</v>
      </c>
      <c r="D2593" s="29" t="s">
        <v>379</v>
      </c>
      <c r="E2593" s="29" t="s">
        <v>380</v>
      </c>
      <c r="F2593" s="36" t="str">
        <f>IFERROR(VLOOKUP(B2593,'985'!$B$2:$D$40,3,FALSE),"")</f>
        <v/>
      </c>
      <c r="G2593" s="32" t="str">
        <f>IFERROR(VLOOKUP(B2593,'211'!$B$2:$D$116,3,FALSE),"")</f>
        <v/>
      </c>
      <c r="H2593" s="32" t="str">
        <f>IFERROR(VLOOKUP(B2593,双一流!$B$2:$D$148,3,FALSE),"")</f>
        <v/>
      </c>
      <c r="I2593" s="32" t="str">
        <f>IFERROR(VLOOKUP(B2593,汇总!$B$2:$I$2921,8,FALSE),"")</f>
        <v>艺术</v>
      </c>
      <c r="J2593" s="29" t="s">
        <v>1700</v>
      </c>
      <c r="K2593" s="29" t="s">
        <v>1252</v>
      </c>
    </row>
    <row r="2594" ht="33.75" spans="1:11">
      <c r="A2594" s="29">
        <v>2593</v>
      </c>
      <c r="B2594" s="34" t="s">
        <v>2975</v>
      </c>
      <c r="C2594" s="29" t="str">
        <f>VLOOKUP(B2594,教育部大学名单!$B$1:$D$2920,3,FALSE)</f>
        <v>江苏省教育厅</v>
      </c>
      <c r="D2594" s="34" t="s">
        <v>379</v>
      </c>
      <c r="E2594" s="34" t="s">
        <v>382</v>
      </c>
      <c r="F2594" s="36" t="str">
        <f>IFERROR(VLOOKUP(B2594,'985'!$B$2:$D$40,3,FALSE),"")</f>
        <v/>
      </c>
      <c r="G2594" s="32" t="str">
        <f>IFERROR(VLOOKUP(B2594,'211'!$B$2:$D$116,3,FALSE),"")</f>
        <v/>
      </c>
      <c r="H2594" s="32" t="str">
        <f>IFERROR(VLOOKUP(B2594,双一流!$B$2:$D$148,3,FALSE),"")</f>
        <v/>
      </c>
      <c r="I2594" s="32">
        <f>IFERROR(VLOOKUP(B2594,汇总!$B$2:$I$2921,8,FALSE),"")</f>
        <v>0</v>
      </c>
      <c r="J2594" s="34" t="s">
        <v>1700</v>
      </c>
      <c r="K2594" s="34" t="s">
        <v>1252</v>
      </c>
    </row>
    <row r="2595" ht="33.75" spans="1:11">
      <c r="A2595" s="34">
        <v>2594</v>
      </c>
      <c r="B2595" s="29" t="s">
        <v>2976</v>
      </c>
      <c r="C2595" s="29" t="str">
        <f>VLOOKUP(B2595,教育部大学名单!$B$1:$D$2920,3,FALSE)</f>
        <v>江苏省教育厅</v>
      </c>
      <c r="D2595" s="29" t="s">
        <v>379</v>
      </c>
      <c r="E2595" s="29" t="s">
        <v>440</v>
      </c>
      <c r="F2595" s="36" t="str">
        <f>IFERROR(VLOOKUP(B2595,'985'!$B$2:$D$40,3,FALSE),"")</f>
        <v/>
      </c>
      <c r="G2595" s="32" t="str">
        <f>IFERROR(VLOOKUP(B2595,'211'!$B$2:$D$116,3,FALSE),"")</f>
        <v/>
      </c>
      <c r="H2595" s="32" t="str">
        <f>IFERROR(VLOOKUP(B2595,双一流!$B$2:$D$148,3,FALSE),"")</f>
        <v/>
      </c>
      <c r="I2595" s="32">
        <f>IFERROR(VLOOKUP(B2595,汇总!$B$2:$I$2921,8,FALSE),"")</f>
        <v>0</v>
      </c>
      <c r="J2595" s="29" t="s">
        <v>1700</v>
      </c>
      <c r="K2595" s="29" t="s">
        <v>1252</v>
      </c>
    </row>
    <row r="2596" ht="33.75" spans="1:11">
      <c r="A2596" s="29">
        <v>2595</v>
      </c>
      <c r="B2596" s="34" t="s">
        <v>2977</v>
      </c>
      <c r="C2596" s="29" t="str">
        <f>VLOOKUP(B2596,教育部大学名单!$B$1:$D$2920,3,FALSE)</f>
        <v>江苏省教育厅</v>
      </c>
      <c r="D2596" s="34" t="s">
        <v>379</v>
      </c>
      <c r="E2596" s="34" t="s">
        <v>424</v>
      </c>
      <c r="F2596" s="36" t="str">
        <f>IFERROR(VLOOKUP(B2596,'985'!$B$2:$D$40,3,FALSE),"")</f>
        <v/>
      </c>
      <c r="G2596" s="32" t="str">
        <f>IFERROR(VLOOKUP(B2596,'211'!$B$2:$D$116,3,FALSE),"")</f>
        <v/>
      </c>
      <c r="H2596" s="32" t="str">
        <f>IFERROR(VLOOKUP(B2596,双一流!$B$2:$D$148,3,FALSE),"")</f>
        <v/>
      </c>
      <c r="I2596" s="32">
        <f>IFERROR(VLOOKUP(B2596,汇总!$B$2:$I$2921,8,FALSE),"")</f>
        <v>0</v>
      </c>
      <c r="J2596" s="34" t="s">
        <v>1700</v>
      </c>
      <c r="K2596" s="34" t="s">
        <v>1252</v>
      </c>
    </row>
    <row r="2597" ht="33.75" spans="1:11">
      <c r="A2597" s="34">
        <v>2596</v>
      </c>
      <c r="B2597" s="29" t="s">
        <v>2978</v>
      </c>
      <c r="C2597" s="29" t="str">
        <f>VLOOKUP(B2597,教育部大学名单!$B$1:$D$2920,3,FALSE)</f>
        <v>浙江省教育厅</v>
      </c>
      <c r="D2597" s="29" t="s">
        <v>448</v>
      </c>
      <c r="E2597" s="29" t="s">
        <v>449</v>
      </c>
      <c r="F2597" s="36" t="str">
        <f>IFERROR(VLOOKUP(B2597,'985'!$B$2:$D$40,3,FALSE),"")</f>
        <v/>
      </c>
      <c r="G2597" s="32" t="str">
        <f>IFERROR(VLOOKUP(B2597,'211'!$B$2:$D$116,3,FALSE),"")</f>
        <v/>
      </c>
      <c r="H2597" s="32" t="str">
        <f>IFERROR(VLOOKUP(B2597,双一流!$B$2:$D$148,3,FALSE),"")</f>
        <v/>
      </c>
      <c r="I2597" s="32">
        <f>IFERROR(VLOOKUP(B2597,汇总!$B$2:$I$2921,8,FALSE),"")</f>
        <v>0</v>
      </c>
      <c r="J2597" s="29" t="s">
        <v>1700</v>
      </c>
      <c r="K2597" s="29" t="s">
        <v>1252</v>
      </c>
    </row>
    <row r="2598" ht="33.75" spans="1:11">
      <c r="A2598" s="29">
        <v>2597</v>
      </c>
      <c r="B2598" s="34" t="s">
        <v>2979</v>
      </c>
      <c r="C2598" s="29" t="str">
        <f>VLOOKUP(B2598,教育部大学名单!$B$1:$D$2920,3,FALSE)</f>
        <v>浙江省教育厅</v>
      </c>
      <c r="D2598" s="34" t="s">
        <v>448</v>
      </c>
      <c r="E2598" s="34" t="s">
        <v>465</v>
      </c>
      <c r="F2598" s="36" t="str">
        <f>IFERROR(VLOOKUP(B2598,'985'!$B$2:$D$40,3,FALSE),"")</f>
        <v/>
      </c>
      <c r="G2598" s="32" t="str">
        <f>IFERROR(VLOOKUP(B2598,'211'!$B$2:$D$116,3,FALSE),"")</f>
        <v/>
      </c>
      <c r="H2598" s="32" t="str">
        <f>IFERROR(VLOOKUP(B2598,双一流!$B$2:$D$148,3,FALSE),"")</f>
        <v/>
      </c>
      <c r="I2598" s="32" t="str">
        <f>IFERROR(VLOOKUP(B2598,汇总!$B$2:$I$2921,8,FALSE),"")</f>
        <v>综合</v>
      </c>
      <c r="J2598" s="34" t="s">
        <v>1700</v>
      </c>
      <c r="K2598" s="34" t="s">
        <v>1252</v>
      </c>
    </row>
    <row r="2599" ht="33.75" spans="1:11">
      <c r="A2599" s="34">
        <v>2598</v>
      </c>
      <c r="B2599" s="29" t="s">
        <v>2980</v>
      </c>
      <c r="C2599" s="29" t="str">
        <f>VLOOKUP(B2599,教育部大学名单!$B$1:$D$2920,3,FALSE)</f>
        <v>浙江省教育厅</v>
      </c>
      <c r="D2599" s="29" t="s">
        <v>448</v>
      </c>
      <c r="E2599" s="29" t="s">
        <v>457</v>
      </c>
      <c r="F2599" s="36" t="str">
        <f>IFERROR(VLOOKUP(B2599,'985'!$B$2:$D$40,3,FALSE),"")</f>
        <v/>
      </c>
      <c r="G2599" s="32" t="str">
        <f>IFERROR(VLOOKUP(B2599,'211'!$B$2:$D$116,3,FALSE),"")</f>
        <v/>
      </c>
      <c r="H2599" s="32" t="str">
        <f>IFERROR(VLOOKUP(B2599,双一流!$B$2:$D$148,3,FALSE),"")</f>
        <v/>
      </c>
      <c r="I2599" s="32" t="str">
        <f>IFERROR(VLOOKUP(B2599,汇总!$B$2:$I$2921,8,FALSE),"")</f>
        <v>综合</v>
      </c>
      <c r="J2599" s="29" t="s">
        <v>1700</v>
      </c>
      <c r="K2599" s="29" t="s">
        <v>1252</v>
      </c>
    </row>
    <row r="2600" ht="33.75" spans="1:11">
      <c r="A2600" s="29">
        <v>2599</v>
      </c>
      <c r="B2600" s="34" t="s">
        <v>2981</v>
      </c>
      <c r="C2600" s="29" t="str">
        <f>VLOOKUP(B2600,教育部大学名单!$B$1:$D$2920,3,FALSE)</f>
        <v>浙江省教育厅</v>
      </c>
      <c r="D2600" s="34" t="s">
        <v>448</v>
      </c>
      <c r="E2600" s="34" t="s">
        <v>449</v>
      </c>
      <c r="F2600" s="36" t="str">
        <f>IFERROR(VLOOKUP(B2600,'985'!$B$2:$D$40,3,FALSE),"")</f>
        <v/>
      </c>
      <c r="G2600" s="32" t="str">
        <f>IFERROR(VLOOKUP(B2600,'211'!$B$2:$D$116,3,FALSE),"")</f>
        <v/>
      </c>
      <c r="H2600" s="32" t="str">
        <f>IFERROR(VLOOKUP(B2600,双一流!$B$2:$D$148,3,FALSE),"")</f>
        <v/>
      </c>
      <c r="I2600" s="32">
        <f>IFERROR(VLOOKUP(B2600,汇总!$B$2:$I$2921,8,FALSE),"")</f>
        <v>0</v>
      </c>
      <c r="J2600" s="34" t="s">
        <v>1700</v>
      </c>
      <c r="K2600" s="34" t="s">
        <v>1252</v>
      </c>
    </row>
    <row r="2601" ht="33.75" spans="1:11">
      <c r="A2601" s="34">
        <v>2600</v>
      </c>
      <c r="B2601" s="29" t="s">
        <v>2982</v>
      </c>
      <c r="C2601" s="29" t="str">
        <f>VLOOKUP(B2601,教育部大学名单!$B$1:$D$2920,3,FALSE)</f>
        <v>浙江省教育厅</v>
      </c>
      <c r="D2601" s="29" t="s">
        <v>448</v>
      </c>
      <c r="E2601" s="29" t="s">
        <v>473</v>
      </c>
      <c r="F2601" s="36" t="str">
        <f>IFERROR(VLOOKUP(B2601,'985'!$B$2:$D$40,3,FALSE),"")</f>
        <v/>
      </c>
      <c r="G2601" s="32" t="str">
        <f>IFERROR(VLOOKUP(B2601,'211'!$B$2:$D$116,3,FALSE),"")</f>
        <v/>
      </c>
      <c r="H2601" s="32" t="str">
        <f>IFERROR(VLOOKUP(B2601,双一流!$B$2:$D$148,3,FALSE),"")</f>
        <v/>
      </c>
      <c r="I2601" s="32" t="str">
        <f>IFERROR(VLOOKUP(B2601,汇总!$B$2:$I$2921,8,FALSE),"")</f>
        <v>综合</v>
      </c>
      <c r="J2601" s="29" t="s">
        <v>1700</v>
      </c>
      <c r="K2601" s="29" t="s">
        <v>1252</v>
      </c>
    </row>
    <row r="2602" ht="33.75" spans="1:11">
      <c r="A2602" s="29">
        <v>2601</v>
      </c>
      <c r="B2602" s="34" t="s">
        <v>2983</v>
      </c>
      <c r="C2602" s="29" t="str">
        <f>VLOOKUP(B2602,教育部大学名单!$B$1:$D$2920,3,FALSE)</f>
        <v>浙江省教育厅</v>
      </c>
      <c r="D2602" s="34" t="s">
        <v>448</v>
      </c>
      <c r="E2602" s="34" t="s">
        <v>449</v>
      </c>
      <c r="F2602" s="36" t="str">
        <f>IFERROR(VLOOKUP(B2602,'985'!$B$2:$D$40,3,FALSE),"")</f>
        <v/>
      </c>
      <c r="G2602" s="32" t="str">
        <f>IFERROR(VLOOKUP(B2602,'211'!$B$2:$D$116,3,FALSE),"")</f>
        <v/>
      </c>
      <c r="H2602" s="32" t="str">
        <f>IFERROR(VLOOKUP(B2602,双一流!$B$2:$D$148,3,FALSE),"")</f>
        <v/>
      </c>
      <c r="I2602" s="32">
        <f>IFERROR(VLOOKUP(B2602,汇总!$B$2:$I$2921,8,FALSE),"")</f>
        <v>0</v>
      </c>
      <c r="J2602" s="34" t="s">
        <v>1700</v>
      </c>
      <c r="K2602" s="34" t="s">
        <v>1252</v>
      </c>
    </row>
    <row r="2603" ht="33.75" spans="1:11">
      <c r="A2603" s="34">
        <v>2602</v>
      </c>
      <c r="B2603" s="29" t="s">
        <v>2984</v>
      </c>
      <c r="C2603" s="29" t="str">
        <f>VLOOKUP(B2603,教育部大学名单!$B$1:$D$2920,3,FALSE)</f>
        <v>浙江省教育厅</v>
      </c>
      <c r="D2603" s="29" t="s">
        <v>448</v>
      </c>
      <c r="E2603" s="29" t="s">
        <v>467</v>
      </c>
      <c r="F2603" s="36" t="str">
        <f>IFERROR(VLOOKUP(B2603,'985'!$B$2:$D$40,3,FALSE),"")</f>
        <v/>
      </c>
      <c r="G2603" s="32" t="str">
        <f>IFERROR(VLOOKUP(B2603,'211'!$B$2:$D$116,3,FALSE),"")</f>
        <v/>
      </c>
      <c r="H2603" s="32" t="str">
        <f>IFERROR(VLOOKUP(B2603,双一流!$B$2:$D$148,3,FALSE),"")</f>
        <v/>
      </c>
      <c r="I2603" s="32">
        <f>IFERROR(VLOOKUP(B2603,汇总!$B$2:$I$2921,8,FALSE),"")</f>
        <v>0</v>
      </c>
      <c r="J2603" s="29" t="s">
        <v>1700</v>
      </c>
      <c r="K2603" s="29" t="s">
        <v>1252</v>
      </c>
    </row>
    <row r="2604" ht="33.75" spans="1:11">
      <c r="A2604" s="29">
        <v>2603</v>
      </c>
      <c r="B2604" s="34" t="s">
        <v>2985</v>
      </c>
      <c r="C2604" s="29" t="str">
        <f>VLOOKUP(B2604,教育部大学名单!$B$1:$D$2920,3,FALSE)</f>
        <v>浙江省教育厅</v>
      </c>
      <c r="D2604" s="34" t="s">
        <v>448</v>
      </c>
      <c r="E2604" s="34" t="s">
        <v>460</v>
      </c>
      <c r="F2604" s="36" t="str">
        <f>IFERROR(VLOOKUP(B2604,'985'!$B$2:$D$40,3,FALSE),"")</f>
        <v/>
      </c>
      <c r="G2604" s="32" t="str">
        <f>IFERROR(VLOOKUP(B2604,'211'!$B$2:$D$116,3,FALSE),"")</f>
        <v/>
      </c>
      <c r="H2604" s="32" t="str">
        <f>IFERROR(VLOOKUP(B2604,双一流!$B$2:$D$148,3,FALSE),"")</f>
        <v/>
      </c>
      <c r="I2604" s="32">
        <f>IFERROR(VLOOKUP(B2604,汇总!$B$2:$I$2921,8,FALSE),"")</f>
        <v>0</v>
      </c>
      <c r="J2604" s="34" t="s">
        <v>1700</v>
      </c>
      <c r="K2604" s="34" t="s">
        <v>1252</v>
      </c>
    </row>
    <row r="2605" ht="33.75" spans="1:11">
      <c r="A2605" s="34">
        <v>2604</v>
      </c>
      <c r="B2605" s="29" t="s">
        <v>2986</v>
      </c>
      <c r="C2605" s="29" t="str">
        <f>VLOOKUP(B2605,教育部大学名单!$B$1:$D$2920,3,FALSE)</f>
        <v>浙江省教育厅</v>
      </c>
      <c r="D2605" s="29" t="s">
        <v>448</v>
      </c>
      <c r="E2605" s="29" t="s">
        <v>463</v>
      </c>
      <c r="F2605" s="36" t="str">
        <f>IFERROR(VLOOKUP(B2605,'985'!$B$2:$D$40,3,FALSE),"")</f>
        <v/>
      </c>
      <c r="G2605" s="32" t="str">
        <f>IFERROR(VLOOKUP(B2605,'211'!$B$2:$D$116,3,FALSE),"")</f>
        <v/>
      </c>
      <c r="H2605" s="32" t="str">
        <f>IFERROR(VLOOKUP(B2605,双一流!$B$2:$D$148,3,FALSE),"")</f>
        <v/>
      </c>
      <c r="I2605" s="32">
        <f>IFERROR(VLOOKUP(B2605,汇总!$B$2:$I$2921,8,FALSE),"")</f>
        <v>0</v>
      </c>
      <c r="J2605" s="29" t="s">
        <v>1700</v>
      </c>
      <c r="K2605" s="29" t="s">
        <v>1252</v>
      </c>
    </row>
    <row r="2606" ht="50.25" spans="1:11">
      <c r="A2606" s="29">
        <v>2605</v>
      </c>
      <c r="B2606" s="34" t="s">
        <v>2987</v>
      </c>
      <c r="C2606" s="29" t="str">
        <f>VLOOKUP(B2606,教育部大学名单!$B$1:$D$2920,3,FALSE)</f>
        <v>浙江省教育厅</v>
      </c>
      <c r="D2606" s="34" t="s">
        <v>448</v>
      </c>
      <c r="E2606" s="34" t="s">
        <v>460</v>
      </c>
      <c r="F2606" s="36" t="str">
        <f>IFERROR(VLOOKUP(B2606,'985'!$B$2:$D$40,3,FALSE),"")</f>
        <v/>
      </c>
      <c r="G2606" s="32" t="str">
        <f>IFERROR(VLOOKUP(B2606,'211'!$B$2:$D$116,3,FALSE),"")</f>
        <v/>
      </c>
      <c r="H2606" s="32" t="str">
        <f>IFERROR(VLOOKUP(B2606,双一流!$B$2:$D$148,3,FALSE),"")</f>
        <v/>
      </c>
      <c r="I2606" s="32">
        <f>IFERROR(VLOOKUP(B2606,汇总!$B$2:$I$2921,8,FALSE),"")</f>
        <v>0</v>
      </c>
      <c r="J2606" s="34" t="s">
        <v>1700</v>
      </c>
      <c r="K2606" s="34" t="s">
        <v>1252</v>
      </c>
    </row>
    <row r="2607" ht="33.75" spans="1:11">
      <c r="A2607" s="34">
        <v>2606</v>
      </c>
      <c r="B2607" s="29" t="s">
        <v>2988</v>
      </c>
      <c r="C2607" s="29" t="str">
        <f>VLOOKUP(B2607,教育部大学名单!$B$1:$D$2920,3,FALSE)</f>
        <v>安徽省教育厅</v>
      </c>
      <c r="D2607" s="29" t="s">
        <v>502</v>
      </c>
      <c r="E2607" s="29" t="s">
        <v>503</v>
      </c>
      <c r="F2607" s="36" t="str">
        <f>IFERROR(VLOOKUP(B2607,'985'!$B$2:$D$40,3,FALSE),"")</f>
        <v/>
      </c>
      <c r="G2607" s="32" t="str">
        <f>IFERROR(VLOOKUP(B2607,'211'!$B$2:$D$116,3,FALSE),"")</f>
        <v/>
      </c>
      <c r="H2607" s="32" t="str">
        <f>IFERROR(VLOOKUP(B2607,双一流!$B$2:$D$148,3,FALSE),"")</f>
        <v/>
      </c>
      <c r="I2607" s="32">
        <f>IFERROR(VLOOKUP(B2607,汇总!$B$2:$I$2921,8,FALSE),"")</f>
        <v>0</v>
      </c>
      <c r="J2607" s="29" t="s">
        <v>1700</v>
      </c>
      <c r="K2607" s="29" t="s">
        <v>1252</v>
      </c>
    </row>
    <row r="2608" ht="50.25" spans="1:11">
      <c r="A2608" s="29">
        <v>2607</v>
      </c>
      <c r="B2608" s="34" t="s">
        <v>2989</v>
      </c>
      <c r="C2608" s="29" t="str">
        <f>VLOOKUP(B2608,教育部大学名单!$B$1:$D$2920,3,FALSE)</f>
        <v>安徽省教育厅</v>
      </c>
      <c r="D2608" s="34" t="s">
        <v>502</v>
      </c>
      <c r="E2608" s="34" t="s">
        <v>503</v>
      </c>
      <c r="F2608" s="36" t="str">
        <f>IFERROR(VLOOKUP(B2608,'985'!$B$2:$D$40,3,FALSE),"")</f>
        <v/>
      </c>
      <c r="G2608" s="32" t="str">
        <f>IFERROR(VLOOKUP(B2608,'211'!$B$2:$D$116,3,FALSE),"")</f>
        <v/>
      </c>
      <c r="H2608" s="32" t="str">
        <f>IFERROR(VLOOKUP(B2608,双一流!$B$2:$D$148,3,FALSE),"")</f>
        <v/>
      </c>
      <c r="I2608" s="32" t="str">
        <f>IFERROR(VLOOKUP(B2608,汇总!$B$2:$I$2921,8,FALSE),"")</f>
        <v>财经</v>
      </c>
      <c r="J2608" s="34" t="s">
        <v>1700</v>
      </c>
      <c r="K2608" s="34" t="s">
        <v>1252</v>
      </c>
    </row>
    <row r="2609" ht="50.25" spans="1:11">
      <c r="A2609" s="34">
        <v>2608</v>
      </c>
      <c r="B2609" s="29" t="s">
        <v>2990</v>
      </c>
      <c r="C2609" s="29" t="str">
        <f>VLOOKUP(B2609,教育部大学名单!$B$1:$D$2920,3,FALSE)</f>
        <v>安徽省教育厅</v>
      </c>
      <c r="D2609" s="29" t="s">
        <v>502</v>
      </c>
      <c r="E2609" s="29" t="s">
        <v>503</v>
      </c>
      <c r="F2609" s="36" t="str">
        <f>IFERROR(VLOOKUP(B2609,'985'!$B$2:$D$40,3,FALSE),"")</f>
        <v/>
      </c>
      <c r="G2609" s="32" t="str">
        <f>IFERROR(VLOOKUP(B2609,'211'!$B$2:$D$116,3,FALSE),"")</f>
        <v/>
      </c>
      <c r="H2609" s="32" t="str">
        <f>IFERROR(VLOOKUP(B2609,双一流!$B$2:$D$148,3,FALSE),"")</f>
        <v/>
      </c>
      <c r="I2609" s="32">
        <f>IFERROR(VLOOKUP(B2609,汇总!$B$2:$I$2921,8,FALSE),"")</f>
        <v>0</v>
      </c>
      <c r="J2609" s="29" t="s">
        <v>1700</v>
      </c>
      <c r="K2609" s="29" t="s">
        <v>1252</v>
      </c>
    </row>
    <row r="2610" ht="33.75" spans="1:11">
      <c r="A2610" s="29">
        <v>2609</v>
      </c>
      <c r="B2610" s="34" t="s">
        <v>2991</v>
      </c>
      <c r="C2610" s="29" t="str">
        <f>VLOOKUP(B2610,教育部大学名单!$B$1:$D$2920,3,FALSE)</f>
        <v>安徽省教育厅</v>
      </c>
      <c r="D2610" s="34" t="s">
        <v>502</v>
      </c>
      <c r="E2610" s="34" t="s">
        <v>520</v>
      </c>
      <c r="F2610" s="36" t="str">
        <f>IFERROR(VLOOKUP(B2610,'985'!$B$2:$D$40,3,FALSE),"")</f>
        <v/>
      </c>
      <c r="G2610" s="32" t="str">
        <f>IFERROR(VLOOKUP(B2610,'211'!$B$2:$D$116,3,FALSE),"")</f>
        <v/>
      </c>
      <c r="H2610" s="32" t="str">
        <f>IFERROR(VLOOKUP(B2610,双一流!$B$2:$D$148,3,FALSE),"")</f>
        <v/>
      </c>
      <c r="I2610" s="32">
        <f>IFERROR(VLOOKUP(B2610,汇总!$B$2:$I$2921,8,FALSE),"")</f>
        <v>0</v>
      </c>
      <c r="J2610" s="34" t="s">
        <v>1700</v>
      </c>
      <c r="K2610" s="34" t="s">
        <v>1252</v>
      </c>
    </row>
    <row r="2611" ht="33.75" spans="1:11">
      <c r="A2611" s="34">
        <v>2610</v>
      </c>
      <c r="B2611" s="29" t="s">
        <v>2992</v>
      </c>
      <c r="C2611" s="29" t="str">
        <f>VLOOKUP(B2611,教育部大学名单!$B$1:$D$2920,3,FALSE)</f>
        <v>安徽省教育厅</v>
      </c>
      <c r="D2611" s="29" t="s">
        <v>502</v>
      </c>
      <c r="E2611" s="29" t="s">
        <v>503</v>
      </c>
      <c r="F2611" s="36" t="str">
        <f>IFERROR(VLOOKUP(B2611,'985'!$B$2:$D$40,3,FALSE),"")</f>
        <v/>
      </c>
      <c r="G2611" s="32" t="str">
        <f>IFERROR(VLOOKUP(B2611,'211'!$B$2:$D$116,3,FALSE),"")</f>
        <v/>
      </c>
      <c r="H2611" s="32" t="str">
        <f>IFERROR(VLOOKUP(B2611,双一流!$B$2:$D$148,3,FALSE),"")</f>
        <v/>
      </c>
      <c r="I2611" s="32" t="str">
        <f>IFERROR(VLOOKUP(B2611,汇总!$B$2:$I$2921,8,FALSE),"")</f>
        <v>财经</v>
      </c>
      <c r="J2611" s="29" t="s">
        <v>1700</v>
      </c>
      <c r="K2611" s="29" t="s">
        <v>1252</v>
      </c>
    </row>
    <row r="2612" ht="33.75" spans="1:11">
      <c r="A2612" s="29">
        <v>2611</v>
      </c>
      <c r="B2612" s="34" t="s">
        <v>2993</v>
      </c>
      <c r="C2612" s="29" t="str">
        <f>VLOOKUP(B2612,教育部大学名单!$B$1:$D$2920,3,FALSE)</f>
        <v>安徽省教育厅</v>
      </c>
      <c r="D2612" s="34" t="s">
        <v>502</v>
      </c>
      <c r="E2612" s="34" t="s">
        <v>503</v>
      </c>
      <c r="F2612" s="36" t="str">
        <f>IFERROR(VLOOKUP(B2612,'985'!$B$2:$D$40,3,FALSE),"")</f>
        <v/>
      </c>
      <c r="G2612" s="32" t="str">
        <f>IFERROR(VLOOKUP(B2612,'211'!$B$2:$D$116,3,FALSE),"")</f>
        <v/>
      </c>
      <c r="H2612" s="32" t="str">
        <f>IFERROR(VLOOKUP(B2612,双一流!$B$2:$D$148,3,FALSE),"")</f>
        <v/>
      </c>
      <c r="I2612" s="32">
        <f>IFERROR(VLOOKUP(B2612,汇总!$B$2:$I$2921,8,FALSE),"")</f>
        <v>0</v>
      </c>
      <c r="J2612" s="34" t="s">
        <v>1700</v>
      </c>
      <c r="K2612" s="34" t="s">
        <v>1252</v>
      </c>
    </row>
    <row r="2613" ht="33.75" spans="1:11">
      <c r="A2613" s="34">
        <v>2612</v>
      </c>
      <c r="B2613" s="29" t="s">
        <v>2994</v>
      </c>
      <c r="C2613" s="29" t="str">
        <f>VLOOKUP(B2613,教育部大学名单!$B$1:$D$2920,3,FALSE)</f>
        <v>安徽省教育厅</v>
      </c>
      <c r="D2613" s="29" t="s">
        <v>502</v>
      </c>
      <c r="E2613" s="29" t="s">
        <v>503</v>
      </c>
      <c r="F2613" s="36" t="str">
        <f>IFERROR(VLOOKUP(B2613,'985'!$B$2:$D$40,3,FALSE),"")</f>
        <v/>
      </c>
      <c r="G2613" s="32" t="str">
        <f>IFERROR(VLOOKUP(B2613,'211'!$B$2:$D$116,3,FALSE),"")</f>
        <v/>
      </c>
      <c r="H2613" s="32" t="str">
        <f>IFERROR(VLOOKUP(B2613,双一流!$B$2:$D$148,3,FALSE),"")</f>
        <v/>
      </c>
      <c r="I2613" s="32">
        <f>IFERROR(VLOOKUP(B2613,汇总!$B$2:$I$2921,8,FALSE),"")</f>
        <v>0</v>
      </c>
      <c r="J2613" s="29" t="s">
        <v>1700</v>
      </c>
      <c r="K2613" s="29" t="s">
        <v>1252</v>
      </c>
    </row>
    <row r="2614" ht="33.75" spans="1:11">
      <c r="A2614" s="29">
        <v>2613</v>
      </c>
      <c r="B2614" s="34" t="s">
        <v>2995</v>
      </c>
      <c r="C2614" s="29" t="str">
        <f>VLOOKUP(B2614,教育部大学名单!$B$1:$D$2920,3,FALSE)</f>
        <v>安徽省教育厅</v>
      </c>
      <c r="D2614" s="34" t="s">
        <v>502</v>
      </c>
      <c r="E2614" s="34" t="s">
        <v>503</v>
      </c>
      <c r="F2614" s="36" t="str">
        <f>IFERROR(VLOOKUP(B2614,'985'!$B$2:$D$40,3,FALSE),"")</f>
        <v/>
      </c>
      <c r="G2614" s="32" t="str">
        <f>IFERROR(VLOOKUP(B2614,'211'!$B$2:$D$116,3,FALSE),"")</f>
        <v/>
      </c>
      <c r="H2614" s="32" t="str">
        <f>IFERROR(VLOOKUP(B2614,双一流!$B$2:$D$148,3,FALSE),"")</f>
        <v/>
      </c>
      <c r="I2614" s="32">
        <f>IFERROR(VLOOKUP(B2614,汇总!$B$2:$I$2921,8,FALSE),"")</f>
        <v>0</v>
      </c>
      <c r="J2614" s="34" t="s">
        <v>1700</v>
      </c>
      <c r="K2614" s="34" t="s">
        <v>1252</v>
      </c>
    </row>
    <row r="2615" ht="33.75" spans="1:11">
      <c r="A2615" s="34">
        <v>2614</v>
      </c>
      <c r="B2615" s="29" t="s">
        <v>2996</v>
      </c>
      <c r="C2615" s="29" t="str">
        <f>VLOOKUP(B2615,教育部大学名单!$B$1:$D$2920,3,FALSE)</f>
        <v>安徽省教育厅</v>
      </c>
      <c r="D2615" s="29" t="s">
        <v>502</v>
      </c>
      <c r="E2615" s="29" t="s">
        <v>515</v>
      </c>
      <c r="F2615" s="36" t="str">
        <f>IFERROR(VLOOKUP(B2615,'985'!$B$2:$D$40,3,FALSE),"")</f>
        <v/>
      </c>
      <c r="G2615" s="32" t="str">
        <f>IFERROR(VLOOKUP(B2615,'211'!$B$2:$D$116,3,FALSE),"")</f>
        <v/>
      </c>
      <c r="H2615" s="32" t="str">
        <f>IFERROR(VLOOKUP(B2615,双一流!$B$2:$D$148,3,FALSE),"")</f>
        <v/>
      </c>
      <c r="I2615" s="32">
        <f>IFERROR(VLOOKUP(B2615,汇总!$B$2:$I$2921,8,FALSE),"")</f>
        <v>0</v>
      </c>
      <c r="J2615" s="29" t="s">
        <v>1700</v>
      </c>
      <c r="K2615" s="29" t="s">
        <v>1252</v>
      </c>
    </row>
    <row r="2616" ht="33.75" spans="1:11">
      <c r="A2616" s="29">
        <v>2615</v>
      </c>
      <c r="B2616" s="34" t="s">
        <v>2997</v>
      </c>
      <c r="C2616" s="29" t="str">
        <f>VLOOKUP(B2616,教育部大学名单!$B$1:$D$2920,3,FALSE)</f>
        <v>安徽省教育厅</v>
      </c>
      <c r="D2616" s="34" t="s">
        <v>502</v>
      </c>
      <c r="E2616" s="34" t="s">
        <v>520</v>
      </c>
      <c r="F2616" s="36" t="str">
        <f>IFERROR(VLOOKUP(B2616,'985'!$B$2:$D$40,3,FALSE),"")</f>
        <v/>
      </c>
      <c r="G2616" s="32" t="str">
        <f>IFERROR(VLOOKUP(B2616,'211'!$B$2:$D$116,3,FALSE),"")</f>
        <v/>
      </c>
      <c r="H2616" s="32" t="str">
        <f>IFERROR(VLOOKUP(B2616,双一流!$B$2:$D$148,3,FALSE),"")</f>
        <v/>
      </c>
      <c r="I2616" s="32">
        <f>IFERROR(VLOOKUP(B2616,汇总!$B$2:$I$2921,8,FALSE),"")</f>
        <v>0</v>
      </c>
      <c r="J2616" s="34" t="s">
        <v>1700</v>
      </c>
      <c r="K2616" s="34" t="s">
        <v>1252</v>
      </c>
    </row>
    <row r="2617" ht="50.25" spans="1:11">
      <c r="A2617" s="34">
        <v>2616</v>
      </c>
      <c r="B2617" s="29" t="s">
        <v>2998</v>
      </c>
      <c r="C2617" s="29" t="str">
        <f>VLOOKUP(B2617,教育部大学名单!$B$1:$D$2920,3,FALSE)</f>
        <v>安徽省教育厅</v>
      </c>
      <c r="D2617" s="29" t="s">
        <v>502</v>
      </c>
      <c r="E2617" s="29" t="s">
        <v>509</v>
      </c>
      <c r="F2617" s="36" t="str">
        <f>IFERROR(VLOOKUP(B2617,'985'!$B$2:$D$40,3,FALSE),"")</f>
        <v/>
      </c>
      <c r="G2617" s="32" t="str">
        <f>IFERROR(VLOOKUP(B2617,'211'!$B$2:$D$116,3,FALSE),"")</f>
        <v/>
      </c>
      <c r="H2617" s="32" t="str">
        <f>IFERROR(VLOOKUP(B2617,双一流!$B$2:$D$148,3,FALSE),"")</f>
        <v/>
      </c>
      <c r="I2617" s="32">
        <f>IFERROR(VLOOKUP(B2617,汇总!$B$2:$I$2921,8,FALSE),"")</f>
        <v>0</v>
      </c>
      <c r="J2617" s="29" t="s">
        <v>1700</v>
      </c>
      <c r="K2617" s="29" t="s">
        <v>1252</v>
      </c>
    </row>
    <row r="2618" ht="33.75" spans="1:11">
      <c r="A2618" s="29">
        <v>2617</v>
      </c>
      <c r="B2618" s="34" t="s">
        <v>2999</v>
      </c>
      <c r="C2618" s="29" t="str">
        <f>VLOOKUP(B2618,教育部大学名单!$B$1:$D$2920,3,FALSE)</f>
        <v>安徽省教育厅</v>
      </c>
      <c r="D2618" s="34" t="s">
        <v>502</v>
      </c>
      <c r="E2618" s="34" t="s">
        <v>524</v>
      </c>
      <c r="F2618" s="36" t="str">
        <f>IFERROR(VLOOKUP(B2618,'985'!$B$2:$D$40,3,FALSE),"")</f>
        <v/>
      </c>
      <c r="G2618" s="32" t="str">
        <f>IFERROR(VLOOKUP(B2618,'211'!$B$2:$D$116,3,FALSE),"")</f>
        <v/>
      </c>
      <c r="H2618" s="32" t="str">
        <f>IFERROR(VLOOKUP(B2618,双一流!$B$2:$D$148,3,FALSE),"")</f>
        <v/>
      </c>
      <c r="I2618" s="32">
        <f>IFERROR(VLOOKUP(B2618,汇总!$B$2:$I$2921,8,FALSE),"")</f>
        <v>0</v>
      </c>
      <c r="J2618" s="34" t="s">
        <v>1700</v>
      </c>
      <c r="K2618" s="34" t="s">
        <v>1252</v>
      </c>
    </row>
    <row r="2619" ht="33.75" spans="1:11">
      <c r="A2619" s="34">
        <v>2618</v>
      </c>
      <c r="B2619" s="29" t="s">
        <v>3000</v>
      </c>
      <c r="C2619" s="29" t="str">
        <f>VLOOKUP(B2619,教育部大学名单!$B$1:$D$2920,3,FALSE)</f>
        <v>安徽省教育厅</v>
      </c>
      <c r="D2619" s="29" t="s">
        <v>502</v>
      </c>
      <c r="E2619" s="29" t="s">
        <v>503</v>
      </c>
      <c r="F2619" s="36" t="str">
        <f>IFERROR(VLOOKUP(B2619,'985'!$B$2:$D$40,3,FALSE),"")</f>
        <v/>
      </c>
      <c r="G2619" s="32" t="str">
        <f>IFERROR(VLOOKUP(B2619,'211'!$B$2:$D$116,3,FALSE),"")</f>
        <v/>
      </c>
      <c r="H2619" s="32" t="str">
        <f>IFERROR(VLOOKUP(B2619,双一流!$B$2:$D$148,3,FALSE),"")</f>
        <v/>
      </c>
      <c r="I2619" s="32">
        <f>IFERROR(VLOOKUP(B2619,汇总!$B$2:$I$2921,8,FALSE),"")</f>
        <v>0</v>
      </c>
      <c r="J2619" s="29" t="s">
        <v>1700</v>
      </c>
      <c r="K2619" s="29" t="s">
        <v>1252</v>
      </c>
    </row>
    <row r="2620" ht="33.75" spans="1:11">
      <c r="A2620" s="29">
        <v>2619</v>
      </c>
      <c r="B2620" s="34" t="s">
        <v>3001</v>
      </c>
      <c r="C2620" s="29" t="str">
        <f>VLOOKUP(B2620,教育部大学名单!$B$1:$D$2920,3,FALSE)</f>
        <v>安徽省教育厅</v>
      </c>
      <c r="D2620" s="34" t="s">
        <v>502</v>
      </c>
      <c r="E2620" s="34" t="s">
        <v>511</v>
      </c>
      <c r="F2620" s="36" t="str">
        <f>IFERROR(VLOOKUP(B2620,'985'!$B$2:$D$40,3,FALSE),"")</f>
        <v/>
      </c>
      <c r="G2620" s="32" t="str">
        <f>IFERROR(VLOOKUP(B2620,'211'!$B$2:$D$116,3,FALSE),"")</f>
        <v/>
      </c>
      <c r="H2620" s="32" t="str">
        <f>IFERROR(VLOOKUP(B2620,双一流!$B$2:$D$148,3,FALSE),"")</f>
        <v/>
      </c>
      <c r="I2620" s="32">
        <f>IFERROR(VLOOKUP(B2620,汇总!$B$2:$I$2921,8,FALSE),"")</f>
        <v>0</v>
      </c>
      <c r="J2620" s="34" t="s">
        <v>1700</v>
      </c>
      <c r="K2620" s="34" t="s">
        <v>1252</v>
      </c>
    </row>
    <row r="2621" ht="33.75" spans="1:11">
      <c r="A2621" s="34">
        <v>2620</v>
      </c>
      <c r="B2621" s="29" t="s">
        <v>3002</v>
      </c>
      <c r="C2621" s="29" t="str">
        <f>VLOOKUP(B2621,教育部大学名单!$B$1:$D$2920,3,FALSE)</f>
        <v>安徽省教育厅</v>
      </c>
      <c r="D2621" s="29" t="s">
        <v>502</v>
      </c>
      <c r="E2621" s="29" t="s">
        <v>503</v>
      </c>
      <c r="F2621" s="36" t="str">
        <f>IFERROR(VLOOKUP(B2621,'985'!$B$2:$D$40,3,FALSE),"")</f>
        <v/>
      </c>
      <c r="G2621" s="32" t="str">
        <f>IFERROR(VLOOKUP(B2621,'211'!$B$2:$D$116,3,FALSE),"")</f>
        <v/>
      </c>
      <c r="H2621" s="32" t="str">
        <f>IFERROR(VLOOKUP(B2621,双一流!$B$2:$D$148,3,FALSE),"")</f>
        <v/>
      </c>
      <c r="I2621" s="32">
        <f>IFERROR(VLOOKUP(B2621,汇总!$B$2:$I$2921,8,FALSE),"")</f>
        <v>0</v>
      </c>
      <c r="J2621" s="29" t="s">
        <v>1700</v>
      </c>
      <c r="K2621" s="29" t="s">
        <v>1252</v>
      </c>
    </row>
    <row r="2622" ht="33.75" spans="1:11">
      <c r="A2622" s="29">
        <v>2621</v>
      </c>
      <c r="B2622" s="34" t="s">
        <v>3003</v>
      </c>
      <c r="C2622" s="29" t="str">
        <f>VLOOKUP(B2622,教育部大学名单!$B$1:$D$2920,3,FALSE)</f>
        <v>安徽省教育厅</v>
      </c>
      <c r="D2622" s="34" t="s">
        <v>502</v>
      </c>
      <c r="E2622" s="34" t="s">
        <v>526</v>
      </c>
      <c r="F2622" s="36" t="str">
        <f>IFERROR(VLOOKUP(B2622,'985'!$B$2:$D$40,3,FALSE),"")</f>
        <v/>
      </c>
      <c r="G2622" s="32" t="str">
        <f>IFERROR(VLOOKUP(B2622,'211'!$B$2:$D$116,3,FALSE),"")</f>
        <v/>
      </c>
      <c r="H2622" s="32" t="str">
        <f>IFERROR(VLOOKUP(B2622,双一流!$B$2:$D$148,3,FALSE),"")</f>
        <v/>
      </c>
      <c r="I2622" s="32">
        <f>IFERROR(VLOOKUP(B2622,汇总!$B$2:$I$2921,8,FALSE),"")</f>
        <v>0</v>
      </c>
      <c r="J2622" s="34" t="s">
        <v>1700</v>
      </c>
      <c r="K2622" s="34" t="s">
        <v>1252</v>
      </c>
    </row>
    <row r="2623" ht="33.75" spans="1:11">
      <c r="A2623" s="34">
        <v>2622</v>
      </c>
      <c r="B2623" s="29" t="s">
        <v>3004</v>
      </c>
      <c r="C2623" s="29" t="str">
        <f>VLOOKUP(B2623,教育部大学名单!$B$1:$D$2920,3,FALSE)</f>
        <v>安徽省教育厅</v>
      </c>
      <c r="D2623" s="29" t="s">
        <v>502</v>
      </c>
      <c r="E2623" s="29" t="s">
        <v>533</v>
      </c>
      <c r="F2623" s="36" t="str">
        <f>IFERROR(VLOOKUP(B2623,'985'!$B$2:$D$40,3,FALSE),"")</f>
        <v/>
      </c>
      <c r="G2623" s="32" t="str">
        <f>IFERROR(VLOOKUP(B2623,'211'!$B$2:$D$116,3,FALSE),"")</f>
        <v/>
      </c>
      <c r="H2623" s="32" t="str">
        <f>IFERROR(VLOOKUP(B2623,双一流!$B$2:$D$148,3,FALSE),"")</f>
        <v/>
      </c>
      <c r="I2623" s="32">
        <f>IFERROR(VLOOKUP(B2623,汇总!$B$2:$I$2921,8,FALSE),"")</f>
        <v>0</v>
      </c>
      <c r="J2623" s="29" t="s">
        <v>1700</v>
      </c>
      <c r="K2623" s="29" t="s">
        <v>1252</v>
      </c>
    </row>
    <row r="2624" ht="33.75" spans="1:11">
      <c r="A2624" s="29">
        <v>2623</v>
      </c>
      <c r="B2624" s="34" t="s">
        <v>3005</v>
      </c>
      <c r="C2624" s="29" t="str">
        <f>VLOOKUP(B2624,教育部大学名单!$B$1:$D$2920,3,FALSE)</f>
        <v>福建省教育厅</v>
      </c>
      <c r="D2624" s="34" t="s">
        <v>553</v>
      </c>
      <c r="E2624" s="34" t="s">
        <v>558</v>
      </c>
      <c r="F2624" s="36" t="str">
        <f>IFERROR(VLOOKUP(B2624,'985'!$B$2:$D$40,3,FALSE),"")</f>
        <v/>
      </c>
      <c r="G2624" s="32" t="str">
        <f>IFERROR(VLOOKUP(B2624,'211'!$B$2:$D$116,3,FALSE),"")</f>
        <v/>
      </c>
      <c r="H2624" s="32" t="str">
        <f>IFERROR(VLOOKUP(B2624,双一流!$B$2:$D$148,3,FALSE),"")</f>
        <v/>
      </c>
      <c r="I2624" s="32">
        <f>IFERROR(VLOOKUP(B2624,汇总!$B$2:$I$2921,8,FALSE),"")</f>
        <v>0</v>
      </c>
      <c r="J2624" s="34" t="s">
        <v>1700</v>
      </c>
      <c r="K2624" s="34" t="s">
        <v>1252</v>
      </c>
    </row>
    <row r="2625" ht="33.75" spans="1:11">
      <c r="A2625" s="34">
        <v>2624</v>
      </c>
      <c r="B2625" s="29" t="s">
        <v>3006</v>
      </c>
      <c r="C2625" s="29" t="str">
        <f>VLOOKUP(B2625,教育部大学名单!$B$1:$D$2920,3,FALSE)</f>
        <v>福建省教育厅</v>
      </c>
      <c r="D2625" s="29" t="s">
        <v>553</v>
      </c>
      <c r="E2625" s="29" t="s">
        <v>558</v>
      </c>
      <c r="F2625" s="36" t="str">
        <f>IFERROR(VLOOKUP(B2625,'985'!$B$2:$D$40,3,FALSE),"")</f>
        <v/>
      </c>
      <c r="G2625" s="32" t="str">
        <f>IFERROR(VLOOKUP(B2625,'211'!$B$2:$D$116,3,FALSE),"")</f>
        <v/>
      </c>
      <c r="H2625" s="32" t="str">
        <f>IFERROR(VLOOKUP(B2625,双一流!$B$2:$D$148,3,FALSE),"")</f>
        <v/>
      </c>
      <c r="I2625" s="32">
        <f>IFERROR(VLOOKUP(B2625,汇总!$B$2:$I$2921,8,FALSE),"")</f>
        <v>0</v>
      </c>
      <c r="J2625" s="29" t="s">
        <v>1700</v>
      </c>
      <c r="K2625" s="29" t="s">
        <v>1252</v>
      </c>
    </row>
    <row r="2626" ht="33.75" spans="1:11">
      <c r="A2626" s="29">
        <v>2625</v>
      </c>
      <c r="B2626" s="34" t="s">
        <v>3007</v>
      </c>
      <c r="C2626" s="29" t="str">
        <f>VLOOKUP(B2626,教育部大学名单!$B$1:$D$2920,3,FALSE)</f>
        <v>福建省教育厅</v>
      </c>
      <c r="D2626" s="34" t="s">
        <v>553</v>
      </c>
      <c r="E2626" s="34" t="s">
        <v>556</v>
      </c>
      <c r="F2626" s="36" t="str">
        <f>IFERROR(VLOOKUP(B2626,'985'!$B$2:$D$40,3,FALSE),"")</f>
        <v/>
      </c>
      <c r="G2626" s="32" t="str">
        <f>IFERROR(VLOOKUP(B2626,'211'!$B$2:$D$116,3,FALSE),"")</f>
        <v/>
      </c>
      <c r="H2626" s="32" t="str">
        <f>IFERROR(VLOOKUP(B2626,双一流!$B$2:$D$148,3,FALSE),"")</f>
        <v/>
      </c>
      <c r="I2626" s="32">
        <f>IFERROR(VLOOKUP(B2626,汇总!$B$2:$I$2921,8,FALSE),"")</f>
        <v>0</v>
      </c>
      <c r="J2626" s="34" t="s">
        <v>1700</v>
      </c>
      <c r="K2626" s="34" t="s">
        <v>1252</v>
      </c>
    </row>
    <row r="2627" ht="33.75" spans="1:11">
      <c r="A2627" s="34">
        <v>2626</v>
      </c>
      <c r="B2627" s="29" t="s">
        <v>3008</v>
      </c>
      <c r="C2627" s="29" t="str">
        <f>VLOOKUP(B2627,教育部大学名单!$B$1:$D$2920,3,FALSE)</f>
        <v>福建省教育厅</v>
      </c>
      <c r="D2627" s="29" t="s">
        <v>553</v>
      </c>
      <c r="E2627" s="29" t="s">
        <v>556</v>
      </c>
      <c r="F2627" s="36" t="str">
        <f>IFERROR(VLOOKUP(B2627,'985'!$B$2:$D$40,3,FALSE),"")</f>
        <v/>
      </c>
      <c r="G2627" s="32" t="str">
        <f>IFERROR(VLOOKUP(B2627,'211'!$B$2:$D$116,3,FALSE),"")</f>
        <v/>
      </c>
      <c r="H2627" s="32" t="str">
        <f>IFERROR(VLOOKUP(B2627,双一流!$B$2:$D$148,3,FALSE),"")</f>
        <v/>
      </c>
      <c r="I2627" s="32" t="str">
        <f>IFERROR(VLOOKUP(B2627,汇总!$B$2:$I$2921,8,FALSE),"")</f>
        <v>综合</v>
      </c>
      <c r="J2627" s="29" t="s">
        <v>1700</v>
      </c>
      <c r="K2627" s="29" t="s">
        <v>1252</v>
      </c>
    </row>
    <row r="2628" ht="33.75" spans="1:11">
      <c r="A2628" s="29">
        <v>2627</v>
      </c>
      <c r="B2628" s="34" t="s">
        <v>3009</v>
      </c>
      <c r="C2628" s="29" t="str">
        <f>VLOOKUP(B2628,教育部大学名单!$B$1:$D$2920,3,FALSE)</f>
        <v>福建省教育厅</v>
      </c>
      <c r="D2628" s="34" t="s">
        <v>553</v>
      </c>
      <c r="E2628" s="34" t="s">
        <v>558</v>
      </c>
      <c r="F2628" s="36" t="str">
        <f>IFERROR(VLOOKUP(B2628,'985'!$B$2:$D$40,3,FALSE),"")</f>
        <v/>
      </c>
      <c r="G2628" s="32" t="str">
        <f>IFERROR(VLOOKUP(B2628,'211'!$B$2:$D$116,3,FALSE),"")</f>
        <v/>
      </c>
      <c r="H2628" s="32" t="str">
        <f>IFERROR(VLOOKUP(B2628,双一流!$B$2:$D$148,3,FALSE),"")</f>
        <v/>
      </c>
      <c r="I2628" s="32">
        <f>IFERROR(VLOOKUP(B2628,汇总!$B$2:$I$2921,8,FALSE),"")</f>
        <v>0</v>
      </c>
      <c r="J2628" s="34" t="s">
        <v>1700</v>
      </c>
      <c r="K2628" s="34" t="s">
        <v>1252</v>
      </c>
    </row>
    <row r="2629" ht="33.75" spans="1:11">
      <c r="A2629" s="34">
        <v>2628</v>
      </c>
      <c r="B2629" s="29" t="s">
        <v>3010</v>
      </c>
      <c r="C2629" s="29" t="str">
        <f>VLOOKUP(B2629,教育部大学名单!$B$1:$D$2920,3,FALSE)</f>
        <v>福建省教育厅</v>
      </c>
      <c r="D2629" s="29" t="s">
        <v>553</v>
      </c>
      <c r="E2629" s="29" t="s">
        <v>554</v>
      </c>
      <c r="F2629" s="36" t="str">
        <f>IFERROR(VLOOKUP(B2629,'985'!$B$2:$D$40,3,FALSE),"")</f>
        <v/>
      </c>
      <c r="G2629" s="32" t="str">
        <f>IFERROR(VLOOKUP(B2629,'211'!$B$2:$D$116,3,FALSE),"")</f>
        <v/>
      </c>
      <c r="H2629" s="32" t="str">
        <f>IFERROR(VLOOKUP(B2629,双一流!$B$2:$D$148,3,FALSE),"")</f>
        <v/>
      </c>
      <c r="I2629" s="32">
        <f>IFERROR(VLOOKUP(B2629,汇总!$B$2:$I$2921,8,FALSE),"")</f>
        <v>0</v>
      </c>
      <c r="J2629" s="29" t="s">
        <v>1700</v>
      </c>
      <c r="K2629" s="29" t="s">
        <v>1252</v>
      </c>
    </row>
    <row r="2630" ht="50.25" spans="1:11">
      <c r="A2630" s="29">
        <v>2629</v>
      </c>
      <c r="B2630" s="34" t="s">
        <v>3011</v>
      </c>
      <c r="C2630" s="29" t="str">
        <f>VLOOKUP(B2630,教育部大学名单!$B$1:$D$2920,3,FALSE)</f>
        <v>福建省教育厅</v>
      </c>
      <c r="D2630" s="34" t="s">
        <v>553</v>
      </c>
      <c r="E2630" s="34" t="s">
        <v>554</v>
      </c>
      <c r="F2630" s="36" t="str">
        <f>IFERROR(VLOOKUP(B2630,'985'!$B$2:$D$40,3,FALSE),"")</f>
        <v/>
      </c>
      <c r="G2630" s="32" t="str">
        <f>IFERROR(VLOOKUP(B2630,'211'!$B$2:$D$116,3,FALSE),"")</f>
        <v/>
      </c>
      <c r="H2630" s="32" t="str">
        <f>IFERROR(VLOOKUP(B2630,双一流!$B$2:$D$148,3,FALSE),"")</f>
        <v/>
      </c>
      <c r="I2630" s="32">
        <f>IFERROR(VLOOKUP(B2630,汇总!$B$2:$I$2921,8,FALSE),"")</f>
        <v>0</v>
      </c>
      <c r="J2630" s="34" t="s">
        <v>1700</v>
      </c>
      <c r="K2630" s="34" t="s">
        <v>1252</v>
      </c>
    </row>
    <row r="2631" ht="33.75" spans="1:11">
      <c r="A2631" s="34">
        <v>2630</v>
      </c>
      <c r="B2631" s="29" t="s">
        <v>3012</v>
      </c>
      <c r="C2631" s="29" t="str">
        <f>VLOOKUP(B2631,教育部大学名单!$B$1:$D$2920,3,FALSE)</f>
        <v>福建省教育厅</v>
      </c>
      <c r="D2631" s="29" t="s">
        <v>553</v>
      </c>
      <c r="E2631" s="29" t="s">
        <v>558</v>
      </c>
      <c r="F2631" s="36" t="str">
        <f>IFERROR(VLOOKUP(B2631,'985'!$B$2:$D$40,3,FALSE),"")</f>
        <v/>
      </c>
      <c r="G2631" s="32" t="str">
        <f>IFERROR(VLOOKUP(B2631,'211'!$B$2:$D$116,3,FALSE),"")</f>
        <v/>
      </c>
      <c r="H2631" s="32" t="str">
        <f>IFERROR(VLOOKUP(B2631,双一流!$B$2:$D$148,3,FALSE),"")</f>
        <v/>
      </c>
      <c r="I2631" s="32">
        <f>IFERROR(VLOOKUP(B2631,汇总!$B$2:$I$2921,8,FALSE),"")</f>
        <v>0</v>
      </c>
      <c r="J2631" s="29" t="s">
        <v>1700</v>
      </c>
      <c r="K2631" s="29" t="s">
        <v>1252</v>
      </c>
    </row>
    <row r="2632" ht="33.75" spans="1:11">
      <c r="A2632" s="29">
        <v>2631</v>
      </c>
      <c r="B2632" s="34" t="s">
        <v>3013</v>
      </c>
      <c r="C2632" s="29" t="str">
        <f>VLOOKUP(B2632,教育部大学名单!$B$1:$D$2920,3,FALSE)</f>
        <v>福建省教育厅</v>
      </c>
      <c r="D2632" s="34" t="s">
        <v>553</v>
      </c>
      <c r="E2632" s="34" t="s">
        <v>558</v>
      </c>
      <c r="F2632" s="36" t="str">
        <f>IFERROR(VLOOKUP(B2632,'985'!$B$2:$D$40,3,FALSE),"")</f>
        <v/>
      </c>
      <c r="G2632" s="32" t="str">
        <f>IFERROR(VLOOKUP(B2632,'211'!$B$2:$D$116,3,FALSE),"")</f>
        <v/>
      </c>
      <c r="H2632" s="32" t="str">
        <f>IFERROR(VLOOKUP(B2632,双一流!$B$2:$D$148,3,FALSE),"")</f>
        <v/>
      </c>
      <c r="I2632" s="32" t="str">
        <f>IFERROR(VLOOKUP(B2632,汇总!$B$2:$I$2921,8,FALSE),"")</f>
        <v>综合</v>
      </c>
      <c r="J2632" s="34" t="s">
        <v>1700</v>
      </c>
      <c r="K2632" s="34" t="s">
        <v>1252</v>
      </c>
    </row>
    <row r="2633" ht="33.75" spans="1:11">
      <c r="A2633" s="34">
        <v>2632</v>
      </c>
      <c r="B2633" s="29" t="s">
        <v>3014</v>
      </c>
      <c r="C2633" s="29" t="str">
        <f>VLOOKUP(B2633,教育部大学名单!$B$1:$D$2920,3,FALSE)</f>
        <v>福建省教育厅</v>
      </c>
      <c r="D2633" s="29" t="s">
        <v>553</v>
      </c>
      <c r="E2633" s="29" t="s">
        <v>554</v>
      </c>
      <c r="F2633" s="36" t="str">
        <f>IFERROR(VLOOKUP(B2633,'985'!$B$2:$D$40,3,FALSE),"")</f>
        <v/>
      </c>
      <c r="G2633" s="32" t="str">
        <f>IFERROR(VLOOKUP(B2633,'211'!$B$2:$D$116,3,FALSE),"")</f>
        <v/>
      </c>
      <c r="H2633" s="32" t="str">
        <f>IFERROR(VLOOKUP(B2633,双一流!$B$2:$D$148,3,FALSE),"")</f>
        <v/>
      </c>
      <c r="I2633" s="32">
        <f>IFERROR(VLOOKUP(B2633,汇总!$B$2:$I$2921,8,FALSE),"")</f>
        <v>0</v>
      </c>
      <c r="J2633" s="29" t="s">
        <v>1700</v>
      </c>
      <c r="K2633" s="29" t="s">
        <v>1252</v>
      </c>
    </row>
    <row r="2634" ht="33.75" spans="1:11">
      <c r="A2634" s="29">
        <v>2633</v>
      </c>
      <c r="B2634" s="34" t="s">
        <v>3015</v>
      </c>
      <c r="C2634" s="29" t="str">
        <f>VLOOKUP(B2634,教育部大学名单!$B$1:$D$2920,3,FALSE)</f>
        <v>福建省教育厅</v>
      </c>
      <c r="D2634" s="34" t="s">
        <v>553</v>
      </c>
      <c r="E2634" s="34" t="s">
        <v>554</v>
      </c>
      <c r="F2634" s="36" t="str">
        <f>IFERROR(VLOOKUP(B2634,'985'!$B$2:$D$40,3,FALSE),"")</f>
        <v/>
      </c>
      <c r="G2634" s="32" t="str">
        <f>IFERROR(VLOOKUP(B2634,'211'!$B$2:$D$116,3,FALSE),"")</f>
        <v/>
      </c>
      <c r="H2634" s="32" t="str">
        <f>IFERROR(VLOOKUP(B2634,双一流!$B$2:$D$148,3,FALSE),"")</f>
        <v/>
      </c>
      <c r="I2634" s="32">
        <f>IFERROR(VLOOKUP(B2634,汇总!$B$2:$I$2921,8,FALSE),"")</f>
        <v>0</v>
      </c>
      <c r="J2634" s="34" t="s">
        <v>1700</v>
      </c>
      <c r="K2634" s="34" t="s">
        <v>1252</v>
      </c>
    </row>
    <row r="2635" ht="33.75" spans="1:11">
      <c r="A2635" s="34">
        <v>2634</v>
      </c>
      <c r="B2635" s="29" t="s">
        <v>3016</v>
      </c>
      <c r="C2635" s="29" t="str">
        <f>VLOOKUP(B2635,教育部大学名单!$B$1:$D$2920,3,FALSE)</f>
        <v>福建省教育厅</v>
      </c>
      <c r="D2635" s="29" t="s">
        <v>553</v>
      </c>
      <c r="E2635" s="29" t="s">
        <v>554</v>
      </c>
      <c r="F2635" s="36" t="str">
        <f>IFERROR(VLOOKUP(B2635,'985'!$B$2:$D$40,3,FALSE),"")</f>
        <v/>
      </c>
      <c r="G2635" s="32" t="str">
        <f>IFERROR(VLOOKUP(B2635,'211'!$B$2:$D$116,3,FALSE),"")</f>
        <v/>
      </c>
      <c r="H2635" s="32" t="str">
        <f>IFERROR(VLOOKUP(B2635,双一流!$B$2:$D$148,3,FALSE),"")</f>
        <v/>
      </c>
      <c r="I2635" s="32" t="str">
        <f>IFERROR(VLOOKUP(B2635,汇总!$B$2:$I$2921,8,FALSE),"")</f>
        <v>综合</v>
      </c>
      <c r="J2635" s="29" t="s">
        <v>1700</v>
      </c>
      <c r="K2635" s="29" t="s">
        <v>1252</v>
      </c>
    </row>
    <row r="2636" ht="33.75" spans="1:11">
      <c r="A2636" s="29">
        <v>2635</v>
      </c>
      <c r="B2636" s="34" t="s">
        <v>3017</v>
      </c>
      <c r="C2636" s="29" t="str">
        <f>VLOOKUP(B2636,教育部大学名单!$B$1:$D$2920,3,FALSE)</f>
        <v>福建省教育厅</v>
      </c>
      <c r="D2636" s="34" t="s">
        <v>553</v>
      </c>
      <c r="E2636" s="34" t="s">
        <v>554</v>
      </c>
      <c r="F2636" s="36" t="str">
        <f>IFERROR(VLOOKUP(B2636,'985'!$B$2:$D$40,3,FALSE),"")</f>
        <v/>
      </c>
      <c r="G2636" s="32" t="str">
        <f>IFERROR(VLOOKUP(B2636,'211'!$B$2:$D$116,3,FALSE),"")</f>
        <v/>
      </c>
      <c r="H2636" s="32" t="str">
        <f>IFERROR(VLOOKUP(B2636,双一流!$B$2:$D$148,3,FALSE),"")</f>
        <v/>
      </c>
      <c r="I2636" s="32">
        <f>IFERROR(VLOOKUP(B2636,汇总!$B$2:$I$2921,8,FALSE),"")</f>
        <v>0</v>
      </c>
      <c r="J2636" s="34" t="s">
        <v>1700</v>
      </c>
      <c r="K2636" s="34" t="s">
        <v>1252</v>
      </c>
    </row>
    <row r="2637" ht="33.75" spans="1:11">
      <c r="A2637" s="34">
        <v>2636</v>
      </c>
      <c r="B2637" s="29" t="s">
        <v>3018</v>
      </c>
      <c r="C2637" s="29" t="str">
        <f>VLOOKUP(B2637,教育部大学名单!$B$1:$D$2920,3,FALSE)</f>
        <v>福建省教育厅</v>
      </c>
      <c r="D2637" s="29" t="s">
        <v>553</v>
      </c>
      <c r="E2637" s="29" t="s">
        <v>572</v>
      </c>
      <c r="F2637" s="36" t="str">
        <f>IFERROR(VLOOKUP(B2637,'985'!$B$2:$D$40,3,FALSE),"")</f>
        <v/>
      </c>
      <c r="G2637" s="32" t="str">
        <f>IFERROR(VLOOKUP(B2637,'211'!$B$2:$D$116,3,FALSE),"")</f>
        <v/>
      </c>
      <c r="H2637" s="32" t="str">
        <f>IFERROR(VLOOKUP(B2637,双一流!$B$2:$D$148,3,FALSE),"")</f>
        <v/>
      </c>
      <c r="I2637" s="32" t="str">
        <f>IFERROR(VLOOKUP(B2637,汇总!$B$2:$I$2921,8,FALSE),"")</f>
        <v>综合</v>
      </c>
      <c r="J2637" s="29" t="s">
        <v>1700</v>
      </c>
      <c r="K2637" s="29" t="s">
        <v>1252</v>
      </c>
    </row>
    <row r="2638" ht="33.75" spans="1:11">
      <c r="A2638" s="29">
        <v>2637</v>
      </c>
      <c r="B2638" s="34" t="s">
        <v>3019</v>
      </c>
      <c r="C2638" s="29" t="str">
        <f>VLOOKUP(B2638,教育部大学名单!$B$1:$D$2920,3,FALSE)</f>
        <v>福建省教育厅</v>
      </c>
      <c r="D2638" s="34" t="s">
        <v>553</v>
      </c>
      <c r="E2638" s="34" t="s">
        <v>572</v>
      </c>
      <c r="F2638" s="36" t="str">
        <f>IFERROR(VLOOKUP(B2638,'985'!$B$2:$D$40,3,FALSE),"")</f>
        <v/>
      </c>
      <c r="G2638" s="32" t="str">
        <f>IFERROR(VLOOKUP(B2638,'211'!$B$2:$D$116,3,FALSE),"")</f>
        <v/>
      </c>
      <c r="H2638" s="32" t="str">
        <f>IFERROR(VLOOKUP(B2638,双一流!$B$2:$D$148,3,FALSE),"")</f>
        <v/>
      </c>
      <c r="I2638" s="32" t="str">
        <f>IFERROR(VLOOKUP(B2638,汇总!$B$2:$I$2921,8,FALSE),"")</f>
        <v>综合</v>
      </c>
      <c r="J2638" s="34" t="s">
        <v>1700</v>
      </c>
      <c r="K2638" s="34" t="s">
        <v>1252</v>
      </c>
    </row>
    <row r="2639" ht="33.75" spans="1:11">
      <c r="A2639" s="34">
        <v>2638</v>
      </c>
      <c r="B2639" s="29" t="s">
        <v>3020</v>
      </c>
      <c r="C2639" s="29" t="str">
        <f>VLOOKUP(B2639,教育部大学名单!$B$1:$D$2920,3,FALSE)</f>
        <v>福建省教育厅</v>
      </c>
      <c r="D2639" s="29" t="s">
        <v>553</v>
      </c>
      <c r="E2639" s="29" t="s">
        <v>567</v>
      </c>
      <c r="F2639" s="36" t="str">
        <f>IFERROR(VLOOKUP(B2639,'985'!$B$2:$D$40,3,FALSE),"")</f>
        <v/>
      </c>
      <c r="G2639" s="32" t="str">
        <f>IFERROR(VLOOKUP(B2639,'211'!$B$2:$D$116,3,FALSE),"")</f>
        <v/>
      </c>
      <c r="H2639" s="32" t="str">
        <f>IFERROR(VLOOKUP(B2639,双一流!$B$2:$D$148,3,FALSE),"")</f>
        <v/>
      </c>
      <c r="I2639" s="32">
        <f>IFERROR(VLOOKUP(B2639,汇总!$B$2:$I$2921,8,FALSE),"")</f>
        <v>0</v>
      </c>
      <c r="J2639" s="29" t="s">
        <v>1700</v>
      </c>
      <c r="K2639" s="29" t="s">
        <v>1252</v>
      </c>
    </row>
    <row r="2640" ht="33.75" spans="1:11">
      <c r="A2640" s="29">
        <v>2639</v>
      </c>
      <c r="B2640" s="34" t="s">
        <v>3021</v>
      </c>
      <c r="C2640" s="29" t="str">
        <f>VLOOKUP(B2640,教育部大学名单!$B$1:$D$2920,3,FALSE)</f>
        <v>福建省教育厅</v>
      </c>
      <c r="D2640" s="34" t="s">
        <v>553</v>
      </c>
      <c r="E2640" s="34" t="s">
        <v>556</v>
      </c>
      <c r="F2640" s="36" t="str">
        <f>IFERROR(VLOOKUP(B2640,'985'!$B$2:$D$40,3,FALSE),"")</f>
        <v/>
      </c>
      <c r="G2640" s="32" t="str">
        <f>IFERROR(VLOOKUP(B2640,'211'!$B$2:$D$116,3,FALSE),"")</f>
        <v/>
      </c>
      <c r="H2640" s="32" t="str">
        <f>IFERROR(VLOOKUP(B2640,双一流!$B$2:$D$148,3,FALSE),"")</f>
        <v/>
      </c>
      <c r="I2640" s="32" t="str">
        <f>IFERROR(VLOOKUP(B2640,汇总!$B$2:$I$2921,8,FALSE),"")</f>
        <v>理工</v>
      </c>
      <c r="J2640" s="34" t="s">
        <v>1700</v>
      </c>
      <c r="K2640" s="34" t="s">
        <v>1252</v>
      </c>
    </row>
    <row r="2641" ht="33.75" spans="1:11">
      <c r="A2641" s="34">
        <v>2640</v>
      </c>
      <c r="B2641" s="29" t="s">
        <v>3022</v>
      </c>
      <c r="C2641" s="29" t="str">
        <f>VLOOKUP(B2641,教育部大学名单!$B$1:$D$2920,3,FALSE)</f>
        <v>福建省教育厅</v>
      </c>
      <c r="D2641" s="29" t="s">
        <v>553</v>
      </c>
      <c r="E2641" s="29" t="s">
        <v>556</v>
      </c>
      <c r="F2641" s="36" t="str">
        <f>IFERROR(VLOOKUP(B2641,'985'!$B$2:$D$40,3,FALSE),"")</f>
        <v/>
      </c>
      <c r="G2641" s="32" t="str">
        <f>IFERROR(VLOOKUP(B2641,'211'!$B$2:$D$116,3,FALSE),"")</f>
        <v/>
      </c>
      <c r="H2641" s="32" t="str">
        <f>IFERROR(VLOOKUP(B2641,双一流!$B$2:$D$148,3,FALSE),"")</f>
        <v/>
      </c>
      <c r="I2641" s="32" t="str">
        <f>IFERROR(VLOOKUP(B2641,汇总!$B$2:$I$2921,8,FALSE),"")</f>
        <v>综合</v>
      </c>
      <c r="J2641" s="29" t="s">
        <v>1700</v>
      </c>
      <c r="K2641" s="29" t="s">
        <v>1252</v>
      </c>
    </row>
    <row r="2642" ht="33.75" spans="1:11">
      <c r="A2642" s="29">
        <v>2641</v>
      </c>
      <c r="B2642" s="34" t="s">
        <v>3023</v>
      </c>
      <c r="C2642" s="29" t="str">
        <f>VLOOKUP(B2642,教育部大学名单!$B$1:$D$2920,3,FALSE)</f>
        <v>福建省教育厅</v>
      </c>
      <c r="D2642" s="34" t="s">
        <v>553</v>
      </c>
      <c r="E2642" s="34" t="s">
        <v>554</v>
      </c>
      <c r="F2642" s="36" t="str">
        <f>IFERROR(VLOOKUP(B2642,'985'!$B$2:$D$40,3,FALSE),"")</f>
        <v/>
      </c>
      <c r="G2642" s="32" t="str">
        <f>IFERROR(VLOOKUP(B2642,'211'!$B$2:$D$116,3,FALSE),"")</f>
        <v/>
      </c>
      <c r="H2642" s="32" t="str">
        <f>IFERROR(VLOOKUP(B2642,双一流!$B$2:$D$148,3,FALSE),"")</f>
        <v/>
      </c>
      <c r="I2642" s="32">
        <f>IFERROR(VLOOKUP(B2642,汇总!$B$2:$I$2921,8,FALSE),"")</f>
        <v>0</v>
      </c>
      <c r="J2642" s="34" t="s">
        <v>1700</v>
      </c>
      <c r="K2642" s="34" t="s">
        <v>1252</v>
      </c>
    </row>
    <row r="2643" ht="33.75" spans="1:11">
      <c r="A2643" s="34">
        <v>2642</v>
      </c>
      <c r="B2643" s="29" t="s">
        <v>3024</v>
      </c>
      <c r="C2643" s="29" t="str">
        <f>VLOOKUP(B2643,教育部大学名单!$B$1:$D$2920,3,FALSE)</f>
        <v>福建省教育厅</v>
      </c>
      <c r="D2643" s="29" t="s">
        <v>553</v>
      </c>
      <c r="E2643" s="29" t="s">
        <v>556</v>
      </c>
      <c r="F2643" s="36" t="str">
        <f>IFERROR(VLOOKUP(B2643,'985'!$B$2:$D$40,3,FALSE),"")</f>
        <v/>
      </c>
      <c r="G2643" s="32" t="str">
        <f>IFERROR(VLOOKUP(B2643,'211'!$B$2:$D$116,3,FALSE),"")</f>
        <v/>
      </c>
      <c r="H2643" s="32" t="str">
        <f>IFERROR(VLOOKUP(B2643,双一流!$B$2:$D$148,3,FALSE),"")</f>
        <v/>
      </c>
      <c r="I2643" s="32">
        <f>IFERROR(VLOOKUP(B2643,汇总!$B$2:$I$2921,8,FALSE),"")</f>
        <v>0</v>
      </c>
      <c r="J2643" s="29" t="s">
        <v>1700</v>
      </c>
      <c r="K2643" s="29" t="s">
        <v>1252</v>
      </c>
    </row>
    <row r="2644" ht="33.75" spans="1:11">
      <c r="A2644" s="29">
        <v>2643</v>
      </c>
      <c r="B2644" s="34" t="s">
        <v>3025</v>
      </c>
      <c r="C2644" s="29" t="str">
        <f>VLOOKUP(B2644,教育部大学名单!$B$1:$D$2920,3,FALSE)</f>
        <v>江西省教育厅</v>
      </c>
      <c r="D2644" s="34" t="s">
        <v>587</v>
      </c>
      <c r="E2644" s="34" t="s">
        <v>588</v>
      </c>
      <c r="F2644" s="36" t="str">
        <f>IFERROR(VLOOKUP(B2644,'985'!$B$2:$D$40,3,FALSE),"")</f>
        <v/>
      </c>
      <c r="G2644" s="32" t="str">
        <f>IFERROR(VLOOKUP(B2644,'211'!$B$2:$D$116,3,FALSE),"")</f>
        <v/>
      </c>
      <c r="H2644" s="32" t="str">
        <f>IFERROR(VLOOKUP(B2644,双一流!$B$2:$D$148,3,FALSE),"")</f>
        <v/>
      </c>
      <c r="I2644" s="32">
        <f>IFERROR(VLOOKUP(B2644,汇总!$B$2:$I$2921,8,FALSE),"")</f>
        <v>0</v>
      </c>
      <c r="J2644" s="34" t="s">
        <v>1700</v>
      </c>
      <c r="K2644" s="34" t="s">
        <v>1252</v>
      </c>
    </row>
    <row r="2645" ht="33.75" spans="1:11">
      <c r="A2645" s="34">
        <v>2644</v>
      </c>
      <c r="B2645" s="29" t="s">
        <v>3026</v>
      </c>
      <c r="C2645" s="29" t="str">
        <f>VLOOKUP(B2645,教育部大学名单!$B$1:$D$2920,3,FALSE)</f>
        <v>江西省教育厅</v>
      </c>
      <c r="D2645" s="29" t="s">
        <v>587</v>
      </c>
      <c r="E2645" s="29" t="s">
        <v>588</v>
      </c>
      <c r="F2645" s="36" t="str">
        <f>IFERROR(VLOOKUP(B2645,'985'!$B$2:$D$40,3,FALSE),"")</f>
        <v/>
      </c>
      <c r="G2645" s="32" t="str">
        <f>IFERROR(VLOOKUP(B2645,'211'!$B$2:$D$116,3,FALSE),"")</f>
        <v/>
      </c>
      <c r="H2645" s="32" t="str">
        <f>IFERROR(VLOOKUP(B2645,双一流!$B$2:$D$148,3,FALSE),"")</f>
        <v/>
      </c>
      <c r="I2645" s="32">
        <f>IFERROR(VLOOKUP(B2645,汇总!$B$2:$I$2921,8,FALSE),"")</f>
        <v>0</v>
      </c>
      <c r="J2645" s="29" t="s">
        <v>1700</v>
      </c>
      <c r="K2645" s="29" t="s">
        <v>1252</v>
      </c>
    </row>
    <row r="2646" ht="33.75" spans="1:11">
      <c r="A2646" s="29">
        <v>2645</v>
      </c>
      <c r="B2646" s="34" t="s">
        <v>3027</v>
      </c>
      <c r="C2646" s="29" t="str">
        <f>VLOOKUP(B2646,教育部大学名单!$B$1:$D$2920,3,FALSE)</f>
        <v>江西省教育厅</v>
      </c>
      <c r="D2646" s="34" t="s">
        <v>587</v>
      </c>
      <c r="E2646" s="34" t="s">
        <v>616</v>
      </c>
      <c r="F2646" s="36" t="str">
        <f>IFERROR(VLOOKUP(B2646,'985'!$B$2:$D$40,3,FALSE),"")</f>
        <v/>
      </c>
      <c r="G2646" s="32" t="str">
        <f>IFERROR(VLOOKUP(B2646,'211'!$B$2:$D$116,3,FALSE),"")</f>
        <v/>
      </c>
      <c r="H2646" s="32" t="str">
        <f>IFERROR(VLOOKUP(B2646,双一流!$B$2:$D$148,3,FALSE),"")</f>
        <v/>
      </c>
      <c r="I2646" s="32">
        <f>IFERROR(VLOOKUP(B2646,汇总!$B$2:$I$2921,8,FALSE),"")</f>
        <v>0</v>
      </c>
      <c r="J2646" s="34" t="s">
        <v>1700</v>
      </c>
      <c r="K2646" s="34" t="s">
        <v>1252</v>
      </c>
    </row>
    <row r="2647" ht="50.25" spans="1:11">
      <c r="A2647" s="34">
        <v>2646</v>
      </c>
      <c r="B2647" s="29" t="s">
        <v>3028</v>
      </c>
      <c r="C2647" s="29" t="str">
        <f>VLOOKUP(B2647,教育部大学名单!$B$1:$D$2920,3,FALSE)</f>
        <v>江西省教育厅</v>
      </c>
      <c r="D2647" s="29" t="s">
        <v>587</v>
      </c>
      <c r="E2647" s="29" t="s">
        <v>616</v>
      </c>
      <c r="F2647" s="36" t="str">
        <f>IFERROR(VLOOKUP(B2647,'985'!$B$2:$D$40,3,FALSE),"")</f>
        <v/>
      </c>
      <c r="G2647" s="32" t="str">
        <f>IFERROR(VLOOKUP(B2647,'211'!$B$2:$D$116,3,FALSE),"")</f>
        <v/>
      </c>
      <c r="H2647" s="32" t="str">
        <f>IFERROR(VLOOKUP(B2647,双一流!$B$2:$D$148,3,FALSE),"")</f>
        <v/>
      </c>
      <c r="I2647" s="32" t="str">
        <f>IFERROR(VLOOKUP(B2647,汇总!$B$2:$I$2921,8,FALSE),"")</f>
        <v>综合</v>
      </c>
      <c r="J2647" s="29" t="s">
        <v>1700</v>
      </c>
      <c r="K2647" s="29" t="s">
        <v>1252</v>
      </c>
    </row>
    <row r="2648" ht="50.25" spans="1:11">
      <c r="A2648" s="29">
        <v>2647</v>
      </c>
      <c r="B2648" s="34" t="s">
        <v>3029</v>
      </c>
      <c r="C2648" s="29" t="str">
        <f>VLOOKUP(B2648,教育部大学名单!$B$1:$D$2920,3,FALSE)</f>
        <v>江西省教育厅</v>
      </c>
      <c r="D2648" s="34" t="s">
        <v>587</v>
      </c>
      <c r="E2648" s="34" t="s">
        <v>618</v>
      </c>
      <c r="F2648" s="36" t="str">
        <f>IFERROR(VLOOKUP(B2648,'985'!$B$2:$D$40,3,FALSE),"")</f>
        <v/>
      </c>
      <c r="G2648" s="32" t="str">
        <f>IFERROR(VLOOKUP(B2648,'211'!$B$2:$D$116,3,FALSE),"")</f>
        <v/>
      </c>
      <c r="H2648" s="32" t="str">
        <f>IFERROR(VLOOKUP(B2648,双一流!$B$2:$D$148,3,FALSE),"")</f>
        <v/>
      </c>
      <c r="I2648" s="32">
        <f>IFERROR(VLOOKUP(B2648,汇总!$B$2:$I$2921,8,FALSE),"")</f>
        <v>0</v>
      </c>
      <c r="J2648" s="34" t="s">
        <v>1700</v>
      </c>
      <c r="K2648" s="34" t="s">
        <v>1252</v>
      </c>
    </row>
    <row r="2649" ht="33.75" spans="1:11">
      <c r="A2649" s="34">
        <v>2648</v>
      </c>
      <c r="B2649" s="29" t="s">
        <v>3030</v>
      </c>
      <c r="C2649" s="29" t="str">
        <f>VLOOKUP(B2649,教育部大学名单!$B$1:$D$2920,3,FALSE)</f>
        <v>江西省教育厅</v>
      </c>
      <c r="D2649" s="29" t="s">
        <v>587</v>
      </c>
      <c r="E2649" s="29" t="s">
        <v>588</v>
      </c>
      <c r="F2649" s="36" t="str">
        <f>IFERROR(VLOOKUP(B2649,'985'!$B$2:$D$40,3,FALSE),"")</f>
        <v/>
      </c>
      <c r="G2649" s="32" t="str">
        <f>IFERROR(VLOOKUP(B2649,'211'!$B$2:$D$116,3,FALSE),"")</f>
        <v/>
      </c>
      <c r="H2649" s="32" t="str">
        <f>IFERROR(VLOOKUP(B2649,双一流!$B$2:$D$148,3,FALSE),"")</f>
        <v/>
      </c>
      <c r="I2649" s="32">
        <f>IFERROR(VLOOKUP(B2649,汇总!$B$2:$I$2921,8,FALSE),"")</f>
        <v>0</v>
      </c>
      <c r="J2649" s="29" t="s">
        <v>1700</v>
      </c>
      <c r="K2649" s="29" t="s">
        <v>1252</v>
      </c>
    </row>
    <row r="2650" ht="50.25" spans="1:11">
      <c r="A2650" s="29">
        <v>2649</v>
      </c>
      <c r="B2650" s="34" t="s">
        <v>3031</v>
      </c>
      <c r="C2650" s="29" t="str">
        <f>VLOOKUP(B2650,教育部大学名单!$B$1:$D$2920,3,FALSE)</f>
        <v>江西省教育厅</v>
      </c>
      <c r="D2650" s="34" t="s">
        <v>587</v>
      </c>
      <c r="E2650" s="34" t="s">
        <v>596</v>
      </c>
      <c r="F2650" s="36" t="str">
        <f>IFERROR(VLOOKUP(B2650,'985'!$B$2:$D$40,3,FALSE),"")</f>
        <v/>
      </c>
      <c r="G2650" s="32" t="str">
        <f>IFERROR(VLOOKUP(B2650,'211'!$B$2:$D$116,3,FALSE),"")</f>
        <v/>
      </c>
      <c r="H2650" s="32" t="str">
        <f>IFERROR(VLOOKUP(B2650,双一流!$B$2:$D$148,3,FALSE),"")</f>
        <v/>
      </c>
      <c r="I2650" s="32">
        <f>IFERROR(VLOOKUP(B2650,汇总!$B$2:$I$2921,8,FALSE),"")</f>
        <v>0</v>
      </c>
      <c r="J2650" s="34" t="s">
        <v>1700</v>
      </c>
      <c r="K2650" s="34" t="s">
        <v>1252</v>
      </c>
    </row>
    <row r="2651" ht="33.75" spans="1:11">
      <c r="A2651" s="34">
        <v>2650</v>
      </c>
      <c r="B2651" s="29" t="s">
        <v>3032</v>
      </c>
      <c r="C2651" s="29" t="str">
        <f>VLOOKUP(B2651,教育部大学名单!$B$1:$D$2920,3,FALSE)</f>
        <v>江西省教育厅</v>
      </c>
      <c r="D2651" s="29" t="s">
        <v>587</v>
      </c>
      <c r="E2651" s="29" t="s">
        <v>604</v>
      </c>
      <c r="F2651" s="36" t="str">
        <f>IFERROR(VLOOKUP(B2651,'985'!$B$2:$D$40,3,FALSE),"")</f>
        <v/>
      </c>
      <c r="G2651" s="32" t="str">
        <f>IFERROR(VLOOKUP(B2651,'211'!$B$2:$D$116,3,FALSE),"")</f>
        <v/>
      </c>
      <c r="H2651" s="32" t="str">
        <f>IFERROR(VLOOKUP(B2651,双一流!$B$2:$D$148,3,FALSE),"")</f>
        <v/>
      </c>
      <c r="I2651" s="32">
        <f>IFERROR(VLOOKUP(B2651,汇总!$B$2:$I$2921,8,FALSE),"")</f>
        <v>0</v>
      </c>
      <c r="J2651" s="29" t="s">
        <v>1700</v>
      </c>
      <c r="K2651" s="29" t="s">
        <v>1252</v>
      </c>
    </row>
    <row r="2652" ht="33.75" spans="1:11">
      <c r="A2652" s="29">
        <v>2651</v>
      </c>
      <c r="B2652" s="34" t="s">
        <v>3033</v>
      </c>
      <c r="C2652" s="29" t="str">
        <f>VLOOKUP(B2652,教育部大学名单!$B$1:$D$2920,3,FALSE)</f>
        <v>江西省教育厅</v>
      </c>
      <c r="D2652" s="34" t="s">
        <v>587</v>
      </c>
      <c r="E2652" s="34" t="s">
        <v>588</v>
      </c>
      <c r="F2652" s="36" t="str">
        <f>IFERROR(VLOOKUP(B2652,'985'!$B$2:$D$40,3,FALSE),"")</f>
        <v/>
      </c>
      <c r="G2652" s="32" t="str">
        <f>IFERROR(VLOOKUP(B2652,'211'!$B$2:$D$116,3,FALSE),"")</f>
        <v/>
      </c>
      <c r="H2652" s="32" t="str">
        <f>IFERROR(VLOOKUP(B2652,双一流!$B$2:$D$148,3,FALSE),"")</f>
        <v/>
      </c>
      <c r="I2652" s="32">
        <f>IFERROR(VLOOKUP(B2652,汇总!$B$2:$I$2921,8,FALSE),"")</f>
        <v>0</v>
      </c>
      <c r="J2652" s="34" t="s">
        <v>1700</v>
      </c>
      <c r="K2652" s="34" t="s">
        <v>1252</v>
      </c>
    </row>
    <row r="2653" ht="33.75" spans="1:11">
      <c r="A2653" s="34">
        <v>2652</v>
      </c>
      <c r="B2653" s="29" t="s">
        <v>3034</v>
      </c>
      <c r="C2653" s="29" t="str">
        <f>VLOOKUP(B2653,教育部大学名单!$B$1:$D$2920,3,FALSE)</f>
        <v>江西省教育厅</v>
      </c>
      <c r="D2653" s="29" t="s">
        <v>587</v>
      </c>
      <c r="E2653" s="29" t="s">
        <v>618</v>
      </c>
      <c r="F2653" s="36" t="str">
        <f>IFERROR(VLOOKUP(B2653,'985'!$B$2:$D$40,3,FALSE),"")</f>
        <v/>
      </c>
      <c r="G2653" s="32" t="str">
        <f>IFERROR(VLOOKUP(B2653,'211'!$B$2:$D$116,3,FALSE),"")</f>
        <v/>
      </c>
      <c r="H2653" s="32" t="str">
        <f>IFERROR(VLOOKUP(B2653,双一流!$B$2:$D$148,3,FALSE),"")</f>
        <v/>
      </c>
      <c r="I2653" s="32">
        <f>IFERROR(VLOOKUP(B2653,汇总!$B$2:$I$2921,8,FALSE),"")</f>
        <v>0</v>
      </c>
      <c r="J2653" s="29" t="s">
        <v>1700</v>
      </c>
      <c r="K2653" s="29" t="s">
        <v>1252</v>
      </c>
    </row>
    <row r="2654" ht="33.75" spans="1:11">
      <c r="A2654" s="29">
        <v>2653</v>
      </c>
      <c r="B2654" s="34" t="s">
        <v>3035</v>
      </c>
      <c r="C2654" s="29" t="str">
        <f>VLOOKUP(B2654,教育部大学名单!$B$1:$D$2920,3,FALSE)</f>
        <v>江西省教育厅</v>
      </c>
      <c r="D2654" s="34" t="s">
        <v>587</v>
      </c>
      <c r="E2654" s="34" t="s">
        <v>594</v>
      </c>
      <c r="F2654" s="36" t="str">
        <f>IFERROR(VLOOKUP(B2654,'985'!$B$2:$D$40,3,FALSE),"")</f>
        <v/>
      </c>
      <c r="G2654" s="32" t="str">
        <f>IFERROR(VLOOKUP(B2654,'211'!$B$2:$D$116,3,FALSE),"")</f>
        <v/>
      </c>
      <c r="H2654" s="32" t="str">
        <f>IFERROR(VLOOKUP(B2654,双一流!$B$2:$D$148,3,FALSE),"")</f>
        <v/>
      </c>
      <c r="I2654" s="32">
        <f>IFERROR(VLOOKUP(B2654,汇总!$B$2:$I$2921,8,FALSE),"")</f>
        <v>0</v>
      </c>
      <c r="J2654" s="34" t="s">
        <v>1700</v>
      </c>
      <c r="K2654" s="34" t="s">
        <v>1252</v>
      </c>
    </row>
    <row r="2655" ht="33.75" spans="1:11">
      <c r="A2655" s="34">
        <v>2654</v>
      </c>
      <c r="B2655" s="29" t="s">
        <v>3036</v>
      </c>
      <c r="C2655" s="29" t="str">
        <f>VLOOKUP(B2655,教育部大学名单!$B$1:$D$2920,3,FALSE)</f>
        <v>山东省教育厅</v>
      </c>
      <c r="D2655" s="29" t="s">
        <v>628</v>
      </c>
      <c r="E2655" s="29" t="s">
        <v>651</v>
      </c>
      <c r="F2655" s="36" t="str">
        <f>IFERROR(VLOOKUP(B2655,'985'!$B$2:$D$40,3,FALSE),"")</f>
        <v/>
      </c>
      <c r="G2655" s="32" t="str">
        <f>IFERROR(VLOOKUP(B2655,'211'!$B$2:$D$116,3,FALSE),"")</f>
        <v/>
      </c>
      <c r="H2655" s="32" t="str">
        <f>IFERROR(VLOOKUP(B2655,双一流!$B$2:$D$148,3,FALSE),"")</f>
        <v/>
      </c>
      <c r="I2655" s="32">
        <f>IFERROR(VLOOKUP(B2655,汇总!$B$2:$I$2921,8,FALSE),"")</f>
        <v>0</v>
      </c>
      <c r="J2655" s="29" t="s">
        <v>1700</v>
      </c>
      <c r="K2655" s="29" t="s">
        <v>1252</v>
      </c>
    </row>
    <row r="2656" ht="33.75" spans="1:11">
      <c r="A2656" s="29">
        <v>2655</v>
      </c>
      <c r="B2656" s="34" t="s">
        <v>3037</v>
      </c>
      <c r="C2656" s="29" t="str">
        <f>VLOOKUP(B2656,教育部大学名单!$B$1:$D$2920,3,FALSE)</f>
        <v>山东省教育厅</v>
      </c>
      <c r="D2656" s="34" t="s">
        <v>628</v>
      </c>
      <c r="E2656" s="34" t="s">
        <v>657</v>
      </c>
      <c r="F2656" s="36" t="str">
        <f>IFERROR(VLOOKUP(B2656,'985'!$B$2:$D$40,3,FALSE),"")</f>
        <v/>
      </c>
      <c r="G2656" s="32" t="str">
        <f>IFERROR(VLOOKUP(B2656,'211'!$B$2:$D$116,3,FALSE),"")</f>
        <v/>
      </c>
      <c r="H2656" s="32" t="str">
        <f>IFERROR(VLOOKUP(B2656,双一流!$B$2:$D$148,3,FALSE),"")</f>
        <v/>
      </c>
      <c r="I2656" s="32" t="str">
        <f>IFERROR(VLOOKUP(B2656,汇总!$B$2:$I$2921,8,FALSE),"")</f>
        <v>理工</v>
      </c>
      <c r="J2656" s="34" t="s">
        <v>1700</v>
      </c>
      <c r="K2656" s="34" t="s">
        <v>1252</v>
      </c>
    </row>
    <row r="2657" ht="33.75" spans="1:11">
      <c r="A2657" s="34">
        <v>2656</v>
      </c>
      <c r="B2657" s="29" t="s">
        <v>3038</v>
      </c>
      <c r="C2657" s="29" t="str">
        <f>VLOOKUP(B2657,教育部大学名单!$B$1:$D$2920,3,FALSE)</f>
        <v>山东省教育厅</v>
      </c>
      <c r="D2657" s="29" t="s">
        <v>628</v>
      </c>
      <c r="E2657" s="29" t="s">
        <v>642</v>
      </c>
      <c r="F2657" s="36" t="str">
        <f>IFERROR(VLOOKUP(B2657,'985'!$B$2:$D$40,3,FALSE),"")</f>
        <v/>
      </c>
      <c r="G2657" s="32" t="str">
        <f>IFERROR(VLOOKUP(B2657,'211'!$B$2:$D$116,3,FALSE),"")</f>
        <v/>
      </c>
      <c r="H2657" s="32" t="str">
        <f>IFERROR(VLOOKUP(B2657,双一流!$B$2:$D$148,3,FALSE),"")</f>
        <v/>
      </c>
      <c r="I2657" s="32" t="str">
        <f>IFERROR(VLOOKUP(B2657,汇总!$B$2:$I$2921,8,FALSE),"")</f>
        <v>综合</v>
      </c>
      <c r="J2657" s="29" t="s">
        <v>1700</v>
      </c>
      <c r="K2657" s="29" t="s">
        <v>1252</v>
      </c>
    </row>
    <row r="2658" ht="33.75" spans="1:11">
      <c r="A2658" s="29">
        <v>2657</v>
      </c>
      <c r="B2658" s="34" t="s">
        <v>3039</v>
      </c>
      <c r="C2658" s="29" t="str">
        <f>VLOOKUP(B2658,教育部大学名单!$B$1:$D$2920,3,FALSE)</f>
        <v>山东省教育厅</v>
      </c>
      <c r="D2658" s="34" t="s">
        <v>628</v>
      </c>
      <c r="E2658" s="34" t="s">
        <v>629</v>
      </c>
      <c r="F2658" s="36" t="str">
        <f>IFERROR(VLOOKUP(B2658,'985'!$B$2:$D$40,3,FALSE),"")</f>
        <v/>
      </c>
      <c r="G2658" s="32" t="str">
        <f>IFERROR(VLOOKUP(B2658,'211'!$B$2:$D$116,3,FALSE),"")</f>
        <v/>
      </c>
      <c r="H2658" s="32" t="str">
        <f>IFERROR(VLOOKUP(B2658,双一流!$B$2:$D$148,3,FALSE),"")</f>
        <v/>
      </c>
      <c r="I2658" s="32">
        <f>IFERROR(VLOOKUP(B2658,汇总!$B$2:$I$2921,8,FALSE),"")</f>
        <v>0</v>
      </c>
      <c r="J2658" s="34" t="s">
        <v>1700</v>
      </c>
      <c r="K2658" s="34" t="s">
        <v>1252</v>
      </c>
    </row>
    <row r="2659" ht="33.75" spans="1:11">
      <c r="A2659" s="34">
        <v>2658</v>
      </c>
      <c r="B2659" s="29" t="s">
        <v>3040</v>
      </c>
      <c r="C2659" s="29" t="str">
        <f>VLOOKUP(B2659,教育部大学名单!$B$1:$D$2920,3,FALSE)</f>
        <v>山东省教育厅</v>
      </c>
      <c r="D2659" s="29" t="s">
        <v>628</v>
      </c>
      <c r="E2659" s="29" t="s">
        <v>631</v>
      </c>
      <c r="F2659" s="36" t="str">
        <f>IFERROR(VLOOKUP(B2659,'985'!$B$2:$D$40,3,FALSE),"")</f>
        <v/>
      </c>
      <c r="G2659" s="32" t="str">
        <f>IFERROR(VLOOKUP(B2659,'211'!$B$2:$D$116,3,FALSE),"")</f>
        <v/>
      </c>
      <c r="H2659" s="32" t="str">
        <f>IFERROR(VLOOKUP(B2659,双一流!$B$2:$D$148,3,FALSE),"")</f>
        <v/>
      </c>
      <c r="I2659" s="32">
        <f>IFERROR(VLOOKUP(B2659,汇总!$B$2:$I$2921,8,FALSE),"")</f>
        <v>0</v>
      </c>
      <c r="J2659" s="29" t="s">
        <v>1700</v>
      </c>
      <c r="K2659" s="29" t="s">
        <v>1252</v>
      </c>
    </row>
    <row r="2660" ht="33.75" spans="1:11">
      <c r="A2660" s="29">
        <v>2659</v>
      </c>
      <c r="B2660" s="34" t="s">
        <v>3041</v>
      </c>
      <c r="C2660" s="29" t="str">
        <f>VLOOKUP(B2660,教育部大学名单!$B$1:$D$2920,3,FALSE)</f>
        <v>山东省教育厅</v>
      </c>
      <c r="D2660" s="34" t="s">
        <v>628</v>
      </c>
      <c r="E2660" s="34" t="s">
        <v>631</v>
      </c>
      <c r="F2660" s="36" t="str">
        <f>IFERROR(VLOOKUP(B2660,'985'!$B$2:$D$40,3,FALSE),"")</f>
        <v/>
      </c>
      <c r="G2660" s="32" t="str">
        <f>IFERROR(VLOOKUP(B2660,'211'!$B$2:$D$116,3,FALSE),"")</f>
        <v/>
      </c>
      <c r="H2660" s="32" t="str">
        <f>IFERROR(VLOOKUP(B2660,双一流!$B$2:$D$148,3,FALSE),"")</f>
        <v/>
      </c>
      <c r="I2660" s="32">
        <f>IFERROR(VLOOKUP(B2660,汇总!$B$2:$I$2921,8,FALSE),"")</f>
        <v>0</v>
      </c>
      <c r="J2660" s="34" t="s">
        <v>1700</v>
      </c>
      <c r="K2660" s="34" t="s">
        <v>1252</v>
      </c>
    </row>
    <row r="2661" ht="33.75" spans="1:11">
      <c r="A2661" s="34">
        <v>2660</v>
      </c>
      <c r="B2661" s="29" t="s">
        <v>3042</v>
      </c>
      <c r="C2661" s="29" t="str">
        <f>VLOOKUP(B2661,教育部大学名单!$B$1:$D$2920,3,FALSE)</f>
        <v>山东省教育厅</v>
      </c>
      <c r="D2661" s="29" t="s">
        <v>628</v>
      </c>
      <c r="E2661" s="29" t="s">
        <v>645</v>
      </c>
      <c r="F2661" s="36" t="str">
        <f>IFERROR(VLOOKUP(B2661,'985'!$B$2:$D$40,3,FALSE),"")</f>
        <v/>
      </c>
      <c r="G2661" s="32" t="str">
        <f>IFERROR(VLOOKUP(B2661,'211'!$B$2:$D$116,3,FALSE),"")</f>
        <v/>
      </c>
      <c r="H2661" s="32" t="str">
        <f>IFERROR(VLOOKUP(B2661,双一流!$B$2:$D$148,3,FALSE),"")</f>
        <v/>
      </c>
      <c r="I2661" s="32">
        <f>IFERROR(VLOOKUP(B2661,汇总!$B$2:$I$2921,8,FALSE),"")</f>
        <v>0</v>
      </c>
      <c r="J2661" s="29" t="s">
        <v>1700</v>
      </c>
      <c r="K2661" s="29" t="s">
        <v>1252</v>
      </c>
    </row>
    <row r="2662" ht="33.75" spans="1:11">
      <c r="A2662" s="29">
        <v>2661</v>
      </c>
      <c r="B2662" s="34" t="s">
        <v>3043</v>
      </c>
      <c r="C2662" s="29" t="str">
        <f>VLOOKUP(B2662,教育部大学名单!$B$1:$D$2920,3,FALSE)</f>
        <v>山东省教育厅</v>
      </c>
      <c r="D2662" s="34" t="s">
        <v>628</v>
      </c>
      <c r="E2662" s="34" t="s">
        <v>629</v>
      </c>
      <c r="F2662" s="36" t="str">
        <f>IFERROR(VLOOKUP(B2662,'985'!$B$2:$D$40,3,FALSE),"")</f>
        <v/>
      </c>
      <c r="G2662" s="32" t="str">
        <f>IFERROR(VLOOKUP(B2662,'211'!$B$2:$D$116,3,FALSE),"")</f>
        <v/>
      </c>
      <c r="H2662" s="32" t="str">
        <f>IFERROR(VLOOKUP(B2662,双一流!$B$2:$D$148,3,FALSE),"")</f>
        <v/>
      </c>
      <c r="I2662" s="32">
        <f>IFERROR(VLOOKUP(B2662,汇总!$B$2:$I$2921,8,FALSE),"")</f>
        <v>0</v>
      </c>
      <c r="J2662" s="34" t="s">
        <v>1700</v>
      </c>
      <c r="K2662" s="34" t="s">
        <v>1252</v>
      </c>
    </row>
    <row r="2663" ht="33.75" spans="1:11">
      <c r="A2663" s="34">
        <v>2662</v>
      </c>
      <c r="B2663" s="29" t="s">
        <v>3044</v>
      </c>
      <c r="C2663" s="29" t="str">
        <f>VLOOKUP(B2663,教育部大学名单!$B$1:$D$2920,3,FALSE)</f>
        <v>山东省教育厅</v>
      </c>
      <c r="D2663" s="29" t="s">
        <v>628</v>
      </c>
      <c r="E2663" s="29" t="s">
        <v>631</v>
      </c>
      <c r="F2663" s="36" t="str">
        <f>IFERROR(VLOOKUP(B2663,'985'!$B$2:$D$40,3,FALSE),"")</f>
        <v/>
      </c>
      <c r="G2663" s="32" t="str">
        <f>IFERROR(VLOOKUP(B2663,'211'!$B$2:$D$116,3,FALSE),"")</f>
        <v/>
      </c>
      <c r="H2663" s="32" t="str">
        <f>IFERROR(VLOOKUP(B2663,双一流!$B$2:$D$148,3,FALSE),"")</f>
        <v/>
      </c>
      <c r="I2663" s="32">
        <f>IFERROR(VLOOKUP(B2663,汇总!$B$2:$I$2921,8,FALSE),"")</f>
        <v>0</v>
      </c>
      <c r="J2663" s="29" t="s">
        <v>1700</v>
      </c>
      <c r="K2663" s="29" t="s">
        <v>1252</v>
      </c>
    </row>
    <row r="2664" ht="33.75" spans="1:11">
      <c r="A2664" s="29">
        <v>2663</v>
      </c>
      <c r="B2664" s="34" t="s">
        <v>3045</v>
      </c>
      <c r="C2664" s="29" t="str">
        <f>VLOOKUP(B2664,教育部大学名单!$B$1:$D$2920,3,FALSE)</f>
        <v>山东省教育厅</v>
      </c>
      <c r="D2664" s="34" t="s">
        <v>628</v>
      </c>
      <c r="E2664" s="34" t="s">
        <v>645</v>
      </c>
      <c r="F2664" s="36" t="str">
        <f>IFERROR(VLOOKUP(B2664,'985'!$B$2:$D$40,3,FALSE),"")</f>
        <v/>
      </c>
      <c r="G2664" s="32" t="str">
        <f>IFERROR(VLOOKUP(B2664,'211'!$B$2:$D$116,3,FALSE),"")</f>
        <v/>
      </c>
      <c r="H2664" s="32" t="str">
        <f>IFERROR(VLOOKUP(B2664,双一流!$B$2:$D$148,3,FALSE),"")</f>
        <v/>
      </c>
      <c r="I2664" s="32">
        <f>IFERROR(VLOOKUP(B2664,汇总!$B$2:$I$2921,8,FALSE),"")</f>
        <v>0</v>
      </c>
      <c r="J2664" s="34" t="s">
        <v>1700</v>
      </c>
      <c r="K2664" s="34" t="s">
        <v>1252</v>
      </c>
    </row>
    <row r="2665" ht="33.75" spans="1:11">
      <c r="A2665" s="34">
        <v>2664</v>
      </c>
      <c r="B2665" s="29" t="s">
        <v>3046</v>
      </c>
      <c r="C2665" s="29" t="str">
        <f>VLOOKUP(B2665,教育部大学名单!$B$1:$D$2920,3,FALSE)</f>
        <v>山东省教育厅</v>
      </c>
      <c r="D2665" s="29" t="s">
        <v>628</v>
      </c>
      <c r="E2665" s="29" t="s">
        <v>629</v>
      </c>
      <c r="F2665" s="36" t="str">
        <f>IFERROR(VLOOKUP(B2665,'985'!$B$2:$D$40,3,FALSE),"")</f>
        <v/>
      </c>
      <c r="G2665" s="32" t="str">
        <f>IFERROR(VLOOKUP(B2665,'211'!$B$2:$D$116,3,FALSE),"")</f>
        <v/>
      </c>
      <c r="H2665" s="32" t="str">
        <f>IFERROR(VLOOKUP(B2665,双一流!$B$2:$D$148,3,FALSE),"")</f>
        <v/>
      </c>
      <c r="I2665" s="32">
        <f>IFERROR(VLOOKUP(B2665,汇总!$B$2:$I$2921,8,FALSE),"")</f>
        <v>0</v>
      </c>
      <c r="J2665" s="29" t="s">
        <v>1700</v>
      </c>
      <c r="K2665" s="29" t="s">
        <v>1252</v>
      </c>
    </row>
    <row r="2666" ht="33.75" spans="1:11">
      <c r="A2666" s="29">
        <v>2665</v>
      </c>
      <c r="B2666" s="34" t="s">
        <v>3047</v>
      </c>
      <c r="C2666" s="29" t="str">
        <f>VLOOKUP(B2666,教育部大学名单!$B$1:$D$2920,3,FALSE)</f>
        <v>山东省教育厅</v>
      </c>
      <c r="D2666" s="34" t="s">
        <v>628</v>
      </c>
      <c r="E2666" s="34" t="s">
        <v>660</v>
      </c>
      <c r="F2666" s="36" t="str">
        <f>IFERROR(VLOOKUP(B2666,'985'!$B$2:$D$40,3,FALSE),"")</f>
        <v/>
      </c>
      <c r="G2666" s="32" t="str">
        <f>IFERROR(VLOOKUP(B2666,'211'!$B$2:$D$116,3,FALSE),"")</f>
        <v/>
      </c>
      <c r="H2666" s="32" t="str">
        <f>IFERROR(VLOOKUP(B2666,双一流!$B$2:$D$148,3,FALSE),"")</f>
        <v/>
      </c>
      <c r="I2666" s="32">
        <f>IFERROR(VLOOKUP(B2666,汇总!$B$2:$I$2921,8,FALSE),"")</f>
        <v>0</v>
      </c>
      <c r="J2666" s="34" t="s">
        <v>1700</v>
      </c>
      <c r="K2666" s="34" t="s">
        <v>1252</v>
      </c>
    </row>
    <row r="2667" ht="33.75" spans="1:11">
      <c r="A2667" s="34">
        <v>2666</v>
      </c>
      <c r="B2667" s="29" t="s">
        <v>3048</v>
      </c>
      <c r="C2667" s="29" t="str">
        <f>VLOOKUP(B2667,教育部大学名单!$B$1:$D$2920,3,FALSE)</f>
        <v>山东省教育厅</v>
      </c>
      <c r="D2667" s="29" t="s">
        <v>628</v>
      </c>
      <c r="E2667" s="29" t="s">
        <v>688</v>
      </c>
      <c r="F2667" s="36" t="str">
        <f>IFERROR(VLOOKUP(B2667,'985'!$B$2:$D$40,3,FALSE),"")</f>
        <v/>
      </c>
      <c r="G2667" s="32" t="str">
        <f>IFERROR(VLOOKUP(B2667,'211'!$B$2:$D$116,3,FALSE),"")</f>
        <v/>
      </c>
      <c r="H2667" s="32" t="str">
        <f>IFERROR(VLOOKUP(B2667,双一流!$B$2:$D$148,3,FALSE),"")</f>
        <v/>
      </c>
      <c r="I2667" s="32">
        <f>IFERROR(VLOOKUP(B2667,汇总!$B$2:$I$2921,8,FALSE),"")</f>
        <v>0</v>
      </c>
      <c r="J2667" s="29" t="s">
        <v>1700</v>
      </c>
      <c r="K2667" s="29" t="s">
        <v>1252</v>
      </c>
    </row>
    <row r="2668" ht="33.75" spans="1:11">
      <c r="A2668" s="29">
        <v>2667</v>
      </c>
      <c r="B2668" s="34" t="s">
        <v>3049</v>
      </c>
      <c r="C2668" s="29" t="str">
        <f>VLOOKUP(B2668,教育部大学名单!$B$1:$D$2920,3,FALSE)</f>
        <v>山东省教育厅</v>
      </c>
      <c r="D2668" s="34" t="s">
        <v>628</v>
      </c>
      <c r="E2668" s="34" t="s">
        <v>631</v>
      </c>
      <c r="F2668" s="36" t="str">
        <f>IFERROR(VLOOKUP(B2668,'985'!$B$2:$D$40,3,FALSE),"")</f>
        <v/>
      </c>
      <c r="G2668" s="32" t="str">
        <f>IFERROR(VLOOKUP(B2668,'211'!$B$2:$D$116,3,FALSE),"")</f>
        <v/>
      </c>
      <c r="H2668" s="32" t="str">
        <f>IFERROR(VLOOKUP(B2668,双一流!$B$2:$D$148,3,FALSE),"")</f>
        <v/>
      </c>
      <c r="I2668" s="32">
        <f>IFERROR(VLOOKUP(B2668,汇总!$B$2:$I$2921,8,FALSE),"")</f>
        <v>0</v>
      </c>
      <c r="J2668" s="34" t="s">
        <v>1700</v>
      </c>
      <c r="K2668" s="34" t="s">
        <v>1252</v>
      </c>
    </row>
    <row r="2669" ht="33.75" spans="1:11">
      <c r="A2669" s="34">
        <v>2668</v>
      </c>
      <c r="B2669" s="29" t="s">
        <v>3050</v>
      </c>
      <c r="C2669" s="29" t="str">
        <f>VLOOKUP(B2669,教育部大学名单!$B$1:$D$2920,3,FALSE)</f>
        <v>山东省教育厅</v>
      </c>
      <c r="D2669" s="29" t="s">
        <v>628</v>
      </c>
      <c r="E2669" s="29" t="s">
        <v>645</v>
      </c>
      <c r="F2669" s="36" t="str">
        <f>IFERROR(VLOOKUP(B2669,'985'!$B$2:$D$40,3,FALSE),"")</f>
        <v/>
      </c>
      <c r="G2669" s="32" t="str">
        <f>IFERROR(VLOOKUP(B2669,'211'!$B$2:$D$116,3,FALSE),"")</f>
        <v/>
      </c>
      <c r="H2669" s="32" t="str">
        <f>IFERROR(VLOOKUP(B2669,双一流!$B$2:$D$148,3,FALSE),"")</f>
        <v/>
      </c>
      <c r="I2669" s="32">
        <f>IFERROR(VLOOKUP(B2669,汇总!$B$2:$I$2921,8,FALSE),"")</f>
        <v>0</v>
      </c>
      <c r="J2669" s="29" t="s">
        <v>1700</v>
      </c>
      <c r="K2669" s="29" t="s">
        <v>1252</v>
      </c>
    </row>
    <row r="2670" ht="33.75" spans="1:11">
      <c r="A2670" s="29">
        <v>2669</v>
      </c>
      <c r="B2670" s="34" t="s">
        <v>3051</v>
      </c>
      <c r="C2670" s="29" t="str">
        <f>VLOOKUP(B2670,教育部大学名单!$B$1:$D$2920,3,FALSE)</f>
        <v>山东省教育厅</v>
      </c>
      <c r="D2670" s="34" t="s">
        <v>628</v>
      </c>
      <c r="E2670" s="34" t="s">
        <v>648</v>
      </c>
      <c r="F2670" s="36" t="str">
        <f>IFERROR(VLOOKUP(B2670,'985'!$B$2:$D$40,3,FALSE),"")</f>
        <v/>
      </c>
      <c r="G2670" s="32" t="str">
        <f>IFERROR(VLOOKUP(B2670,'211'!$B$2:$D$116,3,FALSE),"")</f>
        <v/>
      </c>
      <c r="H2670" s="32" t="str">
        <f>IFERROR(VLOOKUP(B2670,双一流!$B$2:$D$148,3,FALSE),"")</f>
        <v/>
      </c>
      <c r="I2670" s="32">
        <f>IFERROR(VLOOKUP(B2670,汇总!$B$2:$I$2921,8,FALSE),"")</f>
        <v>0</v>
      </c>
      <c r="J2670" s="34" t="s">
        <v>1700</v>
      </c>
      <c r="K2670" s="34" t="s">
        <v>1252</v>
      </c>
    </row>
    <row r="2671" ht="50.25" spans="1:11">
      <c r="A2671" s="34">
        <v>2670</v>
      </c>
      <c r="B2671" s="29" t="s">
        <v>3052</v>
      </c>
      <c r="C2671" s="29" t="str">
        <f>VLOOKUP(B2671,教育部大学名单!$B$1:$D$2920,3,FALSE)</f>
        <v>河南省教育厅</v>
      </c>
      <c r="D2671" s="29" t="s">
        <v>692</v>
      </c>
      <c r="E2671" s="29" t="s">
        <v>693</v>
      </c>
      <c r="F2671" s="36" t="str">
        <f>IFERROR(VLOOKUP(B2671,'985'!$B$2:$D$40,3,FALSE),"")</f>
        <v/>
      </c>
      <c r="G2671" s="32" t="str">
        <f>IFERROR(VLOOKUP(B2671,'211'!$B$2:$D$116,3,FALSE),"")</f>
        <v/>
      </c>
      <c r="H2671" s="32" t="str">
        <f>IFERROR(VLOOKUP(B2671,双一流!$B$2:$D$148,3,FALSE),"")</f>
        <v/>
      </c>
      <c r="I2671" s="32">
        <f>IFERROR(VLOOKUP(B2671,汇总!$B$2:$I$2921,8,FALSE),"")</f>
        <v>0</v>
      </c>
      <c r="J2671" s="29" t="s">
        <v>1700</v>
      </c>
      <c r="K2671" s="29" t="s">
        <v>1252</v>
      </c>
    </row>
    <row r="2672" ht="33.75" spans="1:11">
      <c r="A2672" s="29">
        <v>2671</v>
      </c>
      <c r="B2672" s="34" t="s">
        <v>3053</v>
      </c>
      <c r="C2672" s="29" t="str">
        <f>VLOOKUP(B2672,教育部大学名单!$B$1:$D$2920,3,FALSE)</f>
        <v>河南省教育厅</v>
      </c>
      <c r="D2672" s="34" t="s">
        <v>692</v>
      </c>
      <c r="E2672" s="34" t="s">
        <v>693</v>
      </c>
      <c r="F2672" s="36" t="str">
        <f>IFERROR(VLOOKUP(B2672,'985'!$B$2:$D$40,3,FALSE),"")</f>
        <v/>
      </c>
      <c r="G2672" s="32" t="str">
        <f>IFERROR(VLOOKUP(B2672,'211'!$B$2:$D$116,3,FALSE),"")</f>
        <v/>
      </c>
      <c r="H2672" s="32" t="str">
        <f>IFERROR(VLOOKUP(B2672,双一流!$B$2:$D$148,3,FALSE),"")</f>
        <v/>
      </c>
      <c r="I2672" s="32" t="str">
        <f>IFERROR(VLOOKUP(B2672,汇总!$B$2:$I$2921,8,FALSE),"")</f>
        <v>综合</v>
      </c>
      <c r="J2672" s="34" t="s">
        <v>1700</v>
      </c>
      <c r="K2672" s="34" t="s">
        <v>1252</v>
      </c>
    </row>
    <row r="2673" ht="33.75" spans="1:11">
      <c r="A2673" s="34">
        <v>2672</v>
      </c>
      <c r="B2673" s="29" t="s">
        <v>3054</v>
      </c>
      <c r="C2673" s="29" t="str">
        <f>VLOOKUP(B2673,教育部大学名单!$B$1:$D$2920,3,FALSE)</f>
        <v>河南省教育厅</v>
      </c>
      <c r="D2673" s="29" t="s">
        <v>692</v>
      </c>
      <c r="E2673" s="29" t="s">
        <v>693</v>
      </c>
      <c r="F2673" s="36" t="str">
        <f>IFERROR(VLOOKUP(B2673,'985'!$B$2:$D$40,3,FALSE),"")</f>
        <v/>
      </c>
      <c r="G2673" s="32" t="str">
        <f>IFERROR(VLOOKUP(B2673,'211'!$B$2:$D$116,3,FALSE),"")</f>
        <v/>
      </c>
      <c r="H2673" s="32" t="str">
        <f>IFERROR(VLOOKUP(B2673,双一流!$B$2:$D$148,3,FALSE),"")</f>
        <v/>
      </c>
      <c r="I2673" s="32" t="str">
        <f>IFERROR(VLOOKUP(B2673,汇总!$B$2:$I$2921,8,FALSE),"")</f>
        <v>理工</v>
      </c>
      <c r="J2673" s="29" t="s">
        <v>1700</v>
      </c>
      <c r="K2673" s="29" t="s">
        <v>1252</v>
      </c>
    </row>
    <row r="2674" ht="33.75" spans="1:11">
      <c r="A2674" s="29">
        <v>2673</v>
      </c>
      <c r="B2674" s="34" t="s">
        <v>3055</v>
      </c>
      <c r="C2674" s="29" t="str">
        <f>VLOOKUP(B2674,教育部大学名单!$B$1:$D$2920,3,FALSE)</f>
        <v>河南省教育厅</v>
      </c>
      <c r="D2674" s="34" t="s">
        <v>692</v>
      </c>
      <c r="E2674" s="34" t="s">
        <v>693</v>
      </c>
      <c r="F2674" s="36" t="str">
        <f>IFERROR(VLOOKUP(B2674,'985'!$B$2:$D$40,3,FALSE),"")</f>
        <v/>
      </c>
      <c r="G2674" s="32" t="str">
        <f>IFERROR(VLOOKUP(B2674,'211'!$B$2:$D$116,3,FALSE),"")</f>
        <v/>
      </c>
      <c r="H2674" s="32" t="str">
        <f>IFERROR(VLOOKUP(B2674,双一流!$B$2:$D$148,3,FALSE),"")</f>
        <v/>
      </c>
      <c r="I2674" s="32" t="str">
        <f>IFERROR(VLOOKUP(B2674,汇总!$B$2:$I$2921,8,FALSE),"")</f>
        <v>理工</v>
      </c>
      <c r="J2674" s="34" t="s">
        <v>1700</v>
      </c>
      <c r="K2674" s="34" t="s">
        <v>1252</v>
      </c>
    </row>
    <row r="2675" ht="33.75" spans="1:11">
      <c r="A2675" s="34">
        <v>2674</v>
      </c>
      <c r="B2675" s="29" t="s">
        <v>3056</v>
      </c>
      <c r="C2675" s="29" t="str">
        <f>VLOOKUP(B2675,教育部大学名单!$B$1:$D$2920,3,FALSE)</f>
        <v>河南省教育厅</v>
      </c>
      <c r="D2675" s="29" t="s">
        <v>692</v>
      </c>
      <c r="E2675" s="29" t="s">
        <v>696</v>
      </c>
      <c r="F2675" s="36" t="str">
        <f>IFERROR(VLOOKUP(B2675,'985'!$B$2:$D$40,3,FALSE),"")</f>
        <v/>
      </c>
      <c r="G2675" s="32" t="str">
        <f>IFERROR(VLOOKUP(B2675,'211'!$B$2:$D$116,3,FALSE),"")</f>
        <v/>
      </c>
      <c r="H2675" s="32" t="str">
        <f>IFERROR(VLOOKUP(B2675,双一流!$B$2:$D$148,3,FALSE),"")</f>
        <v/>
      </c>
      <c r="I2675" s="32">
        <f>IFERROR(VLOOKUP(B2675,汇总!$B$2:$I$2921,8,FALSE),"")</f>
        <v>0</v>
      </c>
      <c r="J2675" s="29" t="s">
        <v>1700</v>
      </c>
      <c r="K2675" s="29" t="s">
        <v>1252</v>
      </c>
    </row>
    <row r="2676" ht="33.75" spans="1:11">
      <c r="A2676" s="29">
        <v>2675</v>
      </c>
      <c r="B2676" s="34" t="s">
        <v>3057</v>
      </c>
      <c r="C2676" s="29" t="str">
        <f>VLOOKUP(B2676,教育部大学名单!$B$1:$D$2920,3,FALSE)</f>
        <v>河南省教育厅</v>
      </c>
      <c r="D2676" s="34" t="s">
        <v>692</v>
      </c>
      <c r="E2676" s="34" t="s">
        <v>718</v>
      </c>
      <c r="F2676" s="36" t="str">
        <f>IFERROR(VLOOKUP(B2676,'985'!$B$2:$D$40,3,FALSE),"")</f>
        <v/>
      </c>
      <c r="G2676" s="32" t="str">
        <f>IFERROR(VLOOKUP(B2676,'211'!$B$2:$D$116,3,FALSE),"")</f>
        <v/>
      </c>
      <c r="H2676" s="32" t="str">
        <f>IFERROR(VLOOKUP(B2676,双一流!$B$2:$D$148,3,FALSE),"")</f>
        <v/>
      </c>
      <c r="I2676" s="32">
        <f>IFERROR(VLOOKUP(B2676,汇总!$B$2:$I$2921,8,FALSE),"")</f>
        <v>0</v>
      </c>
      <c r="J2676" s="34" t="s">
        <v>1700</v>
      </c>
      <c r="K2676" s="34" t="s">
        <v>1252</v>
      </c>
    </row>
    <row r="2677" ht="33.75" spans="1:11">
      <c r="A2677" s="34">
        <v>2676</v>
      </c>
      <c r="B2677" s="29" t="s">
        <v>3058</v>
      </c>
      <c r="C2677" s="29" t="str">
        <f>VLOOKUP(B2677,教育部大学名单!$B$1:$D$2920,3,FALSE)</f>
        <v>河南省教育厅</v>
      </c>
      <c r="D2677" s="29" t="s">
        <v>692</v>
      </c>
      <c r="E2677" s="29" t="s">
        <v>693</v>
      </c>
      <c r="F2677" s="36" t="str">
        <f>IFERROR(VLOOKUP(B2677,'985'!$B$2:$D$40,3,FALSE),"")</f>
        <v/>
      </c>
      <c r="G2677" s="32" t="str">
        <f>IFERROR(VLOOKUP(B2677,'211'!$B$2:$D$116,3,FALSE),"")</f>
        <v/>
      </c>
      <c r="H2677" s="32" t="str">
        <f>IFERROR(VLOOKUP(B2677,双一流!$B$2:$D$148,3,FALSE),"")</f>
        <v/>
      </c>
      <c r="I2677" s="32">
        <f>IFERROR(VLOOKUP(B2677,汇总!$B$2:$I$2921,8,FALSE),"")</f>
        <v>0</v>
      </c>
      <c r="J2677" s="29" t="s">
        <v>1700</v>
      </c>
      <c r="K2677" s="29" t="s">
        <v>1252</v>
      </c>
    </row>
    <row r="2678" ht="33.75" spans="1:11">
      <c r="A2678" s="29">
        <v>2677</v>
      </c>
      <c r="B2678" s="34" t="s">
        <v>3059</v>
      </c>
      <c r="C2678" s="29" t="str">
        <f>VLOOKUP(B2678,教育部大学名单!$B$1:$D$2920,3,FALSE)</f>
        <v>河南省教育厅</v>
      </c>
      <c r="D2678" s="34" t="s">
        <v>692</v>
      </c>
      <c r="E2678" s="34" t="s">
        <v>693</v>
      </c>
      <c r="F2678" s="36" t="str">
        <f>IFERROR(VLOOKUP(B2678,'985'!$B$2:$D$40,3,FALSE),"")</f>
        <v/>
      </c>
      <c r="G2678" s="32" t="str">
        <f>IFERROR(VLOOKUP(B2678,'211'!$B$2:$D$116,3,FALSE),"")</f>
        <v/>
      </c>
      <c r="H2678" s="32" t="str">
        <f>IFERROR(VLOOKUP(B2678,双一流!$B$2:$D$148,3,FALSE),"")</f>
        <v/>
      </c>
      <c r="I2678" s="32">
        <f>IFERROR(VLOOKUP(B2678,汇总!$B$2:$I$2921,8,FALSE),"")</f>
        <v>0</v>
      </c>
      <c r="J2678" s="34" t="s">
        <v>1700</v>
      </c>
      <c r="K2678" s="34" t="s">
        <v>1252</v>
      </c>
    </row>
    <row r="2679" ht="33.75" spans="1:11">
      <c r="A2679" s="34">
        <v>2678</v>
      </c>
      <c r="B2679" s="29" t="s">
        <v>3060</v>
      </c>
      <c r="C2679" s="29" t="str">
        <f>VLOOKUP(B2679,教育部大学名单!$B$1:$D$2920,3,FALSE)</f>
        <v>河南省教育厅</v>
      </c>
      <c r="D2679" s="29" t="s">
        <v>692</v>
      </c>
      <c r="E2679" s="29" t="s">
        <v>704</v>
      </c>
      <c r="F2679" s="36" t="str">
        <f>IFERROR(VLOOKUP(B2679,'985'!$B$2:$D$40,3,FALSE),"")</f>
        <v/>
      </c>
      <c r="G2679" s="32" t="str">
        <f>IFERROR(VLOOKUP(B2679,'211'!$B$2:$D$116,3,FALSE),"")</f>
        <v/>
      </c>
      <c r="H2679" s="32" t="str">
        <f>IFERROR(VLOOKUP(B2679,双一流!$B$2:$D$148,3,FALSE),"")</f>
        <v/>
      </c>
      <c r="I2679" s="32">
        <f>IFERROR(VLOOKUP(B2679,汇总!$B$2:$I$2921,8,FALSE),"")</f>
        <v>0</v>
      </c>
      <c r="J2679" s="29" t="s">
        <v>1700</v>
      </c>
      <c r="K2679" s="29" t="s">
        <v>1252</v>
      </c>
    </row>
    <row r="2680" ht="33.75" spans="1:11">
      <c r="A2680" s="29">
        <v>2679</v>
      </c>
      <c r="B2680" s="34" t="s">
        <v>3061</v>
      </c>
      <c r="C2680" s="29" t="str">
        <f>VLOOKUP(B2680,教育部大学名单!$B$1:$D$2920,3,FALSE)</f>
        <v>河南省教育厅</v>
      </c>
      <c r="D2680" s="34" t="s">
        <v>692</v>
      </c>
      <c r="E2680" s="34" t="s">
        <v>712</v>
      </c>
      <c r="F2680" s="36" t="str">
        <f>IFERROR(VLOOKUP(B2680,'985'!$B$2:$D$40,3,FALSE),"")</f>
        <v/>
      </c>
      <c r="G2680" s="32" t="str">
        <f>IFERROR(VLOOKUP(B2680,'211'!$B$2:$D$116,3,FALSE),"")</f>
        <v/>
      </c>
      <c r="H2680" s="32" t="str">
        <f>IFERROR(VLOOKUP(B2680,双一流!$B$2:$D$148,3,FALSE),"")</f>
        <v/>
      </c>
      <c r="I2680" s="32">
        <f>IFERROR(VLOOKUP(B2680,汇总!$B$2:$I$2921,8,FALSE),"")</f>
        <v>0</v>
      </c>
      <c r="J2680" s="34" t="s">
        <v>1700</v>
      </c>
      <c r="K2680" s="34" t="s">
        <v>1252</v>
      </c>
    </row>
    <row r="2681" ht="33.75" spans="1:11">
      <c r="A2681" s="34">
        <v>2680</v>
      </c>
      <c r="B2681" s="29" t="s">
        <v>3062</v>
      </c>
      <c r="C2681" s="29" t="str">
        <f>VLOOKUP(B2681,教育部大学名单!$B$1:$D$2920,3,FALSE)</f>
        <v>河南省教育厅</v>
      </c>
      <c r="D2681" s="29" t="s">
        <v>692</v>
      </c>
      <c r="E2681" s="29" t="s">
        <v>2274</v>
      </c>
      <c r="F2681" s="36" t="str">
        <f>IFERROR(VLOOKUP(B2681,'985'!$B$2:$D$40,3,FALSE),"")</f>
        <v/>
      </c>
      <c r="G2681" s="32" t="str">
        <f>IFERROR(VLOOKUP(B2681,'211'!$B$2:$D$116,3,FALSE),"")</f>
        <v/>
      </c>
      <c r="H2681" s="32" t="str">
        <f>IFERROR(VLOOKUP(B2681,双一流!$B$2:$D$148,3,FALSE),"")</f>
        <v/>
      </c>
      <c r="I2681" s="32">
        <f>IFERROR(VLOOKUP(B2681,汇总!$B$2:$I$2921,8,FALSE),"")</f>
        <v>0</v>
      </c>
      <c r="J2681" s="29" t="s">
        <v>1700</v>
      </c>
      <c r="K2681" s="29" t="s">
        <v>1252</v>
      </c>
    </row>
    <row r="2682" ht="33.75" spans="1:11">
      <c r="A2682" s="29">
        <v>2681</v>
      </c>
      <c r="B2682" s="34" t="s">
        <v>3063</v>
      </c>
      <c r="C2682" s="29" t="str">
        <f>VLOOKUP(B2682,教育部大学名单!$B$1:$D$2920,3,FALSE)</f>
        <v>河南省教育厅</v>
      </c>
      <c r="D2682" s="34" t="s">
        <v>692</v>
      </c>
      <c r="E2682" s="34" t="s">
        <v>720</v>
      </c>
      <c r="F2682" s="36" t="str">
        <f>IFERROR(VLOOKUP(B2682,'985'!$B$2:$D$40,3,FALSE),"")</f>
        <v/>
      </c>
      <c r="G2682" s="32" t="str">
        <f>IFERROR(VLOOKUP(B2682,'211'!$B$2:$D$116,3,FALSE),"")</f>
        <v/>
      </c>
      <c r="H2682" s="32" t="str">
        <f>IFERROR(VLOOKUP(B2682,双一流!$B$2:$D$148,3,FALSE),"")</f>
        <v/>
      </c>
      <c r="I2682" s="32">
        <f>IFERROR(VLOOKUP(B2682,汇总!$B$2:$I$2921,8,FALSE),"")</f>
        <v>0</v>
      </c>
      <c r="J2682" s="34" t="s">
        <v>1700</v>
      </c>
      <c r="K2682" s="34" t="s">
        <v>1252</v>
      </c>
    </row>
    <row r="2683" ht="33.75" spans="1:11">
      <c r="A2683" s="34">
        <v>2682</v>
      </c>
      <c r="B2683" s="29" t="s">
        <v>3064</v>
      </c>
      <c r="C2683" s="29" t="str">
        <f>VLOOKUP(B2683,教育部大学名单!$B$1:$D$2920,3,FALSE)</f>
        <v>河南省教育厅</v>
      </c>
      <c r="D2683" s="29" t="s">
        <v>692</v>
      </c>
      <c r="E2683" s="29" t="s">
        <v>693</v>
      </c>
      <c r="F2683" s="36" t="str">
        <f>IFERROR(VLOOKUP(B2683,'985'!$B$2:$D$40,3,FALSE),"")</f>
        <v/>
      </c>
      <c r="G2683" s="32" t="str">
        <f>IFERROR(VLOOKUP(B2683,'211'!$B$2:$D$116,3,FALSE),"")</f>
        <v/>
      </c>
      <c r="H2683" s="32" t="str">
        <f>IFERROR(VLOOKUP(B2683,双一流!$B$2:$D$148,3,FALSE),"")</f>
        <v/>
      </c>
      <c r="I2683" s="32">
        <f>IFERROR(VLOOKUP(B2683,汇总!$B$2:$I$2921,8,FALSE),"")</f>
        <v>0</v>
      </c>
      <c r="J2683" s="29" t="s">
        <v>1700</v>
      </c>
      <c r="K2683" s="29" t="s">
        <v>1252</v>
      </c>
    </row>
    <row r="2684" ht="33.75" spans="1:11">
      <c r="A2684" s="29">
        <v>2683</v>
      </c>
      <c r="B2684" s="34" t="s">
        <v>3065</v>
      </c>
      <c r="C2684" s="29" t="str">
        <f>VLOOKUP(B2684,教育部大学名单!$B$1:$D$2920,3,FALSE)</f>
        <v>河南省教育厅</v>
      </c>
      <c r="D2684" s="34" t="s">
        <v>692</v>
      </c>
      <c r="E2684" s="34" t="s">
        <v>693</v>
      </c>
      <c r="F2684" s="36" t="str">
        <f>IFERROR(VLOOKUP(B2684,'985'!$B$2:$D$40,3,FALSE),"")</f>
        <v/>
      </c>
      <c r="G2684" s="32" t="str">
        <f>IFERROR(VLOOKUP(B2684,'211'!$B$2:$D$116,3,FALSE),"")</f>
        <v/>
      </c>
      <c r="H2684" s="32" t="str">
        <f>IFERROR(VLOOKUP(B2684,双一流!$B$2:$D$148,3,FALSE),"")</f>
        <v/>
      </c>
      <c r="I2684" s="32">
        <f>IFERROR(VLOOKUP(B2684,汇总!$B$2:$I$2921,8,FALSE),"")</f>
        <v>0</v>
      </c>
      <c r="J2684" s="34" t="s">
        <v>1700</v>
      </c>
      <c r="K2684" s="34" t="s">
        <v>1252</v>
      </c>
    </row>
    <row r="2685" ht="33.75" spans="1:11">
      <c r="A2685" s="34">
        <v>2684</v>
      </c>
      <c r="B2685" s="29" t="s">
        <v>3066</v>
      </c>
      <c r="C2685" s="29" t="str">
        <f>VLOOKUP(B2685,教育部大学名单!$B$1:$D$2920,3,FALSE)</f>
        <v>河南省教育厅</v>
      </c>
      <c r="D2685" s="29" t="s">
        <v>692</v>
      </c>
      <c r="E2685" s="29" t="s">
        <v>700</v>
      </c>
      <c r="F2685" s="36" t="str">
        <f>IFERROR(VLOOKUP(B2685,'985'!$B$2:$D$40,3,FALSE),"")</f>
        <v/>
      </c>
      <c r="G2685" s="32" t="str">
        <f>IFERROR(VLOOKUP(B2685,'211'!$B$2:$D$116,3,FALSE),"")</f>
        <v/>
      </c>
      <c r="H2685" s="32" t="str">
        <f>IFERROR(VLOOKUP(B2685,双一流!$B$2:$D$148,3,FALSE),"")</f>
        <v/>
      </c>
      <c r="I2685" s="32" t="str">
        <f>IFERROR(VLOOKUP(B2685,汇总!$B$2:$I$2921,8,FALSE),"")</f>
        <v>综合</v>
      </c>
      <c r="J2685" s="29" t="s">
        <v>1700</v>
      </c>
      <c r="K2685" s="29" t="s">
        <v>1252</v>
      </c>
    </row>
    <row r="2686" ht="50.25" spans="1:11">
      <c r="A2686" s="29">
        <v>2685</v>
      </c>
      <c r="B2686" s="34" t="s">
        <v>3067</v>
      </c>
      <c r="C2686" s="29" t="str">
        <f>VLOOKUP(B2686,教育部大学名单!$B$1:$D$2920,3,FALSE)</f>
        <v>河南省教育厅</v>
      </c>
      <c r="D2686" s="34" t="s">
        <v>692</v>
      </c>
      <c r="E2686" s="34" t="s">
        <v>729</v>
      </c>
      <c r="F2686" s="36" t="str">
        <f>IFERROR(VLOOKUP(B2686,'985'!$B$2:$D$40,3,FALSE),"")</f>
        <v/>
      </c>
      <c r="G2686" s="32" t="str">
        <f>IFERROR(VLOOKUP(B2686,'211'!$B$2:$D$116,3,FALSE),"")</f>
        <v/>
      </c>
      <c r="H2686" s="32" t="str">
        <f>IFERROR(VLOOKUP(B2686,双一流!$B$2:$D$148,3,FALSE),"")</f>
        <v/>
      </c>
      <c r="I2686" s="32">
        <f>IFERROR(VLOOKUP(B2686,汇总!$B$2:$I$2921,8,FALSE),"")</f>
        <v>0</v>
      </c>
      <c r="J2686" s="34" t="s">
        <v>1700</v>
      </c>
      <c r="K2686" s="34" t="s">
        <v>1252</v>
      </c>
    </row>
    <row r="2687" ht="33.75" spans="1:11">
      <c r="A2687" s="34">
        <v>2686</v>
      </c>
      <c r="B2687" s="29" t="s">
        <v>3068</v>
      </c>
      <c r="C2687" s="29" t="str">
        <f>VLOOKUP(B2687,教育部大学名单!$B$1:$D$2920,3,FALSE)</f>
        <v>河南省教育厅</v>
      </c>
      <c r="D2687" s="29" t="s">
        <v>692</v>
      </c>
      <c r="E2687" s="29" t="s">
        <v>712</v>
      </c>
      <c r="F2687" s="36" t="str">
        <f>IFERROR(VLOOKUP(B2687,'985'!$B$2:$D$40,3,FALSE),"")</f>
        <v/>
      </c>
      <c r="G2687" s="32" t="str">
        <f>IFERROR(VLOOKUP(B2687,'211'!$B$2:$D$116,3,FALSE),"")</f>
        <v/>
      </c>
      <c r="H2687" s="32" t="str">
        <f>IFERROR(VLOOKUP(B2687,双一流!$B$2:$D$148,3,FALSE),"")</f>
        <v/>
      </c>
      <c r="I2687" s="32">
        <f>IFERROR(VLOOKUP(B2687,汇总!$B$2:$I$2921,8,FALSE),"")</f>
        <v>0</v>
      </c>
      <c r="J2687" s="29" t="s">
        <v>1700</v>
      </c>
      <c r="K2687" s="29" t="s">
        <v>1252</v>
      </c>
    </row>
    <row r="2688" ht="33.75" spans="1:11">
      <c r="A2688" s="29">
        <v>2687</v>
      </c>
      <c r="B2688" s="34" t="s">
        <v>3069</v>
      </c>
      <c r="C2688" s="29" t="str">
        <f>VLOOKUP(B2688,教育部大学名单!$B$1:$D$2920,3,FALSE)</f>
        <v>河南省教育厅</v>
      </c>
      <c r="D2688" s="34" t="s">
        <v>692</v>
      </c>
      <c r="E2688" s="34" t="s">
        <v>716</v>
      </c>
      <c r="F2688" s="36" t="str">
        <f>IFERROR(VLOOKUP(B2688,'985'!$B$2:$D$40,3,FALSE),"")</f>
        <v/>
      </c>
      <c r="G2688" s="32" t="str">
        <f>IFERROR(VLOOKUP(B2688,'211'!$B$2:$D$116,3,FALSE),"")</f>
        <v/>
      </c>
      <c r="H2688" s="32" t="str">
        <f>IFERROR(VLOOKUP(B2688,双一流!$B$2:$D$148,3,FALSE),"")</f>
        <v/>
      </c>
      <c r="I2688" s="32">
        <f>IFERROR(VLOOKUP(B2688,汇总!$B$2:$I$2921,8,FALSE),"")</f>
        <v>0</v>
      </c>
      <c r="J2688" s="34" t="s">
        <v>1700</v>
      </c>
      <c r="K2688" s="34" t="s">
        <v>1252</v>
      </c>
    </row>
    <row r="2689" ht="33.75" spans="1:11">
      <c r="A2689" s="34">
        <v>2688</v>
      </c>
      <c r="B2689" s="29" t="s">
        <v>3070</v>
      </c>
      <c r="C2689" s="29" t="str">
        <f>VLOOKUP(B2689,教育部大学名单!$B$1:$D$2920,3,FALSE)</f>
        <v>河南省教育厅</v>
      </c>
      <c r="D2689" s="29" t="s">
        <v>692</v>
      </c>
      <c r="E2689" s="29" t="s">
        <v>693</v>
      </c>
      <c r="F2689" s="36" t="str">
        <f>IFERROR(VLOOKUP(B2689,'985'!$B$2:$D$40,3,FALSE),"")</f>
        <v/>
      </c>
      <c r="G2689" s="32" t="str">
        <f>IFERROR(VLOOKUP(B2689,'211'!$B$2:$D$116,3,FALSE),"")</f>
        <v/>
      </c>
      <c r="H2689" s="32" t="str">
        <f>IFERROR(VLOOKUP(B2689,双一流!$B$2:$D$148,3,FALSE),"")</f>
        <v/>
      </c>
      <c r="I2689" s="32">
        <f>IFERROR(VLOOKUP(B2689,汇总!$B$2:$I$2921,8,FALSE),"")</f>
        <v>0</v>
      </c>
      <c r="J2689" s="29" t="s">
        <v>1700</v>
      </c>
      <c r="K2689" s="29" t="s">
        <v>1252</v>
      </c>
    </row>
    <row r="2690" ht="33.75" spans="1:11">
      <c r="A2690" s="29">
        <v>2689</v>
      </c>
      <c r="B2690" s="34" t="s">
        <v>3071</v>
      </c>
      <c r="C2690" s="29" t="str">
        <f>VLOOKUP(B2690,教育部大学名单!$B$1:$D$2920,3,FALSE)</f>
        <v>河南省教育厅</v>
      </c>
      <c r="D2690" s="34" t="s">
        <v>692</v>
      </c>
      <c r="E2690" s="34" t="s">
        <v>693</v>
      </c>
      <c r="F2690" s="36" t="str">
        <f>IFERROR(VLOOKUP(B2690,'985'!$B$2:$D$40,3,FALSE),"")</f>
        <v/>
      </c>
      <c r="G2690" s="32" t="str">
        <f>IFERROR(VLOOKUP(B2690,'211'!$B$2:$D$116,3,FALSE),"")</f>
        <v/>
      </c>
      <c r="H2690" s="32" t="str">
        <f>IFERROR(VLOOKUP(B2690,双一流!$B$2:$D$148,3,FALSE),"")</f>
        <v/>
      </c>
      <c r="I2690" s="32">
        <f>IFERROR(VLOOKUP(B2690,汇总!$B$2:$I$2921,8,FALSE),"")</f>
        <v>0</v>
      </c>
      <c r="J2690" s="34" t="s">
        <v>1700</v>
      </c>
      <c r="K2690" s="34" t="s">
        <v>1252</v>
      </c>
    </row>
    <row r="2691" ht="33.75" spans="1:11">
      <c r="A2691" s="34">
        <v>2690</v>
      </c>
      <c r="B2691" s="29" t="s">
        <v>3072</v>
      </c>
      <c r="C2691" s="29" t="str">
        <f>VLOOKUP(B2691,教育部大学名单!$B$1:$D$2920,3,FALSE)</f>
        <v>河南省教育厅</v>
      </c>
      <c r="D2691" s="29" t="s">
        <v>692</v>
      </c>
      <c r="E2691" s="29" t="s">
        <v>693</v>
      </c>
      <c r="F2691" s="36" t="str">
        <f>IFERROR(VLOOKUP(B2691,'985'!$B$2:$D$40,3,FALSE),"")</f>
        <v/>
      </c>
      <c r="G2691" s="32" t="str">
        <f>IFERROR(VLOOKUP(B2691,'211'!$B$2:$D$116,3,FALSE),"")</f>
        <v/>
      </c>
      <c r="H2691" s="32" t="str">
        <f>IFERROR(VLOOKUP(B2691,双一流!$B$2:$D$148,3,FALSE),"")</f>
        <v/>
      </c>
      <c r="I2691" s="32">
        <f>IFERROR(VLOOKUP(B2691,汇总!$B$2:$I$2921,8,FALSE),"")</f>
        <v>0</v>
      </c>
      <c r="J2691" s="29" t="s">
        <v>1700</v>
      </c>
      <c r="K2691" s="29" t="s">
        <v>1252</v>
      </c>
    </row>
    <row r="2692" ht="33.75" spans="1:11">
      <c r="A2692" s="29">
        <v>2691</v>
      </c>
      <c r="B2692" s="34" t="s">
        <v>3073</v>
      </c>
      <c r="C2692" s="29" t="str">
        <f>VLOOKUP(B2692,教育部大学名单!$B$1:$D$2920,3,FALSE)</f>
        <v>河南省教育厅</v>
      </c>
      <c r="D2692" s="34" t="s">
        <v>692</v>
      </c>
      <c r="E2692" s="34" t="s">
        <v>693</v>
      </c>
      <c r="F2692" s="36" t="str">
        <f>IFERROR(VLOOKUP(B2692,'985'!$B$2:$D$40,3,FALSE),"")</f>
        <v/>
      </c>
      <c r="G2692" s="32" t="str">
        <f>IFERROR(VLOOKUP(B2692,'211'!$B$2:$D$116,3,FALSE),"")</f>
        <v/>
      </c>
      <c r="H2692" s="32" t="str">
        <f>IFERROR(VLOOKUP(B2692,双一流!$B$2:$D$148,3,FALSE),"")</f>
        <v/>
      </c>
      <c r="I2692" s="32">
        <f>IFERROR(VLOOKUP(B2692,汇总!$B$2:$I$2921,8,FALSE),"")</f>
        <v>0</v>
      </c>
      <c r="J2692" s="34" t="s">
        <v>1700</v>
      </c>
      <c r="K2692" s="34" t="s">
        <v>1252</v>
      </c>
    </row>
    <row r="2693" ht="33.75" spans="1:11">
      <c r="A2693" s="34">
        <v>2692</v>
      </c>
      <c r="B2693" s="29" t="s">
        <v>3074</v>
      </c>
      <c r="C2693" s="29" t="str">
        <f>VLOOKUP(B2693,教育部大学名单!$B$1:$D$2920,3,FALSE)</f>
        <v>河南省教育厅</v>
      </c>
      <c r="D2693" s="29" t="s">
        <v>692</v>
      </c>
      <c r="E2693" s="29" t="s">
        <v>693</v>
      </c>
      <c r="F2693" s="36" t="str">
        <f>IFERROR(VLOOKUP(B2693,'985'!$B$2:$D$40,3,FALSE),"")</f>
        <v/>
      </c>
      <c r="G2693" s="32" t="str">
        <f>IFERROR(VLOOKUP(B2693,'211'!$B$2:$D$116,3,FALSE),"")</f>
        <v/>
      </c>
      <c r="H2693" s="32" t="str">
        <f>IFERROR(VLOOKUP(B2693,双一流!$B$2:$D$148,3,FALSE),"")</f>
        <v/>
      </c>
      <c r="I2693" s="32">
        <f>IFERROR(VLOOKUP(B2693,汇总!$B$2:$I$2921,8,FALSE),"")</f>
        <v>0</v>
      </c>
      <c r="J2693" s="29" t="s">
        <v>1700</v>
      </c>
      <c r="K2693" s="29" t="s">
        <v>1252</v>
      </c>
    </row>
    <row r="2694" ht="33.75" spans="1:11">
      <c r="A2694" s="29">
        <v>2693</v>
      </c>
      <c r="B2694" s="34" t="s">
        <v>3075</v>
      </c>
      <c r="C2694" s="29" t="str">
        <f>VLOOKUP(B2694,教育部大学名单!$B$1:$D$2920,3,FALSE)</f>
        <v>湖北省教育厅</v>
      </c>
      <c r="D2694" s="34" t="s">
        <v>746</v>
      </c>
      <c r="E2694" s="34" t="s">
        <v>747</v>
      </c>
      <c r="F2694" s="36" t="str">
        <f>IFERROR(VLOOKUP(B2694,'985'!$B$2:$D$40,3,FALSE),"")</f>
        <v/>
      </c>
      <c r="G2694" s="32" t="str">
        <f>IFERROR(VLOOKUP(B2694,'211'!$B$2:$D$116,3,FALSE),"")</f>
        <v/>
      </c>
      <c r="H2694" s="32" t="str">
        <f>IFERROR(VLOOKUP(B2694,双一流!$B$2:$D$148,3,FALSE),"")</f>
        <v/>
      </c>
      <c r="I2694" s="32">
        <f>IFERROR(VLOOKUP(B2694,汇总!$B$2:$I$2921,8,FALSE),"")</f>
        <v>0</v>
      </c>
      <c r="J2694" s="34" t="s">
        <v>1700</v>
      </c>
      <c r="K2694" s="34" t="s">
        <v>1252</v>
      </c>
    </row>
    <row r="2695" ht="33.75" spans="1:11">
      <c r="A2695" s="34">
        <v>2694</v>
      </c>
      <c r="B2695" s="29" t="s">
        <v>3076</v>
      </c>
      <c r="C2695" s="29" t="str">
        <f>VLOOKUP(B2695,教育部大学名单!$B$1:$D$2920,3,FALSE)</f>
        <v>湖北省教育厅</v>
      </c>
      <c r="D2695" s="29" t="s">
        <v>746</v>
      </c>
      <c r="E2695" s="29" t="s">
        <v>747</v>
      </c>
      <c r="F2695" s="36" t="str">
        <f>IFERROR(VLOOKUP(B2695,'985'!$B$2:$D$40,3,FALSE),"")</f>
        <v/>
      </c>
      <c r="G2695" s="32" t="str">
        <f>IFERROR(VLOOKUP(B2695,'211'!$B$2:$D$116,3,FALSE),"")</f>
        <v/>
      </c>
      <c r="H2695" s="32" t="str">
        <f>IFERROR(VLOOKUP(B2695,双一流!$B$2:$D$148,3,FALSE),"")</f>
        <v/>
      </c>
      <c r="I2695" s="32">
        <f>IFERROR(VLOOKUP(B2695,汇总!$B$2:$I$2921,8,FALSE),"")</f>
        <v>0</v>
      </c>
      <c r="J2695" s="29" t="s">
        <v>1700</v>
      </c>
      <c r="K2695" s="29" t="s">
        <v>1252</v>
      </c>
    </row>
    <row r="2696" ht="33.75" spans="1:11">
      <c r="A2696" s="29">
        <v>2695</v>
      </c>
      <c r="B2696" s="34" t="s">
        <v>3077</v>
      </c>
      <c r="C2696" s="29" t="str">
        <f>VLOOKUP(B2696,教育部大学名单!$B$1:$D$2920,3,FALSE)</f>
        <v>湖北省教育厅</v>
      </c>
      <c r="D2696" s="34" t="s">
        <v>746</v>
      </c>
      <c r="E2696" s="34" t="s">
        <v>747</v>
      </c>
      <c r="F2696" s="36" t="str">
        <f>IFERROR(VLOOKUP(B2696,'985'!$B$2:$D$40,3,FALSE),"")</f>
        <v/>
      </c>
      <c r="G2696" s="32" t="str">
        <f>IFERROR(VLOOKUP(B2696,'211'!$B$2:$D$116,3,FALSE),"")</f>
        <v/>
      </c>
      <c r="H2696" s="32" t="str">
        <f>IFERROR(VLOOKUP(B2696,双一流!$B$2:$D$148,3,FALSE),"")</f>
        <v/>
      </c>
      <c r="I2696" s="32">
        <f>IFERROR(VLOOKUP(B2696,汇总!$B$2:$I$2921,8,FALSE),"")</f>
        <v>0</v>
      </c>
      <c r="J2696" s="34" t="s">
        <v>1700</v>
      </c>
      <c r="K2696" s="34" t="s">
        <v>1252</v>
      </c>
    </row>
    <row r="2697" ht="33.75" spans="1:11">
      <c r="A2697" s="34">
        <v>2696</v>
      </c>
      <c r="B2697" s="29" t="s">
        <v>3078</v>
      </c>
      <c r="C2697" s="29" t="str">
        <f>VLOOKUP(B2697,教育部大学名单!$B$1:$D$2920,3,FALSE)</f>
        <v>湖北省教育厅</v>
      </c>
      <c r="D2697" s="29" t="s">
        <v>746</v>
      </c>
      <c r="E2697" s="29" t="s">
        <v>747</v>
      </c>
      <c r="F2697" s="36" t="str">
        <f>IFERROR(VLOOKUP(B2697,'985'!$B$2:$D$40,3,FALSE),"")</f>
        <v/>
      </c>
      <c r="G2697" s="32" t="str">
        <f>IFERROR(VLOOKUP(B2697,'211'!$B$2:$D$116,3,FALSE),"")</f>
        <v/>
      </c>
      <c r="H2697" s="32" t="str">
        <f>IFERROR(VLOOKUP(B2697,双一流!$B$2:$D$148,3,FALSE),"")</f>
        <v/>
      </c>
      <c r="I2697" s="32">
        <f>IFERROR(VLOOKUP(B2697,汇总!$B$2:$I$2921,8,FALSE),"")</f>
        <v>0</v>
      </c>
      <c r="J2697" s="29" t="s">
        <v>1700</v>
      </c>
      <c r="K2697" s="29" t="s">
        <v>1252</v>
      </c>
    </row>
    <row r="2698" ht="50.25" spans="1:11">
      <c r="A2698" s="29">
        <v>2697</v>
      </c>
      <c r="B2698" s="34" t="s">
        <v>3079</v>
      </c>
      <c r="C2698" s="29" t="str">
        <f>VLOOKUP(B2698,教育部大学名单!$B$1:$D$2920,3,FALSE)</f>
        <v>湖北省教育厅</v>
      </c>
      <c r="D2698" s="34" t="s">
        <v>746</v>
      </c>
      <c r="E2698" s="34" t="s">
        <v>747</v>
      </c>
      <c r="F2698" s="36" t="str">
        <f>IFERROR(VLOOKUP(B2698,'985'!$B$2:$D$40,3,FALSE),"")</f>
        <v/>
      </c>
      <c r="G2698" s="32" t="str">
        <f>IFERROR(VLOOKUP(B2698,'211'!$B$2:$D$116,3,FALSE),"")</f>
        <v/>
      </c>
      <c r="H2698" s="32" t="str">
        <f>IFERROR(VLOOKUP(B2698,双一流!$B$2:$D$148,3,FALSE),"")</f>
        <v/>
      </c>
      <c r="I2698" s="32">
        <f>IFERROR(VLOOKUP(B2698,汇总!$B$2:$I$2921,8,FALSE),"")</f>
        <v>0</v>
      </c>
      <c r="J2698" s="34" t="s">
        <v>1700</v>
      </c>
      <c r="K2698" s="34" t="s">
        <v>1252</v>
      </c>
    </row>
    <row r="2699" ht="33.75" spans="1:11">
      <c r="A2699" s="34">
        <v>2698</v>
      </c>
      <c r="B2699" s="29" t="s">
        <v>3080</v>
      </c>
      <c r="C2699" s="29" t="str">
        <f>VLOOKUP(B2699,教育部大学名单!$B$1:$D$2920,3,FALSE)</f>
        <v>湖北省教育厅</v>
      </c>
      <c r="D2699" s="29" t="s">
        <v>746</v>
      </c>
      <c r="E2699" s="29" t="s">
        <v>747</v>
      </c>
      <c r="F2699" s="36" t="str">
        <f>IFERROR(VLOOKUP(B2699,'985'!$B$2:$D$40,3,FALSE),"")</f>
        <v/>
      </c>
      <c r="G2699" s="32" t="str">
        <f>IFERROR(VLOOKUP(B2699,'211'!$B$2:$D$116,3,FALSE),"")</f>
        <v/>
      </c>
      <c r="H2699" s="32" t="str">
        <f>IFERROR(VLOOKUP(B2699,双一流!$B$2:$D$148,3,FALSE),"")</f>
        <v/>
      </c>
      <c r="I2699" s="32">
        <f>IFERROR(VLOOKUP(B2699,汇总!$B$2:$I$2921,8,FALSE),"")</f>
        <v>0</v>
      </c>
      <c r="J2699" s="29" t="s">
        <v>1700</v>
      </c>
      <c r="K2699" s="29" t="s">
        <v>1252</v>
      </c>
    </row>
    <row r="2700" ht="33.75" spans="1:11">
      <c r="A2700" s="29">
        <v>2699</v>
      </c>
      <c r="B2700" s="34" t="s">
        <v>3081</v>
      </c>
      <c r="C2700" s="29" t="str">
        <f>VLOOKUP(B2700,教育部大学名单!$B$1:$D$2920,3,FALSE)</f>
        <v>湖北省教育厅</v>
      </c>
      <c r="D2700" s="34" t="s">
        <v>746</v>
      </c>
      <c r="E2700" s="34" t="s">
        <v>747</v>
      </c>
      <c r="F2700" s="36" t="str">
        <f>IFERROR(VLOOKUP(B2700,'985'!$B$2:$D$40,3,FALSE),"")</f>
        <v/>
      </c>
      <c r="G2700" s="32" t="str">
        <f>IFERROR(VLOOKUP(B2700,'211'!$B$2:$D$116,3,FALSE),"")</f>
        <v/>
      </c>
      <c r="H2700" s="32" t="str">
        <f>IFERROR(VLOOKUP(B2700,双一流!$B$2:$D$148,3,FALSE),"")</f>
        <v/>
      </c>
      <c r="I2700" s="32" t="str">
        <f>IFERROR(VLOOKUP(B2700,汇总!$B$2:$I$2921,8,FALSE),"")</f>
        <v>综合</v>
      </c>
      <c r="J2700" s="34" t="s">
        <v>1700</v>
      </c>
      <c r="K2700" s="34" t="s">
        <v>1252</v>
      </c>
    </row>
    <row r="2701" ht="33.75" spans="1:11">
      <c r="A2701" s="34">
        <v>2700</v>
      </c>
      <c r="B2701" s="29" t="s">
        <v>3082</v>
      </c>
      <c r="C2701" s="29" t="str">
        <f>VLOOKUP(B2701,教育部大学名单!$B$1:$D$2920,3,FALSE)</f>
        <v>湖北省教育厅</v>
      </c>
      <c r="D2701" s="29" t="s">
        <v>746</v>
      </c>
      <c r="E2701" s="29" t="s">
        <v>765</v>
      </c>
      <c r="F2701" s="36" t="str">
        <f>IFERROR(VLOOKUP(B2701,'985'!$B$2:$D$40,3,FALSE),"")</f>
        <v/>
      </c>
      <c r="G2701" s="32" t="str">
        <f>IFERROR(VLOOKUP(B2701,'211'!$B$2:$D$116,3,FALSE),"")</f>
        <v/>
      </c>
      <c r="H2701" s="32" t="str">
        <f>IFERROR(VLOOKUP(B2701,双一流!$B$2:$D$148,3,FALSE),"")</f>
        <v/>
      </c>
      <c r="I2701" s="32">
        <f>IFERROR(VLOOKUP(B2701,汇总!$B$2:$I$2921,8,FALSE),"")</f>
        <v>0</v>
      </c>
      <c r="J2701" s="29" t="s">
        <v>1700</v>
      </c>
      <c r="K2701" s="29" t="s">
        <v>1252</v>
      </c>
    </row>
    <row r="2702" ht="33.75" spans="1:11">
      <c r="A2702" s="29">
        <v>2701</v>
      </c>
      <c r="B2702" s="34" t="s">
        <v>3083</v>
      </c>
      <c r="C2702" s="29" t="str">
        <f>VLOOKUP(B2702,教育部大学名单!$B$1:$D$2920,3,FALSE)</f>
        <v>湖北省教育厅</v>
      </c>
      <c r="D2702" s="34" t="s">
        <v>746</v>
      </c>
      <c r="E2702" s="34" t="s">
        <v>751</v>
      </c>
      <c r="F2702" s="36" t="str">
        <f>IFERROR(VLOOKUP(B2702,'985'!$B$2:$D$40,3,FALSE),"")</f>
        <v/>
      </c>
      <c r="G2702" s="32" t="str">
        <f>IFERROR(VLOOKUP(B2702,'211'!$B$2:$D$116,3,FALSE),"")</f>
        <v/>
      </c>
      <c r="H2702" s="32" t="str">
        <f>IFERROR(VLOOKUP(B2702,双一流!$B$2:$D$148,3,FALSE),"")</f>
        <v/>
      </c>
      <c r="I2702" s="32">
        <f>IFERROR(VLOOKUP(B2702,汇总!$B$2:$I$2921,8,FALSE),"")</f>
        <v>0</v>
      </c>
      <c r="J2702" s="34" t="s">
        <v>1700</v>
      </c>
      <c r="K2702" s="34" t="s">
        <v>1252</v>
      </c>
    </row>
    <row r="2703" ht="33.75" spans="1:11">
      <c r="A2703" s="34">
        <v>2702</v>
      </c>
      <c r="B2703" s="29" t="s">
        <v>3084</v>
      </c>
      <c r="C2703" s="29" t="str">
        <f>VLOOKUP(B2703,教育部大学名单!$B$1:$D$2920,3,FALSE)</f>
        <v>湖北省教育厅</v>
      </c>
      <c r="D2703" s="29" t="s">
        <v>746</v>
      </c>
      <c r="E2703" s="29" t="s">
        <v>747</v>
      </c>
      <c r="F2703" s="36" t="str">
        <f>IFERROR(VLOOKUP(B2703,'985'!$B$2:$D$40,3,FALSE),"")</f>
        <v/>
      </c>
      <c r="G2703" s="32" t="str">
        <f>IFERROR(VLOOKUP(B2703,'211'!$B$2:$D$116,3,FALSE),"")</f>
        <v/>
      </c>
      <c r="H2703" s="32" t="str">
        <f>IFERROR(VLOOKUP(B2703,双一流!$B$2:$D$148,3,FALSE),"")</f>
        <v/>
      </c>
      <c r="I2703" s="32">
        <f>IFERROR(VLOOKUP(B2703,汇总!$B$2:$I$2921,8,FALSE),"")</f>
        <v>0</v>
      </c>
      <c r="J2703" s="29" t="s">
        <v>1700</v>
      </c>
      <c r="K2703" s="29" t="s">
        <v>1252</v>
      </c>
    </row>
    <row r="2704" ht="33.75" spans="1:11">
      <c r="A2704" s="29">
        <v>2703</v>
      </c>
      <c r="B2704" s="34" t="s">
        <v>3085</v>
      </c>
      <c r="C2704" s="29" t="str">
        <f>VLOOKUP(B2704,教育部大学名单!$B$1:$D$2920,3,FALSE)</f>
        <v>湖北省教育厅</v>
      </c>
      <c r="D2704" s="34" t="s">
        <v>746</v>
      </c>
      <c r="E2704" s="34" t="s">
        <v>781</v>
      </c>
      <c r="F2704" s="36" t="str">
        <f>IFERROR(VLOOKUP(B2704,'985'!$B$2:$D$40,3,FALSE),"")</f>
        <v/>
      </c>
      <c r="G2704" s="32" t="str">
        <f>IFERROR(VLOOKUP(B2704,'211'!$B$2:$D$116,3,FALSE),"")</f>
        <v/>
      </c>
      <c r="H2704" s="32" t="str">
        <f>IFERROR(VLOOKUP(B2704,双一流!$B$2:$D$148,3,FALSE),"")</f>
        <v/>
      </c>
      <c r="I2704" s="32">
        <f>IFERROR(VLOOKUP(B2704,汇总!$B$2:$I$2921,8,FALSE),"")</f>
        <v>0</v>
      </c>
      <c r="J2704" s="34" t="s">
        <v>1700</v>
      </c>
      <c r="K2704" s="34" t="s">
        <v>1252</v>
      </c>
    </row>
    <row r="2705" ht="33.75" spans="1:11">
      <c r="A2705" s="34">
        <v>2704</v>
      </c>
      <c r="B2705" s="29" t="s">
        <v>3086</v>
      </c>
      <c r="C2705" s="29" t="str">
        <f>VLOOKUP(B2705,教育部大学名单!$B$1:$D$2920,3,FALSE)</f>
        <v>湖北省教育厅</v>
      </c>
      <c r="D2705" s="29" t="s">
        <v>746</v>
      </c>
      <c r="E2705" s="29" t="s">
        <v>778</v>
      </c>
      <c r="F2705" s="36" t="str">
        <f>IFERROR(VLOOKUP(B2705,'985'!$B$2:$D$40,3,FALSE),"")</f>
        <v/>
      </c>
      <c r="G2705" s="32" t="str">
        <f>IFERROR(VLOOKUP(B2705,'211'!$B$2:$D$116,3,FALSE),"")</f>
        <v/>
      </c>
      <c r="H2705" s="32" t="str">
        <f>IFERROR(VLOOKUP(B2705,双一流!$B$2:$D$148,3,FALSE),"")</f>
        <v/>
      </c>
      <c r="I2705" s="32">
        <f>IFERROR(VLOOKUP(B2705,汇总!$B$2:$I$2921,8,FALSE),"")</f>
        <v>0</v>
      </c>
      <c r="J2705" s="29" t="s">
        <v>1700</v>
      </c>
      <c r="K2705" s="29" t="s">
        <v>1252</v>
      </c>
    </row>
    <row r="2706" ht="33.75" spans="1:11">
      <c r="A2706" s="29">
        <v>2705</v>
      </c>
      <c r="B2706" s="34" t="s">
        <v>3087</v>
      </c>
      <c r="C2706" s="29" t="str">
        <f>VLOOKUP(B2706,教育部大学名单!$B$1:$D$2920,3,FALSE)</f>
        <v>湖南省教育厅</v>
      </c>
      <c r="D2706" s="34" t="s">
        <v>797</v>
      </c>
      <c r="E2706" s="34" t="s">
        <v>802</v>
      </c>
      <c r="F2706" s="36" t="str">
        <f>IFERROR(VLOOKUP(B2706,'985'!$B$2:$D$40,3,FALSE),"")</f>
        <v/>
      </c>
      <c r="G2706" s="32" t="str">
        <f>IFERROR(VLOOKUP(B2706,'211'!$B$2:$D$116,3,FALSE),"")</f>
        <v/>
      </c>
      <c r="H2706" s="32" t="str">
        <f>IFERROR(VLOOKUP(B2706,双一流!$B$2:$D$148,3,FALSE),"")</f>
        <v/>
      </c>
      <c r="I2706" s="32">
        <f>IFERROR(VLOOKUP(B2706,汇总!$B$2:$I$2921,8,FALSE),"")</f>
        <v>0</v>
      </c>
      <c r="J2706" s="34" t="s">
        <v>1700</v>
      </c>
      <c r="K2706" s="34" t="s">
        <v>1252</v>
      </c>
    </row>
    <row r="2707" ht="33.75" spans="1:11">
      <c r="A2707" s="34">
        <v>2706</v>
      </c>
      <c r="B2707" s="29" t="s">
        <v>3088</v>
      </c>
      <c r="C2707" s="29" t="str">
        <f>VLOOKUP(B2707,教育部大学名单!$B$1:$D$2920,3,FALSE)</f>
        <v>湖南省教育厅</v>
      </c>
      <c r="D2707" s="29" t="s">
        <v>797</v>
      </c>
      <c r="E2707" s="29" t="s">
        <v>825</v>
      </c>
      <c r="F2707" s="36" t="str">
        <f>IFERROR(VLOOKUP(B2707,'985'!$B$2:$D$40,3,FALSE),"")</f>
        <v/>
      </c>
      <c r="G2707" s="32" t="str">
        <f>IFERROR(VLOOKUP(B2707,'211'!$B$2:$D$116,3,FALSE),"")</f>
        <v/>
      </c>
      <c r="H2707" s="32" t="str">
        <f>IFERROR(VLOOKUP(B2707,双一流!$B$2:$D$148,3,FALSE),"")</f>
        <v/>
      </c>
      <c r="I2707" s="32">
        <f>IFERROR(VLOOKUP(B2707,汇总!$B$2:$I$2921,8,FALSE),"")</f>
        <v>0</v>
      </c>
      <c r="J2707" s="29" t="s">
        <v>1700</v>
      </c>
      <c r="K2707" s="29" t="s">
        <v>1252</v>
      </c>
    </row>
    <row r="2708" ht="33.75" spans="1:11">
      <c r="A2708" s="29">
        <v>2707</v>
      </c>
      <c r="B2708" s="34" t="s">
        <v>3089</v>
      </c>
      <c r="C2708" s="29" t="str">
        <f>VLOOKUP(B2708,教育部大学名单!$B$1:$D$2920,3,FALSE)</f>
        <v>湖南省教育厅</v>
      </c>
      <c r="D2708" s="34" t="s">
        <v>797</v>
      </c>
      <c r="E2708" s="34" t="s">
        <v>802</v>
      </c>
      <c r="F2708" s="36" t="str">
        <f>IFERROR(VLOOKUP(B2708,'985'!$B$2:$D$40,3,FALSE),"")</f>
        <v/>
      </c>
      <c r="G2708" s="32" t="str">
        <f>IFERROR(VLOOKUP(B2708,'211'!$B$2:$D$116,3,FALSE),"")</f>
        <v/>
      </c>
      <c r="H2708" s="32" t="str">
        <f>IFERROR(VLOOKUP(B2708,双一流!$B$2:$D$148,3,FALSE),"")</f>
        <v/>
      </c>
      <c r="I2708" s="32">
        <f>IFERROR(VLOOKUP(B2708,汇总!$B$2:$I$2921,8,FALSE),"")</f>
        <v>0</v>
      </c>
      <c r="J2708" s="34" t="s">
        <v>1700</v>
      </c>
      <c r="K2708" s="34" t="s">
        <v>1252</v>
      </c>
    </row>
    <row r="2709" ht="33.75" spans="1:11">
      <c r="A2709" s="34">
        <v>2708</v>
      </c>
      <c r="B2709" s="29" t="s">
        <v>3090</v>
      </c>
      <c r="C2709" s="29" t="str">
        <f>VLOOKUP(B2709,教育部大学名单!$B$1:$D$2920,3,FALSE)</f>
        <v>湖南省教育厅</v>
      </c>
      <c r="D2709" s="29" t="s">
        <v>797</v>
      </c>
      <c r="E2709" s="29" t="s">
        <v>802</v>
      </c>
      <c r="F2709" s="36" t="str">
        <f>IFERROR(VLOOKUP(B2709,'985'!$B$2:$D$40,3,FALSE),"")</f>
        <v/>
      </c>
      <c r="G2709" s="32" t="str">
        <f>IFERROR(VLOOKUP(B2709,'211'!$B$2:$D$116,3,FALSE),"")</f>
        <v/>
      </c>
      <c r="H2709" s="32" t="str">
        <f>IFERROR(VLOOKUP(B2709,双一流!$B$2:$D$148,3,FALSE),"")</f>
        <v/>
      </c>
      <c r="I2709" s="32">
        <f>IFERROR(VLOOKUP(B2709,汇总!$B$2:$I$2921,8,FALSE),"")</f>
        <v>0</v>
      </c>
      <c r="J2709" s="29" t="s">
        <v>1700</v>
      </c>
      <c r="K2709" s="29" t="s">
        <v>1252</v>
      </c>
    </row>
    <row r="2710" ht="33.75" spans="1:11">
      <c r="A2710" s="29">
        <v>2709</v>
      </c>
      <c r="B2710" s="34" t="s">
        <v>3091</v>
      </c>
      <c r="C2710" s="29" t="str">
        <f>VLOOKUP(B2710,教育部大学名单!$B$1:$D$2920,3,FALSE)</f>
        <v>湖南省教育厅</v>
      </c>
      <c r="D2710" s="34" t="s">
        <v>797</v>
      </c>
      <c r="E2710" s="34" t="s">
        <v>802</v>
      </c>
      <c r="F2710" s="36" t="str">
        <f>IFERROR(VLOOKUP(B2710,'985'!$B$2:$D$40,3,FALSE),"")</f>
        <v/>
      </c>
      <c r="G2710" s="32" t="str">
        <f>IFERROR(VLOOKUP(B2710,'211'!$B$2:$D$116,3,FALSE),"")</f>
        <v/>
      </c>
      <c r="H2710" s="32" t="str">
        <f>IFERROR(VLOOKUP(B2710,双一流!$B$2:$D$148,3,FALSE),"")</f>
        <v/>
      </c>
      <c r="I2710" s="32" t="str">
        <f>IFERROR(VLOOKUP(B2710,汇总!$B$2:$I$2921,8,FALSE),"")</f>
        <v>综合</v>
      </c>
      <c r="J2710" s="34" t="s">
        <v>1700</v>
      </c>
      <c r="K2710" s="34" t="s">
        <v>1252</v>
      </c>
    </row>
    <row r="2711" ht="50.25" spans="1:11">
      <c r="A2711" s="34">
        <v>2710</v>
      </c>
      <c r="B2711" s="29" t="s">
        <v>3092</v>
      </c>
      <c r="C2711" s="29" t="str">
        <f>VLOOKUP(B2711,教育部大学名单!$B$1:$D$2920,3,FALSE)</f>
        <v>湖南省教育厅</v>
      </c>
      <c r="D2711" s="29" t="s">
        <v>797</v>
      </c>
      <c r="E2711" s="29" t="s">
        <v>821</v>
      </c>
      <c r="F2711" s="36" t="str">
        <f>IFERROR(VLOOKUP(B2711,'985'!$B$2:$D$40,3,FALSE),"")</f>
        <v/>
      </c>
      <c r="G2711" s="32" t="str">
        <f>IFERROR(VLOOKUP(B2711,'211'!$B$2:$D$116,3,FALSE),"")</f>
        <v/>
      </c>
      <c r="H2711" s="32" t="str">
        <f>IFERROR(VLOOKUP(B2711,双一流!$B$2:$D$148,3,FALSE),"")</f>
        <v/>
      </c>
      <c r="I2711" s="32">
        <f>IFERROR(VLOOKUP(B2711,汇总!$B$2:$I$2921,8,FALSE),"")</f>
        <v>0</v>
      </c>
      <c r="J2711" s="29" t="s">
        <v>1700</v>
      </c>
      <c r="K2711" s="29" t="s">
        <v>1252</v>
      </c>
    </row>
    <row r="2712" ht="33.75" spans="1:11">
      <c r="A2712" s="29">
        <v>2711</v>
      </c>
      <c r="B2712" s="34" t="s">
        <v>3093</v>
      </c>
      <c r="C2712" s="29" t="str">
        <f>VLOOKUP(B2712,教育部大学名单!$B$1:$D$2920,3,FALSE)</f>
        <v>湖南省教育厅</v>
      </c>
      <c r="D2712" s="34" t="s">
        <v>797</v>
      </c>
      <c r="E2712" s="34" t="s">
        <v>815</v>
      </c>
      <c r="F2712" s="36" t="str">
        <f>IFERROR(VLOOKUP(B2712,'985'!$B$2:$D$40,3,FALSE),"")</f>
        <v/>
      </c>
      <c r="G2712" s="32" t="str">
        <f>IFERROR(VLOOKUP(B2712,'211'!$B$2:$D$116,3,FALSE),"")</f>
        <v/>
      </c>
      <c r="H2712" s="32" t="str">
        <f>IFERROR(VLOOKUP(B2712,双一流!$B$2:$D$148,3,FALSE),"")</f>
        <v/>
      </c>
      <c r="I2712" s="32">
        <f>IFERROR(VLOOKUP(B2712,汇总!$B$2:$I$2921,8,FALSE),"")</f>
        <v>0</v>
      </c>
      <c r="J2712" s="34" t="s">
        <v>1700</v>
      </c>
      <c r="K2712" s="34" t="s">
        <v>1252</v>
      </c>
    </row>
    <row r="2713" ht="50.25" spans="1:11">
      <c r="A2713" s="34">
        <v>2712</v>
      </c>
      <c r="B2713" s="29" t="s">
        <v>3094</v>
      </c>
      <c r="C2713" s="29" t="str">
        <f>VLOOKUP(B2713,教育部大学名单!$B$1:$D$2920,3,FALSE)</f>
        <v>湖南省教育厅</v>
      </c>
      <c r="D2713" s="29" t="s">
        <v>797</v>
      </c>
      <c r="E2713" s="29" t="s">
        <v>802</v>
      </c>
      <c r="F2713" s="36" t="str">
        <f>IFERROR(VLOOKUP(B2713,'985'!$B$2:$D$40,3,FALSE),"")</f>
        <v/>
      </c>
      <c r="G2713" s="32" t="str">
        <f>IFERROR(VLOOKUP(B2713,'211'!$B$2:$D$116,3,FALSE),"")</f>
        <v/>
      </c>
      <c r="H2713" s="32" t="str">
        <f>IFERROR(VLOOKUP(B2713,双一流!$B$2:$D$148,3,FALSE),"")</f>
        <v/>
      </c>
      <c r="I2713" s="32">
        <f>IFERROR(VLOOKUP(B2713,汇总!$B$2:$I$2921,8,FALSE),"")</f>
        <v>0</v>
      </c>
      <c r="J2713" s="29" t="s">
        <v>1700</v>
      </c>
      <c r="K2713" s="29" t="s">
        <v>1252</v>
      </c>
    </row>
    <row r="2714" ht="50.25" spans="1:11">
      <c r="A2714" s="29">
        <v>2713</v>
      </c>
      <c r="B2714" s="34" t="s">
        <v>3095</v>
      </c>
      <c r="C2714" s="29" t="str">
        <f>VLOOKUP(B2714,教育部大学名单!$B$1:$D$2920,3,FALSE)</f>
        <v>湖南省教育厅</v>
      </c>
      <c r="D2714" s="34" t="s">
        <v>797</v>
      </c>
      <c r="E2714" s="34" t="s">
        <v>798</v>
      </c>
      <c r="F2714" s="36" t="str">
        <f>IFERROR(VLOOKUP(B2714,'985'!$B$2:$D$40,3,FALSE),"")</f>
        <v/>
      </c>
      <c r="G2714" s="32" t="str">
        <f>IFERROR(VLOOKUP(B2714,'211'!$B$2:$D$116,3,FALSE),"")</f>
        <v/>
      </c>
      <c r="H2714" s="32" t="str">
        <f>IFERROR(VLOOKUP(B2714,双一流!$B$2:$D$148,3,FALSE),"")</f>
        <v/>
      </c>
      <c r="I2714" s="32">
        <f>IFERROR(VLOOKUP(B2714,汇总!$B$2:$I$2921,8,FALSE),"")</f>
        <v>0</v>
      </c>
      <c r="J2714" s="34" t="s">
        <v>1700</v>
      </c>
      <c r="K2714" s="34" t="s">
        <v>1252</v>
      </c>
    </row>
    <row r="2715" ht="33.75" spans="1:11">
      <c r="A2715" s="34">
        <v>2714</v>
      </c>
      <c r="B2715" s="29" t="s">
        <v>3096</v>
      </c>
      <c r="C2715" s="29" t="str">
        <f>VLOOKUP(B2715,教育部大学名单!$B$1:$D$2920,3,FALSE)</f>
        <v>广东省教育厅</v>
      </c>
      <c r="D2715" s="29" t="s">
        <v>844</v>
      </c>
      <c r="E2715" s="29" t="s">
        <v>2473</v>
      </c>
      <c r="F2715" s="36" t="str">
        <f>IFERROR(VLOOKUP(B2715,'985'!$B$2:$D$40,3,FALSE),"")</f>
        <v/>
      </c>
      <c r="G2715" s="32" t="str">
        <f>IFERROR(VLOOKUP(B2715,'211'!$B$2:$D$116,3,FALSE),"")</f>
        <v/>
      </c>
      <c r="H2715" s="32" t="str">
        <f>IFERROR(VLOOKUP(B2715,双一流!$B$2:$D$148,3,FALSE),"")</f>
        <v/>
      </c>
      <c r="I2715" s="32">
        <f>IFERROR(VLOOKUP(B2715,汇总!$B$2:$I$2921,8,FALSE),"")</f>
        <v>0</v>
      </c>
      <c r="J2715" s="29" t="s">
        <v>1700</v>
      </c>
      <c r="K2715" s="29" t="s">
        <v>1252</v>
      </c>
    </row>
    <row r="2716" ht="33.75" spans="1:11">
      <c r="A2716" s="29">
        <v>2715</v>
      </c>
      <c r="B2716" s="34" t="s">
        <v>3097</v>
      </c>
      <c r="C2716" s="29" t="str">
        <f>VLOOKUP(B2716,教育部大学名单!$B$1:$D$2920,3,FALSE)</f>
        <v>广东省教育厅</v>
      </c>
      <c r="D2716" s="34" t="s">
        <v>844</v>
      </c>
      <c r="E2716" s="34" t="s">
        <v>845</v>
      </c>
      <c r="F2716" s="36" t="str">
        <f>IFERROR(VLOOKUP(B2716,'985'!$B$2:$D$40,3,FALSE),"")</f>
        <v/>
      </c>
      <c r="G2716" s="32" t="str">
        <f>IFERROR(VLOOKUP(B2716,'211'!$B$2:$D$116,3,FALSE),"")</f>
        <v/>
      </c>
      <c r="H2716" s="32" t="str">
        <f>IFERROR(VLOOKUP(B2716,双一流!$B$2:$D$148,3,FALSE),"")</f>
        <v/>
      </c>
      <c r="I2716" s="32">
        <f>IFERROR(VLOOKUP(B2716,汇总!$B$2:$I$2921,8,FALSE),"")</f>
        <v>0</v>
      </c>
      <c r="J2716" s="34" t="s">
        <v>1700</v>
      </c>
      <c r="K2716" s="34" t="s">
        <v>1252</v>
      </c>
    </row>
    <row r="2717" ht="33.75" spans="1:11">
      <c r="A2717" s="34">
        <v>2716</v>
      </c>
      <c r="B2717" s="29" t="s">
        <v>3098</v>
      </c>
      <c r="C2717" s="29" t="str">
        <f>VLOOKUP(B2717,教育部大学名单!$B$1:$D$2920,3,FALSE)</f>
        <v>广东省教育厅</v>
      </c>
      <c r="D2717" s="29" t="s">
        <v>844</v>
      </c>
      <c r="E2717" s="29" t="s">
        <v>874</v>
      </c>
      <c r="F2717" s="36" t="str">
        <f>IFERROR(VLOOKUP(B2717,'985'!$B$2:$D$40,3,FALSE),"")</f>
        <v/>
      </c>
      <c r="G2717" s="32" t="str">
        <f>IFERROR(VLOOKUP(B2717,'211'!$B$2:$D$116,3,FALSE),"")</f>
        <v/>
      </c>
      <c r="H2717" s="32" t="str">
        <f>IFERROR(VLOOKUP(B2717,双一流!$B$2:$D$148,3,FALSE),"")</f>
        <v/>
      </c>
      <c r="I2717" s="32">
        <f>IFERROR(VLOOKUP(B2717,汇总!$B$2:$I$2921,8,FALSE),"")</f>
        <v>0</v>
      </c>
      <c r="J2717" s="29" t="s">
        <v>1700</v>
      </c>
      <c r="K2717" s="29" t="s">
        <v>1252</v>
      </c>
    </row>
    <row r="2718" ht="33.75" spans="1:11">
      <c r="A2718" s="29">
        <v>2717</v>
      </c>
      <c r="B2718" s="34" t="s">
        <v>3099</v>
      </c>
      <c r="C2718" s="29" t="str">
        <f>VLOOKUP(B2718,教育部大学名单!$B$1:$D$2920,3,FALSE)</f>
        <v>广东省教育厅</v>
      </c>
      <c r="D2718" s="34" t="s">
        <v>844</v>
      </c>
      <c r="E2718" s="34" t="s">
        <v>845</v>
      </c>
      <c r="F2718" s="36" t="str">
        <f>IFERROR(VLOOKUP(B2718,'985'!$B$2:$D$40,3,FALSE),"")</f>
        <v/>
      </c>
      <c r="G2718" s="32" t="str">
        <f>IFERROR(VLOOKUP(B2718,'211'!$B$2:$D$116,3,FALSE),"")</f>
        <v/>
      </c>
      <c r="H2718" s="32" t="str">
        <f>IFERROR(VLOOKUP(B2718,双一流!$B$2:$D$148,3,FALSE),"")</f>
        <v/>
      </c>
      <c r="I2718" s="32">
        <f>IFERROR(VLOOKUP(B2718,汇总!$B$2:$I$2921,8,FALSE),"")</f>
        <v>0</v>
      </c>
      <c r="J2718" s="34" t="s">
        <v>1700</v>
      </c>
      <c r="K2718" s="34" t="s">
        <v>1252</v>
      </c>
    </row>
    <row r="2719" ht="33.75" spans="1:11">
      <c r="A2719" s="34">
        <v>2718</v>
      </c>
      <c r="B2719" s="29" t="s">
        <v>3100</v>
      </c>
      <c r="C2719" s="29" t="str">
        <f>VLOOKUP(B2719,教育部大学名单!$B$1:$D$2920,3,FALSE)</f>
        <v>广东省教育厅</v>
      </c>
      <c r="D2719" s="29" t="s">
        <v>844</v>
      </c>
      <c r="E2719" s="29" t="s">
        <v>1569</v>
      </c>
      <c r="F2719" s="36" t="str">
        <f>IFERROR(VLOOKUP(B2719,'985'!$B$2:$D$40,3,FALSE),"")</f>
        <v/>
      </c>
      <c r="G2719" s="32" t="str">
        <f>IFERROR(VLOOKUP(B2719,'211'!$B$2:$D$116,3,FALSE),"")</f>
        <v/>
      </c>
      <c r="H2719" s="32" t="str">
        <f>IFERROR(VLOOKUP(B2719,双一流!$B$2:$D$148,3,FALSE),"")</f>
        <v/>
      </c>
      <c r="I2719" s="32">
        <f>IFERROR(VLOOKUP(B2719,汇总!$B$2:$I$2921,8,FALSE),"")</f>
        <v>0</v>
      </c>
      <c r="J2719" s="29" t="s">
        <v>1700</v>
      </c>
      <c r="K2719" s="29" t="s">
        <v>1252</v>
      </c>
    </row>
    <row r="2720" ht="33.75" spans="1:11">
      <c r="A2720" s="29">
        <v>2719</v>
      </c>
      <c r="B2720" s="34" t="s">
        <v>3101</v>
      </c>
      <c r="C2720" s="29" t="str">
        <f>VLOOKUP(B2720,教育部大学名单!$B$1:$D$2920,3,FALSE)</f>
        <v>广东省教育厅</v>
      </c>
      <c r="D2720" s="34" t="s">
        <v>844</v>
      </c>
      <c r="E2720" s="34" t="s">
        <v>845</v>
      </c>
      <c r="F2720" s="36" t="str">
        <f>IFERROR(VLOOKUP(B2720,'985'!$B$2:$D$40,3,FALSE),"")</f>
        <v/>
      </c>
      <c r="G2720" s="32" t="str">
        <f>IFERROR(VLOOKUP(B2720,'211'!$B$2:$D$116,3,FALSE),"")</f>
        <v/>
      </c>
      <c r="H2720" s="32" t="str">
        <f>IFERROR(VLOOKUP(B2720,双一流!$B$2:$D$148,3,FALSE),"")</f>
        <v/>
      </c>
      <c r="I2720" s="32" t="str">
        <f>IFERROR(VLOOKUP(B2720,汇总!$B$2:$I$2921,8,FALSE),"")</f>
        <v>综合</v>
      </c>
      <c r="J2720" s="34" t="s">
        <v>1700</v>
      </c>
      <c r="K2720" s="34" t="s">
        <v>1252</v>
      </c>
    </row>
    <row r="2721" ht="33.75" spans="1:11">
      <c r="A2721" s="34">
        <v>2720</v>
      </c>
      <c r="B2721" s="29" t="s">
        <v>3102</v>
      </c>
      <c r="C2721" s="29" t="str">
        <f>VLOOKUP(B2721,教育部大学名单!$B$1:$D$2920,3,FALSE)</f>
        <v>广东省教育厅</v>
      </c>
      <c r="D2721" s="29" t="s">
        <v>844</v>
      </c>
      <c r="E2721" s="29" t="s">
        <v>866</v>
      </c>
      <c r="F2721" s="36" t="str">
        <f>IFERROR(VLOOKUP(B2721,'985'!$B$2:$D$40,3,FALSE),"")</f>
        <v/>
      </c>
      <c r="G2721" s="32" t="str">
        <f>IFERROR(VLOOKUP(B2721,'211'!$B$2:$D$116,3,FALSE),"")</f>
        <v/>
      </c>
      <c r="H2721" s="32" t="str">
        <f>IFERROR(VLOOKUP(B2721,双一流!$B$2:$D$148,3,FALSE),"")</f>
        <v/>
      </c>
      <c r="I2721" s="32">
        <f>IFERROR(VLOOKUP(B2721,汇总!$B$2:$I$2921,8,FALSE),"")</f>
        <v>0</v>
      </c>
      <c r="J2721" s="29" t="s">
        <v>1700</v>
      </c>
      <c r="K2721" s="29" t="s">
        <v>1252</v>
      </c>
    </row>
    <row r="2722" ht="50.25" spans="1:11">
      <c r="A2722" s="29">
        <v>2721</v>
      </c>
      <c r="B2722" s="34" t="s">
        <v>3103</v>
      </c>
      <c r="C2722" s="29" t="str">
        <f>VLOOKUP(B2722,教育部大学名单!$B$1:$D$2920,3,FALSE)</f>
        <v>广东省教育厅</v>
      </c>
      <c r="D2722" s="34" t="s">
        <v>844</v>
      </c>
      <c r="E2722" s="34" t="s">
        <v>845</v>
      </c>
      <c r="F2722" s="36" t="str">
        <f>IFERROR(VLOOKUP(B2722,'985'!$B$2:$D$40,3,FALSE),"")</f>
        <v/>
      </c>
      <c r="G2722" s="32" t="str">
        <f>IFERROR(VLOOKUP(B2722,'211'!$B$2:$D$116,3,FALSE),"")</f>
        <v/>
      </c>
      <c r="H2722" s="32" t="str">
        <f>IFERROR(VLOOKUP(B2722,双一流!$B$2:$D$148,3,FALSE),"")</f>
        <v/>
      </c>
      <c r="I2722" s="32">
        <f>IFERROR(VLOOKUP(B2722,汇总!$B$2:$I$2921,8,FALSE),"")</f>
        <v>0</v>
      </c>
      <c r="J2722" s="34" t="s">
        <v>1700</v>
      </c>
      <c r="K2722" s="34" t="s">
        <v>1252</v>
      </c>
    </row>
    <row r="2723" ht="33.75" spans="1:11">
      <c r="A2723" s="34">
        <v>2722</v>
      </c>
      <c r="B2723" s="29" t="s">
        <v>3104</v>
      </c>
      <c r="C2723" s="29" t="str">
        <f>VLOOKUP(B2723,教育部大学名单!$B$1:$D$2920,3,FALSE)</f>
        <v>广东省教育厅</v>
      </c>
      <c r="D2723" s="29" t="s">
        <v>844</v>
      </c>
      <c r="E2723" s="29" t="s">
        <v>845</v>
      </c>
      <c r="F2723" s="36" t="str">
        <f>IFERROR(VLOOKUP(B2723,'985'!$B$2:$D$40,3,FALSE),"")</f>
        <v/>
      </c>
      <c r="G2723" s="32" t="str">
        <f>IFERROR(VLOOKUP(B2723,'211'!$B$2:$D$116,3,FALSE),"")</f>
        <v/>
      </c>
      <c r="H2723" s="32" t="str">
        <f>IFERROR(VLOOKUP(B2723,双一流!$B$2:$D$148,3,FALSE),"")</f>
        <v/>
      </c>
      <c r="I2723" s="32" t="str">
        <f>IFERROR(VLOOKUP(B2723,汇总!$B$2:$I$2921,8,FALSE),"")</f>
        <v>综合</v>
      </c>
      <c r="J2723" s="29" t="s">
        <v>1700</v>
      </c>
      <c r="K2723" s="29" t="s">
        <v>1252</v>
      </c>
    </row>
    <row r="2724" ht="33.75" spans="1:11">
      <c r="A2724" s="29">
        <v>2723</v>
      </c>
      <c r="B2724" s="34" t="s">
        <v>3105</v>
      </c>
      <c r="C2724" s="29" t="str">
        <f>VLOOKUP(B2724,教育部大学名单!$B$1:$D$2920,3,FALSE)</f>
        <v>广东省教育厅</v>
      </c>
      <c r="D2724" s="34" t="s">
        <v>844</v>
      </c>
      <c r="E2724" s="34" t="s">
        <v>861</v>
      </c>
      <c r="F2724" s="36" t="str">
        <f>IFERROR(VLOOKUP(B2724,'985'!$B$2:$D$40,3,FALSE),"")</f>
        <v/>
      </c>
      <c r="G2724" s="32" t="str">
        <f>IFERROR(VLOOKUP(B2724,'211'!$B$2:$D$116,3,FALSE),"")</f>
        <v/>
      </c>
      <c r="H2724" s="32" t="str">
        <f>IFERROR(VLOOKUP(B2724,双一流!$B$2:$D$148,3,FALSE),"")</f>
        <v/>
      </c>
      <c r="I2724" s="32">
        <f>IFERROR(VLOOKUP(B2724,汇总!$B$2:$I$2921,8,FALSE),"")</f>
        <v>0</v>
      </c>
      <c r="J2724" s="34" t="s">
        <v>1700</v>
      </c>
      <c r="K2724" s="34" t="s">
        <v>1252</v>
      </c>
    </row>
    <row r="2725" ht="50.25" spans="1:11">
      <c r="A2725" s="34">
        <v>2724</v>
      </c>
      <c r="B2725" s="29" t="s">
        <v>3106</v>
      </c>
      <c r="C2725" s="29" t="str">
        <f>VLOOKUP(B2725,教育部大学名单!$B$1:$D$2920,3,FALSE)</f>
        <v>广东省教育厅</v>
      </c>
      <c r="D2725" s="29" t="s">
        <v>844</v>
      </c>
      <c r="E2725" s="29" t="s">
        <v>845</v>
      </c>
      <c r="F2725" s="36" t="str">
        <f>IFERROR(VLOOKUP(B2725,'985'!$B$2:$D$40,3,FALSE),"")</f>
        <v/>
      </c>
      <c r="G2725" s="32" t="str">
        <f>IFERROR(VLOOKUP(B2725,'211'!$B$2:$D$116,3,FALSE),"")</f>
        <v/>
      </c>
      <c r="H2725" s="32" t="str">
        <f>IFERROR(VLOOKUP(B2725,双一流!$B$2:$D$148,3,FALSE),"")</f>
        <v/>
      </c>
      <c r="I2725" s="32">
        <f>IFERROR(VLOOKUP(B2725,汇总!$B$2:$I$2921,8,FALSE),"")</f>
        <v>0</v>
      </c>
      <c r="J2725" s="29" t="s">
        <v>1700</v>
      </c>
      <c r="K2725" s="29" t="s">
        <v>1252</v>
      </c>
    </row>
    <row r="2726" ht="33.75" spans="1:11">
      <c r="A2726" s="29">
        <v>2725</v>
      </c>
      <c r="B2726" s="34" t="s">
        <v>3107</v>
      </c>
      <c r="C2726" s="29" t="str">
        <f>VLOOKUP(B2726,教育部大学名单!$B$1:$D$2920,3,FALSE)</f>
        <v>广东省教育厅</v>
      </c>
      <c r="D2726" s="34" t="s">
        <v>844</v>
      </c>
      <c r="E2726" s="34" t="s">
        <v>845</v>
      </c>
      <c r="F2726" s="36" t="str">
        <f>IFERROR(VLOOKUP(B2726,'985'!$B$2:$D$40,3,FALSE),"")</f>
        <v/>
      </c>
      <c r="G2726" s="32" t="str">
        <f>IFERROR(VLOOKUP(B2726,'211'!$B$2:$D$116,3,FALSE),"")</f>
        <v/>
      </c>
      <c r="H2726" s="32" t="str">
        <f>IFERROR(VLOOKUP(B2726,双一流!$B$2:$D$148,3,FALSE),"")</f>
        <v/>
      </c>
      <c r="I2726" s="32">
        <f>IFERROR(VLOOKUP(B2726,汇总!$B$2:$I$2921,8,FALSE),"")</f>
        <v>0</v>
      </c>
      <c r="J2726" s="34" t="s">
        <v>1700</v>
      </c>
      <c r="K2726" s="34" t="s">
        <v>1252</v>
      </c>
    </row>
    <row r="2727" ht="33.75" spans="1:11">
      <c r="A2727" s="34">
        <v>2726</v>
      </c>
      <c r="B2727" s="29" t="s">
        <v>3108</v>
      </c>
      <c r="C2727" s="29" t="str">
        <f>VLOOKUP(B2727,教育部大学名单!$B$1:$D$2920,3,FALSE)</f>
        <v>广东省教育厅</v>
      </c>
      <c r="D2727" s="29" t="s">
        <v>844</v>
      </c>
      <c r="E2727" s="29" t="s">
        <v>845</v>
      </c>
      <c r="F2727" s="36" t="str">
        <f>IFERROR(VLOOKUP(B2727,'985'!$B$2:$D$40,3,FALSE),"")</f>
        <v/>
      </c>
      <c r="G2727" s="32" t="str">
        <f>IFERROR(VLOOKUP(B2727,'211'!$B$2:$D$116,3,FALSE),"")</f>
        <v/>
      </c>
      <c r="H2727" s="32" t="str">
        <f>IFERROR(VLOOKUP(B2727,双一流!$B$2:$D$148,3,FALSE),"")</f>
        <v/>
      </c>
      <c r="I2727" s="32" t="str">
        <f>IFERROR(VLOOKUP(B2727,汇总!$B$2:$I$2921,8,FALSE),"")</f>
        <v>综合</v>
      </c>
      <c r="J2727" s="29" t="s">
        <v>1700</v>
      </c>
      <c r="K2727" s="29" t="s">
        <v>1252</v>
      </c>
    </row>
    <row r="2728" ht="33.75" spans="1:11">
      <c r="A2728" s="29">
        <v>2727</v>
      </c>
      <c r="B2728" s="34" t="s">
        <v>3109</v>
      </c>
      <c r="C2728" s="29" t="str">
        <f>VLOOKUP(B2728,教育部大学名单!$B$1:$D$2920,3,FALSE)</f>
        <v>广东省教育厅</v>
      </c>
      <c r="D2728" s="34" t="s">
        <v>844</v>
      </c>
      <c r="E2728" s="34" t="s">
        <v>845</v>
      </c>
      <c r="F2728" s="36" t="str">
        <f>IFERROR(VLOOKUP(B2728,'985'!$B$2:$D$40,3,FALSE),"")</f>
        <v/>
      </c>
      <c r="G2728" s="32" t="str">
        <f>IFERROR(VLOOKUP(B2728,'211'!$B$2:$D$116,3,FALSE),"")</f>
        <v/>
      </c>
      <c r="H2728" s="32" t="str">
        <f>IFERROR(VLOOKUP(B2728,双一流!$B$2:$D$148,3,FALSE),"")</f>
        <v/>
      </c>
      <c r="I2728" s="32" t="str">
        <f>IFERROR(VLOOKUP(B2728,汇总!$B$2:$I$2921,8,FALSE),"")</f>
        <v>综合</v>
      </c>
      <c r="J2728" s="34" t="s">
        <v>1700</v>
      </c>
      <c r="K2728" s="34" t="s">
        <v>1252</v>
      </c>
    </row>
    <row r="2729" ht="33.75" spans="1:11">
      <c r="A2729" s="34">
        <v>2728</v>
      </c>
      <c r="B2729" s="29" t="s">
        <v>3110</v>
      </c>
      <c r="C2729" s="29" t="str">
        <f>VLOOKUP(B2729,教育部大学名单!$B$1:$D$2920,3,FALSE)</f>
        <v>广东省教育厅</v>
      </c>
      <c r="D2729" s="29" t="s">
        <v>844</v>
      </c>
      <c r="E2729" s="29" t="s">
        <v>845</v>
      </c>
      <c r="F2729" s="36" t="str">
        <f>IFERROR(VLOOKUP(B2729,'985'!$B$2:$D$40,3,FALSE),"")</f>
        <v/>
      </c>
      <c r="G2729" s="32" t="str">
        <f>IFERROR(VLOOKUP(B2729,'211'!$B$2:$D$116,3,FALSE),"")</f>
        <v/>
      </c>
      <c r="H2729" s="32" t="str">
        <f>IFERROR(VLOOKUP(B2729,双一流!$B$2:$D$148,3,FALSE),"")</f>
        <v/>
      </c>
      <c r="I2729" s="32">
        <f>IFERROR(VLOOKUP(B2729,汇总!$B$2:$I$2921,8,FALSE),"")</f>
        <v>0</v>
      </c>
      <c r="J2729" s="29" t="s">
        <v>1700</v>
      </c>
      <c r="K2729" s="29" t="s">
        <v>1252</v>
      </c>
    </row>
    <row r="2730" ht="33.75" spans="1:11">
      <c r="A2730" s="29">
        <v>2729</v>
      </c>
      <c r="B2730" s="34" t="s">
        <v>3111</v>
      </c>
      <c r="C2730" s="29" t="str">
        <f>VLOOKUP(B2730,教育部大学名单!$B$1:$D$2920,3,FALSE)</f>
        <v>广东省教育厅</v>
      </c>
      <c r="D2730" s="34" t="s">
        <v>844</v>
      </c>
      <c r="E2730" s="34" t="s">
        <v>852</v>
      </c>
      <c r="F2730" s="36" t="str">
        <f>IFERROR(VLOOKUP(B2730,'985'!$B$2:$D$40,3,FALSE),"")</f>
        <v/>
      </c>
      <c r="G2730" s="32" t="str">
        <f>IFERROR(VLOOKUP(B2730,'211'!$B$2:$D$116,3,FALSE),"")</f>
        <v/>
      </c>
      <c r="H2730" s="32" t="str">
        <f>IFERROR(VLOOKUP(B2730,双一流!$B$2:$D$148,3,FALSE),"")</f>
        <v/>
      </c>
      <c r="I2730" s="32" t="str">
        <f>IFERROR(VLOOKUP(B2730,汇总!$B$2:$I$2921,8,FALSE),"")</f>
        <v>综合</v>
      </c>
      <c r="J2730" s="34" t="s">
        <v>1700</v>
      </c>
      <c r="K2730" s="34" t="s">
        <v>1252</v>
      </c>
    </row>
    <row r="2731" ht="33.75" spans="1:11">
      <c r="A2731" s="34">
        <v>2730</v>
      </c>
      <c r="B2731" s="29" t="s">
        <v>3112</v>
      </c>
      <c r="C2731" s="29" t="str">
        <f>VLOOKUP(B2731,教育部大学名单!$B$1:$D$2920,3,FALSE)</f>
        <v>广东省教育厅</v>
      </c>
      <c r="D2731" s="29" t="s">
        <v>844</v>
      </c>
      <c r="E2731" s="29" t="s">
        <v>845</v>
      </c>
      <c r="F2731" s="36" t="str">
        <f>IFERROR(VLOOKUP(B2731,'985'!$B$2:$D$40,3,FALSE),"")</f>
        <v/>
      </c>
      <c r="G2731" s="32" t="str">
        <f>IFERROR(VLOOKUP(B2731,'211'!$B$2:$D$116,3,FALSE),"")</f>
        <v/>
      </c>
      <c r="H2731" s="32" t="str">
        <f>IFERROR(VLOOKUP(B2731,双一流!$B$2:$D$148,3,FALSE),"")</f>
        <v/>
      </c>
      <c r="I2731" s="32" t="str">
        <f>IFERROR(VLOOKUP(B2731,汇总!$B$2:$I$2921,8,FALSE),"")</f>
        <v>理工</v>
      </c>
      <c r="J2731" s="29" t="s">
        <v>1700</v>
      </c>
      <c r="K2731" s="29" t="s">
        <v>1252</v>
      </c>
    </row>
    <row r="2732" ht="33.75" spans="1:11">
      <c r="A2732" s="29">
        <v>2731</v>
      </c>
      <c r="B2732" s="34" t="s">
        <v>3113</v>
      </c>
      <c r="C2732" s="29" t="str">
        <f>VLOOKUP(B2732,教育部大学名单!$B$1:$D$2920,3,FALSE)</f>
        <v>广东省教育厅</v>
      </c>
      <c r="D2732" s="34" t="s">
        <v>844</v>
      </c>
      <c r="E2732" s="34" t="s">
        <v>881</v>
      </c>
      <c r="F2732" s="36" t="str">
        <f>IFERROR(VLOOKUP(B2732,'985'!$B$2:$D$40,3,FALSE),"")</f>
        <v/>
      </c>
      <c r="G2732" s="32" t="str">
        <f>IFERROR(VLOOKUP(B2732,'211'!$B$2:$D$116,3,FALSE),"")</f>
        <v/>
      </c>
      <c r="H2732" s="32" t="str">
        <f>IFERROR(VLOOKUP(B2732,双一流!$B$2:$D$148,3,FALSE),"")</f>
        <v/>
      </c>
      <c r="I2732" s="32" t="str">
        <f>IFERROR(VLOOKUP(B2732,汇总!$B$2:$I$2921,8,FALSE),"")</f>
        <v>综合</v>
      </c>
      <c r="J2732" s="34" t="s">
        <v>1700</v>
      </c>
      <c r="K2732" s="34" t="s">
        <v>1252</v>
      </c>
    </row>
    <row r="2733" ht="33.75" spans="1:11">
      <c r="A2733" s="34">
        <v>2732</v>
      </c>
      <c r="B2733" s="29" t="s">
        <v>3114</v>
      </c>
      <c r="C2733" s="29" t="str">
        <f>VLOOKUP(B2733,教育部大学名单!$B$1:$D$2920,3,FALSE)</f>
        <v>广东省教育厅</v>
      </c>
      <c r="D2733" s="29" t="s">
        <v>844</v>
      </c>
      <c r="E2733" s="29" t="s">
        <v>845</v>
      </c>
      <c r="F2733" s="36" t="str">
        <f>IFERROR(VLOOKUP(B2733,'985'!$B$2:$D$40,3,FALSE),"")</f>
        <v/>
      </c>
      <c r="G2733" s="32" t="str">
        <f>IFERROR(VLOOKUP(B2733,'211'!$B$2:$D$116,3,FALSE),"")</f>
        <v/>
      </c>
      <c r="H2733" s="32" t="str">
        <f>IFERROR(VLOOKUP(B2733,双一流!$B$2:$D$148,3,FALSE),"")</f>
        <v/>
      </c>
      <c r="I2733" s="32" t="str">
        <f>IFERROR(VLOOKUP(B2733,汇总!$B$2:$I$2921,8,FALSE),"")</f>
        <v>综合</v>
      </c>
      <c r="J2733" s="29" t="s">
        <v>1700</v>
      </c>
      <c r="K2733" s="29" t="s">
        <v>1252</v>
      </c>
    </row>
    <row r="2734" ht="33.75" spans="1:11">
      <c r="A2734" s="29">
        <v>2733</v>
      </c>
      <c r="B2734" s="34" t="s">
        <v>3115</v>
      </c>
      <c r="C2734" s="29" t="str">
        <f>VLOOKUP(B2734,教育部大学名单!$B$1:$D$2920,3,FALSE)</f>
        <v>广东省教育厅</v>
      </c>
      <c r="D2734" s="34" t="s">
        <v>844</v>
      </c>
      <c r="E2734" s="34" t="s">
        <v>845</v>
      </c>
      <c r="F2734" s="36" t="str">
        <f>IFERROR(VLOOKUP(B2734,'985'!$B$2:$D$40,3,FALSE),"")</f>
        <v/>
      </c>
      <c r="G2734" s="32" t="str">
        <f>IFERROR(VLOOKUP(B2734,'211'!$B$2:$D$116,3,FALSE),"")</f>
        <v/>
      </c>
      <c r="H2734" s="32" t="str">
        <f>IFERROR(VLOOKUP(B2734,双一流!$B$2:$D$148,3,FALSE),"")</f>
        <v/>
      </c>
      <c r="I2734" s="32">
        <f>IFERROR(VLOOKUP(B2734,汇总!$B$2:$I$2921,8,FALSE),"")</f>
        <v>0</v>
      </c>
      <c r="J2734" s="34" t="s">
        <v>1700</v>
      </c>
      <c r="K2734" s="34" t="s">
        <v>1252</v>
      </c>
    </row>
    <row r="2735" ht="33.75" spans="1:11">
      <c r="A2735" s="34">
        <v>2734</v>
      </c>
      <c r="B2735" s="29" t="s">
        <v>3116</v>
      </c>
      <c r="C2735" s="29" t="str">
        <f>VLOOKUP(B2735,教育部大学名单!$B$1:$D$2920,3,FALSE)</f>
        <v>广东省教育厅</v>
      </c>
      <c r="D2735" s="29" t="s">
        <v>844</v>
      </c>
      <c r="E2735" s="29" t="s">
        <v>845</v>
      </c>
      <c r="F2735" s="36" t="str">
        <f>IFERROR(VLOOKUP(B2735,'985'!$B$2:$D$40,3,FALSE),"")</f>
        <v/>
      </c>
      <c r="G2735" s="32" t="str">
        <f>IFERROR(VLOOKUP(B2735,'211'!$B$2:$D$116,3,FALSE),"")</f>
        <v/>
      </c>
      <c r="H2735" s="32" t="str">
        <f>IFERROR(VLOOKUP(B2735,双一流!$B$2:$D$148,3,FALSE),"")</f>
        <v/>
      </c>
      <c r="I2735" s="32">
        <f>IFERROR(VLOOKUP(B2735,汇总!$B$2:$I$2921,8,FALSE),"")</f>
        <v>0</v>
      </c>
      <c r="J2735" s="29" t="s">
        <v>1700</v>
      </c>
      <c r="K2735" s="29" t="s">
        <v>1252</v>
      </c>
    </row>
    <row r="2736" ht="33.75" spans="1:11">
      <c r="A2736" s="29">
        <v>2735</v>
      </c>
      <c r="B2736" s="34" t="s">
        <v>3117</v>
      </c>
      <c r="C2736" s="29" t="str">
        <f>VLOOKUP(B2736,教育部大学名单!$B$1:$D$2920,3,FALSE)</f>
        <v>广东省教育厅</v>
      </c>
      <c r="D2736" s="34" t="s">
        <v>844</v>
      </c>
      <c r="E2736" s="34" t="s">
        <v>886</v>
      </c>
      <c r="F2736" s="36" t="str">
        <f>IFERROR(VLOOKUP(B2736,'985'!$B$2:$D$40,3,FALSE),"")</f>
        <v/>
      </c>
      <c r="G2736" s="32" t="str">
        <f>IFERROR(VLOOKUP(B2736,'211'!$B$2:$D$116,3,FALSE),"")</f>
        <v/>
      </c>
      <c r="H2736" s="32" t="str">
        <f>IFERROR(VLOOKUP(B2736,双一流!$B$2:$D$148,3,FALSE),"")</f>
        <v/>
      </c>
      <c r="I2736" s="32" t="str">
        <f>IFERROR(VLOOKUP(B2736,汇总!$B$2:$I$2921,8,FALSE),"")</f>
        <v>理工</v>
      </c>
      <c r="J2736" s="34" t="s">
        <v>1700</v>
      </c>
      <c r="K2736" s="34" t="s">
        <v>1252</v>
      </c>
    </row>
    <row r="2737" ht="33.75" spans="1:11">
      <c r="A2737" s="34">
        <v>2736</v>
      </c>
      <c r="B2737" s="29" t="s">
        <v>3118</v>
      </c>
      <c r="C2737" s="29" t="str">
        <f>VLOOKUP(B2737,教育部大学名单!$B$1:$D$2920,3,FALSE)</f>
        <v>广东省教育厅</v>
      </c>
      <c r="D2737" s="29" t="s">
        <v>844</v>
      </c>
      <c r="E2737" s="29" t="s">
        <v>866</v>
      </c>
      <c r="F2737" s="36" t="str">
        <f>IFERROR(VLOOKUP(B2737,'985'!$B$2:$D$40,3,FALSE),"")</f>
        <v/>
      </c>
      <c r="G2737" s="32" t="str">
        <f>IFERROR(VLOOKUP(B2737,'211'!$B$2:$D$116,3,FALSE),"")</f>
        <v/>
      </c>
      <c r="H2737" s="32" t="str">
        <f>IFERROR(VLOOKUP(B2737,双一流!$B$2:$D$148,3,FALSE),"")</f>
        <v/>
      </c>
      <c r="I2737" s="32">
        <f>IFERROR(VLOOKUP(B2737,汇总!$B$2:$I$2921,8,FALSE),"")</f>
        <v>0</v>
      </c>
      <c r="J2737" s="29" t="s">
        <v>1700</v>
      </c>
      <c r="K2737" s="29" t="s">
        <v>1252</v>
      </c>
    </row>
    <row r="2738" ht="33.75" spans="1:11">
      <c r="A2738" s="29">
        <v>2737</v>
      </c>
      <c r="B2738" s="34" t="s">
        <v>3119</v>
      </c>
      <c r="C2738" s="29" t="str">
        <f>VLOOKUP(B2738,教育部大学名单!$B$1:$D$2920,3,FALSE)</f>
        <v>广东省教育厅</v>
      </c>
      <c r="D2738" s="34" t="s">
        <v>844</v>
      </c>
      <c r="E2738" s="34" t="s">
        <v>2475</v>
      </c>
      <c r="F2738" s="36" t="str">
        <f>IFERROR(VLOOKUP(B2738,'985'!$B$2:$D$40,3,FALSE),"")</f>
        <v/>
      </c>
      <c r="G2738" s="32" t="str">
        <f>IFERROR(VLOOKUP(B2738,'211'!$B$2:$D$116,3,FALSE),"")</f>
        <v/>
      </c>
      <c r="H2738" s="32" t="str">
        <f>IFERROR(VLOOKUP(B2738,双一流!$B$2:$D$148,3,FALSE),"")</f>
        <v/>
      </c>
      <c r="I2738" s="32">
        <f>IFERROR(VLOOKUP(B2738,汇总!$B$2:$I$2921,8,FALSE),"")</f>
        <v>0</v>
      </c>
      <c r="J2738" s="34" t="s">
        <v>1700</v>
      </c>
      <c r="K2738" s="34" t="s">
        <v>1252</v>
      </c>
    </row>
    <row r="2739" ht="50.25" spans="1:11">
      <c r="A2739" s="34">
        <v>2738</v>
      </c>
      <c r="B2739" s="29" t="s">
        <v>3120</v>
      </c>
      <c r="C2739" s="29" t="str">
        <f>VLOOKUP(B2739,教育部大学名单!$B$1:$D$2920,3,FALSE)</f>
        <v>广东省教育厅</v>
      </c>
      <c r="D2739" s="29" t="s">
        <v>844</v>
      </c>
      <c r="E2739" s="29" t="s">
        <v>886</v>
      </c>
      <c r="F2739" s="36" t="str">
        <f>IFERROR(VLOOKUP(B2739,'985'!$B$2:$D$40,3,FALSE),"")</f>
        <v/>
      </c>
      <c r="G2739" s="32" t="str">
        <f>IFERROR(VLOOKUP(B2739,'211'!$B$2:$D$116,3,FALSE),"")</f>
        <v/>
      </c>
      <c r="H2739" s="32" t="str">
        <f>IFERROR(VLOOKUP(B2739,双一流!$B$2:$D$148,3,FALSE),"")</f>
        <v/>
      </c>
      <c r="I2739" s="32">
        <f>IFERROR(VLOOKUP(B2739,汇总!$B$2:$I$2921,8,FALSE),"")</f>
        <v>0</v>
      </c>
      <c r="J2739" s="29" t="s">
        <v>1700</v>
      </c>
      <c r="K2739" s="29" t="s">
        <v>1252</v>
      </c>
    </row>
    <row r="2740" ht="33.75" spans="1:11">
      <c r="A2740" s="29">
        <v>2739</v>
      </c>
      <c r="B2740" s="34" t="s">
        <v>3121</v>
      </c>
      <c r="C2740" s="29" t="str">
        <f>VLOOKUP(B2740,教育部大学名单!$B$1:$D$2920,3,FALSE)</f>
        <v>广东省教育厅</v>
      </c>
      <c r="D2740" s="34" t="s">
        <v>844</v>
      </c>
      <c r="E2740" s="34" t="s">
        <v>866</v>
      </c>
      <c r="F2740" s="36" t="str">
        <f>IFERROR(VLOOKUP(B2740,'985'!$B$2:$D$40,3,FALSE),"")</f>
        <v/>
      </c>
      <c r="G2740" s="32" t="str">
        <f>IFERROR(VLOOKUP(B2740,'211'!$B$2:$D$116,3,FALSE),"")</f>
        <v/>
      </c>
      <c r="H2740" s="32" t="str">
        <f>IFERROR(VLOOKUP(B2740,双一流!$B$2:$D$148,3,FALSE),"")</f>
        <v/>
      </c>
      <c r="I2740" s="32">
        <f>IFERROR(VLOOKUP(B2740,汇总!$B$2:$I$2921,8,FALSE),"")</f>
        <v>0</v>
      </c>
      <c r="J2740" s="34" t="s">
        <v>1700</v>
      </c>
      <c r="K2740" s="34" t="s">
        <v>1252</v>
      </c>
    </row>
    <row r="2741" ht="50.25" spans="1:11">
      <c r="A2741" s="34">
        <v>2740</v>
      </c>
      <c r="B2741" s="29" t="s">
        <v>3122</v>
      </c>
      <c r="C2741" s="29" t="str">
        <f>VLOOKUP(B2741,教育部大学名单!$B$1:$D$2920,3,FALSE)</f>
        <v>广西壮族自治区教育厅</v>
      </c>
      <c r="D2741" s="29" t="s">
        <v>902</v>
      </c>
      <c r="E2741" s="29" t="s">
        <v>907</v>
      </c>
      <c r="F2741" s="36" t="str">
        <f>IFERROR(VLOOKUP(B2741,'985'!$B$2:$D$40,3,FALSE),"")</f>
        <v/>
      </c>
      <c r="G2741" s="32" t="str">
        <f>IFERROR(VLOOKUP(B2741,'211'!$B$2:$D$116,3,FALSE),"")</f>
        <v/>
      </c>
      <c r="H2741" s="32" t="str">
        <f>IFERROR(VLOOKUP(B2741,双一流!$B$2:$D$148,3,FALSE),"")</f>
        <v/>
      </c>
      <c r="I2741" s="32">
        <f>IFERROR(VLOOKUP(B2741,汇总!$B$2:$I$2921,8,FALSE),"")</f>
        <v>0</v>
      </c>
      <c r="J2741" s="29" t="s">
        <v>1700</v>
      </c>
      <c r="K2741" s="29" t="s">
        <v>1252</v>
      </c>
    </row>
    <row r="2742" ht="33.75" spans="1:11">
      <c r="A2742" s="29">
        <v>2741</v>
      </c>
      <c r="B2742" s="34" t="s">
        <v>3123</v>
      </c>
      <c r="C2742" s="29" t="str">
        <f>VLOOKUP(B2742,教育部大学名单!$B$1:$D$2920,3,FALSE)</f>
        <v>广西壮族自治区教育厅</v>
      </c>
      <c r="D2742" s="34" t="s">
        <v>902</v>
      </c>
      <c r="E2742" s="34" t="s">
        <v>907</v>
      </c>
      <c r="F2742" s="36" t="str">
        <f>IFERROR(VLOOKUP(B2742,'985'!$B$2:$D$40,3,FALSE),"")</f>
        <v/>
      </c>
      <c r="G2742" s="32" t="str">
        <f>IFERROR(VLOOKUP(B2742,'211'!$B$2:$D$116,3,FALSE),"")</f>
        <v/>
      </c>
      <c r="H2742" s="32" t="str">
        <f>IFERROR(VLOOKUP(B2742,双一流!$B$2:$D$148,3,FALSE),"")</f>
        <v/>
      </c>
      <c r="I2742" s="32">
        <f>IFERROR(VLOOKUP(B2742,汇总!$B$2:$I$2921,8,FALSE),"")</f>
        <v>0</v>
      </c>
      <c r="J2742" s="34" t="s">
        <v>1700</v>
      </c>
      <c r="K2742" s="34" t="s">
        <v>1252</v>
      </c>
    </row>
    <row r="2743" ht="33.75" spans="1:11">
      <c r="A2743" s="34">
        <v>2742</v>
      </c>
      <c r="B2743" s="29" t="s">
        <v>3124</v>
      </c>
      <c r="C2743" s="29" t="str">
        <f>VLOOKUP(B2743,教育部大学名单!$B$1:$D$2920,3,FALSE)</f>
        <v>广西壮族自治区教育厅</v>
      </c>
      <c r="D2743" s="29" t="s">
        <v>902</v>
      </c>
      <c r="E2743" s="29" t="s">
        <v>903</v>
      </c>
      <c r="F2743" s="36" t="str">
        <f>IFERROR(VLOOKUP(B2743,'985'!$B$2:$D$40,3,FALSE),"")</f>
        <v/>
      </c>
      <c r="G2743" s="32" t="str">
        <f>IFERROR(VLOOKUP(B2743,'211'!$B$2:$D$116,3,FALSE),"")</f>
        <v/>
      </c>
      <c r="H2743" s="32" t="str">
        <f>IFERROR(VLOOKUP(B2743,双一流!$B$2:$D$148,3,FALSE),"")</f>
        <v/>
      </c>
      <c r="I2743" s="32">
        <f>IFERROR(VLOOKUP(B2743,汇总!$B$2:$I$2921,8,FALSE),"")</f>
        <v>0</v>
      </c>
      <c r="J2743" s="29" t="s">
        <v>1700</v>
      </c>
      <c r="K2743" s="29" t="s">
        <v>1252</v>
      </c>
    </row>
    <row r="2744" ht="33.75" spans="1:11">
      <c r="A2744" s="29">
        <v>2743</v>
      </c>
      <c r="B2744" s="34" t="s">
        <v>3125</v>
      </c>
      <c r="C2744" s="29" t="str">
        <f>VLOOKUP(B2744,教育部大学名单!$B$1:$D$2920,3,FALSE)</f>
        <v>广西壮族自治区教育厅</v>
      </c>
      <c r="D2744" s="34" t="s">
        <v>902</v>
      </c>
      <c r="E2744" s="34" t="s">
        <v>931</v>
      </c>
      <c r="F2744" s="36" t="str">
        <f>IFERROR(VLOOKUP(B2744,'985'!$B$2:$D$40,3,FALSE),"")</f>
        <v/>
      </c>
      <c r="G2744" s="32" t="str">
        <f>IFERROR(VLOOKUP(B2744,'211'!$B$2:$D$116,3,FALSE),"")</f>
        <v/>
      </c>
      <c r="H2744" s="32" t="str">
        <f>IFERROR(VLOOKUP(B2744,双一流!$B$2:$D$148,3,FALSE),"")</f>
        <v/>
      </c>
      <c r="I2744" s="32">
        <f>IFERROR(VLOOKUP(B2744,汇总!$B$2:$I$2921,8,FALSE),"")</f>
        <v>0</v>
      </c>
      <c r="J2744" s="34" t="s">
        <v>1700</v>
      </c>
      <c r="K2744" s="34" t="s">
        <v>1252</v>
      </c>
    </row>
    <row r="2745" ht="33.75" spans="1:11">
      <c r="A2745" s="34">
        <v>2744</v>
      </c>
      <c r="B2745" s="29" t="s">
        <v>3126</v>
      </c>
      <c r="C2745" s="29" t="str">
        <f>VLOOKUP(B2745,教育部大学名单!$B$1:$D$2920,3,FALSE)</f>
        <v>广西壮族自治区教育厅</v>
      </c>
      <c r="D2745" s="29" t="s">
        <v>902</v>
      </c>
      <c r="E2745" s="29" t="s">
        <v>911</v>
      </c>
      <c r="F2745" s="36" t="str">
        <f>IFERROR(VLOOKUP(B2745,'985'!$B$2:$D$40,3,FALSE),"")</f>
        <v/>
      </c>
      <c r="G2745" s="32" t="str">
        <f>IFERROR(VLOOKUP(B2745,'211'!$B$2:$D$116,3,FALSE),"")</f>
        <v/>
      </c>
      <c r="H2745" s="32" t="str">
        <f>IFERROR(VLOOKUP(B2745,双一流!$B$2:$D$148,3,FALSE),"")</f>
        <v/>
      </c>
      <c r="I2745" s="32" t="str">
        <f>IFERROR(VLOOKUP(B2745,汇总!$B$2:$I$2921,8,FALSE),"")</f>
        <v>综合</v>
      </c>
      <c r="J2745" s="29" t="s">
        <v>1700</v>
      </c>
      <c r="K2745" s="29" t="s">
        <v>1252</v>
      </c>
    </row>
    <row r="2746" ht="33.75" spans="1:11">
      <c r="A2746" s="29">
        <v>2745</v>
      </c>
      <c r="B2746" s="34" t="s">
        <v>3127</v>
      </c>
      <c r="C2746" s="29" t="str">
        <f>VLOOKUP(B2746,教育部大学名单!$B$1:$D$2920,3,FALSE)</f>
        <v>广西壮族自治区教育厅</v>
      </c>
      <c r="D2746" s="34" t="s">
        <v>902</v>
      </c>
      <c r="E2746" s="34" t="s">
        <v>917</v>
      </c>
      <c r="F2746" s="36" t="str">
        <f>IFERROR(VLOOKUP(B2746,'985'!$B$2:$D$40,3,FALSE),"")</f>
        <v/>
      </c>
      <c r="G2746" s="32" t="str">
        <f>IFERROR(VLOOKUP(B2746,'211'!$B$2:$D$116,3,FALSE),"")</f>
        <v/>
      </c>
      <c r="H2746" s="32" t="str">
        <f>IFERROR(VLOOKUP(B2746,双一流!$B$2:$D$148,3,FALSE),"")</f>
        <v/>
      </c>
      <c r="I2746" s="32" t="str">
        <f>IFERROR(VLOOKUP(B2746,汇总!$B$2:$I$2921,8,FALSE),"")</f>
        <v>理工</v>
      </c>
      <c r="J2746" s="34" t="s">
        <v>1700</v>
      </c>
      <c r="K2746" s="34" t="s">
        <v>1252</v>
      </c>
    </row>
    <row r="2747" ht="33.75" spans="1:11">
      <c r="A2747" s="34">
        <v>2746</v>
      </c>
      <c r="B2747" s="29" t="s">
        <v>3128</v>
      </c>
      <c r="C2747" s="29" t="str">
        <f>VLOOKUP(B2747,教育部大学名单!$B$1:$D$2920,3,FALSE)</f>
        <v>广西壮族自治区教育厅</v>
      </c>
      <c r="D2747" s="29" t="s">
        <v>902</v>
      </c>
      <c r="E2747" s="29" t="s">
        <v>903</v>
      </c>
      <c r="F2747" s="36" t="str">
        <f>IFERROR(VLOOKUP(B2747,'985'!$B$2:$D$40,3,FALSE),"")</f>
        <v/>
      </c>
      <c r="G2747" s="32" t="str">
        <f>IFERROR(VLOOKUP(B2747,'211'!$B$2:$D$116,3,FALSE),"")</f>
        <v/>
      </c>
      <c r="H2747" s="32" t="str">
        <f>IFERROR(VLOOKUP(B2747,双一流!$B$2:$D$148,3,FALSE),"")</f>
        <v/>
      </c>
      <c r="I2747" s="32">
        <f>IFERROR(VLOOKUP(B2747,汇总!$B$2:$I$2921,8,FALSE),"")</f>
        <v>0</v>
      </c>
      <c r="J2747" s="29" t="s">
        <v>1700</v>
      </c>
      <c r="K2747" s="29" t="s">
        <v>1252</v>
      </c>
    </row>
    <row r="2748" ht="33.75" spans="1:11">
      <c r="A2748" s="29">
        <v>2747</v>
      </c>
      <c r="B2748" s="34" t="s">
        <v>3129</v>
      </c>
      <c r="C2748" s="29" t="str">
        <f>VLOOKUP(B2748,教育部大学名单!$B$1:$D$2920,3,FALSE)</f>
        <v>广西壮族自治区教育厅</v>
      </c>
      <c r="D2748" s="34" t="s">
        <v>902</v>
      </c>
      <c r="E2748" s="34" t="s">
        <v>917</v>
      </c>
      <c r="F2748" s="36" t="str">
        <f>IFERROR(VLOOKUP(B2748,'985'!$B$2:$D$40,3,FALSE),"")</f>
        <v/>
      </c>
      <c r="G2748" s="32" t="str">
        <f>IFERROR(VLOOKUP(B2748,'211'!$B$2:$D$116,3,FALSE),"")</f>
        <v/>
      </c>
      <c r="H2748" s="32" t="str">
        <f>IFERROR(VLOOKUP(B2748,双一流!$B$2:$D$148,3,FALSE),"")</f>
        <v/>
      </c>
      <c r="I2748" s="32">
        <f>IFERROR(VLOOKUP(B2748,汇总!$B$2:$I$2921,8,FALSE),"")</f>
        <v>0</v>
      </c>
      <c r="J2748" s="34" t="s">
        <v>1700</v>
      </c>
      <c r="K2748" s="34" t="s">
        <v>1252</v>
      </c>
    </row>
    <row r="2749" ht="33.75" spans="1:11">
      <c r="A2749" s="34">
        <v>2748</v>
      </c>
      <c r="B2749" s="29" t="s">
        <v>3130</v>
      </c>
      <c r="C2749" s="29" t="str">
        <f>VLOOKUP(B2749,教育部大学名单!$B$1:$D$2920,3,FALSE)</f>
        <v>广西壮族自治区教育厅</v>
      </c>
      <c r="D2749" s="29" t="s">
        <v>902</v>
      </c>
      <c r="E2749" s="29" t="s">
        <v>911</v>
      </c>
      <c r="F2749" s="36" t="str">
        <f>IFERROR(VLOOKUP(B2749,'985'!$B$2:$D$40,3,FALSE),"")</f>
        <v/>
      </c>
      <c r="G2749" s="32" t="str">
        <f>IFERROR(VLOOKUP(B2749,'211'!$B$2:$D$116,3,FALSE),"")</f>
        <v/>
      </c>
      <c r="H2749" s="32" t="str">
        <f>IFERROR(VLOOKUP(B2749,双一流!$B$2:$D$148,3,FALSE),"")</f>
        <v/>
      </c>
      <c r="I2749" s="32">
        <f>IFERROR(VLOOKUP(B2749,汇总!$B$2:$I$2921,8,FALSE),"")</f>
        <v>0</v>
      </c>
      <c r="J2749" s="29" t="s">
        <v>1700</v>
      </c>
      <c r="K2749" s="29" t="s">
        <v>1252</v>
      </c>
    </row>
    <row r="2750" ht="33.75" spans="1:11">
      <c r="A2750" s="29">
        <v>2749</v>
      </c>
      <c r="B2750" s="34" t="s">
        <v>3131</v>
      </c>
      <c r="C2750" s="29" t="str">
        <f>VLOOKUP(B2750,教育部大学名单!$B$1:$D$2920,3,FALSE)</f>
        <v>广西壮族自治区教育厅</v>
      </c>
      <c r="D2750" s="34" t="s">
        <v>902</v>
      </c>
      <c r="E2750" s="34" t="s">
        <v>917</v>
      </c>
      <c r="F2750" s="36" t="str">
        <f>IFERROR(VLOOKUP(B2750,'985'!$B$2:$D$40,3,FALSE),"")</f>
        <v/>
      </c>
      <c r="G2750" s="32" t="str">
        <f>IFERROR(VLOOKUP(B2750,'211'!$B$2:$D$116,3,FALSE),"")</f>
        <v/>
      </c>
      <c r="H2750" s="32" t="str">
        <f>IFERROR(VLOOKUP(B2750,双一流!$B$2:$D$148,3,FALSE),"")</f>
        <v/>
      </c>
      <c r="I2750" s="32">
        <f>IFERROR(VLOOKUP(B2750,汇总!$B$2:$I$2921,8,FALSE),"")</f>
        <v>0</v>
      </c>
      <c r="J2750" s="34" t="s">
        <v>1700</v>
      </c>
      <c r="K2750" s="34" t="s">
        <v>1252</v>
      </c>
    </row>
    <row r="2751" ht="33.75" spans="1:11">
      <c r="A2751" s="34">
        <v>2750</v>
      </c>
      <c r="B2751" s="29" t="s">
        <v>3132</v>
      </c>
      <c r="C2751" s="29" t="str">
        <f>VLOOKUP(B2751,教育部大学名单!$B$1:$D$2920,3,FALSE)</f>
        <v>广西壮族自治区教育厅</v>
      </c>
      <c r="D2751" s="29" t="s">
        <v>902</v>
      </c>
      <c r="E2751" s="29" t="s">
        <v>921</v>
      </c>
      <c r="F2751" s="36" t="str">
        <f>IFERROR(VLOOKUP(B2751,'985'!$B$2:$D$40,3,FALSE),"")</f>
        <v/>
      </c>
      <c r="G2751" s="32" t="str">
        <f>IFERROR(VLOOKUP(B2751,'211'!$B$2:$D$116,3,FALSE),"")</f>
        <v/>
      </c>
      <c r="H2751" s="32" t="str">
        <f>IFERROR(VLOOKUP(B2751,双一流!$B$2:$D$148,3,FALSE),"")</f>
        <v/>
      </c>
      <c r="I2751" s="32">
        <f>IFERROR(VLOOKUP(B2751,汇总!$B$2:$I$2921,8,FALSE),"")</f>
        <v>0</v>
      </c>
      <c r="J2751" s="29" t="s">
        <v>1700</v>
      </c>
      <c r="K2751" s="29" t="s">
        <v>1252</v>
      </c>
    </row>
    <row r="2752" ht="33.75" spans="1:11">
      <c r="A2752" s="29">
        <v>2751</v>
      </c>
      <c r="B2752" s="34" t="s">
        <v>3133</v>
      </c>
      <c r="C2752" s="29" t="str">
        <f>VLOOKUP(B2752,教育部大学名单!$B$1:$D$2920,3,FALSE)</f>
        <v>广西壮族自治区教育厅</v>
      </c>
      <c r="D2752" s="34" t="s">
        <v>902</v>
      </c>
      <c r="E2752" s="34" t="s">
        <v>928</v>
      </c>
      <c r="F2752" s="36" t="str">
        <f>IFERROR(VLOOKUP(B2752,'985'!$B$2:$D$40,3,FALSE),"")</f>
        <v/>
      </c>
      <c r="G2752" s="32" t="str">
        <f>IFERROR(VLOOKUP(B2752,'211'!$B$2:$D$116,3,FALSE),"")</f>
        <v/>
      </c>
      <c r="H2752" s="32" t="str">
        <f>IFERROR(VLOOKUP(B2752,双一流!$B$2:$D$148,3,FALSE),"")</f>
        <v/>
      </c>
      <c r="I2752" s="32">
        <f>IFERROR(VLOOKUP(B2752,汇总!$B$2:$I$2921,8,FALSE),"")</f>
        <v>0</v>
      </c>
      <c r="J2752" s="34" t="s">
        <v>1700</v>
      </c>
      <c r="K2752" s="34" t="s">
        <v>1252</v>
      </c>
    </row>
    <row r="2753" ht="33.75" spans="1:11">
      <c r="A2753" s="34">
        <v>2752</v>
      </c>
      <c r="B2753" s="29" t="s">
        <v>3134</v>
      </c>
      <c r="C2753" s="29" t="str">
        <f>VLOOKUP(B2753,教育部大学名单!$B$1:$D$2920,3,FALSE)</f>
        <v>广西壮族自治区教育厅</v>
      </c>
      <c r="D2753" s="29" t="s">
        <v>902</v>
      </c>
      <c r="E2753" s="29" t="s">
        <v>926</v>
      </c>
      <c r="F2753" s="36" t="str">
        <f>IFERROR(VLOOKUP(B2753,'985'!$B$2:$D$40,3,FALSE),"")</f>
        <v/>
      </c>
      <c r="G2753" s="32" t="str">
        <f>IFERROR(VLOOKUP(B2753,'211'!$B$2:$D$116,3,FALSE),"")</f>
        <v/>
      </c>
      <c r="H2753" s="32" t="str">
        <f>IFERROR(VLOOKUP(B2753,双一流!$B$2:$D$148,3,FALSE),"")</f>
        <v/>
      </c>
      <c r="I2753" s="32">
        <f>IFERROR(VLOOKUP(B2753,汇总!$B$2:$I$2921,8,FALSE),"")</f>
        <v>0</v>
      </c>
      <c r="J2753" s="29" t="s">
        <v>1700</v>
      </c>
      <c r="K2753" s="29" t="s">
        <v>1252</v>
      </c>
    </row>
    <row r="2754" ht="33.75" spans="1:11">
      <c r="A2754" s="29">
        <v>2753</v>
      </c>
      <c r="B2754" s="34" t="s">
        <v>3135</v>
      </c>
      <c r="C2754" s="29" t="str">
        <f>VLOOKUP(B2754,教育部大学名单!$B$1:$D$2920,3,FALSE)</f>
        <v>广西壮族自治区教育厅</v>
      </c>
      <c r="D2754" s="34" t="s">
        <v>902</v>
      </c>
      <c r="E2754" s="34" t="s">
        <v>1580</v>
      </c>
      <c r="F2754" s="36" t="str">
        <f>IFERROR(VLOOKUP(B2754,'985'!$B$2:$D$40,3,FALSE),"")</f>
        <v/>
      </c>
      <c r="G2754" s="32" t="str">
        <f>IFERROR(VLOOKUP(B2754,'211'!$B$2:$D$116,3,FALSE),"")</f>
        <v/>
      </c>
      <c r="H2754" s="32" t="str">
        <f>IFERROR(VLOOKUP(B2754,双一流!$B$2:$D$148,3,FALSE),"")</f>
        <v/>
      </c>
      <c r="I2754" s="32">
        <f>IFERROR(VLOOKUP(B2754,汇总!$B$2:$I$2921,8,FALSE),"")</f>
        <v>0</v>
      </c>
      <c r="J2754" s="34" t="s">
        <v>1700</v>
      </c>
      <c r="K2754" s="34" t="s">
        <v>1252</v>
      </c>
    </row>
    <row r="2755" ht="33.75" spans="1:11">
      <c r="A2755" s="34">
        <v>2754</v>
      </c>
      <c r="B2755" s="29" t="s">
        <v>3136</v>
      </c>
      <c r="C2755" s="29" t="str">
        <f>VLOOKUP(B2755,教育部大学名单!$B$1:$D$2920,3,FALSE)</f>
        <v>海南省教育厅</v>
      </c>
      <c r="D2755" s="29" t="s">
        <v>943</v>
      </c>
      <c r="E2755" s="29" t="s">
        <v>946</v>
      </c>
      <c r="F2755" s="36" t="str">
        <f>IFERROR(VLOOKUP(B2755,'985'!$B$2:$D$40,3,FALSE),"")</f>
        <v/>
      </c>
      <c r="G2755" s="32" t="str">
        <f>IFERROR(VLOOKUP(B2755,'211'!$B$2:$D$116,3,FALSE),"")</f>
        <v/>
      </c>
      <c r="H2755" s="32" t="str">
        <f>IFERROR(VLOOKUP(B2755,双一流!$B$2:$D$148,3,FALSE),"")</f>
        <v/>
      </c>
      <c r="I2755" s="32">
        <f>IFERROR(VLOOKUP(B2755,汇总!$B$2:$I$2921,8,FALSE),"")</f>
        <v>0</v>
      </c>
      <c r="J2755" s="29" t="s">
        <v>1700</v>
      </c>
      <c r="K2755" s="29" t="s">
        <v>1252</v>
      </c>
    </row>
    <row r="2756" ht="33.75" spans="1:11">
      <c r="A2756" s="29">
        <v>2755</v>
      </c>
      <c r="B2756" s="34" t="s">
        <v>3137</v>
      </c>
      <c r="C2756" s="29" t="str">
        <f>VLOOKUP(B2756,教育部大学名单!$B$1:$D$2920,3,FALSE)</f>
        <v>海南省教育厅</v>
      </c>
      <c r="D2756" s="34" t="s">
        <v>943</v>
      </c>
      <c r="E2756" s="34" t="s">
        <v>944</v>
      </c>
      <c r="F2756" s="36" t="str">
        <f>IFERROR(VLOOKUP(B2756,'985'!$B$2:$D$40,3,FALSE),"")</f>
        <v/>
      </c>
      <c r="G2756" s="32" t="str">
        <f>IFERROR(VLOOKUP(B2756,'211'!$B$2:$D$116,3,FALSE),"")</f>
        <v/>
      </c>
      <c r="H2756" s="32" t="str">
        <f>IFERROR(VLOOKUP(B2756,双一流!$B$2:$D$148,3,FALSE),"")</f>
        <v/>
      </c>
      <c r="I2756" s="32" t="str">
        <f>IFERROR(VLOOKUP(B2756,汇总!$B$2:$I$2921,8,FALSE),"")</f>
        <v>综合</v>
      </c>
      <c r="J2756" s="34" t="s">
        <v>1700</v>
      </c>
      <c r="K2756" s="34" t="s">
        <v>1252</v>
      </c>
    </row>
    <row r="2757" ht="33.75" spans="1:11">
      <c r="A2757" s="34">
        <v>2756</v>
      </c>
      <c r="B2757" s="29" t="s">
        <v>3138</v>
      </c>
      <c r="C2757" s="29" t="str">
        <f>VLOOKUP(B2757,教育部大学名单!$B$1:$D$2920,3,FALSE)</f>
        <v>海南省教育厅</v>
      </c>
      <c r="D2757" s="29" t="s">
        <v>943</v>
      </c>
      <c r="E2757" s="29" t="s">
        <v>946</v>
      </c>
      <c r="F2757" s="36" t="str">
        <f>IFERROR(VLOOKUP(B2757,'985'!$B$2:$D$40,3,FALSE),"")</f>
        <v/>
      </c>
      <c r="G2757" s="32" t="str">
        <f>IFERROR(VLOOKUP(B2757,'211'!$B$2:$D$116,3,FALSE),"")</f>
        <v/>
      </c>
      <c r="H2757" s="32" t="str">
        <f>IFERROR(VLOOKUP(B2757,双一流!$B$2:$D$148,3,FALSE),"")</f>
        <v/>
      </c>
      <c r="I2757" s="32" t="str">
        <f>IFERROR(VLOOKUP(B2757,汇总!$B$2:$I$2921,8,FALSE),"")</f>
        <v>综合</v>
      </c>
      <c r="J2757" s="29" t="s">
        <v>1700</v>
      </c>
      <c r="K2757" s="29" t="s">
        <v>1252</v>
      </c>
    </row>
    <row r="2758" ht="33.75" spans="1:11">
      <c r="A2758" s="29">
        <v>2757</v>
      </c>
      <c r="B2758" s="34" t="s">
        <v>3139</v>
      </c>
      <c r="C2758" s="29" t="str">
        <f>VLOOKUP(B2758,教育部大学名单!$B$1:$D$2920,3,FALSE)</f>
        <v>海南省教育厅</v>
      </c>
      <c r="D2758" s="34" t="s">
        <v>943</v>
      </c>
      <c r="E2758" s="34" t="s">
        <v>946</v>
      </c>
      <c r="F2758" s="36" t="str">
        <f>IFERROR(VLOOKUP(B2758,'985'!$B$2:$D$40,3,FALSE),"")</f>
        <v/>
      </c>
      <c r="G2758" s="32" t="str">
        <f>IFERROR(VLOOKUP(B2758,'211'!$B$2:$D$116,3,FALSE),"")</f>
        <v/>
      </c>
      <c r="H2758" s="32" t="str">
        <f>IFERROR(VLOOKUP(B2758,双一流!$B$2:$D$148,3,FALSE),"")</f>
        <v/>
      </c>
      <c r="I2758" s="32" t="str">
        <f>IFERROR(VLOOKUP(B2758,汇总!$B$2:$I$2921,8,FALSE),"")</f>
        <v>综合</v>
      </c>
      <c r="J2758" s="34" t="s">
        <v>1700</v>
      </c>
      <c r="K2758" s="34" t="s">
        <v>1252</v>
      </c>
    </row>
    <row r="2759" ht="50.25" spans="1:11">
      <c r="A2759" s="34">
        <v>2758</v>
      </c>
      <c r="B2759" s="29" t="s">
        <v>3140</v>
      </c>
      <c r="C2759" s="29" t="str">
        <f>VLOOKUP(B2759,教育部大学名单!$B$1:$D$2920,3,FALSE)</f>
        <v>海南省教育厅</v>
      </c>
      <c r="D2759" s="29" t="s">
        <v>943</v>
      </c>
      <c r="E2759" s="29" t="s">
        <v>946</v>
      </c>
      <c r="F2759" s="36" t="str">
        <f>IFERROR(VLOOKUP(B2759,'985'!$B$2:$D$40,3,FALSE),"")</f>
        <v/>
      </c>
      <c r="G2759" s="32" t="str">
        <f>IFERROR(VLOOKUP(B2759,'211'!$B$2:$D$116,3,FALSE),"")</f>
        <v/>
      </c>
      <c r="H2759" s="32" t="str">
        <f>IFERROR(VLOOKUP(B2759,双一流!$B$2:$D$148,3,FALSE),"")</f>
        <v/>
      </c>
      <c r="I2759" s="32">
        <f>IFERROR(VLOOKUP(B2759,汇总!$B$2:$I$2921,8,FALSE),"")</f>
        <v>0</v>
      </c>
      <c r="J2759" s="29" t="s">
        <v>1700</v>
      </c>
      <c r="K2759" s="29" t="s">
        <v>1252</v>
      </c>
    </row>
    <row r="2760" ht="50.25" spans="1:11">
      <c r="A2760" s="29">
        <v>2759</v>
      </c>
      <c r="B2760" s="34" t="s">
        <v>3141</v>
      </c>
      <c r="C2760" s="29" t="str">
        <f>VLOOKUP(B2760,教育部大学名单!$B$1:$D$2920,3,FALSE)</f>
        <v>海南省教育厅</v>
      </c>
      <c r="D2760" s="34" t="s">
        <v>943</v>
      </c>
      <c r="E2760" s="34" t="s">
        <v>3142</v>
      </c>
      <c r="F2760" s="36" t="str">
        <f>IFERROR(VLOOKUP(B2760,'985'!$B$2:$D$40,3,FALSE),"")</f>
        <v/>
      </c>
      <c r="G2760" s="32" t="str">
        <f>IFERROR(VLOOKUP(B2760,'211'!$B$2:$D$116,3,FALSE),"")</f>
        <v/>
      </c>
      <c r="H2760" s="32" t="str">
        <f>IFERROR(VLOOKUP(B2760,双一流!$B$2:$D$148,3,FALSE),"")</f>
        <v/>
      </c>
      <c r="I2760" s="32">
        <f>IFERROR(VLOOKUP(B2760,汇总!$B$2:$I$2921,8,FALSE),"")</f>
        <v>0</v>
      </c>
      <c r="J2760" s="34" t="s">
        <v>1700</v>
      </c>
      <c r="K2760" s="34" t="s">
        <v>1252</v>
      </c>
    </row>
    <row r="2761" ht="33.75" spans="1:11">
      <c r="A2761" s="34">
        <v>2760</v>
      </c>
      <c r="B2761" s="29" t="s">
        <v>3143</v>
      </c>
      <c r="C2761" s="29" t="str">
        <f>VLOOKUP(B2761,教育部大学名单!$B$1:$D$2920,3,FALSE)</f>
        <v>重庆市教委</v>
      </c>
      <c r="D2761" s="29" t="s">
        <v>951</v>
      </c>
      <c r="E2761" s="29" t="s">
        <v>951</v>
      </c>
      <c r="F2761" s="36" t="str">
        <f>IFERROR(VLOOKUP(B2761,'985'!$B$2:$D$40,3,FALSE),"")</f>
        <v/>
      </c>
      <c r="G2761" s="32" t="str">
        <f>IFERROR(VLOOKUP(B2761,'211'!$B$2:$D$116,3,FALSE),"")</f>
        <v/>
      </c>
      <c r="H2761" s="32" t="str">
        <f>IFERROR(VLOOKUP(B2761,双一流!$B$2:$D$148,3,FALSE),"")</f>
        <v/>
      </c>
      <c r="I2761" s="32">
        <f>IFERROR(VLOOKUP(B2761,汇总!$B$2:$I$2921,8,FALSE),"")</f>
        <v>0</v>
      </c>
      <c r="J2761" s="29" t="s">
        <v>1700</v>
      </c>
      <c r="K2761" s="29" t="s">
        <v>1252</v>
      </c>
    </row>
    <row r="2762" ht="33.75" spans="1:11">
      <c r="A2762" s="29">
        <v>2761</v>
      </c>
      <c r="B2762" s="34" t="s">
        <v>3144</v>
      </c>
      <c r="C2762" s="29" t="str">
        <f>VLOOKUP(B2762,教育部大学名单!$B$1:$D$2920,3,FALSE)</f>
        <v>重庆市教委</v>
      </c>
      <c r="D2762" s="34" t="s">
        <v>951</v>
      </c>
      <c r="E2762" s="34" t="s">
        <v>951</v>
      </c>
      <c r="F2762" s="36" t="str">
        <f>IFERROR(VLOOKUP(B2762,'985'!$B$2:$D$40,3,FALSE),"")</f>
        <v/>
      </c>
      <c r="G2762" s="32" t="str">
        <f>IFERROR(VLOOKUP(B2762,'211'!$B$2:$D$116,3,FALSE),"")</f>
        <v/>
      </c>
      <c r="H2762" s="32" t="str">
        <f>IFERROR(VLOOKUP(B2762,双一流!$B$2:$D$148,3,FALSE),"")</f>
        <v/>
      </c>
      <c r="I2762" s="32">
        <f>IFERROR(VLOOKUP(B2762,汇总!$B$2:$I$2921,8,FALSE),"")</f>
        <v>0</v>
      </c>
      <c r="J2762" s="34" t="s">
        <v>1700</v>
      </c>
      <c r="K2762" s="34" t="s">
        <v>1252</v>
      </c>
    </row>
    <row r="2763" ht="33.75" spans="1:11">
      <c r="A2763" s="34">
        <v>2762</v>
      </c>
      <c r="B2763" s="29" t="s">
        <v>3145</v>
      </c>
      <c r="C2763" s="29" t="str">
        <f>VLOOKUP(B2763,教育部大学名单!$B$1:$D$2920,3,FALSE)</f>
        <v>重庆市教委</v>
      </c>
      <c r="D2763" s="29" t="s">
        <v>951</v>
      </c>
      <c r="E2763" s="29" t="s">
        <v>951</v>
      </c>
      <c r="F2763" s="36" t="str">
        <f>IFERROR(VLOOKUP(B2763,'985'!$B$2:$D$40,3,FALSE),"")</f>
        <v/>
      </c>
      <c r="G2763" s="32" t="str">
        <f>IFERROR(VLOOKUP(B2763,'211'!$B$2:$D$116,3,FALSE),"")</f>
        <v/>
      </c>
      <c r="H2763" s="32" t="str">
        <f>IFERROR(VLOOKUP(B2763,双一流!$B$2:$D$148,3,FALSE),"")</f>
        <v/>
      </c>
      <c r="I2763" s="32" t="str">
        <f>IFERROR(VLOOKUP(B2763,汇总!$B$2:$I$2921,8,FALSE),"")</f>
        <v>综合</v>
      </c>
      <c r="J2763" s="29" t="s">
        <v>1700</v>
      </c>
      <c r="K2763" s="29" t="s">
        <v>1252</v>
      </c>
    </row>
    <row r="2764" ht="33.75" spans="1:11">
      <c r="A2764" s="29">
        <v>2763</v>
      </c>
      <c r="B2764" s="34" t="s">
        <v>3146</v>
      </c>
      <c r="C2764" s="29" t="str">
        <f>VLOOKUP(B2764,教育部大学名单!$B$1:$D$2920,3,FALSE)</f>
        <v>重庆市教委</v>
      </c>
      <c r="D2764" s="34" t="s">
        <v>951</v>
      </c>
      <c r="E2764" s="34" t="s">
        <v>951</v>
      </c>
      <c r="F2764" s="36" t="str">
        <f>IFERROR(VLOOKUP(B2764,'985'!$B$2:$D$40,3,FALSE),"")</f>
        <v/>
      </c>
      <c r="G2764" s="32" t="str">
        <f>IFERROR(VLOOKUP(B2764,'211'!$B$2:$D$116,3,FALSE),"")</f>
        <v/>
      </c>
      <c r="H2764" s="32" t="str">
        <f>IFERROR(VLOOKUP(B2764,双一流!$B$2:$D$148,3,FALSE),"")</f>
        <v/>
      </c>
      <c r="I2764" s="32" t="str">
        <f>IFERROR(VLOOKUP(B2764,汇总!$B$2:$I$2921,8,FALSE),"")</f>
        <v>理工</v>
      </c>
      <c r="J2764" s="34" t="s">
        <v>1700</v>
      </c>
      <c r="K2764" s="34" t="s">
        <v>1252</v>
      </c>
    </row>
    <row r="2765" ht="33.75" spans="1:11">
      <c r="A2765" s="34">
        <v>2764</v>
      </c>
      <c r="B2765" s="29" t="s">
        <v>3147</v>
      </c>
      <c r="C2765" s="29" t="str">
        <f>VLOOKUP(B2765,教育部大学名单!$B$1:$D$2920,3,FALSE)</f>
        <v>重庆市教委</v>
      </c>
      <c r="D2765" s="29" t="s">
        <v>951</v>
      </c>
      <c r="E2765" s="29" t="s">
        <v>951</v>
      </c>
      <c r="F2765" s="36" t="str">
        <f>IFERROR(VLOOKUP(B2765,'985'!$B$2:$D$40,3,FALSE),"")</f>
        <v/>
      </c>
      <c r="G2765" s="32" t="str">
        <f>IFERROR(VLOOKUP(B2765,'211'!$B$2:$D$116,3,FALSE),"")</f>
        <v/>
      </c>
      <c r="H2765" s="32" t="str">
        <f>IFERROR(VLOOKUP(B2765,双一流!$B$2:$D$148,3,FALSE),"")</f>
        <v/>
      </c>
      <c r="I2765" s="32">
        <f>IFERROR(VLOOKUP(B2765,汇总!$B$2:$I$2921,8,FALSE),"")</f>
        <v>0</v>
      </c>
      <c r="J2765" s="29" t="s">
        <v>1700</v>
      </c>
      <c r="K2765" s="29" t="s">
        <v>1252</v>
      </c>
    </row>
    <row r="2766" ht="33.75" spans="1:11">
      <c r="A2766" s="29">
        <v>2765</v>
      </c>
      <c r="B2766" s="34" t="s">
        <v>3148</v>
      </c>
      <c r="C2766" s="29" t="str">
        <f>VLOOKUP(B2766,教育部大学名单!$B$1:$D$2920,3,FALSE)</f>
        <v>重庆市教委</v>
      </c>
      <c r="D2766" s="34" t="s">
        <v>951</v>
      </c>
      <c r="E2766" s="34" t="s">
        <v>951</v>
      </c>
      <c r="F2766" s="36" t="str">
        <f>IFERROR(VLOOKUP(B2766,'985'!$B$2:$D$40,3,FALSE),"")</f>
        <v/>
      </c>
      <c r="G2766" s="32" t="str">
        <f>IFERROR(VLOOKUP(B2766,'211'!$B$2:$D$116,3,FALSE),"")</f>
        <v/>
      </c>
      <c r="H2766" s="32" t="str">
        <f>IFERROR(VLOOKUP(B2766,双一流!$B$2:$D$148,3,FALSE),"")</f>
        <v/>
      </c>
      <c r="I2766" s="32" t="str">
        <f>IFERROR(VLOOKUP(B2766,汇总!$B$2:$I$2921,8,FALSE),"")</f>
        <v>理工</v>
      </c>
      <c r="J2766" s="34" t="s">
        <v>1700</v>
      </c>
      <c r="K2766" s="34" t="s">
        <v>1252</v>
      </c>
    </row>
    <row r="2767" ht="33.75" spans="1:11">
      <c r="A2767" s="34">
        <v>2766</v>
      </c>
      <c r="B2767" s="29" t="s">
        <v>3149</v>
      </c>
      <c r="C2767" s="29" t="str">
        <f>VLOOKUP(B2767,教育部大学名单!$B$1:$D$2920,3,FALSE)</f>
        <v>重庆市教委</v>
      </c>
      <c r="D2767" s="29" t="s">
        <v>951</v>
      </c>
      <c r="E2767" s="29" t="s">
        <v>951</v>
      </c>
      <c r="F2767" s="36" t="str">
        <f>IFERROR(VLOOKUP(B2767,'985'!$B$2:$D$40,3,FALSE),"")</f>
        <v/>
      </c>
      <c r="G2767" s="32" t="str">
        <f>IFERROR(VLOOKUP(B2767,'211'!$B$2:$D$116,3,FALSE),"")</f>
        <v/>
      </c>
      <c r="H2767" s="32" t="str">
        <f>IFERROR(VLOOKUP(B2767,双一流!$B$2:$D$148,3,FALSE),"")</f>
        <v/>
      </c>
      <c r="I2767" s="32" t="str">
        <f>IFERROR(VLOOKUP(B2767,汇总!$B$2:$I$2921,8,FALSE),"")</f>
        <v>理工</v>
      </c>
      <c r="J2767" s="29" t="s">
        <v>1700</v>
      </c>
      <c r="K2767" s="29" t="s">
        <v>1252</v>
      </c>
    </row>
    <row r="2768" ht="33.75" spans="1:11">
      <c r="A2768" s="29">
        <v>2767</v>
      </c>
      <c r="B2768" s="34" t="s">
        <v>3150</v>
      </c>
      <c r="C2768" s="29" t="str">
        <f>VLOOKUP(B2768,教育部大学名单!$B$1:$D$2920,3,FALSE)</f>
        <v>重庆市教委</v>
      </c>
      <c r="D2768" s="34" t="s">
        <v>951</v>
      </c>
      <c r="E2768" s="34" t="s">
        <v>951</v>
      </c>
      <c r="F2768" s="36" t="str">
        <f>IFERROR(VLOOKUP(B2768,'985'!$B$2:$D$40,3,FALSE),"")</f>
        <v/>
      </c>
      <c r="G2768" s="32" t="str">
        <f>IFERROR(VLOOKUP(B2768,'211'!$B$2:$D$116,3,FALSE),"")</f>
        <v/>
      </c>
      <c r="H2768" s="32" t="str">
        <f>IFERROR(VLOOKUP(B2768,双一流!$B$2:$D$148,3,FALSE),"")</f>
        <v/>
      </c>
      <c r="I2768" s="32" t="str">
        <f>IFERROR(VLOOKUP(B2768,汇总!$B$2:$I$2921,8,FALSE),"")</f>
        <v>理工</v>
      </c>
      <c r="J2768" s="34" t="s">
        <v>1700</v>
      </c>
      <c r="K2768" s="34" t="s">
        <v>1252</v>
      </c>
    </row>
    <row r="2769" ht="33.75" spans="1:11">
      <c r="A2769" s="34">
        <v>2768</v>
      </c>
      <c r="B2769" s="29" t="s">
        <v>3151</v>
      </c>
      <c r="C2769" s="29" t="str">
        <f>VLOOKUP(B2769,教育部大学名单!$B$1:$D$2920,3,FALSE)</f>
        <v>重庆市教委</v>
      </c>
      <c r="D2769" s="29" t="s">
        <v>951</v>
      </c>
      <c r="E2769" s="29" t="s">
        <v>951</v>
      </c>
      <c r="F2769" s="36" t="str">
        <f>IFERROR(VLOOKUP(B2769,'985'!$B$2:$D$40,3,FALSE),"")</f>
        <v/>
      </c>
      <c r="G2769" s="32" t="str">
        <f>IFERROR(VLOOKUP(B2769,'211'!$B$2:$D$116,3,FALSE),"")</f>
        <v/>
      </c>
      <c r="H2769" s="32" t="str">
        <f>IFERROR(VLOOKUP(B2769,双一流!$B$2:$D$148,3,FALSE),"")</f>
        <v/>
      </c>
      <c r="I2769" s="32" t="str">
        <f>IFERROR(VLOOKUP(B2769,汇总!$B$2:$I$2921,8,FALSE),"")</f>
        <v>理工</v>
      </c>
      <c r="J2769" s="29" t="s">
        <v>1700</v>
      </c>
      <c r="K2769" s="29" t="s">
        <v>1252</v>
      </c>
    </row>
    <row r="2770" ht="33.75" spans="1:11">
      <c r="A2770" s="29">
        <v>2769</v>
      </c>
      <c r="B2770" s="34" t="s">
        <v>3152</v>
      </c>
      <c r="C2770" s="29" t="str">
        <f>VLOOKUP(B2770,教育部大学名单!$B$1:$D$2920,3,FALSE)</f>
        <v>重庆市教委</v>
      </c>
      <c r="D2770" s="34" t="s">
        <v>951</v>
      </c>
      <c r="E2770" s="34" t="s">
        <v>951</v>
      </c>
      <c r="F2770" s="36" t="str">
        <f>IFERROR(VLOOKUP(B2770,'985'!$B$2:$D$40,3,FALSE),"")</f>
        <v/>
      </c>
      <c r="G2770" s="32" t="str">
        <f>IFERROR(VLOOKUP(B2770,'211'!$B$2:$D$116,3,FALSE),"")</f>
        <v/>
      </c>
      <c r="H2770" s="32" t="str">
        <f>IFERROR(VLOOKUP(B2770,双一流!$B$2:$D$148,3,FALSE),"")</f>
        <v/>
      </c>
      <c r="I2770" s="32" t="str">
        <f>IFERROR(VLOOKUP(B2770,汇总!$B$2:$I$2921,8,FALSE),"")</f>
        <v>理工</v>
      </c>
      <c r="J2770" s="34" t="s">
        <v>1700</v>
      </c>
      <c r="K2770" s="34" t="s">
        <v>1252</v>
      </c>
    </row>
    <row r="2771" ht="33.75" spans="1:11">
      <c r="A2771" s="34">
        <v>2770</v>
      </c>
      <c r="B2771" s="29" t="s">
        <v>3153</v>
      </c>
      <c r="C2771" s="29" t="str">
        <f>VLOOKUP(B2771,教育部大学名单!$B$1:$D$2920,3,FALSE)</f>
        <v>重庆市教委</v>
      </c>
      <c r="D2771" s="29" t="s">
        <v>951</v>
      </c>
      <c r="E2771" s="29" t="s">
        <v>951</v>
      </c>
      <c r="F2771" s="36" t="str">
        <f>IFERROR(VLOOKUP(B2771,'985'!$B$2:$D$40,3,FALSE),"")</f>
        <v/>
      </c>
      <c r="G2771" s="32" t="str">
        <f>IFERROR(VLOOKUP(B2771,'211'!$B$2:$D$116,3,FALSE),"")</f>
        <v/>
      </c>
      <c r="H2771" s="32" t="str">
        <f>IFERROR(VLOOKUP(B2771,双一流!$B$2:$D$148,3,FALSE),"")</f>
        <v/>
      </c>
      <c r="I2771" s="32">
        <f>IFERROR(VLOOKUP(B2771,汇总!$B$2:$I$2921,8,FALSE),"")</f>
        <v>0</v>
      </c>
      <c r="J2771" s="29" t="s">
        <v>1700</v>
      </c>
      <c r="K2771" s="29" t="s">
        <v>1252</v>
      </c>
    </row>
    <row r="2772" ht="33.75" spans="1:11">
      <c r="A2772" s="29">
        <v>2771</v>
      </c>
      <c r="B2772" s="34" t="s">
        <v>3154</v>
      </c>
      <c r="C2772" s="29" t="str">
        <f>VLOOKUP(B2772,教育部大学名单!$B$1:$D$2920,3,FALSE)</f>
        <v>重庆市教委</v>
      </c>
      <c r="D2772" s="34" t="s">
        <v>951</v>
      </c>
      <c r="E2772" s="34" t="s">
        <v>951</v>
      </c>
      <c r="F2772" s="36" t="str">
        <f>IFERROR(VLOOKUP(B2772,'985'!$B$2:$D$40,3,FALSE),"")</f>
        <v/>
      </c>
      <c r="G2772" s="32" t="str">
        <f>IFERROR(VLOOKUP(B2772,'211'!$B$2:$D$116,3,FALSE),"")</f>
        <v/>
      </c>
      <c r="H2772" s="32" t="str">
        <f>IFERROR(VLOOKUP(B2772,双一流!$B$2:$D$148,3,FALSE),"")</f>
        <v/>
      </c>
      <c r="I2772" s="32">
        <f>IFERROR(VLOOKUP(B2772,汇总!$B$2:$I$2921,8,FALSE),"")</f>
        <v>0</v>
      </c>
      <c r="J2772" s="34" t="s">
        <v>1700</v>
      </c>
      <c r="K2772" s="34" t="s">
        <v>1252</v>
      </c>
    </row>
    <row r="2773" ht="33.75" spans="1:11">
      <c r="A2773" s="34">
        <v>2772</v>
      </c>
      <c r="B2773" s="29" t="s">
        <v>3155</v>
      </c>
      <c r="C2773" s="29" t="str">
        <f>VLOOKUP(B2773,教育部大学名单!$B$1:$D$2920,3,FALSE)</f>
        <v>重庆市教委</v>
      </c>
      <c r="D2773" s="29" t="s">
        <v>951</v>
      </c>
      <c r="E2773" s="29" t="s">
        <v>951</v>
      </c>
      <c r="F2773" s="36" t="str">
        <f>IFERROR(VLOOKUP(B2773,'985'!$B$2:$D$40,3,FALSE),"")</f>
        <v/>
      </c>
      <c r="G2773" s="32" t="str">
        <f>IFERROR(VLOOKUP(B2773,'211'!$B$2:$D$116,3,FALSE),"")</f>
        <v/>
      </c>
      <c r="H2773" s="32" t="str">
        <f>IFERROR(VLOOKUP(B2773,双一流!$B$2:$D$148,3,FALSE),"")</f>
        <v/>
      </c>
      <c r="I2773" s="32" t="str">
        <f>IFERROR(VLOOKUP(B2773,汇总!$B$2:$I$2921,8,FALSE),"")</f>
        <v>理工</v>
      </c>
      <c r="J2773" s="29" t="s">
        <v>1700</v>
      </c>
      <c r="K2773" s="29" t="s">
        <v>1252</v>
      </c>
    </row>
    <row r="2774" ht="33.75" spans="1:11">
      <c r="A2774" s="29">
        <v>2773</v>
      </c>
      <c r="B2774" s="34" t="s">
        <v>3156</v>
      </c>
      <c r="C2774" s="29" t="str">
        <f>VLOOKUP(B2774,教育部大学名单!$B$1:$D$2920,3,FALSE)</f>
        <v>重庆市教委</v>
      </c>
      <c r="D2774" s="34" t="s">
        <v>951</v>
      </c>
      <c r="E2774" s="34" t="s">
        <v>951</v>
      </c>
      <c r="F2774" s="36" t="str">
        <f>IFERROR(VLOOKUP(B2774,'985'!$B$2:$D$40,3,FALSE),"")</f>
        <v/>
      </c>
      <c r="G2774" s="32" t="str">
        <f>IFERROR(VLOOKUP(B2774,'211'!$B$2:$D$116,3,FALSE),"")</f>
        <v/>
      </c>
      <c r="H2774" s="32" t="str">
        <f>IFERROR(VLOOKUP(B2774,双一流!$B$2:$D$148,3,FALSE),"")</f>
        <v/>
      </c>
      <c r="I2774" s="32">
        <f>IFERROR(VLOOKUP(B2774,汇总!$B$2:$I$2921,8,FALSE),"")</f>
        <v>0</v>
      </c>
      <c r="J2774" s="34" t="s">
        <v>1700</v>
      </c>
      <c r="K2774" s="34" t="s">
        <v>1252</v>
      </c>
    </row>
    <row r="2775" ht="33.75" spans="1:11">
      <c r="A2775" s="34">
        <v>2774</v>
      </c>
      <c r="B2775" s="29" t="s">
        <v>3157</v>
      </c>
      <c r="C2775" s="29" t="str">
        <f>VLOOKUP(B2775,教育部大学名单!$B$1:$D$2920,3,FALSE)</f>
        <v>重庆市教委</v>
      </c>
      <c r="D2775" s="29" t="s">
        <v>951</v>
      </c>
      <c r="E2775" s="29" t="s">
        <v>951</v>
      </c>
      <c r="F2775" s="36" t="str">
        <f>IFERROR(VLOOKUP(B2775,'985'!$B$2:$D$40,3,FALSE),"")</f>
        <v/>
      </c>
      <c r="G2775" s="32" t="str">
        <f>IFERROR(VLOOKUP(B2775,'211'!$B$2:$D$116,3,FALSE),"")</f>
        <v/>
      </c>
      <c r="H2775" s="32" t="str">
        <f>IFERROR(VLOOKUP(B2775,双一流!$B$2:$D$148,3,FALSE),"")</f>
        <v/>
      </c>
      <c r="I2775" s="32">
        <f>IFERROR(VLOOKUP(B2775,汇总!$B$2:$I$2921,8,FALSE),"")</f>
        <v>0</v>
      </c>
      <c r="J2775" s="29" t="s">
        <v>1700</v>
      </c>
      <c r="K2775" s="29" t="s">
        <v>1252</v>
      </c>
    </row>
    <row r="2776" ht="50.25" spans="1:11">
      <c r="A2776" s="29">
        <v>2775</v>
      </c>
      <c r="B2776" s="34" t="s">
        <v>3158</v>
      </c>
      <c r="C2776" s="29" t="str">
        <f>VLOOKUP(B2776,教育部大学名单!$B$1:$D$2920,3,FALSE)</f>
        <v>重庆市教委</v>
      </c>
      <c r="D2776" s="34" t="s">
        <v>951</v>
      </c>
      <c r="E2776" s="34" t="s">
        <v>951</v>
      </c>
      <c r="F2776" s="36" t="str">
        <f>IFERROR(VLOOKUP(B2776,'985'!$B$2:$D$40,3,FALSE),"")</f>
        <v/>
      </c>
      <c r="G2776" s="32" t="str">
        <f>IFERROR(VLOOKUP(B2776,'211'!$B$2:$D$116,3,FALSE),"")</f>
        <v/>
      </c>
      <c r="H2776" s="32" t="str">
        <f>IFERROR(VLOOKUP(B2776,双一流!$B$2:$D$148,3,FALSE),"")</f>
        <v/>
      </c>
      <c r="I2776" s="32">
        <f>IFERROR(VLOOKUP(B2776,汇总!$B$2:$I$2921,8,FALSE),"")</f>
        <v>0</v>
      </c>
      <c r="J2776" s="34" t="s">
        <v>1700</v>
      </c>
      <c r="K2776" s="34" t="s">
        <v>1252</v>
      </c>
    </row>
    <row r="2777" ht="33.75" spans="1:11">
      <c r="A2777" s="34">
        <v>2776</v>
      </c>
      <c r="B2777" s="29" t="s">
        <v>3159</v>
      </c>
      <c r="C2777" s="29" t="str">
        <f>VLOOKUP(B2777,教育部大学名单!$B$1:$D$2920,3,FALSE)</f>
        <v>重庆市教委</v>
      </c>
      <c r="D2777" s="29" t="s">
        <v>951</v>
      </c>
      <c r="E2777" s="29" t="s">
        <v>951</v>
      </c>
      <c r="F2777" s="36" t="str">
        <f>IFERROR(VLOOKUP(B2777,'985'!$B$2:$D$40,3,FALSE),"")</f>
        <v/>
      </c>
      <c r="G2777" s="32" t="str">
        <f>IFERROR(VLOOKUP(B2777,'211'!$B$2:$D$116,3,FALSE),"")</f>
        <v/>
      </c>
      <c r="H2777" s="32" t="str">
        <f>IFERROR(VLOOKUP(B2777,双一流!$B$2:$D$148,3,FALSE),"")</f>
        <v/>
      </c>
      <c r="I2777" s="32">
        <f>IFERROR(VLOOKUP(B2777,汇总!$B$2:$I$2921,8,FALSE),"")</f>
        <v>0</v>
      </c>
      <c r="J2777" s="29" t="s">
        <v>1700</v>
      </c>
      <c r="K2777" s="29" t="s">
        <v>1252</v>
      </c>
    </row>
    <row r="2778" ht="33.75" spans="1:11">
      <c r="A2778" s="29">
        <v>2777</v>
      </c>
      <c r="B2778" s="34" t="s">
        <v>3160</v>
      </c>
      <c r="C2778" s="29" t="str">
        <f>VLOOKUP(B2778,教育部大学名单!$B$1:$D$2920,3,FALSE)</f>
        <v>重庆市教委</v>
      </c>
      <c r="D2778" s="34" t="s">
        <v>951</v>
      </c>
      <c r="E2778" s="34" t="s">
        <v>951</v>
      </c>
      <c r="F2778" s="36" t="str">
        <f>IFERROR(VLOOKUP(B2778,'985'!$B$2:$D$40,3,FALSE),"")</f>
        <v/>
      </c>
      <c r="G2778" s="32" t="str">
        <f>IFERROR(VLOOKUP(B2778,'211'!$B$2:$D$116,3,FALSE),"")</f>
        <v/>
      </c>
      <c r="H2778" s="32" t="str">
        <f>IFERROR(VLOOKUP(B2778,双一流!$B$2:$D$148,3,FALSE),"")</f>
        <v/>
      </c>
      <c r="I2778" s="32">
        <f>IFERROR(VLOOKUP(B2778,汇总!$B$2:$I$2921,8,FALSE),"")</f>
        <v>0</v>
      </c>
      <c r="J2778" s="34" t="s">
        <v>1700</v>
      </c>
      <c r="K2778" s="34" t="s">
        <v>1252</v>
      </c>
    </row>
    <row r="2779" ht="33.75" spans="1:11">
      <c r="A2779" s="34">
        <v>2778</v>
      </c>
      <c r="B2779" s="29" t="s">
        <v>3161</v>
      </c>
      <c r="C2779" s="29" t="str">
        <f>VLOOKUP(B2779,教育部大学名单!$B$1:$D$2920,3,FALSE)</f>
        <v>重庆市教委</v>
      </c>
      <c r="D2779" s="29" t="s">
        <v>951</v>
      </c>
      <c r="E2779" s="29" t="s">
        <v>951</v>
      </c>
      <c r="F2779" s="36" t="str">
        <f>IFERROR(VLOOKUP(B2779,'985'!$B$2:$D$40,3,FALSE),"")</f>
        <v/>
      </c>
      <c r="G2779" s="32" t="str">
        <f>IFERROR(VLOOKUP(B2779,'211'!$B$2:$D$116,3,FALSE),"")</f>
        <v/>
      </c>
      <c r="H2779" s="32" t="str">
        <f>IFERROR(VLOOKUP(B2779,双一流!$B$2:$D$148,3,FALSE),"")</f>
        <v/>
      </c>
      <c r="I2779" s="32">
        <f>IFERROR(VLOOKUP(B2779,汇总!$B$2:$I$2921,8,FALSE),"")</f>
        <v>0</v>
      </c>
      <c r="J2779" s="29" t="s">
        <v>1700</v>
      </c>
      <c r="K2779" s="29" t="s">
        <v>1252</v>
      </c>
    </row>
    <row r="2780" ht="33.75" spans="1:11">
      <c r="A2780" s="29">
        <v>2779</v>
      </c>
      <c r="B2780" s="34" t="s">
        <v>3162</v>
      </c>
      <c r="C2780" s="29" t="str">
        <f>VLOOKUP(B2780,教育部大学名单!$B$1:$D$2920,3,FALSE)</f>
        <v>重庆市教委</v>
      </c>
      <c r="D2780" s="34" t="s">
        <v>951</v>
      </c>
      <c r="E2780" s="34" t="s">
        <v>951</v>
      </c>
      <c r="F2780" s="36" t="str">
        <f>IFERROR(VLOOKUP(B2780,'985'!$B$2:$D$40,3,FALSE),"")</f>
        <v/>
      </c>
      <c r="G2780" s="32" t="str">
        <f>IFERROR(VLOOKUP(B2780,'211'!$B$2:$D$116,3,FALSE),"")</f>
        <v/>
      </c>
      <c r="H2780" s="32" t="str">
        <f>IFERROR(VLOOKUP(B2780,双一流!$B$2:$D$148,3,FALSE),"")</f>
        <v/>
      </c>
      <c r="I2780" s="32">
        <f>IFERROR(VLOOKUP(B2780,汇总!$B$2:$I$2921,8,FALSE),"")</f>
        <v>0</v>
      </c>
      <c r="J2780" s="34" t="s">
        <v>1700</v>
      </c>
      <c r="K2780" s="34" t="s">
        <v>1252</v>
      </c>
    </row>
    <row r="2781" ht="33.75" spans="1:11">
      <c r="A2781" s="34">
        <v>2780</v>
      </c>
      <c r="B2781" s="29" t="s">
        <v>3163</v>
      </c>
      <c r="C2781" s="29" t="str">
        <f>VLOOKUP(B2781,教育部大学名单!$B$1:$D$2920,3,FALSE)</f>
        <v>四川省教育厅</v>
      </c>
      <c r="D2781" s="29" t="s">
        <v>971</v>
      </c>
      <c r="E2781" s="29" t="s">
        <v>972</v>
      </c>
      <c r="F2781" s="36" t="str">
        <f>IFERROR(VLOOKUP(B2781,'985'!$B$2:$D$40,3,FALSE),"")</f>
        <v/>
      </c>
      <c r="G2781" s="32" t="str">
        <f>IFERROR(VLOOKUP(B2781,'211'!$B$2:$D$116,3,FALSE),"")</f>
        <v/>
      </c>
      <c r="H2781" s="32" t="str">
        <f>IFERROR(VLOOKUP(B2781,双一流!$B$2:$D$148,3,FALSE),"")</f>
        <v/>
      </c>
      <c r="I2781" s="32">
        <f>IFERROR(VLOOKUP(B2781,汇总!$B$2:$I$2921,8,FALSE),"")</f>
        <v>0</v>
      </c>
      <c r="J2781" s="29" t="s">
        <v>1700</v>
      </c>
      <c r="K2781" s="29" t="s">
        <v>1252</v>
      </c>
    </row>
    <row r="2782" ht="50.25" spans="1:11">
      <c r="A2782" s="29">
        <v>2781</v>
      </c>
      <c r="B2782" s="34" t="s">
        <v>3164</v>
      </c>
      <c r="C2782" s="29" t="str">
        <f>VLOOKUP(B2782,教育部大学名单!$B$1:$D$2920,3,FALSE)</f>
        <v>四川省教育厅</v>
      </c>
      <c r="D2782" s="34" t="s">
        <v>971</v>
      </c>
      <c r="E2782" s="34" t="s">
        <v>972</v>
      </c>
      <c r="F2782" s="36" t="str">
        <f>IFERROR(VLOOKUP(B2782,'985'!$B$2:$D$40,3,FALSE),"")</f>
        <v/>
      </c>
      <c r="G2782" s="32" t="str">
        <f>IFERROR(VLOOKUP(B2782,'211'!$B$2:$D$116,3,FALSE),"")</f>
        <v/>
      </c>
      <c r="H2782" s="32" t="str">
        <f>IFERROR(VLOOKUP(B2782,双一流!$B$2:$D$148,3,FALSE),"")</f>
        <v/>
      </c>
      <c r="I2782" s="32">
        <f>IFERROR(VLOOKUP(B2782,汇总!$B$2:$I$2921,8,FALSE),"")</f>
        <v>0</v>
      </c>
      <c r="J2782" s="34" t="s">
        <v>1700</v>
      </c>
      <c r="K2782" s="34" t="s">
        <v>1252</v>
      </c>
    </row>
    <row r="2783" ht="33.75" spans="1:11">
      <c r="A2783" s="34">
        <v>2782</v>
      </c>
      <c r="B2783" s="29" t="s">
        <v>3165</v>
      </c>
      <c r="C2783" s="29" t="str">
        <f>VLOOKUP(B2783,教育部大学名单!$B$1:$D$2920,3,FALSE)</f>
        <v>四川省教育厅</v>
      </c>
      <c r="D2783" s="29" t="s">
        <v>971</v>
      </c>
      <c r="E2783" s="29" t="s">
        <v>972</v>
      </c>
      <c r="F2783" s="36" t="str">
        <f>IFERROR(VLOOKUP(B2783,'985'!$B$2:$D$40,3,FALSE),"")</f>
        <v/>
      </c>
      <c r="G2783" s="32" t="str">
        <f>IFERROR(VLOOKUP(B2783,'211'!$B$2:$D$116,3,FALSE),"")</f>
        <v/>
      </c>
      <c r="H2783" s="32" t="str">
        <f>IFERROR(VLOOKUP(B2783,双一流!$B$2:$D$148,3,FALSE),"")</f>
        <v/>
      </c>
      <c r="I2783" s="32" t="str">
        <f>IFERROR(VLOOKUP(B2783,汇总!$B$2:$I$2921,8,FALSE),"")</f>
        <v>综合</v>
      </c>
      <c r="J2783" s="29" t="s">
        <v>1700</v>
      </c>
      <c r="K2783" s="29" t="s">
        <v>1252</v>
      </c>
    </row>
    <row r="2784" ht="33.75" spans="1:11">
      <c r="A2784" s="29">
        <v>2783</v>
      </c>
      <c r="B2784" s="34" t="s">
        <v>3166</v>
      </c>
      <c r="C2784" s="29" t="str">
        <f>VLOOKUP(B2784,教育部大学名单!$B$1:$D$2920,3,FALSE)</f>
        <v>四川省教育厅</v>
      </c>
      <c r="D2784" s="34" t="s">
        <v>971</v>
      </c>
      <c r="E2784" s="34" t="s">
        <v>972</v>
      </c>
      <c r="F2784" s="36" t="str">
        <f>IFERROR(VLOOKUP(B2784,'985'!$B$2:$D$40,3,FALSE),"")</f>
        <v/>
      </c>
      <c r="G2784" s="32" t="str">
        <f>IFERROR(VLOOKUP(B2784,'211'!$B$2:$D$116,3,FALSE),"")</f>
        <v/>
      </c>
      <c r="H2784" s="32" t="str">
        <f>IFERROR(VLOOKUP(B2784,双一流!$B$2:$D$148,3,FALSE),"")</f>
        <v/>
      </c>
      <c r="I2784" s="32">
        <f>IFERROR(VLOOKUP(B2784,汇总!$B$2:$I$2921,8,FALSE),"")</f>
        <v>0</v>
      </c>
      <c r="J2784" s="34" t="s">
        <v>1700</v>
      </c>
      <c r="K2784" s="34" t="s">
        <v>1252</v>
      </c>
    </row>
    <row r="2785" ht="33.75" spans="1:11">
      <c r="A2785" s="34">
        <v>2784</v>
      </c>
      <c r="B2785" s="29" t="s">
        <v>3167</v>
      </c>
      <c r="C2785" s="29" t="str">
        <f>VLOOKUP(B2785,教育部大学名单!$B$1:$D$2920,3,FALSE)</f>
        <v>四川省教育厅</v>
      </c>
      <c r="D2785" s="29" t="s">
        <v>971</v>
      </c>
      <c r="E2785" s="29" t="s">
        <v>972</v>
      </c>
      <c r="F2785" s="36" t="str">
        <f>IFERROR(VLOOKUP(B2785,'985'!$B$2:$D$40,3,FALSE),"")</f>
        <v/>
      </c>
      <c r="G2785" s="32" t="str">
        <f>IFERROR(VLOOKUP(B2785,'211'!$B$2:$D$116,3,FALSE),"")</f>
        <v/>
      </c>
      <c r="H2785" s="32" t="str">
        <f>IFERROR(VLOOKUP(B2785,双一流!$B$2:$D$148,3,FALSE),"")</f>
        <v/>
      </c>
      <c r="I2785" s="32">
        <f>IFERROR(VLOOKUP(B2785,汇总!$B$2:$I$2921,8,FALSE),"")</f>
        <v>0</v>
      </c>
      <c r="J2785" s="29" t="s">
        <v>1700</v>
      </c>
      <c r="K2785" s="29" t="s">
        <v>1252</v>
      </c>
    </row>
    <row r="2786" ht="33.75" spans="1:11">
      <c r="A2786" s="29">
        <v>2785</v>
      </c>
      <c r="B2786" s="34" t="s">
        <v>3168</v>
      </c>
      <c r="C2786" s="29" t="str">
        <f>VLOOKUP(B2786,教育部大学名单!$B$1:$D$2920,3,FALSE)</f>
        <v>四川省教育厅</v>
      </c>
      <c r="D2786" s="34" t="s">
        <v>971</v>
      </c>
      <c r="E2786" s="34" t="s">
        <v>972</v>
      </c>
      <c r="F2786" s="36" t="str">
        <f>IFERROR(VLOOKUP(B2786,'985'!$B$2:$D$40,3,FALSE),"")</f>
        <v/>
      </c>
      <c r="G2786" s="32" t="str">
        <f>IFERROR(VLOOKUP(B2786,'211'!$B$2:$D$116,3,FALSE),"")</f>
        <v/>
      </c>
      <c r="H2786" s="32" t="str">
        <f>IFERROR(VLOOKUP(B2786,双一流!$B$2:$D$148,3,FALSE),"")</f>
        <v/>
      </c>
      <c r="I2786" s="32" t="str">
        <f>IFERROR(VLOOKUP(B2786,汇总!$B$2:$I$2921,8,FALSE),"")</f>
        <v>综合</v>
      </c>
      <c r="J2786" s="34" t="s">
        <v>1700</v>
      </c>
      <c r="K2786" s="34" t="s">
        <v>1252</v>
      </c>
    </row>
    <row r="2787" ht="33.75" spans="1:11">
      <c r="A2787" s="34">
        <v>2786</v>
      </c>
      <c r="B2787" s="29" t="s">
        <v>3169</v>
      </c>
      <c r="C2787" s="29" t="str">
        <f>VLOOKUP(B2787,教育部大学名单!$B$1:$D$2920,3,FALSE)</f>
        <v>四川省教育厅</v>
      </c>
      <c r="D2787" s="29" t="s">
        <v>971</v>
      </c>
      <c r="E2787" s="29" t="s">
        <v>972</v>
      </c>
      <c r="F2787" s="36" t="str">
        <f>IFERROR(VLOOKUP(B2787,'985'!$B$2:$D$40,3,FALSE),"")</f>
        <v/>
      </c>
      <c r="G2787" s="32" t="str">
        <f>IFERROR(VLOOKUP(B2787,'211'!$B$2:$D$116,3,FALSE),"")</f>
        <v/>
      </c>
      <c r="H2787" s="32" t="str">
        <f>IFERROR(VLOOKUP(B2787,双一流!$B$2:$D$148,3,FALSE),"")</f>
        <v/>
      </c>
      <c r="I2787" s="32" t="str">
        <f>IFERROR(VLOOKUP(B2787,汇总!$B$2:$I$2921,8,FALSE),"")</f>
        <v>综合</v>
      </c>
      <c r="J2787" s="29" t="s">
        <v>1700</v>
      </c>
      <c r="K2787" s="29" t="s">
        <v>1252</v>
      </c>
    </row>
    <row r="2788" ht="33.75" spans="1:11">
      <c r="A2788" s="29">
        <v>2787</v>
      </c>
      <c r="B2788" s="34" t="s">
        <v>3170</v>
      </c>
      <c r="C2788" s="29" t="str">
        <f>VLOOKUP(B2788,教育部大学名单!$B$1:$D$2920,3,FALSE)</f>
        <v>四川省教育厅</v>
      </c>
      <c r="D2788" s="34" t="s">
        <v>971</v>
      </c>
      <c r="E2788" s="34" t="s">
        <v>972</v>
      </c>
      <c r="F2788" s="36" t="str">
        <f>IFERROR(VLOOKUP(B2788,'985'!$B$2:$D$40,3,FALSE),"")</f>
        <v/>
      </c>
      <c r="G2788" s="32" t="str">
        <f>IFERROR(VLOOKUP(B2788,'211'!$B$2:$D$116,3,FALSE),"")</f>
        <v/>
      </c>
      <c r="H2788" s="32" t="str">
        <f>IFERROR(VLOOKUP(B2788,双一流!$B$2:$D$148,3,FALSE),"")</f>
        <v/>
      </c>
      <c r="I2788" s="32">
        <f>IFERROR(VLOOKUP(B2788,汇总!$B$2:$I$2921,8,FALSE),"")</f>
        <v>0</v>
      </c>
      <c r="J2788" s="34" t="s">
        <v>1700</v>
      </c>
      <c r="K2788" s="34" t="s">
        <v>1252</v>
      </c>
    </row>
    <row r="2789" ht="33.75" spans="1:11">
      <c r="A2789" s="34">
        <v>2788</v>
      </c>
      <c r="B2789" s="29" t="s">
        <v>3171</v>
      </c>
      <c r="C2789" s="29" t="str">
        <f>VLOOKUP(B2789,教育部大学名单!$B$1:$D$2920,3,FALSE)</f>
        <v>四川省教育厅</v>
      </c>
      <c r="D2789" s="29" t="s">
        <v>971</v>
      </c>
      <c r="E2789" s="29" t="s">
        <v>972</v>
      </c>
      <c r="F2789" s="36" t="str">
        <f>IFERROR(VLOOKUP(B2789,'985'!$B$2:$D$40,3,FALSE),"")</f>
        <v/>
      </c>
      <c r="G2789" s="32" t="str">
        <f>IFERROR(VLOOKUP(B2789,'211'!$B$2:$D$116,3,FALSE),"")</f>
        <v/>
      </c>
      <c r="H2789" s="32" t="str">
        <f>IFERROR(VLOOKUP(B2789,双一流!$B$2:$D$148,3,FALSE),"")</f>
        <v/>
      </c>
      <c r="I2789" s="32">
        <f>IFERROR(VLOOKUP(B2789,汇总!$B$2:$I$2921,8,FALSE),"")</f>
        <v>0</v>
      </c>
      <c r="J2789" s="29" t="s">
        <v>1700</v>
      </c>
      <c r="K2789" s="29" t="s">
        <v>1252</v>
      </c>
    </row>
    <row r="2790" ht="33.75" spans="1:11">
      <c r="A2790" s="29">
        <v>2789</v>
      </c>
      <c r="B2790" s="34" t="s">
        <v>3172</v>
      </c>
      <c r="C2790" s="29" t="str">
        <f>VLOOKUP(B2790,教育部大学名单!$B$1:$D$2920,3,FALSE)</f>
        <v>四川省教育厅</v>
      </c>
      <c r="D2790" s="34" t="s">
        <v>971</v>
      </c>
      <c r="E2790" s="34" t="s">
        <v>990</v>
      </c>
      <c r="F2790" s="36" t="str">
        <f>IFERROR(VLOOKUP(B2790,'985'!$B$2:$D$40,3,FALSE),"")</f>
        <v/>
      </c>
      <c r="G2790" s="32" t="str">
        <f>IFERROR(VLOOKUP(B2790,'211'!$B$2:$D$116,3,FALSE),"")</f>
        <v/>
      </c>
      <c r="H2790" s="32" t="str">
        <f>IFERROR(VLOOKUP(B2790,双一流!$B$2:$D$148,3,FALSE),"")</f>
        <v/>
      </c>
      <c r="I2790" s="32">
        <f>IFERROR(VLOOKUP(B2790,汇总!$B$2:$I$2921,8,FALSE),"")</f>
        <v>0</v>
      </c>
      <c r="J2790" s="34" t="s">
        <v>1700</v>
      </c>
      <c r="K2790" s="34" t="s">
        <v>1252</v>
      </c>
    </row>
    <row r="2791" ht="33.75" spans="1:11">
      <c r="A2791" s="34">
        <v>2790</v>
      </c>
      <c r="B2791" s="29" t="s">
        <v>3173</v>
      </c>
      <c r="C2791" s="29" t="str">
        <f>VLOOKUP(B2791,教育部大学名单!$B$1:$D$2920,3,FALSE)</f>
        <v>四川省教育厅</v>
      </c>
      <c r="D2791" s="29" t="s">
        <v>971</v>
      </c>
      <c r="E2791" s="29" t="s">
        <v>978</v>
      </c>
      <c r="F2791" s="36" t="str">
        <f>IFERROR(VLOOKUP(B2791,'985'!$B$2:$D$40,3,FALSE),"")</f>
        <v/>
      </c>
      <c r="G2791" s="32" t="str">
        <f>IFERROR(VLOOKUP(B2791,'211'!$B$2:$D$116,3,FALSE),"")</f>
        <v/>
      </c>
      <c r="H2791" s="32" t="str">
        <f>IFERROR(VLOOKUP(B2791,双一流!$B$2:$D$148,3,FALSE),"")</f>
        <v/>
      </c>
      <c r="I2791" s="32">
        <f>IFERROR(VLOOKUP(B2791,汇总!$B$2:$I$2921,8,FALSE),"")</f>
        <v>0</v>
      </c>
      <c r="J2791" s="29" t="s">
        <v>1700</v>
      </c>
      <c r="K2791" s="29" t="s">
        <v>1252</v>
      </c>
    </row>
    <row r="2792" ht="33.75" spans="1:11">
      <c r="A2792" s="29">
        <v>2791</v>
      </c>
      <c r="B2792" s="34" t="s">
        <v>3174</v>
      </c>
      <c r="C2792" s="29" t="str">
        <f>VLOOKUP(B2792,教育部大学名单!$B$1:$D$2920,3,FALSE)</f>
        <v>四川省教育厅</v>
      </c>
      <c r="D2792" s="34" t="s">
        <v>971</v>
      </c>
      <c r="E2792" s="34" t="s">
        <v>3175</v>
      </c>
      <c r="F2792" s="36" t="str">
        <f>IFERROR(VLOOKUP(B2792,'985'!$B$2:$D$40,3,FALSE),"")</f>
        <v/>
      </c>
      <c r="G2792" s="32" t="str">
        <f>IFERROR(VLOOKUP(B2792,'211'!$B$2:$D$116,3,FALSE),"")</f>
        <v/>
      </c>
      <c r="H2792" s="32" t="str">
        <f>IFERROR(VLOOKUP(B2792,双一流!$B$2:$D$148,3,FALSE),"")</f>
        <v/>
      </c>
      <c r="I2792" s="32">
        <f>IFERROR(VLOOKUP(B2792,汇总!$B$2:$I$2921,8,FALSE),"")</f>
        <v>0</v>
      </c>
      <c r="J2792" s="34" t="s">
        <v>1700</v>
      </c>
      <c r="K2792" s="34" t="s">
        <v>1252</v>
      </c>
    </row>
    <row r="2793" ht="33.75" spans="1:11">
      <c r="A2793" s="34">
        <v>2792</v>
      </c>
      <c r="B2793" s="29" t="s">
        <v>3176</v>
      </c>
      <c r="C2793" s="29" t="str">
        <f>VLOOKUP(B2793,教育部大学名单!$B$1:$D$2920,3,FALSE)</f>
        <v>四川省教育厅</v>
      </c>
      <c r="D2793" s="29" t="s">
        <v>971</v>
      </c>
      <c r="E2793" s="29" t="s">
        <v>3177</v>
      </c>
      <c r="F2793" s="36" t="str">
        <f>IFERROR(VLOOKUP(B2793,'985'!$B$2:$D$40,3,FALSE),"")</f>
        <v/>
      </c>
      <c r="G2793" s="32" t="str">
        <f>IFERROR(VLOOKUP(B2793,'211'!$B$2:$D$116,3,FALSE),"")</f>
        <v/>
      </c>
      <c r="H2793" s="32" t="str">
        <f>IFERROR(VLOOKUP(B2793,双一流!$B$2:$D$148,3,FALSE),"")</f>
        <v/>
      </c>
      <c r="I2793" s="32">
        <f>IFERROR(VLOOKUP(B2793,汇总!$B$2:$I$2921,8,FALSE),"")</f>
        <v>0</v>
      </c>
      <c r="J2793" s="29" t="s">
        <v>1700</v>
      </c>
      <c r="K2793" s="29" t="s">
        <v>1252</v>
      </c>
    </row>
    <row r="2794" ht="50.25" spans="1:11">
      <c r="A2794" s="29">
        <v>2793</v>
      </c>
      <c r="B2794" s="34" t="s">
        <v>3178</v>
      </c>
      <c r="C2794" s="29" t="str">
        <f>VLOOKUP(B2794,教育部大学名单!$B$1:$D$2920,3,FALSE)</f>
        <v>四川省教育厅</v>
      </c>
      <c r="D2794" s="34" t="s">
        <v>971</v>
      </c>
      <c r="E2794" s="34" t="s">
        <v>978</v>
      </c>
      <c r="F2794" s="36" t="str">
        <f>IFERROR(VLOOKUP(B2794,'985'!$B$2:$D$40,3,FALSE),"")</f>
        <v/>
      </c>
      <c r="G2794" s="32" t="str">
        <f>IFERROR(VLOOKUP(B2794,'211'!$B$2:$D$116,3,FALSE),"")</f>
        <v/>
      </c>
      <c r="H2794" s="32" t="str">
        <f>IFERROR(VLOOKUP(B2794,双一流!$B$2:$D$148,3,FALSE),"")</f>
        <v/>
      </c>
      <c r="I2794" s="32">
        <f>IFERROR(VLOOKUP(B2794,汇总!$B$2:$I$2921,8,FALSE),"")</f>
        <v>0</v>
      </c>
      <c r="J2794" s="34" t="s">
        <v>1700</v>
      </c>
      <c r="K2794" s="34" t="s">
        <v>1252</v>
      </c>
    </row>
    <row r="2795" ht="33.75" spans="1:11">
      <c r="A2795" s="34">
        <v>2794</v>
      </c>
      <c r="B2795" s="29" t="s">
        <v>3179</v>
      </c>
      <c r="C2795" s="29" t="str">
        <f>VLOOKUP(B2795,教育部大学名单!$B$1:$D$2920,3,FALSE)</f>
        <v>四川省教育厅</v>
      </c>
      <c r="D2795" s="29" t="s">
        <v>971</v>
      </c>
      <c r="E2795" s="29" t="s">
        <v>972</v>
      </c>
      <c r="F2795" s="36" t="str">
        <f>IFERROR(VLOOKUP(B2795,'985'!$B$2:$D$40,3,FALSE),"")</f>
        <v/>
      </c>
      <c r="G2795" s="32" t="str">
        <f>IFERROR(VLOOKUP(B2795,'211'!$B$2:$D$116,3,FALSE),"")</f>
        <v/>
      </c>
      <c r="H2795" s="32" t="str">
        <f>IFERROR(VLOOKUP(B2795,双一流!$B$2:$D$148,3,FALSE),"")</f>
        <v/>
      </c>
      <c r="I2795" s="32" t="str">
        <f>IFERROR(VLOOKUP(B2795,汇总!$B$2:$I$2921,8,FALSE),"")</f>
        <v>综合</v>
      </c>
      <c r="J2795" s="29" t="s">
        <v>1700</v>
      </c>
      <c r="K2795" s="29" t="s">
        <v>1252</v>
      </c>
    </row>
    <row r="2796" ht="33.75" spans="1:11">
      <c r="A2796" s="29">
        <v>2795</v>
      </c>
      <c r="B2796" s="34" t="s">
        <v>3180</v>
      </c>
      <c r="C2796" s="29" t="str">
        <f>VLOOKUP(B2796,教育部大学名单!$B$1:$D$2920,3,FALSE)</f>
        <v>四川省教育厅</v>
      </c>
      <c r="D2796" s="34" t="s">
        <v>971</v>
      </c>
      <c r="E2796" s="34" t="s">
        <v>972</v>
      </c>
      <c r="F2796" s="36" t="str">
        <f>IFERROR(VLOOKUP(B2796,'985'!$B$2:$D$40,3,FALSE),"")</f>
        <v/>
      </c>
      <c r="G2796" s="32" t="str">
        <f>IFERROR(VLOOKUP(B2796,'211'!$B$2:$D$116,3,FALSE),"")</f>
        <v/>
      </c>
      <c r="H2796" s="32" t="str">
        <f>IFERROR(VLOOKUP(B2796,双一流!$B$2:$D$148,3,FALSE),"")</f>
        <v/>
      </c>
      <c r="I2796" s="32" t="str">
        <f>IFERROR(VLOOKUP(B2796,汇总!$B$2:$I$2921,8,FALSE),"")</f>
        <v>理工</v>
      </c>
      <c r="J2796" s="34" t="s">
        <v>1700</v>
      </c>
      <c r="K2796" s="34" t="s">
        <v>1252</v>
      </c>
    </row>
    <row r="2797" ht="33.75" spans="1:11">
      <c r="A2797" s="34">
        <v>2796</v>
      </c>
      <c r="B2797" s="29" t="s">
        <v>3181</v>
      </c>
      <c r="C2797" s="29" t="str">
        <f>VLOOKUP(B2797,教育部大学名单!$B$1:$D$2920,3,FALSE)</f>
        <v>四川省教育厅</v>
      </c>
      <c r="D2797" s="29" t="s">
        <v>971</v>
      </c>
      <c r="E2797" s="29" t="s">
        <v>988</v>
      </c>
      <c r="F2797" s="36" t="str">
        <f>IFERROR(VLOOKUP(B2797,'985'!$B$2:$D$40,3,FALSE),"")</f>
        <v/>
      </c>
      <c r="G2797" s="32" t="str">
        <f>IFERROR(VLOOKUP(B2797,'211'!$B$2:$D$116,3,FALSE),"")</f>
        <v/>
      </c>
      <c r="H2797" s="32" t="str">
        <f>IFERROR(VLOOKUP(B2797,双一流!$B$2:$D$148,3,FALSE),"")</f>
        <v/>
      </c>
      <c r="I2797" s="32">
        <f>IFERROR(VLOOKUP(B2797,汇总!$B$2:$I$2921,8,FALSE),"")</f>
        <v>0</v>
      </c>
      <c r="J2797" s="29" t="s">
        <v>1700</v>
      </c>
      <c r="K2797" s="29" t="s">
        <v>1252</v>
      </c>
    </row>
    <row r="2798" ht="33.75" spans="1:11">
      <c r="A2798" s="29">
        <v>2797</v>
      </c>
      <c r="B2798" s="34" t="s">
        <v>3182</v>
      </c>
      <c r="C2798" s="29" t="str">
        <f>VLOOKUP(B2798,教育部大学名单!$B$1:$D$2920,3,FALSE)</f>
        <v>四川省教育厅</v>
      </c>
      <c r="D2798" s="34" t="s">
        <v>971</v>
      </c>
      <c r="E2798" s="34" t="s">
        <v>1616</v>
      </c>
      <c r="F2798" s="36" t="str">
        <f>IFERROR(VLOOKUP(B2798,'985'!$B$2:$D$40,3,FALSE),"")</f>
        <v/>
      </c>
      <c r="G2798" s="32" t="str">
        <f>IFERROR(VLOOKUP(B2798,'211'!$B$2:$D$116,3,FALSE),"")</f>
        <v/>
      </c>
      <c r="H2798" s="32" t="str">
        <f>IFERROR(VLOOKUP(B2798,双一流!$B$2:$D$148,3,FALSE),"")</f>
        <v/>
      </c>
      <c r="I2798" s="32">
        <f>IFERROR(VLOOKUP(B2798,汇总!$B$2:$I$2921,8,FALSE),"")</f>
        <v>0</v>
      </c>
      <c r="J2798" s="34" t="s">
        <v>1700</v>
      </c>
      <c r="K2798" s="34" t="s">
        <v>1252</v>
      </c>
    </row>
    <row r="2799" ht="33.75" spans="1:11">
      <c r="A2799" s="34">
        <v>2798</v>
      </c>
      <c r="B2799" s="29" t="s">
        <v>3183</v>
      </c>
      <c r="C2799" s="29" t="str">
        <f>VLOOKUP(B2799,教育部大学名单!$B$1:$D$2920,3,FALSE)</f>
        <v>四川省教育厅</v>
      </c>
      <c r="D2799" s="29" t="s">
        <v>971</v>
      </c>
      <c r="E2799" s="29" t="s">
        <v>1616</v>
      </c>
      <c r="F2799" s="36" t="str">
        <f>IFERROR(VLOOKUP(B2799,'985'!$B$2:$D$40,3,FALSE),"")</f>
        <v/>
      </c>
      <c r="G2799" s="32" t="str">
        <f>IFERROR(VLOOKUP(B2799,'211'!$B$2:$D$116,3,FALSE),"")</f>
        <v/>
      </c>
      <c r="H2799" s="32" t="str">
        <f>IFERROR(VLOOKUP(B2799,双一流!$B$2:$D$148,3,FALSE),"")</f>
        <v/>
      </c>
      <c r="I2799" s="32">
        <f>IFERROR(VLOOKUP(B2799,汇总!$B$2:$I$2921,8,FALSE),"")</f>
        <v>0</v>
      </c>
      <c r="J2799" s="29" t="s">
        <v>1700</v>
      </c>
      <c r="K2799" s="29" t="s">
        <v>1252</v>
      </c>
    </row>
    <row r="2800" ht="50.25" spans="1:11">
      <c r="A2800" s="29">
        <v>2799</v>
      </c>
      <c r="B2800" s="34" t="s">
        <v>3184</v>
      </c>
      <c r="C2800" s="29" t="str">
        <f>VLOOKUP(B2800,教育部大学名单!$B$1:$D$2920,3,FALSE)</f>
        <v>四川省教育厅</v>
      </c>
      <c r="D2800" s="34" t="s">
        <v>971</v>
      </c>
      <c r="E2800" s="34" t="s">
        <v>984</v>
      </c>
      <c r="F2800" s="36" t="str">
        <f>IFERROR(VLOOKUP(B2800,'985'!$B$2:$D$40,3,FALSE),"")</f>
        <v/>
      </c>
      <c r="G2800" s="32" t="str">
        <f>IFERROR(VLOOKUP(B2800,'211'!$B$2:$D$116,3,FALSE),"")</f>
        <v/>
      </c>
      <c r="H2800" s="32" t="str">
        <f>IFERROR(VLOOKUP(B2800,双一流!$B$2:$D$148,3,FALSE),"")</f>
        <v/>
      </c>
      <c r="I2800" s="32">
        <f>IFERROR(VLOOKUP(B2800,汇总!$B$2:$I$2921,8,FALSE),"")</f>
        <v>0</v>
      </c>
      <c r="J2800" s="34" t="s">
        <v>1700</v>
      </c>
      <c r="K2800" s="34" t="s">
        <v>1252</v>
      </c>
    </row>
    <row r="2801" ht="33.75" spans="1:11">
      <c r="A2801" s="34">
        <v>2800</v>
      </c>
      <c r="B2801" s="29" t="s">
        <v>3185</v>
      </c>
      <c r="C2801" s="29" t="str">
        <f>VLOOKUP(B2801,教育部大学名单!$B$1:$D$2920,3,FALSE)</f>
        <v>四川省教育厅</v>
      </c>
      <c r="D2801" s="29" t="s">
        <v>971</v>
      </c>
      <c r="E2801" s="29" t="s">
        <v>984</v>
      </c>
      <c r="F2801" s="36" t="str">
        <f>IFERROR(VLOOKUP(B2801,'985'!$B$2:$D$40,3,FALSE),"")</f>
        <v/>
      </c>
      <c r="G2801" s="32" t="str">
        <f>IFERROR(VLOOKUP(B2801,'211'!$B$2:$D$116,3,FALSE),"")</f>
        <v/>
      </c>
      <c r="H2801" s="32" t="str">
        <f>IFERROR(VLOOKUP(B2801,双一流!$B$2:$D$148,3,FALSE),"")</f>
        <v/>
      </c>
      <c r="I2801" s="32">
        <f>IFERROR(VLOOKUP(B2801,汇总!$B$2:$I$2921,8,FALSE),"")</f>
        <v>0</v>
      </c>
      <c r="J2801" s="29" t="s">
        <v>1700</v>
      </c>
      <c r="K2801" s="29" t="s">
        <v>1252</v>
      </c>
    </row>
    <row r="2802" ht="33.75" spans="1:11">
      <c r="A2802" s="29">
        <v>2801</v>
      </c>
      <c r="B2802" s="34" t="s">
        <v>3186</v>
      </c>
      <c r="C2802" s="29" t="str">
        <f>VLOOKUP(B2802,教育部大学名单!$B$1:$D$2920,3,FALSE)</f>
        <v>四川省教育厅</v>
      </c>
      <c r="D2802" s="34" t="s">
        <v>971</v>
      </c>
      <c r="E2802" s="34" t="s">
        <v>990</v>
      </c>
      <c r="F2802" s="36" t="str">
        <f>IFERROR(VLOOKUP(B2802,'985'!$B$2:$D$40,3,FALSE),"")</f>
        <v/>
      </c>
      <c r="G2802" s="32" t="str">
        <f>IFERROR(VLOOKUP(B2802,'211'!$B$2:$D$116,3,FALSE),"")</f>
        <v/>
      </c>
      <c r="H2802" s="32" t="str">
        <f>IFERROR(VLOOKUP(B2802,双一流!$B$2:$D$148,3,FALSE),"")</f>
        <v/>
      </c>
      <c r="I2802" s="32">
        <f>IFERROR(VLOOKUP(B2802,汇总!$B$2:$I$2921,8,FALSE),"")</f>
        <v>0</v>
      </c>
      <c r="J2802" s="34" t="s">
        <v>1700</v>
      </c>
      <c r="K2802" s="34" t="s">
        <v>1252</v>
      </c>
    </row>
    <row r="2803" ht="50.25" spans="1:11">
      <c r="A2803" s="34">
        <v>2802</v>
      </c>
      <c r="B2803" s="29" t="s">
        <v>3187</v>
      </c>
      <c r="C2803" s="29" t="str">
        <f>VLOOKUP(B2803,教育部大学名单!$B$1:$D$2920,3,FALSE)</f>
        <v>四川省教育厅</v>
      </c>
      <c r="D2803" s="29" t="s">
        <v>971</v>
      </c>
      <c r="E2803" s="29" t="s">
        <v>1616</v>
      </c>
      <c r="F2803" s="36" t="str">
        <f>IFERROR(VLOOKUP(B2803,'985'!$B$2:$D$40,3,FALSE),"")</f>
        <v/>
      </c>
      <c r="G2803" s="32" t="str">
        <f>IFERROR(VLOOKUP(B2803,'211'!$B$2:$D$116,3,FALSE),"")</f>
        <v/>
      </c>
      <c r="H2803" s="32" t="str">
        <f>IFERROR(VLOOKUP(B2803,双一流!$B$2:$D$148,3,FALSE),"")</f>
        <v/>
      </c>
      <c r="I2803" s="32">
        <f>IFERROR(VLOOKUP(B2803,汇总!$B$2:$I$2921,8,FALSE),"")</f>
        <v>0</v>
      </c>
      <c r="J2803" s="29" t="s">
        <v>1700</v>
      </c>
      <c r="K2803" s="29" t="s">
        <v>1252</v>
      </c>
    </row>
    <row r="2804" ht="50.25" spans="1:11">
      <c r="A2804" s="29">
        <v>2803</v>
      </c>
      <c r="B2804" s="34" t="s">
        <v>3188</v>
      </c>
      <c r="C2804" s="29" t="str">
        <f>VLOOKUP(B2804,教育部大学名单!$B$1:$D$2920,3,FALSE)</f>
        <v>四川省教育厅</v>
      </c>
      <c r="D2804" s="34" t="s">
        <v>971</v>
      </c>
      <c r="E2804" s="34" t="s">
        <v>1616</v>
      </c>
      <c r="F2804" s="36" t="str">
        <f>IFERROR(VLOOKUP(B2804,'985'!$B$2:$D$40,3,FALSE),"")</f>
        <v/>
      </c>
      <c r="G2804" s="32" t="str">
        <f>IFERROR(VLOOKUP(B2804,'211'!$B$2:$D$116,3,FALSE),"")</f>
        <v/>
      </c>
      <c r="H2804" s="32" t="str">
        <f>IFERROR(VLOOKUP(B2804,双一流!$B$2:$D$148,3,FALSE),"")</f>
        <v/>
      </c>
      <c r="I2804" s="32">
        <f>IFERROR(VLOOKUP(B2804,汇总!$B$2:$I$2921,8,FALSE),"")</f>
        <v>0</v>
      </c>
      <c r="J2804" s="34" t="s">
        <v>1700</v>
      </c>
      <c r="K2804" s="34" t="s">
        <v>1252</v>
      </c>
    </row>
    <row r="2805" ht="33.75" spans="1:11">
      <c r="A2805" s="34">
        <v>2804</v>
      </c>
      <c r="B2805" s="29" t="s">
        <v>3189</v>
      </c>
      <c r="C2805" s="29" t="str">
        <f>VLOOKUP(B2805,教育部大学名单!$B$1:$D$2920,3,FALSE)</f>
        <v>四川省教育厅</v>
      </c>
      <c r="D2805" s="29" t="s">
        <v>971</v>
      </c>
      <c r="E2805" s="29" t="s">
        <v>993</v>
      </c>
      <c r="F2805" s="36" t="str">
        <f>IFERROR(VLOOKUP(B2805,'985'!$B$2:$D$40,3,FALSE),"")</f>
        <v/>
      </c>
      <c r="G2805" s="32" t="str">
        <f>IFERROR(VLOOKUP(B2805,'211'!$B$2:$D$116,3,FALSE),"")</f>
        <v/>
      </c>
      <c r="H2805" s="32" t="str">
        <f>IFERROR(VLOOKUP(B2805,双一流!$B$2:$D$148,3,FALSE),"")</f>
        <v/>
      </c>
      <c r="I2805" s="32">
        <f>IFERROR(VLOOKUP(B2805,汇总!$B$2:$I$2921,8,FALSE),"")</f>
        <v>0</v>
      </c>
      <c r="J2805" s="29" t="s">
        <v>1700</v>
      </c>
      <c r="K2805" s="29" t="s">
        <v>1252</v>
      </c>
    </row>
    <row r="2806" ht="33.75" spans="1:11">
      <c r="A2806" s="29">
        <v>2805</v>
      </c>
      <c r="B2806" s="34" t="s">
        <v>3190</v>
      </c>
      <c r="C2806" s="29" t="str">
        <f>VLOOKUP(B2806,教育部大学名单!$B$1:$D$2920,3,FALSE)</f>
        <v>四川省教育厅</v>
      </c>
      <c r="D2806" s="34" t="s">
        <v>971</v>
      </c>
      <c r="E2806" s="34" t="s">
        <v>1014</v>
      </c>
      <c r="F2806" s="36" t="str">
        <f>IFERROR(VLOOKUP(B2806,'985'!$B$2:$D$40,3,FALSE),"")</f>
        <v/>
      </c>
      <c r="G2806" s="32" t="str">
        <f>IFERROR(VLOOKUP(B2806,'211'!$B$2:$D$116,3,FALSE),"")</f>
        <v/>
      </c>
      <c r="H2806" s="32" t="str">
        <f>IFERROR(VLOOKUP(B2806,双一流!$B$2:$D$148,3,FALSE),"")</f>
        <v/>
      </c>
      <c r="I2806" s="32">
        <f>IFERROR(VLOOKUP(B2806,汇总!$B$2:$I$2921,8,FALSE),"")</f>
        <v>0</v>
      </c>
      <c r="J2806" s="34" t="s">
        <v>1700</v>
      </c>
      <c r="K2806" s="34" t="s">
        <v>1252</v>
      </c>
    </row>
    <row r="2807" ht="33.75" spans="1:11">
      <c r="A2807" s="34">
        <v>2806</v>
      </c>
      <c r="B2807" s="29" t="s">
        <v>3191</v>
      </c>
      <c r="C2807" s="29" t="str">
        <f>VLOOKUP(B2807,教育部大学名单!$B$1:$D$2920,3,FALSE)</f>
        <v>四川省教育厅</v>
      </c>
      <c r="D2807" s="29" t="s">
        <v>971</v>
      </c>
      <c r="E2807" s="29" t="s">
        <v>3177</v>
      </c>
      <c r="F2807" s="36" t="str">
        <f>IFERROR(VLOOKUP(B2807,'985'!$B$2:$D$40,3,FALSE),"")</f>
        <v/>
      </c>
      <c r="G2807" s="32" t="str">
        <f>IFERROR(VLOOKUP(B2807,'211'!$B$2:$D$116,3,FALSE),"")</f>
        <v/>
      </c>
      <c r="H2807" s="32" t="str">
        <f>IFERROR(VLOOKUP(B2807,双一流!$B$2:$D$148,3,FALSE),"")</f>
        <v/>
      </c>
      <c r="I2807" s="32">
        <f>IFERROR(VLOOKUP(B2807,汇总!$B$2:$I$2921,8,FALSE),"")</f>
        <v>0</v>
      </c>
      <c r="J2807" s="29" t="s">
        <v>1700</v>
      </c>
      <c r="K2807" s="29" t="s">
        <v>1252</v>
      </c>
    </row>
    <row r="2808" ht="33.75" spans="1:11">
      <c r="A2808" s="29">
        <v>2807</v>
      </c>
      <c r="B2808" s="34" t="s">
        <v>3192</v>
      </c>
      <c r="C2808" s="29" t="str">
        <f>VLOOKUP(B2808,教育部大学名单!$B$1:$D$2920,3,FALSE)</f>
        <v>四川省教育厅</v>
      </c>
      <c r="D2808" s="34" t="s">
        <v>971</v>
      </c>
      <c r="E2808" s="34" t="s">
        <v>3177</v>
      </c>
      <c r="F2808" s="36" t="str">
        <f>IFERROR(VLOOKUP(B2808,'985'!$B$2:$D$40,3,FALSE),"")</f>
        <v/>
      </c>
      <c r="G2808" s="32" t="str">
        <f>IFERROR(VLOOKUP(B2808,'211'!$B$2:$D$116,3,FALSE),"")</f>
        <v/>
      </c>
      <c r="H2808" s="32" t="str">
        <f>IFERROR(VLOOKUP(B2808,双一流!$B$2:$D$148,3,FALSE),"")</f>
        <v/>
      </c>
      <c r="I2808" s="32">
        <f>IFERROR(VLOOKUP(B2808,汇总!$B$2:$I$2921,8,FALSE),"")</f>
        <v>0</v>
      </c>
      <c r="J2808" s="34" t="s">
        <v>1700</v>
      </c>
      <c r="K2808" s="34" t="s">
        <v>1252</v>
      </c>
    </row>
    <row r="2809" ht="33.75" spans="1:11">
      <c r="A2809" s="34">
        <v>2808</v>
      </c>
      <c r="B2809" s="29" t="s">
        <v>3193</v>
      </c>
      <c r="C2809" s="29" t="str">
        <f>VLOOKUP(B2809,教育部大学名单!$B$1:$D$2920,3,FALSE)</f>
        <v>四川省教育厅</v>
      </c>
      <c r="D2809" s="29" t="s">
        <v>971</v>
      </c>
      <c r="E2809" s="29" t="s">
        <v>993</v>
      </c>
      <c r="F2809" s="36" t="str">
        <f>IFERROR(VLOOKUP(B2809,'985'!$B$2:$D$40,3,FALSE),"")</f>
        <v/>
      </c>
      <c r="G2809" s="32" t="str">
        <f>IFERROR(VLOOKUP(B2809,'211'!$B$2:$D$116,3,FALSE),"")</f>
        <v/>
      </c>
      <c r="H2809" s="32" t="str">
        <f>IFERROR(VLOOKUP(B2809,双一流!$B$2:$D$148,3,FALSE),"")</f>
        <v/>
      </c>
      <c r="I2809" s="32">
        <f>IFERROR(VLOOKUP(B2809,汇总!$B$2:$I$2921,8,FALSE),"")</f>
        <v>0</v>
      </c>
      <c r="J2809" s="29" t="s">
        <v>1700</v>
      </c>
      <c r="K2809" s="29" t="s">
        <v>1252</v>
      </c>
    </row>
    <row r="2810" ht="33.75" spans="1:11">
      <c r="A2810" s="29">
        <v>2809</v>
      </c>
      <c r="B2810" s="34" t="s">
        <v>3194</v>
      </c>
      <c r="C2810" s="29" t="str">
        <f>VLOOKUP(B2810,教育部大学名单!$B$1:$D$2920,3,FALSE)</f>
        <v>四川省教育厅</v>
      </c>
      <c r="D2810" s="34" t="s">
        <v>971</v>
      </c>
      <c r="E2810" s="34" t="s">
        <v>978</v>
      </c>
      <c r="F2810" s="36" t="str">
        <f>IFERROR(VLOOKUP(B2810,'985'!$B$2:$D$40,3,FALSE),"")</f>
        <v/>
      </c>
      <c r="G2810" s="32" t="str">
        <f>IFERROR(VLOOKUP(B2810,'211'!$B$2:$D$116,3,FALSE),"")</f>
        <v/>
      </c>
      <c r="H2810" s="32" t="str">
        <f>IFERROR(VLOOKUP(B2810,双一流!$B$2:$D$148,3,FALSE),"")</f>
        <v/>
      </c>
      <c r="I2810" s="32">
        <f>IFERROR(VLOOKUP(B2810,汇总!$B$2:$I$2921,8,FALSE),"")</f>
        <v>0</v>
      </c>
      <c r="J2810" s="34" t="s">
        <v>1700</v>
      </c>
      <c r="K2810" s="34" t="s">
        <v>1252</v>
      </c>
    </row>
    <row r="2811" ht="33.75" spans="1:11">
      <c r="A2811" s="34">
        <v>2810</v>
      </c>
      <c r="B2811" s="29" t="s">
        <v>3195</v>
      </c>
      <c r="C2811" s="29" t="str">
        <f>VLOOKUP(B2811,教育部大学名单!$B$1:$D$2920,3,FALSE)</f>
        <v>四川省教育厅</v>
      </c>
      <c r="D2811" s="29" t="s">
        <v>971</v>
      </c>
      <c r="E2811" s="29" t="s">
        <v>984</v>
      </c>
      <c r="F2811" s="36" t="str">
        <f>IFERROR(VLOOKUP(B2811,'985'!$B$2:$D$40,3,FALSE),"")</f>
        <v/>
      </c>
      <c r="G2811" s="32" t="str">
        <f>IFERROR(VLOOKUP(B2811,'211'!$B$2:$D$116,3,FALSE),"")</f>
        <v/>
      </c>
      <c r="H2811" s="32" t="str">
        <f>IFERROR(VLOOKUP(B2811,双一流!$B$2:$D$148,3,FALSE),"")</f>
        <v/>
      </c>
      <c r="I2811" s="32">
        <f>IFERROR(VLOOKUP(B2811,汇总!$B$2:$I$2921,8,FALSE),"")</f>
        <v>0</v>
      </c>
      <c r="J2811" s="29" t="s">
        <v>1700</v>
      </c>
      <c r="K2811" s="29" t="s">
        <v>1252</v>
      </c>
    </row>
    <row r="2812" ht="33.75" spans="1:11">
      <c r="A2812" s="29">
        <v>2811</v>
      </c>
      <c r="B2812" s="34" t="s">
        <v>3196</v>
      </c>
      <c r="C2812" s="29" t="str">
        <f>VLOOKUP(B2812,教育部大学名单!$B$1:$D$2920,3,FALSE)</f>
        <v>四川省教育厅</v>
      </c>
      <c r="D2812" s="34" t="s">
        <v>971</v>
      </c>
      <c r="E2812" s="34" t="s">
        <v>990</v>
      </c>
      <c r="F2812" s="36" t="str">
        <f>IFERROR(VLOOKUP(B2812,'985'!$B$2:$D$40,3,FALSE),"")</f>
        <v/>
      </c>
      <c r="G2812" s="32" t="str">
        <f>IFERROR(VLOOKUP(B2812,'211'!$B$2:$D$116,3,FALSE),"")</f>
        <v/>
      </c>
      <c r="H2812" s="32" t="str">
        <f>IFERROR(VLOOKUP(B2812,双一流!$B$2:$D$148,3,FALSE),"")</f>
        <v/>
      </c>
      <c r="I2812" s="32">
        <f>IFERROR(VLOOKUP(B2812,汇总!$B$2:$I$2921,8,FALSE),"")</f>
        <v>0</v>
      </c>
      <c r="J2812" s="34" t="s">
        <v>1700</v>
      </c>
      <c r="K2812" s="34" t="s">
        <v>1252</v>
      </c>
    </row>
    <row r="2813" ht="33.75" spans="1:11">
      <c r="A2813" s="34">
        <v>2812</v>
      </c>
      <c r="B2813" s="29" t="s">
        <v>3197</v>
      </c>
      <c r="C2813" s="29" t="str">
        <f>VLOOKUP(B2813,教育部大学名单!$B$1:$D$2920,3,FALSE)</f>
        <v>四川省教育厅</v>
      </c>
      <c r="D2813" s="29" t="s">
        <v>971</v>
      </c>
      <c r="E2813" s="29" t="s">
        <v>981</v>
      </c>
      <c r="F2813" s="36" t="str">
        <f>IFERROR(VLOOKUP(B2813,'985'!$B$2:$D$40,3,FALSE),"")</f>
        <v/>
      </c>
      <c r="G2813" s="32" t="str">
        <f>IFERROR(VLOOKUP(B2813,'211'!$B$2:$D$116,3,FALSE),"")</f>
        <v/>
      </c>
      <c r="H2813" s="32" t="str">
        <f>IFERROR(VLOOKUP(B2813,双一流!$B$2:$D$148,3,FALSE),"")</f>
        <v/>
      </c>
      <c r="I2813" s="32">
        <f>IFERROR(VLOOKUP(B2813,汇总!$B$2:$I$2921,8,FALSE),"")</f>
        <v>0</v>
      </c>
      <c r="J2813" s="29" t="s">
        <v>1700</v>
      </c>
      <c r="K2813" s="29" t="s">
        <v>1252</v>
      </c>
    </row>
    <row r="2814" ht="33.75" spans="1:11">
      <c r="A2814" s="29">
        <v>2813</v>
      </c>
      <c r="B2814" s="34" t="s">
        <v>3198</v>
      </c>
      <c r="C2814" s="29" t="str">
        <f>VLOOKUP(B2814,教育部大学名单!$B$1:$D$2920,3,FALSE)</f>
        <v>四川省教育厅</v>
      </c>
      <c r="D2814" s="34" t="s">
        <v>971</v>
      </c>
      <c r="E2814" s="34" t="s">
        <v>2602</v>
      </c>
      <c r="F2814" s="36" t="str">
        <f>IFERROR(VLOOKUP(B2814,'985'!$B$2:$D$40,3,FALSE),"")</f>
        <v/>
      </c>
      <c r="G2814" s="32" t="str">
        <f>IFERROR(VLOOKUP(B2814,'211'!$B$2:$D$116,3,FALSE),"")</f>
        <v/>
      </c>
      <c r="H2814" s="32" t="str">
        <f>IFERROR(VLOOKUP(B2814,双一流!$B$2:$D$148,3,FALSE),"")</f>
        <v/>
      </c>
      <c r="I2814" s="32">
        <f>IFERROR(VLOOKUP(B2814,汇总!$B$2:$I$2921,8,FALSE),"")</f>
        <v>0</v>
      </c>
      <c r="J2814" s="34" t="s">
        <v>1700</v>
      </c>
      <c r="K2814" s="34" t="s">
        <v>1252</v>
      </c>
    </row>
    <row r="2815" ht="33.75" spans="1:11">
      <c r="A2815" s="34">
        <v>2814</v>
      </c>
      <c r="B2815" s="29" t="s">
        <v>3199</v>
      </c>
      <c r="C2815" s="29" t="str">
        <f>VLOOKUP(B2815,教育部大学名单!$B$1:$D$2920,3,FALSE)</f>
        <v>贵州省教育厅</v>
      </c>
      <c r="D2815" s="29" t="s">
        <v>1026</v>
      </c>
      <c r="E2815" s="29" t="s">
        <v>1027</v>
      </c>
      <c r="F2815" s="36" t="str">
        <f>IFERROR(VLOOKUP(B2815,'985'!$B$2:$D$40,3,FALSE),"")</f>
        <v/>
      </c>
      <c r="G2815" s="32" t="str">
        <f>IFERROR(VLOOKUP(B2815,'211'!$B$2:$D$116,3,FALSE),"")</f>
        <v/>
      </c>
      <c r="H2815" s="32" t="str">
        <f>IFERROR(VLOOKUP(B2815,双一流!$B$2:$D$148,3,FALSE),"")</f>
        <v/>
      </c>
      <c r="I2815" s="32" t="str">
        <f>IFERROR(VLOOKUP(B2815,汇总!$B$2:$I$2921,8,FALSE),"")</f>
        <v>综合</v>
      </c>
      <c r="J2815" s="29" t="s">
        <v>1700</v>
      </c>
      <c r="K2815" s="29" t="s">
        <v>1252</v>
      </c>
    </row>
    <row r="2816" ht="33.75" spans="1:11">
      <c r="A2816" s="29">
        <v>2815</v>
      </c>
      <c r="B2816" s="34" t="s">
        <v>3200</v>
      </c>
      <c r="C2816" s="29" t="str">
        <f>VLOOKUP(B2816,教育部大学名单!$B$1:$D$2920,3,FALSE)</f>
        <v>贵州省教育厅</v>
      </c>
      <c r="D2816" s="34" t="s">
        <v>1026</v>
      </c>
      <c r="E2816" s="34" t="s">
        <v>1045</v>
      </c>
      <c r="F2816" s="36" t="str">
        <f>IFERROR(VLOOKUP(B2816,'985'!$B$2:$D$40,3,FALSE),"")</f>
        <v/>
      </c>
      <c r="G2816" s="32" t="str">
        <f>IFERROR(VLOOKUP(B2816,'211'!$B$2:$D$116,3,FALSE),"")</f>
        <v/>
      </c>
      <c r="H2816" s="32" t="str">
        <f>IFERROR(VLOOKUP(B2816,双一流!$B$2:$D$148,3,FALSE),"")</f>
        <v/>
      </c>
      <c r="I2816" s="32">
        <f>IFERROR(VLOOKUP(B2816,汇总!$B$2:$I$2921,8,FALSE),"")</f>
        <v>0</v>
      </c>
      <c r="J2816" s="34" t="s">
        <v>1700</v>
      </c>
      <c r="K2816" s="34" t="s">
        <v>1252</v>
      </c>
    </row>
    <row r="2817" ht="33.75" spans="1:11">
      <c r="A2817" s="34">
        <v>2816</v>
      </c>
      <c r="B2817" s="29" t="s">
        <v>3201</v>
      </c>
      <c r="C2817" s="29" t="str">
        <f>VLOOKUP(B2817,教育部大学名单!$B$1:$D$2920,3,FALSE)</f>
        <v>贵州省教育厅</v>
      </c>
      <c r="D2817" s="29" t="s">
        <v>1026</v>
      </c>
      <c r="E2817" s="29" t="s">
        <v>1035</v>
      </c>
      <c r="F2817" s="36" t="str">
        <f>IFERROR(VLOOKUP(B2817,'985'!$B$2:$D$40,3,FALSE),"")</f>
        <v/>
      </c>
      <c r="G2817" s="32" t="str">
        <f>IFERROR(VLOOKUP(B2817,'211'!$B$2:$D$116,3,FALSE),"")</f>
        <v/>
      </c>
      <c r="H2817" s="32" t="str">
        <f>IFERROR(VLOOKUP(B2817,双一流!$B$2:$D$148,3,FALSE),"")</f>
        <v/>
      </c>
      <c r="I2817" s="32">
        <f>IFERROR(VLOOKUP(B2817,汇总!$B$2:$I$2921,8,FALSE),"")</f>
        <v>0</v>
      </c>
      <c r="J2817" s="29" t="s">
        <v>1700</v>
      </c>
      <c r="K2817" s="29" t="s">
        <v>1252</v>
      </c>
    </row>
    <row r="2818" ht="33.75" spans="1:11">
      <c r="A2818" s="29">
        <v>2817</v>
      </c>
      <c r="B2818" s="34" t="s">
        <v>3202</v>
      </c>
      <c r="C2818" s="29" t="str">
        <f>VLOOKUP(B2818,教育部大学名单!$B$1:$D$2920,3,FALSE)</f>
        <v>贵州省教育厅</v>
      </c>
      <c r="D2818" s="34" t="s">
        <v>1026</v>
      </c>
      <c r="E2818" s="34" t="s">
        <v>1041</v>
      </c>
      <c r="F2818" s="36" t="str">
        <f>IFERROR(VLOOKUP(B2818,'985'!$B$2:$D$40,3,FALSE),"")</f>
        <v/>
      </c>
      <c r="G2818" s="32" t="str">
        <f>IFERROR(VLOOKUP(B2818,'211'!$B$2:$D$116,3,FALSE),"")</f>
        <v/>
      </c>
      <c r="H2818" s="32" t="str">
        <f>IFERROR(VLOOKUP(B2818,双一流!$B$2:$D$148,3,FALSE),"")</f>
        <v/>
      </c>
      <c r="I2818" s="32">
        <f>IFERROR(VLOOKUP(B2818,汇总!$B$2:$I$2921,8,FALSE),"")</f>
        <v>0</v>
      </c>
      <c r="J2818" s="34" t="s">
        <v>1700</v>
      </c>
      <c r="K2818" s="34" t="s">
        <v>1252</v>
      </c>
    </row>
    <row r="2819" ht="33.75" spans="1:11">
      <c r="A2819" s="34">
        <v>2818</v>
      </c>
      <c r="B2819" s="29" t="s">
        <v>3203</v>
      </c>
      <c r="C2819" s="29" t="str">
        <f>VLOOKUP(B2819,教育部大学名单!$B$1:$D$2920,3,FALSE)</f>
        <v>贵州省教育厅</v>
      </c>
      <c r="D2819" s="29" t="s">
        <v>1026</v>
      </c>
      <c r="E2819" s="29" t="s">
        <v>1045</v>
      </c>
      <c r="F2819" s="36" t="str">
        <f>IFERROR(VLOOKUP(B2819,'985'!$B$2:$D$40,3,FALSE),"")</f>
        <v/>
      </c>
      <c r="G2819" s="32" t="str">
        <f>IFERROR(VLOOKUP(B2819,'211'!$B$2:$D$116,3,FALSE),"")</f>
        <v/>
      </c>
      <c r="H2819" s="32" t="str">
        <f>IFERROR(VLOOKUP(B2819,双一流!$B$2:$D$148,3,FALSE),"")</f>
        <v/>
      </c>
      <c r="I2819" s="32">
        <f>IFERROR(VLOOKUP(B2819,汇总!$B$2:$I$2921,8,FALSE),"")</f>
        <v>0</v>
      </c>
      <c r="J2819" s="29" t="s">
        <v>1700</v>
      </c>
      <c r="K2819" s="29" t="s">
        <v>1252</v>
      </c>
    </row>
    <row r="2820" ht="33.75" spans="1:11">
      <c r="A2820" s="29">
        <v>2819</v>
      </c>
      <c r="B2820" s="34" t="s">
        <v>3204</v>
      </c>
      <c r="C2820" s="29" t="str">
        <f>VLOOKUP(B2820,教育部大学名单!$B$1:$D$2920,3,FALSE)</f>
        <v>贵州省教育厅</v>
      </c>
      <c r="D2820" s="34" t="s">
        <v>1026</v>
      </c>
      <c r="E2820" s="34" t="s">
        <v>1039</v>
      </c>
      <c r="F2820" s="36" t="str">
        <f>IFERROR(VLOOKUP(B2820,'985'!$B$2:$D$40,3,FALSE),"")</f>
        <v/>
      </c>
      <c r="G2820" s="32" t="str">
        <f>IFERROR(VLOOKUP(B2820,'211'!$B$2:$D$116,3,FALSE),"")</f>
        <v/>
      </c>
      <c r="H2820" s="32" t="str">
        <f>IFERROR(VLOOKUP(B2820,双一流!$B$2:$D$148,3,FALSE),"")</f>
        <v/>
      </c>
      <c r="I2820" s="32">
        <f>IFERROR(VLOOKUP(B2820,汇总!$B$2:$I$2921,8,FALSE),"")</f>
        <v>0</v>
      </c>
      <c r="J2820" s="34" t="s">
        <v>1700</v>
      </c>
      <c r="K2820" s="34" t="s">
        <v>1252</v>
      </c>
    </row>
    <row r="2821" ht="33.75" spans="1:11">
      <c r="A2821" s="34">
        <v>2820</v>
      </c>
      <c r="B2821" s="29" t="s">
        <v>3205</v>
      </c>
      <c r="C2821" s="29" t="str">
        <f>VLOOKUP(B2821,教育部大学名单!$B$1:$D$2920,3,FALSE)</f>
        <v>云南省教育厅</v>
      </c>
      <c r="D2821" s="29" t="s">
        <v>1060</v>
      </c>
      <c r="E2821" s="29" t="s">
        <v>1061</v>
      </c>
      <c r="F2821" s="36" t="str">
        <f>IFERROR(VLOOKUP(B2821,'985'!$B$2:$D$40,3,FALSE),"")</f>
        <v/>
      </c>
      <c r="G2821" s="32" t="str">
        <f>IFERROR(VLOOKUP(B2821,'211'!$B$2:$D$116,3,FALSE),"")</f>
        <v/>
      </c>
      <c r="H2821" s="32" t="str">
        <f>IFERROR(VLOOKUP(B2821,双一流!$B$2:$D$148,3,FALSE),"")</f>
        <v/>
      </c>
      <c r="I2821" s="32">
        <f>IFERROR(VLOOKUP(B2821,汇总!$B$2:$I$2921,8,FALSE),"")</f>
        <v>0</v>
      </c>
      <c r="J2821" s="29" t="s">
        <v>1700</v>
      </c>
      <c r="K2821" s="29" t="s">
        <v>1252</v>
      </c>
    </row>
    <row r="2822" ht="33.75" spans="1:11">
      <c r="A2822" s="29">
        <v>2821</v>
      </c>
      <c r="B2822" s="34" t="s">
        <v>3206</v>
      </c>
      <c r="C2822" s="29" t="str">
        <f>VLOOKUP(B2822,教育部大学名单!$B$1:$D$2920,3,FALSE)</f>
        <v>云南省教育厅</v>
      </c>
      <c r="D2822" s="34" t="s">
        <v>1060</v>
      </c>
      <c r="E2822" s="34" t="s">
        <v>1061</v>
      </c>
      <c r="F2822" s="36" t="str">
        <f>IFERROR(VLOOKUP(B2822,'985'!$B$2:$D$40,3,FALSE),"")</f>
        <v/>
      </c>
      <c r="G2822" s="32" t="str">
        <f>IFERROR(VLOOKUP(B2822,'211'!$B$2:$D$116,3,FALSE),"")</f>
        <v/>
      </c>
      <c r="H2822" s="32" t="str">
        <f>IFERROR(VLOOKUP(B2822,双一流!$B$2:$D$148,3,FALSE),"")</f>
        <v/>
      </c>
      <c r="I2822" s="32">
        <f>IFERROR(VLOOKUP(B2822,汇总!$B$2:$I$2921,8,FALSE),"")</f>
        <v>0</v>
      </c>
      <c r="J2822" s="34" t="s">
        <v>1700</v>
      </c>
      <c r="K2822" s="34" t="s">
        <v>1252</v>
      </c>
    </row>
    <row r="2823" ht="33.75" spans="1:11">
      <c r="A2823" s="34">
        <v>2822</v>
      </c>
      <c r="B2823" s="29" t="s">
        <v>3207</v>
      </c>
      <c r="C2823" s="29" t="str">
        <f>VLOOKUP(B2823,教育部大学名单!$B$1:$D$2920,3,FALSE)</f>
        <v>云南省教育厅</v>
      </c>
      <c r="D2823" s="29" t="s">
        <v>1060</v>
      </c>
      <c r="E2823" s="29" t="s">
        <v>1061</v>
      </c>
      <c r="F2823" s="36" t="str">
        <f>IFERROR(VLOOKUP(B2823,'985'!$B$2:$D$40,3,FALSE),"")</f>
        <v/>
      </c>
      <c r="G2823" s="32" t="str">
        <f>IFERROR(VLOOKUP(B2823,'211'!$B$2:$D$116,3,FALSE),"")</f>
        <v/>
      </c>
      <c r="H2823" s="32" t="str">
        <f>IFERROR(VLOOKUP(B2823,双一流!$B$2:$D$148,3,FALSE),"")</f>
        <v/>
      </c>
      <c r="I2823" s="32">
        <f>IFERROR(VLOOKUP(B2823,汇总!$B$2:$I$2921,8,FALSE),"")</f>
        <v>0</v>
      </c>
      <c r="J2823" s="29" t="s">
        <v>1700</v>
      </c>
      <c r="K2823" s="29" t="s">
        <v>1252</v>
      </c>
    </row>
    <row r="2824" ht="33.75" spans="1:11">
      <c r="A2824" s="29">
        <v>2823</v>
      </c>
      <c r="B2824" s="34" t="s">
        <v>3208</v>
      </c>
      <c r="C2824" s="29" t="str">
        <f>VLOOKUP(B2824,教育部大学名单!$B$1:$D$2920,3,FALSE)</f>
        <v>云南省教育厅</v>
      </c>
      <c r="D2824" s="34" t="s">
        <v>1060</v>
      </c>
      <c r="E2824" s="34" t="s">
        <v>1061</v>
      </c>
      <c r="F2824" s="36" t="str">
        <f>IFERROR(VLOOKUP(B2824,'985'!$B$2:$D$40,3,FALSE),"")</f>
        <v/>
      </c>
      <c r="G2824" s="32" t="str">
        <f>IFERROR(VLOOKUP(B2824,'211'!$B$2:$D$116,3,FALSE),"")</f>
        <v/>
      </c>
      <c r="H2824" s="32" t="str">
        <f>IFERROR(VLOOKUP(B2824,双一流!$B$2:$D$148,3,FALSE),"")</f>
        <v/>
      </c>
      <c r="I2824" s="32">
        <f>IFERROR(VLOOKUP(B2824,汇总!$B$2:$I$2921,8,FALSE),"")</f>
        <v>0</v>
      </c>
      <c r="J2824" s="34" t="s">
        <v>1700</v>
      </c>
      <c r="K2824" s="34" t="s">
        <v>1252</v>
      </c>
    </row>
    <row r="2825" ht="33.75" spans="1:11">
      <c r="A2825" s="34">
        <v>2824</v>
      </c>
      <c r="B2825" s="29" t="s">
        <v>3209</v>
      </c>
      <c r="C2825" s="29" t="str">
        <f>VLOOKUP(B2825,教育部大学名单!$B$1:$D$2920,3,FALSE)</f>
        <v>云南省教育厅</v>
      </c>
      <c r="D2825" s="29" t="s">
        <v>1060</v>
      </c>
      <c r="E2825" s="29" t="s">
        <v>1061</v>
      </c>
      <c r="F2825" s="36" t="str">
        <f>IFERROR(VLOOKUP(B2825,'985'!$B$2:$D$40,3,FALSE),"")</f>
        <v/>
      </c>
      <c r="G2825" s="32" t="str">
        <f>IFERROR(VLOOKUP(B2825,'211'!$B$2:$D$116,3,FALSE),"")</f>
        <v/>
      </c>
      <c r="H2825" s="32" t="str">
        <f>IFERROR(VLOOKUP(B2825,双一流!$B$2:$D$148,3,FALSE),"")</f>
        <v/>
      </c>
      <c r="I2825" s="32" t="str">
        <f>IFERROR(VLOOKUP(B2825,汇总!$B$2:$I$2921,8,FALSE),"")</f>
        <v>综合</v>
      </c>
      <c r="J2825" s="29" t="s">
        <v>1700</v>
      </c>
      <c r="K2825" s="29" t="s">
        <v>1252</v>
      </c>
    </row>
    <row r="2826" ht="33.75" spans="1:11">
      <c r="A2826" s="29">
        <v>2825</v>
      </c>
      <c r="B2826" s="34" t="s">
        <v>3210</v>
      </c>
      <c r="C2826" s="29" t="str">
        <f>VLOOKUP(B2826,教育部大学名单!$B$1:$D$2920,3,FALSE)</f>
        <v>云南省教育厅</v>
      </c>
      <c r="D2826" s="34" t="s">
        <v>1060</v>
      </c>
      <c r="E2826" s="34" t="s">
        <v>1090</v>
      </c>
      <c r="F2826" s="36" t="str">
        <f>IFERROR(VLOOKUP(B2826,'985'!$B$2:$D$40,3,FALSE),"")</f>
        <v/>
      </c>
      <c r="G2826" s="32" t="str">
        <f>IFERROR(VLOOKUP(B2826,'211'!$B$2:$D$116,3,FALSE),"")</f>
        <v/>
      </c>
      <c r="H2826" s="32" t="str">
        <f>IFERROR(VLOOKUP(B2826,双一流!$B$2:$D$148,3,FALSE),"")</f>
        <v/>
      </c>
      <c r="I2826" s="32">
        <f>IFERROR(VLOOKUP(B2826,汇总!$B$2:$I$2921,8,FALSE),"")</f>
        <v>0</v>
      </c>
      <c r="J2826" s="34" t="s">
        <v>1700</v>
      </c>
      <c r="K2826" s="34" t="s">
        <v>1252</v>
      </c>
    </row>
    <row r="2827" ht="33.75" spans="1:11">
      <c r="A2827" s="34">
        <v>2826</v>
      </c>
      <c r="B2827" s="29" t="s">
        <v>3211</v>
      </c>
      <c r="C2827" s="29" t="str">
        <f>VLOOKUP(B2827,教育部大学名单!$B$1:$D$2920,3,FALSE)</f>
        <v>云南省教育厅</v>
      </c>
      <c r="D2827" s="29" t="s">
        <v>1060</v>
      </c>
      <c r="E2827" s="29" t="s">
        <v>1061</v>
      </c>
      <c r="F2827" s="36" t="str">
        <f>IFERROR(VLOOKUP(B2827,'985'!$B$2:$D$40,3,FALSE),"")</f>
        <v/>
      </c>
      <c r="G2827" s="32" t="str">
        <f>IFERROR(VLOOKUP(B2827,'211'!$B$2:$D$116,3,FALSE),"")</f>
        <v/>
      </c>
      <c r="H2827" s="32" t="str">
        <f>IFERROR(VLOOKUP(B2827,双一流!$B$2:$D$148,3,FALSE),"")</f>
        <v/>
      </c>
      <c r="I2827" s="32">
        <f>IFERROR(VLOOKUP(B2827,汇总!$B$2:$I$2921,8,FALSE),"")</f>
        <v>0</v>
      </c>
      <c r="J2827" s="29" t="s">
        <v>1700</v>
      </c>
      <c r="K2827" s="29" t="s">
        <v>1252</v>
      </c>
    </row>
    <row r="2828" ht="33.75" spans="1:11">
      <c r="A2828" s="29">
        <v>2827</v>
      </c>
      <c r="B2828" s="34" t="s">
        <v>3212</v>
      </c>
      <c r="C2828" s="29" t="str">
        <f>VLOOKUP(B2828,教育部大学名单!$B$1:$D$2920,3,FALSE)</f>
        <v>云南省教育厅</v>
      </c>
      <c r="D2828" s="34" t="s">
        <v>1060</v>
      </c>
      <c r="E2828" s="34" t="s">
        <v>1061</v>
      </c>
      <c r="F2828" s="36" t="str">
        <f>IFERROR(VLOOKUP(B2828,'985'!$B$2:$D$40,3,FALSE),"")</f>
        <v/>
      </c>
      <c r="G2828" s="32" t="str">
        <f>IFERROR(VLOOKUP(B2828,'211'!$B$2:$D$116,3,FALSE),"")</f>
        <v/>
      </c>
      <c r="H2828" s="32" t="str">
        <f>IFERROR(VLOOKUP(B2828,双一流!$B$2:$D$148,3,FALSE),"")</f>
        <v/>
      </c>
      <c r="I2828" s="32">
        <f>IFERROR(VLOOKUP(B2828,汇总!$B$2:$I$2921,8,FALSE),"")</f>
        <v>0</v>
      </c>
      <c r="J2828" s="34" t="s">
        <v>1700</v>
      </c>
      <c r="K2828" s="34" t="s">
        <v>1252</v>
      </c>
    </row>
    <row r="2829" ht="33.75" spans="1:11">
      <c r="A2829" s="34">
        <v>2828</v>
      </c>
      <c r="B2829" s="29" t="s">
        <v>3213</v>
      </c>
      <c r="C2829" s="29" t="str">
        <f>VLOOKUP(B2829,教育部大学名单!$B$1:$D$2920,3,FALSE)</f>
        <v>云南省教育厅</v>
      </c>
      <c r="D2829" s="29" t="s">
        <v>1060</v>
      </c>
      <c r="E2829" s="29" t="s">
        <v>1061</v>
      </c>
      <c r="F2829" s="36" t="str">
        <f>IFERROR(VLOOKUP(B2829,'985'!$B$2:$D$40,3,FALSE),"")</f>
        <v/>
      </c>
      <c r="G2829" s="32" t="str">
        <f>IFERROR(VLOOKUP(B2829,'211'!$B$2:$D$116,3,FALSE),"")</f>
        <v/>
      </c>
      <c r="H2829" s="32" t="str">
        <f>IFERROR(VLOOKUP(B2829,双一流!$B$2:$D$148,3,FALSE),"")</f>
        <v/>
      </c>
      <c r="I2829" s="32">
        <f>IFERROR(VLOOKUP(B2829,汇总!$B$2:$I$2921,8,FALSE),"")</f>
        <v>0</v>
      </c>
      <c r="J2829" s="29" t="s">
        <v>1700</v>
      </c>
      <c r="K2829" s="29" t="s">
        <v>1252</v>
      </c>
    </row>
    <row r="2830" ht="33.75" spans="1:11">
      <c r="A2830" s="29">
        <v>2829</v>
      </c>
      <c r="B2830" s="34" t="s">
        <v>3214</v>
      </c>
      <c r="C2830" s="29" t="str">
        <f>VLOOKUP(B2830,教育部大学名单!$B$1:$D$2920,3,FALSE)</f>
        <v>云南省教育厅</v>
      </c>
      <c r="D2830" s="34" t="s">
        <v>1060</v>
      </c>
      <c r="E2830" s="34" t="s">
        <v>1061</v>
      </c>
      <c r="F2830" s="36" t="str">
        <f>IFERROR(VLOOKUP(B2830,'985'!$B$2:$D$40,3,FALSE),"")</f>
        <v/>
      </c>
      <c r="G2830" s="32" t="str">
        <f>IFERROR(VLOOKUP(B2830,'211'!$B$2:$D$116,3,FALSE),"")</f>
        <v/>
      </c>
      <c r="H2830" s="32" t="str">
        <f>IFERROR(VLOOKUP(B2830,双一流!$B$2:$D$148,3,FALSE),"")</f>
        <v/>
      </c>
      <c r="I2830" s="32">
        <f>IFERROR(VLOOKUP(B2830,汇总!$B$2:$I$2921,8,FALSE),"")</f>
        <v>0</v>
      </c>
      <c r="J2830" s="34" t="s">
        <v>1700</v>
      </c>
      <c r="K2830" s="34" t="s">
        <v>1252</v>
      </c>
    </row>
    <row r="2831" ht="33.75" spans="1:11">
      <c r="A2831" s="34">
        <v>2830</v>
      </c>
      <c r="B2831" s="29" t="s">
        <v>3215</v>
      </c>
      <c r="C2831" s="29" t="str">
        <f>VLOOKUP(B2831,教育部大学名单!$B$1:$D$2920,3,FALSE)</f>
        <v>云南省教育厅</v>
      </c>
      <c r="D2831" s="29" t="s">
        <v>1060</v>
      </c>
      <c r="E2831" s="29" t="s">
        <v>1061</v>
      </c>
      <c r="F2831" s="36" t="str">
        <f>IFERROR(VLOOKUP(B2831,'985'!$B$2:$D$40,3,FALSE),"")</f>
        <v/>
      </c>
      <c r="G2831" s="32" t="str">
        <f>IFERROR(VLOOKUP(B2831,'211'!$B$2:$D$116,3,FALSE),"")</f>
        <v/>
      </c>
      <c r="H2831" s="32" t="str">
        <f>IFERROR(VLOOKUP(B2831,双一流!$B$2:$D$148,3,FALSE),"")</f>
        <v/>
      </c>
      <c r="I2831" s="32">
        <f>IFERROR(VLOOKUP(B2831,汇总!$B$2:$I$2921,8,FALSE),"")</f>
        <v>0</v>
      </c>
      <c r="J2831" s="29" t="s">
        <v>1700</v>
      </c>
      <c r="K2831" s="29" t="s">
        <v>1252</v>
      </c>
    </row>
    <row r="2832" ht="33.75" spans="1:11">
      <c r="A2832" s="29">
        <v>2831</v>
      </c>
      <c r="B2832" s="34" t="s">
        <v>3216</v>
      </c>
      <c r="C2832" s="29" t="str">
        <f>VLOOKUP(B2832,教育部大学名单!$B$1:$D$2920,3,FALSE)</f>
        <v>陕西省教育厅</v>
      </c>
      <c r="D2832" s="34" t="s">
        <v>1106</v>
      </c>
      <c r="E2832" s="34" t="s">
        <v>1111</v>
      </c>
      <c r="F2832" s="36" t="str">
        <f>IFERROR(VLOOKUP(B2832,'985'!$B$2:$D$40,3,FALSE),"")</f>
        <v/>
      </c>
      <c r="G2832" s="32" t="str">
        <f>IFERROR(VLOOKUP(B2832,'211'!$B$2:$D$116,3,FALSE),"")</f>
        <v/>
      </c>
      <c r="H2832" s="32" t="str">
        <f>IFERROR(VLOOKUP(B2832,双一流!$B$2:$D$148,3,FALSE),"")</f>
        <v/>
      </c>
      <c r="I2832" s="32">
        <f>IFERROR(VLOOKUP(B2832,汇总!$B$2:$I$2921,8,FALSE),"")</f>
        <v>0</v>
      </c>
      <c r="J2832" s="34" t="s">
        <v>1700</v>
      </c>
      <c r="K2832" s="34" t="s">
        <v>1252</v>
      </c>
    </row>
    <row r="2833" ht="33.75" spans="1:11">
      <c r="A2833" s="34">
        <v>2832</v>
      </c>
      <c r="B2833" s="29" t="s">
        <v>3217</v>
      </c>
      <c r="C2833" s="29" t="str">
        <f>VLOOKUP(B2833,教育部大学名单!$B$1:$D$2920,3,FALSE)</f>
        <v>陕西省教育厅</v>
      </c>
      <c r="D2833" s="29" t="s">
        <v>1106</v>
      </c>
      <c r="E2833" s="29" t="s">
        <v>1111</v>
      </c>
      <c r="F2833" s="36" t="str">
        <f>IFERROR(VLOOKUP(B2833,'985'!$B$2:$D$40,3,FALSE),"")</f>
        <v/>
      </c>
      <c r="G2833" s="32" t="str">
        <f>IFERROR(VLOOKUP(B2833,'211'!$B$2:$D$116,3,FALSE),"")</f>
        <v/>
      </c>
      <c r="H2833" s="32" t="str">
        <f>IFERROR(VLOOKUP(B2833,双一流!$B$2:$D$148,3,FALSE),"")</f>
        <v/>
      </c>
      <c r="I2833" s="32">
        <f>IFERROR(VLOOKUP(B2833,汇总!$B$2:$I$2921,8,FALSE),"")</f>
        <v>0</v>
      </c>
      <c r="J2833" s="29" t="s">
        <v>1700</v>
      </c>
      <c r="K2833" s="29" t="s">
        <v>1252</v>
      </c>
    </row>
    <row r="2834" ht="50.25" spans="1:11">
      <c r="A2834" s="29">
        <v>2833</v>
      </c>
      <c r="B2834" s="34" t="s">
        <v>3218</v>
      </c>
      <c r="C2834" s="29" t="str">
        <f>VLOOKUP(B2834,教育部大学名单!$B$1:$D$2920,3,FALSE)</f>
        <v>陕西省教育厅</v>
      </c>
      <c r="D2834" s="34" t="s">
        <v>1106</v>
      </c>
      <c r="E2834" s="34" t="s">
        <v>1111</v>
      </c>
      <c r="F2834" s="36" t="str">
        <f>IFERROR(VLOOKUP(B2834,'985'!$B$2:$D$40,3,FALSE),"")</f>
        <v/>
      </c>
      <c r="G2834" s="32" t="str">
        <f>IFERROR(VLOOKUP(B2834,'211'!$B$2:$D$116,3,FALSE),"")</f>
        <v/>
      </c>
      <c r="H2834" s="32" t="str">
        <f>IFERROR(VLOOKUP(B2834,双一流!$B$2:$D$148,3,FALSE),"")</f>
        <v/>
      </c>
      <c r="I2834" s="32" t="str">
        <f>IFERROR(VLOOKUP(B2834,汇总!$B$2:$I$2921,8,FALSE),"")</f>
        <v>理工</v>
      </c>
      <c r="J2834" s="34" t="s">
        <v>1700</v>
      </c>
      <c r="K2834" s="34" t="s">
        <v>1252</v>
      </c>
    </row>
    <row r="2835" ht="33.75" spans="1:11">
      <c r="A2835" s="34">
        <v>2834</v>
      </c>
      <c r="B2835" s="29" t="s">
        <v>3219</v>
      </c>
      <c r="C2835" s="29" t="str">
        <f>VLOOKUP(B2835,教育部大学名单!$B$1:$D$2920,3,FALSE)</f>
        <v>陕西省教育厅</v>
      </c>
      <c r="D2835" s="29" t="s">
        <v>1106</v>
      </c>
      <c r="E2835" s="29" t="s">
        <v>1111</v>
      </c>
      <c r="F2835" s="36" t="str">
        <f>IFERROR(VLOOKUP(B2835,'985'!$B$2:$D$40,3,FALSE),"")</f>
        <v/>
      </c>
      <c r="G2835" s="32" t="str">
        <f>IFERROR(VLOOKUP(B2835,'211'!$B$2:$D$116,3,FALSE),"")</f>
        <v/>
      </c>
      <c r="H2835" s="32" t="str">
        <f>IFERROR(VLOOKUP(B2835,双一流!$B$2:$D$148,3,FALSE),"")</f>
        <v/>
      </c>
      <c r="I2835" s="32">
        <f>IFERROR(VLOOKUP(B2835,汇总!$B$2:$I$2921,8,FALSE),"")</f>
        <v>0</v>
      </c>
      <c r="J2835" s="29" t="s">
        <v>1700</v>
      </c>
      <c r="K2835" s="29" t="s">
        <v>1252</v>
      </c>
    </row>
    <row r="2836" ht="33.75" spans="1:11">
      <c r="A2836" s="29">
        <v>2835</v>
      </c>
      <c r="B2836" s="34" t="s">
        <v>3220</v>
      </c>
      <c r="C2836" s="29" t="str">
        <f>VLOOKUP(B2836,教育部大学名单!$B$1:$D$2920,3,FALSE)</f>
        <v>陕西省教育厅</v>
      </c>
      <c r="D2836" s="34" t="s">
        <v>1106</v>
      </c>
      <c r="E2836" s="34" t="s">
        <v>1111</v>
      </c>
      <c r="F2836" s="36" t="str">
        <f>IFERROR(VLOOKUP(B2836,'985'!$B$2:$D$40,3,FALSE),"")</f>
        <v/>
      </c>
      <c r="G2836" s="32" t="str">
        <f>IFERROR(VLOOKUP(B2836,'211'!$B$2:$D$116,3,FALSE),"")</f>
        <v/>
      </c>
      <c r="H2836" s="32" t="str">
        <f>IFERROR(VLOOKUP(B2836,双一流!$B$2:$D$148,3,FALSE),"")</f>
        <v/>
      </c>
      <c r="I2836" s="32">
        <f>IFERROR(VLOOKUP(B2836,汇总!$B$2:$I$2921,8,FALSE),"")</f>
        <v>0</v>
      </c>
      <c r="J2836" s="34" t="s">
        <v>1700</v>
      </c>
      <c r="K2836" s="34" t="s">
        <v>1252</v>
      </c>
    </row>
    <row r="2837" ht="33.75" spans="1:11">
      <c r="A2837" s="34">
        <v>2836</v>
      </c>
      <c r="B2837" s="29" t="s">
        <v>3221</v>
      </c>
      <c r="C2837" s="29" t="str">
        <f>VLOOKUP(B2837,教育部大学名单!$B$1:$D$2920,3,FALSE)</f>
        <v>陕西省教育厅</v>
      </c>
      <c r="D2837" s="29" t="s">
        <v>1106</v>
      </c>
      <c r="E2837" s="29" t="s">
        <v>1111</v>
      </c>
      <c r="F2837" s="36" t="str">
        <f>IFERROR(VLOOKUP(B2837,'985'!$B$2:$D$40,3,FALSE),"")</f>
        <v/>
      </c>
      <c r="G2837" s="32" t="str">
        <f>IFERROR(VLOOKUP(B2837,'211'!$B$2:$D$116,3,FALSE),"")</f>
        <v/>
      </c>
      <c r="H2837" s="32" t="str">
        <f>IFERROR(VLOOKUP(B2837,双一流!$B$2:$D$148,3,FALSE),"")</f>
        <v/>
      </c>
      <c r="I2837" s="32">
        <f>IFERROR(VLOOKUP(B2837,汇总!$B$2:$I$2921,8,FALSE),"")</f>
        <v>0</v>
      </c>
      <c r="J2837" s="29" t="s">
        <v>1700</v>
      </c>
      <c r="K2837" s="29" t="s">
        <v>1252</v>
      </c>
    </row>
    <row r="2838" ht="33.75" spans="1:11">
      <c r="A2838" s="29">
        <v>2837</v>
      </c>
      <c r="B2838" s="34" t="s">
        <v>3222</v>
      </c>
      <c r="C2838" s="29" t="str">
        <f>VLOOKUP(B2838,教育部大学名单!$B$1:$D$2920,3,FALSE)</f>
        <v>陕西省教育厅</v>
      </c>
      <c r="D2838" s="34" t="s">
        <v>1106</v>
      </c>
      <c r="E2838" s="34" t="s">
        <v>1111</v>
      </c>
      <c r="F2838" s="36" t="str">
        <f>IFERROR(VLOOKUP(B2838,'985'!$B$2:$D$40,3,FALSE),"")</f>
        <v/>
      </c>
      <c r="G2838" s="32" t="str">
        <f>IFERROR(VLOOKUP(B2838,'211'!$B$2:$D$116,3,FALSE),"")</f>
        <v/>
      </c>
      <c r="H2838" s="32" t="str">
        <f>IFERROR(VLOOKUP(B2838,双一流!$B$2:$D$148,3,FALSE),"")</f>
        <v/>
      </c>
      <c r="I2838" s="32" t="str">
        <f>IFERROR(VLOOKUP(B2838,汇总!$B$2:$I$2921,8,FALSE),"")</f>
        <v>医药</v>
      </c>
      <c r="J2838" s="34" t="s">
        <v>1700</v>
      </c>
      <c r="K2838" s="34" t="s">
        <v>1252</v>
      </c>
    </row>
    <row r="2839" ht="33.75" spans="1:11">
      <c r="A2839" s="34">
        <v>2838</v>
      </c>
      <c r="B2839" s="29" t="s">
        <v>3223</v>
      </c>
      <c r="C2839" s="29" t="str">
        <f>VLOOKUP(B2839,教育部大学名单!$B$1:$D$2920,3,FALSE)</f>
        <v>陕西省教育厅</v>
      </c>
      <c r="D2839" s="29" t="s">
        <v>1106</v>
      </c>
      <c r="E2839" s="29" t="s">
        <v>1131</v>
      </c>
      <c r="F2839" s="36" t="str">
        <f>IFERROR(VLOOKUP(B2839,'985'!$B$2:$D$40,3,FALSE),"")</f>
        <v/>
      </c>
      <c r="G2839" s="32" t="str">
        <f>IFERROR(VLOOKUP(B2839,'211'!$B$2:$D$116,3,FALSE),"")</f>
        <v/>
      </c>
      <c r="H2839" s="32" t="str">
        <f>IFERROR(VLOOKUP(B2839,双一流!$B$2:$D$148,3,FALSE),"")</f>
        <v/>
      </c>
      <c r="I2839" s="32">
        <f>IFERROR(VLOOKUP(B2839,汇总!$B$2:$I$2921,8,FALSE),"")</f>
        <v>0</v>
      </c>
      <c r="J2839" s="29" t="s">
        <v>1700</v>
      </c>
      <c r="K2839" s="29" t="s">
        <v>1252</v>
      </c>
    </row>
    <row r="2840" ht="33.75" spans="1:11">
      <c r="A2840" s="29">
        <v>2839</v>
      </c>
      <c r="B2840" s="34" t="s">
        <v>3224</v>
      </c>
      <c r="C2840" s="29" t="str">
        <f>VLOOKUP(B2840,教育部大学名单!$B$1:$D$2920,3,FALSE)</f>
        <v>陕西省教育厅</v>
      </c>
      <c r="D2840" s="34" t="s">
        <v>1106</v>
      </c>
      <c r="E2840" s="34" t="s">
        <v>1142</v>
      </c>
      <c r="F2840" s="36" t="str">
        <f>IFERROR(VLOOKUP(B2840,'985'!$B$2:$D$40,3,FALSE),"")</f>
        <v/>
      </c>
      <c r="G2840" s="32" t="str">
        <f>IFERROR(VLOOKUP(B2840,'211'!$B$2:$D$116,3,FALSE),"")</f>
        <v/>
      </c>
      <c r="H2840" s="32" t="str">
        <f>IFERROR(VLOOKUP(B2840,双一流!$B$2:$D$148,3,FALSE),"")</f>
        <v/>
      </c>
      <c r="I2840" s="32">
        <f>IFERROR(VLOOKUP(B2840,汇总!$B$2:$I$2921,8,FALSE),"")</f>
        <v>0</v>
      </c>
      <c r="J2840" s="34" t="s">
        <v>1700</v>
      </c>
      <c r="K2840" s="34" t="s">
        <v>1252</v>
      </c>
    </row>
    <row r="2841" ht="33.75" spans="1:11">
      <c r="A2841" s="34">
        <v>2840</v>
      </c>
      <c r="B2841" s="29" t="s">
        <v>3225</v>
      </c>
      <c r="C2841" s="29" t="str">
        <f>VLOOKUP(B2841,教育部大学名单!$B$1:$D$2920,3,FALSE)</f>
        <v>陕西省教育厅</v>
      </c>
      <c r="D2841" s="29" t="s">
        <v>1106</v>
      </c>
      <c r="E2841" s="29" t="s">
        <v>1131</v>
      </c>
      <c r="F2841" s="36" t="str">
        <f>IFERROR(VLOOKUP(B2841,'985'!$B$2:$D$40,3,FALSE),"")</f>
        <v/>
      </c>
      <c r="G2841" s="32" t="str">
        <f>IFERROR(VLOOKUP(B2841,'211'!$B$2:$D$116,3,FALSE),"")</f>
        <v/>
      </c>
      <c r="H2841" s="32" t="str">
        <f>IFERROR(VLOOKUP(B2841,双一流!$B$2:$D$148,3,FALSE),"")</f>
        <v/>
      </c>
      <c r="I2841" s="32">
        <f>IFERROR(VLOOKUP(B2841,汇总!$B$2:$I$2921,8,FALSE),"")</f>
        <v>0</v>
      </c>
      <c r="J2841" s="29" t="s">
        <v>1700</v>
      </c>
      <c r="K2841" s="29" t="s">
        <v>1252</v>
      </c>
    </row>
    <row r="2842" ht="33.75" spans="1:11">
      <c r="A2842" s="29">
        <v>2841</v>
      </c>
      <c r="B2842" s="34" t="s">
        <v>3226</v>
      </c>
      <c r="C2842" s="29" t="str">
        <f>VLOOKUP(B2842,教育部大学名单!$B$1:$D$2920,3,FALSE)</f>
        <v>甘肃省教育厅</v>
      </c>
      <c r="D2842" s="34" t="s">
        <v>1156</v>
      </c>
      <c r="E2842" s="34" t="s">
        <v>1157</v>
      </c>
      <c r="F2842" s="36" t="str">
        <f>IFERROR(VLOOKUP(B2842,'985'!$B$2:$D$40,3,FALSE),"")</f>
        <v/>
      </c>
      <c r="G2842" s="32" t="str">
        <f>IFERROR(VLOOKUP(B2842,'211'!$B$2:$D$116,3,FALSE),"")</f>
        <v/>
      </c>
      <c r="H2842" s="32" t="str">
        <f>IFERROR(VLOOKUP(B2842,双一流!$B$2:$D$148,3,FALSE),"")</f>
        <v/>
      </c>
      <c r="I2842" s="32">
        <f>IFERROR(VLOOKUP(B2842,汇总!$B$2:$I$2921,8,FALSE),"")</f>
        <v>0</v>
      </c>
      <c r="J2842" s="34" t="s">
        <v>1700</v>
      </c>
      <c r="K2842" s="34" t="s">
        <v>1252</v>
      </c>
    </row>
    <row r="2843" ht="33.75" spans="1:11">
      <c r="A2843" s="34">
        <v>2842</v>
      </c>
      <c r="B2843" s="29" t="s">
        <v>3227</v>
      </c>
      <c r="C2843" s="29" t="str">
        <f>VLOOKUP(B2843,教育部大学名单!$B$1:$D$2920,3,FALSE)</f>
        <v>甘肃省教育厅</v>
      </c>
      <c r="D2843" s="29" t="s">
        <v>1156</v>
      </c>
      <c r="E2843" s="29" t="s">
        <v>1157</v>
      </c>
      <c r="F2843" s="36" t="str">
        <f>IFERROR(VLOOKUP(B2843,'985'!$B$2:$D$40,3,FALSE),"")</f>
        <v/>
      </c>
      <c r="G2843" s="32" t="str">
        <f>IFERROR(VLOOKUP(B2843,'211'!$B$2:$D$116,3,FALSE),"")</f>
        <v/>
      </c>
      <c r="H2843" s="32" t="str">
        <f>IFERROR(VLOOKUP(B2843,双一流!$B$2:$D$148,3,FALSE),"")</f>
        <v/>
      </c>
      <c r="I2843" s="32">
        <f>IFERROR(VLOOKUP(B2843,汇总!$B$2:$I$2921,8,FALSE),"")</f>
        <v>0</v>
      </c>
      <c r="J2843" s="29" t="s">
        <v>1700</v>
      </c>
      <c r="K2843" s="29" t="s">
        <v>1252</v>
      </c>
    </row>
    <row r="2844" ht="33.75" spans="1:11">
      <c r="A2844" s="29">
        <v>2843</v>
      </c>
      <c r="B2844" s="34" t="s">
        <v>3228</v>
      </c>
      <c r="C2844" s="29" t="str">
        <f>VLOOKUP(B2844,教育部大学名单!$B$1:$D$2920,3,FALSE)</f>
        <v>甘肃省教育厅</v>
      </c>
      <c r="D2844" s="34" t="s">
        <v>1156</v>
      </c>
      <c r="E2844" s="34" t="s">
        <v>2735</v>
      </c>
      <c r="F2844" s="36" t="str">
        <f>IFERROR(VLOOKUP(B2844,'985'!$B$2:$D$40,3,FALSE),"")</f>
        <v/>
      </c>
      <c r="G2844" s="32" t="str">
        <f>IFERROR(VLOOKUP(B2844,'211'!$B$2:$D$116,3,FALSE),"")</f>
        <v/>
      </c>
      <c r="H2844" s="32" t="str">
        <f>IFERROR(VLOOKUP(B2844,双一流!$B$2:$D$148,3,FALSE),"")</f>
        <v/>
      </c>
      <c r="I2844" s="32">
        <f>IFERROR(VLOOKUP(B2844,汇总!$B$2:$I$2921,8,FALSE),"")</f>
        <v>0</v>
      </c>
      <c r="J2844" s="34" t="s">
        <v>1700</v>
      </c>
      <c r="K2844" s="34" t="s">
        <v>1252</v>
      </c>
    </row>
    <row r="2845" ht="50.25" spans="1:11">
      <c r="A2845" s="34">
        <v>2844</v>
      </c>
      <c r="B2845" s="29" t="s">
        <v>3229</v>
      </c>
      <c r="C2845" s="29" t="str">
        <f>VLOOKUP(B2845,教育部大学名单!$B$1:$D$2920,3,FALSE)</f>
        <v>新疆维吾尔自治区教育厅</v>
      </c>
      <c r="D2845" s="29" t="s">
        <v>1206</v>
      </c>
      <c r="E2845" s="29" t="s">
        <v>1207</v>
      </c>
      <c r="F2845" s="36" t="str">
        <f>IFERROR(VLOOKUP(B2845,'985'!$B$2:$D$40,3,FALSE),"")</f>
        <v/>
      </c>
      <c r="G2845" s="32" t="str">
        <f>IFERROR(VLOOKUP(B2845,'211'!$B$2:$D$116,3,FALSE),"")</f>
        <v/>
      </c>
      <c r="H2845" s="32" t="str">
        <f>IFERROR(VLOOKUP(B2845,双一流!$B$2:$D$148,3,FALSE),"")</f>
        <v/>
      </c>
      <c r="I2845" s="32">
        <f>IFERROR(VLOOKUP(B2845,汇总!$B$2:$I$2921,8,FALSE),"")</f>
        <v>0</v>
      </c>
      <c r="J2845" s="29" t="s">
        <v>1700</v>
      </c>
      <c r="K2845" s="29" t="s">
        <v>1252</v>
      </c>
    </row>
    <row r="2846" ht="50.25" spans="1:11">
      <c r="A2846" s="29">
        <v>2845</v>
      </c>
      <c r="B2846" s="34" t="s">
        <v>3230</v>
      </c>
      <c r="C2846" s="29" t="str">
        <f>VLOOKUP(B2846,教育部大学名单!$B$1:$D$2920,3,FALSE)</f>
        <v>新疆维吾尔自治区教育厅</v>
      </c>
      <c r="D2846" s="34" t="s">
        <v>1206</v>
      </c>
      <c r="E2846" s="34" t="s">
        <v>1207</v>
      </c>
      <c r="F2846" s="36" t="str">
        <f>IFERROR(VLOOKUP(B2846,'985'!$B$2:$D$40,3,FALSE),"")</f>
        <v/>
      </c>
      <c r="G2846" s="32" t="str">
        <f>IFERROR(VLOOKUP(B2846,'211'!$B$2:$D$116,3,FALSE),"")</f>
        <v/>
      </c>
      <c r="H2846" s="32" t="str">
        <f>IFERROR(VLOOKUP(B2846,双一流!$B$2:$D$148,3,FALSE),"")</f>
        <v/>
      </c>
      <c r="I2846" s="32">
        <f>IFERROR(VLOOKUP(B2846,汇总!$B$2:$I$2921,8,FALSE),"")</f>
        <v>0</v>
      </c>
      <c r="J2846" s="34" t="s">
        <v>1700</v>
      </c>
      <c r="K2846" s="34" t="s">
        <v>1252</v>
      </c>
    </row>
    <row r="2847" ht="50.25" spans="1:11">
      <c r="A2847" s="34">
        <v>2846</v>
      </c>
      <c r="B2847" s="29" t="s">
        <v>3231</v>
      </c>
      <c r="C2847" s="29" t="str">
        <f>VLOOKUP(B2847,教育部大学名单!$B$1:$D$2920,3,FALSE)</f>
        <v>新疆维吾尔自治区教育厅</v>
      </c>
      <c r="D2847" s="29" t="s">
        <v>1206</v>
      </c>
      <c r="E2847" s="29" t="s">
        <v>3232</v>
      </c>
      <c r="F2847" s="36" t="str">
        <f>IFERROR(VLOOKUP(B2847,'985'!$B$2:$D$40,3,FALSE),"")</f>
        <v/>
      </c>
      <c r="G2847" s="32" t="str">
        <f>IFERROR(VLOOKUP(B2847,'211'!$B$2:$D$116,3,FALSE),"")</f>
        <v/>
      </c>
      <c r="H2847" s="32" t="str">
        <f>IFERROR(VLOOKUP(B2847,双一流!$B$2:$D$148,3,FALSE),"")</f>
        <v/>
      </c>
      <c r="I2847" s="32">
        <f>IFERROR(VLOOKUP(B2847,汇总!$B$2:$I$2921,8,FALSE),"")</f>
        <v>0</v>
      </c>
      <c r="J2847" s="29" t="s">
        <v>1700</v>
      </c>
      <c r="K2847" s="29" t="s">
        <v>1252</v>
      </c>
    </row>
    <row r="2848" ht="50.25" spans="1:11">
      <c r="A2848" s="29">
        <v>2847</v>
      </c>
      <c r="B2848" s="34" t="s">
        <v>3233</v>
      </c>
      <c r="C2848" s="29" t="str">
        <f>VLOOKUP(B2848,教育部大学名单!$B$1:$D$2920,3,FALSE)</f>
        <v>新疆维吾尔自治区教育厅</v>
      </c>
      <c r="D2848" s="34" t="s">
        <v>1206</v>
      </c>
      <c r="E2848" s="34" t="s">
        <v>1207</v>
      </c>
      <c r="F2848" s="36" t="str">
        <f>IFERROR(VLOOKUP(B2848,'985'!$B$2:$D$40,3,FALSE),"")</f>
        <v/>
      </c>
      <c r="G2848" s="32" t="str">
        <f>IFERROR(VLOOKUP(B2848,'211'!$B$2:$D$116,3,FALSE),"")</f>
        <v/>
      </c>
      <c r="H2848" s="32" t="str">
        <f>IFERROR(VLOOKUP(B2848,双一流!$B$2:$D$148,3,FALSE),"")</f>
        <v/>
      </c>
      <c r="I2848" s="32">
        <f>IFERROR(VLOOKUP(B2848,汇总!$B$2:$I$2921,8,FALSE),"")</f>
        <v>0</v>
      </c>
      <c r="J2848" s="34" t="s">
        <v>1700</v>
      </c>
      <c r="K2848" s="34" t="s">
        <v>1252</v>
      </c>
    </row>
    <row r="2849" ht="33.75" spans="1:11">
      <c r="A2849" s="34">
        <v>2848</v>
      </c>
      <c r="B2849" s="29" t="s">
        <v>3234</v>
      </c>
      <c r="C2849" s="29" t="str">
        <f>VLOOKUP(B2849,教育部大学名单!$B$1:$D$2920,3,FALSE)</f>
        <v>河南省教育厅</v>
      </c>
      <c r="D2849" s="29" t="s">
        <v>692</v>
      </c>
      <c r="E2849" s="29" t="s">
        <v>696</v>
      </c>
      <c r="F2849" s="36" t="str">
        <f>IFERROR(VLOOKUP(B2849,'985'!$B$2:$D$40,3,FALSE),"")</f>
        <v/>
      </c>
      <c r="G2849" s="32" t="str">
        <f>IFERROR(VLOOKUP(B2849,'211'!$B$2:$D$116,3,FALSE),"")</f>
        <v/>
      </c>
      <c r="H2849" s="32" t="str">
        <f>IFERROR(VLOOKUP(B2849,双一流!$B$2:$D$148,3,FALSE),"")</f>
        <v/>
      </c>
      <c r="I2849" s="32">
        <f>IFERROR(VLOOKUP(B2849,汇总!$B$2:$I$2921,8,FALSE),"")</f>
        <v>0</v>
      </c>
      <c r="J2849" s="29" t="s">
        <v>1700</v>
      </c>
      <c r="K2849" s="29" t="s">
        <v>1252</v>
      </c>
    </row>
    <row r="2850" ht="33.75" spans="1:11">
      <c r="A2850" s="29">
        <v>2849</v>
      </c>
      <c r="B2850" s="34" t="s">
        <v>3235</v>
      </c>
      <c r="C2850" s="29" t="str">
        <f>VLOOKUP(B2850,教育部大学名单!$B$1:$D$2920,3,FALSE)</f>
        <v>河南省教育厅</v>
      </c>
      <c r="D2850" s="34" t="s">
        <v>692</v>
      </c>
      <c r="E2850" s="34" t="s">
        <v>709</v>
      </c>
      <c r="F2850" s="36" t="str">
        <f>IFERROR(VLOOKUP(B2850,'985'!$B$2:$D$40,3,FALSE),"")</f>
        <v/>
      </c>
      <c r="G2850" s="32" t="str">
        <f>IFERROR(VLOOKUP(B2850,'211'!$B$2:$D$116,3,FALSE),"")</f>
        <v/>
      </c>
      <c r="H2850" s="32" t="str">
        <f>IFERROR(VLOOKUP(B2850,双一流!$B$2:$D$148,3,FALSE),"")</f>
        <v/>
      </c>
      <c r="I2850" s="32">
        <f>IFERROR(VLOOKUP(B2850,汇总!$B$2:$I$2921,8,FALSE),"")</f>
        <v>0</v>
      </c>
      <c r="J2850" s="34" t="s">
        <v>1700</v>
      </c>
      <c r="K2850" s="34" t="s">
        <v>1252</v>
      </c>
    </row>
    <row r="2851" ht="33.75" spans="1:11">
      <c r="A2851" s="34">
        <v>2850</v>
      </c>
      <c r="B2851" s="29" t="s">
        <v>3236</v>
      </c>
      <c r="C2851" s="29" t="str">
        <f>VLOOKUP(B2851,教育部大学名单!$B$1:$D$2920,3,FALSE)</f>
        <v>河南省教育厅</v>
      </c>
      <c r="D2851" s="29" t="s">
        <v>692</v>
      </c>
      <c r="E2851" s="29" t="s">
        <v>700</v>
      </c>
      <c r="F2851" s="36" t="str">
        <f>IFERROR(VLOOKUP(B2851,'985'!$B$2:$D$40,3,FALSE),"")</f>
        <v/>
      </c>
      <c r="G2851" s="32" t="str">
        <f>IFERROR(VLOOKUP(B2851,'211'!$B$2:$D$116,3,FALSE),"")</f>
        <v/>
      </c>
      <c r="H2851" s="32" t="str">
        <f>IFERROR(VLOOKUP(B2851,双一流!$B$2:$D$148,3,FALSE),"")</f>
        <v/>
      </c>
      <c r="I2851" s="32">
        <f>IFERROR(VLOOKUP(B2851,汇总!$B$2:$I$2921,8,FALSE),"")</f>
        <v>0</v>
      </c>
      <c r="J2851" s="29" t="s">
        <v>1700</v>
      </c>
      <c r="K2851" s="29" t="s">
        <v>1252</v>
      </c>
    </row>
    <row r="2852" ht="33.75" spans="1:11">
      <c r="A2852" s="29">
        <v>2851</v>
      </c>
      <c r="B2852" s="34" t="s">
        <v>3237</v>
      </c>
      <c r="C2852" s="29" t="str">
        <f>VLOOKUP(B2852,教育部大学名单!$B$1:$D$2920,3,FALSE)</f>
        <v>河南省教育厅</v>
      </c>
      <c r="D2852" s="34" t="s">
        <v>692</v>
      </c>
      <c r="E2852" s="34" t="s">
        <v>693</v>
      </c>
      <c r="F2852" s="36" t="str">
        <f>IFERROR(VLOOKUP(B2852,'985'!$B$2:$D$40,3,FALSE),"")</f>
        <v/>
      </c>
      <c r="G2852" s="32" t="str">
        <f>IFERROR(VLOOKUP(B2852,'211'!$B$2:$D$116,3,FALSE),"")</f>
        <v/>
      </c>
      <c r="H2852" s="32" t="str">
        <f>IFERROR(VLOOKUP(B2852,双一流!$B$2:$D$148,3,FALSE),"")</f>
        <v/>
      </c>
      <c r="I2852" s="32">
        <f>IFERROR(VLOOKUP(B2852,汇总!$B$2:$I$2921,8,FALSE),"")</f>
        <v>0</v>
      </c>
      <c r="J2852" s="34" t="s">
        <v>1700</v>
      </c>
      <c r="K2852" s="34" t="s">
        <v>1252</v>
      </c>
    </row>
    <row r="2853" ht="33.75" spans="1:11">
      <c r="A2853" s="34">
        <v>2852</v>
      </c>
      <c r="B2853" s="29" t="s">
        <v>3238</v>
      </c>
      <c r="C2853" s="29" t="str">
        <f>VLOOKUP(B2853,教育部大学名单!$B$1:$D$2920,3,FALSE)</f>
        <v>河南省教育厅</v>
      </c>
      <c r="D2853" s="29" t="s">
        <v>692</v>
      </c>
      <c r="E2853" s="29" t="s">
        <v>693</v>
      </c>
      <c r="F2853" s="36" t="str">
        <f>IFERROR(VLOOKUP(B2853,'985'!$B$2:$D$40,3,FALSE),"")</f>
        <v/>
      </c>
      <c r="G2853" s="32" t="str">
        <f>IFERROR(VLOOKUP(B2853,'211'!$B$2:$D$116,3,FALSE),"")</f>
        <v/>
      </c>
      <c r="H2853" s="32" t="str">
        <f>IFERROR(VLOOKUP(B2853,双一流!$B$2:$D$148,3,FALSE),"")</f>
        <v/>
      </c>
      <c r="I2853" s="32">
        <f>IFERROR(VLOOKUP(B2853,汇总!$B$2:$I$2921,8,FALSE),"")</f>
        <v>0</v>
      </c>
      <c r="J2853" s="29" t="s">
        <v>1700</v>
      </c>
      <c r="K2853" s="29" t="s">
        <v>1252</v>
      </c>
    </row>
    <row r="2854" ht="33.75" spans="1:11">
      <c r="A2854" s="29">
        <v>2853</v>
      </c>
      <c r="B2854" s="34" t="s">
        <v>3239</v>
      </c>
      <c r="C2854" s="29" t="str">
        <f>VLOOKUP(B2854,教育部大学名单!$B$1:$D$2920,3,FALSE)</f>
        <v>河北省教育厅</v>
      </c>
      <c r="D2854" s="34" t="s">
        <v>98</v>
      </c>
      <c r="E2854" s="34" t="s">
        <v>111</v>
      </c>
      <c r="F2854" s="36" t="str">
        <f>IFERROR(VLOOKUP(B2854,'985'!$B$2:$D$40,3,FALSE),"")</f>
        <v/>
      </c>
      <c r="G2854" s="32" t="str">
        <f>IFERROR(VLOOKUP(B2854,'211'!$B$2:$D$116,3,FALSE),"")</f>
        <v/>
      </c>
      <c r="H2854" s="32" t="str">
        <f>IFERROR(VLOOKUP(B2854,双一流!$B$2:$D$148,3,FALSE),"")</f>
        <v/>
      </c>
      <c r="I2854" s="32">
        <f>IFERROR(VLOOKUP(B2854,汇总!$B$2:$I$2921,8,FALSE),"")</f>
        <v>0</v>
      </c>
      <c r="J2854" s="34" t="s">
        <v>1700</v>
      </c>
      <c r="K2854" s="34" t="s">
        <v>1252</v>
      </c>
    </row>
    <row r="2855" ht="33.75" spans="1:11">
      <c r="A2855" s="34">
        <v>2854</v>
      </c>
      <c r="B2855" s="29" t="s">
        <v>3240</v>
      </c>
      <c r="C2855" s="29" t="str">
        <f>VLOOKUP(B2855,教育部大学名单!$B$1:$D$2920,3,FALSE)</f>
        <v>河北省教育厅</v>
      </c>
      <c r="D2855" s="29" t="s">
        <v>98</v>
      </c>
      <c r="E2855" s="29" t="s">
        <v>101</v>
      </c>
      <c r="F2855" s="36" t="str">
        <f>IFERROR(VLOOKUP(B2855,'985'!$B$2:$D$40,3,FALSE),"")</f>
        <v/>
      </c>
      <c r="G2855" s="32" t="str">
        <f>IFERROR(VLOOKUP(B2855,'211'!$B$2:$D$116,3,FALSE),"")</f>
        <v/>
      </c>
      <c r="H2855" s="32" t="str">
        <f>IFERROR(VLOOKUP(B2855,双一流!$B$2:$D$148,3,FALSE),"")</f>
        <v/>
      </c>
      <c r="I2855" s="32">
        <f>IFERROR(VLOOKUP(B2855,汇总!$B$2:$I$2921,8,FALSE),"")</f>
        <v>0</v>
      </c>
      <c r="J2855" s="29" t="s">
        <v>1700</v>
      </c>
      <c r="K2855" s="29" t="s">
        <v>1252</v>
      </c>
    </row>
    <row r="2856" ht="33.75" spans="1:11">
      <c r="A2856" s="29">
        <v>2855</v>
      </c>
      <c r="B2856" s="34" t="s">
        <v>3241</v>
      </c>
      <c r="C2856" s="29" t="str">
        <f>VLOOKUP(B2856,教育部大学名单!$B$1:$D$2920,3,FALSE)</f>
        <v>广东省教育厅</v>
      </c>
      <c r="D2856" s="34" t="s">
        <v>844</v>
      </c>
      <c r="E2856" s="34" t="s">
        <v>1569</v>
      </c>
      <c r="F2856" s="36" t="str">
        <f>IFERROR(VLOOKUP(B2856,'985'!$B$2:$D$40,3,FALSE),"")</f>
        <v/>
      </c>
      <c r="G2856" s="32" t="str">
        <f>IFERROR(VLOOKUP(B2856,'211'!$B$2:$D$116,3,FALSE),"")</f>
        <v/>
      </c>
      <c r="H2856" s="32" t="str">
        <f>IFERROR(VLOOKUP(B2856,双一流!$B$2:$D$148,3,FALSE),"")</f>
        <v/>
      </c>
      <c r="I2856" s="32">
        <f>IFERROR(VLOOKUP(B2856,汇总!$B$2:$I$2921,8,FALSE),"")</f>
        <v>0</v>
      </c>
      <c r="J2856" s="34" t="s">
        <v>1700</v>
      </c>
      <c r="K2856" s="34" t="s">
        <v>1252</v>
      </c>
    </row>
    <row r="2857" ht="33.75" spans="1:11">
      <c r="A2857" s="34">
        <v>2856</v>
      </c>
      <c r="B2857" s="29" t="s">
        <v>3242</v>
      </c>
      <c r="C2857" s="29" t="str">
        <f>VLOOKUP(B2857,教育部大学名单!$B$1:$D$2920,3,FALSE)</f>
        <v>贵州省教育厅</v>
      </c>
      <c r="D2857" s="29" t="s">
        <v>1026</v>
      </c>
      <c r="E2857" s="29" t="s">
        <v>1035</v>
      </c>
      <c r="F2857" s="36" t="str">
        <f>IFERROR(VLOOKUP(B2857,'985'!$B$2:$D$40,3,FALSE),"")</f>
        <v/>
      </c>
      <c r="G2857" s="32" t="str">
        <f>IFERROR(VLOOKUP(B2857,'211'!$B$2:$D$116,3,FALSE),"")</f>
        <v/>
      </c>
      <c r="H2857" s="32" t="str">
        <f>IFERROR(VLOOKUP(B2857,双一流!$B$2:$D$148,3,FALSE),"")</f>
        <v/>
      </c>
      <c r="I2857" s="32">
        <f>IFERROR(VLOOKUP(B2857,汇总!$B$2:$I$2921,8,FALSE),"")</f>
        <v>0</v>
      </c>
      <c r="J2857" s="29" t="s">
        <v>1700</v>
      </c>
      <c r="K2857" s="29" t="s">
        <v>1252</v>
      </c>
    </row>
    <row r="2858" ht="33.75" spans="1:11">
      <c r="A2858" s="29">
        <v>2857</v>
      </c>
      <c r="B2858" s="34" t="s">
        <v>3243</v>
      </c>
      <c r="C2858" s="29" t="str">
        <f>VLOOKUP(B2858,教育部大学名单!$B$1:$D$2920,3,FALSE)</f>
        <v>山东省教育厅</v>
      </c>
      <c r="D2858" s="34" t="s">
        <v>628</v>
      </c>
      <c r="E2858" s="34" t="s">
        <v>645</v>
      </c>
      <c r="F2858" s="36" t="str">
        <f>IFERROR(VLOOKUP(B2858,'985'!$B$2:$D$40,3,FALSE),"")</f>
        <v/>
      </c>
      <c r="G2858" s="32" t="str">
        <f>IFERROR(VLOOKUP(B2858,'211'!$B$2:$D$116,3,FALSE),"")</f>
        <v/>
      </c>
      <c r="H2858" s="32" t="str">
        <f>IFERROR(VLOOKUP(B2858,双一流!$B$2:$D$148,3,FALSE),"")</f>
        <v/>
      </c>
      <c r="I2858" s="32">
        <f>IFERROR(VLOOKUP(B2858,汇总!$B$2:$I$2921,8,FALSE),"")</f>
        <v>0</v>
      </c>
      <c r="J2858" s="34" t="s">
        <v>1700</v>
      </c>
      <c r="K2858" s="34" t="s">
        <v>1252</v>
      </c>
    </row>
    <row r="2859" ht="33.75" spans="1:11">
      <c r="A2859" s="34">
        <v>2858</v>
      </c>
      <c r="B2859" s="29" t="s">
        <v>3244</v>
      </c>
      <c r="C2859" s="29" t="str">
        <f>VLOOKUP(B2859,教育部大学名单!$B$1:$D$2920,3,FALSE)</f>
        <v>山东省教育厅</v>
      </c>
      <c r="D2859" s="29" t="s">
        <v>628</v>
      </c>
      <c r="E2859" s="29" t="s">
        <v>660</v>
      </c>
      <c r="F2859" s="36" t="str">
        <f>IFERROR(VLOOKUP(B2859,'985'!$B$2:$D$40,3,FALSE),"")</f>
        <v/>
      </c>
      <c r="G2859" s="32" t="str">
        <f>IFERROR(VLOOKUP(B2859,'211'!$B$2:$D$116,3,FALSE),"")</f>
        <v/>
      </c>
      <c r="H2859" s="32" t="str">
        <f>IFERROR(VLOOKUP(B2859,双一流!$B$2:$D$148,3,FALSE),"")</f>
        <v/>
      </c>
      <c r="I2859" s="32">
        <f>IFERROR(VLOOKUP(B2859,汇总!$B$2:$I$2921,8,FALSE),"")</f>
        <v>0</v>
      </c>
      <c r="J2859" s="29" t="s">
        <v>1700</v>
      </c>
      <c r="K2859" s="29" t="s">
        <v>1252</v>
      </c>
    </row>
    <row r="2860" ht="33.75" spans="1:11">
      <c r="A2860" s="29">
        <v>2859</v>
      </c>
      <c r="B2860" s="34" t="s">
        <v>3245</v>
      </c>
      <c r="C2860" s="29" t="str">
        <f>VLOOKUP(B2860,教育部大学名单!$B$1:$D$2920,3,FALSE)</f>
        <v>河南省教育厅</v>
      </c>
      <c r="D2860" s="34" t="s">
        <v>692</v>
      </c>
      <c r="E2860" s="34" t="s">
        <v>693</v>
      </c>
      <c r="F2860" s="36" t="str">
        <f>IFERROR(VLOOKUP(B2860,'985'!$B$2:$D$40,3,FALSE),"")</f>
        <v/>
      </c>
      <c r="G2860" s="32" t="str">
        <f>IFERROR(VLOOKUP(B2860,'211'!$B$2:$D$116,3,FALSE),"")</f>
        <v/>
      </c>
      <c r="H2860" s="32" t="str">
        <f>IFERROR(VLOOKUP(B2860,双一流!$B$2:$D$148,3,FALSE),"")</f>
        <v/>
      </c>
      <c r="I2860" s="32">
        <f>IFERROR(VLOOKUP(B2860,汇总!$B$2:$I$2921,8,FALSE),"")</f>
        <v>0</v>
      </c>
      <c r="J2860" s="34" t="s">
        <v>1700</v>
      </c>
      <c r="K2860" s="34" t="s">
        <v>1252</v>
      </c>
    </row>
    <row r="2861" ht="33.75" spans="1:11">
      <c r="A2861" s="34">
        <v>2860</v>
      </c>
      <c r="B2861" s="29" t="s">
        <v>3246</v>
      </c>
      <c r="C2861" s="29" t="str">
        <f>VLOOKUP(B2861,教育部大学名单!$B$1:$D$2920,3,FALSE)</f>
        <v>河南省教育厅</v>
      </c>
      <c r="D2861" s="29" t="s">
        <v>692</v>
      </c>
      <c r="E2861" s="29" t="s">
        <v>693</v>
      </c>
      <c r="F2861" s="36" t="str">
        <f>IFERROR(VLOOKUP(B2861,'985'!$B$2:$D$40,3,FALSE),"")</f>
        <v/>
      </c>
      <c r="G2861" s="32" t="str">
        <f>IFERROR(VLOOKUP(B2861,'211'!$B$2:$D$116,3,FALSE),"")</f>
        <v/>
      </c>
      <c r="H2861" s="32" t="str">
        <f>IFERROR(VLOOKUP(B2861,双一流!$B$2:$D$148,3,FALSE),"")</f>
        <v/>
      </c>
      <c r="I2861" s="32">
        <f>IFERROR(VLOOKUP(B2861,汇总!$B$2:$I$2921,8,FALSE),"")</f>
        <v>0</v>
      </c>
      <c r="J2861" s="29" t="s">
        <v>1700</v>
      </c>
      <c r="K2861" s="29" t="s">
        <v>1252</v>
      </c>
    </row>
    <row r="2862" ht="33.75" spans="1:11">
      <c r="A2862" s="29">
        <v>2861</v>
      </c>
      <c r="B2862" s="34" t="s">
        <v>3247</v>
      </c>
      <c r="C2862" s="29" t="str">
        <f>VLOOKUP(B2862,教育部大学名单!$B$1:$D$2920,3,FALSE)</f>
        <v>湖南省教育厅</v>
      </c>
      <c r="D2862" s="34" t="s">
        <v>797</v>
      </c>
      <c r="E2862" s="34" t="s">
        <v>802</v>
      </c>
      <c r="F2862" s="36" t="str">
        <f>IFERROR(VLOOKUP(B2862,'985'!$B$2:$D$40,3,FALSE),"")</f>
        <v/>
      </c>
      <c r="G2862" s="32" t="str">
        <f>IFERROR(VLOOKUP(B2862,'211'!$B$2:$D$116,3,FALSE),"")</f>
        <v/>
      </c>
      <c r="H2862" s="32" t="str">
        <f>IFERROR(VLOOKUP(B2862,双一流!$B$2:$D$148,3,FALSE),"")</f>
        <v/>
      </c>
      <c r="I2862" s="32">
        <f>IFERROR(VLOOKUP(B2862,汇总!$B$2:$I$2921,8,FALSE),"")</f>
        <v>0</v>
      </c>
      <c r="J2862" s="34" t="s">
        <v>1700</v>
      </c>
      <c r="K2862" s="34" t="s">
        <v>1252</v>
      </c>
    </row>
    <row r="2863" ht="33.75" spans="1:11">
      <c r="A2863" s="34">
        <v>2862</v>
      </c>
      <c r="B2863" s="29" t="s">
        <v>3248</v>
      </c>
      <c r="C2863" s="29" t="str">
        <f>VLOOKUP(B2863,教育部大学名单!$B$1:$D$2920,3,FALSE)</f>
        <v>湖南省教育厅</v>
      </c>
      <c r="D2863" s="29" t="s">
        <v>797</v>
      </c>
      <c r="E2863" s="29" t="s">
        <v>802</v>
      </c>
      <c r="F2863" s="36" t="str">
        <f>IFERROR(VLOOKUP(B2863,'985'!$B$2:$D$40,3,FALSE),"")</f>
        <v/>
      </c>
      <c r="G2863" s="32" t="str">
        <f>IFERROR(VLOOKUP(B2863,'211'!$B$2:$D$116,3,FALSE),"")</f>
        <v/>
      </c>
      <c r="H2863" s="32" t="str">
        <f>IFERROR(VLOOKUP(B2863,双一流!$B$2:$D$148,3,FALSE),"")</f>
        <v/>
      </c>
      <c r="I2863" s="32">
        <f>IFERROR(VLOOKUP(B2863,汇总!$B$2:$I$2921,8,FALSE),"")</f>
        <v>0</v>
      </c>
      <c r="J2863" s="29" t="s">
        <v>1700</v>
      </c>
      <c r="K2863" s="29" t="s">
        <v>1252</v>
      </c>
    </row>
    <row r="2864" ht="33.75" spans="1:11">
      <c r="A2864" s="29">
        <v>2863</v>
      </c>
      <c r="B2864" s="34" t="s">
        <v>3249</v>
      </c>
      <c r="C2864" s="29" t="str">
        <f>VLOOKUP(B2864,教育部大学名单!$B$1:$D$2920,3,FALSE)</f>
        <v>湖南省教育厅</v>
      </c>
      <c r="D2864" s="34" t="s">
        <v>797</v>
      </c>
      <c r="E2864" s="34" t="s">
        <v>811</v>
      </c>
      <c r="F2864" s="36" t="str">
        <f>IFERROR(VLOOKUP(B2864,'985'!$B$2:$D$40,3,FALSE),"")</f>
        <v/>
      </c>
      <c r="G2864" s="32" t="str">
        <f>IFERROR(VLOOKUP(B2864,'211'!$B$2:$D$116,3,FALSE),"")</f>
        <v/>
      </c>
      <c r="H2864" s="32" t="str">
        <f>IFERROR(VLOOKUP(B2864,双一流!$B$2:$D$148,3,FALSE),"")</f>
        <v/>
      </c>
      <c r="I2864" s="32">
        <f>IFERROR(VLOOKUP(B2864,汇总!$B$2:$I$2921,8,FALSE),"")</f>
        <v>0</v>
      </c>
      <c r="J2864" s="34" t="s">
        <v>1700</v>
      </c>
      <c r="K2864" s="34" t="s">
        <v>1252</v>
      </c>
    </row>
    <row r="2865" ht="33.75" spans="1:11">
      <c r="A2865" s="34">
        <v>2864</v>
      </c>
      <c r="B2865" s="29" t="s">
        <v>3250</v>
      </c>
      <c r="C2865" s="29" t="str">
        <f>VLOOKUP(B2865,教育部大学名单!$B$1:$D$2920,3,FALSE)</f>
        <v>湖南省教育厅</v>
      </c>
      <c r="D2865" s="29" t="s">
        <v>797</v>
      </c>
      <c r="E2865" s="29" t="s">
        <v>813</v>
      </c>
      <c r="F2865" s="36" t="str">
        <f>IFERROR(VLOOKUP(B2865,'985'!$B$2:$D$40,3,FALSE),"")</f>
        <v/>
      </c>
      <c r="G2865" s="32" t="str">
        <f>IFERROR(VLOOKUP(B2865,'211'!$B$2:$D$116,3,FALSE),"")</f>
        <v/>
      </c>
      <c r="H2865" s="32" t="str">
        <f>IFERROR(VLOOKUP(B2865,双一流!$B$2:$D$148,3,FALSE),"")</f>
        <v/>
      </c>
      <c r="I2865" s="32">
        <f>IFERROR(VLOOKUP(B2865,汇总!$B$2:$I$2921,8,FALSE),"")</f>
        <v>0</v>
      </c>
      <c r="J2865" s="29" t="s">
        <v>1700</v>
      </c>
      <c r="K2865" s="29" t="s">
        <v>1252</v>
      </c>
    </row>
    <row r="2866" ht="33.75" spans="1:11">
      <c r="A2866" s="29">
        <v>2865</v>
      </c>
      <c r="B2866" s="34" t="s">
        <v>3251</v>
      </c>
      <c r="C2866" s="29" t="str">
        <f>VLOOKUP(B2866,教育部大学名单!$B$1:$D$2920,3,FALSE)</f>
        <v>湖南省教育厅</v>
      </c>
      <c r="D2866" s="34" t="s">
        <v>797</v>
      </c>
      <c r="E2866" s="34" t="s">
        <v>815</v>
      </c>
      <c r="F2866" s="36" t="str">
        <f>IFERROR(VLOOKUP(B2866,'985'!$B$2:$D$40,3,FALSE),"")</f>
        <v/>
      </c>
      <c r="G2866" s="32" t="str">
        <f>IFERROR(VLOOKUP(B2866,'211'!$B$2:$D$116,3,FALSE),"")</f>
        <v/>
      </c>
      <c r="H2866" s="32" t="str">
        <f>IFERROR(VLOOKUP(B2866,双一流!$B$2:$D$148,3,FALSE),"")</f>
        <v/>
      </c>
      <c r="I2866" s="32">
        <f>IFERROR(VLOOKUP(B2866,汇总!$B$2:$I$2921,8,FALSE),"")</f>
        <v>0</v>
      </c>
      <c r="J2866" s="34" t="s">
        <v>1700</v>
      </c>
      <c r="K2866" s="34" t="s">
        <v>1252</v>
      </c>
    </row>
    <row r="2867" ht="33.75" spans="1:11">
      <c r="A2867" s="34">
        <v>2866</v>
      </c>
      <c r="B2867" s="29" t="s">
        <v>3252</v>
      </c>
      <c r="C2867" s="29" t="str">
        <f>VLOOKUP(B2867,教育部大学名单!$B$1:$D$2920,3,FALSE)</f>
        <v>广西壮族自治区教育厅</v>
      </c>
      <c r="D2867" s="29" t="s">
        <v>902</v>
      </c>
      <c r="E2867" s="29" t="s">
        <v>907</v>
      </c>
      <c r="F2867" s="36" t="str">
        <f>IFERROR(VLOOKUP(B2867,'985'!$B$2:$D$40,3,FALSE),"")</f>
        <v/>
      </c>
      <c r="G2867" s="32" t="str">
        <f>IFERROR(VLOOKUP(B2867,'211'!$B$2:$D$116,3,FALSE),"")</f>
        <v/>
      </c>
      <c r="H2867" s="32" t="str">
        <f>IFERROR(VLOOKUP(B2867,双一流!$B$2:$D$148,3,FALSE),"")</f>
        <v/>
      </c>
      <c r="I2867" s="32">
        <f>IFERROR(VLOOKUP(B2867,汇总!$B$2:$I$2921,8,FALSE),"")</f>
        <v>0</v>
      </c>
      <c r="J2867" s="29" t="s">
        <v>1700</v>
      </c>
      <c r="K2867" s="29" t="s">
        <v>1252</v>
      </c>
    </row>
    <row r="2868" ht="33.75" spans="1:11">
      <c r="A2868" s="29">
        <v>2867</v>
      </c>
      <c r="B2868" s="34" t="s">
        <v>3253</v>
      </c>
      <c r="C2868" s="29" t="str">
        <f>VLOOKUP(B2868,教育部大学名单!$B$1:$D$2920,3,FALSE)</f>
        <v>四川省教育厅</v>
      </c>
      <c r="D2868" s="34" t="s">
        <v>971</v>
      </c>
      <c r="E2868" s="34" t="s">
        <v>2594</v>
      </c>
      <c r="F2868" s="36" t="str">
        <f>IFERROR(VLOOKUP(B2868,'985'!$B$2:$D$40,3,FALSE),"")</f>
        <v/>
      </c>
      <c r="G2868" s="32" t="str">
        <f>IFERROR(VLOOKUP(B2868,'211'!$B$2:$D$116,3,FALSE),"")</f>
        <v/>
      </c>
      <c r="H2868" s="32" t="str">
        <f>IFERROR(VLOOKUP(B2868,双一流!$B$2:$D$148,3,FALSE),"")</f>
        <v/>
      </c>
      <c r="I2868" s="32">
        <f>IFERROR(VLOOKUP(B2868,汇总!$B$2:$I$2921,8,FALSE),"")</f>
        <v>0</v>
      </c>
      <c r="J2868" s="34" t="s">
        <v>1700</v>
      </c>
      <c r="K2868" s="34" t="s">
        <v>1252</v>
      </c>
    </row>
    <row r="2869" ht="33.75" spans="1:11">
      <c r="A2869" s="34">
        <v>2868</v>
      </c>
      <c r="B2869" s="29" t="s">
        <v>3254</v>
      </c>
      <c r="C2869" s="29" t="str">
        <f>VLOOKUP(B2869,教育部大学名单!$B$1:$D$2920,3,FALSE)</f>
        <v>四川省教育厅</v>
      </c>
      <c r="D2869" s="29" t="s">
        <v>971</v>
      </c>
      <c r="E2869" s="29" t="s">
        <v>2594</v>
      </c>
      <c r="F2869" s="36" t="str">
        <f>IFERROR(VLOOKUP(B2869,'985'!$B$2:$D$40,3,FALSE),"")</f>
        <v/>
      </c>
      <c r="G2869" s="32" t="str">
        <f>IFERROR(VLOOKUP(B2869,'211'!$B$2:$D$116,3,FALSE),"")</f>
        <v/>
      </c>
      <c r="H2869" s="32" t="str">
        <f>IFERROR(VLOOKUP(B2869,双一流!$B$2:$D$148,3,FALSE),"")</f>
        <v/>
      </c>
      <c r="I2869" s="32">
        <f>IFERROR(VLOOKUP(B2869,汇总!$B$2:$I$2921,8,FALSE),"")</f>
        <v>0</v>
      </c>
      <c r="J2869" s="29" t="s">
        <v>1700</v>
      </c>
      <c r="K2869" s="29" t="s">
        <v>1252</v>
      </c>
    </row>
    <row r="2870" ht="33.75" spans="1:11">
      <c r="A2870" s="29">
        <v>2869</v>
      </c>
      <c r="B2870" s="34" t="s">
        <v>3255</v>
      </c>
      <c r="C2870" s="29" t="str">
        <f>VLOOKUP(B2870,教育部大学名单!$B$1:$D$2920,3,FALSE)</f>
        <v>四川省教育厅</v>
      </c>
      <c r="D2870" s="34" t="s">
        <v>971</v>
      </c>
      <c r="E2870" s="34" t="s">
        <v>2594</v>
      </c>
      <c r="F2870" s="36" t="str">
        <f>IFERROR(VLOOKUP(B2870,'985'!$B$2:$D$40,3,FALSE),"")</f>
        <v/>
      </c>
      <c r="G2870" s="32" t="str">
        <f>IFERROR(VLOOKUP(B2870,'211'!$B$2:$D$116,3,FALSE),"")</f>
        <v/>
      </c>
      <c r="H2870" s="32" t="str">
        <f>IFERROR(VLOOKUP(B2870,双一流!$B$2:$D$148,3,FALSE),"")</f>
        <v/>
      </c>
      <c r="I2870" s="32">
        <f>IFERROR(VLOOKUP(B2870,汇总!$B$2:$I$2921,8,FALSE),"")</f>
        <v>0</v>
      </c>
      <c r="J2870" s="34" t="s">
        <v>1700</v>
      </c>
      <c r="K2870" s="34" t="s">
        <v>1252</v>
      </c>
    </row>
    <row r="2871" ht="33.75" spans="1:11">
      <c r="A2871" s="34">
        <v>2870</v>
      </c>
      <c r="B2871" s="29" t="s">
        <v>3256</v>
      </c>
      <c r="C2871" s="29" t="str">
        <f>VLOOKUP(B2871,教育部大学名单!$B$1:$D$2920,3,FALSE)</f>
        <v>吉林省教育厅</v>
      </c>
      <c r="D2871" s="29" t="s">
        <v>273</v>
      </c>
      <c r="E2871" s="29" t="s">
        <v>274</v>
      </c>
      <c r="F2871" s="36" t="str">
        <f>IFERROR(VLOOKUP(B2871,'985'!$B$2:$D$40,3,FALSE),"")</f>
        <v/>
      </c>
      <c r="G2871" s="32" t="str">
        <f>IFERROR(VLOOKUP(B2871,'211'!$B$2:$D$116,3,FALSE),"")</f>
        <v/>
      </c>
      <c r="H2871" s="32" t="str">
        <f>IFERROR(VLOOKUP(B2871,双一流!$B$2:$D$148,3,FALSE),"")</f>
        <v/>
      </c>
      <c r="I2871" s="32">
        <f>IFERROR(VLOOKUP(B2871,汇总!$B$2:$I$2921,8,FALSE),"")</f>
        <v>0</v>
      </c>
      <c r="J2871" s="29" t="s">
        <v>1700</v>
      </c>
      <c r="K2871" s="29" t="s">
        <v>1252</v>
      </c>
    </row>
    <row r="2872" ht="33.75" spans="1:11">
      <c r="A2872" s="29">
        <v>2871</v>
      </c>
      <c r="B2872" s="34" t="s">
        <v>3257</v>
      </c>
      <c r="C2872" s="29" t="str">
        <f>VLOOKUP(B2872,教育部大学名单!$B$1:$D$2920,3,FALSE)</f>
        <v>安徽省教育厅</v>
      </c>
      <c r="D2872" s="34" t="s">
        <v>502</v>
      </c>
      <c r="E2872" s="34" t="s">
        <v>511</v>
      </c>
      <c r="F2872" s="36" t="str">
        <f>IFERROR(VLOOKUP(B2872,'985'!$B$2:$D$40,3,FALSE),"")</f>
        <v/>
      </c>
      <c r="G2872" s="32" t="str">
        <f>IFERROR(VLOOKUP(B2872,'211'!$B$2:$D$116,3,FALSE),"")</f>
        <v/>
      </c>
      <c r="H2872" s="32" t="str">
        <f>IFERROR(VLOOKUP(B2872,双一流!$B$2:$D$148,3,FALSE),"")</f>
        <v/>
      </c>
      <c r="I2872" s="32">
        <f>IFERROR(VLOOKUP(B2872,汇总!$B$2:$I$2921,8,FALSE),"")</f>
        <v>0</v>
      </c>
      <c r="J2872" s="34" t="s">
        <v>1700</v>
      </c>
      <c r="K2872" s="34" t="s">
        <v>1252</v>
      </c>
    </row>
    <row r="2873" ht="33.75" spans="1:11">
      <c r="A2873" s="34">
        <v>2872</v>
      </c>
      <c r="B2873" s="29" t="s">
        <v>3258</v>
      </c>
      <c r="C2873" s="29" t="str">
        <f>VLOOKUP(B2873,教育部大学名单!$B$1:$D$2920,3,FALSE)</f>
        <v>安徽省教育厅</v>
      </c>
      <c r="D2873" s="29" t="s">
        <v>502</v>
      </c>
      <c r="E2873" s="29" t="s">
        <v>511</v>
      </c>
      <c r="F2873" s="36" t="str">
        <f>IFERROR(VLOOKUP(B2873,'985'!$B$2:$D$40,3,FALSE),"")</f>
        <v/>
      </c>
      <c r="G2873" s="32" t="str">
        <f>IFERROR(VLOOKUP(B2873,'211'!$B$2:$D$116,3,FALSE),"")</f>
        <v/>
      </c>
      <c r="H2873" s="32" t="str">
        <f>IFERROR(VLOOKUP(B2873,双一流!$B$2:$D$148,3,FALSE),"")</f>
        <v/>
      </c>
      <c r="I2873" s="32">
        <f>IFERROR(VLOOKUP(B2873,汇总!$B$2:$I$2921,8,FALSE),"")</f>
        <v>0</v>
      </c>
      <c r="J2873" s="29" t="s">
        <v>1700</v>
      </c>
      <c r="K2873" s="29" t="s">
        <v>1252</v>
      </c>
    </row>
    <row r="2874" ht="50.25" spans="1:11">
      <c r="A2874" s="29">
        <v>2873</v>
      </c>
      <c r="B2874" s="34" t="s">
        <v>3259</v>
      </c>
      <c r="C2874" s="29" t="str">
        <f>VLOOKUP(B2874,教育部大学名单!$B$1:$D$2920,3,FALSE)</f>
        <v>安徽省教育厅</v>
      </c>
      <c r="D2874" s="34" t="s">
        <v>502</v>
      </c>
      <c r="E2874" s="34" t="s">
        <v>515</v>
      </c>
      <c r="F2874" s="36" t="str">
        <f>IFERROR(VLOOKUP(B2874,'985'!$B$2:$D$40,3,FALSE),"")</f>
        <v/>
      </c>
      <c r="G2874" s="32" t="str">
        <f>IFERROR(VLOOKUP(B2874,'211'!$B$2:$D$116,3,FALSE),"")</f>
        <v/>
      </c>
      <c r="H2874" s="32" t="str">
        <f>IFERROR(VLOOKUP(B2874,双一流!$B$2:$D$148,3,FALSE),"")</f>
        <v/>
      </c>
      <c r="I2874" s="32">
        <f>IFERROR(VLOOKUP(B2874,汇总!$B$2:$I$2921,8,FALSE),"")</f>
        <v>0</v>
      </c>
      <c r="J2874" s="34" t="s">
        <v>1700</v>
      </c>
      <c r="K2874" s="34" t="s">
        <v>1252</v>
      </c>
    </row>
    <row r="2875" ht="50.25" spans="1:11">
      <c r="A2875" s="34">
        <v>2874</v>
      </c>
      <c r="B2875" s="29" t="s">
        <v>3260</v>
      </c>
      <c r="C2875" s="29" t="str">
        <f>VLOOKUP(B2875,教育部大学名单!$B$1:$D$2920,3,FALSE)</f>
        <v>海南省教育厅</v>
      </c>
      <c r="D2875" s="29" t="s">
        <v>943</v>
      </c>
      <c r="E2875" s="29" t="s">
        <v>3261</v>
      </c>
      <c r="F2875" s="36" t="str">
        <f>IFERROR(VLOOKUP(B2875,'985'!$B$2:$D$40,3,FALSE),"")</f>
        <v/>
      </c>
      <c r="G2875" s="32" t="str">
        <f>IFERROR(VLOOKUP(B2875,'211'!$B$2:$D$116,3,FALSE),"")</f>
        <v/>
      </c>
      <c r="H2875" s="32" t="str">
        <f>IFERROR(VLOOKUP(B2875,双一流!$B$2:$D$148,3,FALSE),"")</f>
        <v/>
      </c>
      <c r="I2875" s="32">
        <f>IFERROR(VLOOKUP(B2875,汇总!$B$2:$I$2921,8,FALSE),"")</f>
        <v>0</v>
      </c>
      <c r="J2875" s="29" t="s">
        <v>1700</v>
      </c>
      <c r="K2875" s="29" t="s">
        <v>1252</v>
      </c>
    </row>
    <row r="2876" ht="33.75" spans="1:11">
      <c r="A2876" s="29">
        <v>2875</v>
      </c>
      <c r="B2876" s="34" t="s">
        <v>3262</v>
      </c>
      <c r="C2876" s="29" t="str">
        <f>VLOOKUP(B2876,教育部大学名单!$B$1:$D$2920,3,FALSE)</f>
        <v>河北省教育厅</v>
      </c>
      <c r="D2876" s="34" t="s">
        <v>98</v>
      </c>
      <c r="E2876" s="34" t="s">
        <v>128</v>
      </c>
      <c r="F2876" s="36" t="str">
        <f>IFERROR(VLOOKUP(B2876,'985'!$B$2:$D$40,3,FALSE),"")</f>
        <v/>
      </c>
      <c r="G2876" s="32" t="str">
        <f>IFERROR(VLOOKUP(B2876,'211'!$B$2:$D$116,3,FALSE),"")</f>
        <v/>
      </c>
      <c r="H2876" s="32" t="str">
        <f>IFERROR(VLOOKUP(B2876,双一流!$B$2:$D$148,3,FALSE),"")</f>
        <v/>
      </c>
      <c r="I2876" s="32">
        <f>IFERROR(VLOOKUP(B2876,汇总!$B$2:$I$2921,8,FALSE),"")</f>
        <v>0</v>
      </c>
      <c r="J2876" s="34" t="s">
        <v>1700</v>
      </c>
      <c r="K2876" s="34" t="s">
        <v>1252</v>
      </c>
    </row>
    <row r="2877" ht="50.25" spans="1:11">
      <c r="A2877" s="34">
        <v>2876</v>
      </c>
      <c r="B2877" s="29" t="s">
        <v>3263</v>
      </c>
      <c r="C2877" s="29" t="str">
        <f>VLOOKUP(B2877,教育部大学名单!$B$1:$D$2920,3,FALSE)</f>
        <v>江西省教育厅</v>
      </c>
      <c r="D2877" s="29" t="s">
        <v>587</v>
      </c>
      <c r="E2877" s="29" t="s">
        <v>604</v>
      </c>
      <c r="F2877" s="36" t="str">
        <f>IFERROR(VLOOKUP(B2877,'985'!$B$2:$D$40,3,FALSE),"")</f>
        <v/>
      </c>
      <c r="G2877" s="32" t="str">
        <f>IFERROR(VLOOKUP(B2877,'211'!$B$2:$D$116,3,FALSE),"")</f>
        <v/>
      </c>
      <c r="H2877" s="32" t="str">
        <f>IFERROR(VLOOKUP(B2877,双一流!$B$2:$D$148,3,FALSE),"")</f>
        <v/>
      </c>
      <c r="I2877" s="32">
        <f>IFERROR(VLOOKUP(B2877,汇总!$B$2:$I$2921,8,FALSE),"")</f>
        <v>0</v>
      </c>
      <c r="J2877" s="29" t="s">
        <v>1700</v>
      </c>
      <c r="K2877" s="29" t="s">
        <v>1252</v>
      </c>
    </row>
    <row r="2878" ht="33.75" spans="1:11">
      <c r="A2878" s="29">
        <v>2877</v>
      </c>
      <c r="B2878" s="34" t="s">
        <v>3264</v>
      </c>
      <c r="C2878" s="29" t="str">
        <f>VLOOKUP(B2878,教育部大学名单!$B$1:$D$2920,3,FALSE)</f>
        <v>江西省教育厅</v>
      </c>
      <c r="D2878" s="34" t="s">
        <v>587</v>
      </c>
      <c r="E2878" s="34" t="s">
        <v>591</v>
      </c>
      <c r="F2878" s="36" t="str">
        <f>IFERROR(VLOOKUP(B2878,'985'!$B$2:$D$40,3,FALSE),"")</f>
        <v/>
      </c>
      <c r="G2878" s="32" t="str">
        <f>IFERROR(VLOOKUP(B2878,'211'!$B$2:$D$116,3,FALSE),"")</f>
        <v/>
      </c>
      <c r="H2878" s="32" t="str">
        <f>IFERROR(VLOOKUP(B2878,双一流!$B$2:$D$148,3,FALSE),"")</f>
        <v/>
      </c>
      <c r="I2878" s="32">
        <f>IFERROR(VLOOKUP(B2878,汇总!$B$2:$I$2921,8,FALSE),"")</f>
        <v>0</v>
      </c>
      <c r="J2878" s="34" t="s">
        <v>1700</v>
      </c>
      <c r="K2878" s="34" t="s">
        <v>1252</v>
      </c>
    </row>
    <row r="2879" ht="33.75" spans="1:11">
      <c r="A2879" s="34">
        <v>2878</v>
      </c>
      <c r="B2879" s="29" t="s">
        <v>3265</v>
      </c>
      <c r="C2879" s="29" t="str">
        <f>VLOOKUP(B2879,教育部大学名单!$B$1:$D$2920,3,FALSE)</f>
        <v>山东省教育厅</v>
      </c>
      <c r="D2879" s="29" t="s">
        <v>628</v>
      </c>
      <c r="E2879" s="29" t="s">
        <v>657</v>
      </c>
      <c r="F2879" s="36" t="str">
        <f>IFERROR(VLOOKUP(B2879,'985'!$B$2:$D$40,3,FALSE),"")</f>
        <v/>
      </c>
      <c r="G2879" s="32" t="str">
        <f>IFERROR(VLOOKUP(B2879,'211'!$B$2:$D$116,3,FALSE),"")</f>
        <v/>
      </c>
      <c r="H2879" s="32" t="str">
        <f>IFERROR(VLOOKUP(B2879,双一流!$B$2:$D$148,3,FALSE),"")</f>
        <v/>
      </c>
      <c r="I2879" s="32">
        <f>IFERROR(VLOOKUP(B2879,汇总!$B$2:$I$2921,8,FALSE),"")</f>
        <v>0</v>
      </c>
      <c r="J2879" s="29" t="s">
        <v>1700</v>
      </c>
      <c r="K2879" s="29" t="s">
        <v>1252</v>
      </c>
    </row>
    <row r="2880" ht="33.75" spans="1:11">
      <c r="A2880" s="29">
        <v>2879</v>
      </c>
      <c r="B2880" s="34" t="s">
        <v>3266</v>
      </c>
      <c r="C2880" s="29" t="str">
        <f>VLOOKUP(B2880,教育部大学名单!$B$1:$D$2920,3,FALSE)</f>
        <v>山东省教育厅</v>
      </c>
      <c r="D2880" s="34" t="s">
        <v>628</v>
      </c>
      <c r="E2880" s="34" t="s">
        <v>688</v>
      </c>
      <c r="F2880" s="36" t="str">
        <f>IFERROR(VLOOKUP(B2880,'985'!$B$2:$D$40,3,FALSE),"")</f>
        <v/>
      </c>
      <c r="G2880" s="32" t="str">
        <f>IFERROR(VLOOKUP(B2880,'211'!$B$2:$D$116,3,FALSE),"")</f>
        <v/>
      </c>
      <c r="H2880" s="32" t="str">
        <f>IFERROR(VLOOKUP(B2880,双一流!$B$2:$D$148,3,FALSE),"")</f>
        <v/>
      </c>
      <c r="I2880" s="32">
        <f>IFERROR(VLOOKUP(B2880,汇总!$B$2:$I$2921,8,FALSE),"")</f>
        <v>0</v>
      </c>
      <c r="J2880" s="34" t="s">
        <v>1700</v>
      </c>
      <c r="K2880" s="34" t="s">
        <v>1252</v>
      </c>
    </row>
    <row r="2881" ht="33.75" spans="1:11">
      <c r="A2881" s="34">
        <v>2880</v>
      </c>
      <c r="B2881" s="29" t="s">
        <v>3267</v>
      </c>
      <c r="C2881" s="29" t="str">
        <f>VLOOKUP(B2881,教育部大学名单!$B$1:$D$2920,3,FALSE)</f>
        <v>河南省教育厅</v>
      </c>
      <c r="D2881" s="29" t="s">
        <v>692</v>
      </c>
      <c r="E2881" s="29" t="s">
        <v>712</v>
      </c>
      <c r="F2881" s="36" t="str">
        <f>IFERROR(VLOOKUP(B2881,'985'!$B$2:$D$40,3,FALSE),"")</f>
        <v/>
      </c>
      <c r="G2881" s="32" t="str">
        <f>IFERROR(VLOOKUP(B2881,'211'!$B$2:$D$116,3,FALSE),"")</f>
        <v/>
      </c>
      <c r="H2881" s="32" t="str">
        <f>IFERROR(VLOOKUP(B2881,双一流!$B$2:$D$148,3,FALSE),"")</f>
        <v/>
      </c>
      <c r="I2881" s="32">
        <f>IFERROR(VLOOKUP(B2881,汇总!$B$2:$I$2921,8,FALSE),"")</f>
        <v>0</v>
      </c>
      <c r="J2881" s="29" t="s">
        <v>1700</v>
      </c>
      <c r="K2881" s="29" t="s">
        <v>1252</v>
      </c>
    </row>
    <row r="2882" ht="33.75" spans="1:11">
      <c r="A2882" s="29">
        <v>2881</v>
      </c>
      <c r="B2882" s="34" t="s">
        <v>3268</v>
      </c>
      <c r="C2882" s="29" t="str">
        <f>VLOOKUP(B2882,教育部大学名单!$B$1:$D$2920,3,FALSE)</f>
        <v>河南省教育厅</v>
      </c>
      <c r="D2882" s="34" t="s">
        <v>692</v>
      </c>
      <c r="E2882" s="34" t="s">
        <v>712</v>
      </c>
      <c r="F2882" s="36" t="str">
        <f>IFERROR(VLOOKUP(B2882,'985'!$B$2:$D$40,3,FALSE),"")</f>
        <v/>
      </c>
      <c r="G2882" s="32" t="str">
        <f>IFERROR(VLOOKUP(B2882,'211'!$B$2:$D$116,3,FALSE),"")</f>
        <v/>
      </c>
      <c r="H2882" s="32" t="str">
        <f>IFERROR(VLOOKUP(B2882,双一流!$B$2:$D$148,3,FALSE),"")</f>
        <v/>
      </c>
      <c r="I2882" s="32">
        <f>IFERROR(VLOOKUP(B2882,汇总!$B$2:$I$2921,8,FALSE),"")</f>
        <v>0</v>
      </c>
      <c r="J2882" s="34" t="s">
        <v>1700</v>
      </c>
      <c r="K2882" s="34" t="s">
        <v>1252</v>
      </c>
    </row>
    <row r="2883" ht="33.75" spans="1:11">
      <c r="A2883" s="34">
        <v>2882</v>
      </c>
      <c r="B2883" s="29" t="s">
        <v>3269</v>
      </c>
      <c r="C2883" s="29" t="str">
        <f>VLOOKUP(B2883,教育部大学名单!$B$1:$D$2920,3,FALSE)</f>
        <v>河南省教育厅</v>
      </c>
      <c r="D2883" s="29" t="s">
        <v>692</v>
      </c>
      <c r="E2883" s="29" t="s">
        <v>714</v>
      </c>
      <c r="F2883" s="36" t="str">
        <f>IFERROR(VLOOKUP(B2883,'985'!$B$2:$D$40,3,FALSE),"")</f>
        <v/>
      </c>
      <c r="G2883" s="32" t="str">
        <f>IFERROR(VLOOKUP(B2883,'211'!$B$2:$D$116,3,FALSE),"")</f>
        <v/>
      </c>
      <c r="H2883" s="32" t="str">
        <f>IFERROR(VLOOKUP(B2883,双一流!$B$2:$D$148,3,FALSE),"")</f>
        <v/>
      </c>
      <c r="I2883" s="32">
        <f>IFERROR(VLOOKUP(B2883,汇总!$B$2:$I$2921,8,FALSE),"")</f>
        <v>0</v>
      </c>
      <c r="J2883" s="29" t="s">
        <v>1700</v>
      </c>
      <c r="K2883" s="29" t="s">
        <v>1252</v>
      </c>
    </row>
    <row r="2884" ht="33.75" spans="1:11">
      <c r="A2884" s="29">
        <v>2883</v>
      </c>
      <c r="B2884" s="34" t="s">
        <v>3270</v>
      </c>
      <c r="C2884" s="29" t="str">
        <f>VLOOKUP(B2884,教育部大学名单!$B$1:$D$2920,3,FALSE)</f>
        <v>河南省教育厅</v>
      </c>
      <c r="D2884" s="34" t="s">
        <v>692</v>
      </c>
      <c r="E2884" s="34" t="s">
        <v>704</v>
      </c>
      <c r="F2884" s="36" t="str">
        <f>IFERROR(VLOOKUP(B2884,'985'!$B$2:$D$40,3,FALSE),"")</f>
        <v/>
      </c>
      <c r="G2884" s="32" t="str">
        <f>IFERROR(VLOOKUP(B2884,'211'!$B$2:$D$116,3,FALSE),"")</f>
        <v/>
      </c>
      <c r="H2884" s="32" t="str">
        <f>IFERROR(VLOOKUP(B2884,双一流!$B$2:$D$148,3,FALSE),"")</f>
        <v/>
      </c>
      <c r="I2884" s="32">
        <f>IFERROR(VLOOKUP(B2884,汇总!$B$2:$I$2921,8,FALSE),"")</f>
        <v>0</v>
      </c>
      <c r="J2884" s="34" t="s">
        <v>1700</v>
      </c>
      <c r="K2884" s="34" t="s">
        <v>1252</v>
      </c>
    </row>
    <row r="2885" ht="50.25" spans="1:11">
      <c r="A2885" s="34">
        <v>2884</v>
      </c>
      <c r="B2885" s="29" t="s">
        <v>3271</v>
      </c>
      <c r="C2885" s="29" t="str">
        <f>VLOOKUP(B2885,教育部大学名单!$B$1:$D$2920,3,FALSE)</f>
        <v>重庆市教委</v>
      </c>
      <c r="D2885" s="29" t="s">
        <v>951</v>
      </c>
      <c r="E2885" s="29" t="s">
        <v>951</v>
      </c>
      <c r="F2885" s="36" t="str">
        <f>IFERROR(VLOOKUP(B2885,'985'!$B$2:$D$40,3,FALSE),"")</f>
        <v/>
      </c>
      <c r="G2885" s="32" t="str">
        <f>IFERROR(VLOOKUP(B2885,'211'!$B$2:$D$116,3,FALSE),"")</f>
        <v/>
      </c>
      <c r="H2885" s="32" t="str">
        <f>IFERROR(VLOOKUP(B2885,双一流!$B$2:$D$148,3,FALSE),"")</f>
        <v/>
      </c>
      <c r="I2885" s="32">
        <f>IFERROR(VLOOKUP(B2885,汇总!$B$2:$I$2921,8,FALSE),"")</f>
        <v>0</v>
      </c>
      <c r="J2885" s="29" t="s">
        <v>1700</v>
      </c>
      <c r="K2885" s="29" t="s">
        <v>1252</v>
      </c>
    </row>
    <row r="2886" ht="33.75" spans="1:11">
      <c r="A2886" s="29">
        <v>2885</v>
      </c>
      <c r="B2886" s="34" t="s">
        <v>3272</v>
      </c>
      <c r="C2886" s="29" t="str">
        <f>VLOOKUP(B2886,教育部大学名单!$B$1:$D$2920,3,FALSE)</f>
        <v>重庆市教委</v>
      </c>
      <c r="D2886" s="34" t="s">
        <v>951</v>
      </c>
      <c r="E2886" s="34" t="s">
        <v>951</v>
      </c>
      <c r="F2886" s="36" t="str">
        <f>IFERROR(VLOOKUP(B2886,'985'!$B$2:$D$40,3,FALSE),"")</f>
        <v/>
      </c>
      <c r="G2886" s="32" t="str">
        <f>IFERROR(VLOOKUP(B2886,'211'!$B$2:$D$116,3,FALSE),"")</f>
        <v/>
      </c>
      <c r="H2886" s="32" t="str">
        <f>IFERROR(VLOOKUP(B2886,双一流!$B$2:$D$148,3,FALSE),"")</f>
        <v/>
      </c>
      <c r="I2886" s="32">
        <f>IFERROR(VLOOKUP(B2886,汇总!$B$2:$I$2921,8,FALSE),"")</f>
        <v>0</v>
      </c>
      <c r="J2886" s="34" t="s">
        <v>1700</v>
      </c>
      <c r="K2886" s="34" t="s">
        <v>1252</v>
      </c>
    </row>
    <row r="2887" ht="33.75" spans="1:11">
      <c r="A2887" s="34">
        <v>2886</v>
      </c>
      <c r="B2887" s="29" t="s">
        <v>3273</v>
      </c>
      <c r="C2887" s="29" t="str">
        <f>VLOOKUP(B2887,教育部大学名单!$B$1:$D$2920,3,FALSE)</f>
        <v>四川省教育厅</v>
      </c>
      <c r="D2887" s="29" t="s">
        <v>971</v>
      </c>
      <c r="E2887" s="29" t="s">
        <v>972</v>
      </c>
      <c r="F2887" s="36" t="str">
        <f>IFERROR(VLOOKUP(B2887,'985'!$B$2:$D$40,3,FALSE),"")</f>
        <v/>
      </c>
      <c r="G2887" s="32" t="str">
        <f>IFERROR(VLOOKUP(B2887,'211'!$B$2:$D$116,3,FALSE),"")</f>
        <v/>
      </c>
      <c r="H2887" s="32" t="str">
        <f>IFERROR(VLOOKUP(B2887,双一流!$B$2:$D$148,3,FALSE),"")</f>
        <v/>
      </c>
      <c r="I2887" s="32">
        <f>IFERROR(VLOOKUP(B2887,汇总!$B$2:$I$2921,8,FALSE),"")</f>
        <v>0</v>
      </c>
      <c r="J2887" s="29" t="s">
        <v>1700</v>
      </c>
      <c r="K2887" s="29" t="s">
        <v>1252</v>
      </c>
    </row>
    <row r="2888" ht="33.75" spans="1:11">
      <c r="A2888" s="29">
        <v>2887</v>
      </c>
      <c r="B2888" s="34" t="s">
        <v>3274</v>
      </c>
      <c r="C2888" s="29" t="str">
        <f>VLOOKUP(B2888,教育部大学名单!$B$1:$D$2920,3,FALSE)</f>
        <v>湖南省教育厅</v>
      </c>
      <c r="D2888" s="34" t="s">
        <v>797</v>
      </c>
      <c r="E2888" s="34" t="s">
        <v>802</v>
      </c>
      <c r="F2888" s="36" t="str">
        <f>IFERROR(VLOOKUP(B2888,'985'!$B$2:$D$40,3,FALSE),"")</f>
        <v/>
      </c>
      <c r="G2888" s="32" t="str">
        <f>IFERROR(VLOOKUP(B2888,'211'!$B$2:$D$116,3,FALSE),"")</f>
        <v/>
      </c>
      <c r="H2888" s="32" t="str">
        <f>IFERROR(VLOOKUP(B2888,双一流!$B$2:$D$148,3,FALSE),"")</f>
        <v/>
      </c>
      <c r="I2888" s="32" t="str">
        <f>IFERROR(VLOOKUP(B2888,汇总!$B$2:$I$2921,8,FALSE),"")</f>
        <v/>
      </c>
      <c r="J2888" s="34" t="s">
        <v>1700</v>
      </c>
      <c r="K2888" s="34" t="s">
        <v>1252</v>
      </c>
    </row>
    <row r="2889" ht="33.75" spans="1:11">
      <c r="A2889" s="34">
        <v>2888</v>
      </c>
      <c r="B2889" s="29" t="s">
        <v>3275</v>
      </c>
      <c r="C2889" s="29" t="str">
        <f>VLOOKUP(B2889,教育部大学名单!$B$1:$D$2920,3,FALSE)</f>
        <v>海南省教育厅</v>
      </c>
      <c r="D2889" s="29" t="s">
        <v>943</v>
      </c>
      <c r="E2889" s="29" t="s">
        <v>946</v>
      </c>
      <c r="F2889" s="36" t="str">
        <f>IFERROR(VLOOKUP(B2889,'985'!$B$2:$D$40,3,FALSE),"")</f>
        <v/>
      </c>
      <c r="G2889" s="32" t="str">
        <f>IFERROR(VLOOKUP(B2889,'211'!$B$2:$D$116,3,FALSE),"")</f>
        <v/>
      </c>
      <c r="H2889" s="32" t="str">
        <f>IFERROR(VLOOKUP(B2889,双一流!$B$2:$D$148,3,FALSE),"")</f>
        <v/>
      </c>
      <c r="I2889" s="32" t="str">
        <f>IFERROR(VLOOKUP(B2889,汇总!$B$2:$I$2921,8,FALSE),"")</f>
        <v/>
      </c>
      <c r="J2889" s="29" t="s">
        <v>1700</v>
      </c>
      <c r="K2889" s="29" t="s">
        <v>1252</v>
      </c>
    </row>
    <row r="2890" ht="33.75" spans="1:11">
      <c r="A2890" s="29">
        <v>2889</v>
      </c>
      <c r="B2890" s="34" t="s">
        <v>3276</v>
      </c>
      <c r="C2890" s="29" t="str">
        <f>VLOOKUP(B2890,教育部大学名单!$B$1:$D$2920,3,FALSE)</f>
        <v>山西省教育厅</v>
      </c>
      <c r="D2890" s="34" t="s">
        <v>151</v>
      </c>
      <c r="E2890" s="34" t="s">
        <v>164</v>
      </c>
      <c r="F2890" s="36" t="str">
        <f>IFERROR(VLOOKUP(B2890,'985'!$B$2:$D$40,3,FALSE),"")</f>
        <v/>
      </c>
      <c r="G2890" s="32" t="str">
        <f>IFERROR(VLOOKUP(B2890,'211'!$B$2:$D$116,3,FALSE),"")</f>
        <v/>
      </c>
      <c r="H2890" s="32" t="str">
        <f>IFERROR(VLOOKUP(B2890,双一流!$B$2:$D$148,3,FALSE),"")</f>
        <v/>
      </c>
      <c r="I2890" s="32" t="str">
        <f>IFERROR(VLOOKUP(B2890,汇总!$B$2:$I$2921,8,FALSE),"")</f>
        <v/>
      </c>
      <c r="J2890" s="34" t="s">
        <v>1700</v>
      </c>
      <c r="K2890" s="34" t="s">
        <v>1252</v>
      </c>
    </row>
    <row r="2891" ht="33.75" spans="1:11">
      <c r="A2891" s="34">
        <v>2890</v>
      </c>
      <c r="B2891" s="29" t="s">
        <v>3277</v>
      </c>
      <c r="C2891" s="29" t="str">
        <f>VLOOKUP(B2891,教育部大学名单!$B$1:$D$2920,3,FALSE)</f>
        <v>湖南省教育厅</v>
      </c>
      <c r="D2891" s="29" t="s">
        <v>797</v>
      </c>
      <c r="E2891" s="29" t="s">
        <v>802</v>
      </c>
      <c r="F2891" s="36" t="str">
        <f>IFERROR(VLOOKUP(B2891,'985'!$B$2:$D$40,3,FALSE),"")</f>
        <v/>
      </c>
      <c r="G2891" s="32" t="str">
        <f>IFERROR(VLOOKUP(B2891,'211'!$B$2:$D$116,3,FALSE),"")</f>
        <v/>
      </c>
      <c r="H2891" s="32" t="str">
        <f>IFERROR(VLOOKUP(B2891,双一流!$B$2:$D$148,3,FALSE),"")</f>
        <v/>
      </c>
      <c r="I2891" s="32" t="str">
        <f>IFERROR(VLOOKUP(B2891,汇总!$B$2:$I$2921,8,FALSE),"")</f>
        <v/>
      </c>
      <c r="J2891" s="29" t="s">
        <v>1700</v>
      </c>
      <c r="K2891" s="29" t="s">
        <v>1252</v>
      </c>
    </row>
    <row r="2892" ht="33.75" spans="1:11">
      <c r="A2892" s="29">
        <v>2891</v>
      </c>
      <c r="B2892" s="34" t="s">
        <v>3278</v>
      </c>
      <c r="C2892" s="29" t="str">
        <f>VLOOKUP(B2892,教育部大学名单!$B$1:$D$2920,3,FALSE)</f>
        <v>湖南省教育厅</v>
      </c>
      <c r="D2892" s="34" t="s">
        <v>797</v>
      </c>
      <c r="E2892" s="34" t="s">
        <v>836</v>
      </c>
      <c r="F2892" s="36" t="str">
        <f>IFERROR(VLOOKUP(B2892,'985'!$B$2:$D$40,3,FALSE),"")</f>
        <v/>
      </c>
      <c r="G2892" s="32" t="str">
        <f>IFERROR(VLOOKUP(B2892,'211'!$B$2:$D$116,3,FALSE),"")</f>
        <v/>
      </c>
      <c r="H2892" s="32" t="str">
        <f>IFERROR(VLOOKUP(B2892,双一流!$B$2:$D$148,3,FALSE),"")</f>
        <v/>
      </c>
      <c r="I2892" s="32" t="str">
        <f>IFERROR(VLOOKUP(B2892,汇总!$B$2:$I$2921,8,FALSE),"")</f>
        <v/>
      </c>
      <c r="J2892" s="34" t="s">
        <v>1700</v>
      </c>
      <c r="K2892" s="34" t="s">
        <v>1252</v>
      </c>
    </row>
    <row r="2893" ht="33.75" spans="1:11">
      <c r="A2893" s="34">
        <v>2892</v>
      </c>
      <c r="B2893" s="29" t="s">
        <v>3279</v>
      </c>
      <c r="C2893" s="29" t="str">
        <f>VLOOKUP(B2893,教育部大学名单!$B$1:$D$2920,3,FALSE)</f>
        <v>湖南省教育厅</v>
      </c>
      <c r="D2893" s="29" t="s">
        <v>797</v>
      </c>
      <c r="E2893" s="29" t="s">
        <v>815</v>
      </c>
      <c r="F2893" s="36" t="str">
        <f>IFERROR(VLOOKUP(B2893,'985'!$B$2:$D$40,3,FALSE),"")</f>
        <v/>
      </c>
      <c r="G2893" s="32" t="str">
        <f>IFERROR(VLOOKUP(B2893,'211'!$B$2:$D$116,3,FALSE),"")</f>
        <v/>
      </c>
      <c r="H2893" s="32" t="str">
        <f>IFERROR(VLOOKUP(B2893,双一流!$B$2:$D$148,3,FALSE),"")</f>
        <v/>
      </c>
      <c r="I2893" s="32" t="str">
        <f>IFERROR(VLOOKUP(B2893,汇总!$B$2:$I$2921,8,FALSE),"")</f>
        <v/>
      </c>
      <c r="J2893" s="29" t="s">
        <v>1700</v>
      </c>
      <c r="K2893" s="29" t="s">
        <v>1252</v>
      </c>
    </row>
    <row r="2894" ht="33.75" spans="1:11">
      <c r="A2894" s="29">
        <v>2893</v>
      </c>
      <c r="B2894" s="34" t="s">
        <v>3280</v>
      </c>
      <c r="C2894" s="29" t="str">
        <f>VLOOKUP(B2894,教育部大学名单!$B$1:$D$2920,3,FALSE)</f>
        <v>湖南省教育厅</v>
      </c>
      <c r="D2894" s="34" t="s">
        <v>797</v>
      </c>
      <c r="E2894" s="34" t="s">
        <v>813</v>
      </c>
      <c r="F2894" s="36" t="str">
        <f>IFERROR(VLOOKUP(B2894,'985'!$B$2:$D$40,3,FALSE),"")</f>
        <v/>
      </c>
      <c r="G2894" s="32" t="str">
        <f>IFERROR(VLOOKUP(B2894,'211'!$B$2:$D$116,3,FALSE),"")</f>
        <v/>
      </c>
      <c r="H2894" s="32" t="str">
        <f>IFERROR(VLOOKUP(B2894,双一流!$B$2:$D$148,3,FALSE),"")</f>
        <v/>
      </c>
      <c r="I2894" s="32" t="str">
        <f>IFERROR(VLOOKUP(B2894,汇总!$B$2:$I$2921,8,FALSE),"")</f>
        <v/>
      </c>
      <c r="J2894" s="34" t="s">
        <v>1700</v>
      </c>
      <c r="K2894" s="34" t="s">
        <v>1252</v>
      </c>
    </row>
    <row r="2895" ht="33.75" spans="1:11">
      <c r="A2895" s="34">
        <v>2894</v>
      </c>
      <c r="B2895" s="29" t="s">
        <v>3281</v>
      </c>
      <c r="C2895" s="29" t="str">
        <f>VLOOKUP(B2895,教育部大学名单!$B$1:$D$2920,3,FALSE)</f>
        <v>江西省教育厅</v>
      </c>
      <c r="D2895" s="29" t="s">
        <v>587</v>
      </c>
      <c r="E2895" s="29" t="s">
        <v>2156</v>
      </c>
      <c r="F2895" s="36" t="str">
        <f>IFERROR(VLOOKUP(B2895,'985'!$B$2:$D$40,3,FALSE),"")</f>
        <v/>
      </c>
      <c r="G2895" s="32" t="str">
        <f>IFERROR(VLOOKUP(B2895,'211'!$B$2:$D$116,3,FALSE),"")</f>
        <v/>
      </c>
      <c r="H2895" s="32" t="str">
        <f>IFERROR(VLOOKUP(B2895,双一流!$B$2:$D$148,3,FALSE),"")</f>
        <v/>
      </c>
      <c r="I2895" s="32" t="str">
        <f>IFERROR(VLOOKUP(B2895,汇总!$B$2:$I$2921,8,FALSE),"")</f>
        <v/>
      </c>
      <c r="J2895" s="29" t="s">
        <v>1700</v>
      </c>
      <c r="K2895" s="29" t="s">
        <v>1252</v>
      </c>
    </row>
    <row r="2896" ht="33.75" spans="1:11">
      <c r="A2896" s="29">
        <v>2895</v>
      </c>
      <c r="B2896" s="34" t="s">
        <v>3282</v>
      </c>
      <c r="C2896" s="29" t="str">
        <f>VLOOKUP(B2896,教育部大学名单!$B$1:$D$2920,3,FALSE)</f>
        <v>河北省教育厅</v>
      </c>
      <c r="D2896" s="34" t="s">
        <v>98</v>
      </c>
      <c r="E2896" s="34" t="s">
        <v>103</v>
      </c>
      <c r="F2896" s="36" t="str">
        <f>IFERROR(VLOOKUP(B2896,'985'!$B$2:$D$40,3,FALSE),"")</f>
        <v/>
      </c>
      <c r="G2896" s="32" t="str">
        <f>IFERROR(VLOOKUP(B2896,'211'!$B$2:$D$116,3,FALSE),"")</f>
        <v/>
      </c>
      <c r="H2896" s="32" t="str">
        <f>IFERROR(VLOOKUP(B2896,双一流!$B$2:$D$148,3,FALSE),"")</f>
        <v/>
      </c>
      <c r="I2896" s="32" t="str">
        <f>IFERROR(VLOOKUP(B2896,汇总!$B$2:$I$2921,8,FALSE),"")</f>
        <v/>
      </c>
      <c r="J2896" s="34" t="s">
        <v>1700</v>
      </c>
      <c r="K2896" s="34" t="s">
        <v>1252</v>
      </c>
    </row>
    <row r="2897" ht="33.75" spans="1:11">
      <c r="A2897" s="34">
        <v>2896</v>
      </c>
      <c r="B2897" s="29" t="s">
        <v>3283</v>
      </c>
      <c r="C2897" s="29" t="str">
        <f>VLOOKUP(B2897,教育部大学名单!$B$1:$D$2920,3,FALSE)</f>
        <v>河北省教育厅</v>
      </c>
      <c r="D2897" s="29" t="s">
        <v>98</v>
      </c>
      <c r="E2897" s="29" t="s">
        <v>103</v>
      </c>
      <c r="F2897" s="36" t="str">
        <f>IFERROR(VLOOKUP(B2897,'985'!$B$2:$D$40,3,FALSE),"")</f>
        <v/>
      </c>
      <c r="G2897" s="32" t="str">
        <f>IFERROR(VLOOKUP(B2897,'211'!$B$2:$D$116,3,FALSE),"")</f>
        <v/>
      </c>
      <c r="H2897" s="32" t="str">
        <f>IFERROR(VLOOKUP(B2897,双一流!$B$2:$D$148,3,FALSE),"")</f>
        <v/>
      </c>
      <c r="I2897" s="32" t="str">
        <f>IFERROR(VLOOKUP(B2897,汇总!$B$2:$I$2921,8,FALSE),"")</f>
        <v/>
      </c>
      <c r="J2897" s="29" t="s">
        <v>1700</v>
      </c>
      <c r="K2897" s="29" t="s">
        <v>1252</v>
      </c>
    </row>
    <row r="2898" ht="33.75" spans="1:11">
      <c r="A2898" s="29">
        <v>2897</v>
      </c>
      <c r="B2898" s="34" t="s">
        <v>3284</v>
      </c>
      <c r="C2898" s="29" t="str">
        <f>VLOOKUP(B2898,教育部大学名单!$B$1:$D$2920,3,FALSE)</f>
        <v>黑龙江省教育厅</v>
      </c>
      <c r="D2898" s="34" t="s">
        <v>308</v>
      </c>
      <c r="E2898" s="34" t="s">
        <v>309</v>
      </c>
      <c r="F2898" s="36" t="str">
        <f>IFERROR(VLOOKUP(B2898,'985'!$B$2:$D$40,3,FALSE),"")</f>
        <v/>
      </c>
      <c r="G2898" s="32" t="str">
        <f>IFERROR(VLOOKUP(B2898,'211'!$B$2:$D$116,3,FALSE),"")</f>
        <v/>
      </c>
      <c r="H2898" s="32" t="str">
        <f>IFERROR(VLOOKUP(B2898,双一流!$B$2:$D$148,3,FALSE),"")</f>
        <v/>
      </c>
      <c r="I2898" s="32" t="str">
        <f>IFERROR(VLOOKUP(B2898,汇总!$B$2:$I$2921,8,FALSE),"")</f>
        <v/>
      </c>
      <c r="J2898" s="34" t="s">
        <v>1700</v>
      </c>
      <c r="K2898" s="34" t="s">
        <v>1252</v>
      </c>
    </row>
    <row r="2899" ht="50.25" spans="1:11">
      <c r="A2899" s="34">
        <v>2898</v>
      </c>
      <c r="B2899" s="29" t="s">
        <v>3285</v>
      </c>
      <c r="C2899" s="29" t="str">
        <f>VLOOKUP(B2899,教育部大学名单!$B$1:$D$2920,3,FALSE)</f>
        <v>黑龙江省教育厅</v>
      </c>
      <c r="D2899" s="29" t="s">
        <v>308</v>
      </c>
      <c r="E2899" s="29" t="s">
        <v>327</v>
      </c>
      <c r="F2899" s="36" t="str">
        <f>IFERROR(VLOOKUP(B2899,'985'!$B$2:$D$40,3,FALSE),"")</f>
        <v/>
      </c>
      <c r="G2899" s="32" t="str">
        <f>IFERROR(VLOOKUP(B2899,'211'!$B$2:$D$116,3,FALSE),"")</f>
        <v/>
      </c>
      <c r="H2899" s="32" t="str">
        <f>IFERROR(VLOOKUP(B2899,双一流!$B$2:$D$148,3,FALSE),"")</f>
        <v/>
      </c>
      <c r="I2899" s="32" t="str">
        <f>IFERROR(VLOOKUP(B2899,汇总!$B$2:$I$2921,8,FALSE),"")</f>
        <v/>
      </c>
      <c r="J2899" s="29" t="s">
        <v>1700</v>
      </c>
      <c r="K2899" s="29" t="s">
        <v>1252</v>
      </c>
    </row>
    <row r="2900" ht="33.75" spans="1:11">
      <c r="A2900" s="29">
        <v>2899</v>
      </c>
      <c r="B2900" s="34" t="s">
        <v>3286</v>
      </c>
      <c r="C2900" s="29" t="str">
        <f>VLOOKUP(B2900,教育部大学名单!$B$1:$D$2920,3,FALSE)</f>
        <v>浙江省教育厅</v>
      </c>
      <c r="D2900" s="34" t="s">
        <v>448</v>
      </c>
      <c r="E2900" s="34" t="s">
        <v>463</v>
      </c>
      <c r="F2900" s="36" t="str">
        <f>IFERROR(VLOOKUP(B2900,'985'!$B$2:$D$40,3,FALSE),"")</f>
        <v/>
      </c>
      <c r="G2900" s="32" t="str">
        <f>IFERROR(VLOOKUP(B2900,'211'!$B$2:$D$116,3,FALSE),"")</f>
        <v/>
      </c>
      <c r="H2900" s="32" t="str">
        <f>IFERROR(VLOOKUP(B2900,双一流!$B$2:$D$148,3,FALSE),"")</f>
        <v/>
      </c>
      <c r="I2900" s="32" t="str">
        <f>IFERROR(VLOOKUP(B2900,汇总!$B$2:$I$2921,8,FALSE),"")</f>
        <v/>
      </c>
      <c r="J2900" s="34" t="s">
        <v>1700</v>
      </c>
      <c r="K2900" s="34" t="s">
        <v>1252</v>
      </c>
    </row>
    <row r="2901" ht="33.75" spans="1:11">
      <c r="A2901" s="34">
        <v>2900</v>
      </c>
      <c r="B2901" s="29" t="s">
        <v>3287</v>
      </c>
      <c r="C2901" s="29" t="str">
        <f>VLOOKUP(B2901,教育部大学名单!$B$1:$D$2920,3,FALSE)</f>
        <v>江西省教育厅</v>
      </c>
      <c r="D2901" s="29" t="s">
        <v>587</v>
      </c>
      <c r="E2901" s="29" t="s">
        <v>594</v>
      </c>
      <c r="F2901" s="36" t="str">
        <f>IFERROR(VLOOKUP(B2901,'985'!$B$2:$D$40,3,FALSE),"")</f>
        <v/>
      </c>
      <c r="G2901" s="32" t="str">
        <f>IFERROR(VLOOKUP(B2901,'211'!$B$2:$D$116,3,FALSE),"")</f>
        <v/>
      </c>
      <c r="H2901" s="32" t="str">
        <f>IFERROR(VLOOKUP(B2901,双一流!$B$2:$D$148,3,FALSE),"")</f>
        <v/>
      </c>
      <c r="I2901" s="32" t="str">
        <f>IFERROR(VLOOKUP(B2901,汇总!$B$2:$I$2921,8,FALSE),"")</f>
        <v/>
      </c>
      <c r="J2901" s="29" t="s">
        <v>1700</v>
      </c>
      <c r="K2901" s="29" t="s">
        <v>1252</v>
      </c>
    </row>
    <row r="2902" ht="33.75" spans="1:11">
      <c r="A2902" s="29">
        <v>2901</v>
      </c>
      <c r="B2902" s="34" t="s">
        <v>3288</v>
      </c>
      <c r="C2902" s="29" t="str">
        <f>VLOOKUP(B2902,教育部大学名单!$B$1:$D$2920,3,FALSE)</f>
        <v>江西省教育厅</v>
      </c>
      <c r="D2902" s="34" t="s">
        <v>587</v>
      </c>
      <c r="E2902" s="34" t="s">
        <v>594</v>
      </c>
      <c r="F2902" s="36" t="str">
        <f>IFERROR(VLOOKUP(B2902,'985'!$B$2:$D$40,3,FALSE),"")</f>
        <v/>
      </c>
      <c r="G2902" s="32" t="str">
        <f>IFERROR(VLOOKUP(B2902,'211'!$B$2:$D$116,3,FALSE),"")</f>
        <v/>
      </c>
      <c r="H2902" s="32" t="str">
        <f>IFERROR(VLOOKUP(B2902,双一流!$B$2:$D$148,3,FALSE),"")</f>
        <v/>
      </c>
      <c r="I2902" s="32" t="str">
        <f>IFERROR(VLOOKUP(B2902,汇总!$B$2:$I$2921,8,FALSE),"")</f>
        <v/>
      </c>
      <c r="J2902" s="34" t="s">
        <v>1700</v>
      </c>
      <c r="K2902" s="34" t="s">
        <v>1252</v>
      </c>
    </row>
    <row r="2903" ht="33.75" spans="1:11">
      <c r="A2903" s="34">
        <v>2902</v>
      </c>
      <c r="B2903" s="29" t="s">
        <v>3289</v>
      </c>
      <c r="C2903" s="29" t="str">
        <f>VLOOKUP(B2903,教育部大学名单!$B$1:$D$2920,3,FALSE)</f>
        <v>山东省教育厅</v>
      </c>
      <c r="D2903" s="29" t="s">
        <v>628</v>
      </c>
      <c r="E2903" s="29" t="s">
        <v>651</v>
      </c>
      <c r="F2903" s="36" t="str">
        <f>IFERROR(VLOOKUP(B2903,'985'!$B$2:$D$40,3,FALSE),"")</f>
        <v/>
      </c>
      <c r="G2903" s="32" t="str">
        <f>IFERROR(VLOOKUP(B2903,'211'!$B$2:$D$116,3,FALSE),"")</f>
        <v/>
      </c>
      <c r="H2903" s="32" t="str">
        <f>IFERROR(VLOOKUP(B2903,双一流!$B$2:$D$148,3,FALSE),"")</f>
        <v/>
      </c>
      <c r="I2903" s="32" t="str">
        <f>IFERROR(VLOOKUP(B2903,汇总!$B$2:$I$2921,8,FALSE),"")</f>
        <v/>
      </c>
      <c r="J2903" s="29" t="s">
        <v>1700</v>
      </c>
      <c r="K2903" s="29" t="s">
        <v>1252</v>
      </c>
    </row>
    <row r="2904" ht="33.75" spans="1:11">
      <c r="A2904" s="29">
        <v>2903</v>
      </c>
      <c r="B2904" s="34" t="s">
        <v>3290</v>
      </c>
      <c r="C2904" s="29" t="str">
        <f>VLOOKUP(B2904,教育部大学名单!$B$1:$D$2920,3,FALSE)</f>
        <v>山东省教育厅</v>
      </c>
      <c r="D2904" s="34" t="s">
        <v>628</v>
      </c>
      <c r="E2904" s="34" t="s">
        <v>688</v>
      </c>
      <c r="F2904" s="36" t="str">
        <f>IFERROR(VLOOKUP(B2904,'985'!$B$2:$D$40,3,FALSE),"")</f>
        <v/>
      </c>
      <c r="G2904" s="32" t="str">
        <f>IFERROR(VLOOKUP(B2904,'211'!$B$2:$D$116,3,FALSE),"")</f>
        <v/>
      </c>
      <c r="H2904" s="32" t="str">
        <f>IFERROR(VLOOKUP(B2904,双一流!$B$2:$D$148,3,FALSE),"")</f>
        <v/>
      </c>
      <c r="I2904" s="32" t="str">
        <f>IFERROR(VLOOKUP(B2904,汇总!$B$2:$I$2921,8,FALSE),"")</f>
        <v/>
      </c>
      <c r="J2904" s="34" t="s">
        <v>1700</v>
      </c>
      <c r="K2904" s="34" t="s">
        <v>1252</v>
      </c>
    </row>
    <row r="2905" ht="33.75" spans="1:11">
      <c r="A2905" s="34">
        <v>2904</v>
      </c>
      <c r="B2905" s="29" t="s">
        <v>3291</v>
      </c>
      <c r="C2905" s="29" t="str">
        <f>VLOOKUP(B2905,教育部大学名单!$B$1:$D$2920,3,FALSE)</f>
        <v>山东省教育厅</v>
      </c>
      <c r="D2905" s="29" t="s">
        <v>628</v>
      </c>
      <c r="E2905" s="29" t="s">
        <v>671</v>
      </c>
      <c r="F2905" s="36" t="str">
        <f>IFERROR(VLOOKUP(B2905,'985'!$B$2:$D$40,3,FALSE),"")</f>
        <v/>
      </c>
      <c r="G2905" s="32" t="str">
        <f>IFERROR(VLOOKUP(B2905,'211'!$B$2:$D$116,3,FALSE),"")</f>
        <v/>
      </c>
      <c r="H2905" s="32" t="str">
        <f>IFERROR(VLOOKUP(B2905,双一流!$B$2:$D$148,3,FALSE),"")</f>
        <v/>
      </c>
      <c r="I2905" s="32" t="str">
        <f>IFERROR(VLOOKUP(B2905,汇总!$B$2:$I$2921,8,FALSE),"")</f>
        <v/>
      </c>
      <c r="J2905" s="29" t="s">
        <v>1700</v>
      </c>
      <c r="K2905" s="29" t="s">
        <v>1252</v>
      </c>
    </row>
    <row r="2906" ht="33.75" spans="1:11">
      <c r="A2906" s="29">
        <v>2905</v>
      </c>
      <c r="B2906" s="34" t="s">
        <v>3292</v>
      </c>
      <c r="C2906" s="29" t="str">
        <f>VLOOKUP(B2906,教育部大学名单!$B$1:$D$2920,3,FALSE)</f>
        <v>山东省教育厅</v>
      </c>
      <c r="D2906" s="34" t="s">
        <v>628</v>
      </c>
      <c r="E2906" s="34" t="s">
        <v>662</v>
      </c>
      <c r="F2906" s="36" t="str">
        <f>IFERROR(VLOOKUP(B2906,'985'!$B$2:$D$40,3,FALSE),"")</f>
        <v/>
      </c>
      <c r="G2906" s="32" t="str">
        <f>IFERROR(VLOOKUP(B2906,'211'!$B$2:$D$116,3,FALSE),"")</f>
        <v/>
      </c>
      <c r="H2906" s="32" t="str">
        <f>IFERROR(VLOOKUP(B2906,双一流!$B$2:$D$148,3,FALSE),"")</f>
        <v/>
      </c>
      <c r="I2906" s="32" t="str">
        <f>IFERROR(VLOOKUP(B2906,汇总!$B$2:$I$2921,8,FALSE),"")</f>
        <v/>
      </c>
      <c r="J2906" s="34" t="s">
        <v>1700</v>
      </c>
      <c r="K2906" s="34" t="s">
        <v>1252</v>
      </c>
    </row>
    <row r="2907" ht="33.75" spans="1:11">
      <c r="A2907" s="34">
        <v>2906</v>
      </c>
      <c r="B2907" s="29" t="s">
        <v>3293</v>
      </c>
      <c r="C2907" s="29" t="str">
        <f>VLOOKUP(B2907,教育部大学名单!$B$1:$D$2920,3,FALSE)</f>
        <v>山东省教育厅</v>
      </c>
      <c r="D2907" s="29" t="s">
        <v>628</v>
      </c>
      <c r="E2907" s="29" t="s">
        <v>666</v>
      </c>
      <c r="F2907" s="36" t="str">
        <f>IFERROR(VLOOKUP(B2907,'985'!$B$2:$D$40,3,FALSE),"")</f>
        <v/>
      </c>
      <c r="G2907" s="32" t="str">
        <f>IFERROR(VLOOKUP(B2907,'211'!$B$2:$D$116,3,FALSE),"")</f>
        <v/>
      </c>
      <c r="H2907" s="32" t="str">
        <f>IFERROR(VLOOKUP(B2907,双一流!$B$2:$D$148,3,FALSE),"")</f>
        <v/>
      </c>
      <c r="I2907" s="32" t="str">
        <f>IFERROR(VLOOKUP(B2907,汇总!$B$2:$I$2921,8,FALSE),"")</f>
        <v/>
      </c>
      <c r="J2907" s="29" t="s">
        <v>1700</v>
      </c>
      <c r="K2907" s="29" t="s">
        <v>1252</v>
      </c>
    </row>
    <row r="2908" ht="33.75" spans="1:11">
      <c r="A2908" s="29">
        <v>2907</v>
      </c>
      <c r="B2908" s="34" t="s">
        <v>3294</v>
      </c>
      <c r="C2908" s="29" t="str">
        <f>VLOOKUP(B2908,教育部大学名单!$B$1:$D$2920,3,FALSE)</f>
        <v>河南省教育厅</v>
      </c>
      <c r="D2908" s="34" t="s">
        <v>692</v>
      </c>
      <c r="E2908" s="34" t="s">
        <v>709</v>
      </c>
      <c r="F2908" s="36" t="str">
        <f>IFERROR(VLOOKUP(B2908,'985'!$B$2:$D$40,3,FALSE),"")</f>
        <v/>
      </c>
      <c r="G2908" s="32" t="str">
        <f>IFERROR(VLOOKUP(B2908,'211'!$B$2:$D$116,3,FALSE),"")</f>
        <v/>
      </c>
      <c r="H2908" s="32" t="str">
        <f>IFERROR(VLOOKUP(B2908,双一流!$B$2:$D$148,3,FALSE),"")</f>
        <v/>
      </c>
      <c r="I2908" s="32" t="str">
        <f>IFERROR(VLOOKUP(B2908,汇总!$B$2:$I$2921,8,FALSE),"")</f>
        <v/>
      </c>
      <c r="J2908" s="34" t="s">
        <v>1700</v>
      </c>
      <c r="K2908" s="34" t="s">
        <v>1252</v>
      </c>
    </row>
    <row r="2909" ht="33.75" spans="1:11">
      <c r="A2909" s="34">
        <v>2908</v>
      </c>
      <c r="B2909" s="29" t="s">
        <v>3295</v>
      </c>
      <c r="C2909" s="29" t="str">
        <f>VLOOKUP(B2909,教育部大学名单!$B$1:$D$2920,3,FALSE)</f>
        <v>河南省教育厅</v>
      </c>
      <c r="D2909" s="29" t="s">
        <v>692</v>
      </c>
      <c r="E2909" s="29" t="s">
        <v>709</v>
      </c>
      <c r="F2909" s="36" t="str">
        <f>IFERROR(VLOOKUP(B2909,'985'!$B$2:$D$40,3,FALSE),"")</f>
        <v/>
      </c>
      <c r="G2909" s="32" t="str">
        <f>IFERROR(VLOOKUP(B2909,'211'!$B$2:$D$116,3,FALSE),"")</f>
        <v/>
      </c>
      <c r="H2909" s="32" t="str">
        <f>IFERROR(VLOOKUP(B2909,双一流!$B$2:$D$148,3,FALSE),"")</f>
        <v/>
      </c>
      <c r="I2909" s="32" t="str">
        <f>IFERROR(VLOOKUP(B2909,汇总!$B$2:$I$2921,8,FALSE),"")</f>
        <v/>
      </c>
      <c r="J2909" s="29" t="s">
        <v>1700</v>
      </c>
      <c r="K2909" s="29" t="s">
        <v>1252</v>
      </c>
    </row>
    <row r="2910" ht="33.75" spans="1:11">
      <c r="A2910" s="29">
        <v>2909</v>
      </c>
      <c r="B2910" s="34" t="s">
        <v>3296</v>
      </c>
      <c r="C2910" s="29" t="str">
        <f>VLOOKUP(B2910,教育部大学名单!$B$1:$D$2920,3,FALSE)</f>
        <v>河南省教育厅</v>
      </c>
      <c r="D2910" s="34" t="s">
        <v>692</v>
      </c>
      <c r="E2910" s="34" t="s">
        <v>714</v>
      </c>
      <c r="F2910" s="36" t="str">
        <f>IFERROR(VLOOKUP(B2910,'985'!$B$2:$D$40,3,FALSE),"")</f>
        <v/>
      </c>
      <c r="G2910" s="32" t="str">
        <f>IFERROR(VLOOKUP(B2910,'211'!$B$2:$D$116,3,FALSE),"")</f>
        <v/>
      </c>
      <c r="H2910" s="32" t="str">
        <f>IFERROR(VLOOKUP(B2910,双一流!$B$2:$D$148,3,FALSE),"")</f>
        <v/>
      </c>
      <c r="I2910" s="32" t="str">
        <f>IFERROR(VLOOKUP(B2910,汇总!$B$2:$I$2921,8,FALSE),"")</f>
        <v/>
      </c>
      <c r="J2910" s="34" t="s">
        <v>1700</v>
      </c>
      <c r="K2910" s="34" t="s">
        <v>1252</v>
      </c>
    </row>
    <row r="2911" ht="33.75" spans="1:11">
      <c r="A2911" s="34">
        <v>2910</v>
      </c>
      <c r="B2911" s="29" t="s">
        <v>3297</v>
      </c>
      <c r="C2911" s="29" t="str">
        <f>VLOOKUP(B2911,教育部大学名单!$B$1:$D$2920,3,FALSE)</f>
        <v>河南省教育厅</v>
      </c>
      <c r="D2911" s="29" t="s">
        <v>692</v>
      </c>
      <c r="E2911" s="29" t="s">
        <v>729</v>
      </c>
      <c r="F2911" s="36" t="str">
        <f>IFERROR(VLOOKUP(B2911,'985'!$B$2:$D$40,3,FALSE),"")</f>
        <v/>
      </c>
      <c r="G2911" s="32" t="str">
        <f>IFERROR(VLOOKUP(B2911,'211'!$B$2:$D$116,3,FALSE),"")</f>
        <v/>
      </c>
      <c r="H2911" s="32" t="str">
        <f>IFERROR(VLOOKUP(B2911,双一流!$B$2:$D$148,3,FALSE),"")</f>
        <v/>
      </c>
      <c r="I2911" s="32" t="str">
        <f>IFERROR(VLOOKUP(B2911,汇总!$B$2:$I$2921,8,FALSE),"")</f>
        <v/>
      </c>
      <c r="J2911" s="29" t="s">
        <v>1700</v>
      </c>
      <c r="K2911" s="29" t="s">
        <v>1252</v>
      </c>
    </row>
    <row r="2912" ht="33.75" spans="1:11">
      <c r="A2912" s="29">
        <v>2911</v>
      </c>
      <c r="B2912" s="34" t="s">
        <v>3298</v>
      </c>
      <c r="C2912" s="29" t="str">
        <f>VLOOKUP(B2912,教育部大学名单!$B$1:$D$2920,3,FALSE)</f>
        <v>湖南省教育厅</v>
      </c>
      <c r="D2912" s="34" t="s">
        <v>797</v>
      </c>
      <c r="E2912" s="34" t="s">
        <v>811</v>
      </c>
      <c r="F2912" s="36" t="str">
        <f>IFERROR(VLOOKUP(B2912,'985'!$B$2:$D$40,3,FALSE),"")</f>
        <v/>
      </c>
      <c r="G2912" s="32" t="str">
        <f>IFERROR(VLOOKUP(B2912,'211'!$B$2:$D$116,3,FALSE),"")</f>
        <v/>
      </c>
      <c r="H2912" s="32" t="str">
        <f>IFERROR(VLOOKUP(B2912,双一流!$B$2:$D$148,3,FALSE),"")</f>
        <v/>
      </c>
      <c r="I2912" s="32" t="str">
        <f>IFERROR(VLOOKUP(B2912,汇总!$B$2:$I$2921,8,FALSE),"")</f>
        <v/>
      </c>
      <c r="J2912" s="34" t="s">
        <v>1700</v>
      </c>
      <c r="K2912" s="34" t="s">
        <v>1252</v>
      </c>
    </row>
    <row r="2913" ht="33.75" spans="1:11">
      <c r="A2913" s="34">
        <v>2912</v>
      </c>
      <c r="B2913" s="29" t="s">
        <v>3299</v>
      </c>
      <c r="C2913" s="29" t="str">
        <f>VLOOKUP(B2913,教育部大学名单!$B$1:$D$2920,3,FALSE)</f>
        <v>湖南省教育厅</v>
      </c>
      <c r="D2913" s="29" t="s">
        <v>797</v>
      </c>
      <c r="E2913" s="29" t="s">
        <v>817</v>
      </c>
      <c r="F2913" s="36" t="str">
        <f>IFERROR(VLOOKUP(B2913,'985'!$B$2:$D$40,3,FALSE),"")</f>
        <v/>
      </c>
      <c r="G2913" s="32" t="str">
        <f>IFERROR(VLOOKUP(B2913,'211'!$B$2:$D$116,3,FALSE),"")</f>
        <v/>
      </c>
      <c r="H2913" s="32" t="str">
        <f>IFERROR(VLOOKUP(B2913,双一流!$B$2:$D$148,3,FALSE),"")</f>
        <v/>
      </c>
      <c r="I2913" s="32" t="str">
        <f>IFERROR(VLOOKUP(B2913,汇总!$B$2:$I$2921,8,FALSE),"")</f>
        <v/>
      </c>
      <c r="J2913" s="29" t="s">
        <v>1700</v>
      </c>
      <c r="K2913" s="29" t="s">
        <v>1252</v>
      </c>
    </row>
    <row r="2914" ht="33.75" spans="1:11">
      <c r="A2914" s="29">
        <v>2913</v>
      </c>
      <c r="B2914" s="34" t="s">
        <v>3300</v>
      </c>
      <c r="C2914" s="29" t="str">
        <f>VLOOKUP(B2914,教育部大学名单!$B$1:$D$2920,3,FALSE)</f>
        <v>重庆市教委</v>
      </c>
      <c r="D2914" s="34" t="s">
        <v>951</v>
      </c>
      <c r="E2914" s="34" t="s">
        <v>951</v>
      </c>
      <c r="F2914" s="36" t="str">
        <f>IFERROR(VLOOKUP(B2914,'985'!$B$2:$D$40,3,FALSE),"")</f>
        <v/>
      </c>
      <c r="G2914" s="32" t="str">
        <f>IFERROR(VLOOKUP(B2914,'211'!$B$2:$D$116,3,FALSE),"")</f>
        <v/>
      </c>
      <c r="H2914" s="32" t="str">
        <f>IFERROR(VLOOKUP(B2914,双一流!$B$2:$D$148,3,FALSE),"")</f>
        <v/>
      </c>
      <c r="I2914" s="32" t="str">
        <f>IFERROR(VLOOKUP(B2914,汇总!$B$2:$I$2921,8,FALSE),"")</f>
        <v/>
      </c>
      <c r="J2914" s="34" t="s">
        <v>1700</v>
      </c>
      <c r="K2914" s="34" t="s">
        <v>1252</v>
      </c>
    </row>
    <row r="2915" ht="33.75" spans="1:11">
      <c r="A2915" s="34">
        <v>2914</v>
      </c>
      <c r="B2915" s="29" t="s">
        <v>3301</v>
      </c>
      <c r="C2915" s="29" t="str">
        <f>VLOOKUP(B2915,教育部大学名单!$B$1:$D$2920,3,FALSE)</f>
        <v>云南省教育厅</v>
      </c>
      <c r="D2915" s="29" t="s">
        <v>1060</v>
      </c>
      <c r="E2915" s="29" t="s">
        <v>1061</v>
      </c>
      <c r="F2915" s="36" t="str">
        <f>IFERROR(VLOOKUP(B2915,'985'!$B$2:$D$40,3,FALSE),"")</f>
        <v/>
      </c>
      <c r="G2915" s="32" t="str">
        <f>IFERROR(VLOOKUP(B2915,'211'!$B$2:$D$116,3,FALSE),"")</f>
        <v/>
      </c>
      <c r="H2915" s="32" t="str">
        <f>IFERROR(VLOOKUP(B2915,双一流!$B$2:$D$148,3,FALSE),"")</f>
        <v/>
      </c>
      <c r="I2915" s="32" t="str">
        <f>IFERROR(VLOOKUP(B2915,汇总!$B$2:$I$2921,8,FALSE),"")</f>
        <v/>
      </c>
      <c r="J2915" s="29" t="s">
        <v>1700</v>
      </c>
      <c r="K2915" s="29" t="s">
        <v>1252</v>
      </c>
    </row>
    <row r="2916" ht="33.75" spans="1:11">
      <c r="A2916" s="29">
        <v>2915</v>
      </c>
      <c r="B2916" s="34" t="s">
        <v>3302</v>
      </c>
      <c r="C2916" s="29" t="str">
        <f>VLOOKUP(B2916,教育部大学名单!$B$1:$D$2920,3,FALSE)</f>
        <v>江苏省教育厅</v>
      </c>
      <c r="D2916" s="34" t="s">
        <v>379</v>
      </c>
      <c r="E2916" s="34" t="s">
        <v>382</v>
      </c>
      <c r="F2916" s="36" t="str">
        <f>IFERROR(VLOOKUP(B2916,'985'!$B$2:$D$40,3,FALSE),"")</f>
        <v/>
      </c>
      <c r="G2916" s="32" t="str">
        <f>IFERROR(VLOOKUP(B2916,'211'!$B$2:$D$116,3,FALSE),"")</f>
        <v/>
      </c>
      <c r="H2916" s="32" t="str">
        <f>IFERROR(VLOOKUP(B2916,双一流!$B$2:$D$148,3,FALSE),"")</f>
        <v/>
      </c>
      <c r="I2916" s="32">
        <f>IFERROR(VLOOKUP(B2916,汇总!$B$2:$I$2921,8,FALSE),"")</f>
        <v>0</v>
      </c>
      <c r="J2916" s="34" t="s">
        <v>1700</v>
      </c>
      <c r="K2916" s="34" t="s">
        <v>1687</v>
      </c>
    </row>
    <row r="2917" ht="50.25" spans="1:11">
      <c r="A2917" s="34">
        <v>2916</v>
      </c>
      <c r="B2917" s="29" t="s">
        <v>3303</v>
      </c>
      <c r="C2917" s="29" t="str">
        <f>VLOOKUP(B2917,教育部大学名单!$B$1:$D$2920,3,FALSE)</f>
        <v>福建省教育厅</v>
      </c>
      <c r="D2917" s="29" t="s">
        <v>553</v>
      </c>
      <c r="E2917" s="29" t="s">
        <v>558</v>
      </c>
      <c r="F2917" s="36" t="str">
        <f>IFERROR(VLOOKUP(B2917,'985'!$B$2:$D$40,3,FALSE),"")</f>
        <v/>
      </c>
      <c r="G2917" s="32" t="str">
        <f>IFERROR(VLOOKUP(B2917,'211'!$B$2:$D$116,3,FALSE),"")</f>
        <v/>
      </c>
      <c r="H2917" s="32" t="str">
        <f>IFERROR(VLOOKUP(B2917,双一流!$B$2:$D$148,3,FALSE),"")</f>
        <v/>
      </c>
      <c r="I2917" s="32">
        <f>IFERROR(VLOOKUP(B2917,汇总!$B$2:$I$2921,8,FALSE),"")</f>
        <v>0</v>
      </c>
      <c r="J2917" s="29" t="s">
        <v>1700</v>
      </c>
      <c r="K2917" s="29" t="s">
        <v>1687</v>
      </c>
    </row>
    <row r="2918" ht="33.75" spans="1:11">
      <c r="A2918" s="29">
        <v>2917</v>
      </c>
      <c r="B2918" s="34" t="s">
        <v>3304</v>
      </c>
      <c r="C2918" s="29" t="str">
        <f>VLOOKUP(B2918,教育部大学名单!$B$1:$D$2920,3,FALSE)</f>
        <v>河南省教育厅</v>
      </c>
      <c r="D2918" s="34" t="s">
        <v>692</v>
      </c>
      <c r="E2918" s="34" t="s">
        <v>693</v>
      </c>
      <c r="F2918" s="36" t="str">
        <f>IFERROR(VLOOKUP(B2918,'985'!$B$2:$D$40,3,FALSE),"")</f>
        <v/>
      </c>
      <c r="G2918" s="32" t="str">
        <f>IFERROR(VLOOKUP(B2918,'211'!$B$2:$D$116,3,FALSE),"")</f>
        <v/>
      </c>
      <c r="H2918" s="32" t="str">
        <f>IFERROR(VLOOKUP(B2918,双一流!$B$2:$D$148,3,FALSE),"")</f>
        <v/>
      </c>
      <c r="I2918" s="32">
        <f>IFERROR(VLOOKUP(B2918,汇总!$B$2:$I$2921,8,FALSE),"")</f>
        <v>0</v>
      </c>
      <c r="J2918" s="34" t="s">
        <v>1700</v>
      </c>
      <c r="K2918" s="34" t="s">
        <v>1687</v>
      </c>
    </row>
  </sheetData>
  <hyperlinks>
    <hyperlink ref="B24" r:id="rId1" display="北京中医药大学" tooltip="https://www.dxsbb.com/news/list_198.html"/>
    <hyperlink ref="B25" r:id="rId2" display="北京师范大学" tooltip="https://www.dxsbb.com/news/list_196.html"/>
    <hyperlink ref="B27" r:id="rId3" display="首都体育学院" tooltip="https://www.dxsbb.com/news/list_205.html"/>
    <hyperlink ref="B30" r:id="rId4" display="北京语言大学" tooltip="https://www.dxsbb.com/news/list_199.html"/>
    <hyperlink ref="B32" r:id="rId5" display="中央财经大学" tooltip="https://www.dxsbb.com/news/list_197.html"/>
    <hyperlink ref="B46" r:id="rId6" display="北京电影学院" tooltip="https://www.dxsbb.com/news/list_45.html"/>
    <hyperlink ref="B48" r:id="rId7" display="中央民族大学" tooltip="https://www.dxsbb.com/news/list_202.html"/>
    <hyperlink ref="B49" r:id="rId8" display="中国政法大学" tooltip="https://www.dxsbb.com/news/list_201.html"/>
    <hyperlink ref="B86" r:id="rId9" display="河北大学" tooltip="https://www.dxsbb.com/news/list_105.html"/>
    <hyperlink ref="B127" r:id="rId10" display="山西大学" tooltip="https://www.dxsbb.com/news/list_114.html"/>
    <hyperlink ref="B155" r:id="rId11" display="内蒙古大学" tooltip="https://www.dxsbb.com/news/list_122.html"/>
    <hyperlink ref="B168" r:id="rId12" display="内蒙古艺术学院" tooltip="https://www.dxsbb.com/news/list_204.html"/>
    <hyperlink ref="B174" r:id="rId13" display="辽宁大学" tooltip="https://www.dxsbb.com/news/list_107.html"/>
    <hyperlink ref="A212" r:id="rId14" display="211" tooltip="https://www.dxsbb.com/news/list_194.html"/>
    <hyperlink ref="B216" r:id="rId15" display="吉林大学" tooltip="https://www.dxsbb.com/news/list_119.html"/>
    <hyperlink ref="B244" r:id="rId16" display="黑龙江大学" tooltip="https://www.dxsbb.com/news/list_113.html"/>
    <hyperlink ref="B360" r:id="rId17" display="浙江大学" tooltip="https://www.dxsbb.com/news/list_110.html"/>
    <hyperlink ref="B365" r:id="rId18" display="浙江农林大学" tooltip="https://www.dxsbb.com/news/list_203.html"/>
    <hyperlink ref="B402" r:id="rId19" display="安徽大学" tooltip="https://www.dxsbb.com/news/list_106.html"/>
    <hyperlink ref="B491" r:id="rId20" display="山东大学" tooltip="https://www.dxsbb.com/news/list_100.html"/>
    <hyperlink ref="B695" r:id="rId21" display="广西大学" tooltip="https://www.dxsbb.com/news/list_115.html"/>
    <hyperlink ref="B724" r:id="rId22" display="海南大学" tooltip="https://www.dxsbb.com/news/list_125.html"/>
    <hyperlink ref="B729" r:id="rId23" display="重庆大学" tooltip="https://www.dxsbb.com/news/list_117.html"/>
    <hyperlink ref="B738" r:id="rId24" display="四川外国语大学" tooltip="https://www.dxsbb.com/news/list_109.html"/>
    <hyperlink ref="B787" r:id="rId25" display="贵州大学" tooltip="https://www.dxsbb.com/news/list_121.html"/>
    <hyperlink ref="B811" r:id="rId26" display="云南大学" tooltip="https://www.dxsbb.com/news/list_118.html"/>
    <hyperlink ref="B838" r:id="rId27" display="西藏农牧大学" tooltip="https://www.dxsbb.com/news/list_128.html"/>
    <hyperlink ref="B905" r:id="rId28" display="青海大学" tooltip="https://www.dxsbb.com/news/list_127.html"/>
    <hyperlink ref="B909" r:id="rId29" display="宁夏大学" tooltip="https://www.dxsbb.com/news/list_126.html"/>
    <hyperlink ref="B915" r:id="rId30" display="新疆大学" tooltip="https://www.dxsbb.com/news/list_124.html"/>
    <hyperlink ref="A986" r:id="rId31" display="985" tooltip="https://www.dxsbb.com/news/list_195.html"/>
    <hyperlink ref="B994" r:id="rId32" display="内蒙古大学创业学院" tooltip="https://www.dxsbb.com/news/list_36.html"/>
    <hyperlink ref="B1395" r:id="rId33" display="天津滨海职业学院" tooltip="https://www.dxsbb.com/news/list_120.html"/>
    <hyperlink ref="B1435" r:id="rId1" display="河北化工医药职业技术学院" tooltip="https://www.dxsbb.com/news/list_198.html"/>
    <hyperlink ref="B1449" r:id="rId2" display="河北正定师范高等专科学校" tooltip="https://www.dxsbb.com/news/list_196.html"/>
    <hyperlink ref="B1464" r:id="rId10" display="山西省财政税务专科学校" tooltip="https://www.dxsbb.com/news/list_114.html"/>
    <hyperlink ref="B1525" r:id="rId7" display="内蒙古民族幼儿师范高等专科学校" tooltip="https://www.dxsbb.com/news/list_202.html"/>
    <hyperlink ref="A1591" r:id="rId14" display="1590" tooltip="https://www.dxsbb.com/news/list_194.html"/>
    <hyperlink ref="B1618" r:id="rId34" display="上海旅游高等专科学校" tooltip="https://www.dxsbb.com/news/list_116.html"/>
    <hyperlink ref="B1627" r:id="rId18" display="上海农林职业技术学院" tooltip="https://www.dxsbb.com/news/list_203.html"/>
    <hyperlink ref="B1630" r:id="rId22" display="上海南湖职业技术学院" tooltip="https://www.dxsbb.com/news/list_125.html"/>
    <hyperlink ref="B1675" r:id="rId5" display="江苏财经职业技术学院" tooltip="https://www.dxsbb.com/news/list_197.html"/>
    <hyperlink ref="B1784" r:id="rId35" display="福建船政交通职业学院" tooltip="https://www.dxsbb.com/news/list_112.html"/>
    <hyperlink ref="B1856" r:id="rId20" display="山东医学高等专科学校" tooltip="https://www.dxsbb.com/news/list_100.html"/>
    <hyperlink ref="B1905" r:id="rId36" display="山东理工职业学院" tooltip="https://www.dxsbb.com/news/list_200.html"/>
    <hyperlink ref="B1920" r:id="rId37" display="河南职业技术学院" tooltip="https://www.dxsbb.com/news/list_102.html"/>
    <hyperlink ref="B2104" r:id="rId38" display="广东交通职业技术学院" tooltip="https://www.dxsbb.com/news/list_101.html"/>
    <hyperlink ref="B2165" r:id="rId21" display="广西机电职业技术学院" tooltip="https://www.dxsbb.com/news/list_115.html"/>
    <hyperlink ref="B2202" r:id="rId23" display="重庆航天职业技术学院" tooltip="https://www.dxsbb.com/news/list_117.html"/>
    <hyperlink ref="B2223" r:id="rId24" display="四川电力职业技术学院" tooltip="https://www.dxsbb.com/news/list_109.html"/>
    <hyperlink ref="B2302" r:id="rId26" display="云南国土资源职业学院" tooltip="https://www.dxsbb.com/news/list_118.html"/>
    <hyperlink ref="B2336" r:id="rId27" display="西藏警官高等专科学校" tooltip="https://www.dxsbb.com/news/list_128.html"/>
    <hyperlink ref="A2365" r:id="rId31" display="2364" tooltip="https://www.dxsbb.com/news/list_195.html"/>
    <hyperlink ref="B2382" r:id="rId28" display="青海卫生职业技术学院" tooltip="https://www.dxsbb.com/news/list_127.html"/>
    <hyperlink ref="B2389" r:id="rId29" display="宁夏民族职业技术学院" tooltip="https://www.dxsbb.com/news/list_126.html"/>
    <hyperlink ref="B2575" r:id="rId6" display="上海电影艺术职业学院" tooltip="https://www.dxsbb.com/news/list_45.html"/>
    <hyperlink ref="D65" r:id="rId33" display="天津" tooltip="https://www.dxsbb.com/news/list_120.html"/>
    <hyperlink ref="D274" r:id="rId34" display="上海" tooltip="https://www.dxsbb.com/news/list_116.html"/>
    <hyperlink ref="D305" r:id="rId39" display="江苏" tooltip="https://www.dxsbb.com/news/list_99.html"/>
    <hyperlink ref="D437" r:id="rId35" display="福建" tooltip="https://www.dxsbb.com/news/list_112.html"/>
    <hyperlink ref="D461" r:id="rId40" display="江西" tooltip="https://www.dxsbb.com/news/list_111.html"/>
    <hyperlink ref="D539" r:id="rId37" display="河南" tooltip="https://www.dxsbb.com/news/list_102.html"/>
    <hyperlink ref="D579" r:id="rId41" display="湖北" tooltip="https://www.dxsbb.com/news/list_103.html"/>
    <hyperlink ref="D618" r:id="rId42" display="湖南" tooltip="https://www.dxsbb.com/news/list_104.html"/>
    <hyperlink ref="D651" r:id="rId38" display="广东" tooltip="https://www.dxsbb.com/news/list_101.html"/>
    <hyperlink ref="D840" r:id="rId43" display="陕西" tooltip="https://www.dxsbb.com/news/list_108.html"/>
    <hyperlink ref="D880" r:id="rId44" display="甘肃" tooltip="https://www.dxsbb.com/news/list_123.html"/>
    <hyperlink ref="D1418" r:id="rId9" display="河北" tooltip="https://www.dxsbb.com/news/list_105.html"/>
    <hyperlink ref="D1504" r:id="rId11" display="内蒙古" tooltip="https://www.dxsbb.com/news/list_122.html"/>
    <hyperlink ref="D1529" r:id="rId13" display="辽宁" tooltip="https://www.dxsbb.com/news/list_107.html"/>
    <hyperlink ref="D1570" r:id="rId15" display="吉林" tooltip="https://www.dxsbb.com/news/list_119.html"/>
    <hyperlink ref="D1588" r:id="rId16" display="黑龙江" tooltip="https://www.dxsbb.com/news/list_113.html"/>
    <hyperlink ref="D1631" r:id="rId39" display="江苏" tooltip="https://www.dxsbb.com/news/list_99.html"/>
    <hyperlink ref="D1694" r:id="rId17" display="浙江" tooltip="https://www.dxsbb.com/news/list_110.html"/>
    <hyperlink ref="D1729" r:id="rId19" display="安徽" tooltip="https://www.dxsbb.com/news/list_106.html"/>
    <hyperlink ref="D1811" r:id="rId40" display="江西" tooltip="https://www.dxsbb.com/news/list_111.html"/>
    <hyperlink ref="D1991" r:id="rId41" display="湖北" tooltip="https://www.dxsbb.com/news/list_103.html"/>
    <hyperlink ref="D2038" r:id="rId42" display="湖南" tooltip="https://www.dxsbb.com/news/list_104.html"/>
    <hyperlink ref="D2266" r:id="rId25" display="贵州" tooltip="https://www.dxsbb.com/news/list_121.html"/>
    <hyperlink ref="D2338" r:id="rId43" display="陕西" tooltip="https://www.dxsbb.com/news/list_108.html"/>
    <hyperlink ref="D2365" r:id="rId44" display="甘肃" tooltip="https://www.dxsbb.com/news/list_123.html"/>
    <hyperlink ref="D2399" r:id="rId30" display="新疆" tooltip="https://www.dxsbb.com/news/list_124.html"/>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20"/>
  <sheetViews>
    <sheetView topLeftCell="A2879" workbookViewId="0">
      <selection activeCell="I14" sqref="I14"/>
    </sheetView>
  </sheetViews>
  <sheetFormatPr defaultColWidth="9" defaultRowHeight="13.5" outlineLevelCol="6"/>
  <cols>
    <col min="3" max="3" width="11" customWidth="1"/>
  </cols>
  <sheetData>
    <row r="1" spans="1:7">
      <c r="A1" s="28" t="s">
        <v>0</v>
      </c>
      <c r="B1" s="28" t="s">
        <v>1</v>
      </c>
      <c r="C1" s="28" t="s">
        <v>3305</v>
      </c>
      <c r="D1" s="28" t="s">
        <v>2</v>
      </c>
      <c r="E1" s="28" t="s">
        <v>3306</v>
      </c>
      <c r="F1" s="28" t="s">
        <v>3307</v>
      </c>
      <c r="G1" s="28" t="s">
        <v>3308</v>
      </c>
    </row>
    <row r="2" spans="1:7">
      <c r="A2" s="28">
        <v>1</v>
      </c>
      <c r="B2" s="28" t="s">
        <v>9</v>
      </c>
      <c r="C2" s="28">
        <v>4111010001</v>
      </c>
      <c r="D2" s="28" t="s">
        <v>3309</v>
      </c>
      <c r="E2" s="28" t="s">
        <v>3310</v>
      </c>
      <c r="F2" s="28" t="s">
        <v>11</v>
      </c>
      <c r="G2" s="28"/>
    </row>
    <row r="3" spans="1:7">
      <c r="A3" s="28">
        <v>2</v>
      </c>
      <c r="B3" s="28" t="s">
        <v>13</v>
      </c>
      <c r="C3" s="28">
        <v>4111010002</v>
      </c>
      <c r="D3" s="28" t="s">
        <v>3309</v>
      </c>
      <c r="E3" s="28" t="s">
        <v>3310</v>
      </c>
      <c r="F3" s="28" t="s">
        <v>11</v>
      </c>
      <c r="G3" s="28"/>
    </row>
    <row r="4" spans="1:7">
      <c r="A4" s="28">
        <v>3</v>
      </c>
      <c r="B4" s="28" t="s">
        <v>14</v>
      </c>
      <c r="C4" s="28">
        <v>4111010003</v>
      </c>
      <c r="D4" s="28" t="s">
        <v>3309</v>
      </c>
      <c r="E4" s="28" t="s">
        <v>3310</v>
      </c>
      <c r="F4" s="28" t="s">
        <v>11</v>
      </c>
      <c r="G4" s="28"/>
    </row>
    <row r="5" spans="1:7">
      <c r="A5" s="28">
        <v>4</v>
      </c>
      <c r="B5" s="28" t="s">
        <v>15</v>
      </c>
      <c r="C5" s="28">
        <v>4111010004</v>
      </c>
      <c r="D5" s="28" t="s">
        <v>3309</v>
      </c>
      <c r="E5" s="28" t="s">
        <v>3310</v>
      </c>
      <c r="F5" s="28" t="s">
        <v>11</v>
      </c>
      <c r="G5" s="28"/>
    </row>
    <row r="6" spans="1:7">
      <c r="A6" s="28">
        <v>5</v>
      </c>
      <c r="B6" s="28" t="s">
        <v>16</v>
      </c>
      <c r="C6" s="28">
        <v>4111010005</v>
      </c>
      <c r="D6" s="28" t="s">
        <v>3310</v>
      </c>
      <c r="E6" s="28" t="s">
        <v>3310</v>
      </c>
      <c r="F6" s="28" t="s">
        <v>11</v>
      </c>
      <c r="G6" s="28"/>
    </row>
    <row r="7" spans="1:7">
      <c r="A7" s="28">
        <v>6</v>
      </c>
      <c r="B7" s="28" t="s">
        <v>17</v>
      </c>
      <c r="C7" s="28">
        <v>4111010006</v>
      </c>
      <c r="D7" s="28" t="s">
        <v>3311</v>
      </c>
      <c r="E7" s="28" t="s">
        <v>3310</v>
      </c>
      <c r="F7" s="28" t="s">
        <v>11</v>
      </c>
      <c r="G7" s="28"/>
    </row>
    <row r="8" spans="1:7">
      <c r="A8" s="28">
        <v>7</v>
      </c>
      <c r="B8" s="28" t="s">
        <v>18</v>
      </c>
      <c r="C8" s="28">
        <v>4111010007</v>
      </c>
      <c r="D8" s="28" t="s">
        <v>3311</v>
      </c>
      <c r="E8" s="28" t="s">
        <v>3310</v>
      </c>
      <c r="F8" s="28" t="s">
        <v>11</v>
      </c>
      <c r="G8" s="28"/>
    </row>
    <row r="9" spans="1:7">
      <c r="A9" s="28">
        <v>8</v>
      </c>
      <c r="B9" s="28" t="s">
        <v>19</v>
      </c>
      <c r="C9" s="28">
        <v>4111010008</v>
      </c>
      <c r="D9" s="28" t="s">
        <v>3309</v>
      </c>
      <c r="E9" s="28" t="s">
        <v>3310</v>
      </c>
      <c r="F9" s="28" t="s">
        <v>11</v>
      </c>
      <c r="G9" s="28"/>
    </row>
    <row r="10" spans="1:7">
      <c r="A10" s="28">
        <v>9</v>
      </c>
      <c r="B10" s="28" t="s">
        <v>20</v>
      </c>
      <c r="C10" s="28">
        <v>4111010009</v>
      </c>
      <c r="D10" s="28" t="s">
        <v>3310</v>
      </c>
      <c r="E10" s="28" t="s">
        <v>3310</v>
      </c>
      <c r="F10" s="28" t="s">
        <v>11</v>
      </c>
      <c r="G10" s="28"/>
    </row>
    <row r="11" spans="1:7">
      <c r="A11" s="28">
        <v>10</v>
      </c>
      <c r="B11" s="28" t="s">
        <v>21</v>
      </c>
      <c r="C11" s="28">
        <v>4111010010</v>
      </c>
      <c r="D11" s="28" t="s">
        <v>3309</v>
      </c>
      <c r="E11" s="28" t="s">
        <v>3310</v>
      </c>
      <c r="F11" s="28" t="s">
        <v>11</v>
      </c>
      <c r="G11" s="28"/>
    </row>
    <row r="12" spans="1:7">
      <c r="A12" s="28">
        <v>11</v>
      </c>
      <c r="B12" s="28" t="s">
        <v>22</v>
      </c>
      <c r="C12" s="28">
        <v>4111010011</v>
      </c>
      <c r="D12" s="28" t="s">
        <v>3310</v>
      </c>
      <c r="E12" s="28" t="s">
        <v>3310</v>
      </c>
      <c r="F12" s="28" t="s">
        <v>11</v>
      </c>
      <c r="G12" s="28"/>
    </row>
    <row r="13" spans="1:7">
      <c r="A13" s="28">
        <v>12</v>
      </c>
      <c r="B13" s="28" t="s">
        <v>23</v>
      </c>
      <c r="C13" s="28">
        <v>4111010012</v>
      </c>
      <c r="D13" s="28" t="s">
        <v>3310</v>
      </c>
      <c r="E13" s="28" t="s">
        <v>3310</v>
      </c>
      <c r="F13" s="28" t="s">
        <v>11</v>
      </c>
      <c r="G13" s="28"/>
    </row>
    <row r="14" spans="1:7">
      <c r="A14" s="28">
        <v>13</v>
      </c>
      <c r="B14" s="28" t="s">
        <v>24</v>
      </c>
      <c r="C14" s="28">
        <v>4111010013</v>
      </c>
      <c r="D14" s="28" t="s">
        <v>3309</v>
      </c>
      <c r="E14" s="28" t="s">
        <v>3310</v>
      </c>
      <c r="F14" s="28" t="s">
        <v>11</v>
      </c>
      <c r="G14" s="28"/>
    </row>
    <row r="15" spans="1:7">
      <c r="A15" s="28">
        <v>14</v>
      </c>
      <c r="B15" s="28" t="s">
        <v>25</v>
      </c>
      <c r="C15" s="28">
        <v>4111010015</v>
      </c>
      <c r="D15" s="28" t="s">
        <v>3310</v>
      </c>
      <c r="E15" s="28" t="s">
        <v>3310</v>
      </c>
      <c r="F15" s="28" t="s">
        <v>11</v>
      </c>
      <c r="G15" s="28"/>
    </row>
    <row r="16" spans="1:7">
      <c r="A16" s="28">
        <v>15</v>
      </c>
      <c r="B16" s="28" t="s">
        <v>26</v>
      </c>
      <c r="C16" s="28">
        <v>4111010016</v>
      </c>
      <c r="D16" s="28" t="s">
        <v>3310</v>
      </c>
      <c r="E16" s="28" t="s">
        <v>3310</v>
      </c>
      <c r="F16" s="28" t="s">
        <v>11</v>
      </c>
      <c r="G16" s="28"/>
    </row>
    <row r="17" spans="1:7">
      <c r="A17" s="28">
        <v>16</v>
      </c>
      <c r="B17" s="28" t="s">
        <v>27</v>
      </c>
      <c r="C17" s="28">
        <v>4111010017</v>
      </c>
      <c r="D17" s="28" t="s">
        <v>3310</v>
      </c>
      <c r="E17" s="28" t="s">
        <v>3310</v>
      </c>
      <c r="F17" s="28" t="s">
        <v>11</v>
      </c>
      <c r="G17" s="28"/>
    </row>
    <row r="18" spans="1:7">
      <c r="A18" s="28">
        <v>17</v>
      </c>
      <c r="B18" s="28" t="s">
        <v>28</v>
      </c>
      <c r="C18" s="28">
        <v>4111010018</v>
      </c>
      <c r="D18" s="28" t="s">
        <v>3312</v>
      </c>
      <c r="E18" s="28" t="s">
        <v>3310</v>
      </c>
      <c r="F18" s="28" t="s">
        <v>11</v>
      </c>
      <c r="G18" s="28"/>
    </row>
    <row r="19" spans="1:7">
      <c r="A19" s="28">
        <v>18</v>
      </c>
      <c r="B19" s="28" t="s">
        <v>29</v>
      </c>
      <c r="C19" s="28">
        <v>4111010019</v>
      </c>
      <c r="D19" s="28" t="s">
        <v>3309</v>
      </c>
      <c r="E19" s="28" t="s">
        <v>3310</v>
      </c>
      <c r="F19" s="28" t="s">
        <v>11</v>
      </c>
      <c r="G19" s="28"/>
    </row>
    <row r="20" spans="1:7">
      <c r="A20" s="28">
        <v>19</v>
      </c>
      <c r="B20" s="28" t="s">
        <v>30</v>
      </c>
      <c r="C20" s="28">
        <v>4111010020</v>
      </c>
      <c r="D20" s="28" t="s">
        <v>3310</v>
      </c>
      <c r="E20" s="28" t="s">
        <v>3310</v>
      </c>
      <c r="F20" s="28" t="s">
        <v>11</v>
      </c>
      <c r="G20" s="28"/>
    </row>
    <row r="21" spans="1:7">
      <c r="A21" s="28">
        <v>20</v>
      </c>
      <c r="B21" s="28" t="s">
        <v>31</v>
      </c>
      <c r="C21" s="28">
        <v>4111010022</v>
      </c>
      <c r="D21" s="28" t="s">
        <v>3309</v>
      </c>
      <c r="E21" s="28" t="s">
        <v>3310</v>
      </c>
      <c r="F21" s="28" t="s">
        <v>11</v>
      </c>
      <c r="G21" s="28"/>
    </row>
    <row r="22" spans="1:7">
      <c r="A22" s="28">
        <v>21</v>
      </c>
      <c r="B22" s="28" t="s">
        <v>32</v>
      </c>
      <c r="C22" s="28">
        <v>4111010023</v>
      </c>
      <c r="D22" s="28" t="s">
        <v>3313</v>
      </c>
      <c r="E22" s="28" t="s">
        <v>3310</v>
      </c>
      <c r="F22" s="28" t="s">
        <v>11</v>
      </c>
      <c r="G22" s="28"/>
    </row>
    <row r="23" spans="1:7">
      <c r="A23" s="28">
        <v>22</v>
      </c>
      <c r="B23" s="28" t="s">
        <v>33</v>
      </c>
      <c r="C23" s="28">
        <v>4111010025</v>
      </c>
      <c r="D23" s="28" t="s">
        <v>3310</v>
      </c>
      <c r="E23" s="28" t="s">
        <v>3310</v>
      </c>
      <c r="F23" s="28" t="s">
        <v>11</v>
      </c>
      <c r="G23" s="28"/>
    </row>
    <row r="24" spans="1:7">
      <c r="A24" s="28">
        <v>23</v>
      </c>
      <c r="B24" s="28" t="s">
        <v>34</v>
      </c>
      <c r="C24" s="28">
        <v>4111010026</v>
      </c>
      <c r="D24" s="28" t="s">
        <v>3309</v>
      </c>
      <c r="E24" s="28" t="s">
        <v>3310</v>
      </c>
      <c r="F24" s="28" t="s">
        <v>11</v>
      </c>
      <c r="G24" s="28"/>
    </row>
    <row r="25" spans="1:7">
      <c r="A25" s="28">
        <v>24</v>
      </c>
      <c r="B25" s="28" t="s">
        <v>35</v>
      </c>
      <c r="C25" s="28">
        <v>4111010027</v>
      </c>
      <c r="D25" s="28" t="s">
        <v>3309</v>
      </c>
      <c r="E25" s="28" t="s">
        <v>3310</v>
      </c>
      <c r="F25" s="28" t="s">
        <v>11</v>
      </c>
      <c r="G25" s="28"/>
    </row>
    <row r="26" spans="1:7">
      <c r="A26" s="28">
        <v>25</v>
      </c>
      <c r="B26" s="28" t="s">
        <v>36</v>
      </c>
      <c r="C26" s="28">
        <v>4111010028</v>
      </c>
      <c r="D26" s="28" t="s">
        <v>3310</v>
      </c>
      <c r="E26" s="28" t="s">
        <v>3310</v>
      </c>
      <c r="F26" s="28" t="s">
        <v>11</v>
      </c>
      <c r="G26" s="28"/>
    </row>
    <row r="27" spans="1:7">
      <c r="A27" s="28">
        <v>26</v>
      </c>
      <c r="B27" s="28" t="s">
        <v>37</v>
      </c>
      <c r="C27" s="28">
        <v>4111010029</v>
      </c>
      <c r="D27" s="28" t="s">
        <v>3310</v>
      </c>
      <c r="E27" s="28" t="s">
        <v>3310</v>
      </c>
      <c r="F27" s="28" t="s">
        <v>11</v>
      </c>
      <c r="G27" s="28"/>
    </row>
    <row r="28" spans="1:7">
      <c r="A28" s="28">
        <v>27</v>
      </c>
      <c r="B28" s="28" t="s">
        <v>38</v>
      </c>
      <c r="C28" s="28">
        <v>4111010030</v>
      </c>
      <c r="D28" s="28" t="s">
        <v>3309</v>
      </c>
      <c r="E28" s="28" t="s">
        <v>3310</v>
      </c>
      <c r="F28" s="28" t="s">
        <v>11</v>
      </c>
      <c r="G28" s="28"/>
    </row>
    <row r="29" spans="1:7">
      <c r="A29" s="28">
        <v>28</v>
      </c>
      <c r="B29" s="28" t="s">
        <v>39</v>
      </c>
      <c r="C29" s="28">
        <v>4111010031</v>
      </c>
      <c r="D29" s="28" t="s">
        <v>3310</v>
      </c>
      <c r="E29" s="28" t="s">
        <v>3310</v>
      </c>
      <c r="F29" s="28" t="s">
        <v>11</v>
      </c>
      <c r="G29" s="28"/>
    </row>
    <row r="30" spans="1:7">
      <c r="A30" s="28">
        <v>29</v>
      </c>
      <c r="B30" s="28" t="s">
        <v>40</v>
      </c>
      <c r="C30" s="28">
        <v>4111010032</v>
      </c>
      <c r="D30" s="28" t="s">
        <v>3309</v>
      </c>
      <c r="E30" s="28" t="s">
        <v>3310</v>
      </c>
      <c r="F30" s="28" t="s">
        <v>11</v>
      </c>
      <c r="G30" s="28"/>
    </row>
    <row r="31" spans="1:7">
      <c r="A31" s="28">
        <v>30</v>
      </c>
      <c r="B31" s="28" t="s">
        <v>41</v>
      </c>
      <c r="C31" s="28">
        <v>4111010033</v>
      </c>
      <c r="D31" s="28" t="s">
        <v>3309</v>
      </c>
      <c r="E31" s="28" t="s">
        <v>3310</v>
      </c>
      <c r="F31" s="28" t="s">
        <v>11</v>
      </c>
      <c r="G31" s="28"/>
    </row>
    <row r="32" spans="1:7">
      <c r="A32" s="28">
        <v>31</v>
      </c>
      <c r="B32" s="28" t="s">
        <v>42</v>
      </c>
      <c r="C32" s="28">
        <v>4111010034</v>
      </c>
      <c r="D32" s="28" t="s">
        <v>3309</v>
      </c>
      <c r="E32" s="28" t="s">
        <v>3310</v>
      </c>
      <c r="F32" s="28" t="s">
        <v>11</v>
      </c>
      <c r="G32" s="28"/>
    </row>
    <row r="33" spans="1:7">
      <c r="A33" s="28">
        <v>32</v>
      </c>
      <c r="B33" s="28" t="s">
        <v>43</v>
      </c>
      <c r="C33" s="28">
        <v>4111010036</v>
      </c>
      <c r="D33" s="28" t="s">
        <v>3309</v>
      </c>
      <c r="E33" s="28" t="s">
        <v>3310</v>
      </c>
      <c r="F33" s="28" t="s">
        <v>11</v>
      </c>
      <c r="G33" s="28"/>
    </row>
    <row r="34" spans="1:7">
      <c r="A34" s="28">
        <v>33</v>
      </c>
      <c r="B34" s="28" t="s">
        <v>44</v>
      </c>
      <c r="C34" s="28">
        <v>4111010037</v>
      </c>
      <c r="D34" s="28" t="s">
        <v>3310</v>
      </c>
      <c r="E34" s="28" t="s">
        <v>3310</v>
      </c>
      <c r="F34" s="28" t="s">
        <v>11</v>
      </c>
      <c r="G34" s="28"/>
    </row>
    <row r="35" spans="1:7">
      <c r="A35" s="28">
        <v>34</v>
      </c>
      <c r="B35" s="28" t="s">
        <v>45</v>
      </c>
      <c r="C35" s="28">
        <v>4111010038</v>
      </c>
      <c r="D35" s="28" t="s">
        <v>3310</v>
      </c>
      <c r="E35" s="28" t="s">
        <v>3310</v>
      </c>
      <c r="F35" s="28" t="s">
        <v>11</v>
      </c>
      <c r="G35" s="28"/>
    </row>
    <row r="36" spans="1:7">
      <c r="A36" s="28">
        <v>35</v>
      </c>
      <c r="B36" s="28" t="s">
        <v>46</v>
      </c>
      <c r="C36" s="28">
        <v>4111010039</v>
      </c>
      <c r="D36" s="28" t="s">
        <v>3314</v>
      </c>
      <c r="E36" s="28" t="s">
        <v>3310</v>
      </c>
      <c r="F36" s="28" t="s">
        <v>11</v>
      </c>
      <c r="G36" s="28"/>
    </row>
    <row r="37" spans="1:7">
      <c r="A37" s="28">
        <v>36</v>
      </c>
      <c r="B37" s="28" t="s">
        <v>47</v>
      </c>
      <c r="C37" s="28">
        <v>4111010040</v>
      </c>
      <c r="D37" s="28" t="s">
        <v>3315</v>
      </c>
      <c r="E37" s="28" t="s">
        <v>3310</v>
      </c>
      <c r="F37" s="28" t="s">
        <v>11</v>
      </c>
      <c r="G37" s="28"/>
    </row>
    <row r="38" spans="1:7">
      <c r="A38" s="28">
        <v>37</v>
      </c>
      <c r="B38" s="28" t="s">
        <v>48</v>
      </c>
      <c r="C38" s="28">
        <v>4111010041</v>
      </c>
      <c r="D38" s="28" t="s">
        <v>3316</v>
      </c>
      <c r="E38" s="28" t="s">
        <v>3310</v>
      </c>
      <c r="F38" s="28" t="s">
        <v>11</v>
      </c>
      <c r="G38" s="28"/>
    </row>
    <row r="39" spans="1:7">
      <c r="A39" s="28">
        <v>38</v>
      </c>
      <c r="B39" s="28" t="s">
        <v>49</v>
      </c>
      <c r="C39" s="28">
        <v>4111010042</v>
      </c>
      <c r="D39" s="28" t="s">
        <v>3309</v>
      </c>
      <c r="E39" s="28" t="s">
        <v>3310</v>
      </c>
      <c r="F39" s="28" t="s">
        <v>11</v>
      </c>
      <c r="G39" s="28"/>
    </row>
    <row r="40" spans="1:7">
      <c r="A40" s="28">
        <v>39</v>
      </c>
      <c r="B40" s="28" t="s">
        <v>50</v>
      </c>
      <c r="C40" s="28">
        <v>4111010043</v>
      </c>
      <c r="D40" s="28" t="s">
        <v>3317</v>
      </c>
      <c r="E40" s="28" t="s">
        <v>3310</v>
      </c>
      <c r="F40" s="28" t="s">
        <v>11</v>
      </c>
      <c r="G40" s="28"/>
    </row>
    <row r="41" spans="1:7">
      <c r="A41" s="28">
        <v>40</v>
      </c>
      <c r="B41" s="28" t="s">
        <v>51</v>
      </c>
      <c r="C41" s="28">
        <v>4111010045</v>
      </c>
      <c r="D41" s="28" t="s">
        <v>3309</v>
      </c>
      <c r="E41" s="28" t="s">
        <v>3310</v>
      </c>
      <c r="F41" s="28" t="s">
        <v>11</v>
      </c>
      <c r="G41" s="28"/>
    </row>
    <row r="42" spans="1:7">
      <c r="A42" s="28">
        <v>41</v>
      </c>
      <c r="B42" s="28" t="s">
        <v>52</v>
      </c>
      <c r="C42" s="28">
        <v>4111010046</v>
      </c>
      <c r="D42" s="28" t="s">
        <v>3310</v>
      </c>
      <c r="E42" s="28" t="s">
        <v>3310</v>
      </c>
      <c r="F42" s="28" t="s">
        <v>11</v>
      </c>
      <c r="G42" s="28"/>
    </row>
    <row r="43" spans="1:7">
      <c r="A43" s="28">
        <v>42</v>
      </c>
      <c r="B43" s="28" t="s">
        <v>53</v>
      </c>
      <c r="C43" s="28">
        <v>4111010047</v>
      </c>
      <c r="D43" s="28" t="s">
        <v>3309</v>
      </c>
      <c r="E43" s="28" t="s">
        <v>3310</v>
      </c>
      <c r="F43" s="28" t="s">
        <v>11</v>
      </c>
      <c r="G43" s="28"/>
    </row>
    <row r="44" spans="1:7">
      <c r="A44" s="28">
        <v>43</v>
      </c>
      <c r="B44" s="28" t="s">
        <v>54</v>
      </c>
      <c r="C44" s="28">
        <v>4111010048</v>
      </c>
      <c r="D44" s="28" t="s">
        <v>3309</v>
      </c>
      <c r="E44" s="28" t="s">
        <v>3310</v>
      </c>
      <c r="F44" s="28" t="s">
        <v>11</v>
      </c>
      <c r="G44" s="28"/>
    </row>
    <row r="45" spans="1:7">
      <c r="A45" s="28">
        <v>44</v>
      </c>
      <c r="B45" s="28" t="s">
        <v>55</v>
      </c>
      <c r="C45" s="28">
        <v>4111010049</v>
      </c>
      <c r="D45" s="28" t="s">
        <v>3310</v>
      </c>
      <c r="E45" s="28" t="s">
        <v>3310</v>
      </c>
      <c r="F45" s="28" t="s">
        <v>11</v>
      </c>
      <c r="G45" s="28"/>
    </row>
    <row r="46" spans="1:7">
      <c r="A46" s="28">
        <v>45</v>
      </c>
      <c r="B46" s="28" t="s">
        <v>56</v>
      </c>
      <c r="C46" s="28">
        <v>4111010050</v>
      </c>
      <c r="D46" s="28" t="s">
        <v>3310</v>
      </c>
      <c r="E46" s="28" t="s">
        <v>3310</v>
      </c>
      <c r="F46" s="28" t="s">
        <v>11</v>
      </c>
      <c r="G46" s="28"/>
    </row>
    <row r="47" spans="1:7">
      <c r="A47" s="28">
        <v>46</v>
      </c>
      <c r="B47" s="28" t="s">
        <v>57</v>
      </c>
      <c r="C47" s="28">
        <v>4111010051</v>
      </c>
      <c r="D47" s="28" t="s">
        <v>3310</v>
      </c>
      <c r="E47" s="28" t="s">
        <v>3310</v>
      </c>
      <c r="F47" s="28" t="s">
        <v>11</v>
      </c>
      <c r="G47" s="28"/>
    </row>
    <row r="48" spans="1:7">
      <c r="A48" s="28">
        <v>47</v>
      </c>
      <c r="B48" s="28" t="s">
        <v>58</v>
      </c>
      <c r="C48" s="28">
        <v>4111010052</v>
      </c>
      <c r="D48" s="28" t="s">
        <v>3318</v>
      </c>
      <c r="E48" s="28" t="s">
        <v>3310</v>
      </c>
      <c r="F48" s="28" t="s">
        <v>11</v>
      </c>
      <c r="G48" s="28"/>
    </row>
    <row r="49" spans="1:7">
      <c r="A49" s="28">
        <v>48</v>
      </c>
      <c r="B49" s="28" t="s">
        <v>59</v>
      </c>
      <c r="C49" s="28">
        <v>4111010053</v>
      </c>
      <c r="D49" s="28" t="s">
        <v>3309</v>
      </c>
      <c r="E49" s="28" t="s">
        <v>3310</v>
      </c>
      <c r="F49" s="28" t="s">
        <v>11</v>
      </c>
      <c r="G49" s="28"/>
    </row>
    <row r="50" spans="1:7">
      <c r="A50" s="28">
        <v>49</v>
      </c>
      <c r="B50" s="28" t="s">
        <v>60</v>
      </c>
      <c r="C50" s="28">
        <v>4111010054</v>
      </c>
      <c r="D50" s="28" t="s">
        <v>3309</v>
      </c>
      <c r="E50" s="28" t="s">
        <v>3310</v>
      </c>
      <c r="F50" s="28" t="s">
        <v>11</v>
      </c>
      <c r="G50" s="28"/>
    </row>
    <row r="51" spans="1:7">
      <c r="A51" s="28">
        <v>50</v>
      </c>
      <c r="B51" s="28" t="s">
        <v>61</v>
      </c>
      <c r="C51" s="28">
        <v>4111011149</v>
      </c>
      <c r="D51" s="28" t="s">
        <v>3319</v>
      </c>
      <c r="E51" s="28" t="s">
        <v>3310</v>
      </c>
      <c r="F51" s="28" t="s">
        <v>11</v>
      </c>
      <c r="G51" s="28"/>
    </row>
    <row r="52" spans="1:7">
      <c r="A52" s="28">
        <v>51</v>
      </c>
      <c r="B52" s="28" t="s">
        <v>62</v>
      </c>
      <c r="C52" s="28">
        <v>4111011232</v>
      </c>
      <c r="D52" s="28" t="s">
        <v>3310</v>
      </c>
      <c r="E52" s="28" t="s">
        <v>3310</v>
      </c>
      <c r="F52" s="28" t="s">
        <v>11</v>
      </c>
      <c r="G52" s="28"/>
    </row>
    <row r="53" spans="1:7">
      <c r="A53" s="28">
        <v>52</v>
      </c>
      <c r="B53" s="28" t="s">
        <v>63</v>
      </c>
      <c r="C53" s="28">
        <v>4111011413</v>
      </c>
      <c r="D53" s="28" t="s">
        <v>3309</v>
      </c>
      <c r="E53" s="28" t="s">
        <v>3310</v>
      </c>
      <c r="F53" s="28" t="s">
        <v>11</v>
      </c>
      <c r="G53" s="28"/>
    </row>
    <row r="54" spans="1:7">
      <c r="A54" s="28">
        <v>53</v>
      </c>
      <c r="B54" s="28" t="s">
        <v>64</v>
      </c>
      <c r="C54" s="28">
        <v>4111011414</v>
      </c>
      <c r="D54" s="28" t="s">
        <v>3309</v>
      </c>
      <c r="E54" s="28" t="s">
        <v>3310</v>
      </c>
      <c r="F54" s="28" t="s">
        <v>11</v>
      </c>
      <c r="G54" s="28"/>
    </row>
    <row r="55" spans="1:7">
      <c r="A55" s="28">
        <v>54</v>
      </c>
      <c r="B55" s="28" t="s">
        <v>65</v>
      </c>
      <c r="C55" s="28">
        <v>4111011415</v>
      </c>
      <c r="D55" s="28" t="s">
        <v>3309</v>
      </c>
      <c r="E55" s="28" t="s">
        <v>3310</v>
      </c>
      <c r="F55" s="28" t="s">
        <v>11</v>
      </c>
      <c r="G55" s="28"/>
    </row>
    <row r="56" spans="1:7">
      <c r="A56" s="28">
        <v>55</v>
      </c>
      <c r="B56" s="28" t="s">
        <v>66</v>
      </c>
      <c r="C56" s="28">
        <v>4111011417</v>
      </c>
      <c r="D56" s="28" t="s">
        <v>3310</v>
      </c>
      <c r="E56" s="28" t="s">
        <v>3310</v>
      </c>
      <c r="F56" s="28" t="s">
        <v>11</v>
      </c>
      <c r="G56" s="28"/>
    </row>
    <row r="57" spans="1:7">
      <c r="A57" s="28">
        <v>56</v>
      </c>
      <c r="B57" s="28" t="s">
        <v>1251</v>
      </c>
      <c r="C57" s="28">
        <v>4111011418</v>
      </c>
      <c r="D57" s="28" t="s">
        <v>3320</v>
      </c>
      <c r="E57" s="28" t="s">
        <v>3310</v>
      </c>
      <c r="F57" s="28" t="s">
        <v>11</v>
      </c>
      <c r="G57" s="28" t="s">
        <v>1252</v>
      </c>
    </row>
    <row r="58" spans="1:7">
      <c r="A58" s="28">
        <v>57</v>
      </c>
      <c r="B58" s="28" t="s">
        <v>67</v>
      </c>
      <c r="C58" s="28">
        <v>4111011625</v>
      </c>
      <c r="D58" s="28" t="s">
        <v>3321</v>
      </c>
      <c r="E58" s="28" t="s">
        <v>3310</v>
      </c>
      <c r="F58" s="28" t="s">
        <v>11</v>
      </c>
      <c r="G58" s="28"/>
    </row>
    <row r="59" spans="1:7">
      <c r="A59" s="28">
        <v>58</v>
      </c>
      <c r="B59" s="28" t="s">
        <v>68</v>
      </c>
      <c r="C59" s="28">
        <v>4111011831</v>
      </c>
      <c r="D59" s="28" t="s">
        <v>3310</v>
      </c>
      <c r="E59" s="28" t="s">
        <v>3310</v>
      </c>
      <c r="F59" s="28" t="s">
        <v>11</v>
      </c>
      <c r="G59" s="28"/>
    </row>
    <row r="60" spans="1:7">
      <c r="A60" s="28">
        <v>59</v>
      </c>
      <c r="B60" s="28" t="s">
        <v>69</v>
      </c>
      <c r="C60" s="28">
        <v>4111012453</v>
      </c>
      <c r="D60" s="28" t="s">
        <v>3322</v>
      </c>
      <c r="E60" s="28" t="s">
        <v>3310</v>
      </c>
      <c r="F60" s="28" t="s">
        <v>11</v>
      </c>
      <c r="G60" s="28"/>
    </row>
    <row r="61" spans="1:7">
      <c r="A61" s="28">
        <v>60</v>
      </c>
      <c r="B61" s="28" t="s">
        <v>1253</v>
      </c>
      <c r="C61" s="28">
        <v>4111013629</v>
      </c>
      <c r="D61" s="28" t="s">
        <v>3320</v>
      </c>
      <c r="E61" s="28" t="s">
        <v>3310</v>
      </c>
      <c r="F61" s="28" t="s">
        <v>11</v>
      </c>
      <c r="G61" s="28" t="s">
        <v>1252</v>
      </c>
    </row>
    <row r="62" spans="1:7">
      <c r="A62" s="28">
        <v>61</v>
      </c>
      <c r="B62" s="28" t="s">
        <v>1254</v>
      </c>
      <c r="C62" s="28">
        <v>4111013630</v>
      </c>
      <c r="D62" s="28" t="s">
        <v>3320</v>
      </c>
      <c r="E62" s="28" t="s">
        <v>3310</v>
      </c>
      <c r="F62" s="28" t="s">
        <v>11</v>
      </c>
      <c r="G62" s="28" t="s">
        <v>1252</v>
      </c>
    </row>
    <row r="63" spans="1:7">
      <c r="A63" s="28">
        <v>62</v>
      </c>
      <c r="B63" s="28" t="s">
        <v>1255</v>
      </c>
      <c r="C63" s="28">
        <v>4111013901</v>
      </c>
      <c r="D63" s="28" t="s">
        <v>3320</v>
      </c>
      <c r="E63" s="28" t="s">
        <v>3310</v>
      </c>
      <c r="F63" s="28" t="s">
        <v>11</v>
      </c>
      <c r="G63" s="28" t="s">
        <v>1252</v>
      </c>
    </row>
    <row r="64" spans="1:7">
      <c r="A64" s="28">
        <v>63</v>
      </c>
      <c r="B64" s="28" t="s">
        <v>1256</v>
      </c>
      <c r="C64" s="28">
        <v>4111013904</v>
      </c>
      <c r="D64" s="28" t="s">
        <v>3320</v>
      </c>
      <c r="E64" s="28" t="s">
        <v>3310</v>
      </c>
      <c r="F64" s="28" t="s">
        <v>11</v>
      </c>
      <c r="G64" s="28" t="s">
        <v>1252</v>
      </c>
    </row>
    <row r="65" spans="1:7">
      <c r="A65" s="28">
        <v>64</v>
      </c>
      <c r="B65" s="28" t="s">
        <v>70</v>
      </c>
      <c r="C65" s="28">
        <v>4111014019</v>
      </c>
      <c r="D65" s="28" t="s">
        <v>3310</v>
      </c>
      <c r="E65" s="28" t="s">
        <v>3310</v>
      </c>
      <c r="F65" s="28" t="s">
        <v>11</v>
      </c>
      <c r="G65" s="28"/>
    </row>
    <row r="66" spans="1:7">
      <c r="A66" s="28">
        <v>65</v>
      </c>
      <c r="B66" s="28" t="s">
        <v>1257</v>
      </c>
      <c r="C66" s="28">
        <v>4111014201</v>
      </c>
      <c r="D66" s="28" t="s">
        <v>3320</v>
      </c>
      <c r="E66" s="28" t="s">
        <v>3310</v>
      </c>
      <c r="F66" s="28" t="s">
        <v>11</v>
      </c>
      <c r="G66" s="28" t="s">
        <v>1252</v>
      </c>
    </row>
    <row r="67" spans="1:7">
      <c r="A67" s="28">
        <v>66</v>
      </c>
      <c r="B67" s="28" t="s">
        <v>71</v>
      </c>
      <c r="C67" s="28">
        <v>4111014430</v>
      </c>
      <c r="D67" s="28" t="s">
        <v>3323</v>
      </c>
      <c r="E67" s="28" t="s">
        <v>3310</v>
      </c>
      <c r="F67" s="28" t="s">
        <v>11</v>
      </c>
      <c r="G67" s="28"/>
    </row>
    <row r="68" spans="1:7">
      <c r="A68" s="28">
        <v>67</v>
      </c>
      <c r="B68" s="28" t="s">
        <v>72</v>
      </c>
      <c r="C68" s="28">
        <v>4111014596</v>
      </c>
      <c r="D68" s="28" t="s">
        <v>3324</v>
      </c>
      <c r="E68" s="28" t="s">
        <v>3310</v>
      </c>
      <c r="F68" s="28" t="s">
        <v>11</v>
      </c>
      <c r="G68" s="28"/>
    </row>
    <row r="69" spans="1:7">
      <c r="A69" s="28">
        <v>68</v>
      </c>
      <c r="B69" s="28" t="s">
        <v>74</v>
      </c>
      <c r="C69" s="28">
        <v>4111014139</v>
      </c>
      <c r="D69" s="28" t="s">
        <v>3325</v>
      </c>
      <c r="E69" s="28" t="s">
        <v>3310</v>
      </c>
      <c r="F69" s="28" t="s">
        <v>11</v>
      </c>
      <c r="G69" s="28"/>
    </row>
    <row r="70" spans="1:7">
      <c r="A70" s="28">
        <v>69</v>
      </c>
      <c r="B70" s="28" t="s">
        <v>73</v>
      </c>
      <c r="C70" s="28">
        <v>4111010858</v>
      </c>
      <c r="D70" s="28" t="s">
        <v>3310</v>
      </c>
      <c r="E70" s="28" t="s">
        <v>3310</v>
      </c>
      <c r="F70" s="28" t="s">
        <v>11</v>
      </c>
      <c r="G70" s="28"/>
    </row>
    <row r="71" spans="1:7">
      <c r="A71" s="28">
        <v>70</v>
      </c>
      <c r="B71" s="28" t="s">
        <v>1699</v>
      </c>
      <c r="C71" s="28">
        <v>4111010853</v>
      </c>
      <c r="D71" s="28" t="s">
        <v>3310</v>
      </c>
      <c r="E71" s="28" t="s">
        <v>3310</v>
      </c>
      <c r="F71" s="28" t="s">
        <v>1700</v>
      </c>
      <c r="G71" s="28"/>
    </row>
    <row r="72" spans="1:7">
      <c r="A72" s="28">
        <v>71</v>
      </c>
      <c r="B72" s="28" t="s">
        <v>1701</v>
      </c>
      <c r="C72" s="28">
        <v>4111010857</v>
      </c>
      <c r="D72" s="28" t="s">
        <v>3310</v>
      </c>
      <c r="E72" s="28" t="s">
        <v>3310</v>
      </c>
      <c r="F72" s="28" t="s">
        <v>1700</v>
      </c>
      <c r="G72" s="28"/>
    </row>
    <row r="73" spans="1:7">
      <c r="A73" s="28">
        <v>72</v>
      </c>
      <c r="B73" s="28" t="s">
        <v>1702</v>
      </c>
      <c r="C73" s="28">
        <v>4111011090</v>
      </c>
      <c r="D73" s="28" t="s">
        <v>3310</v>
      </c>
      <c r="E73" s="28" t="s">
        <v>3310</v>
      </c>
      <c r="F73" s="28" t="s">
        <v>1700</v>
      </c>
      <c r="G73" s="28"/>
    </row>
    <row r="74" spans="1:7">
      <c r="A74" s="28">
        <v>73</v>
      </c>
      <c r="B74" s="28" t="s">
        <v>1703</v>
      </c>
      <c r="C74" s="28">
        <v>4111011092</v>
      </c>
      <c r="D74" s="28" t="s">
        <v>3310</v>
      </c>
      <c r="E74" s="28" t="s">
        <v>3310</v>
      </c>
      <c r="F74" s="28" t="s">
        <v>1700</v>
      </c>
      <c r="G74" s="28"/>
    </row>
    <row r="75" spans="1:7">
      <c r="A75" s="28">
        <v>74</v>
      </c>
      <c r="B75" s="28" t="s">
        <v>1704</v>
      </c>
      <c r="C75" s="28">
        <v>4111011626</v>
      </c>
      <c r="D75" s="28" t="s">
        <v>3310</v>
      </c>
      <c r="E75" s="28" t="s">
        <v>3310</v>
      </c>
      <c r="F75" s="28" t="s">
        <v>1700</v>
      </c>
      <c r="G75" s="28"/>
    </row>
    <row r="76" spans="1:7">
      <c r="A76" s="28">
        <v>75</v>
      </c>
      <c r="B76" s="28" t="s">
        <v>1705</v>
      </c>
      <c r="C76" s="28">
        <v>4111012448</v>
      </c>
      <c r="D76" s="28" t="s">
        <v>3310</v>
      </c>
      <c r="E76" s="28" t="s">
        <v>3310</v>
      </c>
      <c r="F76" s="28" t="s">
        <v>1700</v>
      </c>
      <c r="G76" s="28"/>
    </row>
    <row r="77" spans="1:7">
      <c r="A77" s="28">
        <v>76</v>
      </c>
      <c r="B77" s="28" t="s">
        <v>1706</v>
      </c>
      <c r="C77" s="28">
        <v>4111012451</v>
      </c>
      <c r="D77" s="28" t="s">
        <v>3310</v>
      </c>
      <c r="E77" s="28" t="s">
        <v>3310</v>
      </c>
      <c r="F77" s="28" t="s">
        <v>1700</v>
      </c>
      <c r="G77" s="28"/>
    </row>
    <row r="78" spans="1:7">
      <c r="A78" s="28">
        <v>77</v>
      </c>
      <c r="B78" s="28" t="s">
        <v>1707</v>
      </c>
      <c r="C78" s="28">
        <v>4111012561</v>
      </c>
      <c r="D78" s="28" t="s">
        <v>3310</v>
      </c>
      <c r="E78" s="28" t="s">
        <v>3310</v>
      </c>
      <c r="F78" s="28" t="s">
        <v>1700</v>
      </c>
      <c r="G78" s="28"/>
    </row>
    <row r="79" spans="1:7">
      <c r="A79" s="28">
        <v>78</v>
      </c>
      <c r="B79" s="28" t="s">
        <v>2888</v>
      </c>
      <c r="C79" s="28">
        <v>4111012564</v>
      </c>
      <c r="D79" s="28" t="s">
        <v>3320</v>
      </c>
      <c r="E79" s="28" t="s">
        <v>3310</v>
      </c>
      <c r="F79" s="28" t="s">
        <v>1700</v>
      </c>
      <c r="G79" s="28" t="s">
        <v>1252</v>
      </c>
    </row>
    <row r="80" spans="1:7">
      <c r="A80" s="28">
        <v>79</v>
      </c>
      <c r="B80" s="28" t="s">
        <v>2889</v>
      </c>
      <c r="C80" s="28">
        <v>4111012565</v>
      </c>
      <c r="D80" s="28" t="s">
        <v>3320</v>
      </c>
      <c r="E80" s="28" t="s">
        <v>3310</v>
      </c>
      <c r="F80" s="28" t="s">
        <v>1700</v>
      </c>
      <c r="G80" s="28" t="s">
        <v>1252</v>
      </c>
    </row>
    <row r="81" spans="1:7">
      <c r="A81" s="28">
        <v>80</v>
      </c>
      <c r="B81" s="28" t="s">
        <v>2890</v>
      </c>
      <c r="C81" s="28">
        <v>4111012566</v>
      </c>
      <c r="D81" s="28" t="s">
        <v>3320</v>
      </c>
      <c r="E81" s="28" t="s">
        <v>3310</v>
      </c>
      <c r="F81" s="28" t="s">
        <v>1700</v>
      </c>
      <c r="G81" s="28" t="s">
        <v>1252</v>
      </c>
    </row>
    <row r="82" spans="1:7">
      <c r="A82" s="28">
        <v>81</v>
      </c>
      <c r="B82" s="28" t="s">
        <v>1708</v>
      </c>
      <c r="C82" s="28">
        <v>4111012567</v>
      </c>
      <c r="D82" s="28" t="s">
        <v>3310</v>
      </c>
      <c r="E82" s="28" t="s">
        <v>3310</v>
      </c>
      <c r="F82" s="28" t="s">
        <v>1700</v>
      </c>
      <c r="G82" s="28"/>
    </row>
    <row r="83" spans="1:7">
      <c r="A83" s="28">
        <v>82</v>
      </c>
      <c r="B83" s="28" t="s">
        <v>2891</v>
      </c>
      <c r="C83" s="28">
        <v>4111012568</v>
      </c>
      <c r="D83" s="28" t="s">
        <v>3320</v>
      </c>
      <c r="E83" s="28" t="s">
        <v>3310</v>
      </c>
      <c r="F83" s="28" t="s">
        <v>1700</v>
      </c>
      <c r="G83" s="28" t="s">
        <v>1252</v>
      </c>
    </row>
    <row r="84" spans="1:7">
      <c r="A84" s="28">
        <v>83</v>
      </c>
      <c r="B84" s="28" t="s">
        <v>2892</v>
      </c>
      <c r="C84" s="28">
        <v>4111012733</v>
      </c>
      <c r="D84" s="28" t="s">
        <v>3320</v>
      </c>
      <c r="E84" s="28" t="s">
        <v>3310</v>
      </c>
      <c r="F84" s="28" t="s">
        <v>1700</v>
      </c>
      <c r="G84" s="28" t="s">
        <v>1252</v>
      </c>
    </row>
    <row r="85" spans="1:7">
      <c r="A85" s="28">
        <v>84</v>
      </c>
      <c r="B85" s="28" t="s">
        <v>2893</v>
      </c>
      <c r="C85" s="28">
        <v>4111013703</v>
      </c>
      <c r="D85" s="28" t="s">
        <v>3320</v>
      </c>
      <c r="E85" s="28" t="s">
        <v>3310</v>
      </c>
      <c r="F85" s="28" t="s">
        <v>1700</v>
      </c>
      <c r="G85" s="28" t="s">
        <v>1252</v>
      </c>
    </row>
    <row r="86" spans="1:7">
      <c r="A86" s="28">
        <v>85</v>
      </c>
      <c r="B86" s="28" t="s">
        <v>2894</v>
      </c>
      <c r="C86" s="28">
        <v>4111013728</v>
      </c>
      <c r="D86" s="28" t="s">
        <v>3320</v>
      </c>
      <c r="E86" s="28" t="s">
        <v>3310</v>
      </c>
      <c r="F86" s="28" t="s">
        <v>1700</v>
      </c>
      <c r="G86" s="28" t="s">
        <v>1252</v>
      </c>
    </row>
    <row r="87" spans="1:7">
      <c r="A87" s="28">
        <v>86</v>
      </c>
      <c r="B87" s="28" t="s">
        <v>1709</v>
      </c>
      <c r="C87" s="28">
        <v>4111014073</v>
      </c>
      <c r="D87" s="28" t="s">
        <v>3310</v>
      </c>
      <c r="E87" s="28" t="s">
        <v>3310</v>
      </c>
      <c r="F87" s="28" t="s">
        <v>1700</v>
      </c>
      <c r="G87" s="28"/>
    </row>
    <row r="88" spans="1:7">
      <c r="A88" s="28">
        <v>87</v>
      </c>
      <c r="B88" s="28" t="s">
        <v>1710</v>
      </c>
      <c r="C88" s="28">
        <v>4111014075</v>
      </c>
      <c r="D88" s="28" t="s">
        <v>3310</v>
      </c>
      <c r="E88" s="28" t="s">
        <v>3310</v>
      </c>
      <c r="F88" s="28" t="s">
        <v>1700</v>
      </c>
      <c r="G88" s="28"/>
    </row>
    <row r="89" spans="1:7">
      <c r="A89" s="28">
        <v>88</v>
      </c>
      <c r="B89" s="28" t="s">
        <v>2895</v>
      </c>
      <c r="C89" s="28">
        <v>4111014140</v>
      </c>
      <c r="D89" s="28" t="s">
        <v>3320</v>
      </c>
      <c r="E89" s="28" t="s">
        <v>3310</v>
      </c>
      <c r="F89" s="28" t="s">
        <v>1700</v>
      </c>
      <c r="G89" s="28" t="s">
        <v>1252</v>
      </c>
    </row>
    <row r="90" spans="1:7">
      <c r="A90" s="28">
        <v>89</v>
      </c>
      <c r="B90" s="28" t="s">
        <v>1711</v>
      </c>
      <c r="C90" s="28">
        <v>4111014215</v>
      </c>
      <c r="D90" s="28" t="s">
        <v>3310</v>
      </c>
      <c r="E90" s="28" t="s">
        <v>3310</v>
      </c>
      <c r="F90" s="28" t="s">
        <v>1700</v>
      </c>
      <c r="G90" s="28"/>
    </row>
    <row r="91" spans="1:7">
      <c r="A91" s="28">
        <v>90</v>
      </c>
      <c r="B91" s="28" t="s">
        <v>1712</v>
      </c>
      <c r="C91" s="28">
        <v>4111014279</v>
      </c>
      <c r="D91" s="28" t="s">
        <v>3310</v>
      </c>
      <c r="E91" s="28" t="s">
        <v>3310</v>
      </c>
      <c r="F91" s="28" t="s">
        <v>1700</v>
      </c>
      <c r="G91" s="28"/>
    </row>
    <row r="92" spans="1:7">
      <c r="A92" s="28">
        <v>91</v>
      </c>
      <c r="B92" s="28" t="s">
        <v>1713</v>
      </c>
      <c r="C92" s="28">
        <v>4111014395</v>
      </c>
      <c r="D92" s="28" t="s">
        <v>3310</v>
      </c>
      <c r="E92" s="28" t="s">
        <v>3310</v>
      </c>
      <c r="F92" s="28" t="s">
        <v>1700</v>
      </c>
      <c r="G92" s="28"/>
    </row>
    <row r="93" spans="1:7">
      <c r="A93" s="28">
        <v>92</v>
      </c>
      <c r="B93" s="28" t="s">
        <v>2896</v>
      </c>
      <c r="C93" s="28">
        <v>4111014588</v>
      </c>
      <c r="D93" s="28" t="s">
        <v>3320</v>
      </c>
      <c r="E93" s="28" t="s">
        <v>3310</v>
      </c>
      <c r="F93" s="28" t="s">
        <v>1700</v>
      </c>
      <c r="G93" s="28" t="s">
        <v>1252</v>
      </c>
    </row>
    <row r="94" spans="1:7">
      <c r="A94" s="28">
        <v>93</v>
      </c>
      <c r="B94" s="28" t="s">
        <v>75</v>
      </c>
      <c r="C94" s="28">
        <v>4112010055</v>
      </c>
      <c r="D94" s="28" t="s">
        <v>3309</v>
      </c>
      <c r="E94" s="28" t="s">
        <v>3326</v>
      </c>
      <c r="F94" s="28" t="s">
        <v>11</v>
      </c>
      <c r="G94" s="28"/>
    </row>
    <row r="95" spans="1:7">
      <c r="A95" s="28">
        <v>94</v>
      </c>
      <c r="B95" s="28" t="s">
        <v>77</v>
      </c>
      <c r="C95" s="28">
        <v>4112010056</v>
      </c>
      <c r="D95" s="28" t="s">
        <v>3309</v>
      </c>
      <c r="E95" s="28" t="s">
        <v>3326</v>
      </c>
      <c r="F95" s="28" t="s">
        <v>11</v>
      </c>
      <c r="G95" s="28"/>
    </row>
    <row r="96" spans="1:7">
      <c r="A96" s="28">
        <v>95</v>
      </c>
      <c r="B96" s="28" t="s">
        <v>78</v>
      </c>
      <c r="C96" s="28">
        <v>4112010057</v>
      </c>
      <c r="D96" s="28" t="s">
        <v>3326</v>
      </c>
      <c r="E96" s="28" t="s">
        <v>3326</v>
      </c>
      <c r="F96" s="28" t="s">
        <v>11</v>
      </c>
      <c r="G96" s="28"/>
    </row>
    <row r="97" spans="1:7">
      <c r="A97" s="28">
        <v>96</v>
      </c>
      <c r="B97" s="28" t="s">
        <v>79</v>
      </c>
      <c r="C97" s="28">
        <v>4112010058</v>
      </c>
      <c r="D97" s="28" t="s">
        <v>3326</v>
      </c>
      <c r="E97" s="28" t="s">
        <v>3326</v>
      </c>
      <c r="F97" s="28" t="s">
        <v>11</v>
      </c>
      <c r="G97" s="28"/>
    </row>
    <row r="98" spans="1:7">
      <c r="A98" s="28">
        <v>97</v>
      </c>
      <c r="B98" s="28" t="s">
        <v>80</v>
      </c>
      <c r="C98" s="28">
        <v>4112010059</v>
      </c>
      <c r="D98" s="28" t="s">
        <v>3327</v>
      </c>
      <c r="E98" s="28" t="s">
        <v>3326</v>
      </c>
      <c r="F98" s="28" t="s">
        <v>11</v>
      </c>
      <c r="G98" s="28"/>
    </row>
    <row r="99" spans="1:7">
      <c r="A99" s="28">
        <v>98</v>
      </c>
      <c r="B99" s="28" t="s">
        <v>81</v>
      </c>
      <c r="C99" s="28">
        <v>4112010060</v>
      </c>
      <c r="D99" s="28" t="s">
        <v>3326</v>
      </c>
      <c r="E99" s="28" t="s">
        <v>3326</v>
      </c>
      <c r="F99" s="28" t="s">
        <v>11</v>
      </c>
      <c r="G99" s="28"/>
    </row>
    <row r="100" spans="1:7">
      <c r="A100" s="28">
        <v>99</v>
      </c>
      <c r="B100" s="28" t="s">
        <v>82</v>
      </c>
      <c r="C100" s="28">
        <v>4112010061</v>
      </c>
      <c r="D100" s="28" t="s">
        <v>3326</v>
      </c>
      <c r="E100" s="28" t="s">
        <v>3326</v>
      </c>
      <c r="F100" s="28" t="s">
        <v>11</v>
      </c>
      <c r="G100" s="28"/>
    </row>
    <row r="101" spans="1:7">
      <c r="A101" s="28">
        <v>100</v>
      </c>
      <c r="B101" s="28" t="s">
        <v>83</v>
      </c>
      <c r="C101" s="28">
        <v>4112010062</v>
      </c>
      <c r="D101" s="28" t="s">
        <v>3326</v>
      </c>
      <c r="E101" s="28" t="s">
        <v>3326</v>
      </c>
      <c r="F101" s="28" t="s">
        <v>11</v>
      </c>
      <c r="G101" s="28"/>
    </row>
    <row r="102" spans="1:7">
      <c r="A102" s="28">
        <v>101</v>
      </c>
      <c r="B102" s="28" t="s">
        <v>84</v>
      </c>
      <c r="C102" s="28">
        <v>4112010063</v>
      </c>
      <c r="D102" s="28" t="s">
        <v>3326</v>
      </c>
      <c r="E102" s="28" t="s">
        <v>3326</v>
      </c>
      <c r="F102" s="28" t="s">
        <v>11</v>
      </c>
      <c r="G102" s="28"/>
    </row>
    <row r="103" spans="1:7">
      <c r="A103" s="28">
        <v>102</v>
      </c>
      <c r="B103" s="28" t="s">
        <v>85</v>
      </c>
      <c r="C103" s="28">
        <v>4112010065</v>
      </c>
      <c r="D103" s="28" t="s">
        <v>3326</v>
      </c>
      <c r="E103" s="28" t="s">
        <v>3326</v>
      </c>
      <c r="F103" s="28" t="s">
        <v>11</v>
      </c>
      <c r="G103" s="28"/>
    </row>
    <row r="104" spans="1:7">
      <c r="A104" s="28">
        <v>103</v>
      </c>
      <c r="B104" s="28" t="s">
        <v>86</v>
      </c>
      <c r="C104" s="28">
        <v>4112010066</v>
      </c>
      <c r="D104" s="28" t="s">
        <v>3326</v>
      </c>
      <c r="E104" s="28" t="s">
        <v>3326</v>
      </c>
      <c r="F104" s="28" t="s">
        <v>11</v>
      </c>
      <c r="G104" s="28"/>
    </row>
    <row r="105" spans="1:7">
      <c r="A105" s="28">
        <v>104</v>
      </c>
      <c r="B105" s="28" t="s">
        <v>87</v>
      </c>
      <c r="C105" s="28">
        <v>4112010068</v>
      </c>
      <c r="D105" s="28" t="s">
        <v>3326</v>
      </c>
      <c r="E105" s="28" t="s">
        <v>3326</v>
      </c>
      <c r="F105" s="28" t="s">
        <v>11</v>
      </c>
      <c r="G105" s="28"/>
    </row>
    <row r="106" spans="1:7">
      <c r="A106" s="28">
        <v>105</v>
      </c>
      <c r="B106" s="28" t="s">
        <v>88</v>
      </c>
      <c r="C106" s="28">
        <v>4112010069</v>
      </c>
      <c r="D106" s="28" t="s">
        <v>3326</v>
      </c>
      <c r="E106" s="28" t="s">
        <v>3326</v>
      </c>
      <c r="F106" s="28" t="s">
        <v>11</v>
      </c>
      <c r="G106" s="28"/>
    </row>
    <row r="107" spans="1:7">
      <c r="A107" s="28">
        <v>106</v>
      </c>
      <c r="B107" s="28" t="s">
        <v>89</v>
      </c>
      <c r="C107" s="28">
        <v>4112010070</v>
      </c>
      <c r="D107" s="28" t="s">
        <v>3326</v>
      </c>
      <c r="E107" s="28" t="s">
        <v>3326</v>
      </c>
      <c r="F107" s="28" t="s">
        <v>11</v>
      </c>
      <c r="G107" s="28"/>
    </row>
    <row r="108" spans="1:7">
      <c r="A108" s="28">
        <v>107</v>
      </c>
      <c r="B108" s="28" t="s">
        <v>90</v>
      </c>
      <c r="C108" s="28">
        <v>4112010071</v>
      </c>
      <c r="D108" s="28" t="s">
        <v>3326</v>
      </c>
      <c r="E108" s="28" t="s">
        <v>3326</v>
      </c>
      <c r="F108" s="28" t="s">
        <v>11</v>
      </c>
      <c r="G108" s="28"/>
    </row>
    <row r="109" spans="1:7">
      <c r="A109" s="28">
        <v>108</v>
      </c>
      <c r="B109" s="28" t="s">
        <v>91</v>
      </c>
      <c r="C109" s="28">
        <v>4112010072</v>
      </c>
      <c r="D109" s="28" t="s">
        <v>3326</v>
      </c>
      <c r="E109" s="28" t="s">
        <v>3326</v>
      </c>
      <c r="F109" s="28" t="s">
        <v>11</v>
      </c>
      <c r="G109" s="28"/>
    </row>
    <row r="110" spans="1:7">
      <c r="A110" s="28">
        <v>109</v>
      </c>
      <c r="B110" s="28" t="s">
        <v>92</v>
      </c>
      <c r="C110" s="28">
        <v>4112010073</v>
      </c>
      <c r="D110" s="28" t="s">
        <v>3326</v>
      </c>
      <c r="E110" s="28" t="s">
        <v>3326</v>
      </c>
      <c r="F110" s="28" t="s">
        <v>11</v>
      </c>
      <c r="G110" s="28"/>
    </row>
    <row r="111" spans="1:7">
      <c r="A111" s="28">
        <v>110</v>
      </c>
      <c r="B111" s="28" t="s">
        <v>93</v>
      </c>
      <c r="C111" s="28">
        <v>4112010792</v>
      </c>
      <c r="D111" s="28" t="s">
        <v>3326</v>
      </c>
      <c r="E111" s="28" t="s">
        <v>3326</v>
      </c>
      <c r="F111" s="28" t="s">
        <v>11</v>
      </c>
      <c r="G111" s="28"/>
    </row>
    <row r="112" spans="1:7">
      <c r="A112" s="28">
        <v>111</v>
      </c>
      <c r="B112" s="28" t="s">
        <v>1258</v>
      </c>
      <c r="C112" s="28">
        <v>4112010859</v>
      </c>
      <c r="D112" s="28" t="s">
        <v>3328</v>
      </c>
      <c r="E112" s="28" t="s">
        <v>3326</v>
      </c>
      <c r="F112" s="28" t="s">
        <v>11</v>
      </c>
      <c r="G112" s="28" t="s">
        <v>1252</v>
      </c>
    </row>
    <row r="113" spans="1:7">
      <c r="A113" s="28">
        <v>112</v>
      </c>
      <c r="B113" s="28" t="s">
        <v>94</v>
      </c>
      <c r="C113" s="28">
        <v>4112012105</v>
      </c>
      <c r="D113" s="28" t="s">
        <v>3326</v>
      </c>
      <c r="E113" s="28" t="s">
        <v>3326</v>
      </c>
      <c r="F113" s="28" t="s">
        <v>11</v>
      </c>
      <c r="G113" s="28"/>
    </row>
    <row r="114" spans="1:7">
      <c r="A114" s="28">
        <v>113</v>
      </c>
      <c r="B114" s="28" t="s">
        <v>1259</v>
      </c>
      <c r="C114" s="28">
        <v>4112013658</v>
      </c>
      <c r="D114" s="28" t="s">
        <v>3328</v>
      </c>
      <c r="E114" s="28" t="s">
        <v>3326</v>
      </c>
      <c r="F114" s="28" t="s">
        <v>11</v>
      </c>
      <c r="G114" s="28" t="s">
        <v>1252</v>
      </c>
    </row>
    <row r="115" spans="1:7">
      <c r="A115" s="28">
        <v>114</v>
      </c>
      <c r="B115" s="28" t="s">
        <v>1260</v>
      </c>
      <c r="C115" s="28">
        <v>4112013659</v>
      </c>
      <c r="D115" s="28" t="s">
        <v>3328</v>
      </c>
      <c r="E115" s="28" t="s">
        <v>3326</v>
      </c>
      <c r="F115" s="28" t="s">
        <v>11</v>
      </c>
      <c r="G115" s="28" t="s">
        <v>1252</v>
      </c>
    </row>
    <row r="116" spans="1:7">
      <c r="A116" s="28">
        <v>115</v>
      </c>
      <c r="B116" s="28" t="s">
        <v>1261</v>
      </c>
      <c r="C116" s="28">
        <v>4112013660</v>
      </c>
      <c r="D116" s="28" t="s">
        <v>3328</v>
      </c>
      <c r="E116" s="28" t="s">
        <v>3326</v>
      </c>
      <c r="F116" s="28" t="s">
        <v>11</v>
      </c>
      <c r="G116" s="28" t="s">
        <v>1252</v>
      </c>
    </row>
    <row r="117" spans="1:7">
      <c r="A117" s="28">
        <v>116</v>
      </c>
      <c r="B117" s="28" t="s">
        <v>1262</v>
      </c>
      <c r="C117" s="28">
        <v>4112013661</v>
      </c>
      <c r="D117" s="28" t="s">
        <v>3328</v>
      </c>
      <c r="E117" s="28" t="s">
        <v>3326</v>
      </c>
      <c r="F117" s="28" t="s">
        <v>11</v>
      </c>
      <c r="G117" s="28" t="s">
        <v>1252</v>
      </c>
    </row>
    <row r="118" spans="1:7">
      <c r="A118" s="28">
        <v>117</v>
      </c>
      <c r="B118" s="28" t="s">
        <v>1263</v>
      </c>
      <c r="C118" s="28">
        <v>4112013663</v>
      </c>
      <c r="D118" s="28" t="s">
        <v>3328</v>
      </c>
      <c r="E118" s="28" t="s">
        <v>3326</v>
      </c>
      <c r="F118" s="28" t="s">
        <v>11</v>
      </c>
      <c r="G118" s="28" t="s">
        <v>1252</v>
      </c>
    </row>
    <row r="119" spans="1:7">
      <c r="A119" s="28">
        <v>118</v>
      </c>
      <c r="B119" s="28" t="s">
        <v>1264</v>
      </c>
      <c r="C119" s="28">
        <v>4112013896</v>
      </c>
      <c r="D119" s="28" t="s">
        <v>3328</v>
      </c>
      <c r="E119" s="28" t="s">
        <v>3326</v>
      </c>
      <c r="F119" s="28" t="s">
        <v>11</v>
      </c>
      <c r="G119" s="28" t="s">
        <v>1252</v>
      </c>
    </row>
    <row r="120" spans="1:7">
      <c r="A120" s="28">
        <v>119</v>
      </c>
      <c r="B120" s="28" t="s">
        <v>1265</v>
      </c>
      <c r="C120" s="28">
        <v>4112013897</v>
      </c>
      <c r="D120" s="28" t="s">
        <v>3328</v>
      </c>
      <c r="E120" s="28" t="s">
        <v>3326</v>
      </c>
      <c r="F120" s="28" t="s">
        <v>11</v>
      </c>
      <c r="G120" s="28" t="s">
        <v>1252</v>
      </c>
    </row>
    <row r="121" spans="1:7">
      <c r="A121" s="28">
        <v>120</v>
      </c>
      <c r="B121" s="28" t="s">
        <v>1266</v>
      </c>
      <c r="C121" s="28">
        <v>4112013898</v>
      </c>
      <c r="D121" s="28" t="s">
        <v>3328</v>
      </c>
      <c r="E121" s="28" t="s">
        <v>3326</v>
      </c>
      <c r="F121" s="28" t="s">
        <v>11</v>
      </c>
      <c r="G121" s="28" t="s">
        <v>1252</v>
      </c>
    </row>
    <row r="122" spans="1:7">
      <c r="A122" s="28">
        <v>121</v>
      </c>
      <c r="B122" s="28" t="s">
        <v>1267</v>
      </c>
      <c r="C122" s="28">
        <v>4112014038</v>
      </c>
      <c r="D122" s="28" t="s">
        <v>3328</v>
      </c>
      <c r="E122" s="28" t="s">
        <v>3326</v>
      </c>
      <c r="F122" s="28" t="s">
        <v>11</v>
      </c>
      <c r="G122" s="28" t="s">
        <v>1252</v>
      </c>
    </row>
    <row r="123" spans="1:7">
      <c r="A123" s="28">
        <v>122</v>
      </c>
      <c r="B123" s="28" t="s">
        <v>1268</v>
      </c>
      <c r="C123" s="28">
        <v>4112014087</v>
      </c>
      <c r="D123" s="28" t="s">
        <v>3328</v>
      </c>
      <c r="E123" s="28" t="s">
        <v>3326</v>
      </c>
      <c r="F123" s="28" t="s">
        <v>11</v>
      </c>
      <c r="G123" s="28" t="s">
        <v>1252</v>
      </c>
    </row>
    <row r="124" spans="1:7">
      <c r="A124" s="28">
        <v>123</v>
      </c>
      <c r="B124" s="28" t="s">
        <v>96</v>
      </c>
      <c r="C124" s="28">
        <v>4112012723</v>
      </c>
      <c r="D124" s="28" t="s">
        <v>3326</v>
      </c>
      <c r="E124" s="28" t="s">
        <v>3326</v>
      </c>
      <c r="F124" s="28" t="s">
        <v>11</v>
      </c>
      <c r="G124" s="28"/>
    </row>
    <row r="125" spans="1:7">
      <c r="A125" s="28">
        <v>124</v>
      </c>
      <c r="B125" s="28" t="s">
        <v>3329</v>
      </c>
      <c r="C125" s="28">
        <v>4112011032</v>
      </c>
      <c r="D125" s="28" t="s">
        <v>3326</v>
      </c>
      <c r="E125" s="28" t="s">
        <v>3326</v>
      </c>
      <c r="F125" s="28" t="s">
        <v>1700</v>
      </c>
      <c r="G125" s="28"/>
    </row>
    <row r="126" spans="1:7">
      <c r="A126" s="28">
        <v>125</v>
      </c>
      <c r="B126" s="28" t="s">
        <v>1714</v>
      </c>
      <c r="C126" s="28">
        <v>4112012484</v>
      </c>
      <c r="D126" s="28" t="s">
        <v>3326</v>
      </c>
      <c r="E126" s="28" t="s">
        <v>3326</v>
      </c>
      <c r="F126" s="28" t="s">
        <v>1700</v>
      </c>
      <c r="G126" s="28"/>
    </row>
    <row r="127" spans="1:7">
      <c r="A127" s="28">
        <v>126</v>
      </c>
      <c r="B127" s="28" t="s">
        <v>1715</v>
      </c>
      <c r="C127" s="28">
        <v>4112012487</v>
      </c>
      <c r="D127" s="28" t="s">
        <v>3326</v>
      </c>
      <c r="E127" s="28" t="s">
        <v>3326</v>
      </c>
      <c r="F127" s="28" t="s">
        <v>1700</v>
      </c>
      <c r="G127" s="28"/>
    </row>
    <row r="128" spans="1:7">
      <c r="A128" s="28">
        <v>127</v>
      </c>
      <c r="B128" s="28" t="s">
        <v>1716</v>
      </c>
      <c r="C128" s="28">
        <v>4112012719</v>
      </c>
      <c r="D128" s="28" t="s">
        <v>3326</v>
      </c>
      <c r="E128" s="28" t="s">
        <v>3326</v>
      </c>
      <c r="F128" s="28" t="s">
        <v>1700</v>
      </c>
      <c r="G128" s="28"/>
    </row>
    <row r="129" spans="1:7">
      <c r="A129" s="28">
        <v>128</v>
      </c>
      <c r="B129" s="28" t="s">
        <v>1717</v>
      </c>
      <c r="C129" s="28">
        <v>4112012720</v>
      </c>
      <c r="D129" s="28" t="s">
        <v>3326</v>
      </c>
      <c r="E129" s="28" t="s">
        <v>3326</v>
      </c>
      <c r="F129" s="28" t="s">
        <v>1700</v>
      </c>
      <c r="G129" s="28"/>
    </row>
    <row r="130" spans="1:7">
      <c r="A130" s="28">
        <v>129</v>
      </c>
      <c r="B130" s="28" t="s">
        <v>1718</v>
      </c>
      <c r="C130" s="28">
        <v>4112012721</v>
      </c>
      <c r="D130" s="28" t="s">
        <v>3326</v>
      </c>
      <c r="E130" s="28" t="s">
        <v>3326</v>
      </c>
      <c r="F130" s="28" t="s">
        <v>1700</v>
      </c>
      <c r="G130" s="28"/>
    </row>
    <row r="131" spans="1:7">
      <c r="A131" s="28">
        <v>130</v>
      </c>
      <c r="B131" s="28" t="s">
        <v>1719</v>
      </c>
      <c r="C131" s="28">
        <v>4112012722</v>
      </c>
      <c r="D131" s="28" t="s">
        <v>3326</v>
      </c>
      <c r="E131" s="28" t="s">
        <v>3326</v>
      </c>
      <c r="F131" s="28" t="s">
        <v>1700</v>
      </c>
      <c r="G131" s="28"/>
    </row>
    <row r="132" spans="1:7">
      <c r="A132" s="28">
        <v>131</v>
      </c>
      <c r="B132" s="28" t="s">
        <v>1720</v>
      </c>
      <c r="C132" s="28">
        <v>4112012732</v>
      </c>
      <c r="D132" s="28" t="s">
        <v>3326</v>
      </c>
      <c r="E132" s="28" t="s">
        <v>3326</v>
      </c>
      <c r="F132" s="28" t="s">
        <v>1700</v>
      </c>
      <c r="G132" s="28"/>
    </row>
    <row r="133" spans="1:7">
      <c r="A133" s="28">
        <v>132</v>
      </c>
      <c r="B133" s="28" t="s">
        <v>1721</v>
      </c>
      <c r="C133" s="28">
        <v>4112012788</v>
      </c>
      <c r="D133" s="28" t="s">
        <v>3326</v>
      </c>
      <c r="E133" s="28" t="s">
        <v>3326</v>
      </c>
      <c r="F133" s="28" t="s">
        <v>1700</v>
      </c>
      <c r="G133" s="28"/>
    </row>
    <row r="134" spans="1:7">
      <c r="A134" s="28">
        <v>133</v>
      </c>
      <c r="B134" s="28" t="s">
        <v>1722</v>
      </c>
      <c r="C134" s="28">
        <v>4112012803</v>
      </c>
      <c r="D134" s="28" t="s">
        <v>3326</v>
      </c>
      <c r="E134" s="28" t="s">
        <v>3326</v>
      </c>
      <c r="F134" s="28" t="s">
        <v>1700</v>
      </c>
      <c r="G134" s="28"/>
    </row>
    <row r="135" spans="1:7">
      <c r="A135" s="28">
        <v>134</v>
      </c>
      <c r="B135" s="28" t="s">
        <v>1723</v>
      </c>
      <c r="C135" s="28">
        <v>4112012880</v>
      </c>
      <c r="D135" s="28" t="s">
        <v>3326</v>
      </c>
      <c r="E135" s="28" t="s">
        <v>3326</v>
      </c>
      <c r="F135" s="28" t="s">
        <v>1700</v>
      </c>
      <c r="G135" s="28"/>
    </row>
    <row r="136" spans="1:7">
      <c r="A136" s="28">
        <v>135</v>
      </c>
      <c r="B136" s="28" t="s">
        <v>1724</v>
      </c>
      <c r="C136" s="28">
        <v>4112012881</v>
      </c>
      <c r="D136" s="28" t="s">
        <v>3326</v>
      </c>
      <c r="E136" s="28" t="s">
        <v>3326</v>
      </c>
      <c r="F136" s="28" t="s">
        <v>1700</v>
      </c>
      <c r="G136" s="28"/>
    </row>
    <row r="137" spans="1:7">
      <c r="A137" s="28">
        <v>136</v>
      </c>
      <c r="B137" s="28" t="s">
        <v>1725</v>
      </c>
      <c r="C137" s="28">
        <v>4112012882</v>
      </c>
      <c r="D137" s="28" t="s">
        <v>3326</v>
      </c>
      <c r="E137" s="28" t="s">
        <v>3326</v>
      </c>
      <c r="F137" s="28" t="s">
        <v>1700</v>
      </c>
      <c r="G137" s="28"/>
    </row>
    <row r="138" spans="1:7">
      <c r="A138" s="28">
        <v>137</v>
      </c>
      <c r="B138" s="28" t="s">
        <v>1726</v>
      </c>
      <c r="C138" s="28">
        <v>4112012883</v>
      </c>
      <c r="D138" s="28" t="s">
        <v>3326</v>
      </c>
      <c r="E138" s="28" t="s">
        <v>3326</v>
      </c>
      <c r="F138" s="28" t="s">
        <v>1700</v>
      </c>
      <c r="G138" s="28"/>
    </row>
    <row r="139" spans="1:7">
      <c r="A139" s="28">
        <v>138</v>
      </c>
      <c r="B139" s="28" t="s">
        <v>1727</v>
      </c>
      <c r="C139" s="28">
        <v>4112013700</v>
      </c>
      <c r="D139" s="28" t="s">
        <v>3326</v>
      </c>
      <c r="E139" s="28" t="s">
        <v>3326</v>
      </c>
      <c r="F139" s="28" t="s">
        <v>1700</v>
      </c>
      <c r="G139" s="28"/>
    </row>
    <row r="140" spans="1:7">
      <c r="A140" s="28">
        <v>139</v>
      </c>
      <c r="B140" s="28" t="s">
        <v>1728</v>
      </c>
      <c r="C140" s="28">
        <v>4112013701</v>
      </c>
      <c r="D140" s="28" t="s">
        <v>3326</v>
      </c>
      <c r="E140" s="28" t="s">
        <v>3326</v>
      </c>
      <c r="F140" s="28" t="s">
        <v>1700</v>
      </c>
      <c r="G140" s="28"/>
    </row>
    <row r="141" spans="1:7">
      <c r="A141" s="28">
        <v>140</v>
      </c>
      <c r="B141" s="28" t="s">
        <v>1729</v>
      </c>
      <c r="C141" s="28">
        <v>4112013702</v>
      </c>
      <c r="D141" s="28" t="s">
        <v>3326</v>
      </c>
      <c r="E141" s="28" t="s">
        <v>3326</v>
      </c>
      <c r="F141" s="28" t="s">
        <v>1700</v>
      </c>
      <c r="G141" s="28"/>
    </row>
    <row r="142" spans="1:7">
      <c r="A142" s="28">
        <v>141</v>
      </c>
      <c r="B142" s="28" t="s">
        <v>1730</v>
      </c>
      <c r="C142" s="28">
        <v>4112013863</v>
      </c>
      <c r="D142" s="28" t="s">
        <v>3326</v>
      </c>
      <c r="E142" s="28" t="s">
        <v>3326</v>
      </c>
      <c r="F142" s="28" t="s">
        <v>1700</v>
      </c>
      <c r="G142" s="28"/>
    </row>
    <row r="143" spans="1:7">
      <c r="A143" s="28">
        <v>142</v>
      </c>
      <c r="B143" s="28" t="s">
        <v>1731</v>
      </c>
      <c r="C143" s="28">
        <v>4112013911</v>
      </c>
      <c r="D143" s="28" t="s">
        <v>3326</v>
      </c>
      <c r="E143" s="28" t="s">
        <v>3326</v>
      </c>
      <c r="F143" s="28" t="s">
        <v>1700</v>
      </c>
      <c r="G143" s="28"/>
    </row>
    <row r="144" spans="1:7">
      <c r="A144" s="28">
        <v>143</v>
      </c>
      <c r="B144" s="28" t="s">
        <v>1732</v>
      </c>
      <c r="C144" s="28">
        <v>4112014020</v>
      </c>
      <c r="D144" s="28" t="s">
        <v>3326</v>
      </c>
      <c r="E144" s="28" t="s">
        <v>3326</v>
      </c>
      <c r="F144" s="28" t="s">
        <v>1700</v>
      </c>
      <c r="G144" s="28"/>
    </row>
    <row r="145" spans="1:7">
      <c r="A145" s="28">
        <v>144</v>
      </c>
      <c r="B145" s="28" t="s">
        <v>1733</v>
      </c>
      <c r="C145" s="28">
        <v>4112014021</v>
      </c>
      <c r="D145" s="28" t="s">
        <v>3326</v>
      </c>
      <c r="E145" s="28" t="s">
        <v>3326</v>
      </c>
      <c r="F145" s="28" t="s">
        <v>1700</v>
      </c>
      <c r="G145" s="28"/>
    </row>
    <row r="146" spans="1:7">
      <c r="A146" s="28">
        <v>145</v>
      </c>
      <c r="B146" s="28" t="s">
        <v>1734</v>
      </c>
      <c r="C146" s="28">
        <v>4112014022</v>
      </c>
      <c r="D146" s="28" t="s">
        <v>3326</v>
      </c>
      <c r="E146" s="28" t="s">
        <v>3326</v>
      </c>
      <c r="F146" s="28" t="s">
        <v>1700</v>
      </c>
      <c r="G146" s="28"/>
    </row>
    <row r="147" spans="1:7">
      <c r="A147" s="28">
        <v>146</v>
      </c>
      <c r="B147" s="28" t="s">
        <v>1735</v>
      </c>
      <c r="C147" s="28">
        <v>4112014102</v>
      </c>
      <c r="D147" s="28" t="s">
        <v>3326</v>
      </c>
      <c r="E147" s="28" t="s">
        <v>3326</v>
      </c>
      <c r="F147" s="28" t="s">
        <v>1700</v>
      </c>
      <c r="G147" s="28"/>
    </row>
    <row r="148" spans="1:7">
      <c r="A148" s="28">
        <v>147</v>
      </c>
      <c r="B148" s="28" t="s">
        <v>1736</v>
      </c>
      <c r="C148" s="28">
        <v>4112014599</v>
      </c>
      <c r="D148" s="28" t="s">
        <v>3326</v>
      </c>
      <c r="E148" s="28" t="s">
        <v>3326</v>
      </c>
      <c r="F148" s="28" t="s">
        <v>1700</v>
      </c>
      <c r="G148" s="28"/>
    </row>
    <row r="149" spans="1:7">
      <c r="A149" s="28">
        <v>148</v>
      </c>
      <c r="B149" s="28" t="s">
        <v>2897</v>
      </c>
      <c r="C149" s="28">
        <v>4112014600</v>
      </c>
      <c r="D149" s="28" t="s">
        <v>3328</v>
      </c>
      <c r="E149" s="28" t="s">
        <v>3326</v>
      </c>
      <c r="F149" s="28" t="s">
        <v>1700</v>
      </c>
      <c r="G149" s="28" t="s">
        <v>1252</v>
      </c>
    </row>
    <row r="150" spans="1:7">
      <c r="A150" s="28">
        <v>149</v>
      </c>
      <c r="B150" s="28" t="s">
        <v>97</v>
      </c>
      <c r="C150" s="28">
        <v>4113010075</v>
      </c>
      <c r="D150" s="28" t="s">
        <v>3330</v>
      </c>
      <c r="E150" s="28" t="s">
        <v>3331</v>
      </c>
      <c r="F150" s="28" t="s">
        <v>11</v>
      </c>
      <c r="G150" s="28"/>
    </row>
    <row r="151" spans="1:7">
      <c r="A151" s="28">
        <v>150</v>
      </c>
      <c r="B151" s="28" t="s">
        <v>100</v>
      </c>
      <c r="C151" s="28">
        <v>4113010076</v>
      </c>
      <c r="D151" s="28" t="s">
        <v>3330</v>
      </c>
      <c r="E151" s="28" t="s">
        <v>3332</v>
      </c>
      <c r="F151" s="28" t="s">
        <v>11</v>
      </c>
      <c r="G151" s="28"/>
    </row>
    <row r="152" spans="1:7">
      <c r="A152" s="28">
        <v>151</v>
      </c>
      <c r="B152" s="28" t="s">
        <v>102</v>
      </c>
      <c r="C152" s="28">
        <v>4113010077</v>
      </c>
      <c r="D152" s="28" t="s">
        <v>3330</v>
      </c>
      <c r="E152" s="28" t="s">
        <v>3333</v>
      </c>
      <c r="F152" s="28" t="s">
        <v>11</v>
      </c>
      <c r="G152" s="28"/>
    </row>
    <row r="153" spans="1:7">
      <c r="A153" s="28">
        <v>152</v>
      </c>
      <c r="B153" s="28" t="s">
        <v>104</v>
      </c>
      <c r="C153" s="28">
        <v>4113010080</v>
      </c>
      <c r="D153" s="28" t="s">
        <v>3330</v>
      </c>
      <c r="E153" s="28" t="s">
        <v>3326</v>
      </c>
      <c r="F153" s="28" t="s">
        <v>11</v>
      </c>
      <c r="G153" s="28"/>
    </row>
    <row r="154" spans="1:7">
      <c r="A154" s="28">
        <v>153</v>
      </c>
      <c r="B154" s="28" t="s">
        <v>105</v>
      </c>
      <c r="C154" s="28">
        <v>4113010081</v>
      </c>
      <c r="D154" s="28" t="s">
        <v>3330</v>
      </c>
      <c r="E154" s="28" t="s">
        <v>3334</v>
      </c>
      <c r="F154" s="28" t="s">
        <v>11</v>
      </c>
      <c r="G154" s="28"/>
    </row>
    <row r="155" spans="1:7">
      <c r="A155" s="28">
        <v>154</v>
      </c>
      <c r="B155" s="28" t="s">
        <v>107</v>
      </c>
      <c r="C155" s="28">
        <v>4113010082</v>
      </c>
      <c r="D155" s="28" t="s">
        <v>3330</v>
      </c>
      <c r="E155" s="28" t="s">
        <v>3333</v>
      </c>
      <c r="F155" s="28" t="s">
        <v>11</v>
      </c>
      <c r="G155" s="28"/>
    </row>
    <row r="156" spans="1:7">
      <c r="A156" s="28">
        <v>155</v>
      </c>
      <c r="B156" s="28" t="s">
        <v>108</v>
      </c>
      <c r="C156" s="28">
        <v>4113010084</v>
      </c>
      <c r="D156" s="28" t="s">
        <v>3330</v>
      </c>
      <c r="E156" s="28" t="s">
        <v>3335</v>
      </c>
      <c r="F156" s="28" t="s">
        <v>11</v>
      </c>
      <c r="G156" s="28"/>
    </row>
    <row r="157" spans="1:7">
      <c r="A157" s="28">
        <v>156</v>
      </c>
      <c r="B157" s="28" t="s">
        <v>110</v>
      </c>
      <c r="C157" s="28">
        <v>4113010085</v>
      </c>
      <c r="D157" s="28" t="s">
        <v>3330</v>
      </c>
      <c r="E157" s="28" t="s">
        <v>3336</v>
      </c>
      <c r="F157" s="28" t="s">
        <v>11</v>
      </c>
      <c r="G157" s="28"/>
    </row>
    <row r="158" spans="1:7">
      <c r="A158" s="28">
        <v>157</v>
      </c>
      <c r="B158" s="28" t="s">
        <v>112</v>
      </c>
      <c r="C158" s="28">
        <v>4113010086</v>
      </c>
      <c r="D158" s="28" t="s">
        <v>3330</v>
      </c>
      <c r="E158" s="28" t="s">
        <v>3331</v>
      </c>
      <c r="F158" s="28" t="s">
        <v>11</v>
      </c>
      <c r="G158" s="28"/>
    </row>
    <row r="159" spans="1:7">
      <c r="A159" s="28">
        <v>158</v>
      </c>
      <c r="B159" s="28" t="s">
        <v>113</v>
      </c>
      <c r="C159" s="28">
        <v>4113010089</v>
      </c>
      <c r="D159" s="28" t="s">
        <v>3330</v>
      </c>
      <c r="E159" s="28" t="s">
        <v>3333</v>
      </c>
      <c r="F159" s="28" t="s">
        <v>11</v>
      </c>
      <c r="G159" s="28"/>
    </row>
    <row r="160" spans="1:7">
      <c r="A160" s="28">
        <v>159</v>
      </c>
      <c r="B160" s="28" t="s">
        <v>114</v>
      </c>
      <c r="C160" s="28">
        <v>4113010092</v>
      </c>
      <c r="D160" s="28" t="s">
        <v>3330</v>
      </c>
      <c r="E160" s="28" t="s">
        <v>3335</v>
      </c>
      <c r="F160" s="28" t="s">
        <v>11</v>
      </c>
      <c r="G160" s="28"/>
    </row>
    <row r="161" spans="1:7">
      <c r="A161" s="28">
        <v>160</v>
      </c>
      <c r="B161" s="28" t="s">
        <v>115</v>
      </c>
      <c r="C161" s="28">
        <v>4113010093</v>
      </c>
      <c r="D161" s="28" t="s">
        <v>3330</v>
      </c>
      <c r="E161" s="28" t="s">
        <v>3337</v>
      </c>
      <c r="F161" s="28" t="s">
        <v>11</v>
      </c>
      <c r="G161" s="28"/>
    </row>
    <row r="162" spans="1:7">
      <c r="A162" s="28">
        <v>161</v>
      </c>
      <c r="B162" s="28" t="s">
        <v>117</v>
      </c>
      <c r="C162" s="28">
        <v>4113010094</v>
      </c>
      <c r="D162" s="28" t="s">
        <v>3330</v>
      </c>
      <c r="E162" s="28" t="s">
        <v>3333</v>
      </c>
      <c r="F162" s="28" t="s">
        <v>11</v>
      </c>
      <c r="G162" s="28"/>
    </row>
    <row r="163" spans="1:7">
      <c r="A163" s="28">
        <v>162</v>
      </c>
      <c r="B163" s="28" t="s">
        <v>118</v>
      </c>
      <c r="C163" s="28">
        <v>4113010096</v>
      </c>
      <c r="D163" s="28" t="s">
        <v>3330</v>
      </c>
      <c r="E163" s="28" t="s">
        <v>3331</v>
      </c>
      <c r="F163" s="28" t="s">
        <v>11</v>
      </c>
      <c r="G163" s="28"/>
    </row>
    <row r="164" spans="1:7">
      <c r="A164" s="28">
        <v>163</v>
      </c>
      <c r="B164" s="28" t="s">
        <v>119</v>
      </c>
      <c r="C164" s="28">
        <v>4113010098</v>
      </c>
      <c r="D164" s="28" t="s">
        <v>3330</v>
      </c>
      <c r="E164" s="28" t="s">
        <v>3337</v>
      </c>
      <c r="F164" s="28" t="s">
        <v>11</v>
      </c>
      <c r="G164" s="28"/>
    </row>
    <row r="165" spans="1:7">
      <c r="A165" s="28">
        <v>164</v>
      </c>
      <c r="B165" s="28" t="s">
        <v>120</v>
      </c>
      <c r="C165" s="28">
        <v>4113010099</v>
      </c>
      <c r="D165" s="28" t="s">
        <v>3330</v>
      </c>
      <c r="E165" s="28" t="s">
        <v>3334</v>
      </c>
      <c r="F165" s="28" t="s">
        <v>11</v>
      </c>
      <c r="G165" s="28"/>
    </row>
    <row r="166" spans="1:7">
      <c r="A166" s="28">
        <v>165</v>
      </c>
      <c r="B166" s="28" t="s">
        <v>121</v>
      </c>
      <c r="C166" s="28">
        <v>4113010100</v>
      </c>
      <c r="D166" s="28" t="s">
        <v>3330</v>
      </c>
      <c r="E166" s="28" t="s">
        <v>3338</v>
      </c>
      <c r="F166" s="28" t="s">
        <v>11</v>
      </c>
      <c r="G166" s="28"/>
    </row>
    <row r="167" spans="1:7">
      <c r="A167" s="28">
        <v>166</v>
      </c>
      <c r="B167" s="28" t="s">
        <v>123</v>
      </c>
      <c r="C167" s="28">
        <v>4113010101</v>
      </c>
      <c r="D167" s="28" t="s">
        <v>3330</v>
      </c>
      <c r="E167" s="28" t="s">
        <v>3339</v>
      </c>
      <c r="F167" s="28" t="s">
        <v>11</v>
      </c>
      <c r="G167" s="28"/>
    </row>
    <row r="168" spans="1:7">
      <c r="A168" s="28">
        <v>167</v>
      </c>
      <c r="B168" s="28" t="s">
        <v>125</v>
      </c>
      <c r="C168" s="28">
        <v>4113010102</v>
      </c>
      <c r="D168" s="28" t="s">
        <v>3330</v>
      </c>
      <c r="E168" s="28" t="s">
        <v>3333</v>
      </c>
      <c r="F168" s="28" t="s">
        <v>11</v>
      </c>
      <c r="G168" s="28"/>
    </row>
    <row r="169" spans="1:7">
      <c r="A169" s="28">
        <v>168</v>
      </c>
      <c r="B169" s="28" t="s">
        <v>126</v>
      </c>
      <c r="C169" s="28">
        <v>4113010103</v>
      </c>
      <c r="D169" s="28" t="s">
        <v>3330</v>
      </c>
      <c r="E169" s="28" t="s">
        <v>3332</v>
      </c>
      <c r="F169" s="28" t="s">
        <v>11</v>
      </c>
      <c r="G169" s="28"/>
    </row>
    <row r="170" spans="1:7">
      <c r="A170" s="28">
        <v>169</v>
      </c>
      <c r="B170" s="28" t="s">
        <v>127</v>
      </c>
      <c r="C170" s="28">
        <v>4113010104</v>
      </c>
      <c r="D170" s="28" t="s">
        <v>3330</v>
      </c>
      <c r="E170" s="28" t="s">
        <v>3340</v>
      </c>
      <c r="F170" s="28" t="s">
        <v>11</v>
      </c>
      <c r="G170" s="28"/>
    </row>
    <row r="171" spans="1:7">
      <c r="A171" s="28">
        <v>170</v>
      </c>
      <c r="B171" s="28" t="s">
        <v>129</v>
      </c>
      <c r="C171" s="28">
        <v>4113010105</v>
      </c>
      <c r="D171" s="28" t="s">
        <v>3330</v>
      </c>
      <c r="E171" s="28" t="s">
        <v>3336</v>
      </c>
      <c r="F171" s="28" t="s">
        <v>11</v>
      </c>
      <c r="G171" s="28"/>
    </row>
    <row r="172" spans="1:7">
      <c r="A172" s="28">
        <v>171</v>
      </c>
      <c r="B172" s="28" t="s">
        <v>130</v>
      </c>
      <c r="C172" s="28">
        <v>4113010107</v>
      </c>
      <c r="D172" s="28" t="s">
        <v>3330</v>
      </c>
      <c r="E172" s="28" t="s">
        <v>3333</v>
      </c>
      <c r="F172" s="28" t="s">
        <v>11</v>
      </c>
      <c r="G172" s="28"/>
    </row>
    <row r="173" spans="1:7">
      <c r="A173" s="28">
        <v>172</v>
      </c>
      <c r="B173" s="28" t="s">
        <v>131</v>
      </c>
      <c r="C173" s="28">
        <v>4113010216</v>
      </c>
      <c r="D173" s="28" t="s">
        <v>3330</v>
      </c>
      <c r="E173" s="28" t="s">
        <v>3341</v>
      </c>
      <c r="F173" s="28" t="s">
        <v>11</v>
      </c>
      <c r="G173" s="28"/>
    </row>
    <row r="174" spans="1:7">
      <c r="A174" s="28">
        <v>173</v>
      </c>
      <c r="B174" s="28" t="s">
        <v>133</v>
      </c>
      <c r="C174" s="28">
        <v>4113010798</v>
      </c>
      <c r="D174" s="28" t="s">
        <v>3330</v>
      </c>
      <c r="E174" s="28" t="s">
        <v>3341</v>
      </c>
      <c r="F174" s="28" t="s">
        <v>11</v>
      </c>
      <c r="G174" s="28"/>
    </row>
    <row r="175" spans="1:7">
      <c r="A175" s="28">
        <v>174</v>
      </c>
      <c r="B175" s="28" t="s">
        <v>134</v>
      </c>
      <c r="C175" s="28">
        <v>4113011033</v>
      </c>
      <c r="D175" s="28" t="s">
        <v>3330</v>
      </c>
      <c r="E175" s="28" t="s">
        <v>3334</v>
      </c>
      <c r="F175" s="28" t="s">
        <v>11</v>
      </c>
      <c r="G175" s="28"/>
    </row>
    <row r="176" spans="1:7">
      <c r="A176" s="28">
        <v>175</v>
      </c>
      <c r="B176" s="28" t="s">
        <v>3342</v>
      </c>
      <c r="C176" s="28">
        <v>4113011104</v>
      </c>
      <c r="D176" s="28" t="s">
        <v>3314</v>
      </c>
      <c r="E176" s="28" t="s">
        <v>3338</v>
      </c>
      <c r="F176" s="28" t="s">
        <v>11</v>
      </c>
      <c r="G176" s="28"/>
    </row>
    <row r="177" spans="1:7">
      <c r="A177" s="28">
        <v>176</v>
      </c>
      <c r="B177" s="28" t="s">
        <v>136</v>
      </c>
      <c r="C177" s="28">
        <v>4113011105</v>
      </c>
      <c r="D177" s="28" t="s">
        <v>3316</v>
      </c>
      <c r="E177" s="28" t="s">
        <v>3338</v>
      </c>
      <c r="F177" s="28" t="s">
        <v>11</v>
      </c>
      <c r="G177" s="28"/>
    </row>
    <row r="178" spans="1:7">
      <c r="A178" s="28">
        <v>177</v>
      </c>
      <c r="B178" s="28" t="s">
        <v>137</v>
      </c>
      <c r="C178" s="28">
        <v>4113011236</v>
      </c>
      <c r="D178" s="28" t="s">
        <v>3330</v>
      </c>
      <c r="E178" s="28" t="s">
        <v>3333</v>
      </c>
      <c r="F178" s="28" t="s">
        <v>11</v>
      </c>
      <c r="G178" s="28"/>
    </row>
    <row r="179" spans="1:7">
      <c r="A179" s="28">
        <v>178</v>
      </c>
      <c r="B179" s="28" t="s">
        <v>138</v>
      </c>
      <c r="C179" s="28">
        <v>4113011420</v>
      </c>
      <c r="D179" s="28" t="s">
        <v>3330</v>
      </c>
      <c r="E179" s="28" t="s">
        <v>3331</v>
      </c>
      <c r="F179" s="28" t="s">
        <v>11</v>
      </c>
      <c r="G179" s="28"/>
    </row>
    <row r="180" spans="1:7">
      <c r="A180" s="28">
        <v>179</v>
      </c>
      <c r="B180" s="28" t="s">
        <v>139</v>
      </c>
      <c r="C180" s="28">
        <v>4113011629</v>
      </c>
      <c r="D180" s="28" t="s">
        <v>3330</v>
      </c>
      <c r="E180" s="28" t="s">
        <v>3338</v>
      </c>
      <c r="F180" s="28" t="s">
        <v>11</v>
      </c>
      <c r="G180" s="28"/>
    </row>
    <row r="181" spans="1:7">
      <c r="A181" s="28">
        <v>180</v>
      </c>
      <c r="B181" s="28" t="s">
        <v>3343</v>
      </c>
      <c r="C181" s="28">
        <v>4113011775</v>
      </c>
      <c r="D181" s="28" t="s">
        <v>3344</v>
      </c>
      <c r="E181" s="28" t="s">
        <v>3338</v>
      </c>
      <c r="F181" s="28" t="s">
        <v>11</v>
      </c>
      <c r="G181" s="28"/>
    </row>
    <row r="182" spans="1:7">
      <c r="A182" s="28">
        <v>181</v>
      </c>
      <c r="B182" s="28" t="s">
        <v>140</v>
      </c>
      <c r="C182" s="28">
        <v>4113011832</v>
      </c>
      <c r="D182" s="28" t="s">
        <v>3330</v>
      </c>
      <c r="E182" s="28" t="s">
        <v>3333</v>
      </c>
      <c r="F182" s="28" t="s">
        <v>11</v>
      </c>
      <c r="G182" s="28"/>
    </row>
    <row r="183" spans="1:7">
      <c r="A183" s="28">
        <v>182</v>
      </c>
      <c r="B183" s="28" t="s">
        <v>141</v>
      </c>
      <c r="C183" s="28">
        <v>4113011903</v>
      </c>
      <c r="D183" s="28" t="s">
        <v>3345</v>
      </c>
      <c r="E183" s="28" t="s">
        <v>3331</v>
      </c>
      <c r="F183" s="28" t="s">
        <v>11</v>
      </c>
      <c r="G183" s="28"/>
    </row>
    <row r="184" spans="1:7">
      <c r="A184" s="28">
        <v>183</v>
      </c>
      <c r="B184" s="28" t="s">
        <v>1269</v>
      </c>
      <c r="C184" s="28">
        <v>4113012784</v>
      </c>
      <c r="D184" s="28" t="s">
        <v>3346</v>
      </c>
      <c r="E184" s="28" t="s">
        <v>3333</v>
      </c>
      <c r="F184" s="28" t="s">
        <v>11</v>
      </c>
      <c r="G184" s="28" t="s">
        <v>1252</v>
      </c>
    </row>
    <row r="185" spans="1:7">
      <c r="A185" s="28">
        <v>184</v>
      </c>
      <c r="B185" s="28" t="s">
        <v>1270</v>
      </c>
      <c r="C185" s="28">
        <v>4113012796</v>
      </c>
      <c r="D185" s="28" t="s">
        <v>3346</v>
      </c>
      <c r="E185" s="28" t="s">
        <v>3333</v>
      </c>
      <c r="F185" s="28" t="s">
        <v>11</v>
      </c>
      <c r="G185" s="28" t="s">
        <v>1252</v>
      </c>
    </row>
    <row r="186" spans="1:7">
      <c r="A186" s="28">
        <v>185</v>
      </c>
      <c r="B186" s="28" t="s">
        <v>1271</v>
      </c>
      <c r="C186" s="28">
        <v>4113013075</v>
      </c>
      <c r="D186" s="28" t="s">
        <v>3346</v>
      </c>
      <c r="E186" s="28" t="s">
        <v>3333</v>
      </c>
      <c r="F186" s="28" t="s">
        <v>11</v>
      </c>
      <c r="G186" s="28" t="s">
        <v>1252</v>
      </c>
    </row>
    <row r="187" spans="1:7">
      <c r="A187" s="28">
        <v>186</v>
      </c>
      <c r="B187" s="28" t="s">
        <v>1272</v>
      </c>
      <c r="C187" s="28">
        <v>4113013391</v>
      </c>
      <c r="D187" s="28" t="s">
        <v>3346</v>
      </c>
      <c r="E187" s="28" t="s">
        <v>3331</v>
      </c>
      <c r="F187" s="28" t="s">
        <v>11</v>
      </c>
      <c r="G187" s="28" t="s">
        <v>1252</v>
      </c>
    </row>
    <row r="188" spans="1:7">
      <c r="A188" s="28">
        <v>187</v>
      </c>
      <c r="B188" s="28" t="s">
        <v>1273</v>
      </c>
      <c r="C188" s="28">
        <v>4113013402</v>
      </c>
      <c r="D188" s="28" t="s">
        <v>3346</v>
      </c>
      <c r="E188" s="28" t="s">
        <v>3333</v>
      </c>
      <c r="F188" s="28" t="s">
        <v>11</v>
      </c>
      <c r="G188" s="28" t="s">
        <v>1252</v>
      </c>
    </row>
    <row r="189" spans="1:7">
      <c r="A189" s="28">
        <v>188</v>
      </c>
      <c r="B189" s="28" t="s">
        <v>1274</v>
      </c>
      <c r="C189" s="28">
        <v>4113013404</v>
      </c>
      <c r="D189" s="28" t="s">
        <v>3346</v>
      </c>
      <c r="E189" s="28" t="s">
        <v>3331</v>
      </c>
      <c r="F189" s="28" t="s">
        <v>11</v>
      </c>
      <c r="G189" s="28" t="s">
        <v>1252</v>
      </c>
    </row>
    <row r="190" spans="1:7">
      <c r="A190" s="28">
        <v>189</v>
      </c>
      <c r="B190" s="28" t="s">
        <v>1275</v>
      </c>
      <c r="C190" s="28">
        <v>4113013408</v>
      </c>
      <c r="D190" s="28" t="s">
        <v>3346</v>
      </c>
      <c r="E190" s="28" t="s">
        <v>3334</v>
      </c>
      <c r="F190" s="28" t="s">
        <v>11</v>
      </c>
      <c r="G190" s="28" t="s">
        <v>1252</v>
      </c>
    </row>
    <row r="191" spans="1:7">
      <c r="A191" s="28">
        <v>190</v>
      </c>
      <c r="B191" s="28" t="s">
        <v>142</v>
      </c>
      <c r="C191" s="28">
        <v>4113016204</v>
      </c>
      <c r="D191" s="28" t="s">
        <v>3330</v>
      </c>
      <c r="E191" s="28" t="s">
        <v>3333</v>
      </c>
      <c r="F191" s="28" t="s">
        <v>11</v>
      </c>
      <c r="G191" s="28"/>
    </row>
    <row r="192" spans="1:7">
      <c r="A192" s="28">
        <v>191</v>
      </c>
      <c r="B192" s="28" t="s">
        <v>1276</v>
      </c>
      <c r="C192" s="28">
        <v>4113013411</v>
      </c>
      <c r="D192" s="28" t="s">
        <v>3346</v>
      </c>
      <c r="E192" s="28" t="s">
        <v>3333</v>
      </c>
      <c r="F192" s="28" t="s">
        <v>11</v>
      </c>
      <c r="G192" s="28" t="s">
        <v>1252</v>
      </c>
    </row>
    <row r="193" spans="1:7">
      <c r="A193" s="28">
        <v>192</v>
      </c>
      <c r="B193" s="28" t="s">
        <v>1277</v>
      </c>
      <c r="C193" s="28">
        <v>4113013414</v>
      </c>
      <c r="D193" s="28" t="s">
        <v>3346</v>
      </c>
      <c r="E193" s="28" t="s">
        <v>3333</v>
      </c>
      <c r="F193" s="28" t="s">
        <v>11</v>
      </c>
      <c r="G193" s="28" t="s">
        <v>1252</v>
      </c>
    </row>
    <row r="194" spans="1:7">
      <c r="A194" s="28">
        <v>193</v>
      </c>
      <c r="B194" s="28" t="s">
        <v>1278</v>
      </c>
      <c r="C194" s="28">
        <v>4113013415</v>
      </c>
      <c r="D194" s="28" t="s">
        <v>3346</v>
      </c>
      <c r="E194" s="28" t="s">
        <v>3333</v>
      </c>
      <c r="F194" s="28" t="s">
        <v>11</v>
      </c>
      <c r="G194" s="28" t="s">
        <v>1252</v>
      </c>
    </row>
    <row r="195" spans="1:7">
      <c r="A195" s="28">
        <v>194</v>
      </c>
      <c r="B195" s="28" t="s">
        <v>143</v>
      </c>
      <c r="C195" s="28">
        <v>4113016203</v>
      </c>
      <c r="D195" s="28" t="s">
        <v>3330</v>
      </c>
      <c r="E195" s="28" t="s">
        <v>3340</v>
      </c>
      <c r="F195" s="28" t="s">
        <v>11</v>
      </c>
      <c r="G195" s="28"/>
    </row>
    <row r="196" spans="1:7">
      <c r="A196" s="28">
        <v>195</v>
      </c>
      <c r="B196" s="28" t="s">
        <v>1279</v>
      </c>
      <c r="C196" s="28">
        <v>4113013578</v>
      </c>
      <c r="D196" s="28" t="s">
        <v>3346</v>
      </c>
      <c r="E196" s="28" t="s">
        <v>3332</v>
      </c>
      <c r="F196" s="28" t="s">
        <v>11</v>
      </c>
      <c r="G196" s="28" t="s">
        <v>1252</v>
      </c>
    </row>
    <row r="197" spans="1:7">
      <c r="A197" s="28">
        <v>196</v>
      </c>
      <c r="B197" s="28" t="s">
        <v>144</v>
      </c>
      <c r="C197" s="28">
        <v>4113016202</v>
      </c>
      <c r="D197" s="28" t="s">
        <v>3330</v>
      </c>
      <c r="E197" s="28" t="s">
        <v>3337</v>
      </c>
      <c r="F197" s="28" t="s">
        <v>11</v>
      </c>
      <c r="G197" s="28"/>
    </row>
    <row r="198" spans="1:7">
      <c r="A198" s="28">
        <v>197</v>
      </c>
      <c r="B198" s="28" t="s">
        <v>1280</v>
      </c>
      <c r="C198" s="28">
        <v>4113013592</v>
      </c>
      <c r="D198" s="28" t="s">
        <v>3346</v>
      </c>
      <c r="E198" s="28" t="s">
        <v>3341</v>
      </c>
      <c r="F198" s="28" t="s">
        <v>11</v>
      </c>
      <c r="G198" s="28" t="s">
        <v>1252</v>
      </c>
    </row>
    <row r="199" spans="1:7">
      <c r="A199" s="28">
        <v>198</v>
      </c>
      <c r="B199" s="28" t="s">
        <v>1281</v>
      </c>
      <c r="C199" s="28">
        <v>4113013593</v>
      </c>
      <c r="D199" s="28" t="s">
        <v>3346</v>
      </c>
      <c r="E199" s="28" t="s">
        <v>3333</v>
      </c>
      <c r="F199" s="28" t="s">
        <v>11</v>
      </c>
      <c r="G199" s="28" t="s">
        <v>1252</v>
      </c>
    </row>
    <row r="200" spans="1:7">
      <c r="A200" s="28">
        <v>199</v>
      </c>
      <c r="B200" s="28" t="s">
        <v>1282</v>
      </c>
      <c r="C200" s="28">
        <v>4113013594</v>
      </c>
      <c r="D200" s="28" t="s">
        <v>3346</v>
      </c>
      <c r="E200" s="28" t="s">
        <v>3333</v>
      </c>
      <c r="F200" s="28" t="s">
        <v>11</v>
      </c>
      <c r="G200" s="28" t="s">
        <v>1252</v>
      </c>
    </row>
    <row r="201" spans="1:7">
      <c r="A201" s="28">
        <v>200</v>
      </c>
      <c r="B201" s="28" t="s">
        <v>1283</v>
      </c>
      <c r="C201" s="28">
        <v>4113013595</v>
      </c>
      <c r="D201" s="28" t="s">
        <v>3346</v>
      </c>
      <c r="E201" s="28" t="s">
        <v>3331</v>
      </c>
      <c r="F201" s="28" t="s">
        <v>11</v>
      </c>
      <c r="G201" s="28" t="s">
        <v>1252</v>
      </c>
    </row>
    <row r="202" spans="1:7">
      <c r="A202" s="28">
        <v>201</v>
      </c>
      <c r="B202" s="28" t="s">
        <v>1284</v>
      </c>
      <c r="C202" s="28">
        <v>4113013596</v>
      </c>
      <c r="D202" s="28" t="s">
        <v>3346</v>
      </c>
      <c r="E202" s="28" t="s">
        <v>3334</v>
      </c>
      <c r="F202" s="28" t="s">
        <v>11</v>
      </c>
      <c r="G202" s="28" t="s">
        <v>1252</v>
      </c>
    </row>
    <row r="203" spans="1:7">
      <c r="A203" s="28">
        <v>202</v>
      </c>
      <c r="B203" s="28" t="s">
        <v>1285</v>
      </c>
      <c r="C203" s="28">
        <v>4113013891</v>
      </c>
      <c r="D203" s="28" t="s">
        <v>3346</v>
      </c>
      <c r="E203" s="28" t="s">
        <v>3331</v>
      </c>
      <c r="F203" s="28" t="s">
        <v>11</v>
      </c>
      <c r="G203" s="28" t="s">
        <v>1252</v>
      </c>
    </row>
    <row r="204" spans="1:7">
      <c r="A204" s="28">
        <v>203</v>
      </c>
      <c r="B204" s="28" t="s">
        <v>1286</v>
      </c>
      <c r="C204" s="28">
        <v>4113013895</v>
      </c>
      <c r="D204" s="28" t="s">
        <v>3346</v>
      </c>
      <c r="E204" s="28" t="s">
        <v>3338</v>
      </c>
      <c r="F204" s="28" t="s">
        <v>11</v>
      </c>
      <c r="G204" s="28" t="s">
        <v>1252</v>
      </c>
    </row>
    <row r="205" spans="1:7">
      <c r="A205" s="28">
        <v>204</v>
      </c>
      <c r="B205" s="28" t="s">
        <v>1287</v>
      </c>
      <c r="C205" s="28">
        <v>4113013899</v>
      </c>
      <c r="D205" s="28" t="s">
        <v>3346</v>
      </c>
      <c r="E205" s="28" t="s">
        <v>3338</v>
      </c>
      <c r="F205" s="28" t="s">
        <v>11</v>
      </c>
      <c r="G205" s="28" t="s">
        <v>1252</v>
      </c>
    </row>
    <row r="206" spans="1:7">
      <c r="A206" s="28">
        <v>205</v>
      </c>
      <c r="B206" s="28" t="s">
        <v>1288</v>
      </c>
      <c r="C206" s="28">
        <v>4113014202</v>
      </c>
      <c r="D206" s="28" t="s">
        <v>3346</v>
      </c>
      <c r="E206" s="28" t="s">
        <v>3336</v>
      </c>
      <c r="F206" s="28" t="s">
        <v>11</v>
      </c>
      <c r="G206" s="28" t="s">
        <v>1252</v>
      </c>
    </row>
    <row r="207" spans="1:7">
      <c r="A207" s="28">
        <v>206</v>
      </c>
      <c r="B207" s="28" t="s">
        <v>1289</v>
      </c>
      <c r="C207" s="28">
        <v>4113014225</v>
      </c>
      <c r="D207" s="28" t="s">
        <v>3346</v>
      </c>
      <c r="E207" s="28" t="s">
        <v>3338</v>
      </c>
      <c r="F207" s="28" t="s">
        <v>11</v>
      </c>
      <c r="G207" s="28" t="s">
        <v>1252</v>
      </c>
    </row>
    <row r="208" spans="1:7">
      <c r="A208" s="28">
        <v>207</v>
      </c>
      <c r="B208" s="28" t="s">
        <v>145</v>
      </c>
      <c r="C208" s="28">
        <v>4113014432</v>
      </c>
      <c r="D208" s="28" t="s">
        <v>3330</v>
      </c>
      <c r="E208" s="28" t="s">
        <v>3333</v>
      </c>
      <c r="F208" s="28" t="s">
        <v>11</v>
      </c>
      <c r="G208" s="28"/>
    </row>
    <row r="209" spans="1:7">
      <c r="A209" s="28">
        <v>208</v>
      </c>
      <c r="B209" s="28" t="s">
        <v>146</v>
      </c>
      <c r="C209" s="28">
        <v>4113014458</v>
      </c>
      <c r="D209" s="28" t="s">
        <v>3330</v>
      </c>
      <c r="E209" s="28" t="s">
        <v>3335</v>
      </c>
      <c r="F209" s="28" t="s">
        <v>11</v>
      </c>
      <c r="G209" s="28"/>
    </row>
    <row r="210" spans="1:7">
      <c r="A210" s="28">
        <v>209</v>
      </c>
      <c r="B210" s="28" t="s">
        <v>147</v>
      </c>
      <c r="C210" s="28">
        <v>4213051721</v>
      </c>
      <c r="D210" s="28" t="s">
        <v>3330</v>
      </c>
      <c r="E210" s="28" t="s">
        <v>3341</v>
      </c>
      <c r="F210" s="28" t="s">
        <v>11</v>
      </c>
      <c r="G210" s="28"/>
    </row>
    <row r="211" spans="1:7">
      <c r="A211" s="28">
        <v>210</v>
      </c>
      <c r="B211" s="28" t="s">
        <v>148</v>
      </c>
      <c r="C211" s="28">
        <v>4113012787</v>
      </c>
      <c r="D211" s="28" t="s">
        <v>3330</v>
      </c>
      <c r="E211" s="28" t="s">
        <v>3334</v>
      </c>
      <c r="F211" s="28" t="s">
        <v>11</v>
      </c>
      <c r="G211" s="28"/>
    </row>
    <row r="212" spans="1:7">
      <c r="A212" s="28">
        <v>211</v>
      </c>
      <c r="B212" s="28" t="s">
        <v>149</v>
      </c>
      <c r="C212" s="28">
        <v>4113012884</v>
      </c>
      <c r="D212" s="28" t="s">
        <v>3330</v>
      </c>
      <c r="E212" s="28" t="s">
        <v>3340</v>
      </c>
      <c r="F212" s="28" t="s">
        <v>11</v>
      </c>
      <c r="G212" s="28"/>
    </row>
    <row r="213" spans="1:7">
      <c r="A213" s="28">
        <v>212</v>
      </c>
      <c r="B213" s="28" t="s">
        <v>1737</v>
      </c>
      <c r="C213" s="28">
        <v>4113011034</v>
      </c>
      <c r="D213" s="28" t="s">
        <v>3330</v>
      </c>
      <c r="E213" s="28" t="s">
        <v>3332</v>
      </c>
      <c r="F213" s="28" t="s">
        <v>1700</v>
      </c>
      <c r="G213" s="28"/>
    </row>
    <row r="214" spans="1:7">
      <c r="A214" s="28">
        <v>213</v>
      </c>
      <c r="B214" s="28" t="s">
        <v>1738</v>
      </c>
      <c r="C214" s="28">
        <v>4113011238</v>
      </c>
      <c r="D214" s="28" t="s">
        <v>3330</v>
      </c>
      <c r="E214" s="28" t="s">
        <v>3333</v>
      </c>
      <c r="F214" s="28" t="s">
        <v>1700</v>
      </c>
      <c r="G214" s="28"/>
    </row>
    <row r="215" spans="1:7">
      <c r="A215" s="28">
        <v>214</v>
      </c>
      <c r="B215" s="28" t="s">
        <v>1739</v>
      </c>
      <c r="C215" s="28">
        <v>4113011423</v>
      </c>
      <c r="D215" s="28" t="s">
        <v>3330</v>
      </c>
      <c r="E215" s="28" t="s">
        <v>3335</v>
      </c>
      <c r="F215" s="28" t="s">
        <v>1700</v>
      </c>
      <c r="G215" s="28"/>
    </row>
    <row r="216" spans="1:7">
      <c r="A216" s="28">
        <v>215</v>
      </c>
      <c r="B216" s="28" t="s">
        <v>1740</v>
      </c>
      <c r="C216" s="28">
        <v>4113012352</v>
      </c>
      <c r="D216" s="28" t="s">
        <v>3330</v>
      </c>
      <c r="E216" s="28" t="s">
        <v>3331</v>
      </c>
      <c r="F216" s="28" t="s">
        <v>1700</v>
      </c>
      <c r="G216" s="28"/>
    </row>
    <row r="217" spans="1:7">
      <c r="A217" s="28">
        <v>216</v>
      </c>
      <c r="B217" s="28" t="s">
        <v>1741</v>
      </c>
      <c r="C217" s="28">
        <v>4113012367</v>
      </c>
      <c r="D217" s="28" t="s">
        <v>3330</v>
      </c>
      <c r="E217" s="28" t="s">
        <v>3338</v>
      </c>
      <c r="F217" s="28" t="s">
        <v>1700</v>
      </c>
      <c r="G217" s="28"/>
    </row>
    <row r="218" spans="1:7">
      <c r="A218" s="28">
        <v>217</v>
      </c>
      <c r="B218" s="28" t="s">
        <v>1742</v>
      </c>
      <c r="C218" s="28">
        <v>4113012389</v>
      </c>
      <c r="D218" s="28" t="s">
        <v>3330</v>
      </c>
      <c r="E218" s="28" t="s">
        <v>3341</v>
      </c>
      <c r="F218" s="28" t="s">
        <v>1700</v>
      </c>
      <c r="G218" s="28"/>
    </row>
    <row r="219" spans="1:7">
      <c r="A219" s="28">
        <v>218</v>
      </c>
      <c r="B219" s="28" t="s">
        <v>1743</v>
      </c>
      <c r="C219" s="28">
        <v>4113012408</v>
      </c>
      <c r="D219" s="28" t="s">
        <v>3330</v>
      </c>
      <c r="E219" s="28" t="s">
        <v>3333</v>
      </c>
      <c r="F219" s="28" t="s">
        <v>1700</v>
      </c>
      <c r="G219" s="28"/>
    </row>
    <row r="220" spans="1:7">
      <c r="A220" s="28">
        <v>219</v>
      </c>
      <c r="B220" s="28" t="s">
        <v>1744</v>
      </c>
      <c r="C220" s="28">
        <v>4113012415</v>
      </c>
      <c r="D220" s="28" t="s">
        <v>3330</v>
      </c>
      <c r="E220" s="28" t="s">
        <v>3336</v>
      </c>
      <c r="F220" s="28" t="s">
        <v>1700</v>
      </c>
      <c r="G220" s="28"/>
    </row>
    <row r="221" spans="1:7">
      <c r="A221" s="28">
        <v>220</v>
      </c>
      <c r="B221" s="28" t="s">
        <v>1745</v>
      </c>
      <c r="C221" s="28">
        <v>4113012418</v>
      </c>
      <c r="D221" s="28" t="s">
        <v>3330</v>
      </c>
      <c r="E221" s="28" t="s">
        <v>3334</v>
      </c>
      <c r="F221" s="28" t="s">
        <v>1700</v>
      </c>
      <c r="G221" s="28"/>
    </row>
    <row r="222" spans="1:7">
      <c r="A222" s="28">
        <v>221</v>
      </c>
      <c r="B222" s="28" t="s">
        <v>1746</v>
      </c>
      <c r="C222" s="28">
        <v>4113012424</v>
      </c>
      <c r="D222" s="28" t="s">
        <v>3330</v>
      </c>
      <c r="E222" s="28" t="s">
        <v>3333</v>
      </c>
      <c r="F222" s="28" t="s">
        <v>1700</v>
      </c>
      <c r="G222" s="28"/>
    </row>
    <row r="223" spans="1:7">
      <c r="A223" s="28">
        <v>222</v>
      </c>
      <c r="B223" s="28" t="s">
        <v>1747</v>
      </c>
      <c r="C223" s="28">
        <v>4113012543</v>
      </c>
      <c r="D223" s="28" t="s">
        <v>3330</v>
      </c>
      <c r="E223" s="28" t="s">
        <v>3331</v>
      </c>
      <c r="F223" s="28" t="s">
        <v>1700</v>
      </c>
      <c r="G223" s="28"/>
    </row>
    <row r="224" spans="1:7">
      <c r="A224" s="28">
        <v>223</v>
      </c>
      <c r="B224" s="28" t="s">
        <v>1748</v>
      </c>
      <c r="C224" s="28">
        <v>4113012773</v>
      </c>
      <c r="D224" s="28" t="s">
        <v>3330</v>
      </c>
      <c r="E224" s="28" t="s">
        <v>3341</v>
      </c>
      <c r="F224" s="28" t="s">
        <v>1700</v>
      </c>
      <c r="G224" s="28"/>
    </row>
    <row r="225" spans="1:7">
      <c r="A225" s="28">
        <v>224</v>
      </c>
      <c r="B225" s="28" t="s">
        <v>2898</v>
      </c>
      <c r="C225" s="28">
        <v>4113012782</v>
      </c>
      <c r="D225" s="28" t="s">
        <v>3346</v>
      </c>
      <c r="E225" s="28" t="s">
        <v>3333</v>
      </c>
      <c r="F225" s="28" t="s">
        <v>1700</v>
      </c>
      <c r="G225" s="28" t="s">
        <v>1252</v>
      </c>
    </row>
    <row r="226" spans="1:7">
      <c r="A226" s="28">
        <v>225</v>
      </c>
      <c r="B226" s="28" t="s">
        <v>2899</v>
      </c>
      <c r="C226" s="28">
        <v>4113012783</v>
      </c>
      <c r="D226" s="28" t="s">
        <v>3346</v>
      </c>
      <c r="E226" s="28" t="s">
        <v>3333</v>
      </c>
      <c r="F226" s="28" t="s">
        <v>1700</v>
      </c>
      <c r="G226" s="28" t="s">
        <v>1252</v>
      </c>
    </row>
    <row r="227" spans="1:7">
      <c r="A227" s="28">
        <v>226</v>
      </c>
      <c r="B227" s="28" t="s">
        <v>1749</v>
      </c>
      <c r="C227" s="28">
        <v>4113012785</v>
      </c>
      <c r="D227" s="28" t="s">
        <v>3330</v>
      </c>
      <c r="E227" s="28" t="s">
        <v>3334</v>
      </c>
      <c r="F227" s="28" t="s">
        <v>1700</v>
      </c>
      <c r="G227" s="28"/>
    </row>
    <row r="228" spans="1:7">
      <c r="A228" s="28">
        <v>227</v>
      </c>
      <c r="B228" s="28" t="s">
        <v>1750</v>
      </c>
      <c r="C228" s="28">
        <v>4113012786</v>
      </c>
      <c r="D228" s="28" t="s">
        <v>3330</v>
      </c>
      <c r="E228" s="28" t="s">
        <v>3339</v>
      </c>
      <c r="F228" s="28" t="s">
        <v>1700</v>
      </c>
      <c r="G228" s="28"/>
    </row>
    <row r="229" spans="1:7">
      <c r="A229" s="28">
        <v>228</v>
      </c>
      <c r="B229" s="28" t="s">
        <v>1751</v>
      </c>
      <c r="C229" s="28">
        <v>4113012885</v>
      </c>
      <c r="D229" s="28" t="s">
        <v>3330</v>
      </c>
      <c r="E229" s="28" t="s">
        <v>3333</v>
      </c>
      <c r="F229" s="28" t="s">
        <v>1700</v>
      </c>
      <c r="G229" s="28"/>
    </row>
    <row r="230" spans="1:7">
      <c r="A230" s="28">
        <v>229</v>
      </c>
      <c r="B230" s="28" t="s">
        <v>1752</v>
      </c>
      <c r="C230" s="28">
        <v>4113012887</v>
      </c>
      <c r="D230" s="28" t="s">
        <v>3330</v>
      </c>
      <c r="E230" s="28" t="s">
        <v>3337</v>
      </c>
      <c r="F230" s="28" t="s">
        <v>1700</v>
      </c>
      <c r="G230" s="28"/>
    </row>
    <row r="231" spans="1:7">
      <c r="A231" s="28">
        <v>230</v>
      </c>
      <c r="B231" s="28" t="s">
        <v>2900</v>
      </c>
      <c r="C231" s="28">
        <v>4113013070</v>
      </c>
      <c r="D231" s="28" t="s">
        <v>3346</v>
      </c>
      <c r="E231" s="28" t="s">
        <v>3333</v>
      </c>
      <c r="F231" s="28" t="s">
        <v>1700</v>
      </c>
      <c r="G231" s="28" t="s">
        <v>1252</v>
      </c>
    </row>
    <row r="232" spans="1:7">
      <c r="A232" s="28">
        <v>231</v>
      </c>
      <c r="B232" s="28" t="s">
        <v>1753</v>
      </c>
      <c r="C232" s="28">
        <v>4113013071</v>
      </c>
      <c r="D232" s="28" t="s">
        <v>3330</v>
      </c>
      <c r="E232" s="28" t="s">
        <v>3333</v>
      </c>
      <c r="F232" s="28" t="s">
        <v>1700</v>
      </c>
      <c r="G232" s="28"/>
    </row>
    <row r="233" spans="1:7">
      <c r="A233" s="28">
        <v>232</v>
      </c>
      <c r="B233" s="28" t="s">
        <v>1754</v>
      </c>
      <c r="C233" s="28">
        <v>4113013072</v>
      </c>
      <c r="D233" s="28" t="s">
        <v>3330</v>
      </c>
      <c r="E233" s="28" t="s">
        <v>3333</v>
      </c>
      <c r="F233" s="28" t="s">
        <v>1700</v>
      </c>
      <c r="G233" s="28"/>
    </row>
    <row r="234" spans="1:7">
      <c r="A234" s="28">
        <v>233</v>
      </c>
      <c r="B234" s="28" t="s">
        <v>1755</v>
      </c>
      <c r="C234" s="28">
        <v>4113013073</v>
      </c>
      <c r="D234" s="28" t="s">
        <v>3330</v>
      </c>
      <c r="E234" s="28" t="s">
        <v>3333</v>
      </c>
      <c r="F234" s="28" t="s">
        <v>1700</v>
      </c>
      <c r="G234" s="28"/>
    </row>
    <row r="235" spans="1:7">
      <c r="A235" s="28">
        <v>234</v>
      </c>
      <c r="B235" s="28" t="s">
        <v>1756</v>
      </c>
      <c r="C235" s="28">
        <v>4113013074</v>
      </c>
      <c r="D235" s="28" t="s">
        <v>3330</v>
      </c>
      <c r="E235" s="28" t="s">
        <v>3341</v>
      </c>
      <c r="F235" s="28" t="s">
        <v>1700</v>
      </c>
      <c r="G235" s="28"/>
    </row>
    <row r="236" spans="1:7">
      <c r="A236" s="28">
        <v>235</v>
      </c>
      <c r="B236" s="28" t="s">
        <v>1757</v>
      </c>
      <c r="C236" s="28">
        <v>4113013392</v>
      </c>
      <c r="D236" s="28" t="s">
        <v>3330</v>
      </c>
      <c r="E236" s="28" t="s">
        <v>3331</v>
      </c>
      <c r="F236" s="28" t="s">
        <v>1700</v>
      </c>
      <c r="G236" s="28"/>
    </row>
    <row r="237" spans="1:7">
      <c r="A237" s="28">
        <v>236</v>
      </c>
      <c r="B237" s="28" t="s">
        <v>1758</v>
      </c>
      <c r="C237" s="28">
        <v>4113013393</v>
      </c>
      <c r="D237" s="28" t="s">
        <v>3330</v>
      </c>
      <c r="E237" s="28" t="s">
        <v>3340</v>
      </c>
      <c r="F237" s="28" t="s">
        <v>1700</v>
      </c>
      <c r="G237" s="28"/>
    </row>
    <row r="238" spans="1:7">
      <c r="A238" s="28">
        <v>237</v>
      </c>
      <c r="B238" s="28" t="s">
        <v>1759</v>
      </c>
      <c r="C238" s="28">
        <v>4113013394</v>
      </c>
      <c r="D238" s="28" t="s">
        <v>3330</v>
      </c>
      <c r="E238" s="28" t="s">
        <v>3336</v>
      </c>
      <c r="F238" s="28" t="s">
        <v>1700</v>
      </c>
      <c r="G238" s="28"/>
    </row>
    <row r="239" spans="1:7">
      <c r="A239" s="28">
        <v>238</v>
      </c>
      <c r="B239" s="28" t="s">
        <v>1760</v>
      </c>
      <c r="C239" s="28">
        <v>4113013395</v>
      </c>
      <c r="D239" s="28" t="s">
        <v>3330</v>
      </c>
      <c r="E239" s="28" t="s">
        <v>3338</v>
      </c>
      <c r="F239" s="28" t="s">
        <v>1700</v>
      </c>
      <c r="G239" s="28"/>
    </row>
    <row r="240" spans="1:7">
      <c r="A240" s="28">
        <v>239</v>
      </c>
      <c r="B240" s="28" t="s">
        <v>1761</v>
      </c>
      <c r="C240" s="28">
        <v>4113013396</v>
      </c>
      <c r="D240" s="28" t="s">
        <v>3330</v>
      </c>
      <c r="E240" s="28" t="s">
        <v>3334</v>
      </c>
      <c r="F240" s="28" t="s">
        <v>1700</v>
      </c>
      <c r="G240" s="28"/>
    </row>
    <row r="241" spans="1:7">
      <c r="A241" s="28">
        <v>240</v>
      </c>
      <c r="B241" s="28" t="s">
        <v>1762</v>
      </c>
      <c r="C241" s="28">
        <v>4113013397</v>
      </c>
      <c r="D241" s="28" t="s">
        <v>3330</v>
      </c>
      <c r="E241" s="28" t="s">
        <v>3333</v>
      </c>
      <c r="F241" s="28" t="s">
        <v>1700</v>
      </c>
      <c r="G241" s="28"/>
    </row>
    <row r="242" spans="1:7">
      <c r="A242" s="28">
        <v>241</v>
      </c>
      <c r="B242" s="28" t="s">
        <v>1763</v>
      </c>
      <c r="C242" s="28">
        <v>4113013398</v>
      </c>
      <c r="D242" s="28" t="s">
        <v>3330</v>
      </c>
      <c r="E242" s="28" t="s">
        <v>3333</v>
      </c>
      <c r="F242" s="28" t="s">
        <v>1700</v>
      </c>
      <c r="G242" s="28"/>
    </row>
    <row r="243" spans="1:7">
      <c r="A243" s="28">
        <v>242</v>
      </c>
      <c r="B243" s="28" t="s">
        <v>2901</v>
      </c>
      <c r="C243" s="28">
        <v>4113013399</v>
      </c>
      <c r="D243" s="28" t="s">
        <v>3346</v>
      </c>
      <c r="E243" s="28" t="s">
        <v>3333</v>
      </c>
      <c r="F243" s="28" t="s">
        <v>1700</v>
      </c>
      <c r="G243" s="28" t="s">
        <v>1252</v>
      </c>
    </row>
    <row r="244" spans="1:7">
      <c r="A244" s="28">
        <v>243</v>
      </c>
      <c r="B244" s="28" t="s">
        <v>2902</v>
      </c>
      <c r="C244" s="28">
        <v>4113013400</v>
      </c>
      <c r="D244" s="28" t="s">
        <v>3346</v>
      </c>
      <c r="E244" s="28" t="s">
        <v>3333</v>
      </c>
      <c r="F244" s="28" t="s">
        <v>1700</v>
      </c>
      <c r="G244" s="28" t="s">
        <v>1252</v>
      </c>
    </row>
    <row r="245" spans="1:7">
      <c r="A245" s="28">
        <v>244</v>
      </c>
      <c r="B245" s="28" t="s">
        <v>2903</v>
      </c>
      <c r="C245" s="28">
        <v>4113013403</v>
      </c>
      <c r="D245" s="28" t="s">
        <v>3346</v>
      </c>
      <c r="E245" s="28" t="s">
        <v>3333</v>
      </c>
      <c r="F245" s="28" t="s">
        <v>1700</v>
      </c>
      <c r="G245" s="28" t="s">
        <v>1252</v>
      </c>
    </row>
    <row r="246" spans="1:7">
      <c r="A246" s="28">
        <v>245</v>
      </c>
      <c r="B246" s="28" t="s">
        <v>1764</v>
      </c>
      <c r="C246" s="28">
        <v>4113013690</v>
      </c>
      <c r="D246" s="28" t="s">
        <v>3330</v>
      </c>
      <c r="E246" s="28" t="s">
        <v>3332</v>
      </c>
      <c r="F246" s="28" t="s">
        <v>1700</v>
      </c>
      <c r="G246" s="28"/>
    </row>
    <row r="247" spans="1:7">
      <c r="A247" s="28">
        <v>246</v>
      </c>
      <c r="B247" s="28" t="s">
        <v>1765</v>
      </c>
      <c r="C247" s="28">
        <v>4113013779</v>
      </c>
      <c r="D247" s="28" t="s">
        <v>3330</v>
      </c>
      <c r="E247" s="28" t="s">
        <v>3336</v>
      </c>
      <c r="F247" s="28" t="s">
        <v>1700</v>
      </c>
      <c r="G247" s="28"/>
    </row>
    <row r="248" spans="1:7">
      <c r="A248" s="28">
        <v>247</v>
      </c>
      <c r="B248" s="28" t="s">
        <v>1766</v>
      </c>
      <c r="C248" s="28">
        <v>4113013822</v>
      </c>
      <c r="D248" s="28" t="s">
        <v>3330</v>
      </c>
      <c r="E248" s="28" t="s">
        <v>3333</v>
      </c>
      <c r="F248" s="28" t="s">
        <v>1700</v>
      </c>
      <c r="G248" s="28"/>
    </row>
    <row r="249" spans="1:7">
      <c r="A249" s="28">
        <v>248</v>
      </c>
      <c r="B249" s="28" t="s">
        <v>2904</v>
      </c>
      <c r="C249" s="28">
        <v>4113014018</v>
      </c>
      <c r="D249" s="28" t="s">
        <v>3346</v>
      </c>
      <c r="E249" s="28" t="s">
        <v>3333</v>
      </c>
      <c r="F249" s="28" t="s">
        <v>1700</v>
      </c>
      <c r="G249" s="28" t="s">
        <v>1252</v>
      </c>
    </row>
    <row r="250" spans="1:7">
      <c r="A250" s="28">
        <v>249</v>
      </c>
      <c r="B250" s="28" t="s">
        <v>2905</v>
      </c>
      <c r="C250" s="28">
        <v>4113014047</v>
      </c>
      <c r="D250" s="28" t="s">
        <v>3346</v>
      </c>
      <c r="E250" s="28" t="s">
        <v>3333</v>
      </c>
      <c r="F250" s="28" t="s">
        <v>1700</v>
      </c>
      <c r="G250" s="28" t="s">
        <v>1252</v>
      </c>
    </row>
    <row r="251" spans="1:7">
      <c r="A251" s="28">
        <v>250</v>
      </c>
      <c r="B251" s="28" t="s">
        <v>1767</v>
      </c>
      <c r="C251" s="28">
        <v>4113014103</v>
      </c>
      <c r="D251" s="28" t="s">
        <v>3330</v>
      </c>
      <c r="E251" s="28" t="s">
        <v>3331</v>
      </c>
      <c r="F251" s="28" t="s">
        <v>1700</v>
      </c>
      <c r="G251" s="28"/>
    </row>
    <row r="252" spans="1:7">
      <c r="A252" s="28">
        <v>251</v>
      </c>
      <c r="B252" s="28" t="s">
        <v>2906</v>
      </c>
      <c r="C252" s="28">
        <v>4113014158</v>
      </c>
      <c r="D252" s="28" t="s">
        <v>3346</v>
      </c>
      <c r="E252" s="28" t="s">
        <v>3333</v>
      </c>
      <c r="F252" s="28" t="s">
        <v>1700</v>
      </c>
      <c r="G252" s="28" t="s">
        <v>1252</v>
      </c>
    </row>
    <row r="253" spans="1:7">
      <c r="A253" s="28">
        <v>252</v>
      </c>
      <c r="B253" s="28" t="s">
        <v>1768</v>
      </c>
      <c r="C253" s="28">
        <v>4113014185</v>
      </c>
      <c r="D253" s="28" t="s">
        <v>3330</v>
      </c>
      <c r="E253" s="28" t="s">
        <v>3333</v>
      </c>
      <c r="F253" s="28" t="s">
        <v>1700</v>
      </c>
      <c r="G253" s="28"/>
    </row>
    <row r="254" spans="1:7">
      <c r="A254" s="28">
        <v>253</v>
      </c>
      <c r="B254" s="28" t="s">
        <v>1769</v>
      </c>
      <c r="C254" s="28">
        <v>4113014208</v>
      </c>
      <c r="D254" s="28" t="s">
        <v>3330</v>
      </c>
      <c r="E254" s="28" t="s">
        <v>3333</v>
      </c>
      <c r="F254" s="28" t="s">
        <v>1700</v>
      </c>
      <c r="G254" s="28"/>
    </row>
    <row r="255" spans="1:7">
      <c r="A255" s="28">
        <v>254</v>
      </c>
      <c r="B255" s="28" t="s">
        <v>2907</v>
      </c>
      <c r="C255" s="28">
        <v>4113014213</v>
      </c>
      <c r="D255" s="28" t="s">
        <v>3346</v>
      </c>
      <c r="E255" s="28" t="s">
        <v>3333</v>
      </c>
      <c r="F255" s="28" t="s">
        <v>1700</v>
      </c>
      <c r="G255" s="28" t="s">
        <v>1252</v>
      </c>
    </row>
    <row r="256" spans="1:7">
      <c r="A256" s="28">
        <v>255</v>
      </c>
      <c r="B256" s="28" t="s">
        <v>1770</v>
      </c>
      <c r="C256" s="28">
        <v>4113014259</v>
      </c>
      <c r="D256" s="28" t="s">
        <v>3330</v>
      </c>
      <c r="E256" s="28" t="s">
        <v>3336</v>
      </c>
      <c r="F256" s="28" t="s">
        <v>1700</v>
      </c>
      <c r="G256" s="28"/>
    </row>
    <row r="257" spans="1:7">
      <c r="A257" s="28">
        <v>256</v>
      </c>
      <c r="B257" s="28" t="s">
        <v>1771</v>
      </c>
      <c r="C257" s="28">
        <v>4113014260</v>
      </c>
      <c r="D257" s="28" t="s">
        <v>3330</v>
      </c>
      <c r="E257" s="28" t="s">
        <v>3335</v>
      </c>
      <c r="F257" s="28" t="s">
        <v>1700</v>
      </c>
      <c r="G257" s="28"/>
    </row>
    <row r="258" spans="1:7">
      <c r="A258" s="28">
        <v>257</v>
      </c>
      <c r="B258" s="28" t="s">
        <v>1772</v>
      </c>
      <c r="C258" s="28">
        <v>4113014280</v>
      </c>
      <c r="D258" s="28" t="s">
        <v>3330</v>
      </c>
      <c r="E258" s="28" t="s">
        <v>3338</v>
      </c>
      <c r="F258" s="28" t="s">
        <v>1700</v>
      </c>
      <c r="G258" s="28"/>
    </row>
    <row r="259" spans="1:7">
      <c r="A259" s="28">
        <v>258</v>
      </c>
      <c r="B259" s="28" t="s">
        <v>1773</v>
      </c>
      <c r="C259" s="28">
        <v>4113014281</v>
      </c>
      <c r="D259" s="28" t="s">
        <v>3330</v>
      </c>
      <c r="E259" s="28" t="s">
        <v>3337</v>
      </c>
      <c r="F259" s="28" t="s">
        <v>1700</v>
      </c>
      <c r="G259" s="28"/>
    </row>
    <row r="260" spans="1:7">
      <c r="A260" s="28">
        <v>259</v>
      </c>
      <c r="B260" s="28" t="s">
        <v>1774</v>
      </c>
      <c r="C260" s="28">
        <v>4113014328</v>
      </c>
      <c r="D260" s="28" t="s">
        <v>3330</v>
      </c>
      <c r="E260" s="28" t="s">
        <v>3333</v>
      </c>
      <c r="F260" s="28" t="s">
        <v>1700</v>
      </c>
      <c r="G260" s="28"/>
    </row>
    <row r="261" spans="1:7">
      <c r="A261" s="28">
        <v>260</v>
      </c>
      <c r="B261" s="28" t="s">
        <v>1775</v>
      </c>
      <c r="C261" s="28">
        <v>4113014335</v>
      </c>
      <c r="D261" s="28" t="s">
        <v>3330</v>
      </c>
      <c r="E261" s="28" t="s">
        <v>3338</v>
      </c>
      <c r="F261" s="28" t="s">
        <v>1700</v>
      </c>
      <c r="G261" s="28"/>
    </row>
    <row r="262" spans="1:7">
      <c r="A262" s="28">
        <v>261</v>
      </c>
      <c r="B262" s="28" t="s">
        <v>1776</v>
      </c>
      <c r="C262" s="28">
        <v>4113014396</v>
      </c>
      <c r="D262" s="28" t="s">
        <v>3330</v>
      </c>
      <c r="E262" s="28" t="s">
        <v>3333</v>
      </c>
      <c r="F262" s="28" t="s">
        <v>1700</v>
      </c>
      <c r="G262" s="28"/>
    </row>
    <row r="263" spans="1:7">
      <c r="A263" s="28">
        <v>262</v>
      </c>
      <c r="B263" s="28" t="s">
        <v>1777</v>
      </c>
      <c r="C263" s="28">
        <v>4113014460</v>
      </c>
      <c r="D263" s="28" t="s">
        <v>3330</v>
      </c>
      <c r="E263" s="28" t="s">
        <v>3331</v>
      </c>
      <c r="F263" s="28" t="s">
        <v>1700</v>
      </c>
      <c r="G263" s="28"/>
    </row>
    <row r="264" spans="1:7">
      <c r="A264" s="28">
        <v>263</v>
      </c>
      <c r="B264" s="28" t="s">
        <v>1778</v>
      </c>
      <c r="C264" s="28">
        <v>4113014471</v>
      </c>
      <c r="D264" s="28" t="s">
        <v>3330</v>
      </c>
      <c r="E264" s="28" t="s">
        <v>3331</v>
      </c>
      <c r="F264" s="28" t="s">
        <v>1700</v>
      </c>
      <c r="G264" s="28"/>
    </row>
    <row r="265" spans="1:7">
      <c r="A265" s="28">
        <v>264</v>
      </c>
      <c r="B265" s="28" t="s">
        <v>2908</v>
      </c>
      <c r="C265" s="28">
        <v>4113014472</v>
      </c>
      <c r="D265" s="28" t="s">
        <v>3346</v>
      </c>
      <c r="E265" s="28" t="s">
        <v>3336</v>
      </c>
      <c r="F265" s="28" t="s">
        <v>1700</v>
      </c>
      <c r="G265" s="28" t="s">
        <v>1252</v>
      </c>
    </row>
    <row r="266" spans="1:7">
      <c r="A266" s="28">
        <v>265</v>
      </c>
      <c r="B266" s="28" t="s">
        <v>1779</v>
      </c>
      <c r="C266" s="28">
        <v>4113014586</v>
      </c>
      <c r="D266" s="28" t="s">
        <v>3330</v>
      </c>
      <c r="E266" s="28" t="s">
        <v>3334</v>
      </c>
      <c r="F266" s="28" t="s">
        <v>1700</v>
      </c>
      <c r="G266" s="28"/>
    </row>
    <row r="267" spans="1:7">
      <c r="A267" s="28">
        <v>266</v>
      </c>
      <c r="B267" s="28" t="s">
        <v>2909</v>
      </c>
      <c r="C267" s="28">
        <v>4113014601</v>
      </c>
      <c r="D267" s="28" t="s">
        <v>3346</v>
      </c>
      <c r="E267" s="28" t="s">
        <v>3334</v>
      </c>
      <c r="F267" s="28" t="s">
        <v>1700</v>
      </c>
      <c r="G267" s="28" t="s">
        <v>1252</v>
      </c>
    </row>
    <row r="268" spans="1:7">
      <c r="A268" s="28">
        <v>267</v>
      </c>
      <c r="B268" s="28" t="s">
        <v>1780</v>
      </c>
      <c r="C268" s="28">
        <v>4113014632</v>
      </c>
      <c r="D268" s="28" t="s">
        <v>3330</v>
      </c>
      <c r="E268" s="28" t="s">
        <v>3337</v>
      </c>
      <c r="F268" s="28" t="s">
        <v>1700</v>
      </c>
      <c r="G268" s="28"/>
    </row>
    <row r="269" spans="1:7">
      <c r="A269" s="28">
        <v>268</v>
      </c>
      <c r="B269" s="28" t="s">
        <v>1781</v>
      </c>
      <c r="C269" s="28">
        <v>4113014686</v>
      </c>
      <c r="D269" s="28" t="s">
        <v>3330</v>
      </c>
      <c r="E269" s="28" t="s">
        <v>3332</v>
      </c>
      <c r="F269" s="28" t="s">
        <v>1700</v>
      </c>
      <c r="G269" s="28"/>
    </row>
    <row r="270" spans="1:7">
      <c r="A270" s="28">
        <v>269</v>
      </c>
      <c r="B270" s="28" t="s">
        <v>1782</v>
      </c>
      <c r="C270" s="28">
        <v>4113014695</v>
      </c>
      <c r="D270" s="28" t="s">
        <v>3330</v>
      </c>
      <c r="E270" s="28" t="s">
        <v>3332</v>
      </c>
      <c r="F270" s="28" t="s">
        <v>1700</v>
      </c>
      <c r="G270" s="28"/>
    </row>
    <row r="271" spans="1:7">
      <c r="A271" s="28">
        <v>270</v>
      </c>
      <c r="B271" s="28" t="s">
        <v>2910</v>
      </c>
      <c r="C271" s="28">
        <v>4113014696</v>
      </c>
      <c r="D271" s="28" t="s">
        <v>3346</v>
      </c>
      <c r="E271" s="28" t="s">
        <v>3334</v>
      </c>
      <c r="F271" s="28" t="s">
        <v>1700</v>
      </c>
      <c r="G271" s="28" t="s">
        <v>1252</v>
      </c>
    </row>
    <row r="272" spans="1:7">
      <c r="A272" s="28">
        <v>271</v>
      </c>
      <c r="B272" s="28" t="s">
        <v>2911</v>
      </c>
      <c r="C272" s="28">
        <v>4113014742</v>
      </c>
      <c r="D272" s="28" t="s">
        <v>3346</v>
      </c>
      <c r="E272" s="28" t="s">
        <v>3340</v>
      </c>
      <c r="F272" s="28" t="s">
        <v>1700</v>
      </c>
      <c r="G272" s="28" t="s">
        <v>1252</v>
      </c>
    </row>
    <row r="273" spans="1:7">
      <c r="A273" s="28">
        <v>272</v>
      </c>
      <c r="B273" s="28" t="s">
        <v>2801</v>
      </c>
      <c r="C273" s="28">
        <v>4213050139</v>
      </c>
      <c r="D273" s="28" t="s">
        <v>3330</v>
      </c>
      <c r="E273" s="28" t="s">
        <v>3333</v>
      </c>
      <c r="F273" s="28" t="s">
        <v>1700</v>
      </c>
      <c r="G273" s="28"/>
    </row>
    <row r="274" spans="1:7">
      <c r="A274" s="28">
        <v>273</v>
      </c>
      <c r="B274" s="28" t="s">
        <v>2817</v>
      </c>
      <c r="C274" s="28">
        <v>4113014785</v>
      </c>
      <c r="D274" s="28" t="s">
        <v>3330</v>
      </c>
      <c r="E274" s="28" t="s">
        <v>3339</v>
      </c>
      <c r="F274" s="28" t="s">
        <v>1700</v>
      </c>
      <c r="G274" s="28"/>
    </row>
    <row r="275" spans="1:7">
      <c r="A275" s="28">
        <v>274</v>
      </c>
      <c r="B275" s="28" t="s">
        <v>3239</v>
      </c>
      <c r="C275" s="28">
        <v>4113014786</v>
      </c>
      <c r="D275" s="28" t="s">
        <v>3346</v>
      </c>
      <c r="E275" s="28" t="s">
        <v>3336</v>
      </c>
      <c r="F275" s="28" t="s">
        <v>1700</v>
      </c>
      <c r="G275" s="28" t="s">
        <v>1252</v>
      </c>
    </row>
    <row r="276" spans="1:7">
      <c r="A276" s="28">
        <v>275</v>
      </c>
      <c r="B276" s="28" t="s">
        <v>3240</v>
      </c>
      <c r="C276" s="28">
        <v>4113014787</v>
      </c>
      <c r="D276" s="28" t="s">
        <v>3346</v>
      </c>
      <c r="E276" s="28" t="s">
        <v>3332</v>
      </c>
      <c r="F276" s="28" t="s">
        <v>1700</v>
      </c>
      <c r="G276" s="28" t="s">
        <v>1252</v>
      </c>
    </row>
    <row r="277" spans="1:7">
      <c r="A277" s="28">
        <v>276</v>
      </c>
      <c r="B277" s="28" t="s">
        <v>2818</v>
      </c>
      <c r="C277" s="28">
        <v>4113014788</v>
      </c>
      <c r="D277" s="28" t="s">
        <v>3330</v>
      </c>
      <c r="E277" s="28" t="s">
        <v>3341</v>
      </c>
      <c r="F277" s="28" t="s">
        <v>1700</v>
      </c>
      <c r="G277" s="28"/>
    </row>
    <row r="278" spans="1:7">
      <c r="A278" s="28">
        <v>277</v>
      </c>
      <c r="B278" s="28" t="s">
        <v>3262</v>
      </c>
      <c r="C278" s="28">
        <v>4113014852</v>
      </c>
      <c r="D278" s="28" t="s">
        <v>3346</v>
      </c>
      <c r="E278" s="28" t="s">
        <v>3340</v>
      </c>
      <c r="F278" s="28" t="s">
        <v>1700</v>
      </c>
      <c r="G278" s="28" t="s">
        <v>1252</v>
      </c>
    </row>
    <row r="279" spans="1:7">
      <c r="A279" s="28">
        <v>278</v>
      </c>
      <c r="B279" s="28" t="s">
        <v>3282</v>
      </c>
      <c r="C279" s="28">
        <v>4113014908</v>
      </c>
      <c r="D279" s="28" t="s">
        <v>3346</v>
      </c>
      <c r="E279" s="28" t="s">
        <v>3333</v>
      </c>
      <c r="F279" s="28" t="s">
        <v>1700</v>
      </c>
      <c r="G279" s="28" t="s">
        <v>1252</v>
      </c>
    </row>
    <row r="280" spans="1:7">
      <c r="A280" s="28">
        <v>279</v>
      </c>
      <c r="B280" s="28" t="s">
        <v>3283</v>
      </c>
      <c r="C280" s="28">
        <v>4113014909</v>
      </c>
      <c r="D280" s="28" t="s">
        <v>3346</v>
      </c>
      <c r="E280" s="28" t="s">
        <v>3333</v>
      </c>
      <c r="F280" s="28" t="s">
        <v>1700</v>
      </c>
      <c r="G280" s="28" t="s">
        <v>1252</v>
      </c>
    </row>
    <row r="281" spans="1:7">
      <c r="A281" s="28">
        <v>280</v>
      </c>
      <c r="B281" s="28" t="s">
        <v>150</v>
      </c>
      <c r="C281" s="28">
        <v>4114010108</v>
      </c>
      <c r="D281" s="28" t="s">
        <v>3347</v>
      </c>
      <c r="E281" s="28" t="s">
        <v>3348</v>
      </c>
      <c r="F281" s="28" t="s">
        <v>11</v>
      </c>
      <c r="G281" s="28"/>
    </row>
    <row r="282" spans="1:7">
      <c r="A282" s="28">
        <v>281</v>
      </c>
      <c r="B282" s="28" t="s">
        <v>153</v>
      </c>
      <c r="C282" s="28">
        <v>4114010109</v>
      </c>
      <c r="D282" s="28" t="s">
        <v>3347</v>
      </c>
      <c r="E282" s="28" t="s">
        <v>3348</v>
      </c>
      <c r="F282" s="28" t="s">
        <v>11</v>
      </c>
      <c r="G282" s="28"/>
    </row>
    <row r="283" spans="1:7">
      <c r="A283" s="28">
        <v>282</v>
      </c>
      <c r="B283" s="28" t="s">
        <v>154</v>
      </c>
      <c r="C283" s="28">
        <v>4114010110</v>
      </c>
      <c r="D283" s="28" t="s">
        <v>3347</v>
      </c>
      <c r="E283" s="28" t="s">
        <v>3348</v>
      </c>
      <c r="F283" s="28" t="s">
        <v>11</v>
      </c>
      <c r="G283" s="28"/>
    </row>
    <row r="284" spans="1:7">
      <c r="A284" s="28">
        <v>283</v>
      </c>
      <c r="B284" s="28" t="s">
        <v>155</v>
      </c>
      <c r="C284" s="28">
        <v>4114010112</v>
      </c>
      <c r="D284" s="28" t="s">
        <v>3347</v>
      </c>
      <c r="E284" s="28" t="s">
        <v>3348</v>
      </c>
      <c r="F284" s="28" t="s">
        <v>11</v>
      </c>
      <c r="G284" s="28"/>
    </row>
    <row r="285" spans="1:7">
      <c r="A285" s="28">
        <v>284</v>
      </c>
      <c r="B285" s="28" t="s">
        <v>156</v>
      </c>
      <c r="C285" s="28">
        <v>4114010113</v>
      </c>
      <c r="D285" s="28" t="s">
        <v>3347</v>
      </c>
      <c r="E285" s="28" t="s">
        <v>3349</v>
      </c>
      <c r="F285" s="28" t="s">
        <v>11</v>
      </c>
      <c r="G285" s="28"/>
    </row>
    <row r="286" spans="1:7">
      <c r="A286" s="28">
        <v>285</v>
      </c>
      <c r="B286" s="28" t="s">
        <v>158</v>
      </c>
      <c r="C286" s="28">
        <v>4114010114</v>
      </c>
      <c r="D286" s="28" t="s">
        <v>3347</v>
      </c>
      <c r="E286" s="28" t="s">
        <v>3348</v>
      </c>
      <c r="F286" s="28" t="s">
        <v>11</v>
      </c>
      <c r="G286" s="28"/>
    </row>
    <row r="287" spans="1:7">
      <c r="A287" s="28">
        <v>286</v>
      </c>
      <c r="B287" s="28" t="s">
        <v>159</v>
      </c>
      <c r="C287" s="28">
        <v>4114010117</v>
      </c>
      <c r="D287" s="28" t="s">
        <v>3347</v>
      </c>
      <c r="E287" s="28" t="s">
        <v>3350</v>
      </c>
      <c r="F287" s="28" t="s">
        <v>11</v>
      </c>
      <c r="G287" s="28"/>
    </row>
    <row r="288" spans="1:7">
      <c r="A288" s="28">
        <v>287</v>
      </c>
      <c r="B288" s="28" t="s">
        <v>161</v>
      </c>
      <c r="C288" s="28">
        <v>4114010118</v>
      </c>
      <c r="D288" s="28" t="s">
        <v>3347</v>
      </c>
      <c r="E288" s="28" t="s">
        <v>3348</v>
      </c>
      <c r="F288" s="28" t="s">
        <v>11</v>
      </c>
      <c r="G288" s="28"/>
    </row>
    <row r="289" spans="1:7">
      <c r="A289" s="28">
        <v>288</v>
      </c>
      <c r="B289" s="28" t="s">
        <v>162</v>
      </c>
      <c r="C289" s="28">
        <v>4114010119</v>
      </c>
      <c r="D289" s="28" t="s">
        <v>3347</v>
      </c>
      <c r="E289" s="28" t="s">
        <v>3348</v>
      </c>
      <c r="F289" s="28" t="s">
        <v>11</v>
      </c>
      <c r="G289" s="28"/>
    </row>
    <row r="290" spans="1:7">
      <c r="A290" s="28">
        <v>289</v>
      </c>
      <c r="B290" s="28" t="s">
        <v>163</v>
      </c>
      <c r="C290" s="28">
        <v>4114010120</v>
      </c>
      <c r="D290" s="28" t="s">
        <v>3347</v>
      </c>
      <c r="E290" s="28" t="s">
        <v>3351</v>
      </c>
      <c r="F290" s="28" t="s">
        <v>11</v>
      </c>
      <c r="G290" s="28"/>
    </row>
    <row r="291" spans="1:7">
      <c r="A291" s="28">
        <v>290</v>
      </c>
      <c r="B291" s="28" t="s">
        <v>165</v>
      </c>
      <c r="C291" s="28">
        <v>4114010121</v>
      </c>
      <c r="D291" s="28" t="s">
        <v>3347</v>
      </c>
      <c r="E291" s="28" t="s">
        <v>3349</v>
      </c>
      <c r="F291" s="28" t="s">
        <v>11</v>
      </c>
      <c r="G291" s="28"/>
    </row>
    <row r="292" spans="1:7">
      <c r="A292" s="28">
        <v>291</v>
      </c>
      <c r="B292" s="28" t="s">
        <v>166</v>
      </c>
      <c r="C292" s="28">
        <v>4114010122</v>
      </c>
      <c r="D292" s="28" t="s">
        <v>3347</v>
      </c>
      <c r="E292" s="28" t="s">
        <v>3350</v>
      </c>
      <c r="F292" s="28" t="s">
        <v>11</v>
      </c>
      <c r="G292" s="28"/>
    </row>
    <row r="293" spans="1:7">
      <c r="A293" s="28">
        <v>292</v>
      </c>
      <c r="B293" s="28" t="s">
        <v>167</v>
      </c>
      <c r="C293" s="28">
        <v>4114010123</v>
      </c>
      <c r="D293" s="28" t="s">
        <v>3347</v>
      </c>
      <c r="E293" s="28" t="s">
        <v>3352</v>
      </c>
      <c r="F293" s="28" t="s">
        <v>11</v>
      </c>
      <c r="G293" s="28"/>
    </row>
    <row r="294" spans="1:7">
      <c r="A294" s="28">
        <v>293</v>
      </c>
      <c r="B294" s="28" t="s">
        <v>169</v>
      </c>
      <c r="C294" s="28">
        <v>4114010124</v>
      </c>
      <c r="D294" s="28" t="s">
        <v>3347</v>
      </c>
      <c r="E294" s="28" t="s">
        <v>3353</v>
      </c>
      <c r="F294" s="28" t="s">
        <v>11</v>
      </c>
      <c r="G294" s="28"/>
    </row>
    <row r="295" spans="1:7">
      <c r="A295" s="28">
        <v>294</v>
      </c>
      <c r="B295" s="28" t="s">
        <v>171</v>
      </c>
      <c r="C295" s="28">
        <v>4114010125</v>
      </c>
      <c r="D295" s="28" t="s">
        <v>3347</v>
      </c>
      <c r="E295" s="28" t="s">
        <v>3348</v>
      </c>
      <c r="F295" s="28" t="s">
        <v>11</v>
      </c>
      <c r="G295" s="28"/>
    </row>
    <row r="296" spans="1:7">
      <c r="A296" s="28">
        <v>295</v>
      </c>
      <c r="B296" s="28" t="s">
        <v>172</v>
      </c>
      <c r="C296" s="28">
        <v>4114010809</v>
      </c>
      <c r="D296" s="28" t="s">
        <v>3347</v>
      </c>
      <c r="E296" s="28" t="s">
        <v>3348</v>
      </c>
      <c r="F296" s="28" t="s">
        <v>11</v>
      </c>
      <c r="G296" s="28"/>
    </row>
    <row r="297" spans="1:7">
      <c r="A297" s="28">
        <v>296</v>
      </c>
      <c r="B297" s="28" t="s">
        <v>173</v>
      </c>
      <c r="C297" s="28">
        <v>4114010812</v>
      </c>
      <c r="D297" s="28" t="s">
        <v>3347</v>
      </c>
      <c r="E297" s="28" t="s">
        <v>3354</v>
      </c>
      <c r="F297" s="28" t="s">
        <v>11</v>
      </c>
      <c r="G297" s="28"/>
    </row>
    <row r="298" spans="1:7">
      <c r="A298" s="28">
        <v>297</v>
      </c>
      <c r="B298" s="28" t="s">
        <v>175</v>
      </c>
      <c r="C298" s="28">
        <v>4114011242</v>
      </c>
      <c r="D298" s="28" t="s">
        <v>3347</v>
      </c>
      <c r="E298" s="28" t="s">
        <v>3348</v>
      </c>
      <c r="F298" s="28" t="s">
        <v>11</v>
      </c>
      <c r="G298" s="28"/>
    </row>
    <row r="299" spans="1:7">
      <c r="A299" s="28">
        <v>298</v>
      </c>
      <c r="B299" s="28" t="s">
        <v>176</v>
      </c>
      <c r="C299" s="28">
        <v>4114012111</v>
      </c>
      <c r="D299" s="28" t="s">
        <v>3347</v>
      </c>
      <c r="E299" s="28" t="s">
        <v>3348</v>
      </c>
      <c r="F299" s="28" t="s">
        <v>11</v>
      </c>
      <c r="G299" s="28"/>
    </row>
    <row r="300" spans="1:7">
      <c r="A300" s="28">
        <v>299</v>
      </c>
      <c r="B300" s="28" t="s">
        <v>1290</v>
      </c>
      <c r="C300" s="28">
        <v>4114012779</v>
      </c>
      <c r="D300" s="28" t="s">
        <v>3355</v>
      </c>
      <c r="E300" s="28" t="s">
        <v>3348</v>
      </c>
      <c r="F300" s="28" t="s">
        <v>11</v>
      </c>
      <c r="G300" s="28" t="s">
        <v>1252</v>
      </c>
    </row>
    <row r="301" spans="1:7">
      <c r="A301" s="28">
        <v>300</v>
      </c>
      <c r="B301" s="28" t="s">
        <v>177</v>
      </c>
      <c r="C301" s="28">
        <v>4114016201</v>
      </c>
      <c r="D301" s="28" t="s">
        <v>3347</v>
      </c>
      <c r="E301" s="28" t="s">
        <v>3348</v>
      </c>
      <c r="F301" s="28" t="s">
        <v>11</v>
      </c>
      <c r="G301" s="28"/>
    </row>
    <row r="302" spans="1:7">
      <c r="A302" s="28">
        <v>301</v>
      </c>
      <c r="B302" s="28" t="s">
        <v>178</v>
      </c>
      <c r="C302" s="28">
        <v>4114013534</v>
      </c>
      <c r="D302" s="28" t="s">
        <v>3347</v>
      </c>
      <c r="E302" s="28" t="s">
        <v>3356</v>
      </c>
      <c r="F302" s="28" t="s">
        <v>11</v>
      </c>
      <c r="G302" s="28"/>
    </row>
    <row r="303" spans="1:7">
      <c r="A303" s="28">
        <v>302</v>
      </c>
      <c r="B303" s="28" t="s">
        <v>1291</v>
      </c>
      <c r="C303" s="28">
        <v>4114013535</v>
      </c>
      <c r="D303" s="28" t="s">
        <v>3355</v>
      </c>
      <c r="E303" s="28" t="s">
        <v>3349</v>
      </c>
      <c r="F303" s="28" t="s">
        <v>11</v>
      </c>
      <c r="G303" s="28" t="s">
        <v>1252</v>
      </c>
    </row>
    <row r="304" spans="1:7">
      <c r="A304" s="28">
        <v>303</v>
      </c>
      <c r="B304" s="28" t="s">
        <v>180</v>
      </c>
      <c r="C304" s="28">
        <v>4114013537</v>
      </c>
      <c r="D304" s="28" t="s">
        <v>3347</v>
      </c>
      <c r="E304" s="28" t="s">
        <v>3357</v>
      </c>
      <c r="F304" s="28" t="s">
        <v>11</v>
      </c>
      <c r="G304" s="28"/>
    </row>
    <row r="305" spans="1:7">
      <c r="A305" s="28">
        <v>304</v>
      </c>
      <c r="B305" s="28" t="s">
        <v>1292</v>
      </c>
      <c r="C305" s="28">
        <v>4114013538</v>
      </c>
      <c r="D305" s="28" t="s">
        <v>3355</v>
      </c>
      <c r="E305" s="28" t="s">
        <v>3349</v>
      </c>
      <c r="F305" s="28" t="s">
        <v>11</v>
      </c>
      <c r="G305" s="28" t="s">
        <v>1252</v>
      </c>
    </row>
    <row r="306" spans="1:7">
      <c r="A306" s="28">
        <v>305</v>
      </c>
      <c r="B306" s="28" t="s">
        <v>182</v>
      </c>
      <c r="C306" s="28">
        <v>4114013597</v>
      </c>
      <c r="D306" s="28" t="s">
        <v>3347</v>
      </c>
      <c r="E306" s="28" t="s">
        <v>3358</v>
      </c>
      <c r="F306" s="28" t="s">
        <v>11</v>
      </c>
      <c r="G306" s="28"/>
    </row>
    <row r="307" spans="1:7">
      <c r="A307" s="28">
        <v>306</v>
      </c>
      <c r="B307" s="28" t="s">
        <v>1293</v>
      </c>
      <c r="C307" s="28">
        <v>4114013598</v>
      </c>
      <c r="D307" s="28" t="s">
        <v>3355</v>
      </c>
      <c r="E307" s="28" t="s">
        <v>3349</v>
      </c>
      <c r="F307" s="28" t="s">
        <v>11</v>
      </c>
      <c r="G307" s="28" t="s">
        <v>1252</v>
      </c>
    </row>
    <row r="308" spans="1:7">
      <c r="A308" s="28">
        <v>307</v>
      </c>
      <c r="B308" s="28" t="s">
        <v>1294</v>
      </c>
      <c r="C308" s="28">
        <v>4114013608</v>
      </c>
      <c r="D308" s="28" t="s">
        <v>3355</v>
      </c>
      <c r="E308" s="28" t="s">
        <v>3348</v>
      </c>
      <c r="F308" s="28" t="s">
        <v>11</v>
      </c>
      <c r="G308" s="28" t="s">
        <v>1252</v>
      </c>
    </row>
    <row r="309" spans="1:7">
      <c r="A309" s="28">
        <v>308</v>
      </c>
      <c r="B309" s="28" t="s">
        <v>1295</v>
      </c>
      <c r="C309" s="28">
        <v>4114013691</v>
      </c>
      <c r="D309" s="28" t="s">
        <v>3355</v>
      </c>
      <c r="E309" s="28" t="s">
        <v>3348</v>
      </c>
      <c r="F309" s="28" t="s">
        <v>11</v>
      </c>
      <c r="G309" s="28" t="s">
        <v>1252</v>
      </c>
    </row>
    <row r="310" spans="1:7">
      <c r="A310" s="28">
        <v>309</v>
      </c>
      <c r="B310" s="28" t="s">
        <v>184</v>
      </c>
      <c r="C310" s="28">
        <v>4114014101</v>
      </c>
      <c r="D310" s="28" t="s">
        <v>3347</v>
      </c>
      <c r="E310" s="28" t="s">
        <v>3348</v>
      </c>
      <c r="F310" s="28" t="s">
        <v>11</v>
      </c>
      <c r="G310" s="28"/>
    </row>
    <row r="311" spans="1:7">
      <c r="A311" s="28">
        <v>310</v>
      </c>
      <c r="B311" s="28" t="s">
        <v>1296</v>
      </c>
      <c r="C311" s="28">
        <v>4114014226</v>
      </c>
      <c r="D311" s="28" t="s">
        <v>3355</v>
      </c>
      <c r="E311" s="28" t="s">
        <v>3352</v>
      </c>
      <c r="F311" s="28" t="s">
        <v>11</v>
      </c>
      <c r="G311" s="28" t="s">
        <v>1252</v>
      </c>
    </row>
    <row r="312" spans="1:7">
      <c r="A312" s="28">
        <v>311</v>
      </c>
      <c r="B312" s="28" t="s">
        <v>185</v>
      </c>
      <c r="C312" s="28">
        <v>4114014434</v>
      </c>
      <c r="D312" s="28" t="s">
        <v>3347</v>
      </c>
      <c r="E312" s="28" t="s">
        <v>3348</v>
      </c>
      <c r="F312" s="28" t="s">
        <v>11</v>
      </c>
      <c r="G312" s="28"/>
    </row>
    <row r="313" spans="1:7">
      <c r="A313" s="28">
        <v>312</v>
      </c>
      <c r="B313" s="28" t="s">
        <v>186</v>
      </c>
      <c r="C313" s="28">
        <v>4114014527</v>
      </c>
      <c r="D313" s="28" t="s">
        <v>3347</v>
      </c>
      <c r="E313" s="28" t="s">
        <v>3359</v>
      </c>
      <c r="F313" s="28" t="s">
        <v>11</v>
      </c>
      <c r="G313" s="28"/>
    </row>
    <row r="314" spans="1:7">
      <c r="A314" s="28">
        <v>313</v>
      </c>
      <c r="B314" s="28" t="s">
        <v>188</v>
      </c>
      <c r="C314" s="28">
        <v>4214051189</v>
      </c>
      <c r="D314" s="28" t="s">
        <v>3347</v>
      </c>
      <c r="E314" s="28" t="s">
        <v>3349</v>
      </c>
      <c r="F314" s="28" t="s">
        <v>11</v>
      </c>
      <c r="G314" s="28"/>
    </row>
    <row r="315" spans="1:7">
      <c r="A315" s="28">
        <v>314</v>
      </c>
      <c r="B315" s="28" t="s">
        <v>1246</v>
      </c>
      <c r="C315" s="28">
        <v>4114014898</v>
      </c>
      <c r="D315" s="28" t="s">
        <v>3347</v>
      </c>
      <c r="E315" s="28" t="s">
        <v>3354</v>
      </c>
      <c r="F315" s="28" t="s">
        <v>11</v>
      </c>
      <c r="G315" s="28"/>
    </row>
    <row r="316" spans="1:7">
      <c r="A316" s="28">
        <v>315</v>
      </c>
      <c r="B316" s="28" t="s">
        <v>189</v>
      </c>
      <c r="C316" s="28">
        <v>4114013696</v>
      </c>
      <c r="D316" s="28" t="s">
        <v>3347</v>
      </c>
      <c r="E316" s="28" t="s">
        <v>3348</v>
      </c>
      <c r="F316" s="28" t="s">
        <v>11</v>
      </c>
      <c r="G316" s="28"/>
    </row>
    <row r="317" spans="1:7">
      <c r="A317" s="28">
        <v>316</v>
      </c>
      <c r="B317" s="28" t="s">
        <v>1783</v>
      </c>
      <c r="C317" s="28">
        <v>4114011630</v>
      </c>
      <c r="D317" s="28" t="s">
        <v>3347</v>
      </c>
      <c r="E317" s="28" t="s">
        <v>3348</v>
      </c>
      <c r="F317" s="28" t="s">
        <v>1700</v>
      </c>
      <c r="G317" s="28"/>
    </row>
    <row r="318" spans="1:7">
      <c r="A318" s="28">
        <v>317</v>
      </c>
      <c r="B318" s="28" t="s">
        <v>1784</v>
      </c>
      <c r="C318" s="28">
        <v>4114012388</v>
      </c>
      <c r="D318" s="28" t="s">
        <v>3347</v>
      </c>
      <c r="E318" s="28" t="s">
        <v>3350</v>
      </c>
      <c r="F318" s="28" t="s">
        <v>1700</v>
      </c>
      <c r="G318" s="28"/>
    </row>
    <row r="319" spans="1:7">
      <c r="A319" s="28">
        <v>318</v>
      </c>
      <c r="B319" s="28" t="s">
        <v>1785</v>
      </c>
      <c r="C319" s="28">
        <v>4114012774</v>
      </c>
      <c r="D319" s="28" t="s">
        <v>3347</v>
      </c>
      <c r="E319" s="28" t="s">
        <v>3358</v>
      </c>
      <c r="F319" s="28" t="s">
        <v>1700</v>
      </c>
      <c r="G319" s="28"/>
    </row>
    <row r="320" spans="1:7">
      <c r="A320" s="28">
        <v>319</v>
      </c>
      <c r="B320" s="28" t="s">
        <v>1786</v>
      </c>
      <c r="C320" s="28">
        <v>4114012776</v>
      </c>
      <c r="D320" s="28" t="s">
        <v>3347</v>
      </c>
      <c r="E320" s="28" t="s">
        <v>3348</v>
      </c>
      <c r="F320" s="28" t="s">
        <v>1700</v>
      </c>
      <c r="G320" s="28"/>
    </row>
    <row r="321" spans="1:7">
      <c r="A321" s="28">
        <v>320</v>
      </c>
      <c r="B321" s="28" t="s">
        <v>1787</v>
      </c>
      <c r="C321" s="28">
        <v>4114012780</v>
      </c>
      <c r="D321" s="28" t="s">
        <v>3347</v>
      </c>
      <c r="E321" s="28" t="s">
        <v>3351</v>
      </c>
      <c r="F321" s="28" t="s">
        <v>1700</v>
      </c>
      <c r="G321" s="28"/>
    </row>
    <row r="322" spans="1:7">
      <c r="A322" s="28">
        <v>321</v>
      </c>
      <c r="B322" s="28" t="s">
        <v>1788</v>
      </c>
      <c r="C322" s="28">
        <v>4114012888</v>
      </c>
      <c r="D322" s="28" t="s">
        <v>3347</v>
      </c>
      <c r="E322" s="28" t="s">
        <v>3350</v>
      </c>
      <c r="F322" s="28" t="s">
        <v>1700</v>
      </c>
      <c r="G322" s="28"/>
    </row>
    <row r="323" spans="1:7">
      <c r="A323" s="28">
        <v>322</v>
      </c>
      <c r="B323" s="28" t="s">
        <v>1789</v>
      </c>
      <c r="C323" s="28">
        <v>4114012890</v>
      </c>
      <c r="D323" s="28" t="s">
        <v>3347</v>
      </c>
      <c r="E323" s="28" t="s">
        <v>3348</v>
      </c>
      <c r="F323" s="28" t="s">
        <v>1700</v>
      </c>
      <c r="G323" s="28"/>
    </row>
    <row r="324" spans="1:7">
      <c r="A324" s="28">
        <v>323</v>
      </c>
      <c r="B324" s="28" t="s">
        <v>1790</v>
      </c>
      <c r="C324" s="28">
        <v>4114012891</v>
      </c>
      <c r="D324" s="28" t="s">
        <v>3347</v>
      </c>
      <c r="E324" s="28" t="s">
        <v>3348</v>
      </c>
      <c r="F324" s="28" t="s">
        <v>1700</v>
      </c>
      <c r="G324" s="28"/>
    </row>
    <row r="325" spans="1:7">
      <c r="A325" s="28">
        <v>324</v>
      </c>
      <c r="B325" s="28" t="s">
        <v>1791</v>
      </c>
      <c r="C325" s="28">
        <v>4114012892</v>
      </c>
      <c r="D325" s="28" t="s">
        <v>3347</v>
      </c>
      <c r="E325" s="28" t="s">
        <v>3352</v>
      </c>
      <c r="F325" s="28" t="s">
        <v>1700</v>
      </c>
      <c r="G325" s="28"/>
    </row>
    <row r="326" spans="1:7">
      <c r="A326" s="28">
        <v>325</v>
      </c>
      <c r="B326" s="28" t="s">
        <v>1792</v>
      </c>
      <c r="C326" s="28">
        <v>4114012893</v>
      </c>
      <c r="D326" s="28" t="s">
        <v>3347</v>
      </c>
      <c r="E326" s="28" t="s">
        <v>3359</v>
      </c>
      <c r="F326" s="28" t="s">
        <v>1700</v>
      </c>
      <c r="G326" s="28"/>
    </row>
    <row r="327" spans="1:7">
      <c r="A327" s="28">
        <v>326</v>
      </c>
      <c r="B327" s="28" t="s">
        <v>1793</v>
      </c>
      <c r="C327" s="28">
        <v>4114013171</v>
      </c>
      <c r="D327" s="28" t="s">
        <v>3347</v>
      </c>
      <c r="E327" s="28" t="s">
        <v>3357</v>
      </c>
      <c r="F327" s="28" t="s">
        <v>1700</v>
      </c>
      <c r="G327" s="28"/>
    </row>
    <row r="328" spans="1:7">
      <c r="A328" s="28">
        <v>327</v>
      </c>
      <c r="B328" s="28" t="s">
        <v>1794</v>
      </c>
      <c r="C328" s="28">
        <v>4114013528</v>
      </c>
      <c r="D328" s="28" t="s">
        <v>3347</v>
      </c>
      <c r="E328" s="28" t="s">
        <v>3348</v>
      </c>
      <c r="F328" s="28" t="s">
        <v>1700</v>
      </c>
      <c r="G328" s="28"/>
    </row>
    <row r="329" spans="1:7">
      <c r="A329" s="28">
        <v>328</v>
      </c>
      <c r="B329" s="28" t="s">
        <v>1795</v>
      </c>
      <c r="C329" s="28">
        <v>4114013530</v>
      </c>
      <c r="D329" s="28" t="s">
        <v>3347</v>
      </c>
      <c r="E329" s="28" t="s">
        <v>3348</v>
      </c>
      <c r="F329" s="28" t="s">
        <v>1700</v>
      </c>
      <c r="G329" s="28"/>
    </row>
    <row r="330" spans="1:7">
      <c r="A330" s="28">
        <v>329</v>
      </c>
      <c r="B330" s="28" t="s">
        <v>1796</v>
      </c>
      <c r="C330" s="28">
        <v>4114013532</v>
      </c>
      <c r="D330" s="28" t="s">
        <v>3347</v>
      </c>
      <c r="E330" s="28" t="s">
        <v>3348</v>
      </c>
      <c r="F330" s="28" t="s">
        <v>1700</v>
      </c>
      <c r="G330" s="28"/>
    </row>
    <row r="331" spans="1:7">
      <c r="A331" s="28">
        <v>330</v>
      </c>
      <c r="B331" s="28" t="s">
        <v>2912</v>
      </c>
      <c r="C331" s="28">
        <v>4114013541</v>
      </c>
      <c r="D331" s="28" t="s">
        <v>3355</v>
      </c>
      <c r="E331" s="28" t="s">
        <v>3357</v>
      </c>
      <c r="F331" s="28" t="s">
        <v>1700</v>
      </c>
      <c r="G331" s="28" t="s">
        <v>1252</v>
      </c>
    </row>
    <row r="332" spans="1:7">
      <c r="A332" s="28">
        <v>331</v>
      </c>
      <c r="B332" s="28" t="s">
        <v>1797</v>
      </c>
      <c r="C332" s="28">
        <v>4114013692</v>
      </c>
      <c r="D332" s="28" t="s">
        <v>3347</v>
      </c>
      <c r="E332" s="28" t="s">
        <v>3348</v>
      </c>
      <c r="F332" s="28" t="s">
        <v>1700</v>
      </c>
      <c r="G332" s="28"/>
    </row>
    <row r="333" spans="1:7">
      <c r="A333" s="28">
        <v>332</v>
      </c>
      <c r="B333" s="28" t="s">
        <v>1798</v>
      </c>
      <c r="C333" s="28">
        <v>4114013693</v>
      </c>
      <c r="D333" s="28" t="s">
        <v>3347</v>
      </c>
      <c r="E333" s="28" t="s">
        <v>3348</v>
      </c>
      <c r="F333" s="28" t="s">
        <v>1700</v>
      </c>
      <c r="G333" s="28"/>
    </row>
    <row r="334" spans="1:7">
      <c r="A334" s="28">
        <v>333</v>
      </c>
      <c r="B334" s="28" t="s">
        <v>1799</v>
      </c>
      <c r="C334" s="28">
        <v>4114013694</v>
      </c>
      <c r="D334" s="28" t="s">
        <v>3347</v>
      </c>
      <c r="E334" s="28" t="s">
        <v>3348</v>
      </c>
      <c r="F334" s="28" t="s">
        <v>1700</v>
      </c>
      <c r="G334" s="28"/>
    </row>
    <row r="335" spans="1:7">
      <c r="A335" s="28">
        <v>334</v>
      </c>
      <c r="B335" s="28" t="s">
        <v>1800</v>
      </c>
      <c r="C335" s="28">
        <v>4114013695</v>
      </c>
      <c r="D335" s="28" t="s">
        <v>3347</v>
      </c>
      <c r="E335" s="28" t="s">
        <v>3350</v>
      </c>
      <c r="F335" s="28" t="s">
        <v>1700</v>
      </c>
      <c r="G335" s="28"/>
    </row>
    <row r="336" spans="1:7">
      <c r="A336" s="28">
        <v>335</v>
      </c>
      <c r="B336" s="28" t="s">
        <v>1801</v>
      </c>
      <c r="C336" s="28">
        <v>4114013698</v>
      </c>
      <c r="D336" s="28" t="s">
        <v>3347</v>
      </c>
      <c r="E336" s="28" t="s">
        <v>3357</v>
      </c>
      <c r="F336" s="28" t="s">
        <v>1700</v>
      </c>
      <c r="G336" s="28"/>
    </row>
    <row r="337" spans="1:7">
      <c r="A337" s="28">
        <v>336</v>
      </c>
      <c r="B337" s="28" t="s">
        <v>1802</v>
      </c>
      <c r="C337" s="28">
        <v>4114013745</v>
      </c>
      <c r="D337" s="28" t="s">
        <v>3347</v>
      </c>
      <c r="E337" s="28" t="s">
        <v>3348</v>
      </c>
      <c r="F337" s="28" t="s">
        <v>1700</v>
      </c>
      <c r="G337" s="28"/>
    </row>
    <row r="338" spans="1:7">
      <c r="A338" s="28">
        <v>337</v>
      </c>
      <c r="B338" s="28" t="s">
        <v>1803</v>
      </c>
      <c r="C338" s="28">
        <v>4114013821</v>
      </c>
      <c r="D338" s="28" t="s">
        <v>3347</v>
      </c>
      <c r="E338" s="28" t="s">
        <v>3353</v>
      </c>
      <c r="F338" s="28" t="s">
        <v>1700</v>
      </c>
      <c r="G338" s="28"/>
    </row>
    <row r="339" spans="1:7">
      <c r="A339" s="28">
        <v>338</v>
      </c>
      <c r="B339" s="28" t="s">
        <v>2913</v>
      </c>
      <c r="C339" s="28">
        <v>4114013862</v>
      </c>
      <c r="D339" s="28" t="s">
        <v>3355</v>
      </c>
      <c r="E339" s="28" t="s">
        <v>3349</v>
      </c>
      <c r="F339" s="28" t="s">
        <v>1700</v>
      </c>
      <c r="G339" s="28" t="s">
        <v>1252</v>
      </c>
    </row>
    <row r="340" spans="1:7">
      <c r="A340" s="28">
        <v>339</v>
      </c>
      <c r="B340" s="28" t="s">
        <v>1804</v>
      </c>
      <c r="C340" s="28">
        <v>4114013913</v>
      </c>
      <c r="D340" s="28" t="s">
        <v>3347</v>
      </c>
      <c r="E340" s="28" t="s">
        <v>3349</v>
      </c>
      <c r="F340" s="28" t="s">
        <v>1700</v>
      </c>
      <c r="G340" s="28"/>
    </row>
    <row r="341" spans="1:7">
      <c r="A341" s="28">
        <v>340</v>
      </c>
      <c r="B341" s="28" t="s">
        <v>2914</v>
      </c>
      <c r="C341" s="28">
        <v>4114013914</v>
      </c>
      <c r="D341" s="28" t="s">
        <v>3355</v>
      </c>
      <c r="E341" s="28" t="s">
        <v>3349</v>
      </c>
      <c r="F341" s="28" t="s">
        <v>1700</v>
      </c>
      <c r="G341" s="28" t="s">
        <v>1252</v>
      </c>
    </row>
    <row r="342" spans="1:7">
      <c r="A342" s="28">
        <v>341</v>
      </c>
      <c r="B342" s="28" t="s">
        <v>1805</v>
      </c>
      <c r="C342" s="28">
        <v>4114013934</v>
      </c>
      <c r="D342" s="28" t="s">
        <v>3347</v>
      </c>
      <c r="E342" s="28" t="s">
        <v>3352</v>
      </c>
      <c r="F342" s="28" t="s">
        <v>1700</v>
      </c>
      <c r="G342" s="28"/>
    </row>
    <row r="343" spans="1:7">
      <c r="A343" s="28">
        <v>342</v>
      </c>
      <c r="B343" s="28" t="s">
        <v>1806</v>
      </c>
      <c r="C343" s="28">
        <v>4114014093</v>
      </c>
      <c r="D343" s="28" t="s">
        <v>3347</v>
      </c>
      <c r="E343" s="28" t="s">
        <v>3352</v>
      </c>
      <c r="F343" s="28" t="s">
        <v>1700</v>
      </c>
      <c r="G343" s="28"/>
    </row>
    <row r="344" spans="1:7">
      <c r="A344" s="28">
        <v>343</v>
      </c>
      <c r="B344" s="28" t="s">
        <v>2915</v>
      </c>
      <c r="C344" s="28">
        <v>4114014105</v>
      </c>
      <c r="D344" s="28" t="s">
        <v>3355</v>
      </c>
      <c r="E344" s="28" t="s">
        <v>3348</v>
      </c>
      <c r="F344" s="28" t="s">
        <v>1700</v>
      </c>
      <c r="G344" s="28" t="s">
        <v>1252</v>
      </c>
    </row>
    <row r="345" spans="1:7">
      <c r="A345" s="28">
        <v>344</v>
      </c>
      <c r="B345" s="28" t="s">
        <v>1807</v>
      </c>
      <c r="C345" s="28">
        <v>4114014177</v>
      </c>
      <c r="D345" s="28" t="s">
        <v>3347</v>
      </c>
      <c r="E345" s="28" t="s">
        <v>3348</v>
      </c>
      <c r="F345" s="28" t="s">
        <v>1700</v>
      </c>
      <c r="G345" s="28"/>
    </row>
    <row r="346" spans="1:7">
      <c r="A346" s="28">
        <v>345</v>
      </c>
      <c r="B346" s="28" t="s">
        <v>1808</v>
      </c>
      <c r="C346" s="28">
        <v>4114014186</v>
      </c>
      <c r="D346" s="28" t="s">
        <v>3347</v>
      </c>
      <c r="E346" s="28" t="s">
        <v>3356</v>
      </c>
      <c r="F346" s="28" t="s">
        <v>1700</v>
      </c>
      <c r="G346" s="28"/>
    </row>
    <row r="347" spans="1:7">
      <c r="A347" s="28">
        <v>346</v>
      </c>
      <c r="B347" s="28" t="s">
        <v>1809</v>
      </c>
      <c r="C347" s="28">
        <v>4114014247</v>
      </c>
      <c r="D347" s="28" t="s">
        <v>3347</v>
      </c>
      <c r="E347" s="28" t="s">
        <v>3348</v>
      </c>
      <c r="F347" s="28" t="s">
        <v>1700</v>
      </c>
      <c r="G347" s="28"/>
    </row>
    <row r="348" spans="1:7">
      <c r="A348" s="28">
        <v>347</v>
      </c>
      <c r="B348" s="28" t="s">
        <v>1810</v>
      </c>
      <c r="C348" s="28">
        <v>4114014270</v>
      </c>
      <c r="D348" s="28" t="s">
        <v>3347</v>
      </c>
      <c r="E348" s="28" t="s">
        <v>3349</v>
      </c>
      <c r="F348" s="28" t="s">
        <v>1700</v>
      </c>
      <c r="G348" s="28"/>
    </row>
    <row r="349" spans="1:7">
      <c r="A349" s="28">
        <v>348</v>
      </c>
      <c r="B349" s="28" t="s">
        <v>1811</v>
      </c>
      <c r="C349" s="28">
        <v>4114014271</v>
      </c>
      <c r="D349" s="28" t="s">
        <v>3347</v>
      </c>
      <c r="E349" s="28" t="s">
        <v>3359</v>
      </c>
      <c r="F349" s="28" t="s">
        <v>1700</v>
      </c>
      <c r="G349" s="28"/>
    </row>
    <row r="350" spans="1:7">
      <c r="A350" s="28">
        <v>349</v>
      </c>
      <c r="B350" s="28" t="s">
        <v>1812</v>
      </c>
      <c r="C350" s="28">
        <v>4114014397</v>
      </c>
      <c r="D350" s="28" t="s">
        <v>3347</v>
      </c>
      <c r="E350" s="28" t="s">
        <v>3352</v>
      </c>
      <c r="F350" s="28" t="s">
        <v>1700</v>
      </c>
      <c r="G350" s="28"/>
    </row>
    <row r="351" spans="1:7">
      <c r="A351" s="28">
        <v>350</v>
      </c>
      <c r="B351" s="28" t="s">
        <v>1813</v>
      </c>
      <c r="C351" s="28">
        <v>4114014461</v>
      </c>
      <c r="D351" s="28" t="s">
        <v>3347</v>
      </c>
      <c r="E351" s="28" t="s">
        <v>3352</v>
      </c>
      <c r="F351" s="28" t="s">
        <v>1700</v>
      </c>
      <c r="G351" s="28"/>
    </row>
    <row r="352" spans="1:7">
      <c r="A352" s="28">
        <v>351</v>
      </c>
      <c r="B352" s="28" t="s">
        <v>1814</v>
      </c>
      <c r="C352" s="28">
        <v>4114014462</v>
      </c>
      <c r="D352" s="28" t="s">
        <v>3347</v>
      </c>
      <c r="E352" s="28" t="s">
        <v>3356</v>
      </c>
      <c r="F352" s="28" t="s">
        <v>1700</v>
      </c>
      <c r="G352" s="28"/>
    </row>
    <row r="353" spans="1:7">
      <c r="A353" s="28">
        <v>352</v>
      </c>
      <c r="B353" s="28" t="s">
        <v>1815</v>
      </c>
      <c r="C353" s="28">
        <v>4114014500</v>
      </c>
      <c r="D353" s="28" t="s">
        <v>3347</v>
      </c>
      <c r="E353" s="28" t="s">
        <v>3354</v>
      </c>
      <c r="F353" s="28" t="s">
        <v>1700</v>
      </c>
      <c r="G353" s="28"/>
    </row>
    <row r="354" spans="1:7">
      <c r="A354" s="28">
        <v>353</v>
      </c>
      <c r="B354" s="28" t="s">
        <v>1816</v>
      </c>
      <c r="C354" s="28">
        <v>4114014627</v>
      </c>
      <c r="D354" s="28" t="s">
        <v>3347</v>
      </c>
      <c r="E354" s="28" t="s">
        <v>3351</v>
      </c>
      <c r="F354" s="28" t="s">
        <v>1700</v>
      </c>
      <c r="G354" s="28"/>
    </row>
    <row r="355" spans="1:7">
      <c r="A355" s="28">
        <v>354</v>
      </c>
      <c r="B355" s="28" t="s">
        <v>1817</v>
      </c>
      <c r="C355" s="28">
        <v>4114014628</v>
      </c>
      <c r="D355" s="28" t="s">
        <v>3347</v>
      </c>
      <c r="E355" s="28" t="s">
        <v>3348</v>
      </c>
      <c r="F355" s="28" t="s">
        <v>1700</v>
      </c>
      <c r="G355" s="28"/>
    </row>
    <row r="356" spans="1:7">
      <c r="A356" s="28">
        <v>355</v>
      </c>
      <c r="B356" s="28" t="s">
        <v>1818</v>
      </c>
      <c r="C356" s="28">
        <v>4114014681</v>
      </c>
      <c r="D356" s="28" t="s">
        <v>3347</v>
      </c>
      <c r="E356" s="28" t="s">
        <v>3348</v>
      </c>
      <c r="F356" s="28" t="s">
        <v>1700</v>
      </c>
      <c r="G356" s="28"/>
    </row>
    <row r="357" spans="1:7">
      <c r="A357" s="28">
        <v>356</v>
      </c>
      <c r="B357" s="28" t="s">
        <v>1819</v>
      </c>
      <c r="C357" s="28">
        <v>4114014687</v>
      </c>
      <c r="D357" s="28" t="s">
        <v>3347</v>
      </c>
      <c r="E357" s="28" t="s">
        <v>3350</v>
      </c>
      <c r="F357" s="28" t="s">
        <v>1700</v>
      </c>
      <c r="G357" s="28"/>
    </row>
    <row r="358" spans="1:7">
      <c r="A358" s="28">
        <v>357</v>
      </c>
      <c r="B358" s="28" t="s">
        <v>1820</v>
      </c>
      <c r="C358" s="28">
        <v>4114014697</v>
      </c>
      <c r="D358" s="28" t="s">
        <v>3347</v>
      </c>
      <c r="E358" s="28" t="s">
        <v>3351</v>
      </c>
      <c r="F358" s="28" t="s">
        <v>1700</v>
      </c>
      <c r="G358" s="28"/>
    </row>
    <row r="359" spans="1:7">
      <c r="A359" s="28">
        <v>358</v>
      </c>
      <c r="B359" s="28" t="s">
        <v>1821</v>
      </c>
      <c r="C359" s="28">
        <v>4114014698</v>
      </c>
      <c r="D359" s="28" t="s">
        <v>3347</v>
      </c>
      <c r="E359" s="28" t="s">
        <v>3356</v>
      </c>
      <c r="F359" s="28" t="s">
        <v>1700</v>
      </c>
      <c r="G359" s="28"/>
    </row>
    <row r="360" spans="1:7">
      <c r="A360" s="28">
        <v>359</v>
      </c>
      <c r="B360" s="28" t="s">
        <v>1822</v>
      </c>
      <c r="C360" s="28">
        <v>4214050166</v>
      </c>
      <c r="D360" s="28" t="s">
        <v>3347</v>
      </c>
      <c r="E360" s="28" t="s">
        <v>3348</v>
      </c>
      <c r="F360" s="28" t="s">
        <v>1700</v>
      </c>
      <c r="G360" s="28"/>
    </row>
    <row r="361" spans="1:7">
      <c r="A361" s="28">
        <v>360</v>
      </c>
      <c r="B361" s="28" t="s">
        <v>2805</v>
      </c>
      <c r="C361" s="28">
        <v>4114014777</v>
      </c>
      <c r="D361" s="28" t="s">
        <v>3347</v>
      </c>
      <c r="E361" s="28" t="s">
        <v>3354</v>
      </c>
      <c r="F361" s="28" t="s">
        <v>1700</v>
      </c>
      <c r="G361" s="28"/>
    </row>
    <row r="362" spans="1:7">
      <c r="A362" s="28">
        <v>361</v>
      </c>
      <c r="B362" s="28" t="s">
        <v>3276</v>
      </c>
      <c r="C362" s="28">
        <v>4114014901</v>
      </c>
      <c r="D362" s="28" t="s">
        <v>3355</v>
      </c>
      <c r="E362" s="28" t="s">
        <v>3351</v>
      </c>
      <c r="F362" s="28" t="s">
        <v>1700</v>
      </c>
      <c r="G362" s="28" t="s">
        <v>1252</v>
      </c>
    </row>
    <row r="363" spans="1:7">
      <c r="A363" s="28">
        <v>362</v>
      </c>
      <c r="B363" s="28" t="s">
        <v>190</v>
      </c>
      <c r="C363" s="28">
        <v>4115010126</v>
      </c>
      <c r="D363" s="28" t="s">
        <v>3360</v>
      </c>
      <c r="E363" s="28" t="s">
        <v>3361</v>
      </c>
      <c r="F363" s="28" t="s">
        <v>11</v>
      </c>
      <c r="G363" s="28"/>
    </row>
    <row r="364" spans="1:7">
      <c r="A364" s="28">
        <v>363</v>
      </c>
      <c r="B364" s="28" t="s">
        <v>193</v>
      </c>
      <c r="C364" s="28">
        <v>4115010127</v>
      </c>
      <c r="D364" s="28" t="s">
        <v>3360</v>
      </c>
      <c r="E364" s="28" t="s">
        <v>3362</v>
      </c>
      <c r="F364" s="28" t="s">
        <v>11</v>
      </c>
      <c r="G364" s="28"/>
    </row>
    <row r="365" spans="1:7">
      <c r="A365" s="28">
        <v>364</v>
      </c>
      <c r="B365" s="28" t="s">
        <v>195</v>
      </c>
      <c r="C365" s="28">
        <v>4115010128</v>
      </c>
      <c r="D365" s="28" t="s">
        <v>3360</v>
      </c>
      <c r="E365" s="28" t="s">
        <v>3361</v>
      </c>
      <c r="F365" s="28" t="s">
        <v>11</v>
      </c>
      <c r="G365" s="28"/>
    </row>
    <row r="366" spans="1:7">
      <c r="A366" s="28">
        <v>365</v>
      </c>
      <c r="B366" s="28" t="s">
        <v>196</v>
      </c>
      <c r="C366" s="28">
        <v>4115010129</v>
      </c>
      <c r="D366" s="28" t="s">
        <v>3360</v>
      </c>
      <c r="E366" s="28" t="s">
        <v>3361</v>
      </c>
      <c r="F366" s="28" t="s">
        <v>11</v>
      </c>
      <c r="G366" s="28"/>
    </row>
    <row r="367" spans="1:7">
      <c r="A367" s="28">
        <v>366</v>
      </c>
      <c r="B367" s="28" t="s">
        <v>197</v>
      </c>
      <c r="C367" s="28">
        <v>4115010132</v>
      </c>
      <c r="D367" s="28" t="s">
        <v>3360</v>
      </c>
      <c r="E367" s="28" t="s">
        <v>3361</v>
      </c>
      <c r="F367" s="28" t="s">
        <v>11</v>
      </c>
      <c r="G367" s="28"/>
    </row>
    <row r="368" spans="1:7">
      <c r="A368" s="28">
        <v>367</v>
      </c>
      <c r="B368" s="28" t="s">
        <v>198</v>
      </c>
      <c r="C368" s="28">
        <v>4115010135</v>
      </c>
      <c r="D368" s="28" t="s">
        <v>3360</v>
      </c>
      <c r="E368" s="28" t="s">
        <v>3361</v>
      </c>
      <c r="F368" s="28" t="s">
        <v>11</v>
      </c>
      <c r="G368" s="28"/>
    </row>
    <row r="369" spans="1:7">
      <c r="A369" s="28">
        <v>368</v>
      </c>
      <c r="B369" s="28" t="s">
        <v>199</v>
      </c>
      <c r="C369" s="28">
        <v>4115010136</v>
      </c>
      <c r="D369" s="28" t="s">
        <v>3360</v>
      </c>
      <c r="E369" s="28" t="s">
        <v>3363</v>
      </c>
      <c r="F369" s="28" t="s">
        <v>11</v>
      </c>
      <c r="G369" s="28"/>
    </row>
    <row r="370" spans="1:7">
      <c r="A370" s="28">
        <v>369</v>
      </c>
      <c r="B370" s="28" t="s">
        <v>3364</v>
      </c>
      <c r="C370" s="28">
        <v>4115010138</v>
      </c>
      <c r="D370" s="28" t="s">
        <v>3360</v>
      </c>
      <c r="E370" s="28" t="s">
        <v>3365</v>
      </c>
      <c r="F370" s="28" t="s">
        <v>11</v>
      </c>
      <c r="G370" s="28"/>
    </row>
    <row r="371" spans="1:7">
      <c r="A371" s="28">
        <v>370</v>
      </c>
      <c r="B371" s="28" t="s">
        <v>203</v>
      </c>
      <c r="C371" s="28">
        <v>4115010139</v>
      </c>
      <c r="D371" s="28" t="s">
        <v>3360</v>
      </c>
      <c r="E371" s="28" t="s">
        <v>3361</v>
      </c>
      <c r="F371" s="28" t="s">
        <v>11</v>
      </c>
      <c r="G371" s="28"/>
    </row>
    <row r="372" spans="1:7">
      <c r="A372" s="28">
        <v>371</v>
      </c>
      <c r="B372" s="28" t="s">
        <v>204</v>
      </c>
      <c r="C372" s="28">
        <v>4115010819</v>
      </c>
      <c r="D372" s="28" t="s">
        <v>3360</v>
      </c>
      <c r="E372" s="28" t="s">
        <v>3366</v>
      </c>
      <c r="F372" s="28" t="s">
        <v>11</v>
      </c>
      <c r="G372" s="28"/>
    </row>
    <row r="373" spans="1:7">
      <c r="A373" s="28">
        <v>372</v>
      </c>
      <c r="B373" s="28" t="s">
        <v>206</v>
      </c>
      <c r="C373" s="28">
        <v>4115011427</v>
      </c>
      <c r="D373" s="28" t="s">
        <v>3360</v>
      </c>
      <c r="E373" s="28" t="s">
        <v>3367</v>
      </c>
      <c r="F373" s="28" t="s">
        <v>11</v>
      </c>
      <c r="G373" s="28"/>
    </row>
    <row r="374" spans="1:7">
      <c r="A374" s="28">
        <v>373</v>
      </c>
      <c r="B374" s="28" t="s">
        <v>208</v>
      </c>
      <c r="C374" s="28">
        <v>4115011631</v>
      </c>
      <c r="D374" s="28" t="s">
        <v>3360</v>
      </c>
      <c r="E374" s="28" t="s">
        <v>3368</v>
      </c>
      <c r="F374" s="28" t="s">
        <v>11</v>
      </c>
      <c r="G374" s="28"/>
    </row>
    <row r="375" spans="1:7">
      <c r="A375" s="28">
        <v>374</v>
      </c>
      <c r="B375" s="28" t="s">
        <v>210</v>
      </c>
      <c r="C375" s="28">
        <v>4115011709</v>
      </c>
      <c r="D375" s="28" t="s">
        <v>3360</v>
      </c>
      <c r="E375" s="28" t="s">
        <v>3361</v>
      </c>
      <c r="F375" s="28" t="s">
        <v>11</v>
      </c>
      <c r="G375" s="28"/>
    </row>
    <row r="376" spans="1:7">
      <c r="A376" s="28">
        <v>375</v>
      </c>
      <c r="B376" s="28" t="s">
        <v>1297</v>
      </c>
      <c r="C376" s="28">
        <v>4115014199</v>
      </c>
      <c r="D376" s="28" t="s">
        <v>3369</v>
      </c>
      <c r="E376" s="28" t="s">
        <v>3361</v>
      </c>
      <c r="F376" s="28" t="s">
        <v>11</v>
      </c>
      <c r="G376" s="28" t="s">
        <v>1252</v>
      </c>
    </row>
    <row r="377" spans="1:7">
      <c r="A377" s="28">
        <v>376</v>
      </c>
      <c r="B377" s="28" t="s">
        <v>1298</v>
      </c>
      <c r="C377" s="28">
        <v>4115014205</v>
      </c>
      <c r="D377" s="28" t="s">
        <v>3369</v>
      </c>
      <c r="E377" s="28" t="s">
        <v>3361</v>
      </c>
      <c r="F377" s="28" t="s">
        <v>11</v>
      </c>
      <c r="G377" s="28" t="s">
        <v>1252</v>
      </c>
    </row>
    <row r="378" spans="1:7">
      <c r="A378" s="28">
        <v>377</v>
      </c>
      <c r="B378" s="28" t="s">
        <v>211</v>
      </c>
      <c r="C378" s="28">
        <v>4115014531</v>
      </c>
      <c r="D378" s="28" t="s">
        <v>3360</v>
      </c>
      <c r="E378" s="28" t="s">
        <v>3361</v>
      </c>
      <c r="F378" s="28" t="s">
        <v>11</v>
      </c>
      <c r="G378" s="28"/>
    </row>
    <row r="379" spans="1:7">
      <c r="A379" s="28">
        <v>378</v>
      </c>
      <c r="B379" s="28" t="s">
        <v>212</v>
      </c>
      <c r="C379" s="28">
        <v>4115014532</v>
      </c>
      <c r="D379" s="28" t="s">
        <v>3360</v>
      </c>
      <c r="E379" s="28" t="s">
        <v>3370</v>
      </c>
      <c r="F379" s="28" t="s">
        <v>11</v>
      </c>
      <c r="G379" s="28"/>
    </row>
    <row r="380" spans="1:7">
      <c r="A380" s="28">
        <v>379</v>
      </c>
      <c r="B380" s="28" t="s">
        <v>218</v>
      </c>
      <c r="C380" s="28">
        <v>4115012797</v>
      </c>
      <c r="D380" s="28" t="s">
        <v>3360</v>
      </c>
      <c r="E380" s="28" t="s">
        <v>3361</v>
      </c>
      <c r="F380" s="28" t="s">
        <v>11</v>
      </c>
      <c r="G380" s="28"/>
    </row>
    <row r="381" spans="1:7">
      <c r="A381" s="28">
        <v>380</v>
      </c>
      <c r="B381" s="28" t="s">
        <v>214</v>
      </c>
      <c r="C381" s="28">
        <v>4115010871</v>
      </c>
      <c r="D381" s="28" t="s">
        <v>3360</v>
      </c>
      <c r="E381" s="28" t="s">
        <v>3361</v>
      </c>
      <c r="F381" s="28" t="s">
        <v>11</v>
      </c>
      <c r="G381" s="28"/>
    </row>
    <row r="382" spans="1:7">
      <c r="A382" s="28">
        <v>381</v>
      </c>
      <c r="B382" s="28" t="s">
        <v>215</v>
      </c>
      <c r="C382" s="28">
        <v>4115012443</v>
      </c>
      <c r="D382" s="28" t="s">
        <v>3360</v>
      </c>
      <c r="E382" s="28" t="s">
        <v>3371</v>
      </c>
      <c r="F382" s="28" t="s">
        <v>11</v>
      </c>
      <c r="G382" s="28"/>
    </row>
    <row r="383" spans="1:7">
      <c r="A383" s="28">
        <v>382</v>
      </c>
      <c r="B383" s="28" t="s">
        <v>217</v>
      </c>
      <c r="C383" s="28">
        <v>4115012670</v>
      </c>
      <c r="D383" s="28" t="s">
        <v>3360</v>
      </c>
      <c r="E383" s="28" t="s">
        <v>3361</v>
      </c>
      <c r="F383" s="28" t="s">
        <v>11</v>
      </c>
      <c r="G383" s="28"/>
    </row>
    <row r="384" spans="1:7">
      <c r="A384" s="28">
        <v>383</v>
      </c>
      <c r="B384" s="28" t="s">
        <v>2916</v>
      </c>
      <c r="C384" s="28">
        <v>4115011429</v>
      </c>
      <c r="D384" s="28" t="s">
        <v>3369</v>
      </c>
      <c r="E384" s="28" t="s">
        <v>3361</v>
      </c>
      <c r="F384" s="28" t="s">
        <v>1700</v>
      </c>
      <c r="G384" s="28" t="s">
        <v>1252</v>
      </c>
    </row>
    <row r="385" spans="1:7">
      <c r="A385" s="28">
        <v>384</v>
      </c>
      <c r="B385" s="28" t="s">
        <v>1823</v>
      </c>
      <c r="C385" s="28">
        <v>4115012057</v>
      </c>
      <c r="D385" s="28" t="s">
        <v>3360</v>
      </c>
      <c r="E385" s="28" t="s">
        <v>3362</v>
      </c>
      <c r="F385" s="28" t="s">
        <v>1700</v>
      </c>
      <c r="G385" s="28"/>
    </row>
    <row r="386" spans="1:7">
      <c r="A386" s="28">
        <v>385</v>
      </c>
      <c r="B386" s="28" t="s">
        <v>1824</v>
      </c>
      <c r="C386" s="28">
        <v>4115012671</v>
      </c>
      <c r="D386" s="28" t="s">
        <v>3360</v>
      </c>
      <c r="E386" s="28" t="s">
        <v>3362</v>
      </c>
      <c r="F386" s="28" t="s">
        <v>1700</v>
      </c>
      <c r="G386" s="28"/>
    </row>
    <row r="387" spans="1:7">
      <c r="A387" s="28">
        <v>386</v>
      </c>
      <c r="B387" s="28" t="s">
        <v>1825</v>
      </c>
      <c r="C387" s="28">
        <v>4115012673</v>
      </c>
      <c r="D387" s="28" t="s">
        <v>3360</v>
      </c>
      <c r="E387" s="28" t="s">
        <v>3361</v>
      </c>
      <c r="F387" s="28" t="s">
        <v>1700</v>
      </c>
      <c r="G387" s="28"/>
    </row>
    <row r="388" spans="1:7">
      <c r="A388" s="28">
        <v>387</v>
      </c>
      <c r="B388" s="28" t="s">
        <v>1826</v>
      </c>
      <c r="C388" s="28">
        <v>4115012674</v>
      </c>
      <c r="D388" s="28" t="s">
        <v>3360</v>
      </c>
      <c r="E388" s="28" t="s">
        <v>3361</v>
      </c>
      <c r="F388" s="28" t="s">
        <v>1700</v>
      </c>
      <c r="G388" s="28"/>
    </row>
    <row r="389" spans="1:7">
      <c r="A389" s="28">
        <v>388</v>
      </c>
      <c r="B389" s="28" t="s">
        <v>1827</v>
      </c>
      <c r="C389" s="28">
        <v>4115012675</v>
      </c>
      <c r="D389" s="28" t="s">
        <v>3360</v>
      </c>
      <c r="E389" s="28" t="s">
        <v>3361</v>
      </c>
      <c r="F389" s="28" t="s">
        <v>1700</v>
      </c>
      <c r="G389" s="28"/>
    </row>
    <row r="390" spans="1:7">
      <c r="A390" s="28">
        <v>389</v>
      </c>
      <c r="B390" s="28" t="s">
        <v>1828</v>
      </c>
      <c r="C390" s="28">
        <v>4115012676</v>
      </c>
      <c r="D390" s="28" t="s">
        <v>3360</v>
      </c>
      <c r="E390" s="28" t="s">
        <v>3361</v>
      </c>
      <c r="F390" s="28" t="s">
        <v>1700</v>
      </c>
      <c r="G390" s="28"/>
    </row>
    <row r="391" spans="1:7">
      <c r="A391" s="28">
        <v>390</v>
      </c>
      <c r="B391" s="28" t="s">
        <v>1829</v>
      </c>
      <c r="C391" s="28">
        <v>4115012677</v>
      </c>
      <c r="D391" s="28" t="s">
        <v>3360</v>
      </c>
      <c r="E391" s="28" t="s">
        <v>3372</v>
      </c>
      <c r="F391" s="28" t="s">
        <v>1700</v>
      </c>
      <c r="G391" s="28"/>
    </row>
    <row r="392" spans="1:7">
      <c r="A392" s="28">
        <v>391</v>
      </c>
      <c r="B392" s="28" t="s">
        <v>1831</v>
      </c>
      <c r="C392" s="28">
        <v>4115012894</v>
      </c>
      <c r="D392" s="28" t="s">
        <v>3360</v>
      </c>
      <c r="E392" s="28" t="s">
        <v>3361</v>
      </c>
      <c r="F392" s="28" t="s">
        <v>1700</v>
      </c>
      <c r="G392" s="28"/>
    </row>
    <row r="393" spans="1:7">
      <c r="A393" s="28">
        <v>392</v>
      </c>
      <c r="B393" s="28" t="s">
        <v>1832</v>
      </c>
      <c r="C393" s="28">
        <v>4115013699</v>
      </c>
      <c r="D393" s="28" t="s">
        <v>3360</v>
      </c>
      <c r="E393" s="28" t="s">
        <v>3367</v>
      </c>
      <c r="F393" s="28" t="s">
        <v>1700</v>
      </c>
      <c r="G393" s="28"/>
    </row>
    <row r="394" spans="1:7">
      <c r="A394" s="28">
        <v>393</v>
      </c>
      <c r="B394" s="28" t="s">
        <v>1833</v>
      </c>
      <c r="C394" s="28">
        <v>4115013740</v>
      </c>
      <c r="D394" s="28" t="s">
        <v>3360</v>
      </c>
      <c r="E394" s="28" t="s">
        <v>3363</v>
      </c>
      <c r="F394" s="28" t="s">
        <v>1700</v>
      </c>
      <c r="G394" s="28"/>
    </row>
    <row r="395" spans="1:7">
      <c r="A395" s="28">
        <v>394</v>
      </c>
      <c r="B395" s="28" t="s">
        <v>1834</v>
      </c>
      <c r="C395" s="28">
        <v>4115013741</v>
      </c>
      <c r="D395" s="28" t="s">
        <v>3360</v>
      </c>
      <c r="E395" s="28" t="s">
        <v>3363</v>
      </c>
      <c r="F395" s="28" t="s">
        <v>1700</v>
      </c>
      <c r="G395" s="28"/>
    </row>
    <row r="396" spans="1:7">
      <c r="A396" s="28">
        <v>395</v>
      </c>
      <c r="B396" s="28" t="s">
        <v>1835</v>
      </c>
      <c r="C396" s="28">
        <v>4115013824</v>
      </c>
      <c r="D396" s="28" t="s">
        <v>3360</v>
      </c>
      <c r="E396" s="28" t="s">
        <v>3365</v>
      </c>
      <c r="F396" s="28" t="s">
        <v>1700</v>
      </c>
      <c r="G396" s="28"/>
    </row>
    <row r="397" spans="1:7">
      <c r="A397" s="28">
        <v>396</v>
      </c>
      <c r="B397" s="28" t="s">
        <v>1836</v>
      </c>
      <c r="C397" s="28">
        <v>4115013864</v>
      </c>
      <c r="D397" s="28" t="s">
        <v>3360</v>
      </c>
      <c r="E397" s="28" t="s">
        <v>3362</v>
      </c>
      <c r="F397" s="28" t="s">
        <v>1700</v>
      </c>
      <c r="G397" s="28"/>
    </row>
    <row r="398" spans="1:7">
      <c r="A398" s="28">
        <v>397</v>
      </c>
      <c r="B398" s="28" t="s">
        <v>1837</v>
      </c>
      <c r="C398" s="28">
        <v>4115013915</v>
      </c>
      <c r="D398" s="28" t="s">
        <v>3360</v>
      </c>
      <c r="E398" s="28" t="s">
        <v>3373</v>
      </c>
      <c r="F398" s="28" t="s">
        <v>1700</v>
      </c>
      <c r="G398" s="28"/>
    </row>
    <row r="399" spans="1:7">
      <c r="A399" s="28">
        <v>398</v>
      </c>
      <c r="B399" s="28" t="s">
        <v>2917</v>
      </c>
      <c r="C399" s="28">
        <v>4115014048</v>
      </c>
      <c r="D399" s="28" t="s">
        <v>3369</v>
      </c>
      <c r="E399" s="28" t="s">
        <v>3361</v>
      </c>
      <c r="F399" s="28" t="s">
        <v>1700</v>
      </c>
      <c r="G399" s="28" t="s">
        <v>1252</v>
      </c>
    </row>
    <row r="400" spans="1:7">
      <c r="A400" s="28">
        <v>399</v>
      </c>
      <c r="B400" s="28" t="s">
        <v>2918</v>
      </c>
      <c r="C400" s="28">
        <v>4115014049</v>
      </c>
      <c r="D400" s="28" t="s">
        <v>3369</v>
      </c>
      <c r="E400" s="28" t="s">
        <v>3361</v>
      </c>
      <c r="F400" s="28" t="s">
        <v>1700</v>
      </c>
      <c r="G400" s="28" t="s">
        <v>1252</v>
      </c>
    </row>
    <row r="401" spans="1:7">
      <c r="A401" s="28">
        <v>400</v>
      </c>
      <c r="B401" s="28" t="s">
        <v>2919</v>
      </c>
      <c r="C401" s="28">
        <v>4115014050</v>
      </c>
      <c r="D401" s="28" t="s">
        <v>3369</v>
      </c>
      <c r="E401" s="28" t="s">
        <v>3365</v>
      </c>
      <c r="F401" s="28" t="s">
        <v>1700</v>
      </c>
      <c r="G401" s="28" t="s">
        <v>1252</v>
      </c>
    </row>
    <row r="402" spans="1:7">
      <c r="A402" s="28">
        <v>401</v>
      </c>
      <c r="B402" s="28" t="s">
        <v>2920</v>
      </c>
      <c r="C402" s="28">
        <v>4115014051</v>
      </c>
      <c r="D402" s="28" t="s">
        <v>3369</v>
      </c>
      <c r="E402" s="28" t="s">
        <v>3361</v>
      </c>
      <c r="F402" s="28" t="s">
        <v>1700</v>
      </c>
      <c r="G402" s="28" t="s">
        <v>1252</v>
      </c>
    </row>
    <row r="403" spans="1:7">
      <c r="A403" s="28">
        <v>402</v>
      </c>
      <c r="B403" s="28" t="s">
        <v>1839</v>
      </c>
      <c r="C403" s="28">
        <v>4115014187</v>
      </c>
      <c r="D403" s="28" t="s">
        <v>3360</v>
      </c>
      <c r="E403" s="28" t="s">
        <v>3362</v>
      </c>
      <c r="F403" s="28" t="s">
        <v>1700</v>
      </c>
      <c r="G403" s="28"/>
    </row>
    <row r="404" spans="1:7">
      <c r="A404" s="28">
        <v>403</v>
      </c>
      <c r="B404" s="28" t="s">
        <v>1840</v>
      </c>
      <c r="C404" s="28">
        <v>4115014219</v>
      </c>
      <c r="D404" s="28" t="s">
        <v>3360</v>
      </c>
      <c r="E404" s="28" t="s">
        <v>3367</v>
      </c>
      <c r="F404" s="28" t="s">
        <v>1700</v>
      </c>
      <c r="G404" s="28"/>
    </row>
    <row r="405" spans="1:7">
      <c r="A405" s="28">
        <v>404</v>
      </c>
      <c r="B405" s="28" t="s">
        <v>1841</v>
      </c>
      <c r="C405" s="28">
        <v>4115014248</v>
      </c>
      <c r="D405" s="28" t="s">
        <v>3360</v>
      </c>
      <c r="E405" s="28" t="s">
        <v>3370</v>
      </c>
      <c r="F405" s="28" t="s">
        <v>1700</v>
      </c>
      <c r="G405" s="28"/>
    </row>
    <row r="406" spans="1:7">
      <c r="A406" s="28">
        <v>405</v>
      </c>
      <c r="B406" s="28" t="s">
        <v>2921</v>
      </c>
      <c r="C406" s="28">
        <v>4115014282</v>
      </c>
      <c r="D406" s="28" t="s">
        <v>3369</v>
      </c>
      <c r="E406" s="28" t="s">
        <v>3361</v>
      </c>
      <c r="F406" s="28" t="s">
        <v>1700</v>
      </c>
      <c r="G406" s="28" t="s">
        <v>1252</v>
      </c>
    </row>
    <row r="407" spans="1:7">
      <c r="A407" s="28">
        <v>406</v>
      </c>
      <c r="B407" s="28" t="s">
        <v>1842</v>
      </c>
      <c r="C407" s="28">
        <v>4115014283</v>
      </c>
      <c r="D407" s="28" t="s">
        <v>3360</v>
      </c>
      <c r="E407" s="28" t="s">
        <v>3366</v>
      </c>
      <c r="F407" s="28" t="s">
        <v>1700</v>
      </c>
      <c r="G407" s="28"/>
    </row>
    <row r="408" spans="1:7">
      <c r="A408" s="28">
        <v>407</v>
      </c>
      <c r="B408" s="28" t="s">
        <v>1843</v>
      </c>
      <c r="C408" s="28">
        <v>4115014285</v>
      </c>
      <c r="D408" s="28" t="s">
        <v>3360</v>
      </c>
      <c r="E408" s="28" t="s">
        <v>3366</v>
      </c>
      <c r="F408" s="28" t="s">
        <v>1700</v>
      </c>
      <c r="G408" s="28"/>
    </row>
    <row r="409" spans="1:7">
      <c r="A409" s="28">
        <v>408</v>
      </c>
      <c r="B409" s="28" t="s">
        <v>2922</v>
      </c>
      <c r="C409" s="28">
        <v>4115014337</v>
      </c>
      <c r="D409" s="28" t="s">
        <v>3369</v>
      </c>
      <c r="E409" s="28" t="s">
        <v>3361</v>
      </c>
      <c r="F409" s="28" t="s">
        <v>1700</v>
      </c>
      <c r="G409" s="28" t="s">
        <v>1252</v>
      </c>
    </row>
    <row r="410" spans="1:7">
      <c r="A410" s="28">
        <v>409</v>
      </c>
      <c r="B410" s="28" t="s">
        <v>1844</v>
      </c>
      <c r="C410" s="28">
        <v>4115014338</v>
      </c>
      <c r="D410" s="28" t="s">
        <v>3360</v>
      </c>
      <c r="E410" s="28" t="s">
        <v>3365</v>
      </c>
      <c r="F410" s="28" t="s">
        <v>1700</v>
      </c>
      <c r="G410" s="28"/>
    </row>
    <row r="411" spans="1:7">
      <c r="A411" s="28">
        <v>410</v>
      </c>
      <c r="B411" s="28" t="s">
        <v>1845</v>
      </c>
      <c r="C411" s="28">
        <v>4115014339</v>
      </c>
      <c r="D411" s="28" t="s">
        <v>3360</v>
      </c>
      <c r="E411" s="28" t="s">
        <v>3374</v>
      </c>
      <c r="F411" s="28" t="s">
        <v>1700</v>
      </c>
      <c r="G411" s="28"/>
    </row>
    <row r="412" spans="1:7">
      <c r="A412" s="28">
        <v>411</v>
      </c>
      <c r="B412" s="28" t="s">
        <v>2923</v>
      </c>
      <c r="C412" s="28">
        <v>4115014387</v>
      </c>
      <c r="D412" s="28" t="s">
        <v>3369</v>
      </c>
      <c r="E412" s="28" t="s">
        <v>3368</v>
      </c>
      <c r="F412" s="28" t="s">
        <v>1700</v>
      </c>
      <c r="G412" s="28" t="s">
        <v>1252</v>
      </c>
    </row>
    <row r="413" spans="1:7">
      <c r="A413" s="28">
        <v>412</v>
      </c>
      <c r="B413" s="28" t="s">
        <v>1847</v>
      </c>
      <c r="C413" s="28">
        <v>4115014463</v>
      </c>
      <c r="D413" s="28" t="s">
        <v>3360</v>
      </c>
      <c r="E413" s="28" t="s">
        <v>3370</v>
      </c>
      <c r="F413" s="28" t="s">
        <v>1700</v>
      </c>
      <c r="G413" s="28"/>
    </row>
    <row r="414" spans="1:7">
      <c r="A414" s="28">
        <v>413</v>
      </c>
      <c r="B414" s="28" t="s">
        <v>1848</v>
      </c>
      <c r="C414" s="28">
        <v>4115014501</v>
      </c>
      <c r="D414" s="28" t="s">
        <v>3360</v>
      </c>
      <c r="E414" s="28" t="s">
        <v>3370</v>
      </c>
      <c r="F414" s="28" t="s">
        <v>1700</v>
      </c>
      <c r="G414" s="28"/>
    </row>
    <row r="415" spans="1:7">
      <c r="A415" s="28">
        <v>414</v>
      </c>
      <c r="B415" s="28" t="s">
        <v>1849</v>
      </c>
      <c r="C415" s="28">
        <v>4115014539</v>
      </c>
      <c r="D415" s="28" t="s">
        <v>3360</v>
      </c>
      <c r="E415" s="28" t="s">
        <v>3366</v>
      </c>
      <c r="F415" s="28" t="s">
        <v>1700</v>
      </c>
      <c r="G415" s="28"/>
    </row>
    <row r="416" spans="1:7">
      <c r="A416" s="28">
        <v>415</v>
      </c>
      <c r="B416" s="28" t="s">
        <v>1850</v>
      </c>
      <c r="C416" s="28">
        <v>4115014699</v>
      </c>
      <c r="D416" s="28" t="s">
        <v>3360</v>
      </c>
      <c r="E416" s="28" t="s">
        <v>3365</v>
      </c>
      <c r="F416" s="28" t="s">
        <v>1700</v>
      </c>
      <c r="G416" s="28"/>
    </row>
    <row r="417" spans="1:7">
      <c r="A417" s="28">
        <v>416</v>
      </c>
      <c r="B417" s="28" t="s">
        <v>219</v>
      </c>
      <c r="C417" s="28">
        <v>4121010140</v>
      </c>
      <c r="D417" s="28" t="s">
        <v>3375</v>
      </c>
      <c r="E417" s="28" t="s">
        <v>3376</v>
      </c>
      <c r="F417" s="28" t="s">
        <v>11</v>
      </c>
      <c r="G417" s="28"/>
    </row>
    <row r="418" spans="1:7">
      <c r="A418" s="28">
        <v>417</v>
      </c>
      <c r="B418" s="28" t="s">
        <v>222</v>
      </c>
      <c r="C418" s="28">
        <v>4121010141</v>
      </c>
      <c r="D418" s="28" t="s">
        <v>3309</v>
      </c>
      <c r="E418" s="28" t="s">
        <v>3377</v>
      </c>
      <c r="F418" s="28" t="s">
        <v>11</v>
      </c>
      <c r="G418" s="28"/>
    </row>
    <row r="419" spans="1:7">
      <c r="A419" s="28">
        <v>418</v>
      </c>
      <c r="B419" s="28" t="s">
        <v>224</v>
      </c>
      <c r="C419" s="28">
        <v>4121010142</v>
      </c>
      <c r="D419" s="28" t="s">
        <v>3375</v>
      </c>
      <c r="E419" s="28" t="s">
        <v>3376</v>
      </c>
      <c r="F419" s="28" t="s">
        <v>11</v>
      </c>
      <c r="G419" s="28"/>
    </row>
    <row r="420" spans="1:7">
      <c r="A420" s="28">
        <v>419</v>
      </c>
      <c r="B420" s="28" t="s">
        <v>225</v>
      </c>
      <c r="C420" s="28">
        <v>4121010143</v>
      </c>
      <c r="D420" s="28" t="s">
        <v>3375</v>
      </c>
      <c r="E420" s="28" t="s">
        <v>3376</v>
      </c>
      <c r="F420" s="28" t="s">
        <v>11</v>
      </c>
      <c r="G420" s="28"/>
    </row>
    <row r="421" spans="1:7">
      <c r="A421" s="28">
        <v>420</v>
      </c>
      <c r="B421" s="28" t="s">
        <v>226</v>
      </c>
      <c r="C421" s="28">
        <v>4121010144</v>
      </c>
      <c r="D421" s="28" t="s">
        <v>3375</v>
      </c>
      <c r="E421" s="28" t="s">
        <v>3376</v>
      </c>
      <c r="F421" s="28" t="s">
        <v>11</v>
      </c>
      <c r="G421" s="28"/>
    </row>
    <row r="422" spans="1:7">
      <c r="A422" s="28">
        <v>421</v>
      </c>
      <c r="B422" s="28" t="s">
        <v>227</v>
      </c>
      <c r="C422" s="28">
        <v>4121010145</v>
      </c>
      <c r="D422" s="28" t="s">
        <v>3309</v>
      </c>
      <c r="E422" s="28" t="s">
        <v>3376</v>
      </c>
      <c r="F422" s="28" t="s">
        <v>11</v>
      </c>
      <c r="G422" s="28"/>
    </row>
    <row r="423" spans="1:7">
      <c r="A423" s="28">
        <v>422</v>
      </c>
      <c r="B423" s="28" t="s">
        <v>228</v>
      </c>
      <c r="C423" s="28">
        <v>4121010146</v>
      </c>
      <c r="D423" s="28" t="s">
        <v>3375</v>
      </c>
      <c r="E423" s="28" t="s">
        <v>3378</v>
      </c>
      <c r="F423" s="28" t="s">
        <v>11</v>
      </c>
      <c r="G423" s="28"/>
    </row>
    <row r="424" spans="1:7">
      <c r="A424" s="28">
        <v>423</v>
      </c>
      <c r="B424" s="28" t="s">
        <v>230</v>
      </c>
      <c r="C424" s="28">
        <v>4121010147</v>
      </c>
      <c r="D424" s="28" t="s">
        <v>3375</v>
      </c>
      <c r="E424" s="28" t="s">
        <v>3379</v>
      </c>
      <c r="F424" s="28" t="s">
        <v>11</v>
      </c>
      <c r="G424" s="28"/>
    </row>
    <row r="425" spans="1:7">
      <c r="A425" s="28">
        <v>424</v>
      </c>
      <c r="B425" s="28" t="s">
        <v>232</v>
      </c>
      <c r="C425" s="28">
        <v>4121010148</v>
      </c>
      <c r="D425" s="28" t="s">
        <v>3375</v>
      </c>
      <c r="E425" s="28" t="s">
        <v>3380</v>
      </c>
      <c r="F425" s="28" t="s">
        <v>11</v>
      </c>
      <c r="G425" s="28"/>
    </row>
    <row r="426" spans="1:7">
      <c r="A426" s="28">
        <v>425</v>
      </c>
      <c r="B426" s="28" t="s">
        <v>234</v>
      </c>
      <c r="C426" s="28">
        <v>4121010149</v>
      </c>
      <c r="D426" s="28" t="s">
        <v>3375</v>
      </c>
      <c r="E426" s="28" t="s">
        <v>3376</v>
      </c>
      <c r="F426" s="28" t="s">
        <v>11</v>
      </c>
      <c r="G426" s="28"/>
    </row>
    <row r="427" spans="1:7">
      <c r="A427" s="28">
        <v>426</v>
      </c>
      <c r="B427" s="28" t="s">
        <v>235</v>
      </c>
      <c r="C427" s="28">
        <v>4121010150</v>
      </c>
      <c r="D427" s="28" t="s">
        <v>3375</v>
      </c>
      <c r="E427" s="28" t="s">
        <v>3377</v>
      </c>
      <c r="F427" s="28" t="s">
        <v>11</v>
      </c>
      <c r="G427" s="28"/>
    </row>
    <row r="428" spans="1:7">
      <c r="A428" s="28">
        <v>427</v>
      </c>
      <c r="B428" s="28" t="s">
        <v>236</v>
      </c>
      <c r="C428" s="28">
        <v>4121010151</v>
      </c>
      <c r="D428" s="28" t="s">
        <v>3381</v>
      </c>
      <c r="E428" s="28" t="s">
        <v>3377</v>
      </c>
      <c r="F428" s="28" t="s">
        <v>11</v>
      </c>
      <c r="G428" s="28"/>
    </row>
    <row r="429" spans="1:7">
      <c r="A429" s="28">
        <v>428</v>
      </c>
      <c r="B429" s="28" t="s">
        <v>237</v>
      </c>
      <c r="C429" s="28">
        <v>4121010152</v>
      </c>
      <c r="D429" s="28" t="s">
        <v>3375</v>
      </c>
      <c r="E429" s="28" t="s">
        <v>3377</v>
      </c>
      <c r="F429" s="28" t="s">
        <v>11</v>
      </c>
      <c r="G429" s="28"/>
    </row>
    <row r="430" spans="1:7">
      <c r="A430" s="28">
        <v>429</v>
      </c>
      <c r="B430" s="28" t="s">
        <v>238</v>
      </c>
      <c r="C430" s="28">
        <v>4121010153</v>
      </c>
      <c r="D430" s="28" t="s">
        <v>3375</v>
      </c>
      <c r="E430" s="28" t="s">
        <v>3376</v>
      </c>
      <c r="F430" s="28" t="s">
        <v>11</v>
      </c>
      <c r="G430" s="28"/>
    </row>
    <row r="431" spans="1:7">
      <c r="A431" s="28">
        <v>430</v>
      </c>
      <c r="B431" s="28" t="s">
        <v>239</v>
      </c>
      <c r="C431" s="28">
        <v>4121010154</v>
      </c>
      <c r="D431" s="28" t="s">
        <v>3375</v>
      </c>
      <c r="E431" s="28" t="s">
        <v>3382</v>
      </c>
      <c r="F431" s="28" t="s">
        <v>11</v>
      </c>
      <c r="G431" s="28"/>
    </row>
    <row r="432" spans="1:7">
      <c r="A432" s="28">
        <v>431</v>
      </c>
      <c r="B432" s="28" t="s">
        <v>241</v>
      </c>
      <c r="C432" s="28">
        <v>4121010157</v>
      </c>
      <c r="D432" s="28" t="s">
        <v>3375</v>
      </c>
      <c r="E432" s="28" t="s">
        <v>3376</v>
      </c>
      <c r="F432" s="28" t="s">
        <v>11</v>
      </c>
      <c r="G432" s="28"/>
    </row>
    <row r="433" spans="1:7">
      <c r="A433" s="28">
        <v>432</v>
      </c>
      <c r="B433" s="28" t="s">
        <v>242</v>
      </c>
      <c r="C433" s="28">
        <v>4121010158</v>
      </c>
      <c r="D433" s="28" t="s">
        <v>3375</v>
      </c>
      <c r="E433" s="28" t="s">
        <v>3377</v>
      </c>
      <c r="F433" s="28" t="s">
        <v>11</v>
      </c>
      <c r="G433" s="28"/>
    </row>
    <row r="434" spans="1:7">
      <c r="A434" s="28">
        <v>433</v>
      </c>
      <c r="B434" s="28" t="s">
        <v>243</v>
      </c>
      <c r="C434" s="28">
        <v>4121010159</v>
      </c>
      <c r="D434" s="28" t="s">
        <v>3375</v>
      </c>
      <c r="E434" s="28" t="s">
        <v>3376</v>
      </c>
      <c r="F434" s="28" t="s">
        <v>11</v>
      </c>
      <c r="G434" s="28"/>
    </row>
    <row r="435" spans="1:7">
      <c r="A435" s="28">
        <v>434</v>
      </c>
      <c r="B435" s="28" t="s">
        <v>244</v>
      </c>
      <c r="C435" s="28">
        <v>4121010160</v>
      </c>
      <c r="D435" s="28" t="s">
        <v>3375</v>
      </c>
      <c r="E435" s="28" t="s">
        <v>3382</v>
      </c>
      <c r="F435" s="28" t="s">
        <v>11</v>
      </c>
      <c r="G435" s="28"/>
    </row>
    <row r="436" spans="1:7">
      <c r="A436" s="28">
        <v>435</v>
      </c>
      <c r="B436" s="28" t="s">
        <v>245</v>
      </c>
      <c r="C436" s="28">
        <v>4121010161</v>
      </c>
      <c r="D436" s="28" t="s">
        <v>3375</v>
      </c>
      <c r="E436" s="28" t="s">
        <v>3377</v>
      </c>
      <c r="F436" s="28" t="s">
        <v>11</v>
      </c>
      <c r="G436" s="28"/>
    </row>
    <row r="437" spans="1:7">
      <c r="A437" s="28">
        <v>436</v>
      </c>
      <c r="B437" s="28" t="s">
        <v>246</v>
      </c>
      <c r="C437" s="28">
        <v>4121010162</v>
      </c>
      <c r="D437" s="28" t="s">
        <v>3375</v>
      </c>
      <c r="E437" s="28" t="s">
        <v>3376</v>
      </c>
      <c r="F437" s="28" t="s">
        <v>11</v>
      </c>
      <c r="G437" s="28"/>
    </row>
    <row r="438" spans="1:7">
      <c r="A438" s="28">
        <v>437</v>
      </c>
      <c r="B438" s="28" t="s">
        <v>247</v>
      </c>
      <c r="C438" s="28">
        <v>4121010163</v>
      </c>
      <c r="D438" s="28" t="s">
        <v>3375</v>
      </c>
      <c r="E438" s="28" t="s">
        <v>3376</v>
      </c>
      <c r="F438" s="28" t="s">
        <v>11</v>
      </c>
      <c r="G438" s="28"/>
    </row>
    <row r="439" spans="1:7">
      <c r="A439" s="28">
        <v>438</v>
      </c>
      <c r="B439" s="28" t="s">
        <v>248</v>
      </c>
      <c r="C439" s="28">
        <v>4121010164</v>
      </c>
      <c r="D439" s="28" t="s">
        <v>3375</v>
      </c>
      <c r="E439" s="28" t="s">
        <v>3376</v>
      </c>
      <c r="F439" s="28" t="s">
        <v>11</v>
      </c>
      <c r="G439" s="28"/>
    </row>
    <row r="440" spans="1:7">
      <c r="A440" s="28">
        <v>439</v>
      </c>
      <c r="B440" s="28" t="s">
        <v>249</v>
      </c>
      <c r="C440" s="28">
        <v>4121010165</v>
      </c>
      <c r="D440" s="28" t="s">
        <v>3375</v>
      </c>
      <c r="E440" s="28" t="s">
        <v>3377</v>
      </c>
      <c r="F440" s="28" t="s">
        <v>11</v>
      </c>
      <c r="G440" s="28"/>
    </row>
    <row r="441" spans="1:7">
      <c r="A441" s="28">
        <v>440</v>
      </c>
      <c r="B441" s="28" t="s">
        <v>250</v>
      </c>
      <c r="C441" s="28">
        <v>4121010166</v>
      </c>
      <c r="D441" s="28" t="s">
        <v>3375</v>
      </c>
      <c r="E441" s="28" t="s">
        <v>3376</v>
      </c>
      <c r="F441" s="28" t="s">
        <v>11</v>
      </c>
      <c r="G441" s="28"/>
    </row>
    <row r="442" spans="1:7">
      <c r="A442" s="28">
        <v>441</v>
      </c>
      <c r="B442" s="28" t="s">
        <v>251</v>
      </c>
      <c r="C442" s="28">
        <v>4121010167</v>
      </c>
      <c r="D442" s="28" t="s">
        <v>3375</v>
      </c>
      <c r="E442" s="28" t="s">
        <v>3382</v>
      </c>
      <c r="F442" s="28" t="s">
        <v>11</v>
      </c>
      <c r="G442" s="28"/>
    </row>
    <row r="443" spans="1:7">
      <c r="A443" s="28">
        <v>442</v>
      </c>
      <c r="B443" s="28" t="s">
        <v>252</v>
      </c>
      <c r="C443" s="28">
        <v>4121010169</v>
      </c>
      <c r="D443" s="28" t="s">
        <v>3375</v>
      </c>
      <c r="E443" s="28" t="s">
        <v>3378</v>
      </c>
      <c r="F443" s="28" t="s">
        <v>11</v>
      </c>
      <c r="G443" s="28"/>
    </row>
    <row r="444" spans="1:7">
      <c r="A444" s="28">
        <v>443</v>
      </c>
      <c r="B444" s="28" t="s">
        <v>253</v>
      </c>
      <c r="C444" s="28">
        <v>4121010172</v>
      </c>
      <c r="D444" s="28" t="s">
        <v>3375</v>
      </c>
      <c r="E444" s="28" t="s">
        <v>3377</v>
      </c>
      <c r="F444" s="28" t="s">
        <v>11</v>
      </c>
      <c r="G444" s="28"/>
    </row>
    <row r="445" spans="1:7">
      <c r="A445" s="28">
        <v>444</v>
      </c>
      <c r="B445" s="28" t="s">
        <v>254</v>
      </c>
      <c r="C445" s="28">
        <v>4121010173</v>
      </c>
      <c r="D445" s="28" t="s">
        <v>3375</v>
      </c>
      <c r="E445" s="28" t="s">
        <v>3377</v>
      </c>
      <c r="F445" s="28" t="s">
        <v>11</v>
      </c>
      <c r="G445" s="28"/>
    </row>
    <row r="446" spans="1:7">
      <c r="A446" s="28">
        <v>445</v>
      </c>
      <c r="B446" s="28" t="s">
        <v>255</v>
      </c>
      <c r="C446" s="28">
        <v>4121010175</v>
      </c>
      <c r="D446" s="28" t="s">
        <v>3316</v>
      </c>
      <c r="E446" s="28" t="s">
        <v>3376</v>
      </c>
      <c r="F446" s="28" t="s">
        <v>11</v>
      </c>
      <c r="G446" s="28"/>
    </row>
    <row r="447" spans="1:7">
      <c r="A447" s="28">
        <v>446</v>
      </c>
      <c r="B447" s="28" t="s">
        <v>256</v>
      </c>
      <c r="C447" s="28">
        <v>4121010176</v>
      </c>
      <c r="D447" s="28" t="s">
        <v>3375</v>
      </c>
      <c r="E447" s="28" t="s">
        <v>3376</v>
      </c>
      <c r="F447" s="28" t="s">
        <v>11</v>
      </c>
      <c r="G447" s="28"/>
    </row>
    <row r="448" spans="1:7">
      <c r="A448" s="28">
        <v>447</v>
      </c>
      <c r="B448" s="28" t="s">
        <v>257</v>
      </c>
      <c r="C448" s="28">
        <v>4121010177</v>
      </c>
      <c r="D448" s="28" t="s">
        <v>3375</v>
      </c>
      <c r="E448" s="28" t="s">
        <v>3376</v>
      </c>
      <c r="F448" s="28" t="s">
        <v>11</v>
      </c>
      <c r="G448" s="28"/>
    </row>
    <row r="449" spans="1:7">
      <c r="A449" s="28">
        <v>448</v>
      </c>
      <c r="B449" s="28" t="s">
        <v>258</v>
      </c>
      <c r="C449" s="28">
        <v>4121010178</v>
      </c>
      <c r="D449" s="28" t="s">
        <v>3375</v>
      </c>
      <c r="E449" s="28" t="s">
        <v>3376</v>
      </c>
      <c r="F449" s="28" t="s">
        <v>11</v>
      </c>
      <c r="G449" s="28"/>
    </row>
    <row r="450" spans="1:7">
      <c r="A450" s="28">
        <v>449</v>
      </c>
      <c r="B450" s="28" t="s">
        <v>1299</v>
      </c>
      <c r="C450" s="28">
        <v>4121010841</v>
      </c>
      <c r="D450" s="28" t="s">
        <v>3383</v>
      </c>
      <c r="E450" s="28" t="s">
        <v>3377</v>
      </c>
      <c r="F450" s="28" t="s">
        <v>11</v>
      </c>
      <c r="G450" s="28" t="s">
        <v>1252</v>
      </c>
    </row>
    <row r="451" spans="1:7">
      <c r="A451" s="28">
        <v>450</v>
      </c>
      <c r="B451" s="28" t="s">
        <v>259</v>
      </c>
      <c r="C451" s="28">
        <v>4121011035</v>
      </c>
      <c r="D451" s="28" t="s">
        <v>3375</v>
      </c>
      <c r="E451" s="28" t="s">
        <v>3376</v>
      </c>
      <c r="F451" s="28" t="s">
        <v>11</v>
      </c>
      <c r="G451" s="28"/>
    </row>
    <row r="452" spans="1:7">
      <c r="A452" s="28">
        <v>451</v>
      </c>
      <c r="B452" s="28" t="s">
        <v>260</v>
      </c>
      <c r="C452" s="28">
        <v>4121011258</v>
      </c>
      <c r="D452" s="28" t="s">
        <v>3375</v>
      </c>
      <c r="E452" s="28" t="s">
        <v>3377</v>
      </c>
      <c r="F452" s="28" t="s">
        <v>11</v>
      </c>
      <c r="G452" s="28"/>
    </row>
    <row r="453" spans="1:7">
      <c r="A453" s="28">
        <v>452</v>
      </c>
      <c r="B453" s="28" t="s">
        <v>261</v>
      </c>
      <c r="C453" s="28">
        <v>4121011430</v>
      </c>
      <c r="D453" s="28" t="s">
        <v>3375</v>
      </c>
      <c r="E453" s="28" t="s">
        <v>3384</v>
      </c>
      <c r="F453" s="28" t="s">
        <v>11</v>
      </c>
      <c r="G453" s="28"/>
    </row>
    <row r="454" spans="1:7">
      <c r="A454" s="28">
        <v>453</v>
      </c>
      <c r="B454" s="28" t="s">
        <v>263</v>
      </c>
      <c r="C454" s="28">
        <v>4121011432</v>
      </c>
      <c r="D454" s="28" t="s">
        <v>3375</v>
      </c>
      <c r="E454" s="28" t="s">
        <v>3377</v>
      </c>
      <c r="F454" s="28" t="s">
        <v>11</v>
      </c>
      <c r="G454" s="28"/>
    </row>
    <row r="455" spans="1:7">
      <c r="A455" s="28">
        <v>454</v>
      </c>
      <c r="B455" s="28" t="s">
        <v>264</v>
      </c>
      <c r="C455" s="28">
        <v>4121011632</v>
      </c>
      <c r="D455" s="28" t="s">
        <v>3375</v>
      </c>
      <c r="E455" s="28" t="s">
        <v>3376</v>
      </c>
      <c r="F455" s="28" t="s">
        <v>11</v>
      </c>
      <c r="G455" s="28"/>
    </row>
    <row r="456" spans="1:7">
      <c r="A456" s="28">
        <v>455</v>
      </c>
      <c r="B456" s="28" t="s">
        <v>265</v>
      </c>
      <c r="C456" s="28">
        <v>4121011779</v>
      </c>
      <c r="D456" s="28" t="s">
        <v>3375</v>
      </c>
      <c r="E456" s="28" t="s">
        <v>3385</v>
      </c>
      <c r="F456" s="28" t="s">
        <v>11</v>
      </c>
      <c r="G456" s="28"/>
    </row>
    <row r="457" spans="1:7">
      <c r="A457" s="28">
        <v>456</v>
      </c>
      <c r="B457" s="28" t="s">
        <v>267</v>
      </c>
      <c r="C457" s="28">
        <v>4121012026</v>
      </c>
      <c r="D457" s="28" t="s">
        <v>3318</v>
      </c>
      <c r="E457" s="28" t="s">
        <v>3377</v>
      </c>
      <c r="F457" s="28" t="s">
        <v>11</v>
      </c>
      <c r="G457" s="28"/>
    </row>
    <row r="458" spans="1:7">
      <c r="A458" s="28">
        <v>457</v>
      </c>
      <c r="B458" s="28" t="s">
        <v>1300</v>
      </c>
      <c r="C458" s="28">
        <v>4121012595</v>
      </c>
      <c r="D458" s="28" t="s">
        <v>3383</v>
      </c>
      <c r="E458" s="28" t="s">
        <v>3382</v>
      </c>
      <c r="F458" s="28" t="s">
        <v>11</v>
      </c>
      <c r="G458" s="28" t="s">
        <v>1252</v>
      </c>
    </row>
    <row r="459" spans="1:7">
      <c r="A459" s="28">
        <v>458</v>
      </c>
      <c r="B459" s="28" t="s">
        <v>1301</v>
      </c>
      <c r="C459" s="28">
        <v>4121013198</v>
      </c>
      <c r="D459" s="28" t="s">
        <v>3383</v>
      </c>
      <c r="E459" s="28" t="s">
        <v>3377</v>
      </c>
      <c r="F459" s="28" t="s">
        <v>11</v>
      </c>
      <c r="G459" s="28" t="s">
        <v>1252</v>
      </c>
    </row>
    <row r="460" spans="1:7">
      <c r="A460" s="28">
        <v>459</v>
      </c>
      <c r="B460" s="28" t="s">
        <v>1302</v>
      </c>
      <c r="C460" s="28">
        <v>4121013199</v>
      </c>
      <c r="D460" s="28" t="s">
        <v>3383</v>
      </c>
      <c r="E460" s="28" t="s">
        <v>3386</v>
      </c>
      <c r="F460" s="28" t="s">
        <v>11</v>
      </c>
      <c r="G460" s="28" t="s">
        <v>1252</v>
      </c>
    </row>
    <row r="461" spans="1:7">
      <c r="A461" s="28">
        <v>460</v>
      </c>
      <c r="B461" s="28" t="s">
        <v>1304</v>
      </c>
      <c r="C461" s="28">
        <v>4121013200</v>
      </c>
      <c r="D461" s="28" t="s">
        <v>3383</v>
      </c>
      <c r="E461" s="28" t="s">
        <v>3376</v>
      </c>
      <c r="F461" s="28" t="s">
        <v>11</v>
      </c>
      <c r="G461" s="28" t="s">
        <v>1252</v>
      </c>
    </row>
    <row r="462" spans="1:7">
      <c r="A462" s="28">
        <v>461</v>
      </c>
      <c r="B462" s="28" t="s">
        <v>1305</v>
      </c>
      <c r="C462" s="28">
        <v>4121013201</v>
      </c>
      <c r="D462" s="28" t="s">
        <v>3383</v>
      </c>
      <c r="E462" s="28" t="s">
        <v>3380</v>
      </c>
      <c r="F462" s="28" t="s">
        <v>11</v>
      </c>
      <c r="G462" s="28" t="s">
        <v>1252</v>
      </c>
    </row>
    <row r="463" spans="1:7">
      <c r="A463" s="28">
        <v>462</v>
      </c>
      <c r="B463" s="28" t="s">
        <v>1306</v>
      </c>
      <c r="C463" s="28">
        <v>4121013203</v>
      </c>
      <c r="D463" s="28" t="s">
        <v>3383</v>
      </c>
      <c r="E463" s="28" t="s">
        <v>3377</v>
      </c>
      <c r="F463" s="28" t="s">
        <v>11</v>
      </c>
      <c r="G463" s="28" t="s">
        <v>1252</v>
      </c>
    </row>
    <row r="464" spans="1:7">
      <c r="A464" s="28">
        <v>463</v>
      </c>
      <c r="B464" s="28" t="s">
        <v>1307</v>
      </c>
      <c r="C464" s="28">
        <v>4121013207</v>
      </c>
      <c r="D464" s="28" t="s">
        <v>3383</v>
      </c>
      <c r="E464" s="28" t="s">
        <v>3377</v>
      </c>
      <c r="F464" s="28" t="s">
        <v>11</v>
      </c>
      <c r="G464" s="28" t="s">
        <v>1252</v>
      </c>
    </row>
    <row r="465" spans="1:7">
      <c r="A465" s="28">
        <v>464</v>
      </c>
      <c r="B465" s="28" t="s">
        <v>1308</v>
      </c>
      <c r="C465" s="28">
        <v>4121013208</v>
      </c>
      <c r="D465" s="28" t="s">
        <v>3383</v>
      </c>
      <c r="E465" s="28" t="s">
        <v>3376</v>
      </c>
      <c r="F465" s="28" t="s">
        <v>11</v>
      </c>
      <c r="G465" s="28" t="s">
        <v>1252</v>
      </c>
    </row>
    <row r="466" spans="1:7">
      <c r="A466" s="28">
        <v>465</v>
      </c>
      <c r="B466" s="28" t="s">
        <v>1309</v>
      </c>
      <c r="C466" s="28">
        <v>4121013212</v>
      </c>
      <c r="D466" s="28" t="s">
        <v>3383</v>
      </c>
      <c r="E466" s="28" t="s">
        <v>3377</v>
      </c>
      <c r="F466" s="28" t="s">
        <v>11</v>
      </c>
      <c r="G466" s="28" t="s">
        <v>1252</v>
      </c>
    </row>
    <row r="467" spans="1:7">
      <c r="A467" s="28">
        <v>466</v>
      </c>
      <c r="B467" s="28" t="s">
        <v>1310</v>
      </c>
      <c r="C467" s="28">
        <v>4121013213</v>
      </c>
      <c r="D467" s="28" t="s">
        <v>3383</v>
      </c>
      <c r="E467" s="28" t="s">
        <v>3382</v>
      </c>
      <c r="F467" s="28" t="s">
        <v>11</v>
      </c>
      <c r="G467" s="28" t="s">
        <v>1252</v>
      </c>
    </row>
    <row r="468" spans="1:7">
      <c r="A468" s="28">
        <v>467</v>
      </c>
      <c r="B468" s="28" t="s">
        <v>1311</v>
      </c>
      <c r="C468" s="28">
        <v>4121013215</v>
      </c>
      <c r="D468" s="28" t="s">
        <v>3383</v>
      </c>
      <c r="E468" s="28" t="s">
        <v>3377</v>
      </c>
      <c r="F468" s="28" t="s">
        <v>11</v>
      </c>
      <c r="G468" s="28" t="s">
        <v>1252</v>
      </c>
    </row>
    <row r="469" spans="1:7">
      <c r="A469" s="28">
        <v>468</v>
      </c>
      <c r="B469" s="28" t="s">
        <v>1312</v>
      </c>
      <c r="C469" s="28">
        <v>4121013217</v>
      </c>
      <c r="D469" s="28" t="s">
        <v>3383</v>
      </c>
      <c r="E469" s="28" t="s">
        <v>3382</v>
      </c>
      <c r="F469" s="28" t="s">
        <v>11</v>
      </c>
      <c r="G469" s="28" t="s">
        <v>1252</v>
      </c>
    </row>
    <row r="470" spans="1:7">
      <c r="A470" s="28">
        <v>469</v>
      </c>
      <c r="B470" s="28" t="s">
        <v>1313</v>
      </c>
      <c r="C470" s="28">
        <v>4121013218</v>
      </c>
      <c r="D470" s="28" t="s">
        <v>3383</v>
      </c>
      <c r="E470" s="28" t="s">
        <v>3377</v>
      </c>
      <c r="F470" s="28" t="s">
        <v>11</v>
      </c>
      <c r="G470" s="28" t="s">
        <v>1252</v>
      </c>
    </row>
    <row r="471" spans="1:7">
      <c r="A471" s="28">
        <v>470</v>
      </c>
      <c r="B471" s="28" t="s">
        <v>1314</v>
      </c>
      <c r="C471" s="28">
        <v>4121013220</v>
      </c>
      <c r="D471" s="28" t="s">
        <v>3383</v>
      </c>
      <c r="E471" s="28" t="s">
        <v>3376</v>
      </c>
      <c r="F471" s="28" t="s">
        <v>11</v>
      </c>
      <c r="G471" s="28" t="s">
        <v>1252</v>
      </c>
    </row>
    <row r="472" spans="1:7">
      <c r="A472" s="28">
        <v>471</v>
      </c>
      <c r="B472" s="28" t="s">
        <v>1315</v>
      </c>
      <c r="C472" s="28">
        <v>4121013599</v>
      </c>
      <c r="D472" s="28" t="s">
        <v>3383</v>
      </c>
      <c r="E472" s="28" t="s">
        <v>3377</v>
      </c>
      <c r="F472" s="28" t="s">
        <v>11</v>
      </c>
      <c r="G472" s="28" t="s">
        <v>1252</v>
      </c>
    </row>
    <row r="473" spans="1:7">
      <c r="A473" s="28">
        <v>472</v>
      </c>
      <c r="B473" s="28" t="s">
        <v>1316</v>
      </c>
      <c r="C473" s="28">
        <v>4121013609</v>
      </c>
      <c r="D473" s="28" t="s">
        <v>3383</v>
      </c>
      <c r="E473" s="28" t="s">
        <v>3376</v>
      </c>
      <c r="F473" s="28" t="s">
        <v>11</v>
      </c>
      <c r="G473" s="28" t="s">
        <v>1252</v>
      </c>
    </row>
    <row r="474" spans="1:7">
      <c r="A474" s="28">
        <v>473</v>
      </c>
      <c r="B474" s="28" t="s">
        <v>1317</v>
      </c>
      <c r="C474" s="28">
        <v>4121013610</v>
      </c>
      <c r="D474" s="28" t="s">
        <v>3383</v>
      </c>
      <c r="E474" s="28" t="s">
        <v>3376</v>
      </c>
      <c r="F474" s="28" t="s">
        <v>11</v>
      </c>
      <c r="G474" s="28" t="s">
        <v>1252</v>
      </c>
    </row>
    <row r="475" spans="1:7">
      <c r="A475" s="28">
        <v>474</v>
      </c>
      <c r="B475" s="28" t="s">
        <v>1318</v>
      </c>
      <c r="C475" s="28">
        <v>4121013621</v>
      </c>
      <c r="D475" s="28" t="s">
        <v>3383</v>
      </c>
      <c r="E475" s="28" t="s">
        <v>3376</v>
      </c>
      <c r="F475" s="28" t="s">
        <v>11</v>
      </c>
      <c r="G475" s="28" t="s">
        <v>1252</v>
      </c>
    </row>
    <row r="476" spans="1:7">
      <c r="A476" s="28">
        <v>475</v>
      </c>
      <c r="B476" s="28" t="s">
        <v>1319</v>
      </c>
      <c r="C476" s="28">
        <v>4121013631</v>
      </c>
      <c r="D476" s="28" t="s">
        <v>3383</v>
      </c>
      <c r="E476" s="28" t="s">
        <v>3377</v>
      </c>
      <c r="F476" s="28" t="s">
        <v>11</v>
      </c>
      <c r="G476" s="28" t="s">
        <v>1252</v>
      </c>
    </row>
    <row r="477" spans="1:7">
      <c r="A477" s="28">
        <v>476</v>
      </c>
      <c r="B477" s="28" t="s">
        <v>1320</v>
      </c>
      <c r="C477" s="28">
        <v>4121013900</v>
      </c>
      <c r="D477" s="28" t="s">
        <v>3383</v>
      </c>
      <c r="E477" s="28" t="s">
        <v>3387</v>
      </c>
      <c r="F477" s="28" t="s">
        <v>11</v>
      </c>
      <c r="G477" s="28" t="s">
        <v>1252</v>
      </c>
    </row>
    <row r="478" spans="1:7">
      <c r="A478" s="28">
        <v>477</v>
      </c>
      <c r="B478" s="28" t="s">
        <v>1322</v>
      </c>
      <c r="C478" s="28">
        <v>4121013957</v>
      </c>
      <c r="D478" s="28" t="s">
        <v>3383</v>
      </c>
      <c r="E478" s="28" t="s">
        <v>3376</v>
      </c>
      <c r="F478" s="28" t="s">
        <v>11</v>
      </c>
      <c r="G478" s="28" t="s">
        <v>1252</v>
      </c>
    </row>
    <row r="479" spans="1:7">
      <c r="A479" s="28">
        <v>478</v>
      </c>
      <c r="B479" s="28" t="s">
        <v>268</v>
      </c>
      <c r="C479" s="28">
        <v>4121014435</v>
      </c>
      <c r="D479" s="28" t="s">
        <v>3375</v>
      </c>
      <c r="E479" s="28" t="s">
        <v>3388</v>
      </c>
      <c r="F479" s="28" t="s">
        <v>11</v>
      </c>
      <c r="G479" s="28"/>
    </row>
    <row r="480" spans="1:7">
      <c r="A480" s="28">
        <v>479</v>
      </c>
      <c r="B480" s="28" t="s">
        <v>270</v>
      </c>
      <c r="C480" s="28">
        <v>4121010171</v>
      </c>
      <c r="D480" s="28" t="s">
        <v>3375</v>
      </c>
      <c r="E480" s="28" t="s">
        <v>3389</v>
      </c>
      <c r="F480" s="28" t="s">
        <v>11</v>
      </c>
      <c r="G480" s="28"/>
    </row>
    <row r="481" spans="1:7">
      <c r="A481" s="28">
        <v>480</v>
      </c>
      <c r="B481" s="28" t="s">
        <v>1851</v>
      </c>
      <c r="C481" s="28">
        <v>4121010179</v>
      </c>
      <c r="D481" s="28" t="s">
        <v>3375</v>
      </c>
      <c r="E481" s="28" t="s">
        <v>3380</v>
      </c>
      <c r="F481" s="28" t="s">
        <v>1700</v>
      </c>
      <c r="G481" s="28"/>
    </row>
    <row r="482" spans="1:7">
      <c r="A482" s="28">
        <v>481</v>
      </c>
      <c r="B482" s="28" t="s">
        <v>1852</v>
      </c>
      <c r="C482" s="28">
        <v>4121010180</v>
      </c>
      <c r="D482" s="28" t="s">
        <v>3375</v>
      </c>
      <c r="E482" s="28" t="s">
        <v>3382</v>
      </c>
      <c r="F482" s="28" t="s">
        <v>1700</v>
      </c>
      <c r="G482" s="28"/>
    </row>
    <row r="483" spans="1:7">
      <c r="A483" s="28">
        <v>482</v>
      </c>
      <c r="B483" s="28" t="s">
        <v>1853</v>
      </c>
      <c r="C483" s="28">
        <v>4121010181</v>
      </c>
      <c r="D483" s="28" t="s">
        <v>3375</v>
      </c>
      <c r="E483" s="28" t="s">
        <v>3388</v>
      </c>
      <c r="F483" s="28" t="s">
        <v>1700</v>
      </c>
      <c r="G483" s="28"/>
    </row>
    <row r="484" spans="1:7">
      <c r="A484" s="28">
        <v>483</v>
      </c>
      <c r="B484" s="28" t="s">
        <v>1854</v>
      </c>
      <c r="C484" s="28">
        <v>4121010182</v>
      </c>
      <c r="D484" s="28" t="s">
        <v>3375</v>
      </c>
      <c r="E484" s="28" t="s">
        <v>3390</v>
      </c>
      <c r="F484" s="28" t="s">
        <v>1700</v>
      </c>
      <c r="G484" s="28"/>
    </row>
    <row r="485" spans="1:7">
      <c r="A485" s="28">
        <v>484</v>
      </c>
      <c r="B485" s="28" t="s">
        <v>1856</v>
      </c>
      <c r="C485" s="28">
        <v>4121010845</v>
      </c>
      <c r="D485" s="28" t="s">
        <v>3375</v>
      </c>
      <c r="E485" s="28" t="s">
        <v>3377</v>
      </c>
      <c r="F485" s="28" t="s">
        <v>1700</v>
      </c>
      <c r="G485" s="28"/>
    </row>
    <row r="486" spans="1:7">
      <c r="A486" s="28">
        <v>485</v>
      </c>
      <c r="B486" s="28" t="s">
        <v>1857</v>
      </c>
      <c r="C486" s="28">
        <v>4121010957</v>
      </c>
      <c r="D486" s="28" t="s">
        <v>3375</v>
      </c>
      <c r="E486" s="28" t="s">
        <v>3388</v>
      </c>
      <c r="F486" s="28" t="s">
        <v>1700</v>
      </c>
      <c r="G486" s="28"/>
    </row>
    <row r="487" spans="1:7">
      <c r="A487" s="28">
        <v>486</v>
      </c>
      <c r="B487" s="28" t="s">
        <v>1858</v>
      </c>
      <c r="C487" s="28">
        <v>4121011037</v>
      </c>
      <c r="D487" s="28" t="s">
        <v>3375</v>
      </c>
      <c r="E487" s="28" t="s">
        <v>3380</v>
      </c>
      <c r="F487" s="28" t="s">
        <v>1700</v>
      </c>
      <c r="G487" s="28"/>
    </row>
    <row r="488" spans="1:7">
      <c r="A488" s="28">
        <v>487</v>
      </c>
      <c r="B488" s="28" t="s">
        <v>1859</v>
      </c>
      <c r="C488" s="28">
        <v>4121011249</v>
      </c>
      <c r="D488" s="28" t="s">
        <v>3375</v>
      </c>
      <c r="E488" s="28" t="s">
        <v>3386</v>
      </c>
      <c r="F488" s="28" t="s">
        <v>1700</v>
      </c>
      <c r="G488" s="28"/>
    </row>
    <row r="489" spans="1:7">
      <c r="A489" s="28">
        <v>488</v>
      </c>
      <c r="B489" s="28" t="s">
        <v>1860</v>
      </c>
      <c r="C489" s="28">
        <v>4121011250</v>
      </c>
      <c r="D489" s="28" t="s">
        <v>3375</v>
      </c>
      <c r="E489" s="28" t="s">
        <v>3379</v>
      </c>
      <c r="F489" s="28" t="s">
        <v>1700</v>
      </c>
      <c r="G489" s="28"/>
    </row>
    <row r="490" spans="1:7">
      <c r="A490" s="28">
        <v>489</v>
      </c>
      <c r="B490" s="28" t="s">
        <v>1861</v>
      </c>
      <c r="C490" s="28">
        <v>4121011500</v>
      </c>
      <c r="D490" s="28" t="s">
        <v>3375</v>
      </c>
      <c r="E490" s="28" t="s">
        <v>3376</v>
      </c>
      <c r="F490" s="28" t="s">
        <v>1700</v>
      </c>
      <c r="G490" s="28"/>
    </row>
    <row r="491" spans="1:7">
      <c r="A491" s="28">
        <v>490</v>
      </c>
      <c r="B491" s="28" t="s">
        <v>1862</v>
      </c>
      <c r="C491" s="28">
        <v>4121011735</v>
      </c>
      <c r="D491" s="28" t="s">
        <v>3375</v>
      </c>
      <c r="E491" s="28" t="s">
        <v>3377</v>
      </c>
      <c r="F491" s="28" t="s">
        <v>1700</v>
      </c>
      <c r="G491" s="28"/>
    </row>
    <row r="492" spans="1:7">
      <c r="A492" s="28">
        <v>491</v>
      </c>
      <c r="B492" s="28" t="s">
        <v>1863</v>
      </c>
      <c r="C492" s="28">
        <v>4121012063</v>
      </c>
      <c r="D492" s="28" t="s">
        <v>3375</v>
      </c>
      <c r="E492" s="28" t="s">
        <v>3391</v>
      </c>
      <c r="F492" s="28" t="s">
        <v>1700</v>
      </c>
      <c r="G492" s="28"/>
    </row>
    <row r="493" spans="1:7">
      <c r="A493" s="28">
        <v>492</v>
      </c>
      <c r="B493" s="28" t="s">
        <v>1865</v>
      </c>
      <c r="C493" s="28">
        <v>4121012590</v>
      </c>
      <c r="D493" s="28" t="s">
        <v>3375</v>
      </c>
      <c r="E493" s="28" t="s">
        <v>3376</v>
      </c>
      <c r="F493" s="28" t="s">
        <v>1700</v>
      </c>
      <c r="G493" s="28"/>
    </row>
    <row r="494" spans="1:7">
      <c r="A494" s="28">
        <v>493</v>
      </c>
      <c r="B494" s="28" t="s">
        <v>1866</v>
      </c>
      <c r="C494" s="28">
        <v>4121012591</v>
      </c>
      <c r="D494" s="28" t="s">
        <v>3375</v>
      </c>
      <c r="E494" s="28" t="s">
        <v>3376</v>
      </c>
      <c r="F494" s="28" t="s">
        <v>1700</v>
      </c>
      <c r="G494" s="28"/>
    </row>
    <row r="495" spans="1:7">
      <c r="A495" s="28">
        <v>494</v>
      </c>
      <c r="B495" s="28" t="s">
        <v>1867</v>
      </c>
      <c r="C495" s="28">
        <v>4121012592</v>
      </c>
      <c r="D495" s="28" t="s">
        <v>3375</v>
      </c>
      <c r="E495" s="28" t="s">
        <v>3390</v>
      </c>
      <c r="F495" s="28" t="s">
        <v>1700</v>
      </c>
      <c r="G495" s="28"/>
    </row>
    <row r="496" spans="1:7">
      <c r="A496" s="28">
        <v>495</v>
      </c>
      <c r="B496" s="28" t="s">
        <v>1868</v>
      </c>
      <c r="C496" s="28">
        <v>4121012593</v>
      </c>
      <c r="D496" s="28" t="s">
        <v>3375</v>
      </c>
      <c r="E496" s="28" t="s">
        <v>3376</v>
      </c>
      <c r="F496" s="28" t="s">
        <v>1700</v>
      </c>
      <c r="G496" s="28"/>
    </row>
    <row r="497" spans="1:7">
      <c r="A497" s="28">
        <v>496</v>
      </c>
      <c r="B497" s="28" t="s">
        <v>1869</v>
      </c>
      <c r="C497" s="28">
        <v>4121012594</v>
      </c>
      <c r="D497" s="28" t="s">
        <v>3375</v>
      </c>
      <c r="E497" s="28" t="s">
        <v>3376</v>
      </c>
      <c r="F497" s="28" t="s">
        <v>1700</v>
      </c>
      <c r="G497" s="28"/>
    </row>
    <row r="498" spans="1:7">
      <c r="A498" s="28">
        <v>497</v>
      </c>
      <c r="B498" s="28" t="s">
        <v>2924</v>
      </c>
      <c r="C498" s="28">
        <v>4121012730</v>
      </c>
      <c r="D498" s="28" t="s">
        <v>3383</v>
      </c>
      <c r="E498" s="28" t="s">
        <v>3377</v>
      </c>
      <c r="F498" s="28" t="s">
        <v>1700</v>
      </c>
      <c r="G498" s="28" t="s">
        <v>1252</v>
      </c>
    </row>
    <row r="499" spans="1:7">
      <c r="A499" s="28">
        <v>498</v>
      </c>
      <c r="B499" s="28" t="s">
        <v>1870</v>
      </c>
      <c r="C499" s="28">
        <v>4121012895</v>
      </c>
      <c r="D499" s="28" t="s">
        <v>3375</v>
      </c>
      <c r="E499" s="28" t="s">
        <v>3376</v>
      </c>
      <c r="F499" s="28" t="s">
        <v>1700</v>
      </c>
      <c r="G499" s="28"/>
    </row>
    <row r="500" spans="1:7">
      <c r="A500" s="28">
        <v>499</v>
      </c>
      <c r="B500" s="28" t="s">
        <v>1871</v>
      </c>
      <c r="C500" s="28">
        <v>4121012896</v>
      </c>
      <c r="D500" s="28" t="s">
        <v>3375</v>
      </c>
      <c r="E500" s="28" t="s">
        <v>3376</v>
      </c>
      <c r="F500" s="28" t="s">
        <v>1700</v>
      </c>
      <c r="G500" s="28"/>
    </row>
    <row r="501" spans="1:7">
      <c r="A501" s="28">
        <v>500</v>
      </c>
      <c r="B501" s="28" t="s">
        <v>2925</v>
      </c>
      <c r="C501" s="28">
        <v>4121012897</v>
      </c>
      <c r="D501" s="28" t="s">
        <v>3383</v>
      </c>
      <c r="E501" s="28" t="s">
        <v>3376</v>
      </c>
      <c r="F501" s="28" t="s">
        <v>1700</v>
      </c>
      <c r="G501" s="28" t="s">
        <v>1252</v>
      </c>
    </row>
    <row r="502" spans="1:7">
      <c r="A502" s="28">
        <v>501</v>
      </c>
      <c r="B502" s="28" t="s">
        <v>1872</v>
      </c>
      <c r="C502" s="28">
        <v>4121012898</v>
      </c>
      <c r="D502" s="28" t="s">
        <v>3375</v>
      </c>
      <c r="E502" s="28" t="s">
        <v>3385</v>
      </c>
      <c r="F502" s="28" t="s">
        <v>1700</v>
      </c>
      <c r="G502" s="28"/>
    </row>
    <row r="503" spans="1:7">
      <c r="A503" s="28">
        <v>502</v>
      </c>
      <c r="B503" s="28" t="s">
        <v>1873</v>
      </c>
      <c r="C503" s="28">
        <v>4121012899</v>
      </c>
      <c r="D503" s="28" t="s">
        <v>3375</v>
      </c>
      <c r="E503" s="28" t="s">
        <v>3376</v>
      </c>
      <c r="F503" s="28" t="s">
        <v>1700</v>
      </c>
      <c r="G503" s="28"/>
    </row>
    <row r="504" spans="1:7">
      <c r="A504" s="28">
        <v>503</v>
      </c>
      <c r="B504" s="28" t="s">
        <v>1874</v>
      </c>
      <c r="C504" s="28">
        <v>4121012900</v>
      </c>
      <c r="D504" s="28" t="s">
        <v>3375</v>
      </c>
      <c r="E504" s="28" t="s">
        <v>3382</v>
      </c>
      <c r="F504" s="28" t="s">
        <v>1700</v>
      </c>
      <c r="G504" s="28"/>
    </row>
    <row r="505" spans="1:7">
      <c r="A505" s="28">
        <v>504</v>
      </c>
      <c r="B505" s="28" t="s">
        <v>3392</v>
      </c>
      <c r="C505" s="28">
        <v>4121012931</v>
      </c>
      <c r="D505" s="28" t="s">
        <v>3375</v>
      </c>
      <c r="E505" s="28" t="s">
        <v>3387</v>
      </c>
      <c r="F505" s="28" t="s">
        <v>1700</v>
      </c>
      <c r="G505" s="28"/>
    </row>
    <row r="506" spans="1:7">
      <c r="A506" s="28">
        <v>505</v>
      </c>
      <c r="B506" s="28" t="s">
        <v>2926</v>
      </c>
      <c r="C506" s="28">
        <v>4121013958</v>
      </c>
      <c r="D506" s="28" t="s">
        <v>3383</v>
      </c>
      <c r="E506" s="28" t="s">
        <v>3377</v>
      </c>
      <c r="F506" s="28" t="s">
        <v>1700</v>
      </c>
      <c r="G506" s="28" t="s">
        <v>1252</v>
      </c>
    </row>
    <row r="507" spans="1:7">
      <c r="A507" s="28">
        <v>506</v>
      </c>
      <c r="B507" s="28" t="s">
        <v>2927</v>
      </c>
      <c r="C507" s="28">
        <v>4121013959</v>
      </c>
      <c r="D507" s="28" t="s">
        <v>3383</v>
      </c>
      <c r="E507" s="28" t="s">
        <v>3377</v>
      </c>
      <c r="F507" s="28" t="s">
        <v>1700</v>
      </c>
      <c r="G507" s="28" t="s">
        <v>1252</v>
      </c>
    </row>
    <row r="508" spans="1:7">
      <c r="A508" s="28">
        <v>507</v>
      </c>
      <c r="B508" s="28" t="s">
        <v>1876</v>
      </c>
      <c r="C508" s="28">
        <v>4121013960</v>
      </c>
      <c r="D508" s="28" t="s">
        <v>3375</v>
      </c>
      <c r="E508" s="28" t="s">
        <v>3376</v>
      </c>
      <c r="F508" s="28" t="s">
        <v>1700</v>
      </c>
      <c r="G508" s="28"/>
    </row>
    <row r="509" spans="1:7">
      <c r="A509" s="28">
        <v>508</v>
      </c>
      <c r="B509" s="28" t="s">
        <v>2928</v>
      </c>
      <c r="C509" s="28">
        <v>4121013961</v>
      </c>
      <c r="D509" s="28" t="s">
        <v>3383</v>
      </c>
      <c r="E509" s="28" t="s">
        <v>3377</v>
      </c>
      <c r="F509" s="28" t="s">
        <v>1700</v>
      </c>
      <c r="G509" s="28" t="s">
        <v>1252</v>
      </c>
    </row>
    <row r="510" spans="1:7">
      <c r="A510" s="28">
        <v>509</v>
      </c>
      <c r="B510" s="28" t="s">
        <v>1877</v>
      </c>
      <c r="C510" s="28">
        <v>4121014076</v>
      </c>
      <c r="D510" s="28" t="s">
        <v>3375</v>
      </c>
      <c r="E510" s="28" t="s">
        <v>3376</v>
      </c>
      <c r="F510" s="28" t="s">
        <v>1700</v>
      </c>
      <c r="G510" s="28"/>
    </row>
    <row r="511" spans="1:7">
      <c r="A511" s="28">
        <v>510</v>
      </c>
      <c r="B511" s="28" t="s">
        <v>1878</v>
      </c>
      <c r="C511" s="28">
        <v>4121014077</v>
      </c>
      <c r="D511" s="28" t="s">
        <v>3375</v>
      </c>
      <c r="E511" s="28" t="s">
        <v>3391</v>
      </c>
      <c r="F511" s="28" t="s">
        <v>1700</v>
      </c>
      <c r="G511" s="28"/>
    </row>
    <row r="512" spans="1:7">
      <c r="A512" s="28">
        <v>511</v>
      </c>
      <c r="B512" s="28" t="s">
        <v>1879</v>
      </c>
      <c r="C512" s="28">
        <v>4121014106</v>
      </c>
      <c r="D512" s="28" t="s">
        <v>3375</v>
      </c>
      <c r="E512" s="28" t="s">
        <v>3385</v>
      </c>
      <c r="F512" s="28" t="s">
        <v>1700</v>
      </c>
      <c r="G512" s="28"/>
    </row>
    <row r="513" spans="1:7">
      <c r="A513" s="28">
        <v>512</v>
      </c>
      <c r="B513" s="28" t="s">
        <v>1880</v>
      </c>
      <c r="C513" s="28">
        <v>4121014188</v>
      </c>
      <c r="D513" s="28" t="s">
        <v>3375</v>
      </c>
      <c r="E513" s="28" t="s">
        <v>3382</v>
      </c>
      <c r="F513" s="28" t="s">
        <v>1700</v>
      </c>
      <c r="G513" s="28"/>
    </row>
    <row r="514" spans="1:7">
      <c r="A514" s="28">
        <v>513</v>
      </c>
      <c r="B514" s="28" t="s">
        <v>1881</v>
      </c>
      <c r="C514" s="28">
        <v>4121014189</v>
      </c>
      <c r="D514" s="28" t="s">
        <v>3375</v>
      </c>
      <c r="E514" s="28" t="s">
        <v>3386</v>
      </c>
      <c r="F514" s="28" t="s">
        <v>1700</v>
      </c>
      <c r="G514" s="28"/>
    </row>
    <row r="515" spans="1:7">
      <c r="A515" s="28">
        <v>514</v>
      </c>
      <c r="B515" s="28" t="s">
        <v>2929</v>
      </c>
      <c r="C515" s="28">
        <v>4121014209</v>
      </c>
      <c r="D515" s="28" t="s">
        <v>3383</v>
      </c>
      <c r="E515" s="28" t="s">
        <v>3377</v>
      </c>
      <c r="F515" s="28" t="s">
        <v>1700</v>
      </c>
      <c r="G515" s="28" t="s">
        <v>1252</v>
      </c>
    </row>
    <row r="516" spans="1:7">
      <c r="A516" s="28">
        <v>515</v>
      </c>
      <c r="B516" s="28" t="s">
        <v>2930</v>
      </c>
      <c r="C516" s="28">
        <v>4121014227</v>
      </c>
      <c r="D516" s="28" t="s">
        <v>3383</v>
      </c>
      <c r="E516" s="28" t="s">
        <v>3377</v>
      </c>
      <c r="F516" s="28" t="s">
        <v>1700</v>
      </c>
      <c r="G516" s="28" t="s">
        <v>1252</v>
      </c>
    </row>
    <row r="517" spans="1:7">
      <c r="A517" s="28">
        <v>516</v>
      </c>
      <c r="B517" s="28" t="s">
        <v>2931</v>
      </c>
      <c r="C517" s="28">
        <v>4121014228</v>
      </c>
      <c r="D517" s="28" t="s">
        <v>3383</v>
      </c>
      <c r="E517" s="28" t="s">
        <v>3377</v>
      </c>
      <c r="F517" s="28" t="s">
        <v>1700</v>
      </c>
      <c r="G517" s="28" t="s">
        <v>1252</v>
      </c>
    </row>
    <row r="518" spans="1:7">
      <c r="A518" s="28">
        <v>517</v>
      </c>
      <c r="B518" s="28" t="s">
        <v>1882</v>
      </c>
      <c r="C518" s="28">
        <v>4121014240</v>
      </c>
      <c r="D518" s="28" t="s">
        <v>3375</v>
      </c>
      <c r="E518" s="28" t="s">
        <v>3376</v>
      </c>
      <c r="F518" s="28" t="s">
        <v>1700</v>
      </c>
      <c r="G518" s="28"/>
    </row>
    <row r="519" spans="1:7">
      <c r="A519" s="28">
        <v>518</v>
      </c>
      <c r="B519" s="28" t="s">
        <v>1883</v>
      </c>
      <c r="C519" s="28">
        <v>4121014286</v>
      </c>
      <c r="D519" s="28" t="s">
        <v>3375</v>
      </c>
      <c r="E519" s="28" t="s">
        <v>3384</v>
      </c>
      <c r="F519" s="28" t="s">
        <v>1700</v>
      </c>
      <c r="G519" s="28"/>
    </row>
    <row r="520" spans="1:7">
      <c r="A520" s="28">
        <v>519</v>
      </c>
      <c r="B520" s="28" t="s">
        <v>1884</v>
      </c>
      <c r="C520" s="28">
        <v>4121014287</v>
      </c>
      <c r="D520" s="28" t="s">
        <v>3375</v>
      </c>
      <c r="E520" s="28" t="s">
        <v>3390</v>
      </c>
      <c r="F520" s="28" t="s">
        <v>1700</v>
      </c>
      <c r="G520" s="28"/>
    </row>
    <row r="521" spans="1:7">
      <c r="A521" s="28">
        <v>520</v>
      </c>
      <c r="B521" s="28" t="s">
        <v>1885</v>
      </c>
      <c r="C521" s="28">
        <v>4121014288</v>
      </c>
      <c r="D521" s="28" t="s">
        <v>3375</v>
      </c>
      <c r="E521" s="28" t="s">
        <v>3376</v>
      </c>
      <c r="F521" s="28" t="s">
        <v>1700</v>
      </c>
      <c r="G521" s="28"/>
    </row>
    <row r="522" spans="1:7">
      <c r="A522" s="28">
        <v>521</v>
      </c>
      <c r="B522" s="28" t="s">
        <v>1886</v>
      </c>
      <c r="C522" s="28">
        <v>4121014289</v>
      </c>
      <c r="D522" s="28" t="s">
        <v>3375</v>
      </c>
      <c r="E522" s="28" t="s">
        <v>3376</v>
      </c>
      <c r="F522" s="28" t="s">
        <v>1700</v>
      </c>
      <c r="G522" s="28"/>
    </row>
    <row r="523" spans="1:7">
      <c r="A523" s="28">
        <v>522</v>
      </c>
      <c r="B523" s="28" t="s">
        <v>1887</v>
      </c>
      <c r="C523" s="28">
        <v>4121014290</v>
      </c>
      <c r="D523" s="28" t="s">
        <v>3375</v>
      </c>
      <c r="E523" s="28" t="s">
        <v>3390</v>
      </c>
      <c r="F523" s="28" t="s">
        <v>1700</v>
      </c>
      <c r="G523" s="28"/>
    </row>
    <row r="524" spans="1:7">
      <c r="A524" s="28">
        <v>523</v>
      </c>
      <c r="B524" s="28" t="s">
        <v>2932</v>
      </c>
      <c r="C524" s="28">
        <v>4121014385</v>
      </c>
      <c r="D524" s="28" t="s">
        <v>3383</v>
      </c>
      <c r="E524" s="28" t="s">
        <v>3376</v>
      </c>
      <c r="F524" s="28" t="s">
        <v>1700</v>
      </c>
      <c r="G524" s="28" t="s">
        <v>1252</v>
      </c>
    </row>
    <row r="525" spans="1:7">
      <c r="A525" s="28">
        <v>524</v>
      </c>
      <c r="B525" s="28" t="s">
        <v>1888</v>
      </c>
      <c r="C525" s="28">
        <v>4121014398</v>
      </c>
      <c r="D525" s="28" t="s">
        <v>3375</v>
      </c>
      <c r="E525" s="28" t="s">
        <v>3376</v>
      </c>
      <c r="F525" s="28" t="s">
        <v>1700</v>
      </c>
      <c r="G525" s="28"/>
    </row>
    <row r="526" spans="1:7">
      <c r="A526" s="28">
        <v>525</v>
      </c>
      <c r="B526" s="28" t="s">
        <v>1889</v>
      </c>
      <c r="C526" s="28">
        <v>4121014464</v>
      </c>
      <c r="D526" s="28" t="s">
        <v>3375</v>
      </c>
      <c r="E526" s="28" t="s">
        <v>3376</v>
      </c>
      <c r="F526" s="28" t="s">
        <v>1700</v>
      </c>
      <c r="G526" s="28"/>
    </row>
    <row r="527" spans="1:7">
      <c r="A527" s="28">
        <v>526</v>
      </c>
      <c r="B527" s="28" t="s">
        <v>1890</v>
      </c>
      <c r="C527" s="28">
        <v>4121014473</v>
      </c>
      <c r="D527" s="28" t="s">
        <v>3375</v>
      </c>
      <c r="E527" s="28" t="s">
        <v>3377</v>
      </c>
      <c r="F527" s="28" t="s">
        <v>1700</v>
      </c>
      <c r="G527" s="28"/>
    </row>
    <row r="528" spans="1:7">
      <c r="A528" s="28">
        <v>527</v>
      </c>
      <c r="B528" s="28" t="s">
        <v>1891</v>
      </c>
      <c r="C528" s="28">
        <v>4121014526</v>
      </c>
      <c r="D528" s="28" t="s">
        <v>3375</v>
      </c>
      <c r="E528" s="28" t="s">
        <v>3376</v>
      </c>
      <c r="F528" s="28" t="s">
        <v>1700</v>
      </c>
      <c r="G528" s="28"/>
    </row>
    <row r="529" spans="1:7">
      <c r="A529" s="28">
        <v>528</v>
      </c>
      <c r="B529" s="28" t="s">
        <v>1892</v>
      </c>
      <c r="C529" s="28">
        <v>4121014662</v>
      </c>
      <c r="D529" s="28" t="s">
        <v>3375</v>
      </c>
      <c r="E529" s="28" t="s">
        <v>3376</v>
      </c>
      <c r="F529" s="28" t="s">
        <v>1700</v>
      </c>
      <c r="G529" s="28"/>
    </row>
    <row r="530" spans="1:7">
      <c r="A530" s="28">
        <v>529</v>
      </c>
      <c r="B530" s="28" t="s">
        <v>1893</v>
      </c>
      <c r="C530" s="28">
        <v>4121014700</v>
      </c>
      <c r="D530" s="28" t="s">
        <v>3375</v>
      </c>
      <c r="E530" s="28" t="s">
        <v>3378</v>
      </c>
      <c r="F530" s="28" t="s">
        <v>1700</v>
      </c>
      <c r="G530" s="28"/>
    </row>
    <row r="531" spans="1:7">
      <c r="A531" s="28">
        <v>530</v>
      </c>
      <c r="B531" s="28" t="s">
        <v>272</v>
      </c>
      <c r="C531" s="28">
        <v>4122010183</v>
      </c>
      <c r="D531" s="28" t="s">
        <v>3309</v>
      </c>
      <c r="E531" s="28" t="s">
        <v>3393</v>
      </c>
      <c r="F531" s="28" t="s">
        <v>11</v>
      </c>
      <c r="G531" s="28"/>
    </row>
    <row r="532" spans="1:7">
      <c r="A532" s="28">
        <v>531</v>
      </c>
      <c r="B532" s="28" t="s">
        <v>275</v>
      </c>
      <c r="C532" s="28">
        <v>4122010184</v>
      </c>
      <c r="D532" s="28" t="s">
        <v>3394</v>
      </c>
      <c r="E532" s="28" t="s">
        <v>3395</v>
      </c>
      <c r="F532" s="28" t="s">
        <v>11</v>
      </c>
      <c r="G532" s="28"/>
    </row>
    <row r="533" spans="1:7">
      <c r="A533" s="28">
        <v>532</v>
      </c>
      <c r="B533" s="28" t="s">
        <v>277</v>
      </c>
      <c r="C533" s="28">
        <v>4122010186</v>
      </c>
      <c r="D533" s="28" t="s">
        <v>3394</v>
      </c>
      <c r="E533" s="28" t="s">
        <v>3393</v>
      </c>
      <c r="F533" s="28" t="s">
        <v>11</v>
      </c>
      <c r="G533" s="28"/>
    </row>
    <row r="534" spans="1:7">
      <c r="A534" s="28">
        <v>533</v>
      </c>
      <c r="B534" s="28" t="s">
        <v>278</v>
      </c>
      <c r="C534" s="28">
        <v>4122010188</v>
      </c>
      <c r="D534" s="28" t="s">
        <v>3394</v>
      </c>
      <c r="E534" s="28" t="s">
        <v>279</v>
      </c>
      <c r="F534" s="28" t="s">
        <v>11</v>
      </c>
      <c r="G534" s="28"/>
    </row>
    <row r="535" spans="1:7">
      <c r="A535" s="28">
        <v>534</v>
      </c>
      <c r="B535" s="28" t="s">
        <v>280</v>
      </c>
      <c r="C535" s="28">
        <v>4122010190</v>
      </c>
      <c r="D535" s="28" t="s">
        <v>3394</v>
      </c>
      <c r="E535" s="28" t="s">
        <v>3393</v>
      </c>
      <c r="F535" s="28" t="s">
        <v>11</v>
      </c>
      <c r="G535" s="28"/>
    </row>
    <row r="536" spans="1:7">
      <c r="A536" s="28">
        <v>535</v>
      </c>
      <c r="B536" s="28" t="s">
        <v>281</v>
      </c>
      <c r="C536" s="28">
        <v>4122010191</v>
      </c>
      <c r="D536" s="28" t="s">
        <v>3394</v>
      </c>
      <c r="E536" s="28" t="s">
        <v>3393</v>
      </c>
      <c r="F536" s="28" t="s">
        <v>11</v>
      </c>
      <c r="G536" s="28"/>
    </row>
    <row r="537" spans="1:7">
      <c r="A537" s="28">
        <v>536</v>
      </c>
      <c r="B537" s="28" t="s">
        <v>282</v>
      </c>
      <c r="C537" s="28">
        <v>4122010192</v>
      </c>
      <c r="D537" s="28" t="s">
        <v>3394</v>
      </c>
      <c r="E537" s="28" t="s">
        <v>279</v>
      </c>
      <c r="F537" s="28" t="s">
        <v>11</v>
      </c>
      <c r="G537" s="28"/>
    </row>
    <row r="538" spans="1:7">
      <c r="A538" s="28">
        <v>537</v>
      </c>
      <c r="B538" s="28" t="s">
        <v>283</v>
      </c>
      <c r="C538" s="28">
        <v>4122010193</v>
      </c>
      <c r="D538" s="28" t="s">
        <v>3394</v>
      </c>
      <c r="E538" s="28" t="s">
        <v>3393</v>
      </c>
      <c r="F538" s="28" t="s">
        <v>11</v>
      </c>
      <c r="G538" s="28"/>
    </row>
    <row r="539" spans="1:7">
      <c r="A539" s="28">
        <v>538</v>
      </c>
      <c r="B539" s="28" t="s">
        <v>284</v>
      </c>
      <c r="C539" s="28">
        <v>4122010199</v>
      </c>
      <c r="D539" s="28" t="s">
        <v>3394</v>
      </c>
      <c r="E539" s="28" t="s">
        <v>3393</v>
      </c>
      <c r="F539" s="28" t="s">
        <v>11</v>
      </c>
      <c r="G539" s="28"/>
    </row>
    <row r="540" spans="1:7">
      <c r="A540" s="28">
        <v>539</v>
      </c>
      <c r="B540" s="28" t="s">
        <v>285</v>
      </c>
      <c r="C540" s="28">
        <v>4122010200</v>
      </c>
      <c r="D540" s="28" t="s">
        <v>3309</v>
      </c>
      <c r="E540" s="28" t="s">
        <v>3393</v>
      </c>
      <c r="F540" s="28" t="s">
        <v>11</v>
      </c>
      <c r="G540" s="28"/>
    </row>
    <row r="541" spans="1:7">
      <c r="A541" s="28">
        <v>540</v>
      </c>
      <c r="B541" s="28" t="s">
        <v>286</v>
      </c>
      <c r="C541" s="28">
        <v>4122010201</v>
      </c>
      <c r="D541" s="28" t="s">
        <v>3394</v>
      </c>
      <c r="E541" s="28" t="s">
        <v>279</v>
      </c>
      <c r="F541" s="28" t="s">
        <v>11</v>
      </c>
      <c r="G541" s="28"/>
    </row>
    <row r="542" spans="1:7">
      <c r="A542" s="28">
        <v>541</v>
      </c>
      <c r="B542" s="28" t="s">
        <v>287</v>
      </c>
      <c r="C542" s="28">
        <v>4122010202</v>
      </c>
      <c r="D542" s="28" t="s">
        <v>3394</v>
      </c>
      <c r="E542" s="28" t="s">
        <v>3396</v>
      </c>
      <c r="F542" s="28" t="s">
        <v>11</v>
      </c>
      <c r="G542" s="28"/>
    </row>
    <row r="543" spans="1:7">
      <c r="A543" s="28">
        <v>542</v>
      </c>
      <c r="B543" s="28" t="s">
        <v>289</v>
      </c>
      <c r="C543" s="28">
        <v>4122010203</v>
      </c>
      <c r="D543" s="28" t="s">
        <v>3394</v>
      </c>
      <c r="E543" s="28" t="s">
        <v>3397</v>
      </c>
      <c r="F543" s="28" t="s">
        <v>11</v>
      </c>
      <c r="G543" s="28"/>
    </row>
    <row r="544" spans="1:7">
      <c r="A544" s="28">
        <v>543</v>
      </c>
      <c r="B544" s="28" t="s">
        <v>291</v>
      </c>
      <c r="C544" s="28">
        <v>4122010204</v>
      </c>
      <c r="D544" s="28" t="s">
        <v>3394</v>
      </c>
      <c r="E544" s="28" t="s">
        <v>3393</v>
      </c>
      <c r="F544" s="28" t="s">
        <v>11</v>
      </c>
      <c r="G544" s="28"/>
    </row>
    <row r="545" spans="1:7">
      <c r="A545" s="28">
        <v>544</v>
      </c>
      <c r="B545" s="28" t="s">
        <v>292</v>
      </c>
      <c r="C545" s="28">
        <v>4122010205</v>
      </c>
      <c r="D545" s="28" t="s">
        <v>3394</v>
      </c>
      <c r="E545" s="28" t="s">
        <v>3393</v>
      </c>
      <c r="F545" s="28" t="s">
        <v>11</v>
      </c>
      <c r="G545" s="28"/>
    </row>
    <row r="546" spans="1:7">
      <c r="A546" s="28">
        <v>545</v>
      </c>
      <c r="B546" s="28" t="s">
        <v>293</v>
      </c>
      <c r="C546" s="28">
        <v>4122010206</v>
      </c>
      <c r="D546" s="28" t="s">
        <v>3394</v>
      </c>
      <c r="E546" s="28" t="s">
        <v>3398</v>
      </c>
      <c r="F546" s="28" t="s">
        <v>11</v>
      </c>
      <c r="G546" s="28"/>
    </row>
    <row r="547" spans="1:7">
      <c r="A547" s="28">
        <v>546</v>
      </c>
      <c r="B547" s="28" t="s">
        <v>295</v>
      </c>
      <c r="C547" s="28">
        <v>4122010207</v>
      </c>
      <c r="D547" s="28" t="s">
        <v>3394</v>
      </c>
      <c r="E547" s="28" t="s">
        <v>3393</v>
      </c>
      <c r="F547" s="28" t="s">
        <v>11</v>
      </c>
      <c r="G547" s="28"/>
    </row>
    <row r="548" spans="1:7">
      <c r="A548" s="28">
        <v>547</v>
      </c>
      <c r="B548" s="28" t="s">
        <v>296</v>
      </c>
      <c r="C548" s="28">
        <v>4122010208</v>
      </c>
      <c r="D548" s="28" t="s">
        <v>3394</v>
      </c>
      <c r="E548" s="28" t="s">
        <v>3393</v>
      </c>
      <c r="F548" s="28" t="s">
        <v>11</v>
      </c>
      <c r="G548" s="28"/>
    </row>
    <row r="549" spans="1:7">
      <c r="A549" s="28">
        <v>548</v>
      </c>
      <c r="B549" s="28" t="s">
        <v>297</v>
      </c>
      <c r="C549" s="28">
        <v>4122010209</v>
      </c>
      <c r="D549" s="28" t="s">
        <v>3394</v>
      </c>
      <c r="E549" s="28" t="s">
        <v>3393</v>
      </c>
      <c r="F549" s="28" t="s">
        <v>11</v>
      </c>
      <c r="G549" s="28"/>
    </row>
    <row r="550" spans="1:7">
      <c r="A550" s="28">
        <v>549</v>
      </c>
      <c r="B550" s="28" t="s">
        <v>1323</v>
      </c>
      <c r="C550" s="28">
        <v>4122010964</v>
      </c>
      <c r="D550" s="28" t="s">
        <v>3399</v>
      </c>
      <c r="E550" s="28" t="s">
        <v>3393</v>
      </c>
      <c r="F550" s="28" t="s">
        <v>11</v>
      </c>
      <c r="G550" s="28" t="s">
        <v>1252</v>
      </c>
    </row>
    <row r="551" spans="1:7">
      <c r="A551" s="28">
        <v>550</v>
      </c>
      <c r="B551" s="28" t="s">
        <v>298</v>
      </c>
      <c r="C551" s="28">
        <v>4122011261</v>
      </c>
      <c r="D551" s="28" t="s">
        <v>3394</v>
      </c>
      <c r="E551" s="28" t="s">
        <v>3393</v>
      </c>
      <c r="F551" s="28" t="s">
        <v>11</v>
      </c>
      <c r="G551" s="28"/>
    </row>
    <row r="552" spans="1:7">
      <c r="A552" s="28">
        <v>551</v>
      </c>
      <c r="B552" s="28" t="s">
        <v>299</v>
      </c>
      <c r="C552" s="28">
        <v>4122011437</v>
      </c>
      <c r="D552" s="28" t="s">
        <v>3394</v>
      </c>
      <c r="E552" s="28" t="s">
        <v>3393</v>
      </c>
      <c r="F552" s="28" t="s">
        <v>11</v>
      </c>
      <c r="G552" s="28"/>
    </row>
    <row r="553" spans="1:7">
      <c r="A553" s="28">
        <v>552</v>
      </c>
      <c r="B553" s="28" t="s">
        <v>300</v>
      </c>
      <c r="C553" s="28">
        <v>4122011439</v>
      </c>
      <c r="D553" s="28" t="s">
        <v>3394</v>
      </c>
      <c r="E553" s="28" t="s">
        <v>279</v>
      </c>
      <c r="F553" s="28" t="s">
        <v>11</v>
      </c>
      <c r="G553" s="28"/>
    </row>
    <row r="554" spans="1:7">
      <c r="A554" s="28">
        <v>553</v>
      </c>
      <c r="B554" s="28" t="s">
        <v>301</v>
      </c>
      <c r="C554" s="28">
        <v>4122011441</v>
      </c>
      <c r="D554" s="28" t="s">
        <v>3394</v>
      </c>
      <c r="E554" s="28" t="s">
        <v>3393</v>
      </c>
      <c r="F554" s="28" t="s">
        <v>11</v>
      </c>
      <c r="G554" s="28"/>
    </row>
    <row r="555" spans="1:7">
      <c r="A555" s="28">
        <v>554</v>
      </c>
      <c r="B555" s="28" t="s">
        <v>302</v>
      </c>
      <c r="C555" s="28">
        <v>4122011726</v>
      </c>
      <c r="D555" s="28" t="s">
        <v>3394</v>
      </c>
      <c r="E555" s="28" t="s">
        <v>3393</v>
      </c>
      <c r="F555" s="28" t="s">
        <v>11</v>
      </c>
      <c r="G555" s="28"/>
    </row>
    <row r="556" spans="1:7">
      <c r="A556" s="28">
        <v>555</v>
      </c>
      <c r="B556" s="28" t="s">
        <v>1324</v>
      </c>
      <c r="C556" s="28">
        <v>4122013600</v>
      </c>
      <c r="D556" s="28" t="s">
        <v>3399</v>
      </c>
      <c r="E556" s="28" t="s">
        <v>3393</v>
      </c>
      <c r="F556" s="28" t="s">
        <v>11</v>
      </c>
      <c r="G556" s="28" t="s">
        <v>1252</v>
      </c>
    </row>
    <row r="557" spans="1:7">
      <c r="A557" s="28">
        <v>556</v>
      </c>
      <c r="B557" s="28" t="s">
        <v>1325</v>
      </c>
      <c r="C557" s="28">
        <v>4122013601</v>
      </c>
      <c r="D557" s="28" t="s">
        <v>3399</v>
      </c>
      <c r="E557" s="28" t="s">
        <v>3393</v>
      </c>
      <c r="F557" s="28" t="s">
        <v>11</v>
      </c>
      <c r="G557" s="28" t="s">
        <v>1252</v>
      </c>
    </row>
    <row r="558" spans="1:7">
      <c r="A558" s="28">
        <v>557</v>
      </c>
      <c r="B558" s="28" t="s">
        <v>1326</v>
      </c>
      <c r="C558" s="28">
        <v>4122013602</v>
      </c>
      <c r="D558" s="28" t="s">
        <v>3399</v>
      </c>
      <c r="E558" s="28" t="s">
        <v>3393</v>
      </c>
      <c r="F558" s="28" t="s">
        <v>11</v>
      </c>
      <c r="G558" s="28" t="s">
        <v>1252</v>
      </c>
    </row>
    <row r="559" spans="1:7">
      <c r="A559" s="28">
        <v>558</v>
      </c>
      <c r="B559" s="28" t="s">
        <v>1327</v>
      </c>
      <c r="C559" s="28">
        <v>4122013603</v>
      </c>
      <c r="D559" s="28" t="s">
        <v>3399</v>
      </c>
      <c r="E559" s="28" t="s">
        <v>3393</v>
      </c>
      <c r="F559" s="28" t="s">
        <v>11</v>
      </c>
      <c r="G559" s="28" t="s">
        <v>1252</v>
      </c>
    </row>
    <row r="560" spans="1:7">
      <c r="A560" s="28">
        <v>559</v>
      </c>
      <c r="B560" s="28" t="s">
        <v>1328</v>
      </c>
      <c r="C560" s="28">
        <v>4122013604</v>
      </c>
      <c r="D560" s="28" t="s">
        <v>3399</v>
      </c>
      <c r="E560" s="28" t="s">
        <v>3393</v>
      </c>
      <c r="F560" s="28" t="s">
        <v>11</v>
      </c>
      <c r="G560" s="28" t="s">
        <v>1252</v>
      </c>
    </row>
    <row r="561" spans="1:7">
      <c r="A561" s="28">
        <v>560</v>
      </c>
      <c r="B561" s="28" t="s">
        <v>1329</v>
      </c>
      <c r="C561" s="28">
        <v>4122013605</v>
      </c>
      <c r="D561" s="28" t="s">
        <v>3399</v>
      </c>
      <c r="E561" s="28" t="s">
        <v>3393</v>
      </c>
      <c r="F561" s="28" t="s">
        <v>11</v>
      </c>
      <c r="G561" s="28" t="s">
        <v>1252</v>
      </c>
    </row>
    <row r="562" spans="1:7">
      <c r="A562" s="28">
        <v>561</v>
      </c>
      <c r="B562" s="28" t="s">
        <v>1330</v>
      </c>
      <c r="C562" s="28">
        <v>4122013606</v>
      </c>
      <c r="D562" s="28" t="s">
        <v>3399</v>
      </c>
      <c r="E562" s="28" t="s">
        <v>3393</v>
      </c>
      <c r="F562" s="28" t="s">
        <v>11</v>
      </c>
      <c r="G562" s="28" t="s">
        <v>1252</v>
      </c>
    </row>
    <row r="563" spans="1:7">
      <c r="A563" s="28">
        <v>562</v>
      </c>
      <c r="B563" s="28" t="s">
        <v>1331</v>
      </c>
      <c r="C563" s="28">
        <v>4122013607</v>
      </c>
      <c r="D563" s="28" t="s">
        <v>3399</v>
      </c>
      <c r="E563" s="28" t="s">
        <v>3393</v>
      </c>
      <c r="F563" s="28" t="s">
        <v>11</v>
      </c>
      <c r="G563" s="28" t="s">
        <v>1252</v>
      </c>
    </row>
    <row r="564" spans="1:7">
      <c r="A564" s="28">
        <v>563</v>
      </c>
      <c r="B564" s="28" t="s">
        <v>1332</v>
      </c>
      <c r="C564" s="28">
        <v>4122013622</v>
      </c>
      <c r="D564" s="28" t="s">
        <v>3399</v>
      </c>
      <c r="E564" s="28" t="s">
        <v>3397</v>
      </c>
      <c r="F564" s="28" t="s">
        <v>11</v>
      </c>
      <c r="G564" s="28" t="s">
        <v>1252</v>
      </c>
    </row>
    <row r="565" spans="1:7">
      <c r="A565" s="28">
        <v>564</v>
      </c>
      <c r="B565" s="28" t="s">
        <v>1333</v>
      </c>
      <c r="C565" s="28">
        <v>4122013623</v>
      </c>
      <c r="D565" s="28" t="s">
        <v>3399</v>
      </c>
      <c r="E565" s="28" t="s">
        <v>3393</v>
      </c>
      <c r="F565" s="28" t="s">
        <v>11</v>
      </c>
      <c r="G565" s="28" t="s">
        <v>1252</v>
      </c>
    </row>
    <row r="566" spans="1:7">
      <c r="A566" s="28">
        <v>565</v>
      </c>
      <c r="B566" s="28" t="s">
        <v>1334</v>
      </c>
      <c r="C566" s="28">
        <v>4122013662</v>
      </c>
      <c r="D566" s="28" t="s">
        <v>3399</v>
      </c>
      <c r="E566" s="28" t="s">
        <v>3393</v>
      </c>
      <c r="F566" s="28" t="s">
        <v>11</v>
      </c>
      <c r="G566" s="28" t="s">
        <v>1252</v>
      </c>
    </row>
    <row r="567" spans="1:7">
      <c r="A567" s="28">
        <v>566</v>
      </c>
      <c r="B567" s="28" t="s">
        <v>303</v>
      </c>
      <c r="C567" s="28">
        <v>4122013706</v>
      </c>
      <c r="D567" s="28" t="s">
        <v>3394</v>
      </c>
      <c r="E567" s="28" t="s">
        <v>279</v>
      </c>
      <c r="F567" s="28" t="s">
        <v>11</v>
      </c>
      <c r="G567" s="28"/>
    </row>
    <row r="568" spans="1:7">
      <c r="A568" s="28">
        <v>567</v>
      </c>
      <c r="B568" s="28" t="s">
        <v>304</v>
      </c>
      <c r="C568" s="28">
        <v>4122011436</v>
      </c>
      <c r="D568" s="28" t="s">
        <v>3394</v>
      </c>
      <c r="E568" s="28" t="s">
        <v>3393</v>
      </c>
      <c r="F568" s="28" t="s">
        <v>11</v>
      </c>
      <c r="G568" s="28"/>
    </row>
    <row r="569" spans="1:7">
      <c r="A569" s="28">
        <v>568</v>
      </c>
      <c r="B569" s="28" t="s">
        <v>305</v>
      </c>
      <c r="C569" s="28">
        <v>4122013161</v>
      </c>
      <c r="D569" s="28" t="s">
        <v>3394</v>
      </c>
      <c r="E569" s="28" t="s">
        <v>3393</v>
      </c>
      <c r="F569" s="28" t="s">
        <v>11</v>
      </c>
      <c r="G569" s="28"/>
    </row>
    <row r="570" spans="1:7">
      <c r="A570" s="28">
        <v>569</v>
      </c>
      <c r="B570" s="28" t="s">
        <v>306</v>
      </c>
      <c r="C570" s="28">
        <v>4122014052</v>
      </c>
      <c r="D570" s="28" t="s">
        <v>3394</v>
      </c>
      <c r="E570" s="28" t="s">
        <v>279</v>
      </c>
      <c r="F570" s="28" t="s">
        <v>11</v>
      </c>
      <c r="G570" s="28"/>
    </row>
    <row r="571" spans="1:7">
      <c r="A571" s="28">
        <v>570</v>
      </c>
      <c r="B571" s="28" t="s">
        <v>1894</v>
      </c>
      <c r="C571" s="28">
        <v>3622000335</v>
      </c>
      <c r="D571" s="28" t="s">
        <v>3394</v>
      </c>
      <c r="E571" s="28" t="s">
        <v>3393</v>
      </c>
      <c r="F571" s="28" t="s">
        <v>1700</v>
      </c>
      <c r="G571" s="28"/>
    </row>
    <row r="572" spans="1:7">
      <c r="A572" s="28">
        <v>571</v>
      </c>
      <c r="B572" s="28" t="s">
        <v>1895</v>
      </c>
      <c r="C572" s="28">
        <v>4122010847</v>
      </c>
      <c r="D572" s="28" t="s">
        <v>3394</v>
      </c>
      <c r="E572" s="28" t="s">
        <v>3400</v>
      </c>
      <c r="F572" s="28" t="s">
        <v>1700</v>
      </c>
      <c r="G572" s="28"/>
    </row>
    <row r="573" spans="1:7">
      <c r="A573" s="28">
        <v>572</v>
      </c>
      <c r="B573" s="28" t="s">
        <v>1897</v>
      </c>
      <c r="C573" s="28">
        <v>4122011044</v>
      </c>
      <c r="D573" s="28" t="s">
        <v>3394</v>
      </c>
      <c r="E573" s="28" t="s">
        <v>3397</v>
      </c>
      <c r="F573" s="28" t="s">
        <v>1700</v>
      </c>
      <c r="G573" s="28"/>
    </row>
    <row r="574" spans="1:7">
      <c r="A574" s="28">
        <v>573</v>
      </c>
      <c r="B574" s="28" t="s">
        <v>1898</v>
      </c>
      <c r="C574" s="28">
        <v>4122011440</v>
      </c>
      <c r="D574" s="28" t="s">
        <v>3394</v>
      </c>
      <c r="E574" s="28" t="s">
        <v>3393</v>
      </c>
      <c r="F574" s="28" t="s">
        <v>1700</v>
      </c>
      <c r="G574" s="28"/>
    </row>
    <row r="575" spans="1:7">
      <c r="A575" s="28">
        <v>574</v>
      </c>
      <c r="B575" s="28" t="s">
        <v>1899</v>
      </c>
      <c r="C575" s="28">
        <v>4122011823</v>
      </c>
      <c r="D575" s="28" t="s">
        <v>3394</v>
      </c>
      <c r="E575" s="28" t="s">
        <v>3393</v>
      </c>
      <c r="F575" s="28" t="s">
        <v>1700</v>
      </c>
      <c r="G575" s="28"/>
    </row>
    <row r="576" spans="1:7">
      <c r="A576" s="28">
        <v>575</v>
      </c>
      <c r="B576" s="28" t="s">
        <v>1900</v>
      </c>
      <c r="C576" s="28">
        <v>4122012049</v>
      </c>
      <c r="D576" s="28" t="s">
        <v>3394</v>
      </c>
      <c r="E576" s="28" t="s">
        <v>3393</v>
      </c>
      <c r="F576" s="28" t="s">
        <v>1700</v>
      </c>
      <c r="G576" s="28"/>
    </row>
    <row r="577" spans="1:7">
      <c r="A577" s="28">
        <v>576</v>
      </c>
      <c r="B577" s="28" t="s">
        <v>2933</v>
      </c>
      <c r="C577" s="28">
        <v>4122012306</v>
      </c>
      <c r="D577" s="28" t="s">
        <v>3399</v>
      </c>
      <c r="E577" s="28" t="s">
        <v>3393</v>
      </c>
      <c r="F577" s="28" t="s">
        <v>1700</v>
      </c>
      <c r="G577" s="28" t="s">
        <v>1252</v>
      </c>
    </row>
    <row r="578" spans="1:7">
      <c r="A578" s="28">
        <v>577</v>
      </c>
      <c r="B578" s="28" t="s">
        <v>1901</v>
      </c>
      <c r="C578" s="28">
        <v>4122012901</v>
      </c>
      <c r="D578" s="28" t="s">
        <v>3394</v>
      </c>
      <c r="E578" s="28" t="s">
        <v>3393</v>
      </c>
      <c r="F578" s="28" t="s">
        <v>1700</v>
      </c>
      <c r="G578" s="28"/>
    </row>
    <row r="579" spans="1:7">
      <c r="A579" s="28">
        <v>578</v>
      </c>
      <c r="B579" s="28" t="s">
        <v>1902</v>
      </c>
      <c r="C579" s="28">
        <v>4122012902</v>
      </c>
      <c r="D579" s="28" t="s">
        <v>3394</v>
      </c>
      <c r="E579" s="28" t="s">
        <v>279</v>
      </c>
      <c r="F579" s="28" t="s">
        <v>1700</v>
      </c>
      <c r="G579" s="28"/>
    </row>
    <row r="580" spans="1:7">
      <c r="A580" s="28">
        <v>579</v>
      </c>
      <c r="B580" s="28" t="s">
        <v>1903</v>
      </c>
      <c r="C580" s="28">
        <v>4122012903</v>
      </c>
      <c r="D580" s="28" t="s">
        <v>3394</v>
      </c>
      <c r="E580" s="28" t="s">
        <v>279</v>
      </c>
      <c r="F580" s="28" t="s">
        <v>1700</v>
      </c>
      <c r="G580" s="28"/>
    </row>
    <row r="581" spans="1:7">
      <c r="A581" s="28">
        <v>580</v>
      </c>
      <c r="B581" s="28" t="s">
        <v>1904</v>
      </c>
      <c r="C581" s="28">
        <v>4122012904</v>
      </c>
      <c r="D581" s="28" t="s">
        <v>3394</v>
      </c>
      <c r="E581" s="28" t="s">
        <v>3397</v>
      </c>
      <c r="F581" s="28" t="s">
        <v>1700</v>
      </c>
      <c r="G581" s="28"/>
    </row>
    <row r="582" spans="1:7">
      <c r="A582" s="28">
        <v>581</v>
      </c>
      <c r="B582" s="28" t="s">
        <v>1905</v>
      </c>
      <c r="C582" s="28">
        <v>4122013743</v>
      </c>
      <c r="D582" s="28" t="s">
        <v>3394</v>
      </c>
      <c r="E582" s="28" t="s">
        <v>3398</v>
      </c>
      <c r="F582" s="28" t="s">
        <v>1700</v>
      </c>
      <c r="G582" s="28"/>
    </row>
    <row r="583" spans="1:7">
      <c r="A583" s="28">
        <v>582</v>
      </c>
      <c r="B583" s="28" t="s">
        <v>2934</v>
      </c>
      <c r="C583" s="28">
        <v>4122013916</v>
      </c>
      <c r="D583" s="28" t="s">
        <v>3399</v>
      </c>
      <c r="E583" s="28" t="s">
        <v>3393</v>
      </c>
      <c r="F583" s="28" t="s">
        <v>1700</v>
      </c>
      <c r="G583" s="28" t="s">
        <v>1252</v>
      </c>
    </row>
    <row r="584" spans="1:7">
      <c r="A584" s="28">
        <v>583</v>
      </c>
      <c r="B584" s="28" t="s">
        <v>1906</v>
      </c>
      <c r="C584" s="28">
        <v>4122013917</v>
      </c>
      <c r="D584" s="28" t="s">
        <v>3394</v>
      </c>
      <c r="E584" s="28" t="s">
        <v>3401</v>
      </c>
      <c r="F584" s="28" t="s">
        <v>1700</v>
      </c>
      <c r="G584" s="28"/>
    </row>
    <row r="585" spans="1:7">
      <c r="A585" s="28">
        <v>584</v>
      </c>
      <c r="B585" s="28" t="s">
        <v>1908</v>
      </c>
      <c r="C585" s="28">
        <v>4122014107</v>
      </c>
      <c r="D585" s="28" t="s">
        <v>3394</v>
      </c>
      <c r="E585" s="28" t="s">
        <v>3398</v>
      </c>
      <c r="F585" s="28" t="s">
        <v>1700</v>
      </c>
      <c r="G585" s="28"/>
    </row>
    <row r="586" spans="1:7">
      <c r="A586" s="28">
        <v>585</v>
      </c>
      <c r="B586" s="28" t="s">
        <v>1909</v>
      </c>
      <c r="C586" s="28">
        <v>4122014190</v>
      </c>
      <c r="D586" s="28" t="s">
        <v>3394</v>
      </c>
      <c r="E586" s="28" t="s">
        <v>3402</v>
      </c>
      <c r="F586" s="28" t="s">
        <v>1700</v>
      </c>
      <c r="G586" s="28"/>
    </row>
    <row r="587" spans="1:7">
      <c r="A587" s="28">
        <v>586</v>
      </c>
      <c r="B587" s="28" t="s">
        <v>2935</v>
      </c>
      <c r="C587" s="28">
        <v>4122014291</v>
      </c>
      <c r="D587" s="28" t="s">
        <v>3399</v>
      </c>
      <c r="E587" s="28" t="s">
        <v>3393</v>
      </c>
      <c r="F587" s="28" t="s">
        <v>1700</v>
      </c>
      <c r="G587" s="28" t="s">
        <v>1252</v>
      </c>
    </row>
    <row r="588" spans="1:7">
      <c r="A588" s="28">
        <v>587</v>
      </c>
      <c r="B588" s="28" t="s">
        <v>1911</v>
      </c>
      <c r="C588" s="28">
        <v>4122014340</v>
      </c>
      <c r="D588" s="28" t="s">
        <v>3394</v>
      </c>
      <c r="E588" s="28" t="s">
        <v>3395</v>
      </c>
      <c r="F588" s="28" t="s">
        <v>1700</v>
      </c>
      <c r="G588" s="28"/>
    </row>
    <row r="589" spans="1:7">
      <c r="A589" s="28">
        <v>588</v>
      </c>
      <c r="B589" s="28" t="s">
        <v>2936</v>
      </c>
      <c r="C589" s="28">
        <v>4122014426</v>
      </c>
      <c r="D589" s="28" t="s">
        <v>3399</v>
      </c>
      <c r="E589" s="28" t="s">
        <v>3393</v>
      </c>
      <c r="F589" s="28" t="s">
        <v>1700</v>
      </c>
      <c r="G589" s="28" t="s">
        <v>1252</v>
      </c>
    </row>
    <row r="590" spans="1:7">
      <c r="A590" s="28">
        <v>589</v>
      </c>
      <c r="B590" s="28" t="s">
        <v>2937</v>
      </c>
      <c r="C590" s="28">
        <v>4122014567</v>
      </c>
      <c r="D590" s="28" t="s">
        <v>3399</v>
      </c>
      <c r="E590" s="28" t="s">
        <v>3395</v>
      </c>
      <c r="F590" s="28" t="s">
        <v>1700</v>
      </c>
      <c r="G590" s="28" t="s">
        <v>1252</v>
      </c>
    </row>
    <row r="591" spans="1:7">
      <c r="A591" s="28">
        <v>590</v>
      </c>
      <c r="B591" s="28" t="s">
        <v>1912</v>
      </c>
      <c r="C591" s="28">
        <v>4122014602</v>
      </c>
      <c r="D591" s="28" t="s">
        <v>3394</v>
      </c>
      <c r="E591" s="28" t="s">
        <v>3393</v>
      </c>
      <c r="F591" s="28" t="s">
        <v>1700</v>
      </c>
      <c r="G591" s="28"/>
    </row>
    <row r="592" spans="1:7">
      <c r="A592" s="28">
        <v>591</v>
      </c>
      <c r="B592" s="28" t="s">
        <v>2938</v>
      </c>
      <c r="C592" s="28">
        <v>4122014603</v>
      </c>
      <c r="D592" s="28" t="s">
        <v>3399</v>
      </c>
      <c r="E592" s="28" t="s">
        <v>3393</v>
      </c>
      <c r="F592" s="28" t="s">
        <v>1700</v>
      </c>
      <c r="G592" s="28" t="s">
        <v>1252</v>
      </c>
    </row>
    <row r="593" spans="1:7">
      <c r="A593" s="28">
        <v>592</v>
      </c>
      <c r="B593" s="28" t="s">
        <v>2939</v>
      </c>
      <c r="C593" s="28">
        <v>4122014701</v>
      </c>
      <c r="D593" s="28" t="s">
        <v>3399</v>
      </c>
      <c r="E593" s="28" t="s">
        <v>3393</v>
      </c>
      <c r="F593" s="28" t="s">
        <v>1700</v>
      </c>
      <c r="G593" s="28" t="s">
        <v>1252</v>
      </c>
    </row>
    <row r="594" spans="1:7">
      <c r="A594" s="28">
        <v>593</v>
      </c>
      <c r="B594" s="28" t="s">
        <v>2940</v>
      </c>
      <c r="C594" s="28">
        <v>4122014702</v>
      </c>
      <c r="D594" s="28" t="s">
        <v>3399</v>
      </c>
      <c r="E594" s="28" t="s">
        <v>3396</v>
      </c>
      <c r="F594" s="28" t="s">
        <v>1700</v>
      </c>
      <c r="G594" s="28" t="s">
        <v>1252</v>
      </c>
    </row>
    <row r="595" spans="1:7">
      <c r="A595" s="28">
        <v>594</v>
      </c>
      <c r="B595" s="28" t="s">
        <v>1913</v>
      </c>
      <c r="C595" s="28">
        <v>4122014743</v>
      </c>
      <c r="D595" s="28" t="s">
        <v>3394</v>
      </c>
      <c r="E595" s="28" t="s">
        <v>279</v>
      </c>
      <c r="F595" s="28" t="s">
        <v>1700</v>
      </c>
      <c r="G595" s="28"/>
    </row>
    <row r="596" spans="1:7">
      <c r="A596" s="28">
        <v>595</v>
      </c>
      <c r="B596" s="28" t="s">
        <v>1914</v>
      </c>
      <c r="C596" s="28">
        <v>4122014744</v>
      </c>
      <c r="D596" s="28" t="s">
        <v>3394</v>
      </c>
      <c r="E596" s="28" t="s">
        <v>3396</v>
      </c>
      <c r="F596" s="28" t="s">
        <v>1700</v>
      </c>
      <c r="G596" s="28"/>
    </row>
    <row r="597" spans="1:7">
      <c r="A597" s="28">
        <v>596</v>
      </c>
      <c r="B597" s="28" t="s">
        <v>3256</v>
      </c>
      <c r="C597" s="28">
        <v>4122014894</v>
      </c>
      <c r="D597" s="28" t="s">
        <v>3399</v>
      </c>
      <c r="E597" s="28" t="s">
        <v>3393</v>
      </c>
      <c r="F597" s="28" t="s">
        <v>1700</v>
      </c>
      <c r="G597" s="28" t="s">
        <v>1252</v>
      </c>
    </row>
    <row r="598" spans="1:7">
      <c r="A598" s="28">
        <v>597</v>
      </c>
      <c r="B598" s="28" t="s">
        <v>2873</v>
      </c>
      <c r="C598" s="28">
        <v>4122014910</v>
      </c>
      <c r="D598" s="28" t="s">
        <v>3394</v>
      </c>
      <c r="E598" s="28" t="s">
        <v>3397</v>
      </c>
      <c r="F598" s="28" t="s">
        <v>1700</v>
      </c>
      <c r="G598" s="28"/>
    </row>
    <row r="599" spans="1:7">
      <c r="A599" s="28">
        <v>598</v>
      </c>
      <c r="B599" s="28" t="s">
        <v>307</v>
      </c>
      <c r="C599" s="28">
        <v>4123010212</v>
      </c>
      <c r="D599" s="28" t="s">
        <v>3403</v>
      </c>
      <c r="E599" s="28" t="s">
        <v>3404</v>
      </c>
      <c r="F599" s="28" t="s">
        <v>11</v>
      </c>
      <c r="G599" s="28"/>
    </row>
    <row r="600" spans="1:7">
      <c r="A600" s="28">
        <v>599</v>
      </c>
      <c r="B600" s="28" t="s">
        <v>310</v>
      </c>
      <c r="C600" s="28">
        <v>4123010213</v>
      </c>
      <c r="D600" s="28" t="s">
        <v>3311</v>
      </c>
      <c r="E600" s="28" t="s">
        <v>3404</v>
      </c>
      <c r="F600" s="28" t="s">
        <v>11</v>
      </c>
      <c r="G600" s="28"/>
    </row>
    <row r="601" spans="1:7">
      <c r="A601" s="28">
        <v>600</v>
      </c>
      <c r="B601" s="28" t="s">
        <v>311</v>
      </c>
      <c r="C601" s="28">
        <v>4123010214</v>
      </c>
      <c r="D601" s="28" t="s">
        <v>3403</v>
      </c>
      <c r="E601" s="28" t="s">
        <v>3404</v>
      </c>
      <c r="F601" s="28" t="s">
        <v>11</v>
      </c>
      <c r="G601" s="28"/>
    </row>
    <row r="602" spans="1:7">
      <c r="A602" s="28">
        <v>601</v>
      </c>
      <c r="B602" s="28" t="s">
        <v>312</v>
      </c>
      <c r="C602" s="28">
        <v>4123010217</v>
      </c>
      <c r="D602" s="28" t="s">
        <v>3311</v>
      </c>
      <c r="E602" s="28" t="s">
        <v>3404</v>
      </c>
      <c r="F602" s="28" t="s">
        <v>11</v>
      </c>
      <c r="G602" s="28"/>
    </row>
    <row r="603" spans="1:7">
      <c r="A603" s="28">
        <v>602</v>
      </c>
      <c r="B603" s="28" t="s">
        <v>313</v>
      </c>
      <c r="C603" s="28">
        <v>4123010219</v>
      </c>
      <c r="D603" s="28" t="s">
        <v>3403</v>
      </c>
      <c r="E603" s="28" t="s">
        <v>3404</v>
      </c>
      <c r="F603" s="28" t="s">
        <v>11</v>
      </c>
      <c r="G603" s="28"/>
    </row>
    <row r="604" spans="1:7">
      <c r="A604" s="28">
        <v>603</v>
      </c>
      <c r="B604" s="28" t="s">
        <v>314</v>
      </c>
      <c r="C604" s="28">
        <v>4123010220</v>
      </c>
      <c r="D604" s="28" t="s">
        <v>3403</v>
      </c>
      <c r="E604" s="28" t="s">
        <v>3405</v>
      </c>
      <c r="F604" s="28" t="s">
        <v>11</v>
      </c>
      <c r="G604" s="28"/>
    </row>
    <row r="605" spans="1:7">
      <c r="A605" s="28">
        <v>604</v>
      </c>
      <c r="B605" s="28" t="s">
        <v>316</v>
      </c>
      <c r="C605" s="28">
        <v>4123010222</v>
      </c>
      <c r="D605" s="28" t="s">
        <v>3403</v>
      </c>
      <c r="E605" s="28" t="s">
        <v>3406</v>
      </c>
      <c r="F605" s="28" t="s">
        <v>11</v>
      </c>
      <c r="G605" s="28"/>
    </row>
    <row r="606" spans="1:7">
      <c r="A606" s="28">
        <v>605</v>
      </c>
      <c r="B606" s="28" t="s">
        <v>318</v>
      </c>
      <c r="C606" s="28">
        <v>4123010223</v>
      </c>
      <c r="D606" s="28" t="s">
        <v>3403</v>
      </c>
      <c r="E606" s="28" t="s">
        <v>3405</v>
      </c>
      <c r="F606" s="28" t="s">
        <v>11</v>
      </c>
      <c r="G606" s="28"/>
    </row>
    <row r="607" spans="1:7">
      <c r="A607" s="28">
        <v>606</v>
      </c>
      <c r="B607" s="28" t="s">
        <v>319</v>
      </c>
      <c r="C607" s="28">
        <v>4123010224</v>
      </c>
      <c r="D607" s="28" t="s">
        <v>3403</v>
      </c>
      <c r="E607" s="28" t="s">
        <v>3404</v>
      </c>
      <c r="F607" s="28" t="s">
        <v>11</v>
      </c>
      <c r="G607" s="28"/>
    </row>
    <row r="608" spans="1:7">
      <c r="A608" s="28">
        <v>607</v>
      </c>
      <c r="B608" s="28" t="s">
        <v>320</v>
      </c>
      <c r="C608" s="28">
        <v>4123010225</v>
      </c>
      <c r="D608" s="28" t="s">
        <v>3309</v>
      </c>
      <c r="E608" s="28" t="s">
        <v>3404</v>
      </c>
      <c r="F608" s="28" t="s">
        <v>11</v>
      </c>
      <c r="G608" s="28"/>
    </row>
    <row r="609" spans="1:7">
      <c r="A609" s="28">
        <v>608</v>
      </c>
      <c r="B609" s="28" t="s">
        <v>321</v>
      </c>
      <c r="C609" s="28">
        <v>4123010226</v>
      </c>
      <c r="D609" s="28" t="s">
        <v>3403</v>
      </c>
      <c r="E609" s="28" t="s">
        <v>3404</v>
      </c>
      <c r="F609" s="28" t="s">
        <v>11</v>
      </c>
      <c r="G609" s="28"/>
    </row>
    <row r="610" spans="1:7">
      <c r="A610" s="28">
        <v>609</v>
      </c>
      <c r="B610" s="28" t="s">
        <v>322</v>
      </c>
      <c r="C610" s="28">
        <v>4123010228</v>
      </c>
      <c r="D610" s="28" t="s">
        <v>3403</v>
      </c>
      <c r="E610" s="28" t="s">
        <v>3404</v>
      </c>
      <c r="F610" s="28" t="s">
        <v>11</v>
      </c>
      <c r="G610" s="28"/>
    </row>
    <row r="611" spans="1:7">
      <c r="A611" s="28">
        <v>610</v>
      </c>
      <c r="B611" s="28" t="s">
        <v>323</v>
      </c>
      <c r="C611" s="28">
        <v>4123010229</v>
      </c>
      <c r="D611" s="28" t="s">
        <v>3403</v>
      </c>
      <c r="E611" s="28" t="s">
        <v>3407</v>
      </c>
      <c r="F611" s="28" t="s">
        <v>11</v>
      </c>
      <c r="G611" s="28"/>
    </row>
    <row r="612" spans="1:7">
      <c r="A612" s="28">
        <v>611</v>
      </c>
      <c r="B612" s="28" t="s">
        <v>325</v>
      </c>
      <c r="C612" s="28">
        <v>4123010231</v>
      </c>
      <c r="D612" s="28" t="s">
        <v>3403</v>
      </c>
      <c r="E612" s="28" t="s">
        <v>3404</v>
      </c>
      <c r="F612" s="28" t="s">
        <v>11</v>
      </c>
      <c r="G612" s="28"/>
    </row>
    <row r="613" spans="1:7">
      <c r="A613" s="28">
        <v>612</v>
      </c>
      <c r="B613" s="28" t="s">
        <v>326</v>
      </c>
      <c r="C613" s="28">
        <v>4123010232</v>
      </c>
      <c r="D613" s="28" t="s">
        <v>3403</v>
      </c>
      <c r="E613" s="28" t="s">
        <v>3408</v>
      </c>
      <c r="F613" s="28" t="s">
        <v>11</v>
      </c>
      <c r="G613" s="28"/>
    </row>
    <row r="614" spans="1:7">
      <c r="A614" s="28">
        <v>613</v>
      </c>
      <c r="B614" s="28" t="s">
        <v>328</v>
      </c>
      <c r="C614" s="28">
        <v>4123010233</v>
      </c>
      <c r="D614" s="28" t="s">
        <v>3403</v>
      </c>
      <c r="E614" s="28" t="s">
        <v>3407</v>
      </c>
      <c r="F614" s="28" t="s">
        <v>11</v>
      </c>
      <c r="G614" s="28"/>
    </row>
    <row r="615" spans="1:7">
      <c r="A615" s="28">
        <v>614</v>
      </c>
      <c r="B615" s="28" t="s">
        <v>329</v>
      </c>
      <c r="C615" s="28">
        <v>4123010234</v>
      </c>
      <c r="D615" s="28" t="s">
        <v>3403</v>
      </c>
      <c r="E615" s="28" t="s">
        <v>3404</v>
      </c>
      <c r="F615" s="28" t="s">
        <v>11</v>
      </c>
      <c r="G615" s="28"/>
    </row>
    <row r="616" spans="1:7">
      <c r="A616" s="28">
        <v>615</v>
      </c>
      <c r="B616" s="28" t="s">
        <v>330</v>
      </c>
      <c r="C616" s="28">
        <v>4123010235</v>
      </c>
      <c r="D616" s="28" t="s">
        <v>3403</v>
      </c>
      <c r="E616" s="28" t="s">
        <v>3405</v>
      </c>
      <c r="F616" s="28" t="s">
        <v>11</v>
      </c>
      <c r="G616" s="28"/>
    </row>
    <row r="617" spans="1:7">
      <c r="A617" s="28">
        <v>616</v>
      </c>
      <c r="B617" s="28" t="s">
        <v>331</v>
      </c>
      <c r="C617" s="28">
        <v>4123010236</v>
      </c>
      <c r="D617" s="28" t="s">
        <v>3403</v>
      </c>
      <c r="E617" s="28" t="s">
        <v>3409</v>
      </c>
      <c r="F617" s="28" t="s">
        <v>11</v>
      </c>
      <c r="G617" s="28"/>
    </row>
    <row r="618" spans="1:7">
      <c r="A618" s="28">
        <v>617</v>
      </c>
      <c r="B618" s="28" t="s">
        <v>333</v>
      </c>
      <c r="C618" s="28">
        <v>4123010240</v>
      </c>
      <c r="D618" s="28" t="s">
        <v>3403</v>
      </c>
      <c r="E618" s="28" t="s">
        <v>3404</v>
      </c>
      <c r="F618" s="28" t="s">
        <v>11</v>
      </c>
      <c r="G618" s="28"/>
    </row>
    <row r="619" spans="1:7">
      <c r="A619" s="28">
        <v>618</v>
      </c>
      <c r="B619" s="28" t="s">
        <v>334</v>
      </c>
      <c r="C619" s="28">
        <v>4123010242</v>
      </c>
      <c r="D619" s="28" t="s">
        <v>3403</v>
      </c>
      <c r="E619" s="28" t="s">
        <v>3404</v>
      </c>
      <c r="F619" s="28" t="s">
        <v>11</v>
      </c>
      <c r="G619" s="28"/>
    </row>
    <row r="620" spans="1:7">
      <c r="A620" s="28">
        <v>619</v>
      </c>
      <c r="B620" s="28" t="s">
        <v>335</v>
      </c>
      <c r="C620" s="28">
        <v>4123010245</v>
      </c>
      <c r="D620" s="28" t="s">
        <v>3403</v>
      </c>
      <c r="E620" s="28" t="s">
        <v>3404</v>
      </c>
      <c r="F620" s="28" t="s">
        <v>11</v>
      </c>
      <c r="G620" s="28"/>
    </row>
    <row r="621" spans="1:7">
      <c r="A621" s="28">
        <v>620</v>
      </c>
      <c r="B621" s="28" t="s">
        <v>336</v>
      </c>
      <c r="C621" s="28">
        <v>4123011230</v>
      </c>
      <c r="D621" s="28" t="s">
        <v>3403</v>
      </c>
      <c r="E621" s="28" t="s">
        <v>3408</v>
      </c>
      <c r="F621" s="28" t="s">
        <v>11</v>
      </c>
      <c r="G621" s="28"/>
    </row>
    <row r="622" spans="1:7">
      <c r="A622" s="28">
        <v>621</v>
      </c>
      <c r="B622" s="28" t="s">
        <v>337</v>
      </c>
      <c r="C622" s="28">
        <v>4123011445</v>
      </c>
      <c r="D622" s="28" t="s">
        <v>3403</v>
      </c>
      <c r="E622" s="28" t="s">
        <v>3410</v>
      </c>
      <c r="F622" s="28" t="s">
        <v>11</v>
      </c>
      <c r="G622" s="28"/>
    </row>
    <row r="623" spans="1:7">
      <c r="A623" s="28">
        <v>622</v>
      </c>
      <c r="B623" s="28" t="s">
        <v>1335</v>
      </c>
      <c r="C623" s="28">
        <v>4123011446</v>
      </c>
      <c r="D623" s="28" t="s">
        <v>3411</v>
      </c>
      <c r="E623" s="28" t="s">
        <v>3404</v>
      </c>
      <c r="F623" s="28" t="s">
        <v>11</v>
      </c>
      <c r="G623" s="28" t="s">
        <v>1252</v>
      </c>
    </row>
    <row r="624" spans="1:7">
      <c r="A624" s="28">
        <v>623</v>
      </c>
      <c r="B624" s="28" t="s">
        <v>1336</v>
      </c>
      <c r="C624" s="28">
        <v>4123011635</v>
      </c>
      <c r="D624" s="28" t="s">
        <v>3411</v>
      </c>
      <c r="E624" s="28" t="s">
        <v>3404</v>
      </c>
      <c r="F624" s="28" t="s">
        <v>11</v>
      </c>
      <c r="G624" s="28" t="s">
        <v>1252</v>
      </c>
    </row>
    <row r="625" spans="1:7">
      <c r="A625" s="28">
        <v>624</v>
      </c>
      <c r="B625" s="28" t="s">
        <v>339</v>
      </c>
      <c r="C625" s="28">
        <v>4123011802</v>
      </c>
      <c r="D625" s="28" t="s">
        <v>3403</v>
      </c>
      <c r="E625" s="28" t="s">
        <v>3404</v>
      </c>
      <c r="F625" s="28" t="s">
        <v>11</v>
      </c>
      <c r="G625" s="28"/>
    </row>
    <row r="626" spans="1:7">
      <c r="A626" s="28">
        <v>625</v>
      </c>
      <c r="B626" s="28" t="s">
        <v>1337</v>
      </c>
      <c r="C626" s="28">
        <v>4123012729</v>
      </c>
      <c r="D626" s="28" t="s">
        <v>3411</v>
      </c>
      <c r="E626" s="28" t="s">
        <v>3408</v>
      </c>
      <c r="F626" s="28" t="s">
        <v>11</v>
      </c>
      <c r="G626" s="28" t="s">
        <v>1252</v>
      </c>
    </row>
    <row r="627" spans="1:7">
      <c r="A627" s="28">
        <v>626</v>
      </c>
      <c r="B627" s="28" t="s">
        <v>1338</v>
      </c>
      <c r="C627" s="28">
        <v>4123013296</v>
      </c>
      <c r="D627" s="28" t="s">
        <v>3411</v>
      </c>
      <c r="E627" s="28" t="s">
        <v>3404</v>
      </c>
      <c r="F627" s="28" t="s">
        <v>11</v>
      </c>
      <c r="G627" s="28" t="s">
        <v>1252</v>
      </c>
    </row>
    <row r="628" spans="1:7">
      <c r="A628" s="28">
        <v>627</v>
      </c>
      <c r="B628" s="28" t="s">
        <v>1339</v>
      </c>
      <c r="C628" s="28">
        <v>4123013298</v>
      </c>
      <c r="D628" s="28" t="s">
        <v>3411</v>
      </c>
      <c r="E628" s="28" t="s">
        <v>3404</v>
      </c>
      <c r="F628" s="28" t="s">
        <v>11</v>
      </c>
      <c r="G628" s="28" t="s">
        <v>1252</v>
      </c>
    </row>
    <row r="629" spans="1:7">
      <c r="A629" s="28">
        <v>628</v>
      </c>
      <c r="B629" s="28" t="s">
        <v>1340</v>
      </c>
      <c r="C629" s="28">
        <v>4123013299</v>
      </c>
      <c r="D629" s="28" t="s">
        <v>3411</v>
      </c>
      <c r="E629" s="28" t="s">
        <v>3404</v>
      </c>
      <c r="F629" s="28" t="s">
        <v>11</v>
      </c>
      <c r="G629" s="28" t="s">
        <v>1252</v>
      </c>
    </row>
    <row r="630" spans="1:7">
      <c r="A630" s="28">
        <v>629</v>
      </c>
      <c r="B630" s="28" t="s">
        <v>1341</v>
      </c>
      <c r="C630" s="28">
        <v>4123013300</v>
      </c>
      <c r="D630" s="28" t="s">
        <v>3411</v>
      </c>
      <c r="E630" s="28" t="s">
        <v>3404</v>
      </c>
      <c r="F630" s="28" t="s">
        <v>11</v>
      </c>
      <c r="G630" s="28" t="s">
        <v>1252</v>
      </c>
    </row>
    <row r="631" spans="1:7">
      <c r="A631" s="28">
        <v>630</v>
      </c>
      <c r="B631" s="28" t="s">
        <v>1342</v>
      </c>
      <c r="C631" s="28">
        <v>4123013301</v>
      </c>
      <c r="D631" s="28" t="s">
        <v>3411</v>
      </c>
      <c r="E631" s="28" t="s">
        <v>3404</v>
      </c>
      <c r="F631" s="28" t="s">
        <v>11</v>
      </c>
      <c r="G631" s="28" t="s">
        <v>1252</v>
      </c>
    </row>
    <row r="632" spans="1:7">
      <c r="A632" s="28">
        <v>631</v>
      </c>
      <c r="B632" s="28" t="s">
        <v>1343</v>
      </c>
      <c r="C632" s="28">
        <v>4123013303</v>
      </c>
      <c r="D632" s="28" t="s">
        <v>3411</v>
      </c>
      <c r="E632" s="28" t="s">
        <v>3404</v>
      </c>
      <c r="F632" s="28" t="s">
        <v>11</v>
      </c>
      <c r="G632" s="28" t="s">
        <v>1252</v>
      </c>
    </row>
    <row r="633" spans="1:7">
      <c r="A633" s="28">
        <v>632</v>
      </c>
      <c r="B633" s="28" t="s">
        <v>1344</v>
      </c>
      <c r="C633" s="28">
        <v>4123013304</v>
      </c>
      <c r="D633" s="28" t="s">
        <v>3411</v>
      </c>
      <c r="E633" s="28" t="s">
        <v>3404</v>
      </c>
      <c r="F633" s="28" t="s">
        <v>11</v>
      </c>
      <c r="G633" s="28" t="s">
        <v>1252</v>
      </c>
    </row>
    <row r="634" spans="1:7">
      <c r="A634" s="28">
        <v>633</v>
      </c>
      <c r="B634" s="28" t="s">
        <v>1345</v>
      </c>
      <c r="C634" s="28">
        <v>4123013306</v>
      </c>
      <c r="D634" s="28" t="s">
        <v>3411</v>
      </c>
      <c r="E634" s="28" t="s">
        <v>3404</v>
      </c>
      <c r="F634" s="28" t="s">
        <v>11</v>
      </c>
      <c r="G634" s="28" t="s">
        <v>1252</v>
      </c>
    </row>
    <row r="635" spans="1:7">
      <c r="A635" s="28">
        <v>634</v>
      </c>
      <c r="B635" s="28" t="s">
        <v>1346</v>
      </c>
      <c r="C635" s="28">
        <v>4123013307</v>
      </c>
      <c r="D635" s="28" t="s">
        <v>3411</v>
      </c>
      <c r="E635" s="28" t="s">
        <v>3404</v>
      </c>
      <c r="F635" s="28" t="s">
        <v>11</v>
      </c>
      <c r="G635" s="28" t="s">
        <v>1252</v>
      </c>
    </row>
    <row r="636" spans="1:7">
      <c r="A636" s="28">
        <v>635</v>
      </c>
      <c r="B636" s="28" t="s">
        <v>340</v>
      </c>
      <c r="C636" s="28">
        <v>4123013744</v>
      </c>
      <c r="D636" s="28" t="s">
        <v>3403</v>
      </c>
      <c r="E636" s="28" t="s">
        <v>3412</v>
      </c>
      <c r="F636" s="28" t="s">
        <v>11</v>
      </c>
      <c r="G636" s="28"/>
    </row>
    <row r="637" spans="1:7">
      <c r="A637" s="28">
        <v>636</v>
      </c>
      <c r="B637" s="28" t="s">
        <v>342</v>
      </c>
      <c r="C637" s="28">
        <v>4123014560</v>
      </c>
      <c r="D637" s="28" t="s">
        <v>3403</v>
      </c>
      <c r="E637" s="28" t="s">
        <v>3404</v>
      </c>
      <c r="F637" s="28" t="s">
        <v>11</v>
      </c>
      <c r="G637" s="28"/>
    </row>
    <row r="638" spans="1:7">
      <c r="A638" s="28">
        <v>637</v>
      </c>
      <c r="B638" s="28" t="s">
        <v>345</v>
      </c>
      <c r="C638" s="28">
        <v>4123012911</v>
      </c>
      <c r="D638" s="28" t="s">
        <v>3403</v>
      </c>
      <c r="E638" s="28" t="s">
        <v>3404</v>
      </c>
      <c r="F638" s="28" t="s">
        <v>11</v>
      </c>
      <c r="G638" s="28"/>
    </row>
    <row r="639" spans="1:7">
      <c r="A639" s="28">
        <v>638</v>
      </c>
      <c r="B639" s="28" t="s">
        <v>1915</v>
      </c>
      <c r="C639" s="28">
        <v>4123010238</v>
      </c>
      <c r="D639" s="28" t="s">
        <v>3403</v>
      </c>
      <c r="E639" s="28" t="s">
        <v>3408</v>
      </c>
      <c r="F639" s="28" t="s">
        <v>1700</v>
      </c>
      <c r="G639" s="28"/>
    </row>
    <row r="640" spans="1:7">
      <c r="A640" s="28">
        <v>639</v>
      </c>
      <c r="B640" s="28" t="s">
        <v>1916</v>
      </c>
      <c r="C640" s="28">
        <v>4123010872</v>
      </c>
      <c r="D640" s="28" t="s">
        <v>3403</v>
      </c>
      <c r="E640" s="28" t="s">
        <v>3413</v>
      </c>
      <c r="F640" s="28" t="s">
        <v>1700</v>
      </c>
      <c r="G640" s="28"/>
    </row>
    <row r="641" spans="1:7">
      <c r="A641" s="28">
        <v>640</v>
      </c>
      <c r="B641" s="28" t="s">
        <v>1918</v>
      </c>
      <c r="C641" s="28">
        <v>4123011046</v>
      </c>
      <c r="D641" s="28" t="s">
        <v>3403</v>
      </c>
      <c r="E641" s="28" t="s">
        <v>3407</v>
      </c>
      <c r="F641" s="28" t="s">
        <v>1700</v>
      </c>
      <c r="G641" s="28"/>
    </row>
    <row r="642" spans="1:7">
      <c r="A642" s="28">
        <v>641</v>
      </c>
      <c r="B642" s="28" t="s">
        <v>1919</v>
      </c>
      <c r="C642" s="28">
        <v>4123011449</v>
      </c>
      <c r="D642" s="28" t="s">
        <v>3403</v>
      </c>
      <c r="E642" s="28" t="s">
        <v>3404</v>
      </c>
      <c r="F642" s="28" t="s">
        <v>1700</v>
      </c>
      <c r="G642" s="28"/>
    </row>
    <row r="643" spans="1:7">
      <c r="A643" s="28">
        <v>642</v>
      </c>
      <c r="B643" s="28" t="s">
        <v>3414</v>
      </c>
      <c r="C643" s="28">
        <v>4123012053</v>
      </c>
      <c r="D643" s="28" t="s">
        <v>3403</v>
      </c>
      <c r="E643" s="28" t="s">
        <v>3404</v>
      </c>
      <c r="F643" s="28" t="s">
        <v>1700</v>
      </c>
      <c r="G643" s="28"/>
    </row>
    <row r="644" spans="1:7">
      <c r="A644" s="28">
        <v>643</v>
      </c>
      <c r="B644" s="28" t="s">
        <v>1920</v>
      </c>
      <c r="C644" s="28">
        <v>4123012490</v>
      </c>
      <c r="D644" s="28" t="s">
        <v>3403</v>
      </c>
      <c r="E644" s="28" t="s">
        <v>3404</v>
      </c>
      <c r="F644" s="28" t="s">
        <v>1700</v>
      </c>
      <c r="G644" s="28"/>
    </row>
    <row r="645" spans="1:7">
      <c r="A645" s="28">
        <v>644</v>
      </c>
      <c r="B645" s="28" t="s">
        <v>1921</v>
      </c>
      <c r="C645" s="28">
        <v>4123012718</v>
      </c>
      <c r="D645" s="28" t="s">
        <v>3403</v>
      </c>
      <c r="E645" s="28" t="s">
        <v>3405</v>
      </c>
      <c r="F645" s="28" t="s">
        <v>1700</v>
      </c>
      <c r="G645" s="28"/>
    </row>
    <row r="646" spans="1:7">
      <c r="A646" s="28">
        <v>645</v>
      </c>
      <c r="B646" s="28" t="s">
        <v>1922</v>
      </c>
      <c r="C646" s="28">
        <v>4123012724</v>
      </c>
      <c r="D646" s="28" t="s">
        <v>3403</v>
      </c>
      <c r="E646" s="28" t="s">
        <v>3407</v>
      </c>
      <c r="F646" s="28" t="s">
        <v>1700</v>
      </c>
      <c r="G646" s="28"/>
    </row>
    <row r="647" spans="1:7">
      <c r="A647" s="28">
        <v>646</v>
      </c>
      <c r="B647" s="28" t="s">
        <v>1923</v>
      </c>
      <c r="C647" s="28">
        <v>4123012725</v>
      </c>
      <c r="D647" s="28" t="s">
        <v>3403</v>
      </c>
      <c r="E647" s="28" t="s">
        <v>3406</v>
      </c>
      <c r="F647" s="28" t="s">
        <v>1700</v>
      </c>
      <c r="G647" s="28"/>
    </row>
    <row r="648" spans="1:7">
      <c r="A648" s="28">
        <v>647</v>
      </c>
      <c r="B648" s="28" t="s">
        <v>3415</v>
      </c>
      <c r="C648" s="28">
        <v>4123012726</v>
      </c>
      <c r="D648" s="28" t="s">
        <v>3403</v>
      </c>
      <c r="E648" s="28" t="s">
        <v>3404</v>
      </c>
      <c r="F648" s="28" t="s">
        <v>1700</v>
      </c>
      <c r="G648" s="28"/>
    </row>
    <row r="649" spans="1:7">
      <c r="A649" s="28">
        <v>648</v>
      </c>
      <c r="B649" s="28" t="s">
        <v>1924</v>
      </c>
      <c r="C649" s="28">
        <v>4123012727</v>
      </c>
      <c r="D649" s="28" t="s">
        <v>3403</v>
      </c>
      <c r="E649" s="28" t="s">
        <v>3404</v>
      </c>
      <c r="F649" s="28" t="s">
        <v>1700</v>
      </c>
      <c r="G649" s="28"/>
    </row>
    <row r="650" spans="1:7">
      <c r="A650" s="28">
        <v>649</v>
      </c>
      <c r="B650" s="28" t="s">
        <v>1925</v>
      </c>
      <c r="C650" s="28">
        <v>4123012728</v>
      </c>
      <c r="D650" s="28" t="s">
        <v>3403</v>
      </c>
      <c r="E650" s="28" t="s">
        <v>3404</v>
      </c>
      <c r="F650" s="28" t="s">
        <v>1700</v>
      </c>
      <c r="G650" s="28"/>
    </row>
    <row r="651" spans="1:7">
      <c r="A651" s="28">
        <v>650</v>
      </c>
      <c r="B651" s="28" t="s">
        <v>1926</v>
      </c>
      <c r="C651" s="28">
        <v>4123012905</v>
      </c>
      <c r="D651" s="28" t="s">
        <v>3403</v>
      </c>
      <c r="E651" s="28" t="s">
        <v>3416</v>
      </c>
      <c r="F651" s="28" t="s">
        <v>1700</v>
      </c>
      <c r="G651" s="28"/>
    </row>
    <row r="652" spans="1:7">
      <c r="A652" s="28">
        <v>651</v>
      </c>
      <c r="B652" s="28" t="s">
        <v>1928</v>
      </c>
      <c r="C652" s="28">
        <v>4123012906</v>
      </c>
      <c r="D652" s="28" t="s">
        <v>3403</v>
      </c>
      <c r="E652" s="28" t="s">
        <v>3404</v>
      </c>
      <c r="F652" s="28" t="s">
        <v>1700</v>
      </c>
      <c r="G652" s="28"/>
    </row>
    <row r="653" spans="1:7">
      <c r="A653" s="28">
        <v>652</v>
      </c>
      <c r="B653" s="28" t="s">
        <v>1929</v>
      </c>
      <c r="C653" s="28">
        <v>4123012907</v>
      </c>
      <c r="D653" s="28" t="s">
        <v>3403</v>
      </c>
      <c r="E653" s="28" t="s">
        <v>3404</v>
      </c>
      <c r="F653" s="28" t="s">
        <v>1700</v>
      </c>
      <c r="G653" s="28"/>
    </row>
    <row r="654" spans="1:7">
      <c r="A654" s="28">
        <v>653</v>
      </c>
      <c r="B654" s="28" t="s">
        <v>1930</v>
      </c>
      <c r="C654" s="28">
        <v>4123012908</v>
      </c>
      <c r="D654" s="28" t="s">
        <v>3403</v>
      </c>
      <c r="E654" s="28" t="s">
        <v>3417</v>
      </c>
      <c r="F654" s="28" t="s">
        <v>1700</v>
      </c>
      <c r="G654" s="28"/>
    </row>
    <row r="655" spans="1:7">
      <c r="A655" s="28">
        <v>654</v>
      </c>
      <c r="B655" s="28" t="s">
        <v>1932</v>
      </c>
      <c r="C655" s="28">
        <v>4123012910</v>
      </c>
      <c r="D655" s="28" t="s">
        <v>3403</v>
      </c>
      <c r="E655" s="28" t="s">
        <v>3407</v>
      </c>
      <c r="F655" s="28" t="s">
        <v>1700</v>
      </c>
      <c r="G655" s="28"/>
    </row>
    <row r="656" spans="1:7">
      <c r="A656" s="28">
        <v>655</v>
      </c>
      <c r="B656" s="28" t="s">
        <v>2941</v>
      </c>
      <c r="C656" s="28">
        <v>4123013302</v>
      </c>
      <c r="D656" s="28" t="s">
        <v>3411</v>
      </c>
      <c r="E656" s="28" t="s">
        <v>3404</v>
      </c>
      <c r="F656" s="28" t="s">
        <v>1700</v>
      </c>
      <c r="G656" s="28" t="s">
        <v>1252</v>
      </c>
    </row>
    <row r="657" spans="1:7">
      <c r="A657" s="28">
        <v>656</v>
      </c>
      <c r="B657" s="28" t="s">
        <v>1933</v>
      </c>
      <c r="C657" s="28">
        <v>4123013448</v>
      </c>
      <c r="D657" s="28" t="s">
        <v>3403</v>
      </c>
      <c r="E657" s="28" t="s">
        <v>3407</v>
      </c>
      <c r="F657" s="28" t="s">
        <v>1700</v>
      </c>
      <c r="G657" s="28"/>
    </row>
    <row r="658" spans="1:7">
      <c r="A658" s="28">
        <v>657</v>
      </c>
      <c r="B658" s="28" t="s">
        <v>1934</v>
      </c>
      <c r="C658" s="28">
        <v>4123013449</v>
      </c>
      <c r="D658" s="28" t="s">
        <v>3403</v>
      </c>
      <c r="E658" s="28" t="s">
        <v>3404</v>
      </c>
      <c r="F658" s="28" t="s">
        <v>1700</v>
      </c>
      <c r="G658" s="28"/>
    </row>
    <row r="659" spans="1:7">
      <c r="A659" s="28">
        <v>658</v>
      </c>
      <c r="B659" s="28" t="s">
        <v>2942</v>
      </c>
      <c r="C659" s="28">
        <v>4123013451</v>
      </c>
      <c r="D659" s="28" t="s">
        <v>3411</v>
      </c>
      <c r="E659" s="28" t="s">
        <v>3404</v>
      </c>
      <c r="F659" s="28" t="s">
        <v>1700</v>
      </c>
      <c r="G659" s="28" t="s">
        <v>1252</v>
      </c>
    </row>
    <row r="660" spans="1:7">
      <c r="A660" s="28">
        <v>659</v>
      </c>
      <c r="B660" s="28" t="s">
        <v>1935</v>
      </c>
      <c r="C660" s="28">
        <v>4123013729</v>
      </c>
      <c r="D660" s="28" t="s">
        <v>3403</v>
      </c>
      <c r="E660" s="28" t="s">
        <v>3404</v>
      </c>
      <c r="F660" s="28" t="s">
        <v>1700</v>
      </c>
      <c r="G660" s="28"/>
    </row>
    <row r="661" spans="1:7">
      <c r="A661" s="28">
        <v>660</v>
      </c>
      <c r="B661" s="28" t="s">
        <v>2943</v>
      </c>
      <c r="C661" s="28">
        <v>4123013730</v>
      </c>
      <c r="D661" s="28" t="s">
        <v>3411</v>
      </c>
      <c r="E661" s="28" t="s">
        <v>3406</v>
      </c>
      <c r="F661" s="28" t="s">
        <v>1700</v>
      </c>
      <c r="G661" s="28" t="s">
        <v>1252</v>
      </c>
    </row>
    <row r="662" spans="1:7">
      <c r="A662" s="28">
        <v>661</v>
      </c>
      <c r="B662" s="28" t="s">
        <v>1936</v>
      </c>
      <c r="C662" s="28">
        <v>4123013731</v>
      </c>
      <c r="D662" s="28" t="s">
        <v>3403</v>
      </c>
      <c r="E662" s="28" t="s">
        <v>3404</v>
      </c>
      <c r="F662" s="28" t="s">
        <v>1700</v>
      </c>
      <c r="G662" s="28"/>
    </row>
    <row r="663" spans="1:7">
      <c r="A663" s="28">
        <v>662</v>
      </c>
      <c r="B663" s="28" t="s">
        <v>1937</v>
      </c>
      <c r="C663" s="28">
        <v>4123013732</v>
      </c>
      <c r="D663" s="28" t="s">
        <v>3403</v>
      </c>
      <c r="E663" s="28" t="s">
        <v>3418</v>
      </c>
      <c r="F663" s="28" t="s">
        <v>1700</v>
      </c>
      <c r="G663" s="28"/>
    </row>
    <row r="664" spans="1:7">
      <c r="A664" s="28">
        <v>663</v>
      </c>
      <c r="B664" s="28" t="s">
        <v>1939</v>
      </c>
      <c r="C664" s="28">
        <v>4123013918</v>
      </c>
      <c r="D664" s="28" t="s">
        <v>3403</v>
      </c>
      <c r="E664" s="28" t="s">
        <v>3419</v>
      </c>
      <c r="F664" s="28" t="s">
        <v>1700</v>
      </c>
      <c r="G664" s="28"/>
    </row>
    <row r="665" spans="1:7">
      <c r="A665" s="28">
        <v>664</v>
      </c>
      <c r="B665" s="28" t="s">
        <v>1941</v>
      </c>
      <c r="C665" s="28">
        <v>4123013935</v>
      </c>
      <c r="D665" s="28" t="s">
        <v>3403</v>
      </c>
      <c r="E665" s="28" t="s">
        <v>3404</v>
      </c>
      <c r="F665" s="28" t="s">
        <v>1700</v>
      </c>
      <c r="G665" s="28"/>
    </row>
    <row r="666" spans="1:7">
      <c r="A666" s="28">
        <v>665</v>
      </c>
      <c r="B666" s="28" t="s">
        <v>1942</v>
      </c>
      <c r="C666" s="28">
        <v>4123014017</v>
      </c>
      <c r="D666" s="28" t="s">
        <v>3403</v>
      </c>
      <c r="E666" s="28" t="s">
        <v>3405</v>
      </c>
      <c r="F666" s="28" t="s">
        <v>1700</v>
      </c>
      <c r="G666" s="28"/>
    </row>
    <row r="667" spans="1:7">
      <c r="A667" s="28">
        <v>666</v>
      </c>
      <c r="B667" s="28" t="s">
        <v>1943</v>
      </c>
      <c r="C667" s="28">
        <v>4123014053</v>
      </c>
      <c r="D667" s="28" t="s">
        <v>3403</v>
      </c>
      <c r="E667" s="28" t="s">
        <v>3404</v>
      </c>
      <c r="F667" s="28" t="s">
        <v>1700</v>
      </c>
      <c r="G667" s="28"/>
    </row>
    <row r="668" spans="1:7">
      <c r="A668" s="28">
        <v>667</v>
      </c>
      <c r="B668" s="28" t="s">
        <v>2944</v>
      </c>
      <c r="C668" s="28">
        <v>4123014055</v>
      </c>
      <c r="D668" s="28" t="s">
        <v>3411</v>
      </c>
      <c r="E668" s="28" t="s">
        <v>3404</v>
      </c>
      <c r="F668" s="28" t="s">
        <v>1700</v>
      </c>
      <c r="G668" s="28" t="s">
        <v>1252</v>
      </c>
    </row>
    <row r="669" spans="1:7">
      <c r="A669" s="28">
        <v>668</v>
      </c>
      <c r="B669" s="28" t="s">
        <v>1944</v>
      </c>
      <c r="C669" s="28">
        <v>4123014095</v>
      </c>
      <c r="D669" s="28" t="s">
        <v>3403</v>
      </c>
      <c r="E669" s="28" t="s">
        <v>3407</v>
      </c>
      <c r="F669" s="28" t="s">
        <v>1700</v>
      </c>
      <c r="G669" s="28"/>
    </row>
    <row r="670" spans="1:7">
      <c r="A670" s="28">
        <v>669</v>
      </c>
      <c r="B670" s="28" t="s">
        <v>1945</v>
      </c>
      <c r="C670" s="28">
        <v>4123014108</v>
      </c>
      <c r="D670" s="28" t="s">
        <v>3403</v>
      </c>
      <c r="E670" s="28" t="s">
        <v>3404</v>
      </c>
      <c r="F670" s="28" t="s">
        <v>1700</v>
      </c>
      <c r="G670" s="28"/>
    </row>
    <row r="671" spans="1:7">
      <c r="A671" s="28">
        <v>670</v>
      </c>
      <c r="B671" s="28" t="s">
        <v>1946</v>
      </c>
      <c r="C671" s="28">
        <v>4123014178</v>
      </c>
      <c r="D671" s="28" t="s">
        <v>3403</v>
      </c>
      <c r="E671" s="28" t="s">
        <v>3406</v>
      </c>
      <c r="F671" s="28" t="s">
        <v>1700</v>
      </c>
      <c r="G671" s="28"/>
    </row>
    <row r="672" spans="1:7">
      <c r="A672" s="28">
        <v>671</v>
      </c>
      <c r="B672" s="28" t="s">
        <v>1947</v>
      </c>
      <c r="C672" s="28">
        <v>4123014272</v>
      </c>
      <c r="D672" s="28" t="s">
        <v>3403</v>
      </c>
      <c r="E672" s="28" t="s">
        <v>3404</v>
      </c>
      <c r="F672" s="28" t="s">
        <v>1700</v>
      </c>
      <c r="G672" s="28"/>
    </row>
    <row r="673" spans="1:7">
      <c r="A673" s="28">
        <v>672</v>
      </c>
      <c r="B673" s="28" t="s">
        <v>2945</v>
      </c>
      <c r="C673" s="28">
        <v>4123014400</v>
      </c>
      <c r="D673" s="28" t="s">
        <v>3411</v>
      </c>
      <c r="E673" s="28" t="s">
        <v>3408</v>
      </c>
      <c r="F673" s="28" t="s">
        <v>1700</v>
      </c>
      <c r="G673" s="28" t="s">
        <v>1252</v>
      </c>
    </row>
    <row r="674" spans="1:7">
      <c r="A674" s="28">
        <v>673</v>
      </c>
      <c r="B674" s="28" t="s">
        <v>1948</v>
      </c>
      <c r="C674" s="28">
        <v>4123014425</v>
      </c>
      <c r="D674" s="28" t="s">
        <v>3403</v>
      </c>
      <c r="E674" s="28" t="s">
        <v>3404</v>
      </c>
      <c r="F674" s="28" t="s">
        <v>1700</v>
      </c>
      <c r="G674" s="28"/>
    </row>
    <row r="675" spans="1:7">
      <c r="A675" s="28">
        <v>674</v>
      </c>
      <c r="B675" s="28" t="s">
        <v>1949</v>
      </c>
      <c r="C675" s="28">
        <v>4123014540</v>
      </c>
      <c r="D675" s="28" t="s">
        <v>3403</v>
      </c>
      <c r="E675" s="28" t="s">
        <v>3404</v>
      </c>
      <c r="F675" s="28" t="s">
        <v>1700</v>
      </c>
      <c r="G675" s="28"/>
    </row>
    <row r="676" spans="1:7">
      <c r="A676" s="28">
        <v>675</v>
      </c>
      <c r="B676" s="28" t="s">
        <v>2946</v>
      </c>
      <c r="C676" s="28">
        <v>4123014633</v>
      </c>
      <c r="D676" s="28" t="s">
        <v>3411</v>
      </c>
      <c r="E676" s="28" t="s">
        <v>3404</v>
      </c>
      <c r="F676" s="28" t="s">
        <v>1700</v>
      </c>
      <c r="G676" s="28" t="s">
        <v>1252</v>
      </c>
    </row>
    <row r="677" spans="1:7">
      <c r="A677" s="28">
        <v>676</v>
      </c>
      <c r="B677" s="28" t="s">
        <v>3284</v>
      </c>
      <c r="C677" s="28">
        <v>4123014911</v>
      </c>
      <c r="D677" s="28" t="s">
        <v>3411</v>
      </c>
      <c r="E677" s="28" t="s">
        <v>3404</v>
      </c>
      <c r="F677" s="28" t="s">
        <v>1700</v>
      </c>
      <c r="G677" s="28" t="s">
        <v>1252</v>
      </c>
    </row>
    <row r="678" spans="1:7">
      <c r="A678" s="28">
        <v>677</v>
      </c>
      <c r="B678" s="28" t="s">
        <v>3285</v>
      </c>
      <c r="C678" s="28">
        <v>4123014912</v>
      </c>
      <c r="D678" s="28" t="s">
        <v>3411</v>
      </c>
      <c r="E678" s="28" t="s">
        <v>3408</v>
      </c>
      <c r="F678" s="28" t="s">
        <v>1700</v>
      </c>
      <c r="G678" s="28" t="s">
        <v>1252</v>
      </c>
    </row>
    <row r="679" spans="1:7">
      <c r="A679" s="28">
        <v>678</v>
      </c>
      <c r="B679" s="28" t="s">
        <v>346</v>
      </c>
      <c r="C679" s="28">
        <v>4131010246</v>
      </c>
      <c r="D679" s="28" t="s">
        <v>3309</v>
      </c>
      <c r="E679" s="28" t="s">
        <v>3420</v>
      </c>
      <c r="F679" s="28" t="s">
        <v>11</v>
      </c>
      <c r="G679" s="28"/>
    </row>
    <row r="680" spans="1:7">
      <c r="A680" s="28">
        <v>679</v>
      </c>
      <c r="B680" s="28" t="s">
        <v>348</v>
      </c>
      <c r="C680" s="28">
        <v>4131010247</v>
      </c>
      <c r="D680" s="28" t="s">
        <v>3309</v>
      </c>
      <c r="E680" s="28" t="s">
        <v>3420</v>
      </c>
      <c r="F680" s="28" t="s">
        <v>11</v>
      </c>
      <c r="G680" s="28"/>
    </row>
    <row r="681" spans="1:7">
      <c r="A681" s="28">
        <v>680</v>
      </c>
      <c r="B681" s="28" t="s">
        <v>349</v>
      </c>
      <c r="C681" s="28">
        <v>4131010248</v>
      </c>
      <c r="D681" s="28" t="s">
        <v>3309</v>
      </c>
      <c r="E681" s="28" t="s">
        <v>3420</v>
      </c>
      <c r="F681" s="28" t="s">
        <v>11</v>
      </c>
      <c r="G681" s="28"/>
    </row>
    <row r="682" spans="1:7">
      <c r="A682" s="28">
        <v>681</v>
      </c>
      <c r="B682" s="28" t="s">
        <v>350</v>
      </c>
      <c r="C682" s="28">
        <v>4131010251</v>
      </c>
      <c r="D682" s="28" t="s">
        <v>3309</v>
      </c>
      <c r="E682" s="28" t="s">
        <v>3420</v>
      </c>
      <c r="F682" s="28" t="s">
        <v>11</v>
      </c>
      <c r="G682" s="28"/>
    </row>
    <row r="683" spans="1:7">
      <c r="A683" s="28">
        <v>682</v>
      </c>
      <c r="B683" s="28" t="s">
        <v>351</v>
      </c>
      <c r="C683" s="28">
        <v>4131010252</v>
      </c>
      <c r="D683" s="28" t="s">
        <v>3420</v>
      </c>
      <c r="E683" s="28" t="s">
        <v>3420</v>
      </c>
      <c r="F683" s="28" t="s">
        <v>11</v>
      </c>
      <c r="G683" s="28"/>
    </row>
    <row r="684" spans="1:7">
      <c r="A684" s="28">
        <v>683</v>
      </c>
      <c r="B684" s="28" t="s">
        <v>352</v>
      </c>
      <c r="C684" s="28">
        <v>4131010254</v>
      </c>
      <c r="D684" s="28" t="s">
        <v>3420</v>
      </c>
      <c r="E684" s="28" t="s">
        <v>3420</v>
      </c>
      <c r="F684" s="28" t="s">
        <v>11</v>
      </c>
      <c r="G684" s="28"/>
    </row>
    <row r="685" spans="1:7">
      <c r="A685" s="28">
        <v>684</v>
      </c>
      <c r="B685" s="28" t="s">
        <v>353</v>
      </c>
      <c r="C685" s="28">
        <v>4131010255</v>
      </c>
      <c r="D685" s="28" t="s">
        <v>3309</v>
      </c>
      <c r="E685" s="28" t="s">
        <v>3420</v>
      </c>
      <c r="F685" s="28" t="s">
        <v>11</v>
      </c>
      <c r="G685" s="28"/>
    </row>
    <row r="686" spans="1:7">
      <c r="A686" s="28">
        <v>685</v>
      </c>
      <c r="B686" s="28" t="s">
        <v>354</v>
      </c>
      <c r="C686" s="28">
        <v>4131010256</v>
      </c>
      <c r="D686" s="28" t="s">
        <v>3420</v>
      </c>
      <c r="E686" s="28" t="s">
        <v>3420</v>
      </c>
      <c r="F686" s="28" t="s">
        <v>11</v>
      </c>
      <c r="G686" s="28"/>
    </row>
    <row r="687" spans="1:7">
      <c r="A687" s="28">
        <v>686</v>
      </c>
      <c r="B687" s="28" t="s">
        <v>355</v>
      </c>
      <c r="C687" s="28">
        <v>4131010259</v>
      </c>
      <c r="D687" s="28" t="s">
        <v>3420</v>
      </c>
      <c r="E687" s="28" t="s">
        <v>3420</v>
      </c>
      <c r="F687" s="28" t="s">
        <v>11</v>
      </c>
      <c r="G687" s="28"/>
    </row>
    <row r="688" spans="1:7">
      <c r="A688" s="28">
        <v>687</v>
      </c>
      <c r="B688" s="28" t="s">
        <v>356</v>
      </c>
      <c r="C688" s="28">
        <v>4131010262</v>
      </c>
      <c r="D688" s="28" t="s">
        <v>3420</v>
      </c>
      <c r="E688" s="28" t="s">
        <v>3420</v>
      </c>
      <c r="F688" s="28" t="s">
        <v>11</v>
      </c>
      <c r="G688" s="28"/>
    </row>
    <row r="689" spans="1:7">
      <c r="A689" s="28">
        <v>688</v>
      </c>
      <c r="B689" s="28" t="s">
        <v>357</v>
      </c>
      <c r="C689" s="28">
        <v>4131010264</v>
      </c>
      <c r="D689" s="28" t="s">
        <v>3420</v>
      </c>
      <c r="E689" s="28" t="s">
        <v>3420</v>
      </c>
      <c r="F689" s="28" t="s">
        <v>11</v>
      </c>
      <c r="G689" s="28"/>
    </row>
    <row r="690" spans="1:7">
      <c r="A690" s="28">
        <v>689</v>
      </c>
      <c r="B690" s="28" t="s">
        <v>358</v>
      </c>
      <c r="C690" s="28">
        <v>4131010268</v>
      </c>
      <c r="D690" s="28" t="s">
        <v>3420</v>
      </c>
      <c r="E690" s="28" t="s">
        <v>3420</v>
      </c>
      <c r="F690" s="28" t="s">
        <v>11</v>
      </c>
      <c r="G690" s="28"/>
    </row>
    <row r="691" spans="1:7">
      <c r="A691" s="28">
        <v>690</v>
      </c>
      <c r="B691" s="28" t="s">
        <v>359</v>
      </c>
      <c r="C691" s="28">
        <v>4131010269</v>
      </c>
      <c r="D691" s="28" t="s">
        <v>3309</v>
      </c>
      <c r="E691" s="28" t="s">
        <v>3420</v>
      </c>
      <c r="F691" s="28" t="s">
        <v>11</v>
      </c>
      <c r="G691" s="28"/>
    </row>
    <row r="692" spans="1:7">
      <c r="A692" s="28">
        <v>691</v>
      </c>
      <c r="B692" s="28" t="s">
        <v>360</v>
      </c>
      <c r="C692" s="28">
        <v>4131010270</v>
      </c>
      <c r="D692" s="28" t="s">
        <v>3420</v>
      </c>
      <c r="E692" s="28" t="s">
        <v>3420</v>
      </c>
      <c r="F692" s="28" t="s">
        <v>11</v>
      </c>
      <c r="G692" s="28"/>
    </row>
    <row r="693" spans="1:7">
      <c r="A693" s="28">
        <v>692</v>
      </c>
      <c r="B693" s="28" t="s">
        <v>361</v>
      </c>
      <c r="C693" s="28">
        <v>4131010271</v>
      </c>
      <c r="D693" s="28" t="s">
        <v>3309</v>
      </c>
      <c r="E693" s="28" t="s">
        <v>3420</v>
      </c>
      <c r="F693" s="28" t="s">
        <v>11</v>
      </c>
      <c r="G693" s="28"/>
    </row>
    <row r="694" spans="1:7">
      <c r="A694" s="28">
        <v>693</v>
      </c>
      <c r="B694" s="28" t="s">
        <v>362</v>
      </c>
      <c r="C694" s="28">
        <v>4131010272</v>
      </c>
      <c r="D694" s="28" t="s">
        <v>3309</v>
      </c>
      <c r="E694" s="28" t="s">
        <v>3420</v>
      </c>
      <c r="F694" s="28" t="s">
        <v>11</v>
      </c>
      <c r="G694" s="28"/>
    </row>
    <row r="695" spans="1:7">
      <c r="A695" s="28">
        <v>694</v>
      </c>
      <c r="B695" s="28" t="s">
        <v>363</v>
      </c>
      <c r="C695" s="28">
        <v>4131010273</v>
      </c>
      <c r="D695" s="28" t="s">
        <v>3420</v>
      </c>
      <c r="E695" s="28" t="s">
        <v>3420</v>
      </c>
      <c r="F695" s="28" t="s">
        <v>11</v>
      </c>
      <c r="G695" s="28"/>
    </row>
    <row r="696" spans="1:7">
      <c r="A696" s="28">
        <v>695</v>
      </c>
      <c r="B696" s="28" t="s">
        <v>364</v>
      </c>
      <c r="C696" s="28">
        <v>4131010274</v>
      </c>
      <c r="D696" s="28" t="s">
        <v>3421</v>
      </c>
      <c r="E696" s="28" t="s">
        <v>3420</v>
      </c>
      <c r="F696" s="28" t="s">
        <v>11</v>
      </c>
      <c r="G696" s="28"/>
    </row>
    <row r="697" spans="1:7">
      <c r="A697" s="28">
        <v>696</v>
      </c>
      <c r="B697" s="28" t="s">
        <v>365</v>
      </c>
      <c r="C697" s="28">
        <v>4131010276</v>
      </c>
      <c r="D697" s="28" t="s">
        <v>3420</v>
      </c>
      <c r="E697" s="28" t="s">
        <v>3420</v>
      </c>
      <c r="F697" s="28" t="s">
        <v>11</v>
      </c>
      <c r="G697" s="28"/>
    </row>
    <row r="698" spans="1:7">
      <c r="A698" s="28">
        <v>697</v>
      </c>
      <c r="B698" s="28" t="s">
        <v>366</v>
      </c>
      <c r="C698" s="28">
        <v>4131010277</v>
      </c>
      <c r="D698" s="28" t="s">
        <v>3420</v>
      </c>
      <c r="E698" s="28" t="s">
        <v>3420</v>
      </c>
      <c r="F698" s="28" t="s">
        <v>11</v>
      </c>
      <c r="G698" s="28"/>
    </row>
    <row r="699" spans="1:7">
      <c r="A699" s="28">
        <v>698</v>
      </c>
      <c r="B699" s="28" t="s">
        <v>367</v>
      </c>
      <c r="C699" s="28">
        <v>4131010278</v>
      </c>
      <c r="D699" s="28" t="s">
        <v>3420</v>
      </c>
      <c r="E699" s="28" t="s">
        <v>3420</v>
      </c>
      <c r="F699" s="28" t="s">
        <v>11</v>
      </c>
      <c r="G699" s="28"/>
    </row>
    <row r="700" spans="1:7">
      <c r="A700" s="28">
        <v>699</v>
      </c>
      <c r="B700" s="28" t="s">
        <v>368</v>
      </c>
      <c r="C700" s="28">
        <v>4131010279</v>
      </c>
      <c r="D700" s="28" t="s">
        <v>3420</v>
      </c>
      <c r="E700" s="28" t="s">
        <v>3420</v>
      </c>
      <c r="F700" s="28" t="s">
        <v>11</v>
      </c>
      <c r="G700" s="28"/>
    </row>
    <row r="701" spans="1:7">
      <c r="A701" s="28">
        <v>700</v>
      </c>
      <c r="B701" s="28" t="s">
        <v>369</v>
      </c>
      <c r="C701" s="28">
        <v>4131010280</v>
      </c>
      <c r="D701" s="28" t="s">
        <v>3420</v>
      </c>
      <c r="E701" s="28" t="s">
        <v>3420</v>
      </c>
      <c r="F701" s="28" t="s">
        <v>11</v>
      </c>
      <c r="G701" s="28"/>
    </row>
    <row r="702" spans="1:7">
      <c r="A702" s="28">
        <v>701</v>
      </c>
      <c r="B702" s="28" t="s">
        <v>370</v>
      </c>
      <c r="C702" s="28">
        <v>4131010283</v>
      </c>
      <c r="D702" s="28" t="s">
        <v>3420</v>
      </c>
      <c r="E702" s="28" t="s">
        <v>3420</v>
      </c>
      <c r="F702" s="28" t="s">
        <v>11</v>
      </c>
      <c r="G702" s="28"/>
    </row>
    <row r="703" spans="1:7">
      <c r="A703" s="28">
        <v>702</v>
      </c>
      <c r="B703" s="28" t="s">
        <v>371</v>
      </c>
      <c r="C703" s="28">
        <v>4131010856</v>
      </c>
      <c r="D703" s="28" t="s">
        <v>3420</v>
      </c>
      <c r="E703" s="28" t="s">
        <v>3420</v>
      </c>
      <c r="F703" s="28" t="s">
        <v>11</v>
      </c>
      <c r="G703" s="28"/>
    </row>
    <row r="704" spans="1:7">
      <c r="A704" s="28">
        <v>703</v>
      </c>
      <c r="B704" s="28" t="s">
        <v>372</v>
      </c>
      <c r="C704" s="28">
        <v>4131011047</v>
      </c>
      <c r="D704" s="28" t="s">
        <v>3420</v>
      </c>
      <c r="E704" s="28" t="s">
        <v>3420</v>
      </c>
      <c r="F704" s="28" t="s">
        <v>11</v>
      </c>
      <c r="G704" s="28"/>
    </row>
    <row r="705" spans="1:7">
      <c r="A705" s="28">
        <v>704</v>
      </c>
      <c r="B705" s="28" t="s">
        <v>373</v>
      </c>
      <c r="C705" s="28">
        <v>4131011458</v>
      </c>
      <c r="D705" s="28" t="s">
        <v>3420</v>
      </c>
      <c r="E705" s="28" t="s">
        <v>3420</v>
      </c>
      <c r="F705" s="28" t="s">
        <v>11</v>
      </c>
      <c r="G705" s="28"/>
    </row>
    <row r="706" spans="1:7">
      <c r="A706" s="28">
        <v>705</v>
      </c>
      <c r="B706" s="28" t="s">
        <v>1347</v>
      </c>
      <c r="C706" s="28">
        <v>4131011833</v>
      </c>
      <c r="D706" s="28" t="s">
        <v>3422</v>
      </c>
      <c r="E706" s="28" t="s">
        <v>3420</v>
      </c>
      <c r="F706" s="28" t="s">
        <v>11</v>
      </c>
      <c r="G706" s="28" t="s">
        <v>1252</v>
      </c>
    </row>
    <row r="707" spans="1:7">
      <c r="A707" s="28">
        <v>706</v>
      </c>
      <c r="B707" s="28" t="s">
        <v>374</v>
      </c>
      <c r="C707" s="28">
        <v>4131011835</v>
      </c>
      <c r="D707" s="28" t="s">
        <v>3420</v>
      </c>
      <c r="E707" s="28" t="s">
        <v>3420</v>
      </c>
      <c r="F707" s="28" t="s">
        <v>11</v>
      </c>
      <c r="G707" s="28"/>
    </row>
    <row r="708" spans="1:7">
      <c r="A708" s="28">
        <v>707</v>
      </c>
      <c r="B708" s="28" t="s">
        <v>375</v>
      </c>
      <c r="C708" s="28">
        <v>4131012044</v>
      </c>
      <c r="D708" s="28" t="s">
        <v>3420</v>
      </c>
      <c r="E708" s="28" t="s">
        <v>3420</v>
      </c>
      <c r="F708" s="28" t="s">
        <v>11</v>
      </c>
      <c r="G708" s="28"/>
    </row>
    <row r="709" spans="1:7">
      <c r="A709" s="28">
        <v>708</v>
      </c>
      <c r="B709" s="28" t="s">
        <v>376</v>
      </c>
      <c r="C709" s="28">
        <v>4131012050</v>
      </c>
      <c r="D709" s="28" t="s">
        <v>3420</v>
      </c>
      <c r="E709" s="28" t="s">
        <v>3420</v>
      </c>
      <c r="F709" s="28" t="s">
        <v>11</v>
      </c>
      <c r="G709" s="28"/>
    </row>
    <row r="710" spans="1:7">
      <c r="A710" s="28">
        <v>709</v>
      </c>
      <c r="B710" s="28" t="s">
        <v>1348</v>
      </c>
      <c r="C710" s="28">
        <v>4131012587</v>
      </c>
      <c r="D710" s="28" t="s">
        <v>3422</v>
      </c>
      <c r="E710" s="28" t="s">
        <v>3420</v>
      </c>
      <c r="F710" s="28" t="s">
        <v>11</v>
      </c>
      <c r="G710" s="28" t="s">
        <v>1252</v>
      </c>
    </row>
    <row r="711" spans="1:7">
      <c r="A711" s="28">
        <v>710</v>
      </c>
      <c r="B711" s="28" t="s">
        <v>1349</v>
      </c>
      <c r="C711" s="28">
        <v>4131012799</v>
      </c>
      <c r="D711" s="28" t="s">
        <v>3422</v>
      </c>
      <c r="E711" s="28" t="s">
        <v>3420</v>
      </c>
      <c r="F711" s="28" t="s">
        <v>11</v>
      </c>
      <c r="G711" s="28" t="s">
        <v>1252</v>
      </c>
    </row>
    <row r="712" spans="1:7">
      <c r="A712" s="28">
        <v>711</v>
      </c>
      <c r="B712" s="28" t="s">
        <v>1350</v>
      </c>
      <c r="C712" s="28">
        <v>4131012914</v>
      </c>
      <c r="D712" s="28" t="s">
        <v>3422</v>
      </c>
      <c r="E712" s="28" t="s">
        <v>3420</v>
      </c>
      <c r="F712" s="28" t="s">
        <v>11</v>
      </c>
      <c r="G712" s="28" t="s">
        <v>1252</v>
      </c>
    </row>
    <row r="713" spans="1:7">
      <c r="A713" s="28">
        <v>712</v>
      </c>
      <c r="B713" s="28" t="s">
        <v>1351</v>
      </c>
      <c r="C713" s="28">
        <v>4131012915</v>
      </c>
      <c r="D713" s="28" t="s">
        <v>3422</v>
      </c>
      <c r="E713" s="28" t="s">
        <v>3420</v>
      </c>
      <c r="F713" s="28" t="s">
        <v>11</v>
      </c>
      <c r="G713" s="28" t="s">
        <v>1252</v>
      </c>
    </row>
    <row r="714" spans="1:7">
      <c r="A714" s="28">
        <v>713</v>
      </c>
      <c r="B714" s="28" t="s">
        <v>1352</v>
      </c>
      <c r="C714" s="28">
        <v>4131013632</v>
      </c>
      <c r="D714" s="28" t="s">
        <v>3422</v>
      </c>
      <c r="E714" s="28" t="s">
        <v>3420</v>
      </c>
      <c r="F714" s="28" t="s">
        <v>11</v>
      </c>
      <c r="G714" s="28" t="s">
        <v>1252</v>
      </c>
    </row>
    <row r="715" spans="1:7">
      <c r="A715" s="28">
        <v>714</v>
      </c>
      <c r="B715" s="28" t="s">
        <v>1353</v>
      </c>
      <c r="C715" s="28">
        <v>4131013636</v>
      </c>
      <c r="D715" s="28" t="s">
        <v>3422</v>
      </c>
      <c r="E715" s="28" t="s">
        <v>3420</v>
      </c>
      <c r="F715" s="28" t="s">
        <v>11</v>
      </c>
      <c r="G715" s="28" t="s">
        <v>1252</v>
      </c>
    </row>
    <row r="716" spans="1:7">
      <c r="A716" s="28">
        <v>715</v>
      </c>
      <c r="B716" s="28" t="s">
        <v>1354</v>
      </c>
      <c r="C716" s="28">
        <v>4131013893</v>
      </c>
      <c r="D716" s="28" t="s">
        <v>3422</v>
      </c>
      <c r="E716" s="28" t="s">
        <v>3420</v>
      </c>
      <c r="F716" s="28" t="s">
        <v>11</v>
      </c>
      <c r="G716" s="28" t="s">
        <v>1252</v>
      </c>
    </row>
    <row r="717" spans="1:7">
      <c r="A717" s="28">
        <v>716</v>
      </c>
      <c r="B717" s="28" t="s">
        <v>377</v>
      </c>
      <c r="C717" s="28">
        <v>4131014423</v>
      </c>
      <c r="D717" s="28" t="s">
        <v>3423</v>
      </c>
      <c r="E717" s="28" t="s">
        <v>3420</v>
      </c>
      <c r="F717" s="28" t="s">
        <v>11</v>
      </c>
      <c r="G717" s="28"/>
    </row>
    <row r="718" spans="1:7">
      <c r="A718" s="28">
        <v>717</v>
      </c>
      <c r="B718" s="28" t="s">
        <v>1686</v>
      </c>
      <c r="C718" s="28">
        <v>4131016404</v>
      </c>
      <c r="D718" s="28" t="s">
        <v>3422</v>
      </c>
      <c r="E718" s="28" t="s">
        <v>3420</v>
      </c>
      <c r="F718" s="28" t="s">
        <v>11</v>
      </c>
      <c r="G718" s="28" t="s">
        <v>3424</v>
      </c>
    </row>
    <row r="719" spans="1:7">
      <c r="A719" s="28">
        <v>718</v>
      </c>
      <c r="B719" s="28" t="s">
        <v>1950</v>
      </c>
      <c r="C719" s="28">
        <v>4131010275</v>
      </c>
      <c r="D719" s="28" t="s">
        <v>3420</v>
      </c>
      <c r="E719" s="28" t="s">
        <v>3420</v>
      </c>
      <c r="F719" s="28" t="s">
        <v>1700</v>
      </c>
      <c r="G719" s="28"/>
    </row>
    <row r="720" spans="1:7">
      <c r="A720" s="28">
        <v>719</v>
      </c>
      <c r="B720" s="28" t="s">
        <v>2947</v>
      </c>
      <c r="C720" s="28">
        <v>4131010851</v>
      </c>
      <c r="D720" s="28" t="s">
        <v>3422</v>
      </c>
      <c r="E720" s="28" t="s">
        <v>3420</v>
      </c>
      <c r="F720" s="28" t="s">
        <v>1700</v>
      </c>
      <c r="G720" s="28" t="s">
        <v>1252</v>
      </c>
    </row>
    <row r="721" spans="1:7">
      <c r="A721" s="28">
        <v>720</v>
      </c>
      <c r="B721" s="28" t="s">
        <v>2948</v>
      </c>
      <c r="C721" s="28">
        <v>4131010852</v>
      </c>
      <c r="D721" s="28" t="s">
        <v>3422</v>
      </c>
      <c r="E721" s="28" t="s">
        <v>3420</v>
      </c>
      <c r="F721" s="28" t="s">
        <v>1700</v>
      </c>
      <c r="G721" s="28" t="s">
        <v>1252</v>
      </c>
    </row>
    <row r="722" spans="1:7">
      <c r="A722" s="28">
        <v>721</v>
      </c>
      <c r="B722" s="28" t="s">
        <v>1951</v>
      </c>
      <c r="C722" s="28">
        <v>4131011733</v>
      </c>
      <c r="D722" s="28" t="s">
        <v>3420</v>
      </c>
      <c r="E722" s="28" t="s">
        <v>3420</v>
      </c>
      <c r="F722" s="28" t="s">
        <v>1700</v>
      </c>
      <c r="G722" s="28"/>
    </row>
    <row r="723" spans="1:7">
      <c r="A723" s="28">
        <v>722</v>
      </c>
      <c r="B723" s="28" t="s">
        <v>1952</v>
      </c>
      <c r="C723" s="28">
        <v>4131012493</v>
      </c>
      <c r="D723" s="28" t="s">
        <v>3420</v>
      </c>
      <c r="E723" s="28" t="s">
        <v>3420</v>
      </c>
      <c r="F723" s="28" t="s">
        <v>1700</v>
      </c>
      <c r="G723" s="28"/>
    </row>
    <row r="724" spans="1:7">
      <c r="A724" s="28">
        <v>723</v>
      </c>
      <c r="B724" s="28" t="s">
        <v>1953</v>
      </c>
      <c r="C724" s="28">
        <v>4131012495</v>
      </c>
      <c r="D724" s="28" t="s">
        <v>3420</v>
      </c>
      <c r="E724" s="28" t="s">
        <v>3420</v>
      </c>
      <c r="F724" s="28" t="s">
        <v>1700</v>
      </c>
      <c r="G724" s="28"/>
    </row>
    <row r="725" spans="1:7">
      <c r="A725" s="28">
        <v>724</v>
      </c>
      <c r="B725" s="28" t="s">
        <v>1954</v>
      </c>
      <c r="C725" s="28">
        <v>4131012497</v>
      </c>
      <c r="D725" s="28" t="s">
        <v>3420</v>
      </c>
      <c r="E725" s="28" t="s">
        <v>3420</v>
      </c>
      <c r="F725" s="28" t="s">
        <v>1700</v>
      </c>
      <c r="G725" s="28"/>
    </row>
    <row r="726" spans="1:7">
      <c r="A726" s="28">
        <v>725</v>
      </c>
      <c r="B726" s="28" t="s">
        <v>1955</v>
      </c>
      <c r="C726" s="28">
        <v>4131012498</v>
      </c>
      <c r="D726" s="28" t="s">
        <v>3420</v>
      </c>
      <c r="E726" s="28" t="s">
        <v>3420</v>
      </c>
      <c r="F726" s="28" t="s">
        <v>1700</v>
      </c>
      <c r="G726" s="28"/>
    </row>
    <row r="727" spans="1:7">
      <c r="A727" s="28">
        <v>726</v>
      </c>
      <c r="B727" s="28" t="s">
        <v>1956</v>
      </c>
      <c r="C727" s="28">
        <v>4131012499</v>
      </c>
      <c r="D727" s="28" t="s">
        <v>3420</v>
      </c>
      <c r="E727" s="28" t="s">
        <v>3420</v>
      </c>
      <c r="F727" s="28" t="s">
        <v>1700</v>
      </c>
      <c r="G727" s="28"/>
    </row>
    <row r="728" spans="1:7">
      <c r="A728" s="28">
        <v>727</v>
      </c>
      <c r="B728" s="28" t="s">
        <v>2949</v>
      </c>
      <c r="C728" s="28">
        <v>4131012583</v>
      </c>
      <c r="D728" s="28" t="s">
        <v>3422</v>
      </c>
      <c r="E728" s="28" t="s">
        <v>3420</v>
      </c>
      <c r="F728" s="28" t="s">
        <v>1700</v>
      </c>
      <c r="G728" s="28" t="s">
        <v>1252</v>
      </c>
    </row>
    <row r="729" spans="1:7">
      <c r="A729" s="28">
        <v>728</v>
      </c>
      <c r="B729" s="28" t="s">
        <v>2950</v>
      </c>
      <c r="C729" s="28">
        <v>4131012584</v>
      </c>
      <c r="D729" s="28" t="s">
        <v>3422</v>
      </c>
      <c r="E729" s="28" t="s">
        <v>3420</v>
      </c>
      <c r="F729" s="28" t="s">
        <v>1700</v>
      </c>
      <c r="G729" s="28" t="s">
        <v>1252</v>
      </c>
    </row>
    <row r="730" spans="1:7">
      <c r="A730" s="28">
        <v>729</v>
      </c>
      <c r="B730" s="28" t="s">
        <v>2951</v>
      </c>
      <c r="C730" s="28">
        <v>4131012585</v>
      </c>
      <c r="D730" s="28" t="s">
        <v>3422</v>
      </c>
      <c r="E730" s="28" t="s">
        <v>3420</v>
      </c>
      <c r="F730" s="28" t="s">
        <v>1700</v>
      </c>
      <c r="G730" s="28" t="s">
        <v>1252</v>
      </c>
    </row>
    <row r="731" spans="1:7">
      <c r="A731" s="28">
        <v>730</v>
      </c>
      <c r="B731" s="28" t="s">
        <v>2952</v>
      </c>
      <c r="C731" s="28">
        <v>4131012586</v>
      </c>
      <c r="D731" s="28" t="s">
        <v>3422</v>
      </c>
      <c r="E731" s="28" t="s">
        <v>3420</v>
      </c>
      <c r="F731" s="28" t="s">
        <v>1700</v>
      </c>
      <c r="G731" s="28" t="s">
        <v>1252</v>
      </c>
    </row>
    <row r="732" spans="1:7">
      <c r="A732" s="28">
        <v>731</v>
      </c>
      <c r="B732" s="28" t="s">
        <v>1957</v>
      </c>
      <c r="C732" s="28">
        <v>4131012588</v>
      </c>
      <c r="D732" s="28" t="s">
        <v>3420</v>
      </c>
      <c r="E732" s="28" t="s">
        <v>3420</v>
      </c>
      <c r="F732" s="28" t="s">
        <v>1700</v>
      </c>
      <c r="G732" s="28"/>
    </row>
    <row r="733" spans="1:7">
      <c r="A733" s="28">
        <v>732</v>
      </c>
      <c r="B733" s="28" t="s">
        <v>2953</v>
      </c>
      <c r="C733" s="28">
        <v>4131012798</v>
      </c>
      <c r="D733" s="28" t="s">
        <v>3422</v>
      </c>
      <c r="E733" s="28" t="s">
        <v>3420</v>
      </c>
      <c r="F733" s="28" t="s">
        <v>1700</v>
      </c>
      <c r="G733" s="28" t="s">
        <v>1252</v>
      </c>
    </row>
    <row r="734" spans="1:7">
      <c r="A734" s="28">
        <v>733</v>
      </c>
      <c r="B734" s="28" t="s">
        <v>2954</v>
      </c>
      <c r="C734" s="28">
        <v>4131012800</v>
      </c>
      <c r="D734" s="28" t="s">
        <v>3422</v>
      </c>
      <c r="E734" s="28" t="s">
        <v>3420</v>
      </c>
      <c r="F734" s="28" t="s">
        <v>1700</v>
      </c>
      <c r="G734" s="28" t="s">
        <v>1252</v>
      </c>
    </row>
    <row r="735" spans="1:7">
      <c r="A735" s="28">
        <v>734</v>
      </c>
      <c r="B735" s="28" t="s">
        <v>1958</v>
      </c>
      <c r="C735" s="28">
        <v>4131012801</v>
      </c>
      <c r="D735" s="28" t="s">
        <v>3420</v>
      </c>
      <c r="E735" s="28" t="s">
        <v>3420</v>
      </c>
      <c r="F735" s="28" t="s">
        <v>1700</v>
      </c>
      <c r="G735" s="28"/>
    </row>
    <row r="736" spans="1:7">
      <c r="A736" s="28">
        <v>735</v>
      </c>
      <c r="B736" s="28" t="s">
        <v>1959</v>
      </c>
      <c r="C736" s="28">
        <v>4131012912</v>
      </c>
      <c r="D736" s="28" t="s">
        <v>3420</v>
      </c>
      <c r="E736" s="28" t="s">
        <v>3420</v>
      </c>
      <c r="F736" s="28" t="s">
        <v>1700</v>
      </c>
      <c r="G736" s="28"/>
    </row>
    <row r="737" spans="1:7">
      <c r="A737" s="28">
        <v>736</v>
      </c>
      <c r="B737" s="28" t="s">
        <v>2955</v>
      </c>
      <c r="C737" s="28">
        <v>4131012913</v>
      </c>
      <c r="D737" s="28" t="s">
        <v>3422</v>
      </c>
      <c r="E737" s="28" t="s">
        <v>3420</v>
      </c>
      <c r="F737" s="28" t="s">
        <v>1700</v>
      </c>
      <c r="G737" s="28" t="s">
        <v>1252</v>
      </c>
    </row>
    <row r="738" spans="1:7">
      <c r="A738" s="28">
        <v>737</v>
      </c>
      <c r="B738" s="28" t="s">
        <v>2956</v>
      </c>
      <c r="C738" s="28">
        <v>4131013747</v>
      </c>
      <c r="D738" s="28" t="s">
        <v>3422</v>
      </c>
      <c r="E738" s="28" t="s">
        <v>3420</v>
      </c>
      <c r="F738" s="28" t="s">
        <v>1700</v>
      </c>
      <c r="G738" s="28" t="s">
        <v>1252</v>
      </c>
    </row>
    <row r="739" spans="1:7">
      <c r="A739" s="28">
        <v>738</v>
      </c>
      <c r="B739" s="28" t="s">
        <v>2957</v>
      </c>
      <c r="C739" s="28">
        <v>4131013907</v>
      </c>
      <c r="D739" s="28" t="s">
        <v>3422</v>
      </c>
      <c r="E739" s="28" t="s">
        <v>3420</v>
      </c>
      <c r="F739" s="28" t="s">
        <v>1700</v>
      </c>
      <c r="G739" s="28" t="s">
        <v>1252</v>
      </c>
    </row>
    <row r="740" spans="1:7">
      <c r="A740" s="28">
        <v>739</v>
      </c>
      <c r="B740" s="28" t="s">
        <v>1960</v>
      </c>
      <c r="C740" s="28">
        <v>4131014023</v>
      </c>
      <c r="D740" s="28" t="s">
        <v>3420</v>
      </c>
      <c r="E740" s="28" t="s">
        <v>3420</v>
      </c>
      <c r="F740" s="28" t="s">
        <v>1700</v>
      </c>
      <c r="G740" s="28"/>
    </row>
    <row r="741" spans="1:7">
      <c r="A741" s="28">
        <v>740</v>
      </c>
      <c r="B741" s="28" t="s">
        <v>1961</v>
      </c>
      <c r="C741" s="28">
        <v>4131014394</v>
      </c>
      <c r="D741" s="28" t="s">
        <v>3327</v>
      </c>
      <c r="E741" s="28" t="s">
        <v>3420</v>
      </c>
      <c r="F741" s="28" t="s">
        <v>1700</v>
      </c>
      <c r="G741" s="28"/>
    </row>
    <row r="742" spans="1:7">
      <c r="A742" s="28">
        <v>741</v>
      </c>
      <c r="B742" s="28" t="s">
        <v>1962</v>
      </c>
      <c r="C742" s="28">
        <v>4131014745</v>
      </c>
      <c r="D742" s="28" t="s">
        <v>3420</v>
      </c>
      <c r="E742" s="28" t="s">
        <v>3420</v>
      </c>
      <c r="F742" s="28" t="s">
        <v>1700</v>
      </c>
      <c r="G742" s="28"/>
    </row>
    <row r="743" spans="1:7">
      <c r="A743" s="28">
        <v>742</v>
      </c>
      <c r="B743" s="28" t="s">
        <v>2810</v>
      </c>
      <c r="C743" s="28">
        <v>4131014778</v>
      </c>
      <c r="D743" s="28" t="s">
        <v>3420</v>
      </c>
      <c r="E743" s="28" t="s">
        <v>3420</v>
      </c>
      <c r="F743" s="28" t="s">
        <v>1700</v>
      </c>
      <c r="G743" s="28"/>
    </row>
    <row r="744" spans="1:7">
      <c r="A744" s="28">
        <v>743</v>
      </c>
      <c r="B744" s="28" t="s">
        <v>2811</v>
      </c>
      <c r="C744" s="28">
        <v>4131014779</v>
      </c>
      <c r="D744" s="28" t="s">
        <v>3420</v>
      </c>
      <c r="E744" s="28" t="s">
        <v>3420</v>
      </c>
      <c r="F744" s="28" t="s">
        <v>1700</v>
      </c>
      <c r="G744" s="28"/>
    </row>
    <row r="745" spans="1:7">
      <c r="A745" s="28">
        <v>744</v>
      </c>
      <c r="B745" s="28" t="s">
        <v>2812</v>
      </c>
      <c r="C745" s="28">
        <v>4131014780</v>
      </c>
      <c r="D745" s="28" t="s">
        <v>3420</v>
      </c>
      <c r="E745" s="28" t="s">
        <v>3420</v>
      </c>
      <c r="F745" s="28" t="s">
        <v>1700</v>
      </c>
      <c r="G745" s="28"/>
    </row>
    <row r="746" spans="1:7">
      <c r="A746" s="28">
        <v>745</v>
      </c>
      <c r="B746" s="28" t="s">
        <v>2813</v>
      </c>
      <c r="C746" s="28">
        <v>4131014781</v>
      </c>
      <c r="D746" s="28" t="s">
        <v>3420</v>
      </c>
      <c r="E746" s="28" t="s">
        <v>3420</v>
      </c>
      <c r="F746" s="28" t="s">
        <v>1700</v>
      </c>
      <c r="G746" s="28"/>
    </row>
    <row r="747" spans="1:7">
      <c r="A747" s="28">
        <v>746</v>
      </c>
      <c r="B747" s="28" t="s">
        <v>2844</v>
      </c>
      <c r="C747" s="28">
        <v>4131014895</v>
      </c>
      <c r="D747" s="28" t="s">
        <v>3420</v>
      </c>
      <c r="E747" s="28" t="s">
        <v>3420</v>
      </c>
      <c r="F747" s="28" t="s">
        <v>1700</v>
      </c>
      <c r="G747" s="28"/>
    </row>
    <row r="748" spans="1:7">
      <c r="A748" s="28">
        <v>747</v>
      </c>
      <c r="B748" s="28" t="s">
        <v>378</v>
      </c>
      <c r="C748" s="28">
        <v>4132010284</v>
      </c>
      <c r="D748" s="28" t="s">
        <v>3309</v>
      </c>
      <c r="E748" s="28" t="s">
        <v>3425</v>
      </c>
      <c r="F748" s="28" t="s">
        <v>11</v>
      </c>
      <c r="G748" s="28"/>
    </row>
    <row r="749" spans="1:7">
      <c r="A749" s="28">
        <v>748</v>
      </c>
      <c r="B749" s="28" t="s">
        <v>381</v>
      </c>
      <c r="C749" s="28">
        <v>4132010285</v>
      </c>
      <c r="D749" s="28" t="s">
        <v>3426</v>
      </c>
      <c r="E749" s="28" t="s">
        <v>3427</v>
      </c>
      <c r="F749" s="28" t="s">
        <v>11</v>
      </c>
      <c r="G749" s="28"/>
    </row>
    <row r="750" spans="1:7">
      <c r="A750" s="28">
        <v>749</v>
      </c>
      <c r="B750" s="28" t="s">
        <v>383</v>
      </c>
      <c r="C750" s="28">
        <v>4132010286</v>
      </c>
      <c r="D750" s="28" t="s">
        <v>3309</v>
      </c>
      <c r="E750" s="28" t="s">
        <v>3425</v>
      </c>
      <c r="F750" s="28" t="s">
        <v>11</v>
      </c>
      <c r="G750" s="28"/>
    </row>
    <row r="751" spans="1:7">
      <c r="A751" s="28">
        <v>750</v>
      </c>
      <c r="B751" s="28" t="s">
        <v>384</v>
      </c>
      <c r="C751" s="28">
        <v>4132010287</v>
      </c>
      <c r="D751" s="28" t="s">
        <v>3311</v>
      </c>
      <c r="E751" s="28" t="s">
        <v>3425</v>
      </c>
      <c r="F751" s="28" t="s">
        <v>11</v>
      </c>
      <c r="G751" s="28"/>
    </row>
    <row r="752" spans="1:7">
      <c r="A752" s="28">
        <v>751</v>
      </c>
      <c r="B752" s="28" t="s">
        <v>385</v>
      </c>
      <c r="C752" s="28">
        <v>4132010288</v>
      </c>
      <c r="D752" s="28" t="s">
        <v>3311</v>
      </c>
      <c r="E752" s="28" t="s">
        <v>3425</v>
      </c>
      <c r="F752" s="28" t="s">
        <v>11</v>
      </c>
      <c r="G752" s="28"/>
    </row>
    <row r="753" spans="1:7">
      <c r="A753" s="28">
        <v>752</v>
      </c>
      <c r="B753" s="28" t="s">
        <v>386</v>
      </c>
      <c r="C753" s="28">
        <v>4132010289</v>
      </c>
      <c r="D753" s="28" t="s">
        <v>3426</v>
      </c>
      <c r="E753" s="28" t="s">
        <v>3428</v>
      </c>
      <c r="F753" s="28" t="s">
        <v>11</v>
      </c>
      <c r="G753" s="28"/>
    </row>
    <row r="754" spans="1:7">
      <c r="A754" s="28">
        <v>753</v>
      </c>
      <c r="B754" s="28" t="s">
        <v>388</v>
      </c>
      <c r="C754" s="28">
        <v>4132010290</v>
      </c>
      <c r="D754" s="28" t="s">
        <v>3309</v>
      </c>
      <c r="E754" s="28" t="s">
        <v>3429</v>
      </c>
      <c r="F754" s="28" t="s">
        <v>11</v>
      </c>
      <c r="G754" s="28"/>
    </row>
    <row r="755" spans="1:7">
      <c r="A755" s="28">
        <v>754</v>
      </c>
      <c r="B755" s="28" t="s">
        <v>390</v>
      </c>
      <c r="C755" s="28">
        <v>4132010291</v>
      </c>
      <c r="D755" s="28" t="s">
        <v>3426</v>
      </c>
      <c r="E755" s="28" t="s">
        <v>3425</v>
      </c>
      <c r="F755" s="28" t="s">
        <v>11</v>
      </c>
      <c r="G755" s="28"/>
    </row>
    <row r="756" spans="1:7">
      <c r="A756" s="28">
        <v>755</v>
      </c>
      <c r="B756" s="28" t="s">
        <v>391</v>
      </c>
      <c r="C756" s="28">
        <v>4132010292</v>
      </c>
      <c r="D756" s="28" t="s">
        <v>3426</v>
      </c>
      <c r="E756" s="28" t="s">
        <v>3430</v>
      </c>
      <c r="F756" s="28" t="s">
        <v>11</v>
      </c>
      <c r="G756" s="28"/>
    </row>
    <row r="757" spans="1:7">
      <c r="A757" s="28">
        <v>756</v>
      </c>
      <c r="B757" s="28" t="s">
        <v>393</v>
      </c>
      <c r="C757" s="28">
        <v>4132010293</v>
      </c>
      <c r="D757" s="28" t="s">
        <v>3426</v>
      </c>
      <c r="E757" s="28" t="s">
        <v>3425</v>
      </c>
      <c r="F757" s="28" t="s">
        <v>11</v>
      </c>
      <c r="G757" s="28"/>
    </row>
    <row r="758" spans="1:7">
      <c r="A758" s="28">
        <v>757</v>
      </c>
      <c r="B758" s="28" t="s">
        <v>394</v>
      </c>
      <c r="C758" s="28">
        <v>4132010294</v>
      </c>
      <c r="D758" s="28" t="s">
        <v>3309</v>
      </c>
      <c r="E758" s="28" t="s">
        <v>3425</v>
      </c>
      <c r="F758" s="28" t="s">
        <v>11</v>
      </c>
      <c r="G758" s="28"/>
    </row>
    <row r="759" spans="1:7">
      <c r="A759" s="28">
        <v>758</v>
      </c>
      <c r="B759" s="28" t="s">
        <v>395</v>
      </c>
      <c r="C759" s="28">
        <v>4132010295</v>
      </c>
      <c r="D759" s="28" t="s">
        <v>3309</v>
      </c>
      <c r="E759" s="28" t="s">
        <v>3431</v>
      </c>
      <c r="F759" s="28" t="s">
        <v>11</v>
      </c>
      <c r="G759" s="28"/>
    </row>
    <row r="760" spans="1:7">
      <c r="A760" s="28">
        <v>759</v>
      </c>
      <c r="B760" s="28" t="s">
        <v>397</v>
      </c>
      <c r="C760" s="28">
        <v>4132010298</v>
      </c>
      <c r="D760" s="28" t="s">
        <v>3426</v>
      </c>
      <c r="E760" s="28" t="s">
        <v>3425</v>
      </c>
      <c r="F760" s="28" t="s">
        <v>11</v>
      </c>
      <c r="G760" s="28"/>
    </row>
    <row r="761" spans="1:7">
      <c r="A761" s="28">
        <v>760</v>
      </c>
      <c r="B761" s="28" t="s">
        <v>398</v>
      </c>
      <c r="C761" s="28">
        <v>4132010299</v>
      </c>
      <c r="D761" s="28" t="s">
        <v>3426</v>
      </c>
      <c r="E761" s="28" t="s">
        <v>3428</v>
      </c>
      <c r="F761" s="28" t="s">
        <v>11</v>
      </c>
      <c r="G761" s="28"/>
    </row>
    <row r="762" spans="1:7">
      <c r="A762" s="28">
        <v>761</v>
      </c>
      <c r="B762" s="28" t="s">
        <v>399</v>
      </c>
      <c r="C762" s="28">
        <v>4132010300</v>
      </c>
      <c r="D762" s="28" t="s">
        <v>3426</v>
      </c>
      <c r="E762" s="28" t="s">
        <v>3425</v>
      </c>
      <c r="F762" s="28" t="s">
        <v>11</v>
      </c>
      <c r="G762" s="28"/>
    </row>
    <row r="763" spans="1:7">
      <c r="A763" s="28">
        <v>762</v>
      </c>
      <c r="B763" s="28" t="s">
        <v>400</v>
      </c>
      <c r="C763" s="28">
        <v>4132010304</v>
      </c>
      <c r="D763" s="28" t="s">
        <v>3426</v>
      </c>
      <c r="E763" s="28" t="s">
        <v>3432</v>
      </c>
      <c r="F763" s="28" t="s">
        <v>11</v>
      </c>
      <c r="G763" s="28"/>
    </row>
    <row r="764" spans="1:7">
      <c r="A764" s="28">
        <v>763</v>
      </c>
      <c r="B764" s="28" t="s">
        <v>402</v>
      </c>
      <c r="C764" s="28">
        <v>4132010305</v>
      </c>
      <c r="D764" s="28" t="s">
        <v>3426</v>
      </c>
      <c r="E764" s="28" t="s">
        <v>3433</v>
      </c>
      <c r="F764" s="28" t="s">
        <v>11</v>
      </c>
      <c r="G764" s="28"/>
    </row>
    <row r="765" spans="1:7">
      <c r="A765" s="28">
        <v>764</v>
      </c>
      <c r="B765" s="28" t="s">
        <v>404</v>
      </c>
      <c r="C765" s="28">
        <v>4132010307</v>
      </c>
      <c r="D765" s="28" t="s">
        <v>3309</v>
      </c>
      <c r="E765" s="28" t="s">
        <v>3425</v>
      </c>
      <c r="F765" s="28" t="s">
        <v>11</v>
      </c>
      <c r="G765" s="28"/>
    </row>
    <row r="766" spans="1:7">
      <c r="A766" s="28">
        <v>765</v>
      </c>
      <c r="B766" s="28" t="s">
        <v>405</v>
      </c>
      <c r="C766" s="28">
        <v>4132010312</v>
      </c>
      <c r="D766" s="28" t="s">
        <v>3426</v>
      </c>
      <c r="E766" s="28" t="s">
        <v>3425</v>
      </c>
      <c r="F766" s="28" t="s">
        <v>11</v>
      </c>
      <c r="G766" s="28"/>
    </row>
    <row r="767" spans="1:7">
      <c r="A767" s="28">
        <v>766</v>
      </c>
      <c r="B767" s="28" t="s">
        <v>406</v>
      </c>
      <c r="C767" s="28">
        <v>4132010313</v>
      </c>
      <c r="D767" s="28" t="s">
        <v>3426</v>
      </c>
      <c r="E767" s="28" t="s">
        <v>3429</v>
      </c>
      <c r="F767" s="28" t="s">
        <v>11</v>
      </c>
      <c r="G767" s="28"/>
    </row>
    <row r="768" spans="1:7">
      <c r="A768" s="28">
        <v>767</v>
      </c>
      <c r="B768" s="28" t="s">
        <v>407</v>
      </c>
      <c r="C768" s="28">
        <v>4132010315</v>
      </c>
      <c r="D768" s="28" t="s">
        <v>3426</v>
      </c>
      <c r="E768" s="28" t="s">
        <v>3425</v>
      </c>
      <c r="F768" s="28" t="s">
        <v>11</v>
      </c>
      <c r="G768" s="28"/>
    </row>
    <row r="769" spans="1:7">
      <c r="A769" s="28">
        <v>768</v>
      </c>
      <c r="B769" s="28" t="s">
        <v>408</v>
      </c>
      <c r="C769" s="28">
        <v>4132010316</v>
      </c>
      <c r="D769" s="28" t="s">
        <v>3309</v>
      </c>
      <c r="E769" s="28" t="s">
        <v>3425</v>
      </c>
      <c r="F769" s="28" t="s">
        <v>11</v>
      </c>
      <c r="G769" s="28"/>
    </row>
    <row r="770" spans="1:7">
      <c r="A770" s="28">
        <v>769</v>
      </c>
      <c r="B770" s="28" t="s">
        <v>409</v>
      </c>
      <c r="C770" s="28">
        <v>4132010319</v>
      </c>
      <c r="D770" s="28" t="s">
        <v>3426</v>
      </c>
      <c r="E770" s="28" t="s">
        <v>3425</v>
      </c>
      <c r="F770" s="28" t="s">
        <v>11</v>
      </c>
      <c r="G770" s="28"/>
    </row>
    <row r="771" spans="1:7">
      <c r="A771" s="28">
        <v>770</v>
      </c>
      <c r="B771" s="28" t="s">
        <v>410</v>
      </c>
      <c r="C771" s="28">
        <v>4132010320</v>
      </c>
      <c r="D771" s="28" t="s">
        <v>3426</v>
      </c>
      <c r="E771" s="28" t="s">
        <v>3429</v>
      </c>
      <c r="F771" s="28" t="s">
        <v>11</v>
      </c>
      <c r="G771" s="28"/>
    </row>
    <row r="772" spans="1:7">
      <c r="A772" s="28">
        <v>771</v>
      </c>
      <c r="B772" s="28" t="s">
        <v>411</v>
      </c>
      <c r="C772" s="28">
        <v>4132010323</v>
      </c>
      <c r="D772" s="28" t="s">
        <v>3426</v>
      </c>
      <c r="E772" s="28" t="s">
        <v>3434</v>
      </c>
      <c r="F772" s="28" t="s">
        <v>11</v>
      </c>
      <c r="G772" s="28"/>
    </row>
    <row r="773" spans="1:7">
      <c r="A773" s="28">
        <v>772</v>
      </c>
      <c r="B773" s="28" t="s">
        <v>413</v>
      </c>
      <c r="C773" s="28">
        <v>4132010324</v>
      </c>
      <c r="D773" s="28" t="s">
        <v>3426</v>
      </c>
      <c r="E773" s="28" t="s">
        <v>3433</v>
      </c>
      <c r="F773" s="28" t="s">
        <v>11</v>
      </c>
      <c r="G773" s="28"/>
    </row>
    <row r="774" spans="1:7">
      <c r="A774" s="28">
        <v>773</v>
      </c>
      <c r="B774" s="28" t="s">
        <v>414</v>
      </c>
      <c r="C774" s="28">
        <v>4132010327</v>
      </c>
      <c r="D774" s="28" t="s">
        <v>3426</v>
      </c>
      <c r="E774" s="28" t="s">
        <v>3425</v>
      </c>
      <c r="F774" s="28" t="s">
        <v>11</v>
      </c>
      <c r="G774" s="28"/>
    </row>
    <row r="775" spans="1:7">
      <c r="A775" s="28">
        <v>774</v>
      </c>
      <c r="B775" s="28" t="s">
        <v>415</v>
      </c>
      <c r="C775" s="28">
        <v>4132010329</v>
      </c>
      <c r="D775" s="28" t="s">
        <v>3426</v>
      </c>
      <c r="E775" s="28" t="s">
        <v>3425</v>
      </c>
      <c r="F775" s="28" t="s">
        <v>11</v>
      </c>
      <c r="G775" s="28"/>
    </row>
    <row r="776" spans="1:7">
      <c r="A776" s="28">
        <v>775</v>
      </c>
      <c r="B776" s="28" t="s">
        <v>416</v>
      </c>
      <c r="C776" s="28">
        <v>4132010330</v>
      </c>
      <c r="D776" s="28" t="s">
        <v>3426</v>
      </c>
      <c r="E776" s="28" t="s">
        <v>3425</v>
      </c>
      <c r="F776" s="28" t="s">
        <v>11</v>
      </c>
      <c r="G776" s="28"/>
    </row>
    <row r="777" spans="1:7">
      <c r="A777" s="28">
        <v>776</v>
      </c>
      <c r="B777" s="28" t="s">
        <v>417</v>
      </c>
      <c r="C777" s="28">
        <v>4132010331</v>
      </c>
      <c r="D777" s="28" t="s">
        <v>3426</v>
      </c>
      <c r="E777" s="28" t="s">
        <v>3425</v>
      </c>
      <c r="F777" s="28" t="s">
        <v>11</v>
      </c>
      <c r="G777" s="28"/>
    </row>
    <row r="778" spans="1:7">
      <c r="A778" s="28">
        <v>777</v>
      </c>
      <c r="B778" s="28" t="s">
        <v>418</v>
      </c>
      <c r="C778" s="28">
        <v>4132010332</v>
      </c>
      <c r="D778" s="28" t="s">
        <v>3426</v>
      </c>
      <c r="E778" s="28" t="s">
        <v>3427</v>
      </c>
      <c r="F778" s="28" t="s">
        <v>11</v>
      </c>
      <c r="G778" s="28"/>
    </row>
    <row r="779" spans="1:7">
      <c r="A779" s="28">
        <v>778</v>
      </c>
      <c r="B779" s="28" t="s">
        <v>419</v>
      </c>
      <c r="C779" s="28">
        <v>4132010333</v>
      </c>
      <c r="D779" s="28" t="s">
        <v>3426</v>
      </c>
      <c r="E779" s="28" t="s">
        <v>3427</v>
      </c>
      <c r="F779" s="28" t="s">
        <v>11</v>
      </c>
      <c r="G779" s="28"/>
    </row>
    <row r="780" spans="1:7">
      <c r="A780" s="28">
        <v>779</v>
      </c>
      <c r="B780" s="28" t="s">
        <v>420</v>
      </c>
      <c r="C780" s="28">
        <v>4132010850</v>
      </c>
      <c r="D780" s="28" t="s">
        <v>3426</v>
      </c>
      <c r="E780" s="28" t="s">
        <v>3425</v>
      </c>
      <c r="F780" s="28" t="s">
        <v>11</v>
      </c>
      <c r="G780" s="28"/>
    </row>
    <row r="781" spans="1:7">
      <c r="A781" s="28">
        <v>780</v>
      </c>
      <c r="B781" s="28" t="s">
        <v>3435</v>
      </c>
      <c r="C781" s="28">
        <v>4132011049</v>
      </c>
      <c r="D781" s="28" t="s">
        <v>3426</v>
      </c>
      <c r="E781" s="28" t="s">
        <v>3434</v>
      </c>
      <c r="F781" s="28" t="s">
        <v>11</v>
      </c>
      <c r="G781" s="28"/>
    </row>
    <row r="782" spans="1:7">
      <c r="A782" s="28">
        <v>781</v>
      </c>
      <c r="B782" s="28" t="s">
        <v>422</v>
      </c>
      <c r="C782" s="28">
        <v>4132011055</v>
      </c>
      <c r="D782" s="28" t="s">
        <v>3426</v>
      </c>
      <c r="E782" s="28" t="s">
        <v>3430</v>
      </c>
      <c r="F782" s="28" t="s">
        <v>11</v>
      </c>
      <c r="G782" s="28"/>
    </row>
    <row r="783" spans="1:7">
      <c r="A783" s="28">
        <v>782</v>
      </c>
      <c r="B783" s="28" t="s">
        <v>423</v>
      </c>
      <c r="C783" s="28">
        <v>4132011117</v>
      </c>
      <c r="D783" s="28" t="s">
        <v>3426</v>
      </c>
      <c r="E783" s="28" t="s">
        <v>3436</v>
      </c>
      <c r="F783" s="28" t="s">
        <v>11</v>
      </c>
      <c r="G783" s="28"/>
    </row>
    <row r="784" spans="1:7">
      <c r="A784" s="28">
        <v>783</v>
      </c>
      <c r="B784" s="28" t="s">
        <v>1355</v>
      </c>
      <c r="C784" s="28">
        <v>4132011122</v>
      </c>
      <c r="D784" s="28" t="s">
        <v>3437</v>
      </c>
      <c r="E784" s="28" t="s">
        <v>3425</v>
      </c>
      <c r="F784" s="28" t="s">
        <v>11</v>
      </c>
      <c r="G784" s="28" t="s">
        <v>1252</v>
      </c>
    </row>
    <row r="785" spans="1:7">
      <c r="A785" s="28">
        <v>784</v>
      </c>
      <c r="B785" s="28" t="s">
        <v>425</v>
      </c>
      <c r="C785" s="28">
        <v>4132011276</v>
      </c>
      <c r="D785" s="28" t="s">
        <v>3426</v>
      </c>
      <c r="E785" s="28" t="s">
        <v>3425</v>
      </c>
      <c r="F785" s="28" t="s">
        <v>11</v>
      </c>
      <c r="G785" s="28"/>
    </row>
    <row r="786" spans="1:7">
      <c r="A786" s="28">
        <v>785</v>
      </c>
      <c r="B786" s="28" t="s">
        <v>426</v>
      </c>
      <c r="C786" s="28">
        <v>4132011287</v>
      </c>
      <c r="D786" s="28" t="s">
        <v>3426</v>
      </c>
      <c r="E786" s="28" t="s">
        <v>3425</v>
      </c>
      <c r="F786" s="28" t="s">
        <v>11</v>
      </c>
      <c r="G786" s="28"/>
    </row>
    <row r="787" spans="1:7">
      <c r="A787" s="28">
        <v>786</v>
      </c>
      <c r="B787" s="28" t="s">
        <v>427</v>
      </c>
      <c r="C787" s="28">
        <v>4132011460</v>
      </c>
      <c r="D787" s="28" t="s">
        <v>3426</v>
      </c>
      <c r="E787" s="28" t="s">
        <v>3425</v>
      </c>
      <c r="F787" s="28" t="s">
        <v>11</v>
      </c>
      <c r="G787" s="28"/>
    </row>
    <row r="788" spans="1:7">
      <c r="A788" s="28">
        <v>787</v>
      </c>
      <c r="B788" s="28" t="s">
        <v>428</v>
      </c>
      <c r="C788" s="28">
        <v>4132011463</v>
      </c>
      <c r="D788" s="28" t="s">
        <v>3426</v>
      </c>
      <c r="E788" s="28" t="s">
        <v>3430</v>
      </c>
      <c r="F788" s="28" t="s">
        <v>11</v>
      </c>
      <c r="G788" s="28"/>
    </row>
    <row r="789" spans="1:7">
      <c r="A789" s="28">
        <v>788</v>
      </c>
      <c r="B789" s="28" t="s">
        <v>429</v>
      </c>
      <c r="C789" s="28">
        <v>4132011641</v>
      </c>
      <c r="D789" s="28" t="s">
        <v>3426</v>
      </c>
      <c r="E789" s="28" t="s">
        <v>3438</v>
      </c>
      <c r="F789" s="28" t="s">
        <v>11</v>
      </c>
      <c r="G789" s="28"/>
    </row>
    <row r="790" spans="1:7">
      <c r="A790" s="28">
        <v>789</v>
      </c>
      <c r="B790" s="28" t="s">
        <v>431</v>
      </c>
      <c r="C790" s="28">
        <v>4132011998</v>
      </c>
      <c r="D790" s="28" t="s">
        <v>3426</v>
      </c>
      <c r="E790" s="28" t="s">
        <v>3429</v>
      </c>
      <c r="F790" s="28" t="s">
        <v>11</v>
      </c>
      <c r="G790" s="28"/>
    </row>
    <row r="791" spans="1:7">
      <c r="A791" s="28">
        <v>790</v>
      </c>
      <c r="B791" s="28" t="s">
        <v>432</v>
      </c>
      <c r="C791" s="28">
        <v>4132012048</v>
      </c>
      <c r="D791" s="28" t="s">
        <v>3426</v>
      </c>
      <c r="E791" s="28" t="s">
        <v>3425</v>
      </c>
      <c r="F791" s="28" t="s">
        <v>11</v>
      </c>
      <c r="G791" s="28"/>
    </row>
    <row r="792" spans="1:7">
      <c r="A792" s="28">
        <v>791</v>
      </c>
      <c r="B792" s="28" t="s">
        <v>1356</v>
      </c>
      <c r="C792" s="28">
        <v>4132012056</v>
      </c>
      <c r="D792" s="28" t="s">
        <v>3437</v>
      </c>
      <c r="E792" s="28" t="s">
        <v>3432</v>
      </c>
      <c r="F792" s="28" t="s">
        <v>11</v>
      </c>
      <c r="G792" s="28" t="s">
        <v>1252</v>
      </c>
    </row>
    <row r="793" spans="1:7">
      <c r="A793" s="28">
        <v>792</v>
      </c>
      <c r="B793" s="28" t="s">
        <v>433</v>
      </c>
      <c r="C793" s="28">
        <v>4132012213</v>
      </c>
      <c r="D793" s="28" t="s">
        <v>3316</v>
      </c>
      <c r="E793" s="28" t="s">
        <v>3425</v>
      </c>
      <c r="F793" s="28" t="s">
        <v>11</v>
      </c>
      <c r="G793" s="28"/>
    </row>
    <row r="794" spans="1:7">
      <c r="A794" s="28">
        <v>793</v>
      </c>
      <c r="B794" s="28" t="s">
        <v>1357</v>
      </c>
      <c r="C794" s="28">
        <v>4132012689</v>
      </c>
      <c r="D794" s="28" t="s">
        <v>3437</v>
      </c>
      <c r="E794" s="28" t="s">
        <v>3425</v>
      </c>
      <c r="F794" s="28" t="s">
        <v>11</v>
      </c>
      <c r="G794" s="28" t="s">
        <v>1252</v>
      </c>
    </row>
    <row r="795" spans="1:7">
      <c r="A795" s="28">
        <v>794</v>
      </c>
      <c r="B795" s="28" t="s">
        <v>434</v>
      </c>
      <c r="C795" s="28">
        <v>4132012917</v>
      </c>
      <c r="D795" s="28" t="s">
        <v>3426</v>
      </c>
      <c r="E795" s="28" t="s">
        <v>3439</v>
      </c>
      <c r="F795" s="28" t="s">
        <v>11</v>
      </c>
      <c r="G795" s="28"/>
    </row>
    <row r="796" spans="1:7">
      <c r="A796" s="28">
        <v>795</v>
      </c>
      <c r="B796" s="28" t="s">
        <v>1358</v>
      </c>
      <c r="C796" s="28">
        <v>4132013571</v>
      </c>
      <c r="D796" s="28" t="s">
        <v>3437</v>
      </c>
      <c r="E796" s="28" t="s">
        <v>3431</v>
      </c>
      <c r="F796" s="28" t="s">
        <v>11</v>
      </c>
      <c r="G796" s="28" t="s">
        <v>1252</v>
      </c>
    </row>
    <row r="797" spans="1:7">
      <c r="A797" s="28">
        <v>796</v>
      </c>
      <c r="B797" s="28" t="s">
        <v>436</v>
      </c>
      <c r="C797" s="28">
        <v>4132013573</v>
      </c>
      <c r="D797" s="28" t="s">
        <v>3426</v>
      </c>
      <c r="E797" s="28" t="s">
        <v>3425</v>
      </c>
      <c r="F797" s="28" t="s">
        <v>11</v>
      </c>
      <c r="G797" s="28"/>
    </row>
    <row r="798" spans="1:7">
      <c r="A798" s="28">
        <v>797</v>
      </c>
      <c r="B798" s="28" t="s">
        <v>1359</v>
      </c>
      <c r="C798" s="28">
        <v>4132013579</v>
      </c>
      <c r="D798" s="28" t="s">
        <v>3437</v>
      </c>
      <c r="E798" s="28" t="s">
        <v>3429</v>
      </c>
      <c r="F798" s="28" t="s">
        <v>11</v>
      </c>
      <c r="G798" s="28" t="s">
        <v>1252</v>
      </c>
    </row>
    <row r="799" spans="1:7">
      <c r="A799" s="28">
        <v>798</v>
      </c>
      <c r="B799" s="28" t="s">
        <v>1360</v>
      </c>
      <c r="C799" s="28">
        <v>4132013646</v>
      </c>
      <c r="D799" s="28" t="s">
        <v>3437</v>
      </c>
      <c r="E799" s="28" t="s">
        <v>3425</v>
      </c>
      <c r="F799" s="28" t="s">
        <v>11</v>
      </c>
      <c r="G799" s="28" t="s">
        <v>1252</v>
      </c>
    </row>
    <row r="800" spans="1:7">
      <c r="A800" s="28">
        <v>799</v>
      </c>
      <c r="B800" s="28" t="s">
        <v>1361</v>
      </c>
      <c r="C800" s="28">
        <v>4132013654</v>
      </c>
      <c r="D800" s="28" t="s">
        <v>3437</v>
      </c>
      <c r="E800" s="28" t="s">
        <v>3425</v>
      </c>
      <c r="F800" s="28" t="s">
        <v>11</v>
      </c>
      <c r="G800" s="28" t="s">
        <v>1252</v>
      </c>
    </row>
    <row r="801" spans="1:7">
      <c r="A801" s="28">
        <v>800</v>
      </c>
      <c r="B801" s="28" t="s">
        <v>1362</v>
      </c>
      <c r="C801" s="28">
        <v>4132013655</v>
      </c>
      <c r="D801" s="28" t="s">
        <v>3437</v>
      </c>
      <c r="E801" s="28" t="s">
        <v>3425</v>
      </c>
      <c r="F801" s="28" t="s">
        <v>11</v>
      </c>
      <c r="G801" s="28" t="s">
        <v>1252</v>
      </c>
    </row>
    <row r="802" spans="1:7">
      <c r="A802" s="28">
        <v>801</v>
      </c>
      <c r="B802" s="28" t="s">
        <v>1363</v>
      </c>
      <c r="C802" s="28">
        <v>4132013687</v>
      </c>
      <c r="D802" s="28" t="s">
        <v>3437</v>
      </c>
      <c r="E802" s="28" t="s">
        <v>3425</v>
      </c>
      <c r="F802" s="28" t="s">
        <v>11</v>
      </c>
      <c r="G802" s="28" t="s">
        <v>1252</v>
      </c>
    </row>
    <row r="803" spans="1:7">
      <c r="A803" s="28">
        <v>802</v>
      </c>
      <c r="B803" s="28" t="s">
        <v>1364</v>
      </c>
      <c r="C803" s="28">
        <v>4132013842</v>
      </c>
      <c r="D803" s="28" t="s">
        <v>3437</v>
      </c>
      <c r="E803" s="28" t="s">
        <v>3439</v>
      </c>
      <c r="F803" s="28" t="s">
        <v>11</v>
      </c>
      <c r="G803" s="28" t="s">
        <v>1252</v>
      </c>
    </row>
    <row r="804" spans="1:7">
      <c r="A804" s="28">
        <v>803</v>
      </c>
      <c r="B804" s="28" t="s">
        <v>1365</v>
      </c>
      <c r="C804" s="28">
        <v>4132013843</v>
      </c>
      <c r="D804" s="28" t="s">
        <v>3437</v>
      </c>
      <c r="E804" s="28" t="s">
        <v>3439</v>
      </c>
      <c r="F804" s="28" t="s">
        <v>11</v>
      </c>
      <c r="G804" s="28" t="s">
        <v>1252</v>
      </c>
    </row>
    <row r="805" spans="1:7">
      <c r="A805" s="28">
        <v>804</v>
      </c>
      <c r="B805" s="28" t="s">
        <v>1366</v>
      </c>
      <c r="C805" s="28">
        <v>4132013905</v>
      </c>
      <c r="D805" s="28" t="s">
        <v>3437</v>
      </c>
      <c r="E805" s="28" t="s">
        <v>3425</v>
      </c>
      <c r="F805" s="28" t="s">
        <v>11</v>
      </c>
      <c r="G805" s="28" t="s">
        <v>1252</v>
      </c>
    </row>
    <row r="806" spans="1:7">
      <c r="A806" s="28">
        <v>805</v>
      </c>
      <c r="B806" s="28" t="s">
        <v>1367</v>
      </c>
      <c r="C806" s="28">
        <v>4132013906</v>
      </c>
      <c r="D806" s="28" t="s">
        <v>3437</v>
      </c>
      <c r="E806" s="28" t="s">
        <v>3428</v>
      </c>
      <c r="F806" s="28" t="s">
        <v>11</v>
      </c>
      <c r="G806" s="28" t="s">
        <v>1252</v>
      </c>
    </row>
    <row r="807" spans="1:7">
      <c r="A807" s="28">
        <v>806</v>
      </c>
      <c r="B807" s="28" t="s">
        <v>1368</v>
      </c>
      <c r="C807" s="28">
        <v>4132013980</v>
      </c>
      <c r="D807" s="28" t="s">
        <v>3437</v>
      </c>
      <c r="E807" s="28" t="s">
        <v>3438</v>
      </c>
      <c r="F807" s="28" t="s">
        <v>11</v>
      </c>
      <c r="G807" s="28" t="s">
        <v>1252</v>
      </c>
    </row>
    <row r="808" spans="1:7">
      <c r="A808" s="28">
        <v>807</v>
      </c>
      <c r="B808" s="28" t="s">
        <v>1369</v>
      </c>
      <c r="C808" s="28">
        <v>4132013981</v>
      </c>
      <c r="D808" s="28" t="s">
        <v>3437</v>
      </c>
      <c r="E808" s="28" t="s">
        <v>3439</v>
      </c>
      <c r="F808" s="28" t="s">
        <v>11</v>
      </c>
      <c r="G808" s="28" t="s">
        <v>1252</v>
      </c>
    </row>
    <row r="809" spans="1:7">
      <c r="A809" s="28">
        <v>808</v>
      </c>
      <c r="B809" s="28" t="s">
        <v>437</v>
      </c>
      <c r="C809" s="28">
        <v>4132013982</v>
      </c>
      <c r="D809" s="28" t="s">
        <v>3426</v>
      </c>
      <c r="E809" s="28" t="s">
        <v>3431</v>
      </c>
      <c r="F809" s="28" t="s">
        <v>11</v>
      </c>
      <c r="G809" s="28"/>
    </row>
    <row r="810" spans="1:7">
      <c r="A810" s="28">
        <v>809</v>
      </c>
      <c r="B810" s="28" t="s">
        <v>438</v>
      </c>
      <c r="C810" s="28">
        <v>4132013983</v>
      </c>
      <c r="D810" s="28" t="s">
        <v>3426</v>
      </c>
      <c r="E810" s="28" t="s">
        <v>3427</v>
      </c>
      <c r="F810" s="28" t="s">
        <v>11</v>
      </c>
      <c r="G810" s="28"/>
    </row>
    <row r="811" spans="1:7">
      <c r="A811" s="28">
        <v>810</v>
      </c>
      <c r="B811" s="28" t="s">
        <v>1370</v>
      </c>
      <c r="C811" s="28">
        <v>4132013984</v>
      </c>
      <c r="D811" s="28" t="s">
        <v>3437</v>
      </c>
      <c r="E811" s="28" t="s">
        <v>3427</v>
      </c>
      <c r="F811" s="28" t="s">
        <v>11</v>
      </c>
      <c r="G811" s="28" t="s">
        <v>1252</v>
      </c>
    </row>
    <row r="812" spans="1:7">
      <c r="A812" s="28">
        <v>811</v>
      </c>
      <c r="B812" s="28" t="s">
        <v>1371</v>
      </c>
      <c r="C812" s="28">
        <v>4132013985</v>
      </c>
      <c r="D812" s="28" t="s">
        <v>3437</v>
      </c>
      <c r="E812" s="28" t="s">
        <v>3425</v>
      </c>
      <c r="F812" s="28" t="s">
        <v>11</v>
      </c>
      <c r="G812" s="28" t="s">
        <v>1252</v>
      </c>
    </row>
    <row r="813" spans="1:7">
      <c r="A813" s="28">
        <v>812</v>
      </c>
      <c r="B813" s="28" t="s">
        <v>1372</v>
      </c>
      <c r="C813" s="28">
        <v>4132013986</v>
      </c>
      <c r="D813" s="28" t="s">
        <v>3437</v>
      </c>
      <c r="E813" s="28" t="s">
        <v>3428</v>
      </c>
      <c r="F813" s="28" t="s">
        <v>11</v>
      </c>
      <c r="G813" s="28" t="s">
        <v>1252</v>
      </c>
    </row>
    <row r="814" spans="1:7">
      <c r="A814" s="28">
        <v>813</v>
      </c>
      <c r="B814" s="28" t="s">
        <v>1373</v>
      </c>
      <c r="C814" s="28">
        <v>4132013987</v>
      </c>
      <c r="D814" s="28" t="s">
        <v>3437</v>
      </c>
      <c r="E814" s="28" t="s">
        <v>3436</v>
      </c>
      <c r="F814" s="28" t="s">
        <v>11</v>
      </c>
      <c r="G814" s="28" t="s">
        <v>1252</v>
      </c>
    </row>
    <row r="815" spans="1:7">
      <c r="A815" s="28">
        <v>814</v>
      </c>
      <c r="B815" s="28" t="s">
        <v>1374</v>
      </c>
      <c r="C815" s="28">
        <v>4132013988</v>
      </c>
      <c r="D815" s="28" t="s">
        <v>3437</v>
      </c>
      <c r="E815" s="28" t="s">
        <v>3429</v>
      </c>
      <c r="F815" s="28" t="s">
        <v>11</v>
      </c>
      <c r="G815" s="28" t="s">
        <v>1252</v>
      </c>
    </row>
    <row r="816" spans="1:7">
      <c r="A816" s="28">
        <v>815</v>
      </c>
      <c r="B816" s="28" t="s">
        <v>1375</v>
      </c>
      <c r="C816" s="28">
        <v>4132013989</v>
      </c>
      <c r="D816" s="28" t="s">
        <v>3437</v>
      </c>
      <c r="E816" s="28" t="s">
        <v>3436</v>
      </c>
      <c r="F816" s="28" t="s">
        <v>11</v>
      </c>
      <c r="G816" s="28" t="s">
        <v>1252</v>
      </c>
    </row>
    <row r="817" spans="1:7">
      <c r="A817" s="28">
        <v>816</v>
      </c>
      <c r="B817" s="28" t="s">
        <v>1376</v>
      </c>
      <c r="C817" s="28">
        <v>4132013990</v>
      </c>
      <c r="D817" s="28" t="s">
        <v>3437</v>
      </c>
      <c r="E817" s="28" t="s">
        <v>3425</v>
      </c>
      <c r="F817" s="28" t="s">
        <v>11</v>
      </c>
      <c r="G817" s="28" t="s">
        <v>1252</v>
      </c>
    </row>
    <row r="818" spans="1:7">
      <c r="A818" s="28">
        <v>817</v>
      </c>
      <c r="B818" s="28" t="s">
        <v>1377</v>
      </c>
      <c r="C818" s="28">
        <v>4132013991</v>
      </c>
      <c r="D818" s="28" t="s">
        <v>3437</v>
      </c>
      <c r="E818" s="28" t="s">
        <v>3427</v>
      </c>
      <c r="F818" s="28" t="s">
        <v>11</v>
      </c>
      <c r="G818" s="28" t="s">
        <v>1252</v>
      </c>
    </row>
    <row r="819" spans="1:7">
      <c r="A819" s="28">
        <v>818</v>
      </c>
      <c r="B819" s="28" t="s">
        <v>1378</v>
      </c>
      <c r="C819" s="28">
        <v>4132013992</v>
      </c>
      <c r="D819" s="28" t="s">
        <v>3437</v>
      </c>
      <c r="E819" s="28" t="s">
        <v>3439</v>
      </c>
      <c r="F819" s="28" t="s">
        <v>11</v>
      </c>
      <c r="G819" s="28" t="s">
        <v>1252</v>
      </c>
    </row>
    <row r="820" spans="1:7">
      <c r="A820" s="28">
        <v>819</v>
      </c>
      <c r="B820" s="28" t="s">
        <v>1379</v>
      </c>
      <c r="C820" s="28">
        <v>4132013993</v>
      </c>
      <c r="D820" s="28" t="s">
        <v>3437</v>
      </c>
      <c r="E820" s="28" t="s">
        <v>3432</v>
      </c>
      <c r="F820" s="28" t="s">
        <v>11</v>
      </c>
      <c r="G820" s="28" t="s">
        <v>1252</v>
      </c>
    </row>
    <row r="821" spans="1:7">
      <c r="A821" s="28">
        <v>820</v>
      </c>
      <c r="B821" s="28" t="s">
        <v>1380</v>
      </c>
      <c r="C821" s="28">
        <v>4132013994</v>
      </c>
      <c r="D821" s="28" t="s">
        <v>3437</v>
      </c>
      <c r="E821" s="28" t="s">
        <v>3425</v>
      </c>
      <c r="F821" s="28" t="s">
        <v>11</v>
      </c>
      <c r="G821" s="28" t="s">
        <v>1252</v>
      </c>
    </row>
    <row r="822" spans="1:7">
      <c r="A822" s="28">
        <v>821</v>
      </c>
      <c r="B822" s="28" t="s">
        <v>439</v>
      </c>
      <c r="C822" s="28">
        <v>4132014160</v>
      </c>
      <c r="D822" s="28" t="s">
        <v>3426</v>
      </c>
      <c r="E822" s="28" t="s">
        <v>3440</v>
      </c>
      <c r="F822" s="28" t="s">
        <v>11</v>
      </c>
      <c r="G822" s="28"/>
    </row>
    <row r="823" spans="1:7">
      <c r="A823" s="28">
        <v>822</v>
      </c>
      <c r="B823" s="28" t="s">
        <v>441</v>
      </c>
      <c r="C823" s="28">
        <v>4132014436</v>
      </c>
      <c r="D823" s="28" t="s">
        <v>3426</v>
      </c>
      <c r="E823" s="28" t="s">
        <v>3425</v>
      </c>
      <c r="F823" s="28" t="s">
        <v>11</v>
      </c>
      <c r="G823" s="28"/>
    </row>
    <row r="824" spans="1:7">
      <c r="A824" s="28">
        <v>823</v>
      </c>
      <c r="B824" s="28" t="s">
        <v>1688</v>
      </c>
      <c r="C824" s="28">
        <v>4132016403</v>
      </c>
      <c r="D824" s="28" t="s">
        <v>3437</v>
      </c>
      <c r="E824" s="28" t="s">
        <v>3427</v>
      </c>
      <c r="F824" s="28" t="s">
        <v>11</v>
      </c>
      <c r="G824" s="28" t="s">
        <v>3424</v>
      </c>
    </row>
    <row r="825" spans="1:7">
      <c r="A825" s="28">
        <v>824</v>
      </c>
      <c r="B825" s="28" t="s">
        <v>1689</v>
      </c>
      <c r="C825" s="28">
        <v>4132016406</v>
      </c>
      <c r="D825" s="28" t="s">
        <v>3437</v>
      </c>
      <c r="E825" s="28" t="s">
        <v>3441</v>
      </c>
      <c r="F825" s="28" t="s">
        <v>11</v>
      </c>
      <c r="G825" s="28" t="s">
        <v>3424</v>
      </c>
    </row>
    <row r="826" spans="1:7">
      <c r="A826" s="28">
        <v>825</v>
      </c>
      <c r="B826" s="28" t="s">
        <v>446</v>
      </c>
      <c r="C826" s="28">
        <v>4132011585</v>
      </c>
      <c r="D826" s="28" t="s">
        <v>3426</v>
      </c>
      <c r="E826" s="28" t="s">
        <v>3438</v>
      </c>
      <c r="F826" s="28" t="s">
        <v>11</v>
      </c>
      <c r="G826" s="28"/>
    </row>
    <row r="827" spans="1:7">
      <c r="A827" s="28">
        <v>826</v>
      </c>
      <c r="B827" s="28" t="s">
        <v>442</v>
      </c>
      <c r="C827" s="28">
        <v>4132010848</v>
      </c>
      <c r="D827" s="28" t="s">
        <v>3426</v>
      </c>
      <c r="E827" s="28" t="s">
        <v>3431</v>
      </c>
      <c r="F827" s="28" t="s">
        <v>11</v>
      </c>
      <c r="G827" s="28"/>
    </row>
    <row r="828" spans="1:7">
      <c r="A828" s="28">
        <v>827</v>
      </c>
      <c r="B828" s="28" t="s">
        <v>444</v>
      </c>
      <c r="C828" s="28">
        <v>4132011054</v>
      </c>
      <c r="D828" s="28" t="s">
        <v>3426</v>
      </c>
      <c r="E828" s="28" t="s">
        <v>3427</v>
      </c>
      <c r="F828" s="28" t="s">
        <v>11</v>
      </c>
      <c r="G828" s="28"/>
    </row>
    <row r="829" spans="1:7">
      <c r="A829" s="28">
        <v>828</v>
      </c>
      <c r="B829" s="28" t="s">
        <v>445</v>
      </c>
      <c r="C829" s="28">
        <v>4132011462</v>
      </c>
      <c r="D829" s="28" t="s">
        <v>3426</v>
      </c>
      <c r="E829" s="28" t="s">
        <v>3436</v>
      </c>
      <c r="F829" s="28" t="s">
        <v>11</v>
      </c>
      <c r="G829" s="28"/>
    </row>
    <row r="830" spans="1:7">
      <c r="A830" s="28">
        <v>829</v>
      </c>
      <c r="B830" s="28" t="s">
        <v>1963</v>
      </c>
      <c r="C830" s="28">
        <v>3632000466</v>
      </c>
      <c r="D830" s="28" t="s">
        <v>3426</v>
      </c>
      <c r="E830" s="28" t="s">
        <v>3433</v>
      </c>
      <c r="F830" s="28" t="s">
        <v>1700</v>
      </c>
      <c r="G830" s="28"/>
    </row>
    <row r="831" spans="1:7">
      <c r="A831" s="28">
        <v>830</v>
      </c>
      <c r="B831" s="28" t="s">
        <v>1964</v>
      </c>
      <c r="C831" s="28">
        <v>3632000583</v>
      </c>
      <c r="D831" s="28" t="s">
        <v>3426</v>
      </c>
      <c r="E831" s="28" t="s">
        <v>3427</v>
      </c>
      <c r="F831" s="28" t="s">
        <v>1700</v>
      </c>
      <c r="G831" s="28"/>
    </row>
    <row r="832" spans="1:7">
      <c r="A832" s="28">
        <v>831</v>
      </c>
      <c r="B832" s="28" t="s">
        <v>2958</v>
      </c>
      <c r="C832" s="28">
        <v>4132010826</v>
      </c>
      <c r="D832" s="28" t="s">
        <v>3437</v>
      </c>
      <c r="E832" s="28" t="s">
        <v>3433</v>
      </c>
      <c r="F832" s="28" t="s">
        <v>1700</v>
      </c>
      <c r="G832" s="28" t="s">
        <v>1252</v>
      </c>
    </row>
    <row r="833" spans="1:7">
      <c r="A833" s="28">
        <v>832</v>
      </c>
      <c r="B833" s="28" t="s">
        <v>3442</v>
      </c>
      <c r="C833" s="28">
        <v>4132010849</v>
      </c>
      <c r="D833" s="28" t="s">
        <v>3426</v>
      </c>
      <c r="E833" s="28" t="s">
        <v>3429</v>
      </c>
      <c r="F833" s="28" t="s">
        <v>1700</v>
      </c>
      <c r="G833" s="28"/>
    </row>
    <row r="834" spans="1:7">
      <c r="A834" s="28">
        <v>833</v>
      </c>
      <c r="B834" s="28" t="s">
        <v>1965</v>
      </c>
      <c r="C834" s="28">
        <v>4132010958</v>
      </c>
      <c r="D834" s="28" t="s">
        <v>3426</v>
      </c>
      <c r="E834" s="28" t="s">
        <v>3432</v>
      </c>
      <c r="F834" s="28" t="s">
        <v>1700</v>
      </c>
      <c r="G834" s="28"/>
    </row>
    <row r="835" spans="1:7">
      <c r="A835" s="28">
        <v>834</v>
      </c>
      <c r="B835" s="28" t="s">
        <v>1966</v>
      </c>
      <c r="C835" s="28">
        <v>4132010960</v>
      </c>
      <c r="D835" s="28" t="s">
        <v>3426</v>
      </c>
      <c r="E835" s="28" t="s">
        <v>3427</v>
      </c>
      <c r="F835" s="28" t="s">
        <v>1700</v>
      </c>
      <c r="G835" s="28"/>
    </row>
    <row r="836" spans="1:7">
      <c r="A836" s="28">
        <v>835</v>
      </c>
      <c r="B836" s="28" t="s">
        <v>1967</v>
      </c>
      <c r="C836" s="28">
        <v>4132011050</v>
      </c>
      <c r="D836" s="28" t="s">
        <v>3426</v>
      </c>
      <c r="E836" s="28" t="s">
        <v>3438</v>
      </c>
      <c r="F836" s="28" t="s">
        <v>1700</v>
      </c>
      <c r="G836" s="28"/>
    </row>
    <row r="837" spans="1:7">
      <c r="A837" s="28">
        <v>836</v>
      </c>
      <c r="B837" s="28" t="s">
        <v>1968</v>
      </c>
      <c r="C837" s="28">
        <v>4132011051</v>
      </c>
      <c r="D837" s="28" t="s">
        <v>3426</v>
      </c>
      <c r="E837" s="28" t="s">
        <v>3428</v>
      </c>
      <c r="F837" s="28" t="s">
        <v>1700</v>
      </c>
      <c r="G837" s="28"/>
    </row>
    <row r="838" spans="1:7">
      <c r="A838" s="28">
        <v>837</v>
      </c>
      <c r="B838" s="28" t="s">
        <v>1969</v>
      </c>
      <c r="C838" s="28">
        <v>4132011052</v>
      </c>
      <c r="D838" s="28" t="s">
        <v>3426</v>
      </c>
      <c r="E838" s="28" t="s">
        <v>3432</v>
      </c>
      <c r="F838" s="28" t="s">
        <v>1700</v>
      </c>
      <c r="G838" s="28"/>
    </row>
    <row r="839" spans="1:7">
      <c r="A839" s="28">
        <v>838</v>
      </c>
      <c r="B839" s="28" t="s">
        <v>1970</v>
      </c>
      <c r="C839" s="28">
        <v>4132011288</v>
      </c>
      <c r="D839" s="28" t="s">
        <v>3426</v>
      </c>
      <c r="E839" s="28" t="s">
        <v>3427</v>
      </c>
      <c r="F839" s="28" t="s">
        <v>1700</v>
      </c>
      <c r="G839" s="28"/>
    </row>
    <row r="840" spans="1:7">
      <c r="A840" s="28">
        <v>839</v>
      </c>
      <c r="B840" s="28" t="s">
        <v>1971</v>
      </c>
      <c r="C840" s="28">
        <v>4132012047</v>
      </c>
      <c r="D840" s="28" t="s">
        <v>3426</v>
      </c>
      <c r="E840" s="28" t="s">
        <v>3425</v>
      </c>
      <c r="F840" s="28" t="s">
        <v>1700</v>
      </c>
      <c r="G840" s="28"/>
    </row>
    <row r="841" spans="1:7">
      <c r="A841" s="28">
        <v>840</v>
      </c>
      <c r="B841" s="28" t="s">
        <v>2959</v>
      </c>
      <c r="C841" s="28">
        <v>4132012054</v>
      </c>
      <c r="D841" s="28" t="s">
        <v>3437</v>
      </c>
      <c r="E841" s="28" t="s">
        <v>3429</v>
      </c>
      <c r="F841" s="28" t="s">
        <v>1700</v>
      </c>
      <c r="G841" s="28" t="s">
        <v>1252</v>
      </c>
    </row>
    <row r="842" spans="1:7">
      <c r="A842" s="28">
        <v>841</v>
      </c>
      <c r="B842" s="28" t="s">
        <v>2960</v>
      </c>
      <c r="C842" s="28">
        <v>4132012078</v>
      </c>
      <c r="D842" s="28" t="s">
        <v>3437</v>
      </c>
      <c r="E842" s="28" t="s">
        <v>3427</v>
      </c>
      <c r="F842" s="28" t="s">
        <v>1700</v>
      </c>
      <c r="G842" s="28" t="s">
        <v>1252</v>
      </c>
    </row>
    <row r="843" spans="1:7">
      <c r="A843" s="28">
        <v>842</v>
      </c>
      <c r="B843" s="28" t="s">
        <v>1972</v>
      </c>
      <c r="C843" s="28">
        <v>4132012106</v>
      </c>
      <c r="D843" s="28" t="s">
        <v>3426</v>
      </c>
      <c r="E843" s="28" t="s">
        <v>3439</v>
      </c>
      <c r="F843" s="28" t="s">
        <v>1700</v>
      </c>
      <c r="G843" s="28"/>
    </row>
    <row r="844" spans="1:7">
      <c r="A844" s="28">
        <v>843</v>
      </c>
      <c r="B844" s="28" t="s">
        <v>1973</v>
      </c>
      <c r="C844" s="28">
        <v>4132012317</v>
      </c>
      <c r="D844" s="28" t="s">
        <v>3426</v>
      </c>
      <c r="E844" s="28" t="s">
        <v>3430</v>
      </c>
      <c r="F844" s="28" t="s">
        <v>1700</v>
      </c>
      <c r="G844" s="28"/>
    </row>
    <row r="845" spans="1:7">
      <c r="A845" s="28">
        <v>844</v>
      </c>
      <c r="B845" s="28" t="s">
        <v>1974</v>
      </c>
      <c r="C845" s="28">
        <v>4132012678</v>
      </c>
      <c r="D845" s="28" t="s">
        <v>3426</v>
      </c>
      <c r="E845" s="28" t="s">
        <v>3425</v>
      </c>
      <c r="F845" s="28" t="s">
        <v>1700</v>
      </c>
      <c r="G845" s="28"/>
    </row>
    <row r="846" spans="1:7">
      <c r="A846" s="28">
        <v>845</v>
      </c>
      <c r="B846" s="28" t="s">
        <v>1975</v>
      </c>
      <c r="C846" s="28">
        <v>4132012679</v>
      </c>
      <c r="D846" s="28" t="s">
        <v>3426</v>
      </c>
      <c r="E846" s="28" t="s">
        <v>3425</v>
      </c>
      <c r="F846" s="28" t="s">
        <v>1700</v>
      </c>
      <c r="G846" s="28"/>
    </row>
    <row r="847" spans="1:7">
      <c r="A847" s="28">
        <v>846</v>
      </c>
      <c r="B847" s="28" t="s">
        <v>2961</v>
      </c>
      <c r="C847" s="28">
        <v>4132012680</v>
      </c>
      <c r="D847" s="28" t="s">
        <v>3437</v>
      </c>
      <c r="E847" s="28" t="s">
        <v>3425</v>
      </c>
      <c r="F847" s="28" t="s">
        <v>1700</v>
      </c>
      <c r="G847" s="28" t="s">
        <v>1252</v>
      </c>
    </row>
    <row r="848" spans="1:7">
      <c r="A848" s="28">
        <v>847</v>
      </c>
      <c r="B848" s="28" t="s">
        <v>1976</v>
      </c>
      <c r="C848" s="28">
        <v>4132012681</v>
      </c>
      <c r="D848" s="28" t="s">
        <v>3426</v>
      </c>
      <c r="E848" s="28" t="s">
        <v>3431</v>
      </c>
      <c r="F848" s="28" t="s">
        <v>1700</v>
      </c>
      <c r="G848" s="28"/>
    </row>
    <row r="849" spans="1:7">
      <c r="A849" s="28">
        <v>848</v>
      </c>
      <c r="B849" s="28" t="s">
        <v>1977</v>
      </c>
      <c r="C849" s="28">
        <v>4132012682</v>
      </c>
      <c r="D849" s="28" t="s">
        <v>3426</v>
      </c>
      <c r="E849" s="28" t="s">
        <v>3433</v>
      </c>
      <c r="F849" s="28" t="s">
        <v>1700</v>
      </c>
      <c r="G849" s="28"/>
    </row>
    <row r="850" spans="1:7">
      <c r="A850" s="28">
        <v>849</v>
      </c>
      <c r="B850" s="28" t="s">
        <v>1978</v>
      </c>
      <c r="C850" s="28">
        <v>4132012683</v>
      </c>
      <c r="D850" s="28" t="s">
        <v>3426</v>
      </c>
      <c r="E850" s="28" t="s">
        <v>3436</v>
      </c>
      <c r="F850" s="28" t="s">
        <v>1700</v>
      </c>
      <c r="G850" s="28"/>
    </row>
    <row r="851" spans="1:7">
      <c r="A851" s="28">
        <v>850</v>
      </c>
      <c r="B851" s="28" t="s">
        <v>1979</v>
      </c>
      <c r="C851" s="28">
        <v>4132012684</v>
      </c>
      <c r="D851" s="28" t="s">
        <v>3426</v>
      </c>
      <c r="E851" s="28" t="s">
        <v>3432</v>
      </c>
      <c r="F851" s="28" t="s">
        <v>1700</v>
      </c>
      <c r="G851" s="28"/>
    </row>
    <row r="852" spans="1:7">
      <c r="A852" s="28">
        <v>851</v>
      </c>
      <c r="B852" s="28" t="s">
        <v>1980</v>
      </c>
      <c r="C852" s="28">
        <v>4132012685</v>
      </c>
      <c r="D852" s="28" t="s">
        <v>3426</v>
      </c>
      <c r="E852" s="28" t="s">
        <v>3427</v>
      </c>
      <c r="F852" s="28" t="s">
        <v>1700</v>
      </c>
      <c r="G852" s="28"/>
    </row>
    <row r="853" spans="1:7">
      <c r="A853" s="28">
        <v>852</v>
      </c>
      <c r="B853" s="28" t="s">
        <v>1981</v>
      </c>
      <c r="C853" s="28">
        <v>4132012686</v>
      </c>
      <c r="D853" s="28" t="s">
        <v>3426</v>
      </c>
      <c r="E853" s="28" t="s">
        <v>3427</v>
      </c>
      <c r="F853" s="28" t="s">
        <v>1700</v>
      </c>
      <c r="G853" s="28"/>
    </row>
    <row r="854" spans="1:7">
      <c r="A854" s="28">
        <v>853</v>
      </c>
      <c r="B854" s="28" t="s">
        <v>2962</v>
      </c>
      <c r="C854" s="28">
        <v>4132012687</v>
      </c>
      <c r="D854" s="28" t="s">
        <v>3437</v>
      </c>
      <c r="E854" s="28" t="s">
        <v>3427</v>
      </c>
      <c r="F854" s="28" t="s">
        <v>1700</v>
      </c>
      <c r="G854" s="28" t="s">
        <v>1252</v>
      </c>
    </row>
    <row r="855" spans="1:7">
      <c r="A855" s="28">
        <v>854</v>
      </c>
      <c r="B855" s="28" t="s">
        <v>1982</v>
      </c>
      <c r="C855" s="28">
        <v>4132012688</v>
      </c>
      <c r="D855" s="28" t="s">
        <v>3426</v>
      </c>
      <c r="E855" s="28" t="s">
        <v>3427</v>
      </c>
      <c r="F855" s="28" t="s">
        <v>1700</v>
      </c>
      <c r="G855" s="28"/>
    </row>
    <row r="856" spans="1:7">
      <c r="A856" s="28">
        <v>855</v>
      </c>
      <c r="B856" s="28" t="s">
        <v>1983</v>
      </c>
      <c r="C856" s="28">
        <v>4132012702</v>
      </c>
      <c r="D856" s="28" t="s">
        <v>3426</v>
      </c>
      <c r="E856" s="28" t="s">
        <v>3431</v>
      </c>
      <c r="F856" s="28" t="s">
        <v>1700</v>
      </c>
      <c r="G856" s="28"/>
    </row>
    <row r="857" spans="1:7">
      <c r="A857" s="28">
        <v>856</v>
      </c>
      <c r="B857" s="28" t="s">
        <v>1984</v>
      </c>
      <c r="C857" s="28">
        <v>4132012703</v>
      </c>
      <c r="D857" s="28" t="s">
        <v>3426</v>
      </c>
      <c r="E857" s="28" t="s">
        <v>3432</v>
      </c>
      <c r="F857" s="28" t="s">
        <v>1700</v>
      </c>
      <c r="G857" s="28"/>
    </row>
    <row r="858" spans="1:7">
      <c r="A858" s="28">
        <v>857</v>
      </c>
      <c r="B858" s="28" t="s">
        <v>1985</v>
      </c>
      <c r="C858" s="28">
        <v>4132012804</v>
      </c>
      <c r="D858" s="28" t="s">
        <v>3426</v>
      </c>
      <c r="E858" s="28" t="s">
        <v>3425</v>
      </c>
      <c r="F858" s="28" t="s">
        <v>1700</v>
      </c>
      <c r="G858" s="28"/>
    </row>
    <row r="859" spans="1:7">
      <c r="A859" s="28">
        <v>858</v>
      </c>
      <c r="B859" s="28" t="s">
        <v>1986</v>
      </c>
      <c r="C859" s="28">
        <v>4132012805</v>
      </c>
      <c r="D859" s="28" t="s">
        <v>3426</v>
      </c>
      <c r="E859" s="28" t="s">
        <v>3434</v>
      </c>
      <c r="F859" s="28" t="s">
        <v>1700</v>
      </c>
      <c r="G859" s="28"/>
    </row>
    <row r="860" spans="1:7">
      <c r="A860" s="28">
        <v>859</v>
      </c>
      <c r="B860" s="28" t="s">
        <v>1987</v>
      </c>
      <c r="C860" s="28">
        <v>4132012806</v>
      </c>
      <c r="D860" s="28" t="s">
        <v>3426</v>
      </c>
      <c r="E860" s="28" t="s">
        <v>3439</v>
      </c>
      <c r="F860" s="28" t="s">
        <v>1700</v>
      </c>
      <c r="G860" s="28"/>
    </row>
    <row r="861" spans="1:7">
      <c r="A861" s="28">
        <v>860</v>
      </c>
      <c r="B861" s="28" t="s">
        <v>1988</v>
      </c>
      <c r="C861" s="28">
        <v>4132012807</v>
      </c>
      <c r="D861" s="28" t="s">
        <v>3426</v>
      </c>
      <c r="E861" s="28" t="s">
        <v>3430</v>
      </c>
      <c r="F861" s="28" t="s">
        <v>1700</v>
      </c>
      <c r="G861" s="28"/>
    </row>
    <row r="862" spans="1:7">
      <c r="A862" s="28">
        <v>861</v>
      </c>
      <c r="B862" s="28" t="s">
        <v>1989</v>
      </c>
      <c r="C862" s="28">
        <v>4132012808</v>
      </c>
      <c r="D862" s="28" t="s">
        <v>3426</v>
      </c>
      <c r="E862" s="28" t="s">
        <v>3427</v>
      </c>
      <c r="F862" s="28" t="s">
        <v>1700</v>
      </c>
      <c r="G862" s="28"/>
    </row>
    <row r="863" spans="1:7">
      <c r="A863" s="28">
        <v>862</v>
      </c>
      <c r="B863" s="28" t="s">
        <v>1990</v>
      </c>
      <c r="C863" s="28">
        <v>4132012809</v>
      </c>
      <c r="D863" s="28" t="s">
        <v>3426</v>
      </c>
      <c r="E863" s="28" t="s">
        <v>3427</v>
      </c>
      <c r="F863" s="28" t="s">
        <v>1700</v>
      </c>
      <c r="G863" s="28"/>
    </row>
    <row r="864" spans="1:7">
      <c r="A864" s="28">
        <v>863</v>
      </c>
      <c r="B864" s="28" t="s">
        <v>2963</v>
      </c>
      <c r="C864" s="28">
        <v>4132012918</v>
      </c>
      <c r="D864" s="28" t="s">
        <v>3437</v>
      </c>
      <c r="E864" s="28" t="s">
        <v>3431</v>
      </c>
      <c r="F864" s="28" t="s">
        <v>1700</v>
      </c>
      <c r="G864" s="28" t="s">
        <v>1252</v>
      </c>
    </row>
    <row r="865" spans="1:7">
      <c r="A865" s="28">
        <v>864</v>
      </c>
      <c r="B865" s="28" t="s">
        <v>2964</v>
      </c>
      <c r="C865" s="28">
        <v>4132012919</v>
      </c>
      <c r="D865" s="28" t="s">
        <v>3437</v>
      </c>
      <c r="E865" s="28" t="s">
        <v>3434</v>
      </c>
      <c r="F865" s="28" t="s">
        <v>1700</v>
      </c>
      <c r="G865" s="28" t="s">
        <v>1252</v>
      </c>
    </row>
    <row r="866" spans="1:7">
      <c r="A866" s="28">
        <v>865</v>
      </c>
      <c r="B866" s="28" t="s">
        <v>1991</v>
      </c>
      <c r="C866" s="28">
        <v>4132012920</v>
      </c>
      <c r="D866" s="28" t="s">
        <v>3426</v>
      </c>
      <c r="E866" s="28" t="s">
        <v>3425</v>
      </c>
      <c r="F866" s="28" t="s">
        <v>1700</v>
      </c>
      <c r="G866" s="28"/>
    </row>
    <row r="867" spans="1:7">
      <c r="A867" s="28">
        <v>866</v>
      </c>
      <c r="B867" s="28" t="s">
        <v>2965</v>
      </c>
      <c r="C867" s="28">
        <v>4132012921</v>
      </c>
      <c r="D867" s="28" t="s">
        <v>3437</v>
      </c>
      <c r="E867" s="28" t="s">
        <v>3425</v>
      </c>
      <c r="F867" s="28" t="s">
        <v>1700</v>
      </c>
      <c r="G867" s="28" t="s">
        <v>1252</v>
      </c>
    </row>
    <row r="868" spans="1:7">
      <c r="A868" s="28">
        <v>867</v>
      </c>
      <c r="B868" s="28" t="s">
        <v>2966</v>
      </c>
      <c r="C868" s="28">
        <v>4132012922</v>
      </c>
      <c r="D868" s="28" t="s">
        <v>3437</v>
      </c>
      <c r="E868" s="28" t="s">
        <v>3425</v>
      </c>
      <c r="F868" s="28" t="s">
        <v>1700</v>
      </c>
      <c r="G868" s="28" t="s">
        <v>1252</v>
      </c>
    </row>
    <row r="869" spans="1:7">
      <c r="A869" s="28">
        <v>868</v>
      </c>
      <c r="B869" s="28" t="s">
        <v>2967</v>
      </c>
      <c r="C869" s="28">
        <v>4132012923</v>
      </c>
      <c r="D869" s="28" t="s">
        <v>3437</v>
      </c>
      <c r="E869" s="28" t="s">
        <v>3431</v>
      </c>
      <c r="F869" s="28" t="s">
        <v>1700</v>
      </c>
      <c r="G869" s="28" t="s">
        <v>1252</v>
      </c>
    </row>
    <row r="870" spans="1:7">
      <c r="A870" s="28">
        <v>869</v>
      </c>
      <c r="B870" s="28" t="s">
        <v>2968</v>
      </c>
      <c r="C870" s="28">
        <v>4132013017</v>
      </c>
      <c r="D870" s="28" t="s">
        <v>3437</v>
      </c>
      <c r="E870" s="28" t="s">
        <v>3431</v>
      </c>
      <c r="F870" s="28" t="s">
        <v>1700</v>
      </c>
      <c r="G870" s="28" t="s">
        <v>1252</v>
      </c>
    </row>
    <row r="871" spans="1:7">
      <c r="A871" s="28">
        <v>870</v>
      </c>
      <c r="B871" s="28" t="s">
        <v>2969</v>
      </c>
      <c r="C871" s="28">
        <v>4132013100</v>
      </c>
      <c r="D871" s="28" t="s">
        <v>3437</v>
      </c>
      <c r="E871" s="28" t="s">
        <v>3425</v>
      </c>
      <c r="F871" s="28" t="s">
        <v>1700</v>
      </c>
      <c r="G871" s="28" t="s">
        <v>1252</v>
      </c>
    </row>
    <row r="872" spans="1:7">
      <c r="A872" s="28">
        <v>871</v>
      </c>
      <c r="B872" s="28" t="s">
        <v>1992</v>
      </c>
      <c r="C872" s="28">
        <v>4132013101</v>
      </c>
      <c r="D872" s="28" t="s">
        <v>3426</v>
      </c>
      <c r="E872" s="28" t="s">
        <v>3430</v>
      </c>
      <c r="F872" s="28" t="s">
        <v>1700</v>
      </c>
      <c r="G872" s="28"/>
    </row>
    <row r="873" spans="1:7">
      <c r="A873" s="28">
        <v>872</v>
      </c>
      <c r="B873" s="28" t="s">
        <v>1993</v>
      </c>
      <c r="C873" s="28">
        <v>4132013102</v>
      </c>
      <c r="D873" s="28" t="s">
        <v>3426</v>
      </c>
      <c r="E873" s="28" t="s">
        <v>3430</v>
      </c>
      <c r="F873" s="28" t="s">
        <v>1700</v>
      </c>
      <c r="G873" s="28"/>
    </row>
    <row r="874" spans="1:7">
      <c r="A874" s="28">
        <v>873</v>
      </c>
      <c r="B874" s="28" t="s">
        <v>1994</v>
      </c>
      <c r="C874" s="28">
        <v>4132013103</v>
      </c>
      <c r="D874" s="28" t="s">
        <v>3426</v>
      </c>
      <c r="E874" s="28" t="s">
        <v>3428</v>
      </c>
      <c r="F874" s="28" t="s">
        <v>1700</v>
      </c>
      <c r="G874" s="28"/>
    </row>
    <row r="875" spans="1:7">
      <c r="A875" s="28">
        <v>874</v>
      </c>
      <c r="B875" s="28" t="s">
        <v>1995</v>
      </c>
      <c r="C875" s="28">
        <v>4132013104</v>
      </c>
      <c r="D875" s="28" t="s">
        <v>3426</v>
      </c>
      <c r="E875" s="28" t="s">
        <v>3434</v>
      </c>
      <c r="F875" s="28" t="s">
        <v>1700</v>
      </c>
      <c r="G875" s="28"/>
    </row>
    <row r="876" spans="1:7">
      <c r="A876" s="28">
        <v>875</v>
      </c>
      <c r="B876" s="28" t="s">
        <v>2970</v>
      </c>
      <c r="C876" s="28">
        <v>4132013105</v>
      </c>
      <c r="D876" s="28" t="s">
        <v>3437</v>
      </c>
      <c r="E876" s="28" t="s">
        <v>3430</v>
      </c>
      <c r="F876" s="28" t="s">
        <v>1700</v>
      </c>
      <c r="G876" s="28" t="s">
        <v>1252</v>
      </c>
    </row>
    <row r="877" spans="1:7">
      <c r="A877" s="28">
        <v>876</v>
      </c>
      <c r="B877" s="28" t="s">
        <v>1996</v>
      </c>
      <c r="C877" s="28">
        <v>4132013106</v>
      </c>
      <c r="D877" s="28" t="s">
        <v>3426</v>
      </c>
      <c r="E877" s="28" t="s">
        <v>3425</v>
      </c>
      <c r="F877" s="28" t="s">
        <v>1700</v>
      </c>
      <c r="G877" s="28"/>
    </row>
    <row r="878" spans="1:7">
      <c r="A878" s="28">
        <v>877</v>
      </c>
      <c r="B878" s="28" t="s">
        <v>1997</v>
      </c>
      <c r="C878" s="28">
        <v>4132013107</v>
      </c>
      <c r="D878" s="28" t="s">
        <v>3426</v>
      </c>
      <c r="E878" s="28" t="s">
        <v>3429</v>
      </c>
      <c r="F878" s="28" t="s">
        <v>1700</v>
      </c>
      <c r="G878" s="28"/>
    </row>
    <row r="879" spans="1:7">
      <c r="A879" s="28">
        <v>878</v>
      </c>
      <c r="B879" s="28" t="s">
        <v>1998</v>
      </c>
      <c r="C879" s="28">
        <v>4132013108</v>
      </c>
      <c r="D879" s="28" t="s">
        <v>3426</v>
      </c>
      <c r="E879" s="28" t="s">
        <v>3431</v>
      </c>
      <c r="F879" s="28" t="s">
        <v>1700</v>
      </c>
      <c r="G879" s="28"/>
    </row>
    <row r="880" spans="1:7">
      <c r="A880" s="28">
        <v>879</v>
      </c>
      <c r="B880" s="28" t="s">
        <v>1999</v>
      </c>
      <c r="C880" s="28">
        <v>4132013110</v>
      </c>
      <c r="D880" s="28" t="s">
        <v>3426</v>
      </c>
      <c r="E880" s="28" t="s">
        <v>3440</v>
      </c>
      <c r="F880" s="28" t="s">
        <v>1700</v>
      </c>
      <c r="G880" s="28"/>
    </row>
    <row r="881" spans="1:7">
      <c r="A881" s="28">
        <v>880</v>
      </c>
      <c r="B881" s="28" t="s">
        <v>2000</v>
      </c>
      <c r="C881" s="28">
        <v>4132013112</v>
      </c>
      <c r="D881" s="28" t="s">
        <v>3426</v>
      </c>
      <c r="E881" s="28" t="s">
        <v>3425</v>
      </c>
      <c r="F881" s="28" t="s">
        <v>1700</v>
      </c>
      <c r="G881" s="28"/>
    </row>
    <row r="882" spans="1:7">
      <c r="A882" s="28">
        <v>881</v>
      </c>
      <c r="B882" s="28" t="s">
        <v>2971</v>
      </c>
      <c r="C882" s="28">
        <v>4132013113</v>
      </c>
      <c r="D882" s="28" t="s">
        <v>3437</v>
      </c>
      <c r="E882" s="28" t="s">
        <v>3436</v>
      </c>
      <c r="F882" s="28" t="s">
        <v>1700</v>
      </c>
      <c r="G882" s="28" t="s">
        <v>1252</v>
      </c>
    </row>
    <row r="883" spans="1:7">
      <c r="A883" s="28">
        <v>882</v>
      </c>
      <c r="B883" s="28" t="s">
        <v>2001</v>
      </c>
      <c r="C883" s="28">
        <v>4132013114</v>
      </c>
      <c r="D883" s="28" t="s">
        <v>3426</v>
      </c>
      <c r="E883" s="28" t="s">
        <v>3430</v>
      </c>
      <c r="F883" s="28" t="s">
        <v>1700</v>
      </c>
      <c r="G883" s="28"/>
    </row>
    <row r="884" spans="1:7">
      <c r="A884" s="28">
        <v>883</v>
      </c>
      <c r="B884" s="28" t="s">
        <v>2002</v>
      </c>
      <c r="C884" s="28">
        <v>4132013137</v>
      </c>
      <c r="D884" s="28" t="s">
        <v>3426</v>
      </c>
      <c r="E884" s="28" t="s">
        <v>3431</v>
      </c>
      <c r="F884" s="28" t="s">
        <v>1700</v>
      </c>
      <c r="G884" s="28"/>
    </row>
    <row r="885" spans="1:7">
      <c r="A885" s="28">
        <v>884</v>
      </c>
      <c r="B885" s="28" t="s">
        <v>2003</v>
      </c>
      <c r="C885" s="28">
        <v>4132013748</v>
      </c>
      <c r="D885" s="28" t="s">
        <v>3426</v>
      </c>
      <c r="E885" s="28" t="s">
        <v>3431</v>
      </c>
      <c r="F885" s="28" t="s">
        <v>1700</v>
      </c>
      <c r="G885" s="28"/>
    </row>
    <row r="886" spans="1:7">
      <c r="A886" s="28">
        <v>885</v>
      </c>
      <c r="B886" s="28" t="s">
        <v>2004</v>
      </c>
      <c r="C886" s="28">
        <v>4132013749</v>
      </c>
      <c r="D886" s="28" t="s">
        <v>3426</v>
      </c>
      <c r="E886" s="28" t="s">
        <v>3431</v>
      </c>
      <c r="F886" s="28" t="s">
        <v>1700</v>
      </c>
      <c r="G886" s="28"/>
    </row>
    <row r="887" spans="1:7">
      <c r="A887" s="28">
        <v>886</v>
      </c>
      <c r="B887" s="28" t="s">
        <v>2972</v>
      </c>
      <c r="C887" s="28">
        <v>4132013750</v>
      </c>
      <c r="D887" s="28" t="s">
        <v>3437</v>
      </c>
      <c r="E887" s="28" t="s">
        <v>3428</v>
      </c>
      <c r="F887" s="28" t="s">
        <v>1700</v>
      </c>
      <c r="G887" s="28" t="s">
        <v>1252</v>
      </c>
    </row>
    <row r="888" spans="1:7">
      <c r="A888" s="28">
        <v>887</v>
      </c>
      <c r="B888" s="28" t="s">
        <v>2005</v>
      </c>
      <c r="C888" s="28">
        <v>4132013751</v>
      </c>
      <c r="D888" s="28" t="s">
        <v>3426</v>
      </c>
      <c r="E888" s="28" t="s">
        <v>3427</v>
      </c>
      <c r="F888" s="28" t="s">
        <v>1700</v>
      </c>
      <c r="G888" s="28"/>
    </row>
    <row r="889" spans="1:7">
      <c r="A889" s="28">
        <v>888</v>
      </c>
      <c r="B889" s="28" t="s">
        <v>2006</v>
      </c>
      <c r="C889" s="28">
        <v>4132013752</v>
      </c>
      <c r="D889" s="28" t="s">
        <v>3426</v>
      </c>
      <c r="E889" s="28" t="s">
        <v>3433</v>
      </c>
      <c r="F889" s="28" t="s">
        <v>1700</v>
      </c>
      <c r="G889" s="28"/>
    </row>
    <row r="890" spans="1:7">
      <c r="A890" s="28">
        <v>889</v>
      </c>
      <c r="B890" s="28" t="s">
        <v>2007</v>
      </c>
      <c r="C890" s="28">
        <v>4132013753</v>
      </c>
      <c r="D890" s="28" t="s">
        <v>3426</v>
      </c>
      <c r="E890" s="28" t="s">
        <v>3434</v>
      </c>
      <c r="F890" s="28" t="s">
        <v>1700</v>
      </c>
      <c r="G890" s="28"/>
    </row>
    <row r="891" spans="1:7">
      <c r="A891" s="28">
        <v>890</v>
      </c>
      <c r="B891" s="28" t="s">
        <v>2008</v>
      </c>
      <c r="C891" s="28">
        <v>4132013754</v>
      </c>
      <c r="D891" s="28" t="s">
        <v>3426</v>
      </c>
      <c r="E891" s="28" t="s">
        <v>3436</v>
      </c>
      <c r="F891" s="28" t="s">
        <v>1700</v>
      </c>
      <c r="G891" s="28"/>
    </row>
    <row r="892" spans="1:7">
      <c r="A892" s="28">
        <v>891</v>
      </c>
      <c r="B892" s="28" t="s">
        <v>3302</v>
      </c>
      <c r="C892" s="28">
        <v>4132013962</v>
      </c>
      <c r="D892" s="28" t="s">
        <v>3437</v>
      </c>
      <c r="E892" s="28" t="s">
        <v>3427</v>
      </c>
      <c r="F892" s="28" t="s">
        <v>1700</v>
      </c>
      <c r="G892" s="28" t="s">
        <v>3424</v>
      </c>
    </row>
    <row r="893" spans="1:7">
      <c r="A893" s="28">
        <v>892</v>
      </c>
      <c r="B893" s="28" t="s">
        <v>2973</v>
      </c>
      <c r="C893" s="28">
        <v>4132013963</v>
      </c>
      <c r="D893" s="28" t="s">
        <v>3437</v>
      </c>
      <c r="E893" s="28" t="s">
        <v>3427</v>
      </c>
      <c r="F893" s="28" t="s">
        <v>1700</v>
      </c>
      <c r="G893" s="28" t="s">
        <v>1252</v>
      </c>
    </row>
    <row r="894" spans="1:7">
      <c r="A894" s="28">
        <v>893</v>
      </c>
      <c r="B894" s="28" t="s">
        <v>2974</v>
      </c>
      <c r="C894" s="28">
        <v>4132013964</v>
      </c>
      <c r="D894" s="28" t="s">
        <v>3437</v>
      </c>
      <c r="E894" s="28" t="s">
        <v>3425</v>
      </c>
      <c r="F894" s="28" t="s">
        <v>1700</v>
      </c>
      <c r="G894" s="28" t="s">
        <v>1252</v>
      </c>
    </row>
    <row r="895" spans="1:7">
      <c r="A895" s="28">
        <v>894</v>
      </c>
      <c r="B895" s="28" t="s">
        <v>2009</v>
      </c>
      <c r="C895" s="28">
        <v>4132014000</v>
      </c>
      <c r="D895" s="28" t="s">
        <v>3426</v>
      </c>
      <c r="E895" s="28" t="s">
        <v>3425</v>
      </c>
      <c r="F895" s="28" t="s">
        <v>1700</v>
      </c>
      <c r="G895" s="28"/>
    </row>
    <row r="896" spans="1:7">
      <c r="A896" s="28">
        <v>895</v>
      </c>
      <c r="B896" s="28" t="s">
        <v>2010</v>
      </c>
      <c r="C896" s="28">
        <v>4132014001</v>
      </c>
      <c r="D896" s="28" t="s">
        <v>3426</v>
      </c>
      <c r="E896" s="28" t="s">
        <v>3425</v>
      </c>
      <c r="F896" s="28" t="s">
        <v>1700</v>
      </c>
      <c r="G896" s="28"/>
    </row>
    <row r="897" spans="1:7">
      <c r="A897" s="28">
        <v>896</v>
      </c>
      <c r="B897" s="28" t="s">
        <v>2011</v>
      </c>
      <c r="C897" s="28">
        <v>4132014056</v>
      </c>
      <c r="D897" s="28" t="s">
        <v>3426</v>
      </c>
      <c r="E897" s="28" t="s">
        <v>3425</v>
      </c>
      <c r="F897" s="28" t="s">
        <v>1700</v>
      </c>
      <c r="G897" s="28"/>
    </row>
    <row r="898" spans="1:7">
      <c r="A898" s="28">
        <v>897</v>
      </c>
      <c r="B898" s="28" t="s">
        <v>2975</v>
      </c>
      <c r="C898" s="28">
        <v>4132014163</v>
      </c>
      <c r="D898" s="28" t="s">
        <v>3437</v>
      </c>
      <c r="E898" s="28" t="s">
        <v>3427</v>
      </c>
      <c r="F898" s="28" t="s">
        <v>1700</v>
      </c>
      <c r="G898" s="28" t="s">
        <v>1252</v>
      </c>
    </row>
    <row r="899" spans="1:7">
      <c r="A899" s="28">
        <v>898</v>
      </c>
      <c r="B899" s="28" t="s">
        <v>2012</v>
      </c>
      <c r="C899" s="28">
        <v>4132014180</v>
      </c>
      <c r="D899" s="28" t="s">
        <v>3426</v>
      </c>
      <c r="E899" s="28" t="s">
        <v>3425</v>
      </c>
      <c r="F899" s="28" t="s">
        <v>1700</v>
      </c>
      <c r="G899" s="28"/>
    </row>
    <row r="900" spans="1:7">
      <c r="A900" s="28">
        <v>899</v>
      </c>
      <c r="B900" s="28" t="s">
        <v>2013</v>
      </c>
      <c r="C900" s="28">
        <v>4132014255</v>
      </c>
      <c r="D900" s="28" t="s">
        <v>3426</v>
      </c>
      <c r="E900" s="28" t="s">
        <v>3425</v>
      </c>
      <c r="F900" s="28" t="s">
        <v>1700</v>
      </c>
      <c r="G900" s="28"/>
    </row>
    <row r="901" spans="1:7">
      <c r="A901" s="28">
        <v>900</v>
      </c>
      <c r="B901" s="28" t="s">
        <v>2014</v>
      </c>
      <c r="C901" s="28">
        <v>4132014256</v>
      </c>
      <c r="D901" s="28" t="s">
        <v>3426</v>
      </c>
      <c r="E901" s="28" t="s">
        <v>3427</v>
      </c>
      <c r="F901" s="28" t="s">
        <v>1700</v>
      </c>
      <c r="G901" s="28"/>
    </row>
    <row r="902" spans="1:7">
      <c r="A902" s="28">
        <v>901</v>
      </c>
      <c r="B902" s="28" t="s">
        <v>2976</v>
      </c>
      <c r="C902" s="28">
        <v>4132014293</v>
      </c>
      <c r="D902" s="28" t="s">
        <v>3437</v>
      </c>
      <c r="E902" s="28" t="s">
        <v>3440</v>
      </c>
      <c r="F902" s="28" t="s">
        <v>1700</v>
      </c>
      <c r="G902" s="28" t="s">
        <v>1252</v>
      </c>
    </row>
    <row r="903" spans="1:7">
      <c r="A903" s="28">
        <v>902</v>
      </c>
      <c r="B903" s="28" t="s">
        <v>2015</v>
      </c>
      <c r="C903" s="28">
        <v>4132014295</v>
      </c>
      <c r="D903" s="28" t="s">
        <v>3426</v>
      </c>
      <c r="E903" s="28" t="s">
        <v>3427</v>
      </c>
      <c r="F903" s="28" t="s">
        <v>1700</v>
      </c>
      <c r="G903" s="28"/>
    </row>
    <row r="904" spans="1:7">
      <c r="A904" s="28">
        <v>903</v>
      </c>
      <c r="B904" s="28" t="s">
        <v>2016</v>
      </c>
      <c r="C904" s="28">
        <v>4132014329</v>
      </c>
      <c r="D904" s="28" t="s">
        <v>3426</v>
      </c>
      <c r="E904" s="28" t="s">
        <v>3429</v>
      </c>
      <c r="F904" s="28" t="s">
        <v>1700</v>
      </c>
      <c r="G904" s="28"/>
    </row>
    <row r="905" spans="1:7">
      <c r="A905" s="28">
        <v>904</v>
      </c>
      <c r="B905" s="28" t="s">
        <v>2017</v>
      </c>
      <c r="C905" s="28">
        <v>4132014401</v>
      </c>
      <c r="D905" s="28" t="s">
        <v>3426</v>
      </c>
      <c r="E905" s="28" t="s">
        <v>3429</v>
      </c>
      <c r="F905" s="28" t="s">
        <v>1700</v>
      </c>
      <c r="G905" s="28"/>
    </row>
    <row r="906" spans="1:7">
      <c r="A906" s="28">
        <v>905</v>
      </c>
      <c r="B906" s="28" t="s">
        <v>2018</v>
      </c>
      <c r="C906" s="28">
        <v>4132014475</v>
      </c>
      <c r="D906" s="28" t="s">
        <v>3426</v>
      </c>
      <c r="E906" s="28" t="s">
        <v>3432</v>
      </c>
      <c r="F906" s="28" t="s">
        <v>1700</v>
      </c>
      <c r="G906" s="28"/>
    </row>
    <row r="907" spans="1:7">
      <c r="A907" s="28">
        <v>906</v>
      </c>
      <c r="B907" s="28" t="s">
        <v>2019</v>
      </c>
      <c r="C907" s="28">
        <v>4132014493</v>
      </c>
      <c r="D907" s="28" t="s">
        <v>3426</v>
      </c>
      <c r="E907" s="28" t="s">
        <v>3432</v>
      </c>
      <c r="F907" s="28" t="s">
        <v>1700</v>
      </c>
      <c r="G907" s="28"/>
    </row>
    <row r="908" spans="1:7">
      <c r="A908" s="28">
        <v>907</v>
      </c>
      <c r="B908" s="28" t="s">
        <v>2977</v>
      </c>
      <c r="C908" s="28">
        <v>4132014528</v>
      </c>
      <c r="D908" s="28" t="s">
        <v>3437</v>
      </c>
      <c r="E908" s="28" t="s">
        <v>3436</v>
      </c>
      <c r="F908" s="28" t="s">
        <v>1700</v>
      </c>
      <c r="G908" s="28" t="s">
        <v>1252</v>
      </c>
    </row>
    <row r="909" spans="1:7">
      <c r="A909" s="28">
        <v>908</v>
      </c>
      <c r="B909" s="28" t="s">
        <v>2020</v>
      </c>
      <c r="C909" s="28">
        <v>4132014541</v>
      </c>
      <c r="D909" s="28" t="s">
        <v>3426</v>
      </c>
      <c r="E909" s="28" t="s">
        <v>3434</v>
      </c>
      <c r="F909" s="28" t="s">
        <v>1700</v>
      </c>
      <c r="G909" s="28"/>
    </row>
    <row r="910" spans="1:7">
      <c r="A910" s="28">
        <v>909</v>
      </c>
      <c r="B910" s="28" t="s">
        <v>2021</v>
      </c>
      <c r="C910" s="28">
        <v>4132014542</v>
      </c>
      <c r="D910" s="28" t="s">
        <v>3426</v>
      </c>
      <c r="E910" s="28" t="s">
        <v>3438</v>
      </c>
      <c r="F910" s="28" t="s">
        <v>1700</v>
      </c>
      <c r="G910" s="28"/>
    </row>
    <row r="911" spans="1:7">
      <c r="A911" s="28">
        <v>910</v>
      </c>
      <c r="B911" s="28" t="s">
        <v>2022</v>
      </c>
      <c r="C911" s="28">
        <v>4132014543</v>
      </c>
      <c r="D911" s="28" t="s">
        <v>3426</v>
      </c>
      <c r="E911" s="28" t="s">
        <v>3430</v>
      </c>
      <c r="F911" s="28" t="s">
        <v>1700</v>
      </c>
      <c r="G911" s="28"/>
    </row>
    <row r="912" spans="1:7">
      <c r="A912" s="28">
        <v>911</v>
      </c>
      <c r="B912" s="28" t="s">
        <v>2023</v>
      </c>
      <c r="C912" s="28">
        <v>4132014568</v>
      </c>
      <c r="D912" s="28" t="s">
        <v>3426</v>
      </c>
      <c r="E912" s="28" t="s">
        <v>3428</v>
      </c>
      <c r="F912" s="28" t="s">
        <v>1700</v>
      </c>
      <c r="G912" s="28"/>
    </row>
    <row r="913" spans="1:7">
      <c r="A913" s="28">
        <v>912</v>
      </c>
      <c r="B913" s="28" t="s">
        <v>2024</v>
      </c>
      <c r="C913" s="28">
        <v>4132014589</v>
      </c>
      <c r="D913" s="28" t="s">
        <v>3426</v>
      </c>
      <c r="E913" s="28" t="s">
        <v>3429</v>
      </c>
      <c r="F913" s="28" t="s">
        <v>1700</v>
      </c>
      <c r="G913" s="28"/>
    </row>
    <row r="914" spans="1:7">
      <c r="A914" s="28">
        <v>913</v>
      </c>
      <c r="B914" s="28" t="s">
        <v>2025</v>
      </c>
      <c r="C914" s="28">
        <v>4132014604</v>
      </c>
      <c r="D914" s="28" t="s">
        <v>3426</v>
      </c>
      <c r="E914" s="28" t="s">
        <v>3436</v>
      </c>
      <c r="F914" s="28" t="s">
        <v>1700</v>
      </c>
      <c r="G914" s="28"/>
    </row>
    <row r="915" spans="1:7">
      <c r="A915" s="28">
        <v>914</v>
      </c>
      <c r="B915" s="28" t="s">
        <v>2802</v>
      </c>
      <c r="C915" s="28">
        <v>4132014773</v>
      </c>
      <c r="D915" s="28" t="s">
        <v>3426</v>
      </c>
      <c r="E915" s="28" t="s">
        <v>3430</v>
      </c>
      <c r="F915" s="28" t="s">
        <v>1700</v>
      </c>
      <c r="G915" s="28"/>
    </row>
    <row r="916" spans="1:7">
      <c r="A916" s="28">
        <v>915</v>
      </c>
      <c r="B916" s="28" t="s">
        <v>2845</v>
      </c>
      <c r="C916" s="28">
        <v>4132014841</v>
      </c>
      <c r="D916" s="28" t="s">
        <v>3426</v>
      </c>
      <c r="E916" s="28" t="s">
        <v>3425</v>
      </c>
      <c r="F916" s="28" t="s">
        <v>1700</v>
      </c>
      <c r="G916" s="28"/>
    </row>
    <row r="917" spans="1:7">
      <c r="A917" s="28">
        <v>916</v>
      </c>
      <c r="B917" s="28" t="s">
        <v>2851</v>
      </c>
      <c r="C917" s="28">
        <v>4132014853</v>
      </c>
      <c r="D917" s="28" t="s">
        <v>3426</v>
      </c>
      <c r="E917" s="28" t="s">
        <v>3433</v>
      </c>
      <c r="F917" s="28" t="s">
        <v>1700</v>
      </c>
      <c r="G917" s="28"/>
    </row>
    <row r="918" spans="1:7">
      <c r="A918" s="28">
        <v>917</v>
      </c>
      <c r="B918" s="28" t="s">
        <v>2852</v>
      </c>
      <c r="C918" s="28">
        <v>4132014854</v>
      </c>
      <c r="D918" s="28" t="s">
        <v>3426</v>
      </c>
      <c r="E918" s="28" t="s">
        <v>3440</v>
      </c>
      <c r="F918" s="28" t="s">
        <v>1700</v>
      </c>
      <c r="G918" s="28"/>
    </row>
    <row r="919" spans="1:7">
      <c r="A919" s="28">
        <v>918</v>
      </c>
      <c r="B919" s="28" t="s">
        <v>2853</v>
      </c>
      <c r="C919" s="28">
        <v>4132014855</v>
      </c>
      <c r="D919" s="28" t="s">
        <v>3426</v>
      </c>
      <c r="E919" s="28" t="s">
        <v>3431</v>
      </c>
      <c r="F919" s="28" t="s">
        <v>1700</v>
      </c>
      <c r="G919" s="28"/>
    </row>
    <row r="920" spans="1:7">
      <c r="A920" s="28">
        <v>919</v>
      </c>
      <c r="B920" s="28" t="s">
        <v>2874</v>
      </c>
      <c r="C920" s="28">
        <v>4132014913</v>
      </c>
      <c r="D920" s="28" t="s">
        <v>3426</v>
      </c>
      <c r="E920" s="28" t="s">
        <v>3430</v>
      </c>
      <c r="F920" s="28" t="s">
        <v>1700</v>
      </c>
      <c r="G920" s="28"/>
    </row>
    <row r="921" spans="1:7">
      <c r="A921" s="28">
        <v>920</v>
      </c>
      <c r="B921" s="28" t="s">
        <v>2875</v>
      </c>
      <c r="C921" s="28">
        <v>4132014914</v>
      </c>
      <c r="D921" s="28" t="s">
        <v>3426</v>
      </c>
      <c r="E921" s="28" t="s">
        <v>3427</v>
      </c>
      <c r="F921" s="28" t="s">
        <v>1700</v>
      </c>
      <c r="G921" s="28"/>
    </row>
    <row r="922" spans="1:7">
      <c r="A922" s="28">
        <v>921</v>
      </c>
      <c r="B922" s="28" t="s">
        <v>2876</v>
      </c>
      <c r="C922" s="28">
        <v>4132014915</v>
      </c>
      <c r="D922" s="28" t="s">
        <v>3426</v>
      </c>
      <c r="E922" s="28" t="s">
        <v>3432</v>
      </c>
      <c r="F922" s="28" t="s">
        <v>1700</v>
      </c>
      <c r="G922" s="28"/>
    </row>
    <row r="923" spans="1:7">
      <c r="A923" s="28">
        <v>922</v>
      </c>
      <c r="B923" s="28" t="s">
        <v>447</v>
      </c>
      <c r="C923" s="28">
        <v>4133010335</v>
      </c>
      <c r="D923" s="28" t="s">
        <v>3309</v>
      </c>
      <c r="E923" s="28" t="s">
        <v>3443</v>
      </c>
      <c r="F923" s="28" t="s">
        <v>11</v>
      </c>
      <c r="G923" s="28"/>
    </row>
    <row r="924" spans="1:7">
      <c r="A924" s="28">
        <v>923</v>
      </c>
      <c r="B924" s="28" t="s">
        <v>450</v>
      </c>
      <c r="C924" s="28">
        <v>4133010336</v>
      </c>
      <c r="D924" s="28" t="s">
        <v>3444</v>
      </c>
      <c r="E924" s="28" t="s">
        <v>3443</v>
      </c>
      <c r="F924" s="28" t="s">
        <v>11</v>
      </c>
      <c r="G924" s="28"/>
    </row>
    <row r="925" spans="1:7">
      <c r="A925" s="28">
        <v>924</v>
      </c>
      <c r="B925" s="28" t="s">
        <v>451</v>
      </c>
      <c r="C925" s="28">
        <v>4133010337</v>
      </c>
      <c r="D925" s="28" t="s">
        <v>3444</v>
      </c>
      <c r="E925" s="28" t="s">
        <v>3443</v>
      </c>
      <c r="F925" s="28" t="s">
        <v>11</v>
      </c>
      <c r="G925" s="28"/>
    </row>
    <row r="926" spans="1:7">
      <c r="A926" s="28">
        <v>925</v>
      </c>
      <c r="B926" s="28" t="s">
        <v>452</v>
      </c>
      <c r="C926" s="28">
        <v>4133010338</v>
      </c>
      <c r="D926" s="28" t="s">
        <v>3444</v>
      </c>
      <c r="E926" s="28" t="s">
        <v>3443</v>
      </c>
      <c r="F926" s="28" t="s">
        <v>11</v>
      </c>
      <c r="G926" s="28"/>
    </row>
    <row r="927" spans="1:7">
      <c r="A927" s="28">
        <v>926</v>
      </c>
      <c r="B927" s="28" t="s">
        <v>453</v>
      </c>
      <c r="C927" s="28">
        <v>4133010340</v>
      </c>
      <c r="D927" s="28" t="s">
        <v>3444</v>
      </c>
      <c r="E927" s="28" t="s">
        <v>3445</v>
      </c>
      <c r="F927" s="28" t="s">
        <v>11</v>
      </c>
      <c r="G927" s="28"/>
    </row>
    <row r="928" spans="1:7">
      <c r="A928" s="28">
        <v>927</v>
      </c>
      <c r="B928" s="28" t="s">
        <v>455</v>
      </c>
      <c r="C928" s="28">
        <v>4133010341</v>
      </c>
      <c r="D928" s="28" t="s">
        <v>3444</v>
      </c>
      <c r="E928" s="28" t="s">
        <v>3443</v>
      </c>
      <c r="F928" s="28" t="s">
        <v>11</v>
      </c>
      <c r="G928" s="28"/>
    </row>
    <row r="929" spans="1:7">
      <c r="A929" s="28">
        <v>928</v>
      </c>
      <c r="B929" s="28" t="s">
        <v>456</v>
      </c>
      <c r="C929" s="28">
        <v>4133010343</v>
      </c>
      <c r="D929" s="28" t="s">
        <v>3444</v>
      </c>
      <c r="E929" s="28" t="s">
        <v>3446</v>
      </c>
      <c r="F929" s="28" t="s">
        <v>11</v>
      </c>
      <c r="G929" s="28"/>
    </row>
    <row r="930" spans="1:7">
      <c r="A930" s="28">
        <v>929</v>
      </c>
      <c r="B930" s="28" t="s">
        <v>458</v>
      </c>
      <c r="C930" s="28">
        <v>4133010344</v>
      </c>
      <c r="D930" s="28" t="s">
        <v>3444</v>
      </c>
      <c r="E930" s="28" t="s">
        <v>3443</v>
      </c>
      <c r="F930" s="28" t="s">
        <v>11</v>
      </c>
      <c r="G930" s="28"/>
    </row>
    <row r="931" spans="1:7">
      <c r="A931" s="28">
        <v>930</v>
      </c>
      <c r="B931" s="28" t="s">
        <v>459</v>
      </c>
      <c r="C931" s="28">
        <v>4133010345</v>
      </c>
      <c r="D931" s="28" t="s">
        <v>3444</v>
      </c>
      <c r="E931" s="28" t="s">
        <v>3447</v>
      </c>
      <c r="F931" s="28" t="s">
        <v>11</v>
      </c>
      <c r="G931" s="28"/>
    </row>
    <row r="932" spans="1:7">
      <c r="A932" s="28">
        <v>931</v>
      </c>
      <c r="B932" s="28" t="s">
        <v>461</v>
      </c>
      <c r="C932" s="28">
        <v>4133010346</v>
      </c>
      <c r="D932" s="28" t="s">
        <v>3444</v>
      </c>
      <c r="E932" s="28" t="s">
        <v>3443</v>
      </c>
      <c r="F932" s="28" t="s">
        <v>11</v>
      </c>
      <c r="G932" s="28"/>
    </row>
    <row r="933" spans="1:7">
      <c r="A933" s="28">
        <v>932</v>
      </c>
      <c r="B933" s="28" t="s">
        <v>3448</v>
      </c>
      <c r="C933" s="28">
        <v>4133010347</v>
      </c>
      <c r="D933" s="28" t="s">
        <v>3444</v>
      </c>
      <c r="E933" s="28" t="s">
        <v>3449</v>
      </c>
      <c r="F933" s="28" t="s">
        <v>11</v>
      </c>
      <c r="G933" s="28"/>
    </row>
    <row r="934" spans="1:7">
      <c r="A934" s="28">
        <v>933</v>
      </c>
      <c r="B934" s="28" t="s">
        <v>3450</v>
      </c>
      <c r="C934" s="28">
        <v>4133010349</v>
      </c>
      <c r="D934" s="28" t="s">
        <v>3444</v>
      </c>
      <c r="E934" s="28" t="s">
        <v>3451</v>
      </c>
      <c r="F934" s="28" t="s">
        <v>11</v>
      </c>
      <c r="G934" s="28"/>
    </row>
    <row r="935" spans="1:7">
      <c r="A935" s="28">
        <v>934</v>
      </c>
      <c r="B935" s="28" t="s">
        <v>466</v>
      </c>
      <c r="C935" s="28">
        <v>4133010350</v>
      </c>
      <c r="D935" s="28" t="s">
        <v>3444</v>
      </c>
      <c r="E935" s="28" t="s">
        <v>3452</v>
      </c>
      <c r="F935" s="28" t="s">
        <v>11</v>
      </c>
      <c r="G935" s="28"/>
    </row>
    <row r="936" spans="1:7">
      <c r="A936" s="28">
        <v>935</v>
      </c>
      <c r="B936" s="28" t="s">
        <v>468</v>
      </c>
      <c r="C936" s="28">
        <v>4133010351</v>
      </c>
      <c r="D936" s="28" t="s">
        <v>3444</v>
      </c>
      <c r="E936" s="28" t="s">
        <v>3446</v>
      </c>
      <c r="F936" s="28" t="s">
        <v>11</v>
      </c>
      <c r="G936" s="28"/>
    </row>
    <row r="937" spans="1:7">
      <c r="A937" s="28">
        <v>936</v>
      </c>
      <c r="B937" s="28" t="s">
        <v>469</v>
      </c>
      <c r="C937" s="28">
        <v>4133010352</v>
      </c>
      <c r="D937" s="28" t="s">
        <v>3444</v>
      </c>
      <c r="E937" s="28" t="s">
        <v>3453</v>
      </c>
      <c r="F937" s="28" t="s">
        <v>11</v>
      </c>
      <c r="G937" s="28"/>
    </row>
    <row r="938" spans="1:7">
      <c r="A938" s="28">
        <v>937</v>
      </c>
      <c r="B938" s="28" t="s">
        <v>471</v>
      </c>
      <c r="C938" s="28">
        <v>4133010353</v>
      </c>
      <c r="D938" s="28" t="s">
        <v>3444</v>
      </c>
      <c r="E938" s="28" t="s">
        <v>3443</v>
      </c>
      <c r="F938" s="28" t="s">
        <v>11</v>
      </c>
      <c r="G938" s="28"/>
    </row>
    <row r="939" spans="1:7">
      <c r="A939" s="28">
        <v>938</v>
      </c>
      <c r="B939" s="28" t="s">
        <v>472</v>
      </c>
      <c r="C939" s="28">
        <v>4133010354</v>
      </c>
      <c r="D939" s="28" t="s">
        <v>3444</v>
      </c>
      <c r="E939" s="28" t="s">
        <v>3454</v>
      </c>
      <c r="F939" s="28" t="s">
        <v>11</v>
      </c>
      <c r="G939" s="28"/>
    </row>
    <row r="940" spans="1:7">
      <c r="A940" s="28">
        <v>939</v>
      </c>
      <c r="B940" s="28" t="s">
        <v>474</v>
      </c>
      <c r="C940" s="28">
        <v>4133010355</v>
      </c>
      <c r="D940" s="28" t="s">
        <v>3444</v>
      </c>
      <c r="E940" s="28" t="s">
        <v>3443</v>
      </c>
      <c r="F940" s="28" t="s">
        <v>11</v>
      </c>
      <c r="G940" s="28"/>
    </row>
    <row r="941" spans="1:7">
      <c r="A941" s="28">
        <v>940</v>
      </c>
      <c r="B941" s="28" t="s">
        <v>475</v>
      </c>
      <c r="C941" s="28">
        <v>4133010356</v>
      </c>
      <c r="D941" s="28" t="s">
        <v>3444</v>
      </c>
      <c r="E941" s="28" t="s">
        <v>3443</v>
      </c>
      <c r="F941" s="28" t="s">
        <v>11</v>
      </c>
      <c r="G941" s="28"/>
    </row>
    <row r="942" spans="1:7">
      <c r="A942" s="28">
        <v>941</v>
      </c>
      <c r="B942" s="28" t="s">
        <v>476</v>
      </c>
      <c r="C942" s="28">
        <v>4133010876</v>
      </c>
      <c r="D942" s="28" t="s">
        <v>3444</v>
      </c>
      <c r="E942" s="28" t="s">
        <v>3455</v>
      </c>
      <c r="F942" s="28" t="s">
        <v>11</v>
      </c>
      <c r="G942" s="28"/>
    </row>
    <row r="943" spans="1:7">
      <c r="A943" s="28">
        <v>942</v>
      </c>
      <c r="B943" s="28" t="s">
        <v>478</v>
      </c>
      <c r="C943" s="28">
        <v>4133011057</v>
      </c>
      <c r="D943" s="28" t="s">
        <v>3444</v>
      </c>
      <c r="E943" s="28" t="s">
        <v>3443</v>
      </c>
      <c r="F943" s="28" t="s">
        <v>11</v>
      </c>
      <c r="G943" s="28"/>
    </row>
    <row r="944" spans="1:7">
      <c r="A944" s="28">
        <v>943</v>
      </c>
      <c r="B944" s="28" t="s">
        <v>479</v>
      </c>
      <c r="C944" s="28">
        <v>4133011058</v>
      </c>
      <c r="D944" s="28" t="s">
        <v>3444</v>
      </c>
      <c r="E944" s="28" t="s">
        <v>3455</v>
      </c>
      <c r="F944" s="28" t="s">
        <v>11</v>
      </c>
      <c r="G944" s="28"/>
    </row>
    <row r="945" spans="1:7">
      <c r="A945" s="28">
        <v>944</v>
      </c>
      <c r="B945" s="28" t="s">
        <v>480</v>
      </c>
      <c r="C945" s="28">
        <v>4133011481</v>
      </c>
      <c r="D945" s="28" t="s">
        <v>3444</v>
      </c>
      <c r="E945" s="28" t="s">
        <v>3443</v>
      </c>
      <c r="F945" s="28" t="s">
        <v>11</v>
      </c>
      <c r="G945" s="28"/>
    </row>
    <row r="946" spans="1:7">
      <c r="A946" s="28">
        <v>945</v>
      </c>
      <c r="B946" s="28" t="s">
        <v>481</v>
      </c>
      <c r="C946" s="28">
        <v>4133011482</v>
      </c>
      <c r="D946" s="28" t="s">
        <v>3444</v>
      </c>
      <c r="E946" s="28" t="s">
        <v>3443</v>
      </c>
      <c r="F946" s="28" t="s">
        <v>11</v>
      </c>
      <c r="G946" s="28"/>
    </row>
    <row r="947" spans="1:7">
      <c r="A947" s="28">
        <v>946</v>
      </c>
      <c r="B947" s="28" t="s">
        <v>482</v>
      </c>
      <c r="C947" s="28">
        <v>4133011483</v>
      </c>
      <c r="D947" s="28" t="s">
        <v>3444</v>
      </c>
      <c r="E947" s="28" t="s">
        <v>3443</v>
      </c>
      <c r="F947" s="28" t="s">
        <v>11</v>
      </c>
      <c r="G947" s="28"/>
    </row>
    <row r="948" spans="1:7">
      <c r="A948" s="28">
        <v>947</v>
      </c>
      <c r="B948" s="28" t="s">
        <v>483</v>
      </c>
      <c r="C948" s="28">
        <v>4133011488</v>
      </c>
      <c r="D948" s="28" t="s">
        <v>3444</v>
      </c>
      <c r="E948" s="28" t="s">
        <v>3456</v>
      </c>
      <c r="F948" s="28" t="s">
        <v>11</v>
      </c>
      <c r="G948" s="28"/>
    </row>
    <row r="949" spans="1:7">
      <c r="A949" s="28">
        <v>948</v>
      </c>
      <c r="B949" s="28" t="s">
        <v>485</v>
      </c>
      <c r="C949" s="28">
        <v>4133011646</v>
      </c>
      <c r="D949" s="28" t="s">
        <v>3444</v>
      </c>
      <c r="E949" s="28" t="s">
        <v>3455</v>
      </c>
      <c r="F949" s="28" t="s">
        <v>11</v>
      </c>
      <c r="G949" s="28"/>
    </row>
    <row r="950" spans="1:7">
      <c r="A950" s="28">
        <v>949</v>
      </c>
      <c r="B950" s="28" t="s">
        <v>486</v>
      </c>
      <c r="C950" s="28">
        <v>4133011647</v>
      </c>
      <c r="D950" s="28" t="s">
        <v>3444</v>
      </c>
      <c r="E950" s="28" t="s">
        <v>3443</v>
      </c>
      <c r="F950" s="28" t="s">
        <v>11</v>
      </c>
      <c r="G950" s="28"/>
    </row>
    <row r="951" spans="1:7">
      <c r="A951" s="28">
        <v>950</v>
      </c>
      <c r="B951" s="28" t="s">
        <v>1381</v>
      </c>
      <c r="C951" s="28">
        <v>4133011842</v>
      </c>
      <c r="D951" s="28" t="s">
        <v>3457</v>
      </c>
      <c r="E951" s="28" t="s">
        <v>3443</v>
      </c>
      <c r="F951" s="28" t="s">
        <v>11</v>
      </c>
      <c r="G951" s="28" t="s">
        <v>1252</v>
      </c>
    </row>
    <row r="952" spans="1:7">
      <c r="A952" s="28">
        <v>951</v>
      </c>
      <c r="B952" s="28" t="s">
        <v>1382</v>
      </c>
      <c r="C952" s="28">
        <v>4133012792</v>
      </c>
      <c r="D952" s="28" t="s">
        <v>3457</v>
      </c>
      <c r="E952" s="28" t="s">
        <v>3451</v>
      </c>
      <c r="F952" s="28" t="s">
        <v>11</v>
      </c>
      <c r="G952" s="28" t="s">
        <v>1252</v>
      </c>
    </row>
    <row r="953" spans="1:7">
      <c r="A953" s="28">
        <v>952</v>
      </c>
      <c r="B953" s="28" t="s">
        <v>1383</v>
      </c>
      <c r="C953" s="28">
        <v>4133013001</v>
      </c>
      <c r="D953" s="28" t="s">
        <v>3457</v>
      </c>
      <c r="E953" s="28" t="s">
        <v>3455</v>
      </c>
      <c r="F953" s="28" t="s">
        <v>11</v>
      </c>
      <c r="G953" s="28" t="s">
        <v>1252</v>
      </c>
    </row>
    <row r="954" spans="1:7">
      <c r="A954" s="28">
        <v>953</v>
      </c>
      <c r="B954" s="28" t="s">
        <v>487</v>
      </c>
      <c r="C954" s="28">
        <v>4133013021</v>
      </c>
      <c r="D954" s="28" t="s">
        <v>3444</v>
      </c>
      <c r="E954" s="28" t="s">
        <v>3443</v>
      </c>
      <c r="F954" s="28" t="s">
        <v>11</v>
      </c>
      <c r="G954" s="28"/>
    </row>
    <row r="955" spans="1:7">
      <c r="A955" s="28">
        <v>954</v>
      </c>
      <c r="B955" s="28" t="s">
        <v>488</v>
      </c>
      <c r="C955" s="28">
        <v>4133013022</v>
      </c>
      <c r="D955" s="28" t="s">
        <v>3444</v>
      </c>
      <c r="E955" s="28" t="s">
        <v>3455</v>
      </c>
      <c r="F955" s="28" t="s">
        <v>11</v>
      </c>
      <c r="G955" s="28"/>
    </row>
    <row r="956" spans="1:7">
      <c r="A956" s="28">
        <v>955</v>
      </c>
      <c r="B956" s="28" t="s">
        <v>489</v>
      </c>
      <c r="C956" s="28">
        <v>4133013023</v>
      </c>
      <c r="D956" s="28" t="s">
        <v>3444</v>
      </c>
      <c r="E956" s="28" t="s">
        <v>3443</v>
      </c>
      <c r="F956" s="28" t="s">
        <v>11</v>
      </c>
      <c r="G956" s="28"/>
    </row>
    <row r="957" spans="1:7">
      <c r="A957" s="28">
        <v>956</v>
      </c>
      <c r="B957" s="28" t="s">
        <v>1384</v>
      </c>
      <c r="C957" s="28">
        <v>4133013029</v>
      </c>
      <c r="D957" s="28" t="s">
        <v>3457</v>
      </c>
      <c r="E957" s="28" t="s">
        <v>3447</v>
      </c>
      <c r="F957" s="28" t="s">
        <v>11</v>
      </c>
      <c r="G957" s="28" t="s">
        <v>1252</v>
      </c>
    </row>
    <row r="958" spans="1:7">
      <c r="A958" s="28">
        <v>957</v>
      </c>
      <c r="B958" s="28" t="s">
        <v>1385</v>
      </c>
      <c r="C958" s="28">
        <v>4133013275</v>
      </c>
      <c r="D958" s="28" t="s">
        <v>3457</v>
      </c>
      <c r="E958" s="28" t="s">
        <v>3443</v>
      </c>
      <c r="F958" s="28" t="s">
        <v>11</v>
      </c>
      <c r="G958" s="28" t="s">
        <v>1252</v>
      </c>
    </row>
    <row r="959" spans="1:7">
      <c r="A959" s="28">
        <v>958</v>
      </c>
      <c r="B959" s="28" t="s">
        <v>1386</v>
      </c>
      <c r="C959" s="28">
        <v>4133013276</v>
      </c>
      <c r="D959" s="28" t="s">
        <v>3457</v>
      </c>
      <c r="E959" s="28" t="s">
        <v>3447</v>
      </c>
      <c r="F959" s="28" t="s">
        <v>11</v>
      </c>
      <c r="G959" s="28" t="s">
        <v>1252</v>
      </c>
    </row>
    <row r="960" spans="1:7">
      <c r="A960" s="28">
        <v>959</v>
      </c>
      <c r="B960" s="28" t="s">
        <v>1387</v>
      </c>
      <c r="C960" s="28">
        <v>4133013277</v>
      </c>
      <c r="D960" s="28" t="s">
        <v>3457</v>
      </c>
      <c r="E960" s="28" t="s">
        <v>3455</v>
      </c>
      <c r="F960" s="28" t="s">
        <v>11</v>
      </c>
      <c r="G960" s="28" t="s">
        <v>1252</v>
      </c>
    </row>
    <row r="961" spans="1:7">
      <c r="A961" s="28">
        <v>960</v>
      </c>
      <c r="B961" s="28" t="s">
        <v>1388</v>
      </c>
      <c r="C961" s="28">
        <v>4133013279</v>
      </c>
      <c r="D961" s="28" t="s">
        <v>3457</v>
      </c>
      <c r="E961" s="28" t="s">
        <v>3443</v>
      </c>
      <c r="F961" s="28" t="s">
        <v>11</v>
      </c>
      <c r="G961" s="28" t="s">
        <v>1252</v>
      </c>
    </row>
    <row r="962" spans="1:7">
      <c r="A962" s="28">
        <v>961</v>
      </c>
      <c r="B962" s="28" t="s">
        <v>1389</v>
      </c>
      <c r="C962" s="28">
        <v>4133013280</v>
      </c>
      <c r="D962" s="28" t="s">
        <v>3457</v>
      </c>
      <c r="E962" s="28" t="s">
        <v>3443</v>
      </c>
      <c r="F962" s="28" t="s">
        <v>11</v>
      </c>
      <c r="G962" s="28" t="s">
        <v>1252</v>
      </c>
    </row>
    <row r="963" spans="1:7">
      <c r="A963" s="28">
        <v>962</v>
      </c>
      <c r="B963" s="28" t="s">
        <v>1390</v>
      </c>
      <c r="C963" s="28">
        <v>4133013283</v>
      </c>
      <c r="D963" s="28" t="s">
        <v>3457</v>
      </c>
      <c r="E963" s="28" t="s">
        <v>3451</v>
      </c>
      <c r="F963" s="28" t="s">
        <v>11</v>
      </c>
      <c r="G963" s="28" t="s">
        <v>1252</v>
      </c>
    </row>
    <row r="964" spans="1:7">
      <c r="A964" s="28">
        <v>963</v>
      </c>
      <c r="B964" s="28" t="s">
        <v>1391</v>
      </c>
      <c r="C964" s="28">
        <v>4133013284</v>
      </c>
      <c r="D964" s="28" t="s">
        <v>3457</v>
      </c>
      <c r="E964" s="28" t="s">
        <v>3446</v>
      </c>
      <c r="F964" s="28" t="s">
        <v>11</v>
      </c>
      <c r="G964" s="28" t="s">
        <v>1252</v>
      </c>
    </row>
    <row r="965" spans="1:7">
      <c r="A965" s="28">
        <v>964</v>
      </c>
      <c r="B965" s="28" t="s">
        <v>1392</v>
      </c>
      <c r="C965" s="28">
        <v>4133013285</v>
      </c>
      <c r="D965" s="28" t="s">
        <v>3457</v>
      </c>
      <c r="E965" s="28" t="s">
        <v>3443</v>
      </c>
      <c r="F965" s="28" t="s">
        <v>11</v>
      </c>
      <c r="G965" s="28" t="s">
        <v>1252</v>
      </c>
    </row>
    <row r="966" spans="1:7">
      <c r="A966" s="28">
        <v>965</v>
      </c>
      <c r="B966" s="28" t="s">
        <v>1393</v>
      </c>
      <c r="C966" s="28">
        <v>4133013286</v>
      </c>
      <c r="D966" s="28" t="s">
        <v>3457</v>
      </c>
      <c r="E966" s="28" t="s">
        <v>3443</v>
      </c>
      <c r="F966" s="28" t="s">
        <v>11</v>
      </c>
      <c r="G966" s="28" t="s">
        <v>1252</v>
      </c>
    </row>
    <row r="967" spans="1:7">
      <c r="A967" s="28">
        <v>966</v>
      </c>
      <c r="B967" s="28" t="s">
        <v>490</v>
      </c>
      <c r="C967" s="28">
        <v>4133013287</v>
      </c>
      <c r="D967" s="28" t="s">
        <v>3444</v>
      </c>
      <c r="E967" s="28" t="s">
        <v>3449</v>
      </c>
      <c r="F967" s="28" t="s">
        <v>11</v>
      </c>
      <c r="G967" s="28"/>
    </row>
    <row r="968" spans="1:7">
      <c r="A968" s="28">
        <v>967</v>
      </c>
      <c r="B968" s="28" t="s">
        <v>491</v>
      </c>
      <c r="C968" s="28">
        <v>4133013288</v>
      </c>
      <c r="D968" s="28" t="s">
        <v>3444</v>
      </c>
      <c r="E968" s="28" t="s">
        <v>3451</v>
      </c>
      <c r="F968" s="28" t="s">
        <v>11</v>
      </c>
      <c r="G968" s="28"/>
    </row>
    <row r="969" spans="1:7">
      <c r="A969" s="28">
        <v>968</v>
      </c>
      <c r="B969" s="28" t="s">
        <v>492</v>
      </c>
      <c r="C969" s="28">
        <v>4133013289</v>
      </c>
      <c r="D969" s="28" t="s">
        <v>3444</v>
      </c>
      <c r="E969" s="28" t="s">
        <v>3446</v>
      </c>
      <c r="F969" s="28" t="s">
        <v>11</v>
      </c>
      <c r="G969" s="28"/>
    </row>
    <row r="970" spans="1:7">
      <c r="A970" s="28">
        <v>969</v>
      </c>
      <c r="B970" s="28" t="s">
        <v>1394</v>
      </c>
      <c r="C970" s="28">
        <v>4133013290</v>
      </c>
      <c r="D970" s="28" t="s">
        <v>3457</v>
      </c>
      <c r="E970" s="28" t="s">
        <v>3443</v>
      </c>
      <c r="F970" s="28" t="s">
        <v>11</v>
      </c>
      <c r="G970" s="28" t="s">
        <v>1252</v>
      </c>
    </row>
    <row r="971" spans="1:7">
      <c r="A971" s="28">
        <v>970</v>
      </c>
      <c r="B971" s="28" t="s">
        <v>493</v>
      </c>
      <c r="C971" s="28">
        <v>4133013291</v>
      </c>
      <c r="D971" s="28" t="s">
        <v>3444</v>
      </c>
      <c r="E971" s="28" t="s">
        <v>3454</v>
      </c>
      <c r="F971" s="28" t="s">
        <v>11</v>
      </c>
      <c r="G971" s="28"/>
    </row>
    <row r="972" spans="1:7">
      <c r="A972" s="28">
        <v>971</v>
      </c>
      <c r="B972" s="28" t="s">
        <v>1395</v>
      </c>
      <c r="C972" s="28">
        <v>4133013292</v>
      </c>
      <c r="D972" s="28" t="s">
        <v>3457</v>
      </c>
      <c r="E972" s="28" t="s">
        <v>3443</v>
      </c>
      <c r="F972" s="28" t="s">
        <v>11</v>
      </c>
      <c r="G972" s="28" t="s">
        <v>1252</v>
      </c>
    </row>
    <row r="973" spans="1:7">
      <c r="A973" s="28">
        <v>972</v>
      </c>
      <c r="B973" s="28" t="s">
        <v>1396</v>
      </c>
      <c r="C973" s="28">
        <v>4133013294</v>
      </c>
      <c r="D973" s="28" t="s">
        <v>3457</v>
      </c>
      <c r="E973" s="28" t="s">
        <v>3454</v>
      </c>
      <c r="F973" s="28" t="s">
        <v>11</v>
      </c>
      <c r="G973" s="28" t="s">
        <v>1252</v>
      </c>
    </row>
    <row r="974" spans="1:7">
      <c r="A974" s="28">
        <v>973</v>
      </c>
      <c r="B974" s="28" t="s">
        <v>1397</v>
      </c>
      <c r="C974" s="28">
        <v>4133013637</v>
      </c>
      <c r="D974" s="28" t="s">
        <v>3457</v>
      </c>
      <c r="E974" s="28" t="s">
        <v>3446</v>
      </c>
      <c r="F974" s="28" t="s">
        <v>11</v>
      </c>
      <c r="G974" s="28" t="s">
        <v>1252</v>
      </c>
    </row>
    <row r="975" spans="1:7">
      <c r="A975" s="28">
        <v>974</v>
      </c>
      <c r="B975" s="28" t="s">
        <v>1398</v>
      </c>
      <c r="C975" s="28">
        <v>4133014206</v>
      </c>
      <c r="D975" s="28" t="s">
        <v>3457</v>
      </c>
      <c r="E975" s="28" t="s">
        <v>3454</v>
      </c>
      <c r="F975" s="28" t="s">
        <v>11</v>
      </c>
      <c r="G975" s="28" t="s">
        <v>1252</v>
      </c>
    </row>
    <row r="976" spans="1:7">
      <c r="A976" s="28">
        <v>975</v>
      </c>
      <c r="B976" s="28" t="s">
        <v>1399</v>
      </c>
      <c r="C976" s="28">
        <v>4133014207</v>
      </c>
      <c r="D976" s="28" t="s">
        <v>3457</v>
      </c>
      <c r="E976" s="28" t="s">
        <v>3447</v>
      </c>
      <c r="F976" s="28" t="s">
        <v>11</v>
      </c>
      <c r="G976" s="28" t="s">
        <v>1252</v>
      </c>
    </row>
    <row r="977" spans="1:7">
      <c r="A977" s="28">
        <v>976</v>
      </c>
      <c r="B977" s="28" t="s">
        <v>494</v>
      </c>
      <c r="C977" s="28">
        <v>4133014275</v>
      </c>
      <c r="D977" s="28" t="s">
        <v>3444</v>
      </c>
      <c r="E977" s="28" t="s">
        <v>3443</v>
      </c>
      <c r="F977" s="28" t="s">
        <v>11</v>
      </c>
      <c r="G977" s="28"/>
    </row>
    <row r="978" spans="1:7">
      <c r="A978" s="28">
        <v>977</v>
      </c>
      <c r="B978" s="28" t="s">
        <v>495</v>
      </c>
      <c r="C978" s="28">
        <v>4133014535</v>
      </c>
      <c r="D978" s="28" t="s">
        <v>3444</v>
      </c>
      <c r="E978" s="28" t="s">
        <v>3443</v>
      </c>
      <c r="F978" s="28" t="s">
        <v>11</v>
      </c>
      <c r="G978" s="28"/>
    </row>
    <row r="979" spans="1:7">
      <c r="A979" s="28">
        <v>978</v>
      </c>
      <c r="B979" s="28" t="s">
        <v>1400</v>
      </c>
      <c r="C979" s="28">
        <v>4133014626</v>
      </c>
      <c r="D979" s="28" t="s">
        <v>3457</v>
      </c>
      <c r="E979" s="28" t="s">
        <v>3443</v>
      </c>
      <c r="F979" s="28" t="s">
        <v>11</v>
      </c>
      <c r="G979" s="28" t="s">
        <v>1252</v>
      </c>
    </row>
    <row r="980" spans="1:7">
      <c r="A980" s="28">
        <v>979</v>
      </c>
      <c r="B980" s="28" t="s">
        <v>496</v>
      </c>
      <c r="C980" s="28">
        <v>4133016207</v>
      </c>
      <c r="D980" s="28" t="s">
        <v>3444</v>
      </c>
      <c r="E980" s="28" t="s">
        <v>3455</v>
      </c>
      <c r="F980" s="28" t="s">
        <v>11</v>
      </c>
      <c r="G980" s="28"/>
    </row>
    <row r="981" spans="1:7">
      <c r="A981" s="28">
        <v>980</v>
      </c>
      <c r="B981" s="28" t="s">
        <v>498</v>
      </c>
      <c r="C981" s="28">
        <v>4133012061</v>
      </c>
      <c r="D981" s="28" t="s">
        <v>3444</v>
      </c>
      <c r="E981" s="28" t="s">
        <v>3447</v>
      </c>
      <c r="F981" s="28" t="s">
        <v>11</v>
      </c>
      <c r="G981" s="28"/>
    </row>
    <row r="982" spans="1:7">
      <c r="A982" s="28">
        <v>981</v>
      </c>
      <c r="B982" s="28" t="s">
        <v>499</v>
      </c>
      <c r="C982" s="28">
        <v>4133012861</v>
      </c>
      <c r="D982" s="28" t="s">
        <v>3444</v>
      </c>
      <c r="E982" s="28" t="s">
        <v>3443</v>
      </c>
      <c r="F982" s="28" t="s">
        <v>11</v>
      </c>
      <c r="G982" s="28"/>
    </row>
    <row r="983" spans="1:7">
      <c r="A983" s="28">
        <v>982</v>
      </c>
      <c r="B983" s="28" t="s">
        <v>1691</v>
      </c>
      <c r="C983" s="28">
        <v>4133016301</v>
      </c>
      <c r="D983" s="28" t="s">
        <v>3457</v>
      </c>
      <c r="E983" s="28" t="s">
        <v>3455</v>
      </c>
      <c r="F983" s="28" t="s">
        <v>11</v>
      </c>
      <c r="G983" s="28" t="s">
        <v>3424</v>
      </c>
    </row>
    <row r="984" spans="1:7">
      <c r="A984" s="28">
        <v>983</v>
      </c>
      <c r="B984" s="28" t="s">
        <v>1692</v>
      </c>
      <c r="C984" s="28">
        <v>4133016405</v>
      </c>
      <c r="D984" s="28" t="s">
        <v>3457</v>
      </c>
      <c r="E984" s="28" t="s">
        <v>3446</v>
      </c>
      <c r="F984" s="28" t="s">
        <v>11</v>
      </c>
      <c r="G984" s="28" t="s">
        <v>3424</v>
      </c>
    </row>
    <row r="985" spans="1:7">
      <c r="A985" s="28">
        <v>984</v>
      </c>
      <c r="B985" s="28" t="s">
        <v>497</v>
      </c>
      <c r="C985" s="28">
        <v>4133010863</v>
      </c>
      <c r="D985" s="28" t="s">
        <v>3444</v>
      </c>
      <c r="E985" s="28" t="s">
        <v>3455</v>
      </c>
      <c r="F985" s="28" t="s">
        <v>11</v>
      </c>
      <c r="G985" s="28"/>
    </row>
    <row r="986" spans="1:7">
      <c r="A986" s="28">
        <v>985</v>
      </c>
      <c r="B986" s="28" t="s">
        <v>500</v>
      </c>
      <c r="C986" s="28">
        <v>4133012872</v>
      </c>
      <c r="D986" s="28" t="s">
        <v>3444</v>
      </c>
      <c r="E986" s="28" t="s">
        <v>3443</v>
      </c>
      <c r="F986" s="28" t="s">
        <v>11</v>
      </c>
      <c r="G986" s="28"/>
    </row>
    <row r="987" spans="1:7">
      <c r="A987" s="28">
        <v>986</v>
      </c>
      <c r="B987" s="28" t="s">
        <v>1680</v>
      </c>
      <c r="C987" s="28">
        <v>4133014943</v>
      </c>
      <c r="D987" s="28" t="s">
        <v>3457</v>
      </c>
      <c r="E987" s="28" t="s">
        <v>3455</v>
      </c>
      <c r="F987" s="28" t="s">
        <v>11</v>
      </c>
      <c r="G987" s="28" t="s">
        <v>1252</v>
      </c>
    </row>
    <row r="988" spans="1:7">
      <c r="A988" s="28">
        <v>987</v>
      </c>
      <c r="B988" s="28" t="s">
        <v>2026</v>
      </c>
      <c r="C988" s="28">
        <v>4133010864</v>
      </c>
      <c r="D988" s="28" t="s">
        <v>3444</v>
      </c>
      <c r="E988" s="28" t="s">
        <v>3446</v>
      </c>
      <c r="F988" s="28" t="s">
        <v>1700</v>
      </c>
      <c r="G988" s="28"/>
    </row>
    <row r="989" spans="1:7">
      <c r="A989" s="28">
        <v>988</v>
      </c>
      <c r="B989" s="28" t="s">
        <v>2027</v>
      </c>
      <c r="C989" s="28">
        <v>4133012036</v>
      </c>
      <c r="D989" s="28" t="s">
        <v>3444</v>
      </c>
      <c r="E989" s="28" t="s">
        <v>3443</v>
      </c>
      <c r="F989" s="28" t="s">
        <v>1700</v>
      </c>
      <c r="G989" s="28"/>
    </row>
    <row r="990" spans="1:7">
      <c r="A990" s="28">
        <v>989</v>
      </c>
      <c r="B990" s="28" t="s">
        <v>2028</v>
      </c>
      <c r="C990" s="28">
        <v>4133012645</v>
      </c>
      <c r="D990" s="28" t="s">
        <v>3444</v>
      </c>
      <c r="E990" s="28" t="s">
        <v>3455</v>
      </c>
      <c r="F990" s="28" t="s">
        <v>1700</v>
      </c>
      <c r="G990" s="28"/>
    </row>
    <row r="991" spans="1:7">
      <c r="A991" s="28">
        <v>990</v>
      </c>
      <c r="B991" s="28" t="s">
        <v>2029</v>
      </c>
      <c r="C991" s="28">
        <v>4133012646</v>
      </c>
      <c r="D991" s="28" t="s">
        <v>3444</v>
      </c>
      <c r="E991" s="28" t="s">
        <v>3443</v>
      </c>
      <c r="F991" s="28" t="s">
        <v>1700</v>
      </c>
      <c r="G991" s="28"/>
    </row>
    <row r="992" spans="1:7">
      <c r="A992" s="28">
        <v>991</v>
      </c>
      <c r="B992" s="28" t="s">
        <v>2030</v>
      </c>
      <c r="C992" s="28">
        <v>4133012647</v>
      </c>
      <c r="D992" s="28" t="s">
        <v>3444</v>
      </c>
      <c r="E992" s="28" t="s">
        <v>3443</v>
      </c>
      <c r="F992" s="28" t="s">
        <v>1700</v>
      </c>
      <c r="G992" s="28"/>
    </row>
    <row r="993" spans="1:7">
      <c r="A993" s="28">
        <v>992</v>
      </c>
      <c r="B993" s="28" t="s">
        <v>2031</v>
      </c>
      <c r="C993" s="28">
        <v>4133012789</v>
      </c>
      <c r="D993" s="28" t="s">
        <v>3444</v>
      </c>
      <c r="E993" s="28" t="s">
        <v>3455</v>
      </c>
      <c r="F993" s="28" t="s">
        <v>1700</v>
      </c>
      <c r="G993" s="28"/>
    </row>
    <row r="994" spans="1:7">
      <c r="A994" s="28">
        <v>993</v>
      </c>
      <c r="B994" s="28" t="s">
        <v>2032</v>
      </c>
      <c r="C994" s="28">
        <v>4133012790</v>
      </c>
      <c r="D994" s="28" t="s">
        <v>3444</v>
      </c>
      <c r="E994" s="28" t="s">
        <v>3452</v>
      </c>
      <c r="F994" s="28" t="s">
        <v>1700</v>
      </c>
      <c r="G994" s="28"/>
    </row>
    <row r="995" spans="1:7">
      <c r="A995" s="28">
        <v>994</v>
      </c>
      <c r="B995" s="28" t="s">
        <v>2033</v>
      </c>
      <c r="C995" s="28">
        <v>4133012791</v>
      </c>
      <c r="D995" s="28" t="s">
        <v>3444</v>
      </c>
      <c r="E995" s="28" t="s">
        <v>3446</v>
      </c>
      <c r="F995" s="28" t="s">
        <v>1700</v>
      </c>
      <c r="G995" s="28"/>
    </row>
    <row r="996" spans="1:7">
      <c r="A996" s="28">
        <v>995</v>
      </c>
      <c r="B996" s="28" t="s">
        <v>2034</v>
      </c>
      <c r="C996" s="28">
        <v>4133012862</v>
      </c>
      <c r="D996" s="28" t="s">
        <v>3444</v>
      </c>
      <c r="E996" s="28" t="s">
        <v>3443</v>
      </c>
      <c r="F996" s="28" t="s">
        <v>1700</v>
      </c>
      <c r="G996" s="28"/>
    </row>
    <row r="997" spans="1:7">
      <c r="A997" s="28">
        <v>996</v>
      </c>
      <c r="B997" s="28" t="s">
        <v>2035</v>
      </c>
      <c r="C997" s="28">
        <v>4133012863</v>
      </c>
      <c r="D997" s="28" t="s">
        <v>3444</v>
      </c>
      <c r="E997" s="28" t="s">
        <v>3443</v>
      </c>
      <c r="F997" s="28" t="s">
        <v>1700</v>
      </c>
      <c r="G997" s="28"/>
    </row>
    <row r="998" spans="1:7">
      <c r="A998" s="28">
        <v>997</v>
      </c>
      <c r="B998" s="28" t="s">
        <v>2036</v>
      </c>
      <c r="C998" s="28">
        <v>4133012864</v>
      </c>
      <c r="D998" s="28" t="s">
        <v>3444</v>
      </c>
      <c r="E998" s="28" t="s">
        <v>3443</v>
      </c>
      <c r="F998" s="28" t="s">
        <v>1700</v>
      </c>
      <c r="G998" s="28"/>
    </row>
    <row r="999" spans="1:7">
      <c r="A999" s="28">
        <v>998</v>
      </c>
      <c r="B999" s="28" t="s">
        <v>2037</v>
      </c>
      <c r="C999" s="28">
        <v>4133012865</v>
      </c>
      <c r="D999" s="28" t="s">
        <v>3444</v>
      </c>
      <c r="E999" s="28" t="s">
        <v>3443</v>
      </c>
      <c r="F999" s="28" t="s">
        <v>1700</v>
      </c>
      <c r="G999" s="28"/>
    </row>
    <row r="1000" spans="1:7">
      <c r="A1000" s="28">
        <v>999</v>
      </c>
      <c r="B1000" s="28" t="s">
        <v>2038</v>
      </c>
      <c r="C1000" s="28">
        <v>4133012866</v>
      </c>
      <c r="D1000" s="28" t="s">
        <v>3444</v>
      </c>
      <c r="E1000" s="28" t="s">
        <v>3443</v>
      </c>
      <c r="F1000" s="28" t="s">
        <v>1700</v>
      </c>
      <c r="G1000" s="28"/>
    </row>
    <row r="1001" spans="1:7">
      <c r="A1001" s="28">
        <v>1000</v>
      </c>
      <c r="B1001" s="28" t="s">
        <v>2039</v>
      </c>
      <c r="C1001" s="28">
        <v>4133012867</v>
      </c>
      <c r="D1001" s="28" t="s">
        <v>3444</v>
      </c>
      <c r="E1001" s="28" t="s">
        <v>3443</v>
      </c>
      <c r="F1001" s="28" t="s">
        <v>1700</v>
      </c>
      <c r="G1001" s="28"/>
    </row>
    <row r="1002" spans="1:7">
      <c r="A1002" s="28">
        <v>1001</v>
      </c>
      <c r="B1002" s="28" t="s">
        <v>2978</v>
      </c>
      <c r="C1002" s="28">
        <v>4133012868</v>
      </c>
      <c r="D1002" s="28" t="s">
        <v>3457</v>
      </c>
      <c r="E1002" s="28" t="s">
        <v>3443</v>
      </c>
      <c r="F1002" s="28" t="s">
        <v>1700</v>
      </c>
      <c r="G1002" s="28" t="s">
        <v>1252</v>
      </c>
    </row>
    <row r="1003" spans="1:7">
      <c r="A1003" s="28">
        <v>1002</v>
      </c>
      <c r="B1003" s="28" t="s">
        <v>2040</v>
      </c>
      <c r="C1003" s="28">
        <v>4133012869</v>
      </c>
      <c r="D1003" s="28" t="s">
        <v>3444</v>
      </c>
      <c r="E1003" s="28" t="s">
        <v>3443</v>
      </c>
      <c r="F1003" s="28" t="s">
        <v>1700</v>
      </c>
      <c r="G1003" s="28"/>
    </row>
    <row r="1004" spans="1:7">
      <c r="A1004" s="28">
        <v>1003</v>
      </c>
      <c r="B1004" s="28" t="s">
        <v>2041</v>
      </c>
      <c r="C1004" s="28">
        <v>4133012870</v>
      </c>
      <c r="D1004" s="28" t="s">
        <v>3444</v>
      </c>
      <c r="E1004" s="28" t="s">
        <v>3443</v>
      </c>
      <c r="F1004" s="28" t="s">
        <v>1700</v>
      </c>
      <c r="G1004" s="28"/>
    </row>
    <row r="1005" spans="1:7">
      <c r="A1005" s="28">
        <v>1004</v>
      </c>
      <c r="B1005" s="28" t="s">
        <v>2042</v>
      </c>
      <c r="C1005" s="28">
        <v>4133012871</v>
      </c>
      <c r="D1005" s="28" t="s">
        <v>3444</v>
      </c>
      <c r="E1005" s="28" t="s">
        <v>3451</v>
      </c>
      <c r="F1005" s="28" t="s">
        <v>1700</v>
      </c>
      <c r="G1005" s="28"/>
    </row>
    <row r="1006" spans="1:7">
      <c r="A1006" s="28">
        <v>1005</v>
      </c>
      <c r="B1006" s="28" t="s">
        <v>2043</v>
      </c>
      <c r="C1006" s="28">
        <v>4133012874</v>
      </c>
      <c r="D1006" s="28" t="s">
        <v>3444</v>
      </c>
      <c r="E1006" s="28" t="s">
        <v>3454</v>
      </c>
      <c r="F1006" s="28" t="s">
        <v>1700</v>
      </c>
      <c r="G1006" s="28"/>
    </row>
    <row r="1007" spans="1:7">
      <c r="A1007" s="28">
        <v>1006</v>
      </c>
      <c r="B1007" s="28" t="s">
        <v>2044</v>
      </c>
      <c r="C1007" s="28">
        <v>4133012875</v>
      </c>
      <c r="D1007" s="28" t="s">
        <v>3444</v>
      </c>
      <c r="E1007" s="28" t="s">
        <v>3449</v>
      </c>
      <c r="F1007" s="28" t="s">
        <v>1700</v>
      </c>
      <c r="G1007" s="28"/>
    </row>
    <row r="1008" spans="1:7">
      <c r="A1008" s="28">
        <v>1007</v>
      </c>
      <c r="B1008" s="28" t="s">
        <v>2979</v>
      </c>
      <c r="C1008" s="28">
        <v>4133012876</v>
      </c>
      <c r="D1008" s="28" t="s">
        <v>3457</v>
      </c>
      <c r="E1008" s="28" t="s">
        <v>3451</v>
      </c>
      <c r="F1008" s="28" t="s">
        <v>1700</v>
      </c>
      <c r="G1008" s="28" t="s">
        <v>1252</v>
      </c>
    </row>
    <row r="1009" spans="1:7">
      <c r="A1009" s="28">
        <v>1008</v>
      </c>
      <c r="B1009" s="28" t="s">
        <v>2045</v>
      </c>
      <c r="C1009" s="28">
        <v>4133012877</v>
      </c>
      <c r="D1009" s="28" t="s">
        <v>3444</v>
      </c>
      <c r="E1009" s="28" t="s">
        <v>3456</v>
      </c>
      <c r="F1009" s="28" t="s">
        <v>1700</v>
      </c>
      <c r="G1009" s="28"/>
    </row>
    <row r="1010" spans="1:7">
      <c r="A1010" s="28">
        <v>1009</v>
      </c>
      <c r="B1010" s="28" t="s">
        <v>2046</v>
      </c>
      <c r="C1010" s="28">
        <v>4133012878</v>
      </c>
      <c r="D1010" s="28" t="s">
        <v>3444</v>
      </c>
      <c r="E1010" s="28" t="s">
        <v>3453</v>
      </c>
      <c r="F1010" s="28" t="s">
        <v>1700</v>
      </c>
      <c r="G1010" s="28"/>
    </row>
    <row r="1011" spans="1:7">
      <c r="A1011" s="28">
        <v>1010</v>
      </c>
      <c r="B1011" s="28" t="s">
        <v>2980</v>
      </c>
      <c r="C1011" s="28">
        <v>4133013002</v>
      </c>
      <c r="D1011" s="28" t="s">
        <v>3457</v>
      </c>
      <c r="E1011" s="28" t="s">
        <v>3446</v>
      </c>
      <c r="F1011" s="28" t="s">
        <v>1700</v>
      </c>
      <c r="G1011" s="28" t="s">
        <v>1252</v>
      </c>
    </row>
    <row r="1012" spans="1:7">
      <c r="A1012" s="28">
        <v>1011</v>
      </c>
      <c r="B1012" s="28" t="s">
        <v>2047</v>
      </c>
      <c r="C1012" s="28">
        <v>4133013003</v>
      </c>
      <c r="D1012" s="28" t="s">
        <v>3444</v>
      </c>
      <c r="E1012" s="28" t="s">
        <v>3447</v>
      </c>
      <c r="F1012" s="28" t="s">
        <v>1700</v>
      </c>
      <c r="G1012" s="28"/>
    </row>
    <row r="1013" spans="1:7">
      <c r="A1013" s="28">
        <v>1012</v>
      </c>
      <c r="B1013" s="28" t="s">
        <v>2048</v>
      </c>
      <c r="C1013" s="28">
        <v>4133013025</v>
      </c>
      <c r="D1013" s="28" t="s">
        <v>3444</v>
      </c>
      <c r="E1013" s="28" t="s">
        <v>3455</v>
      </c>
      <c r="F1013" s="28" t="s">
        <v>1700</v>
      </c>
      <c r="G1013" s="28"/>
    </row>
    <row r="1014" spans="1:7">
      <c r="A1014" s="28">
        <v>1013</v>
      </c>
      <c r="B1014" s="28" t="s">
        <v>2049</v>
      </c>
      <c r="C1014" s="28">
        <v>4133013026</v>
      </c>
      <c r="D1014" s="28" t="s">
        <v>3444</v>
      </c>
      <c r="E1014" s="28" t="s">
        <v>3443</v>
      </c>
      <c r="F1014" s="28" t="s">
        <v>1700</v>
      </c>
      <c r="G1014" s="28"/>
    </row>
    <row r="1015" spans="1:7">
      <c r="A1015" s="28">
        <v>1014</v>
      </c>
      <c r="B1015" s="28" t="s">
        <v>2981</v>
      </c>
      <c r="C1015" s="28">
        <v>4133013027</v>
      </c>
      <c r="D1015" s="28" t="s">
        <v>3457</v>
      </c>
      <c r="E1015" s="28" t="s">
        <v>3443</v>
      </c>
      <c r="F1015" s="28" t="s">
        <v>1700</v>
      </c>
      <c r="G1015" s="28" t="s">
        <v>1252</v>
      </c>
    </row>
    <row r="1016" spans="1:7">
      <c r="A1016" s="28">
        <v>1015</v>
      </c>
      <c r="B1016" s="28" t="s">
        <v>2982</v>
      </c>
      <c r="C1016" s="28">
        <v>4133013028</v>
      </c>
      <c r="D1016" s="28" t="s">
        <v>3457</v>
      </c>
      <c r="E1016" s="28" t="s">
        <v>3454</v>
      </c>
      <c r="F1016" s="28" t="s">
        <v>1700</v>
      </c>
      <c r="G1016" s="28" t="s">
        <v>1252</v>
      </c>
    </row>
    <row r="1017" spans="1:7">
      <c r="A1017" s="28">
        <v>1016</v>
      </c>
      <c r="B1017" s="28" t="s">
        <v>2983</v>
      </c>
      <c r="C1017" s="28">
        <v>4133013030</v>
      </c>
      <c r="D1017" s="28" t="s">
        <v>3457</v>
      </c>
      <c r="E1017" s="28" t="s">
        <v>3443</v>
      </c>
      <c r="F1017" s="28" t="s">
        <v>1700</v>
      </c>
      <c r="G1017" s="28" t="s">
        <v>1252</v>
      </c>
    </row>
    <row r="1018" spans="1:7">
      <c r="A1018" s="28">
        <v>1017</v>
      </c>
      <c r="B1018" s="28" t="s">
        <v>2050</v>
      </c>
      <c r="C1018" s="28">
        <v>4133013688</v>
      </c>
      <c r="D1018" s="28" t="s">
        <v>3444</v>
      </c>
      <c r="E1018" s="28" t="s">
        <v>3451</v>
      </c>
      <c r="F1018" s="28" t="s">
        <v>1700</v>
      </c>
      <c r="G1018" s="28"/>
    </row>
    <row r="1019" spans="1:7">
      <c r="A1019" s="28">
        <v>1018</v>
      </c>
      <c r="B1019" s="28" t="s">
        <v>2051</v>
      </c>
      <c r="C1019" s="28">
        <v>4133013742</v>
      </c>
      <c r="D1019" s="28" t="s">
        <v>3444</v>
      </c>
      <c r="E1019" s="28" t="s">
        <v>3455</v>
      </c>
      <c r="F1019" s="28" t="s">
        <v>1700</v>
      </c>
      <c r="G1019" s="28"/>
    </row>
    <row r="1020" spans="1:7">
      <c r="A1020" s="28">
        <v>1019</v>
      </c>
      <c r="B1020" s="28" t="s">
        <v>2052</v>
      </c>
      <c r="C1020" s="28">
        <v>4133013746</v>
      </c>
      <c r="D1020" s="28" t="s">
        <v>3444</v>
      </c>
      <c r="E1020" s="28" t="s">
        <v>3452</v>
      </c>
      <c r="F1020" s="28" t="s">
        <v>1700</v>
      </c>
      <c r="G1020" s="28"/>
    </row>
    <row r="1021" spans="1:7">
      <c r="A1021" s="28">
        <v>1020</v>
      </c>
      <c r="B1021" s="28" t="s">
        <v>2053</v>
      </c>
      <c r="C1021" s="28">
        <v>4133013853</v>
      </c>
      <c r="D1021" s="28" t="s">
        <v>3444</v>
      </c>
      <c r="E1021" s="28" t="s">
        <v>3445</v>
      </c>
      <c r="F1021" s="28" t="s">
        <v>1700</v>
      </c>
      <c r="G1021" s="28"/>
    </row>
    <row r="1022" spans="1:7">
      <c r="A1022" s="28">
        <v>1021</v>
      </c>
      <c r="B1022" s="28" t="s">
        <v>2054</v>
      </c>
      <c r="C1022" s="28">
        <v>4133013854</v>
      </c>
      <c r="D1022" s="28" t="s">
        <v>3444</v>
      </c>
      <c r="E1022" s="28" t="s">
        <v>3443</v>
      </c>
      <c r="F1022" s="28" t="s">
        <v>1700</v>
      </c>
      <c r="G1022" s="28"/>
    </row>
    <row r="1023" spans="1:7">
      <c r="A1023" s="28">
        <v>1022</v>
      </c>
      <c r="B1023" s="28" t="s">
        <v>2055</v>
      </c>
      <c r="C1023" s="28">
        <v>4133014088</v>
      </c>
      <c r="D1023" s="28" t="s">
        <v>3444</v>
      </c>
      <c r="E1023" s="28" t="s">
        <v>3446</v>
      </c>
      <c r="F1023" s="28" t="s">
        <v>1700</v>
      </c>
      <c r="G1023" s="28"/>
    </row>
    <row r="1024" spans="1:7">
      <c r="A1024" s="28">
        <v>1023</v>
      </c>
      <c r="B1024" s="28" t="s">
        <v>2984</v>
      </c>
      <c r="C1024" s="28">
        <v>4133014089</v>
      </c>
      <c r="D1024" s="28" t="s">
        <v>3457</v>
      </c>
      <c r="E1024" s="28" t="s">
        <v>3452</v>
      </c>
      <c r="F1024" s="28" t="s">
        <v>1700</v>
      </c>
      <c r="G1024" s="28" t="s">
        <v>1252</v>
      </c>
    </row>
    <row r="1025" spans="1:7">
      <c r="A1025" s="28">
        <v>1024</v>
      </c>
      <c r="B1025" s="28" t="s">
        <v>2985</v>
      </c>
      <c r="C1025" s="28">
        <v>4133014090</v>
      </c>
      <c r="D1025" s="28" t="s">
        <v>3457</v>
      </c>
      <c r="E1025" s="28" t="s">
        <v>3447</v>
      </c>
      <c r="F1025" s="28" t="s">
        <v>1700</v>
      </c>
      <c r="G1025" s="28" t="s">
        <v>1252</v>
      </c>
    </row>
    <row r="1026" spans="1:7">
      <c r="A1026" s="28">
        <v>1025</v>
      </c>
      <c r="B1026" s="28" t="s">
        <v>2056</v>
      </c>
      <c r="C1026" s="28">
        <v>4133014269</v>
      </c>
      <c r="D1026" s="28" t="s">
        <v>3444</v>
      </c>
      <c r="E1026" s="28" t="s">
        <v>3451</v>
      </c>
      <c r="F1026" s="28" t="s">
        <v>1700</v>
      </c>
      <c r="G1026" s="28"/>
    </row>
    <row r="1027" spans="1:7">
      <c r="A1027" s="28">
        <v>1026</v>
      </c>
      <c r="B1027" s="28" t="s">
        <v>2057</v>
      </c>
      <c r="C1027" s="28">
        <v>4133014431</v>
      </c>
      <c r="D1027" s="28" t="s">
        <v>3444</v>
      </c>
      <c r="E1027" s="28" t="s">
        <v>3443</v>
      </c>
      <c r="F1027" s="28" t="s">
        <v>1700</v>
      </c>
      <c r="G1027" s="28"/>
    </row>
    <row r="1028" spans="1:7">
      <c r="A1028" s="28">
        <v>1027</v>
      </c>
      <c r="B1028" s="28" t="s">
        <v>2058</v>
      </c>
      <c r="C1028" s="28">
        <v>4133014492</v>
      </c>
      <c r="D1028" s="28" t="s">
        <v>3444</v>
      </c>
      <c r="E1028" s="28" t="s">
        <v>3446</v>
      </c>
      <c r="F1028" s="28" t="s">
        <v>1700</v>
      </c>
      <c r="G1028" s="28"/>
    </row>
    <row r="1029" spans="1:7">
      <c r="A1029" s="28">
        <v>1028</v>
      </c>
      <c r="B1029" s="28" t="s">
        <v>2986</v>
      </c>
      <c r="C1029" s="28">
        <v>4133014703</v>
      </c>
      <c r="D1029" s="28" t="s">
        <v>3457</v>
      </c>
      <c r="E1029" s="28" t="s">
        <v>3449</v>
      </c>
      <c r="F1029" s="28" t="s">
        <v>1700</v>
      </c>
      <c r="G1029" s="28" t="s">
        <v>1252</v>
      </c>
    </row>
    <row r="1030" spans="1:7">
      <c r="A1030" s="28">
        <v>1029</v>
      </c>
      <c r="B1030" s="28" t="s">
        <v>2987</v>
      </c>
      <c r="C1030" s="28">
        <v>4133014746</v>
      </c>
      <c r="D1030" s="28" t="s">
        <v>3457</v>
      </c>
      <c r="E1030" s="28" t="s">
        <v>3447</v>
      </c>
      <c r="F1030" s="28" t="s">
        <v>1700</v>
      </c>
      <c r="G1030" s="28" t="s">
        <v>1252</v>
      </c>
    </row>
    <row r="1031" spans="1:7">
      <c r="A1031" s="28">
        <v>1030</v>
      </c>
      <c r="B1031" s="28" t="s">
        <v>2059</v>
      </c>
      <c r="C1031" s="28">
        <v>4133016408</v>
      </c>
      <c r="D1031" s="28" t="s">
        <v>3444</v>
      </c>
      <c r="E1031" s="28" t="s">
        <v>3445</v>
      </c>
      <c r="F1031" s="28" t="s">
        <v>1700</v>
      </c>
      <c r="G1031" s="28"/>
    </row>
    <row r="1032" spans="1:7">
      <c r="A1032" s="28">
        <v>1031</v>
      </c>
      <c r="B1032" s="28" t="s">
        <v>2060</v>
      </c>
      <c r="C1032" s="28">
        <v>4233050559</v>
      </c>
      <c r="D1032" s="28" t="s">
        <v>3444</v>
      </c>
      <c r="E1032" s="28" t="s">
        <v>3455</v>
      </c>
      <c r="F1032" s="28" t="s">
        <v>1700</v>
      </c>
      <c r="G1032" s="28"/>
    </row>
    <row r="1033" spans="1:7">
      <c r="A1033" s="28">
        <v>1032</v>
      </c>
      <c r="B1033" s="28" t="s">
        <v>3286</v>
      </c>
      <c r="C1033" s="28">
        <v>4133014916</v>
      </c>
      <c r="D1033" s="28" t="s">
        <v>3457</v>
      </c>
      <c r="E1033" s="28" t="s">
        <v>3449</v>
      </c>
      <c r="F1033" s="28" t="s">
        <v>1700</v>
      </c>
      <c r="G1033" s="28" t="s">
        <v>1252</v>
      </c>
    </row>
    <row r="1034" spans="1:7">
      <c r="A1034" s="28">
        <v>1033</v>
      </c>
      <c r="B1034" s="28" t="s">
        <v>501</v>
      </c>
      <c r="C1034" s="28">
        <v>4134010357</v>
      </c>
      <c r="D1034" s="28" t="s">
        <v>3458</v>
      </c>
      <c r="E1034" s="28" t="s">
        <v>3459</v>
      </c>
      <c r="F1034" s="28" t="s">
        <v>11</v>
      </c>
      <c r="G1034" s="28"/>
    </row>
    <row r="1035" spans="1:7">
      <c r="A1035" s="28">
        <v>1034</v>
      </c>
      <c r="B1035" s="28" t="s">
        <v>504</v>
      </c>
      <c r="C1035" s="28">
        <v>4134010358</v>
      </c>
      <c r="D1035" s="28" t="s">
        <v>3323</v>
      </c>
      <c r="E1035" s="28" t="s">
        <v>3459</v>
      </c>
      <c r="F1035" s="28" t="s">
        <v>11</v>
      </c>
      <c r="G1035" s="28"/>
    </row>
    <row r="1036" spans="1:7">
      <c r="A1036" s="28">
        <v>1035</v>
      </c>
      <c r="B1036" s="28" t="s">
        <v>505</v>
      </c>
      <c r="C1036" s="28">
        <v>4134010359</v>
      </c>
      <c r="D1036" s="28" t="s">
        <v>3309</v>
      </c>
      <c r="E1036" s="28" t="s">
        <v>3459</v>
      </c>
      <c r="F1036" s="28" t="s">
        <v>11</v>
      </c>
      <c r="G1036" s="28"/>
    </row>
    <row r="1037" spans="1:7">
      <c r="A1037" s="28">
        <v>1036</v>
      </c>
      <c r="B1037" s="28" t="s">
        <v>506</v>
      </c>
      <c r="C1037" s="28">
        <v>4134010360</v>
      </c>
      <c r="D1037" s="28" t="s">
        <v>3458</v>
      </c>
      <c r="E1037" s="28" t="s">
        <v>3460</v>
      </c>
      <c r="F1037" s="28" t="s">
        <v>11</v>
      </c>
      <c r="G1037" s="28"/>
    </row>
    <row r="1038" spans="1:7">
      <c r="A1038" s="28">
        <v>1037</v>
      </c>
      <c r="B1038" s="28" t="s">
        <v>508</v>
      </c>
      <c r="C1038" s="28">
        <v>4134010361</v>
      </c>
      <c r="D1038" s="28" t="s">
        <v>3458</v>
      </c>
      <c r="E1038" s="28" t="s">
        <v>3461</v>
      </c>
      <c r="F1038" s="28" t="s">
        <v>11</v>
      </c>
      <c r="G1038" s="28"/>
    </row>
    <row r="1039" spans="1:7">
      <c r="A1039" s="28">
        <v>1038</v>
      </c>
      <c r="B1039" s="28" t="s">
        <v>510</v>
      </c>
      <c r="C1039" s="28">
        <v>4134010363</v>
      </c>
      <c r="D1039" s="28" t="s">
        <v>3458</v>
      </c>
      <c r="E1039" s="28" t="s">
        <v>3462</v>
      </c>
      <c r="F1039" s="28" t="s">
        <v>11</v>
      </c>
      <c r="G1039" s="28"/>
    </row>
    <row r="1040" spans="1:7">
      <c r="A1040" s="28">
        <v>1039</v>
      </c>
      <c r="B1040" s="28" t="s">
        <v>512</v>
      </c>
      <c r="C1040" s="28">
        <v>4134010364</v>
      </c>
      <c r="D1040" s="28" t="s">
        <v>3458</v>
      </c>
      <c r="E1040" s="28" t="s">
        <v>3459</v>
      </c>
      <c r="F1040" s="28" t="s">
        <v>11</v>
      </c>
      <c r="G1040" s="28"/>
    </row>
    <row r="1041" spans="1:7">
      <c r="A1041" s="28">
        <v>1040</v>
      </c>
      <c r="B1041" s="28" t="s">
        <v>513</v>
      </c>
      <c r="C1041" s="28">
        <v>4134010366</v>
      </c>
      <c r="D1041" s="28" t="s">
        <v>3458</v>
      </c>
      <c r="E1041" s="28" t="s">
        <v>3459</v>
      </c>
      <c r="F1041" s="28" t="s">
        <v>11</v>
      </c>
      <c r="G1041" s="28"/>
    </row>
    <row r="1042" spans="1:7">
      <c r="A1042" s="28">
        <v>1041</v>
      </c>
      <c r="B1042" s="28" t="s">
        <v>514</v>
      </c>
      <c r="C1042" s="28">
        <v>4134010367</v>
      </c>
      <c r="D1042" s="28" t="s">
        <v>3458</v>
      </c>
      <c r="E1042" s="28" t="s">
        <v>3463</v>
      </c>
      <c r="F1042" s="28" t="s">
        <v>11</v>
      </c>
      <c r="G1042" s="28"/>
    </row>
    <row r="1043" spans="1:7">
      <c r="A1043" s="28">
        <v>1042</v>
      </c>
      <c r="B1043" s="28" t="s">
        <v>3464</v>
      </c>
      <c r="C1043" s="28">
        <v>4134010368</v>
      </c>
      <c r="D1043" s="28" t="s">
        <v>3458</v>
      </c>
      <c r="E1043" s="28" t="s">
        <v>3462</v>
      </c>
      <c r="F1043" s="28" t="s">
        <v>11</v>
      </c>
      <c r="G1043" s="28"/>
    </row>
    <row r="1044" spans="1:7">
      <c r="A1044" s="28">
        <v>1043</v>
      </c>
      <c r="B1044" s="28" t="s">
        <v>517</v>
      </c>
      <c r="C1044" s="28">
        <v>4134010369</v>
      </c>
      <c r="D1044" s="28" t="s">
        <v>3458</v>
      </c>
      <c r="E1044" s="28" t="s">
        <v>3459</v>
      </c>
      <c r="F1044" s="28" t="s">
        <v>11</v>
      </c>
      <c r="G1044" s="28"/>
    </row>
    <row r="1045" spans="1:7">
      <c r="A1045" s="28">
        <v>1044</v>
      </c>
      <c r="B1045" s="28" t="s">
        <v>518</v>
      </c>
      <c r="C1045" s="28">
        <v>4134010370</v>
      </c>
      <c r="D1045" s="28" t="s">
        <v>3458</v>
      </c>
      <c r="E1045" s="28" t="s">
        <v>3462</v>
      </c>
      <c r="F1045" s="28" t="s">
        <v>11</v>
      </c>
      <c r="G1045" s="28"/>
    </row>
    <row r="1046" spans="1:7">
      <c r="A1046" s="28">
        <v>1045</v>
      </c>
      <c r="B1046" s="28" t="s">
        <v>519</v>
      </c>
      <c r="C1046" s="28">
        <v>4134010371</v>
      </c>
      <c r="D1046" s="28" t="s">
        <v>3458</v>
      </c>
      <c r="E1046" s="28" t="s">
        <v>3465</v>
      </c>
      <c r="F1046" s="28" t="s">
        <v>11</v>
      </c>
      <c r="G1046" s="28"/>
    </row>
    <row r="1047" spans="1:7">
      <c r="A1047" s="28">
        <v>1046</v>
      </c>
      <c r="B1047" s="28" t="s">
        <v>521</v>
      </c>
      <c r="C1047" s="28">
        <v>4134010372</v>
      </c>
      <c r="D1047" s="28" t="s">
        <v>3458</v>
      </c>
      <c r="E1047" s="28" t="s">
        <v>3466</v>
      </c>
      <c r="F1047" s="28" t="s">
        <v>11</v>
      </c>
      <c r="G1047" s="28"/>
    </row>
    <row r="1048" spans="1:7">
      <c r="A1048" s="28">
        <v>1047</v>
      </c>
      <c r="B1048" s="28" t="s">
        <v>523</v>
      </c>
      <c r="C1048" s="28">
        <v>4134010373</v>
      </c>
      <c r="D1048" s="28" t="s">
        <v>3458</v>
      </c>
      <c r="E1048" s="28" t="s">
        <v>3467</v>
      </c>
      <c r="F1048" s="28" t="s">
        <v>11</v>
      </c>
      <c r="G1048" s="28"/>
    </row>
    <row r="1049" spans="1:7">
      <c r="A1049" s="28">
        <v>1048</v>
      </c>
      <c r="B1049" s="28" t="s">
        <v>525</v>
      </c>
      <c r="C1049" s="28">
        <v>4134010375</v>
      </c>
      <c r="D1049" s="28" t="s">
        <v>3458</v>
      </c>
      <c r="E1049" s="28" t="s">
        <v>3468</v>
      </c>
      <c r="F1049" s="28" t="s">
        <v>11</v>
      </c>
      <c r="G1049" s="28"/>
    </row>
    <row r="1050" spans="1:7">
      <c r="A1050" s="28">
        <v>1049</v>
      </c>
      <c r="B1050" s="28" t="s">
        <v>527</v>
      </c>
      <c r="C1050" s="28">
        <v>4134010376</v>
      </c>
      <c r="D1050" s="28" t="s">
        <v>3458</v>
      </c>
      <c r="E1050" s="28" t="s">
        <v>3469</v>
      </c>
      <c r="F1050" s="28" t="s">
        <v>11</v>
      </c>
      <c r="G1050" s="28"/>
    </row>
    <row r="1051" spans="1:7">
      <c r="A1051" s="28">
        <v>1050</v>
      </c>
      <c r="B1051" s="28" t="s">
        <v>529</v>
      </c>
      <c r="C1051" s="28">
        <v>4134010377</v>
      </c>
      <c r="D1051" s="28" t="s">
        <v>3458</v>
      </c>
      <c r="E1051" s="28" t="s">
        <v>3470</v>
      </c>
      <c r="F1051" s="28" t="s">
        <v>11</v>
      </c>
      <c r="G1051" s="28"/>
    </row>
    <row r="1052" spans="1:7">
      <c r="A1052" s="28">
        <v>1051</v>
      </c>
      <c r="B1052" s="28" t="s">
        <v>531</v>
      </c>
      <c r="C1052" s="28">
        <v>4134010378</v>
      </c>
      <c r="D1052" s="28" t="s">
        <v>3458</v>
      </c>
      <c r="E1052" s="28" t="s">
        <v>3463</v>
      </c>
      <c r="F1052" s="28" t="s">
        <v>11</v>
      </c>
      <c r="G1052" s="28"/>
    </row>
    <row r="1053" spans="1:7">
      <c r="A1053" s="28">
        <v>1052</v>
      </c>
      <c r="B1053" s="28" t="s">
        <v>532</v>
      </c>
      <c r="C1053" s="28">
        <v>4134010379</v>
      </c>
      <c r="D1053" s="28" t="s">
        <v>3458</v>
      </c>
      <c r="E1053" s="28" t="s">
        <v>3471</v>
      </c>
      <c r="F1053" s="28" t="s">
        <v>11</v>
      </c>
      <c r="G1053" s="28"/>
    </row>
    <row r="1054" spans="1:7">
      <c r="A1054" s="28">
        <v>1053</v>
      </c>
      <c r="B1054" s="28" t="s">
        <v>534</v>
      </c>
      <c r="C1054" s="28">
        <v>4134010380</v>
      </c>
      <c r="D1054" s="28" t="s">
        <v>3458</v>
      </c>
      <c r="E1054" s="28" t="s">
        <v>3459</v>
      </c>
      <c r="F1054" s="28" t="s">
        <v>11</v>
      </c>
      <c r="G1054" s="28"/>
    </row>
    <row r="1055" spans="1:7">
      <c r="A1055" s="28">
        <v>1054</v>
      </c>
      <c r="B1055" s="28" t="s">
        <v>535</v>
      </c>
      <c r="C1055" s="28">
        <v>4134010381</v>
      </c>
      <c r="D1055" s="28" t="s">
        <v>3458</v>
      </c>
      <c r="E1055" s="28" t="s">
        <v>3461</v>
      </c>
      <c r="F1055" s="28" t="s">
        <v>11</v>
      </c>
      <c r="G1055" s="28"/>
    </row>
    <row r="1056" spans="1:7">
      <c r="A1056" s="28">
        <v>1055</v>
      </c>
      <c r="B1056" s="28" t="s">
        <v>536</v>
      </c>
      <c r="C1056" s="28">
        <v>4134010383</v>
      </c>
      <c r="D1056" s="28" t="s">
        <v>3458</v>
      </c>
      <c r="E1056" s="28" t="s">
        <v>3472</v>
      </c>
      <c r="F1056" s="28" t="s">
        <v>11</v>
      </c>
      <c r="G1056" s="28"/>
    </row>
    <row r="1057" spans="1:7">
      <c r="A1057" s="28">
        <v>1056</v>
      </c>
      <c r="B1057" s="28" t="s">
        <v>538</v>
      </c>
      <c r="C1057" s="28">
        <v>4134010878</v>
      </c>
      <c r="D1057" s="28" t="s">
        <v>3458</v>
      </c>
      <c r="E1057" s="28" t="s">
        <v>3459</v>
      </c>
      <c r="F1057" s="28" t="s">
        <v>11</v>
      </c>
      <c r="G1057" s="28"/>
    </row>
    <row r="1058" spans="1:7">
      <c r="A1058" s="28">
        <v>1057</v>
      </c>
      <c r="B1058" s="28" t="s">
        <v>3473</v>
      </c>
      <c r="C1058" s="28">
        <v>4134010879</v>
      </c>
      <c r="D1058" s="28" t="s">
        <v>3458</v>
      </c>
      <c r="E1058" s="28" t="s">
        <v>3470</v>
      </c>
      <c r="F1058" s="28" t="s">
        <v>11</v>
      </c>
      <c r="G1058" s="28"/>
    </row>
    <row r="1059" spans="1:7">
      <c r="A1059" s="28">
        <v>1058</v>
      </c>
      <c r="B1059" s="28" t="s">
        <v>1401</v>
      </c>
      <c r="C1059" s="28">
        <v>4134010959</v>
      </c>
      <c r="D1059" s="28" t="s">
        <v>3474</v>
      </c>
      <c r="E1059" s="28" t="s">
        <v>3459</v>
      </c>
      <c r="F1059" s="28" t="s">
        <v>11</v>
      </c>
      <c r="G1059" s="28" t="s">
        <v>1252</v>
      </c>
    </row>
    <row r="1060" spans="1:7">
      <c r="A1060" s="28">
        <v>1059</v>
      </c>
      <c r="B1060" s="28" t="s">
        <v>540</v>
      </c>
      <c r="C1060" s="28">
        <v>4134011059</v>
      </c>
      <c r="D1060" s="28" t="s">
        <v>3458</v>
      </c>
      <c r="E1060" s="28" t="s">
        <v>3459</v>
      </c>
      <c r="F1060" s="28" t="s">
        <v>11</v>
      </c>
      <c r="G1060" s="28"/>
    </row>
    <row r="1061" spans="1:7">
      <c r="A1061" s="28">
        <v>1060</v>
      </c>
      <c r="B1061" s="28" t="s">
        <v>541</v>
      </c>
      <c r="C1061" s="28">
        <v>4134011305</v>
      </c>
      <c r="D1061" s="28" t="s">
        <v>3458</v>
      </c>
      <c r="E1061" s="28" t="s">
        <v>3463</v>
      </c>
      <c r="F1061" s="28" t="s">
        <v>11</v>
      </c>
      <c r="G1061" s="28"/>
    </row>
    <row r="1062" spans="1:7">
      <c r="A1062" s="28">
        <v>1061</v>
      </c>
      <c r="B1062" s="28" t="s">
        <v>542</v>
      </c>
      <c r="C1062" s="28">
        <v>4134011306</v>
      </c>
      <c r="D1062" s="28" t="s">
        <v>3458</v>
      </c>
      <c r="E1062" s="28" t="s">
        <v>3475</v>
      </c>
      <c r="F1062" s="28" t="s">
        <v>11</v>
      </c>
      <c r="G1062" s="28"/>
    </row>
    <row r="1063" spans="1:7">
      <c r="A1063" s="28">
        <v>1062</v>
      </c>
      <c r="B1063" s="28" t="s">
        <v>1402</v>
      </c>
      <c r="C1063" s="28">
        <v>4134012216</v>
      </c>
      <c r="D1063" s="28" t="s">
        <v>3474</v>
      </c>
      <c r="E1063" s="28" t="s">
        <v>3459</v>
      </c>
      <c r="F1063" s="28" t="s">
        <v>11</v>
      </c>
      <c r="G1063" s="28" t="s">
        <v>1252</v>
      </c>
    </row>
    <row r="1064" spans="1:7">
      <c r="A1064" s="28">
        <v>1063</v>
      </c>
      <c r="B1064" s="28" t="s">
        <v>1403</v>
      </c>
      <c r="C1064" s="28">
        <v>4134012810</v>
      </c>
      <c r="D1064" s="28" t="s">
        <v>3474</v>
      </c>
      <c r="E1064" s="28" t="s">
        <v>3459</v>
      </c>
      <c r="F1064" s="28" t="s">
        <v>11</v>
      </c>
      <c r="G1064" s="28" t="s">
        <v>1252</v>
      </c>
    </row>
    <row r="1065" spans="1:7">
      <c r="A1065" s="28">
        <v>1064</v>
      </c>
      <c r="B1065" s="28" t="s">
        <v>544</v>
      </c>
      <c r="C1065" s="28">
        <v>4134012926</v>
      </c>
      <c r="D1065" s="28" t="s">
        <v>3458</v>
      </c>
      <c r="E1065" s="28" t="s">
        <v>3476</v>
      </c>
      <c r="F1065" s="28" t="s">
        <v>11</v>
      </c>
      <c r="G1065" s="28"/>
    </row>
    <row r="1066" spans="1:7">
      <c r="A1066" s="28">
        <v>1065</v>
      </c>
      <c r="B1066" s="28" t="s">
        <v>1404</v>
      </c>
      <c r="C1066" s="28">
        <v>4134013065</v>
      </c>
      <c r="D1066" s="28" t="s">
        <v>3474</v>
      </c>
      <c r="E1066" s="28" t="s">
        <v>3459</v>
      </c>
      <c r="F1066" s="28" t="s">
        <v>11</v>
      </c>
      <c r="G1066" s="28" t="s">
        <v>1252</v>
      </c>
    </row>
    <row r="1067" spans="1:7">
      <c r="A1067" s="28">
        <v>1066</v>
      </c>
      <c r="B1067" s="28" t="s">
        <v>1405</v>
      </c>
      <c r="C1067" s="28">
        <v>4134013611</v>
      </c>
      <c r="D1067" s="28" t="s">
        <v>3474</v>
      </c>
      <c r="E1067" s="28" t="s">
        <v>3463</v>
      </c>
      <c r="F1067" s="28" t="s">
        <v>11</v>
      </c>
      <c r="G1067" s="28" t="s">
        <v>1252</v>
      </c>
    </row>
    <row r="1068" spans="1:7">
      <c r="A1068" s="28">
        <v>1067</v>
      </c>
      <c r="B1068" s="28" t="s">
        <v>546</v>
      </c>
      <c r="C1068" s="28">
        <v>4134013612</v>
      </c>
      <c r="D1068" s="28" t="s">
        <v>3458</v>
      </c>
      <c r="E1068" s="28" t="s">
        <v>3459</v>
      </c>
      <c r="F1068" s="28" t="s">
        <v>11</v>
      </c>
      <c r="G1068" s="28"/>
    </row>
    <row r="1069" spans="1:7">
      <c r="A1069" s="28">
        <v>1068</v>
      </c>
      <c r="B1069" s="28" t="s">
        <v>1406</v>
      </c>
      <c r="C1069" s="28">
        <v>4134013613</v>
      </c>
      <c r="D1069" s="28" t="s">
        <v>3474</v>
      </c>
      <c r="E1069" s="28" t="s">
        <v>3462</v>
      </c>
      <c r="F1069" s="28" t="s">
        <v>11</v>
      </c>
      <c r="G1069" s="28" t="s">
        <v>1252</v>
      </c>
    </row>
    <row r="1070" spans="1:7">
      <c r="A1070" s="28">
        <v>1069</v>
      </c>
      <c r="B1070" s="28" t="s">
        <v>1407</v>
      </c>
      <c r="C1070" s="28">
        <v>4134013614</v>
      </c>
      <c r="D1070" s="28" t="s">
        <v>3474</v>
      </c>
      <c r="E1070" s="28" t="s">
        <v>3460</v>
      </c>
      <c r="F1070" s="28" t="s">
        <v>11</v>
      </c>
      <c r="G1070" s="28" t="s">
        <v>1252</v>
      </c>
    </row>
    <row r="1071" spans="1:7">
      <c r="A1071" s="28">
        <v>1070</v>
      </c>
      <c r="B1071" s="28" t="s">
        <v>1408</v>
      </c>
      <c r="C1071" s="28">
        <v>4134013615</v>
      </c>
      <c r="D1071" s="28" t="s">
        <v>3474</v>
      </c>
      <c r="E1071" s="28" t="s">
        <v>3459</v>
      </c>
      <c r="F1071" s="28" t="s">
        <v>11</v>
      </c>
      <c r="G1071" s="28" t="s">
        <v>1252</v>
      </c>
    </row>
    <row r="1072" spans="1:7">
      <c r="A1072" s="28">
        <v>1071</v>
      </c>
      <c r="B1072" s="28" t="s">
        <v>1409</v>
      </c>
      <c r="C1072" s="28">
        <v>4134013616</v>
      </c>
      <c r="D1072" s="28" t="s">
        <v>3474</v>
      </c>
      <c r="E1072" s="28" t="s">
        <v>3459</v>
      </c>
      <c r="F1072" s="28" t="s">
        <v>11</v>
      </c>
      <c r="G1072" s="28" t="s">
        <v>1252</v>
      </c>
    </row>
    <row r="1073" spans="1:7">
      <c r="A1073" s="28">
        <v>1072</v>
      </c>
      <c r="B1073" s="28" t="s">
        <v>1410</v>
      </c>
      <c r="C1073" s="28">
        <v>4134013617</v>
      </c>
      <c r="D1073" s="28" t="s">
        <v>3474</v>
      </c>
      <c r="E1073" s="28" t="s">
        <v>3462</v>
      </c>
      <c r="F1073" s="28" t="s">
        <v>11</v>
      </c>
      <c r="G1073" s="28" t="s">
        <v>1252</v>
      </c>
    </row>
    <row r="1074" spans="1:7">
      <c r="A1074" s="28">
        <v>1073</v>
      </c>
      <c r="B1074" s="28" t="s">
        <v>1411</v>
      </c>
      <c r="C1074" s="28">
        <v>4134013618</v>
      </c>
      <c r="D1074" s="28" t="s">
        <v>3474</v>
      </c>
      <c r="E1074" s="28" t="s">
        <v>3459</v>
      </c>
      <c r="F1074" s="28" t="s">
        <v>11</v>
      </c>
      <c r="G1074" s="28" t="s">
        <v>1252</v>
      </c>
    </row>
    <row r="1075" spans="1:7">
      <c r="A1075" s="28">
        <v>1074</v>
      </c>
      <c r="B1075" s="28" t="s">
        <v>1412</v>
      </c>
      <c r="C1075" s="28">
        <v>4134013619</v>
      </c>
      <c r="D1075" s="28" t="s">
        <v>3474</v>
      </c>
      <c r="E1075" s="28" t="s">
        <v>3465</v>
      </c>
      <c r="F1075" s="28" t="s">
        <v>11</v>
      </c>
      <c r="G1075" s="28" t="s">
        <v>1252</v>
      </c>
    </row>
    <row r="1076" spans="1:7">
      <c r="A1076" s="28">
        <v>1075</v>
      </c>
      <c r="B1076" s="28" t="s">
        <v>1413</v>
      </c>
      <c r="C1076" s="28">
        <v>4134013620</v>
      </c>
      <c r="D1076" s="28" t="s">
        <v>3474</v>
      </c>
      <c r="E1076" s="28" t="s">
        <v>3467</v>
      </c>
      <c r="F1076" s="28" t="s">
        <v>11</v>
      </c>
      <c r="G1076" s="28" t="s">
        <v>1252</v>
      </c>
    </row>
    <row r="1077" spans="1:7">
      <c r="A1077" s="28">
        <v>1076</v>
      </c>
      <c r="B1077" s="28" t="s">
        <v>547</v>
      </c>
      <c r="C1077" s="28">
        <v>4134014098</v>
      </c>
      <c r="D1077" s="28" t="s">
        <v>3458</v>
      </c>
      <c r="E1077" s="28" t="s">
        <v>3459</v>
      </c>
      <c r="F1077" s="28" t="s">
        <v>11</v>
      </c>
      <c r="G1077" s="28"/>
    </row>
    <row r="1078" spans="1:7">
      <c r="A1078" s="28">
        <v>1077</v>
      </c>
      <c r="B1078" s="28" t="s">
        <v>1414</v>
      </c>
      <c r="C1078" s="28">
        <v>4134014203</v>
      </c>
      <c r="D1078" s="28" t="s">
        <v>3474</v>
      </c>
      <c r="E1078" s="28" t="s">
        <v>3460</v>
      </c>
      <c r="F1078" s="28" t="s">
        <v>11</v>
      </c>
      <c r="G1078" s="28" t="s">
        <v>1252</v>
      </c>
    </row>
    <row r="1079" spans="1:7">
      <c r="A1079" s="28">
        <v>1078</v>
      </c>
      <c r="B1079" s="28" t="s">
        <v>548</v>
      </c>
      <c r="C1079" s="28">
        <v>4134014682</v>
      </c>
      <c r="D1079" s="28" t="s">
        <v>3458</v>
      </c>
      <c r="E1079" s="28" t="s">
        <v>3459</v>
      </c>
      <c r="F1079" s="28" t="s">
        <v>11</v>
      </c>
      <c r="G1079" s="28"/>
    </row>
    <row r="1080" spans="1:7">
      <c r="A1080" s="28">
        <v>1079</v>
      </c>
      <c r="B1080" s="28" t="s">
        <v>1240</v>
      </c>
      <c r="C1080" s="28">
        <v>4134014840</v>
      </c>
      <c r="D1080" s="28" t="s">
        <v>3458</v>
      </c>
      <c r="E1080" s="28" t="s">
        <v>3459</v>
      </c>
      <c r="F1080" s="28" t="s">
        <v>11</v>
      </c>
      <c r="G1080" s="28"/>
    </row>
    <row r="1081" spans="1:7">
      <c r="A1081" s="28">
        <v>1080</v>
      </c>
      <c r="B1081" s="28" t="s">
        <v>549</v>
      </c>
      <c r="C1081" s="28">
        <v>4134010869</v>
      </c>
      <c r="D1081" s="28" t="s">
        <v>3458</v>
      </c>
      <c r="E1081" s="28" t="s">
        <v>3459</v>
      </c>
      <c r="F1081" s="28" t="s">
        <v>11</v>
      </c>
      <c r="G1081" s="28"/>
    </row>
    <row r="1082" spans="1:7">
      <c r="A1082" s="28">
        <v>1081</v>
      </c>
      <c r="B1082" s="28" t="s">
        <v>550</v>
      </c>
      <c r="C1082" s="28">
        <v>4134011061</v>
      </c>
      <c r="D1082" s="28" t="s">
        <v>3458</v>
      </c>
      <c r="E1082" s="28" t="s">
        <v>3462</v>
      </c>
      <c r="F1082" s="28" t="s">
        <v>11</v>
      </c>
      <c r="G1082" s="28"/>
    </row>
    <row r="1083" spans="1:7">
      <c r="A1083" s="28">
        <v>1082</v>
      </c>
      <c r="B1083" s="28" t="s">
        <v>551</v>
      </c>
      <c r="C1083" s="28">
        <v>4134012925</v>
      </c>
      <c r="D1083" s="28" t="s">
        <v>3458</v>
      </c>
      <c r="E1083" s="28" t="s">
        <v>3459</v>
      </c>
      <c r="F1083" s="28" t="s">
        <v>11</v>
      </c>
      <c r="G1083" s="28"/>
    </row>
    <row r="1084" spans="1:7">
      <c r="A1084" s="28">
        <v>1083</v>
      </c>
      <c r="B1084" s="28" t="s">
        <v>2061</v>
      </c>
      <c r="C1084" s="28">
        <v>4134010963</v>
      </c>
      <c r="D1084" s="28" t="s">
        <v>3458</v>
      </c>
      <c r="E1084" s="28" t="s">
        <v>3467</v>
      </c>
      <c r="F1084" s="28" t="s">
        <v>1700</v>
      </c>
      <c r="G1084" s="28"/>
    </row>
    <row r="1085" spans="1:7">
      <c r="A1085" s="28">
        <v>1084</v>
      </c>
      <c r="B1085" s="28" t="s">
        <v>2062</v>
      </c>
      <c r="C1085" s="28">
        <v>4134011308</v>
      </c>
      <c r="D1085" s="28" t="s">
        <v>3458</v>
      </c>
      <c r="E1085" s="28" t="s">
        <v>3461</v>
      </c>
      <c r="F1085" s="28" t="s">
        <v>1700</v>
      </c>
      <c r="G1085" s="28"/>
    </row>
    <row r="1086" spans="1:7">
      <c r="A1086" s="28">
        <v>1085</v>
      </c>
      <c r="B1086" s="28" t="s">
        <v>2063</v>
      </c>
      <c r="C1086" s="28">
        <v>4134012072</v>
      </c>
      <c r="D1086" s="28" t="s">
        <v>3458</v>
      </c>
      <c r="E1086" s="28" t="s">
        <v>3462</v>
      </c>
      <c r="F1086" s="28" t="s">
        <v>1700</v>
      </c>
      <c r="G1086" s="28"/>
    </row>
    <row r="1087" spans="1:7">
      <c r="A1087" s="28">
        <v>1086</v>
      </c>
      <c r="B1087" s="28" t="s">
        <v>2064</v>
      </c>
      <c r="C1087" s="28">
        <v>4134012073</v>
      </c>
      <c r="D1087" s="28" t="s">
        <v>3458</v>
      </c>
      <c r="E1087" s="28" t="s">
        <v>3459</v>
      </c>
      <c r="F1087" s="28" t="s">
        <v>1700</v>
      </c>
      <c r="G1087" s="28"/>
    </row>
    <row r="1088" spans="1:7">
      <c r="A1088" s="28">
        <v>1087</v>
      </c>
      <c r="B1088" s="28" t="s">
        <v>2065</v>
      </c>
      <c r="C1088" s="28">
        <v>4134012074</v>
      </c>
      <c r="D1088" s="28" t="s">
        <v>3458</v>
      </c>
      <c r="E1088" s="28" t="s">
        <v>3465</v>
      </c>
      <c r="F1088" s="28" t="s">
        <v>1700</v>
      </c>
      <c r="G1088" s="28"/>
    </row>
    <row r="1089" spans="1:7">
      <c r="A1089" s="28">
        <v>1088</v>
      </c>
      <c r="B1089" s="28" t="s">
        <v>2066</v>
      </c>
      <c r="C1089" s="28">
        <v>4134012217</v>
      </c>
      <c r="D1089" s="28" t="s">
        <v>3458</v>
      </c>
      <c r="E1089" s="28" t="s">
        <v>3472</v>
      </c>
      <c r="F1089" s="28" t="s">
        <v>1700</v>
      </c>
      <c r="G1089" s="28"/>
    </row>
    <row r="1090" spans="1:7">
      <c r="A1090" s="28">
        <v>1089</v>
      </c>
      <c r="B1090" s="28" t="s">
        <v>2988</v>
      </c>
      <c r="C1090" s="28">
        <v>4134012218</v>
      </c>
      <c r="D1090" s="28" t="s">
        <v>3474</v>
      </c>
      <c r="E1090" s="28" t="s">
        <v>3459</v>
      </c>
      <c r="F1090" s="28" t="s">
        <v>1700</v>
      </c>
      <c r="G1090" s="28" t="s">
        <v>1252</v>
      </c>
    </row>
    <row r="1091" spans="1:7">
      <c r="A1091" s="28">
        <v>1090</v>
      </c>
      <c r="B1091" s="28" t="s">
        <v>2067</v>
      </c>
      <c r="C1091" s="28">
        <v>4134012219</v>
      </c>
      <c r="D1091" s="28" t="s">
        <v>3458</v>
      </c>
      <c r="E1091" s="28" t="s">
        <v>3459</v>
      </c>
      <c r="F1091" s="28" t="s">
        <v>1700</v>
      </c>
      <c r="G1091" s="28"/>
    </row>
    <row r="1092" spans="1:7">
      <c r="A1092" s="28">
        <v>1091</v>
      </c>
      <c r="B1092" s="28" t="s">
        <v>2068</v>
      </c>
      <c r="C1092" s="28">
        <v>4134012220</v>
      </c>
      <c r="D1092" s="28" t="s">
        <v>3458</v>
      </c>
      <c r="E1092" s="28" t="s">
        <v>3461</v>
      </c>
      <c r="F1092" s="28" t="s">
        <v>1700</v>
      </c>
      <c r="G1092" s="28"/>
    </row>
    <row r="1093" spans="1:7">
      <c r="A1093" s="28">
        <v>1092</v>
      </c>
      <c r="B1093" s="28" t="s">
        <v>2069</v>
      </c>
      <c r="C1093" s="28">
        <v>4134012334</v>
      </c>
      <c r="D1093" s="28" t="s">
        <v>3458</v>
      </c>
      <c r="E1093" s="28" t="s">
        <v>3459</v>
      </c>
      <c r="F1093" s="28" t="s">
        <v>1700</v>
      </c>
      <c r="G1093" s="28"/>
    </row>
    <row r="1094" spans="1:7">
      <c r="A1094" s="28">
        <v>1093</v>
      </c>
      <c r="B1094" s="28" t="s">
        <v>2070</v>
      </c>
      <c r="C1094" s="28">
        <v>4134012410</v>
      </c>
      <c r="D1094" s="28" t="s">
        <v>3458</v>
      </c>
      <c r="E1094" s="28" t="s">
        <v>3459</v>
      </c>
      <c r="F1094" s="28" t="s">
        <v>1700</v>
      </c>
      <c r="G1094" s="28"/>
    </row>
    <row r="1095" spans="1:7">
      <c r="A1095" s="28">
        <v>1094</v>
      </c>
      <c r="B1095" s="28" t="s">
        <v>2071</v>
      </c>
      <c r="C1095" s="28">
        <v>4134012811</v>
      </c>
      <c r="D1095" s="28" t="s">
        <v>3458</v>
      </c>
      <c r="E1095" s="28" t="s">
        <v>3461</v>
      </c>
      <c r="F1095" s="28" t="s">
        <v>1700</v>
      </c>
      <c r="G1095" s="28"/>
    </row>
    <row r="1096" spans="1:7">
      <c r="A1096" s="28">
        <v>1095</v>
      </c>
      <c r="B1096" s="28" t="s">
        <v>2072</v>
      </c>
      <c r="C1096" s="28">
        <v>4134012812</v>
      </c>
      <c r="D1096" s="28" t="s">
        <v>3458</v>
      </c>
      <c r="E1096" s="28" t="s">
        <v>3471</v>
      </c>
      <c r="F1096" s="28" t="s">
        <v>1700</v>
      </c>
      <c r="G1096" s="28"/>
    </row>
    <row r="1097" spans="1:7">
      <c r="A1097" s="28">
        <v>1096</v>
      </c>
      <c r="B1097" s="28" t="s">
        <v>2073</v>
      </c>
      <c r="C1097" s="28">
        <v>4134012813</v>
      </c>
      <c r="D1097" s="28" t="s">
        <v>3458</v>
      </c>
      <c r="E1097" s="28" t="s">
        <v>3469</v>
      </c>
      <c r="F1097" s="28" t="s">
        <v>1700</v>
      </c>
      <c r="G1097" s="28"/>
    </row>
    <row r="1098" spans="1:7">
      <c r="A1098" s="28">
        <v>1097</v>
      </c>
      <c r="B1098" s="28" t="s">
        <v>2074</v>
      </c>
      <c r="C1098" s="28">
        <v>4134012814</v>
      </c>
      <c r="D1098" s="28" t="s">
        <v>3458</v>
      </c>
      <c r="E1098" s="28" t="s">
        <v>3463</v>
      </c>
      <c r="F1098" s="28" t="s">
        <v>1700</v>
      </c>
      <c r="G1098" s="28"/>
    </row>
    <row r="1099" spans="1:7">
      <c r="A1099" s="28">
        <v>1098</v>
      </c>
      <c r="B1099" s="28" t="s">
        <v>2989</v>
      </c>
      <c r="C1099" s="28">
        <v>4134012815</v>
      </c>
      <c r="D1099" s="28" t="s">
        <v>3474</v>
      </c>
      <c r="E1099" s="28" t="s">
        <v>3459</v>
      </c>
      <c r="F1099" s="28" t="s">
        <v>1700</v>
      </c>
      <c r="G1099" s="28" t="s">
        <v>1252</v>
      </c>
    </row>
    <row r="1100" spans="1:7">
      <c r="A1100" s="28">
        <v>1099</v>
      </c>
      <c r="B1100" s="28" t="s">
        <v>2075</v>
      </c>
      <c r="C1100" s="28">
        <v>4134012816</v>
      </c>
      <c r="D1100" s="28" t="s">
        <v>3458</v>
      </c>
      <c r="E1100" s="28" t="s">
        <v>3459</v>
      </c>
      <c r="F1100" s="28" t="s">
        <v>1700</v>
      </c>
      <c r="G1100" s="28"/>
    </row>
    <row r="1101" spans="1:7">
      <c r="A1101" s="28">
        <v>1100</v>
      </c>
      <c r="B1101" s="28" t="s">
        <v>2076</v>
      </c>
      <c r="C1101" s="28">
        <v>4134012817</v>
      </c>
      <c r="D1101" s="28" t="s">
        <v>3458</v>
      </c>
      <c r="E1101" s="28" t="s">
        <v>3459</v>
      </c>
      <c r="F1101" s="28" t="s">
        <v>1700</v>
      </c>
      <c r="G1101" s="28"/>
    </row>
    <row r="1102" spans="1:7">
      <c r="A1102" s="28">
        <v>1101</v>
      </c>
      <c r="B1102" s="28" t="s">
        <v>2077</v>
      </c>
      <c r="C1102" s="28">
        <v>4134012924</v>
      </c>
      <c r="D1102" s="28" t="s">
        <v>3458</v>
      </c>
      <c r="E1102" s="28" t="s">
        <v>3462</v>
      </c>
      <c r="F1102" s="28" t="s">
        <v>1700</v>
      </c>
      <c r="G1102" s="28"/>
    </row>
    <row r="1103" spans="1:7">
      <c r="A1103" s="28">
        <v>1102</v>
      </c>
      <c r="B1103" s="28" t="s">
        <v>2078</v>
      </c>
      <c r="C1103" s="28">
        <v>4134013058</v>
      </c>
      <c r="D1103" s="28" t="s">
        <v>3458</v>
      </c>
      <c r="E1103" s="28" t="s">
        <v>3459</v>
      </c>
      <c r="F1103" s="28" t="s">
        <v>1700</v>
      </c>
      <c r="G1103" s="28"/>
    </row>
    <row r="1104" spans="1:7">
      <c r="A1104" s="28">
        <v>1103</v>
      </c>
      <c r="B1104" s="28" t="s">
        <v>2079</v>
      </c>
      <c r="C1104" s="28">
        <v>4134013059</v>
      </c>
      <c r="D1104" s="28" t="s">
        <v>3458</v>
      </c>
      <c r="E1104" s="28" t="s">
        <v>3470</v>
      </c>
      <c r="F1104" s="28" t="s">
        <v>1700</v>
      </c>
      <c r="G1104" s="28"/>
    </row>
    <row r="1105" spans="1:7">
      <c r="A1105" s="28">
        <v>1104</v>
      </c>
      <c r="B1105" s="28" t="s">
        <v>2080</v>
      </c>
      <c r="C1105" s="28">
        <v>4134013060</v>
      </c>
      <c r="D1105" s="28" t="s">
        <v>3458</v>
      </c>
      <c r="E1105" s="28" t="s">
        <v>3475</v>
      </c>
      <c r="F1105" s="28" t="s">
        <v>1700</v>
      </c>
      <c r="G1105" s="28"/>
    </row>
    <row r="1106" spans="1:7">
      <c r="A1106" s="28">
        <v>1105</v>
      </c>
      <c r="B1106" s="28" t="s">
        <v>2081</v>
      </c>
      <c r="C1106" s="28">
        <v>4134013061</v>
      </c>
      <c r="D1106" s="28" t="s">
        <v>3458</v>
      </c>
      <c r="E1106" s="28" t="s">
        <v>3477</v>
      </c>
      <c r="F1106" s="28" t="s">
        <v>1700</v>
      </c>
      <c r="G1106" s="28"/>
    </row>
    <row r="1107" spans="1:7">
      <c r="A1107" s="28">
        <v>1106</v>
      </c>
      <c r="B1107" s="28" t="s">
        <v>2083</v>
      </c>
      <c r="C1107" s="28">
        <v>4134013062</v>
      </c>
      <c r="D1107" s="28" t="s">
        <v>3458</v>
      </c>
      <c r="E1107" s="28" t="s">
        <v>3459</v>
      </c>
      <c r="F1107" s="28" t="s">
        <v>1700</v>
      </c>
      <c r="G1107" s="28"/>
    </row>
    <row r="1108" spans="1:7">
      <c r="A1108" s="28">
        <v>1107</v>
      </c>
      <c r="B1108" s="28" t="s">
        <v>2990</v>
      </c>
      <c r="C1108" s="28">
        <v>4134013064</v>
      </c>
      <c r="D1108" s="28" t="s">
        <v>3474</v>
      </c>
      <c r="E1108" s="28" t="s">
        <v>3459</v>
      </c>
      <c r="F1108" s="28" t="s">
        <v>1700</v>
      </c>
      <c r="G1108" s="28" t="s">
        <v>1252</v>
      </c>
    </row>
    <row r="1109" spans="1:7">
      <c r="A1109" s="28">
        <v>1108</v>
      </c>
      <c r="B1109" s="28" t="s">
        <v>2084</v>
      </c>
      <c r="C1109" s="28">
        <v>4134013336</v>
      </c>
      <c r="D1109" s="28" t="s">
        <v>3458</v>
      </c>
      <c r="E1109" s="28" t="s">
        <v>3459</v>
      </c>
      <c r="F1109" s="28" t="s">
        <v>1700</v>
      </c>
      <c r="G1109" s="28"/>
    </row>
    <row r="1110" spans="1:7">
      <c r="A1110" s="28">
        <v>1109</v>
      </c>
      <c r="B1110" s="28" t="s">
        <v>2085</v>
      </c>
      <c r="C1110" s="28">
        <v>4134013337</v>
      </c>
      <c r="D1110" s="28" t="s">
        <v>3458</v>
      </c>
      <c r="E1110" s="28" t="s">
        <v>3460</v>
      </c>
      <c r="F1110" s="28" t="s">
        <v>1700</v>
      </c>
      <c r="G1110" s="28"/>
    </row>
    <row r="1111" spans="1:7">
      <c r="A1111" s="28">
        <v>1110</v>
      </c>
      <c r="B1111" s="28" t="s">
        <v>2086</v>
      </c>
      <c r="C1111" s="28">
        <v>4134013338</v>
      </c>
      <c r="D1111" s="28" t="s">
        <v>3458</v>
      </c>
      <c r="E1111" s="28" t="s">
        <v>3459</v>
      </c>
      <c r="F1111" s="28" t="s">
        <v>1700</v>
      </c>
      <c r="G1111" s="28"/>
    </row>
    <row r="1112" spans="1:7">
      <c r="A1112" s="28">
        <v>1111</v>
      </c>
      <c r="B1112" s="28" t="s">
        <v>2087</v>
      </c>
      <c r="C1112" s="28">
        <v>4134013339</v>
      </c>
      <c r="D1112" s="28" t="s">
        <v>3458</v>
      </c>
      <c r="E1112" s="28" t="s">
        <v>3462</v>
      </c>
      <c r="F1112" s="28" t="s">
        <v>1700</v>
      </c>
      <c r="G1112" s="28"/>
    </row>
    <row r="1113" spans="1:7">
      <c r="A1113" s="28">
        <v>1112</v>
      </c>
      <c r="B1113" s="28" t="s">
        <v>2088</v>
      </c>
      <c r="C1113" s="28">
        <v>4134013340</v>
      </c>
      <c r="D1113" s="28" t="s">
        <v>3458</v>
      </c>
      <c r="E1113" s="28" t="s">
        <v>3459</v>
      </c>
      <c r="F1113" s="28" t="s">
        <v>1700</v>
      </c>
      <c r="G1113" s="28"/>
    </row>
    <row r="1114" spans="1:7">
      <c r="A1114" s="28">
        <v>1113</v>
      </c>
      <c r="B1114" s="28" t="s">
        <v>2089</v>
      </c>
      <c r="C1114" s="28">
        <v>4134013341</v>
      </c>
      <c r="D1114" s="28" t="s">
        <v>3458</v>
      </c>
      <c r="E1114" s="28" t="s">
        <v>3459</v>
      </c>
      <c r="F1114" s="28" t="s">
        <v>1700</v>
      </c>
      <c r="G1114" s="28"/>
    </row>
    <row r="1115" spans="1:7">
      <c r="A1115" s="28">
        <v>1114</v>
      </c>
      <c r="B1115" s="28" t="s">
        <v>2991</v>
      </c>
      <c r="C1115" s="28">
        <v>4134013342</v>
      </c>
      <c r="D1115" s="28" t="s">
        <v>3474</v>
      </c>
      <c r="E1115" s="28" t="s">
        <v>3465</v>
      </c>
      <c r="F1115" s="28" t="s">
        <v>1700</v>
      </c>
      <c r="G1115" s="28" t="s">
        <v>1252</v>
      </c>
    </row>
    <row r="1116" spans="1:7">
      <c r="A1116" s="28">
        <v>1115</v>
      </c>
      <c r="B1116" s="28" t="s">
        <v>2090</v>
      </c>
      <c r="C1116" s="28">
        <v>4134013343</v>
      </c>
      <c r="D1116" s="28" t="s">
        <v>3458</v>
      </c>
      <c r="E1116" s="28" t="s">
        <v>3476</v>
      </c>
      <c r="F1116" s="28" t="s">
        <v>1700</v>
      </c>
      <c r="G1116" s="28"/>
    </row>
    <row r="1117" spans="1:7">
      <c r="A1117" s="28">
        <v>1116</v>
      </c>
      <c r="B1117" s="28" t="s">
        <v>2091</v>
      </c>
      <c r="C1117" s="28">
        <v>4134013344</v>
      </c>
      <c r="D1117" s="28" t="s">
        <v>3458</v>
      </c>
      <c r="E1117" s="28" t="s">
        <v>3469</v>
      </c>
      <c r="F1117" s="28" t="s">
        <v>1700</v>
      </c>
      <c r="G1117" s="28"/>
    </row>
    <row r="1118" spans="1:7">
      <c r="A1118" s="28">
        <v>1117</v>
      </c>
      <c r="B1118" s="28" t="s">
        <v>2092</v>
      </c>
      <c r="C1118" s="28">
        <v>4134013345</v>
      </c>
      <c r="D1118" s="28" t="s">
        <v>3458</v>
      </c>
      <c r="E1118" s="28" t="s">
        <v>3466</v>
      </c>
      <c r="F1118" s="28" t="s">
        <v>1700</v>
      </c>
      <c r="G1118" s="28"/>
    </row>
    <row r="1119" spans="1:7">
      <c r="A1119" s="28">
        <v>1118</v>
      </c>
      <c r="B1119" s="28" t="s">
        <v>2093</v>
      </c>
      <c r="C1119" s="28">
        <v>4134013346</v>
      </c>
      <c r="D1119" s="28" t="s">
        <v>3458</v>
      </c>
      <c r="E1119" s="28" t="s">
        <v>3459</v>
      </c>
      <c r="F1119" s="28" t="s">
        <v>1700</v>
      </c>
      <c r="G1119" s="28"/>
    </row>
    <row r="1120" spans="1:7">
      <c r="A1120" s="28">
        <v>1119</v>
      </c>
      <c r="B1120" s="28" t="s">
        <v>2094</v>
      </c>
      <c r="C1120" s="28">
        <v>4134013760</v>
      </c>
      <c r="D1120" s="28" t="s">
        <v>3458</v>
      </c>
      <c r="E1120" s="28" t="s">
        <v>3460</v>
      </c>
      <c r="F1120" s="28" t="s">
        <v>1700</v>
      </c>
      <c r="G1120" s="28"/>
    </row>
    <row r="1121" spans="1:7">
      <c r="A1121" s="28">
        <v>1120</v>
      </c>
      <c r="B1121" s="28" t="s">
        <v>2095</v>
      </c>
      <c r="C1121" s="28">
        <v>4134013845</v>
      </c>
      <c r="D1121" s="28" t="s">
        <v>3458</v>
      </c>
      <c r="E1121" s="28" t="s">
        <v>3459</v>
      </c>
      <c r="F1121" s="28" t="s">
        <v>1700</v>
      </c>
      <c r="G1121" s="28"/>
    </row>
    <row r="1122" spans="1:7">
      <c r="A1122" s="28">
        <v>1121</v>
      </c>
      <c r="B1122" s="28" t="s">
        <v>2096</v>
      </c>
      <c r="C1122" s="28">
        <v>4134013846</v>
      </c>
      <c r="D1122" s="28" t="s">
        <v>3458</v>
      </c>
      <c r="E1122" s="28" t="s">
        <v>3459</v>
      </c>
      <c r="F1122" s="28" t="s">
        <v>1700</v>
      </c>
      <c r="G1122" s="28"/>
    </row>
    <row r="1123" spans="1:7">
      <c r="A1123" s="28">
        <v>1122</v>
      </c>
      <c r="B1123" s="28" t="s">
        <v>2097</v>
      </c>
      <c r="C1123" s="28">
        <v>4134013847</v>
      </c>
      <c r="D1123" s="28" t="s">
        <v>3458</v>
      </c>
      <c r="E1123" s="28" t="s">
        <v>3459</v>
      </c>
      <c r="F1123" s="28" t="s">
        <v>1700</v>
      </c>
      <c r="G1123" s="28"/>
    </row>
    <row r="1124" spans="1:7">
      <c r="A1124" s="28">
        <v>1123</v>
      </c>
      <c r="B1124" s="28" t="s">
        <v>2098</v>
      </c>
      <c r="C1124" s="28">
        <v>4134013848</v>
      </c>
      <c r="D1124" s="28" t="s">
        <v>3458</v>
      </c>
      <c r="E1124" s="28" t="s">
        <v>3459</v>
      </c>
      <c r="F1124" s="28" t="s">
        <v>1700</v>
      </c>
      <c r="G1124" s="28"/>
    </row>
    <row r="1125" spans="1:7">
      <c r="A1125" s="28">
        <v>1124</v>
      </c>
      <c r="B1125" s="28" t="s">
        <v>2099</v>
      </c>
      <c r="C1125" s="28">
        <v>4134013849</v>
      </c>
      <c r="D1125" s="28" t="s">
        <v>3458</v>
      </c>
      <c r="E1125" s="28" t="s">
        <v>3459</v>
      </c>
      <c r="F1125" s="28" t="s">
        <v>1700</v>
      </c>
      <c r="G1125" s="28"/>
    </row>
    <row r="1126" spans="1:7">
      <c r="A1126" s="28">
        <v>1125</v>
      </c>
      <c r="B1126" s="28" t="s">
        <v>2100</v>
      </c>
      <c r="C1126" s="28">
        <v>4134013850</v>
      </c>
      <c r="D1126" s="28" t="s">
        <v>3458</v>
      </c>
      <c r="E1126" s="28" t="s">
        <v>3459</v>
      </c>
      <c r="F1126" s="28" t="s">
        <v>1700</v>
      </c>
      <c r="G1126" s="28"/>
    </row>
    <row r="1127" spans="1:7">
      <c r="A1127" s="28">
        <v>1126</v>
      </c>
      <c r="B1127" s="28" t="s">
        <v>2101</v>
      </c>
      <c r="C1127" s="28">
        <v>4134013851</v>
      </c>
      <c r="D1127" s="28" t="s">
        <v>3458</v>
      </c>
      <c r="E1127" s="28" t="s">
        <v>3459</v>
      </c>
      <c r="F1127" s="28" t="s">
        <v>1700</v>
      </c>
      <c r="G1127" s="28"/>
    </row>
    <row r="1128" spans="1:7">
      <c r="A1128" s="28">
        <v>1127</v>
      </c>
      <c r="B1128" s="28" t="s">
        <v>2102</v>
      </c>
      <c r="C1128" s="28">
        <v>4134013852</v>
      </c>
      <c r="D1128" s="28" t="s">
        <v>3458</v>
      </c>
      <c r="E1128" s="28" t="s">
        <v>3472</v>
      </c>
      <c r="F1128" s="28" t="s">
        <v>1700</v>
      </c>
      <c r="G1128" s="28"/>
    </row>
    <row r="1129" spans="1:7">
      <c r="A1129" s="28">
        <v>1128</v>
      </c>
      <c r="B1129" s="28" t="s">
        <v>2992</v>
      </c>
      <c r="C1129" s="28">
        <v>4134014058</v>
      </c>
      <c r="D1129" s="28" t="s">
        <v>3474</v>
      </c>
      <c r="E1129" s="28" t="s">
        <v>3459</v>
      </c>
      <c r="F1129" s="28" t="s">
        <v>1700</v>
      </c>
      <c r="G1129" s="28" t="s">
        <v>1252</v>
      </c>
    </row>
    <row r="1130" spans="1:7">
      <c r="A1130" s="28">
        <v>1129</v>
      </c>
      <c r="B1130" s="28" t="s">
        <v>2103</v>
      </c>
      <c r="C1130" s="28">
        <v>4134014096</v>
      </c>
      <c r="D1130" s="28" t="s">
        <v>3458</v>
      </c>
      <c r="E1130" s="28" t="s">
        <v>3466</v>
      </c>
      <c r="F1130" s="28" t="s">
        <v>1700</v>
      </c>
      <c r="G1130" s="28"/>
    </row>
    <row r="1131" spans="1:7">
      <c r="A1131" s="28">
        <v>1130</v>
      </c>
      <c r="B1131" s="28" t="s">
        <v>2993</v>
      </c>
      <c r="C1131" s="28">
        <v>4134014132</v>
      </c>
      <c r="D1131" s="28" t="s">
        <v>3474</v>
      </c>
      <c r="E1131" s="28" t="s">
        <v>3459</v>
      </c>
      <c r="F1131" s="28" t="s">
        <v>1700</v>
      </c>
      <c r="G1131" s="28" t="s">
        <v>1252</v>
      </c>
    </row>
    <row r="1132" spans="1:7">
      <c r="A1132" s="28">
        <v>1131</v>
      </c>
      <c r="B1132" s="28" t="s">
        <v>2994</v>
      </c>
      <c r="C1132" s="28">
        <v>4134014133</v>
      </c>
      <c r="D1132" s="28" t="s">
        <v>3474</v>
      </c>
      <c r="E1132" s="28" t="s">
        <v>3459</v>
      </c>
      <c r="F1132" s="28" t="s">
        <v>1700</v>
      </c>
      <c r="G1132" s="28" t="s">
        <v>1252</v>
      </c>
    </row>
    <row r="1133" spans="1:7">
      <c r="A1133" s="28">
        <v>1132</v>
      </c>
      <c r="B1133" s="28" t="s">
        <v>2995</v>
      </c>
      <c r="C1133" s="28">
        <v>4134014135</v>
      </c>
      <c r="D1133" s="28" t="s">
        <v>3474</v>
      </c>
      <c r="E1133" s="28" t="s">
        <v>3459</v>
      </c>
      <c r="F1133" s="28" t="s">
        <v>1700</v>
      </c>
      <c r="G1133" s="28" t="s">
        <v>1252</v>
      </c>
    </row>
    <row r="1134" spans="1:7">
      <c r="A1134" s="28">
        <v>1133</v>
      </c>
      <c r="B1134" s="28" t="s">
        <v>2996</v>
      </c>
      <c r="C1134" s="28">
        <v>4134014137</v>
      </c>
      <c r="D1134" s="28" t="s">
        <v>3474</v>
      </c>
      <c r="E1134" s="28" t="s">
        <v>3463</v>
      </c>
      <c r="F1134" s="28" t="s">
        <v>1700</v>
      </c>
      <c r="G1134" s="28" t="s">
        <v>1252</v>
      </c>
    </row>
    <row r="1135" spans="1:7">
      <c r="A1135" s="28">
        <v>1134</v>
      </c>
      <c r="B1135" s="28" t="s">
        <v>2997</v>
      </c>
      <c r="C1135" s="28">
        <v>4134014165</v>
      </c>
      <c r="D1135" s="28" t="s">
        <v>3474</v>
      </c>
      <c r="E1135" s="28" t="s">
        <v>3465</v>
      </c>
      <c r="F1135" s="28" t="s">
        <v>1700</v>
      </c>
      <c r="G1135" s="28" t="s">
        <v>1252</v>
      </c>
    </row>
    <row r="1136" spans="1:7">
      <c r="A1136" s="28">
        <v>1135</v>
      </c>
      <c r="B1136" s="28" t="s">
        <v>2104</v>
      </c>
      <c r="C1136" s="28">
        <v>4134014191</v>
      </c>
      <c r="D1136" s="28" t="s">
        <v>3458</v>
      </c>
      <c r="E1136" s="28" t="s">
        <v>3459</v>
      </c>
      <c r="F1136" s="28" t="s">
        <v>1700</v>
      </c>
      <c r="G1136" s="28"/>
    </row>
    <row r="1137" spans="1:7">
      <c r="A1137" s="28">
        <v>1136</v>
      </c>
      <c r="B1137" s="28" t="s">
        <v>2105</v>
      </c>
      <c r="C1137" s="28">
        <v>4134014192</v>
      </c>
      <c r="D1137" s="28" t="s">
        <v>3458</v>
      </c>
      <c r="E1137" s="28" t="s">
        <v>3460</v>
      </c>
      <c r="F1137" s="28" t="s">
        <v>1700</v>
      </c>
      <c r="G1137" s="28"/>
    </row>
    <row r="1138" spans="1:7">
      <c r="A1138" s="28">
        <v>1137</v>
      </c>
      <c r="B1138" s="28" t="s">
        <v>2998</v>
      </c>
      <c r="C1138" s="28">
        <v>4134014210</v>
      </c>
      <c r="D1138" s="28" t="s">
        <v>3474</v>
      </c>
      <c r="E1138" s="28" t="s">
        <v>3461</v>
      </c>
      <c r="F1138" s="28" t="s">
        <v>1700</v>
      </c>
      <c r="G1138" s="28" t="s">
        <v>1252</v>
      </c>
    </row>
    <row r="1139" spans="1:7">
      <c r="A1139" s="28">
        <v>1138</v>
      </c>
      <c r="B1139" s="28" t="s">
        <v>2999</v>
      </c>
      <c r="C1139" s="28">
        <v>4134014229</v>
      </c>
      <c r="D1139" s="28" t="s">
        <v>3474</v>
      </c>
      <c r="E1139" s="28" t="s">
        <v>3467</v>
      </c>
      <c r="F1139" s="28" t="s">
        <v>1700</v>
      </c>
      <c r="G1139" s="28" t="s">
        <v>1252</v>
      </c>
    </row>
    <row r="1140" spans="1:7">
      <c r="A1140" s="28">
        <v>1139</v>
      </c>
      <c r="B1140" s="28" t="s">
        <v>3000</v>
      </c>
      <c r="C1140" s="28">
        <v>4134014230</v>
      </c>
      <c r="D1140" s="28" t="s">
        <v>3474</v>
      </c>
      <c r="E1140" s="28" t="s">
        <v>3459</v>
      </c>
      <c r="F1140" s="28" t="s">
        <v>1700</v>
      </c>
      <c r="G1140" s="28" t="s">
        <v>1252</v>
      </c>
    </row>
    <row r="1141" spans="1:7">
      <c r="A1141" s="28">
        <v>1140</v>
      </c>
      <c r="B1141" s="28" t="s">
        <v>2106</v>
      </c>
      <c r="C1141" s="28">
        <v>4134014273</v>
      </c>
      <c r="D1141" s="28" t="s">
        <v>3458</v>
      </c>
      <c r="E1141" s="28" t="s">
        <v>3466</v>
      </c>
      <c r="F1141" s="28" t="s">
        <v>1700</v>
      </c>
      <c r="G1141" s="28"/>
    </row>
    <row r="1142" spans="1:7">
      <c r="A1142" s="28">
        <v>1141</v>
      </c>
      <c r="B1142" s="28" t="s">
        <v>2107</v>
      </c>
      <c r="C1142" s="28">
        <v>4134014296</v>
      </c>
      <c r="D1142" s="28" t="s">
        <v>3458</v>
      </c>
      <c r="E1142" s="28" t="s">
        <v>3468</v>
      </c>
      <c r="F1142" s="28" t="s">
        <v>1700</v>
      </c>
      <c r="G1142" s="28"/>
    </row>
    <row r="1143" spans="1:7">
      <c r="A1143" s="28">
        <v>1142</v>
      </c>
      <c r="B1143" s="28" t="s">
        <v>2108</v>
      </c>
      <c r="C1143" s="28">
        <v>4134014297</v>
      </c>
      <c r="D1143" s="28" t="s">
        <v>3458</v>
      </c>
      <c r="E1143" s="28" t="s">
        <v>3470</v>
      </c>
      <c r="F1143" s="28" t="s">
        <v>1700</v>
      </c>
      <c r="G1143" s="28"/>
    </row>
    <row r="1144" spans="1:7">
      <c r="A1144" s="28">
        <v>1143</v>
      </c>
      <c r="B1144" s="28" t="s">
        <v>2109</v>
      </c>
      <c r="C1144" s="28">
        <v>4134014298</v>
      </c>
      <c r="D1144" s="28" t="s">
        <v>3458</v>
      </c>
      <c r="E1144" s="28" t="s">
        <v>3459</v>
      </c>
      <c r="F1144" s="28" t="s">
        <v>1700</v>
      </c>
      <c r="G1144" s="28"/>
    </row>
    <row r="1145" spans="1:7">
      <c r="A1145" s="28">
        <v>1144</v>
      </c>
      <c r="B1145" s="28" t="s">
        <v>2110</v>
      </c>
      <c r="C1145" s="28">
        <v>4134014299</v>
      </c>
      <c r="D1145" s="28" t="s">
        <v>3458</v>
      </c>
      <c r="E1145" s="28" t="s">
        <v>3469</v>
      </c>
      <c r="F1145" s="28" t="s">
        <v>1700</v>
      </c>
      <c r="G1145" s="28"/>
    </row>
    <row r="1146" spans="1:7">
      <c r="A1146" s="28">
        <v>1145</v>
      </c>
      <c r="B1146" s="28" t="s">
        <v>2111</v>
      </c>
      <c r="C1146" s="28">
        <v>4134014330</v>
      </c>
      <c r="D1146" s="28" t="s">
        <v>3458</v>
      </c>
      <c r="E1146" s="28" t="s">
        <v>3459</v>
      </c>
      <c r="F1146" s="28" t="s">
        <v>1700</v>
      </c>
      <c r="G1146" s="28"/>
    </row>
    <row r="1147" spans="1:7">
      <c r="A1147" s="28">
        <v>1146</v>
      </c>
      <c r="B1147" s="28" t="s">
        <v>3001</v>
      </c>
      <c r="C1147" s="28">
        <v>4134014342</v>
      </c>
      <c r="D1147" s="28" t="s">
        <v>3474</v>
      </c>
      <c r="E1147" s="28" t="s">
        <v>3462</v>
      </c>
      <c r="F1147" s="28" t="s">
        <v>1700</v>
      </c>
      <c r="G1147" s="28" t="s">
        <v>1252</v>
      </c>
    </row>
    <row r="1148" spans="1:7">
      <c r="A1148" s="28">
        <v>1147</v>
      </c>
      <c r="B1148" s="28" t="s">
        <v>2112</v>
      </c>
      <c r="C1148" s="28">
        <v>4134014378</v>
      </c>
      <c r="D1148" s="28" t="s">
        <v>3458</v>
      </c>
      <c r="E1148" s="28" t="s">
        <v>3466</v>
      </c>
      <c r="F1148" s="28" t="s">
        <v>1700</v>
      </c>
      <c r="G1148" s="28"/>
    </row>
    <row r="1149" spans="1:7">
      <c r="A1149" s="28">
        <v>1148</v>
      </c>
      <c r="B1149" s="28" t="s">
        <v>2113</v>
      </c>
      <c r="C1149" s="28">
        <v>4134014418</v>
      </c>
      <c r="D1149" s="28" t="s">
        <v>3458</v>
      </c>
      <c r="E1149" s="28" t="s">
        <v>3459</v>
      </c>
      <c r="F1149" s="28" t="s">
        <v>1700</v>
      </c>
      <c r="G1149" s="28"/>
    </row>
    <row r="1150" spans="1:7">
      <c r="A1150" s="28">
        <v>1149</v>
      </c>
      <c r="B1150" s="28" t="s">
        <v>2114</v>
      </c>
      <c r="C1150" s="28">
        <v>4134014419</v>
      </c>
      <c r="D1150" s="28" t="s">
        <v>3458</v>
      </c>
      <c r="E1150" s="28" t="s">
        <v>3475</v>
      </c>
      <c r="F1150" s="28" t="s">
        <v>1700</v>
      </c>
      <c r="G1150" s="28"/>
    </row>
    <row r="1151" spans="1:7">
      <c r="A1151" s="28">
        <v>1150</v>
      </c>
      <c r="B1151" s="28" t="s">
        <v>3002</v>
      </c>
      <c r="C1151" s="28">
        <v>4134014420</v>
      </c>
      <c r="D1151" s="28" t="s">
        <v>3474</v>
      </c>
      <c r="E1151" s="28" t="s">
        <v>3459</v>
      </c>
      <c r="F1151" s="28" t="s">
        <v>1700</v>
      </c>
      <c r="G1151" s="28" t="s">
        <v>1252</v>
      </c>
    </row>
    <row r="1152" spans="1:7">
      <c r="A1152" s="28">
        <v>1151</v>
      </c>
      <c r="B1152" s="28" t="s">
        <v>2115</v>
      </c>
      <c r="C1152" s="28">
        <v>4134014502</v>
      </c>
      <c r="D1152" s="28" t="s">
        <v>3458</v>
      </c>
      <c r="E1152" s="28" t="s">
        <v>3471</v>
      </c>
      <c r="F1152" s="28" t="s">
        <v>1700</v>
      </c>
      <c r="G1152" s="28"/>
    </row>
    <row r="1153" spans="1:7">
      <c r="A1153" s="28">
        <v>1152</v>
      </c>
      <c r="B1153" s="28" t="s">
        <v>2116</v>
      </c>
      <c r="C1153" s="28">
        <v>4134014536</v>
      </c>
      <c r="D1153" s="28" t="s">
        <v>3458</v>
      </c>
      <c r="E1153" s="28" t="s">
        <v>3465</v>
      </c>
      <c r="F1153" s="28" t="s">
        <v>1700</v>
      </c>
      <c r="G1153" s="28"/>
    </row>
    <row r="1154" spans="1:7">
      <c r="A1154" s="28">
        <v>1153</v>
      </c>
      <c r="B1154" s="28" t="s">
        <v>3003</v>
      </c>
      <c r="C1154" s="28">
        <v>4134014704</v>
      </c>
      <c r="D1154" s="28" t="s">
        <v>3474</v>
      </c>
      <c r="E1154" s="28" t="s">
        <v>3468</v>
      </c>
      <c r="F1154" s="28" t="s">
        <v>1700</v>
      </c>
      <c r="G1154" s="28" t="s">
        <v>1252</v>
      </c>
    </row>
    <row r="1155" spans="1:7">
      <c r="A1155" s="28">
        <v>1154</v>
      </c>
      <c r="B1155" s="28" t="s">
        <v>3004</v>
      </c>
      <c r="C1155" s="28">
        <v>4134014747</v>
      </c>
      <c r="D1155" s="28" t="s">
        <v>3474</v>
      </c>
      <c r="E1155" s="28" t="s">
        <v>3471</v>
      </c>
      <c r="F1155" s="28" t="s">
        <v>1700</v>
      </c>
      <c r="G1155" s="28" t="s">
        <v>1252</v>
      </c>
    </row>
    <row r="1156" spans="1:7">
      <c r="A1156" s="28">
        <v>1155</v>
      </c>
      <c r="B1156" s="28" t="s">
        <v>3257</v>
      </c>
      <c r="C1156" s="28">
        <v>4134014842</v>
      </c>
      <c r="D1156" s="28" t="s">
        <v>3474</v>
      </c>
      <c r="E1156" s="28" t="s">
        <v>3462</v>
      </c>
      <c r="F1156" s="28" t="s">
        <v>1700</v>
      </c>
      <c r="G1156" s="28" t="s">
        <v>1252</v>
      </c>
    </row>
    <row r="1157" spans="1:7">
      <c r="A1157" s="28">
        <v>1156</v>
      </c>
      <c r="B1157" s="28" t="s">
        <v>3258</v>
      </c>
      <c r="C1157" s="28">
        <v>4134014843</v>
      </c>
      <c r="D1157" s="28" t="s">
        <v>3474</v>
      </c>
      <c r="E1157" s="28" t="s">
        <v>3462</v>
      </c>
      <c r="F1157" s="28" t="s">
        <v>1700</v>
      </c>
      <c r="G1157" s="28" t="s">
        <v>1252</v>
      </c>
    </row>
    <row r="1158" spans="1:7">
      <c r="A1158" s="28">
        <v>1157</v>
      </c>
      <c r="B1158" s="28" t="s">
        <v>3259</v>
      </c>
      <c r="C1158" s="28">
        <v>4134014844</v>
      </c>
      <c r="D1158" s="28" t="s">
        <v>3474</v>
      </c>
      <c r="E1158" s="28" t="s">
        <v>3463</v>
      </c>
      <c r="F1158" s="28" t="s">
        <v>1700</v>
      </c>
      <c r="G1158" s="28" t="s">
        <v>1252</v>
      </c>
    </row>
    <row r="1159" spans="1:7">
      <c r="A1159" s="28">
        <v>1158</v>
      </c>
      <c r="B1159" s="28" t="s">
        <v>2877</v>
      </c>
      <c r="C1159" s="28">
        <v>4134014917</v>
      </c>
      <c r="D1159" s="28" t="s">
        <v>3458</v>
      </c>
      <c r="E1159" s="28" t="s">
        <v>3469</v>
      </c>
      <c r="F1159" s="28" t="s">
        <v>1700</v>
      </c>
      <c r="G1159" s="28"/>
    </row>
    <row r="1160" spans="1:7">
      <c r="A1160" s="28">
        <v>1159</v>
      </c>
      <c r="B1160" s="28" t="s">
        <v>552</v>
      </c>
      <c r="C1160" s="28">
        <v>4135010384</v>
      </c>
      <c r="D1160" s="28" t="s">
        <v>3309</v>
      </c>
      <c r="E1160" s="28" t="s">
        <v>3478</v>
      </c>
      <c r="F1160" s="28" t="s">
        <v>11</v>
      </c>
      <c r="G1160" s="28"/>
    </row>
    <row r="1161" spans="1:7">
      <c r="A1161" s="28">
        <v>1160</v>
      </c>
      <c r="B1161" s="28" t="s">
        <v>555</v>
      </c>
      <c r="C1161" s="28">
        <v>4135010385</v>
      </c>
      <c r="D1161" s="28" t="s">
        <v>3479</v>
      </c>
      <c r="E1161" s="28" t="s">
        <v>3480</v>
      </c>
      <c r="F1161" s="28" t="s">
        <v>11</v>
      </c>
      <c r="G1161" s="28"/>
    </row>
    <row r="1162" spans="1:7">
      <c r="A1162" s="28">
        <v>1161</v>
      </c>
      <c r="B1162" s="28" t="s">
        <v>557</v>
      </c>
      <c r="C1162" s="28">
        <v>4135010386</v>
      </c>
      <c r="D1162" s="28" t="s">
        <v>3481</v>
      </c>
      <c r="E1162" s="28" t="s">
        <v>3482</v>
      </c>
      <c r="F1162" s="28" t="s">
        <v>11</v>
      </c>
      <c r="G1162" s="28"/>
    </row>
    <row r="1163" spans="1:7">
      <c r="A1163" s="28">
        <v>1162</v>
      </c>
      <c r="B1163" s="28" t="s">
        <v>559</v>
      </c>
      <c r="C1163" s="28">
        <v>4135010388</v>
      </c>
      <c r="D1163" s="28" t="s">
        <v>3481</v>
      </c>
      <c r="E1163" s="28" t="s">
        <v>3482</v>
      </c>
      <c r="F1163" s="28" t="s">
        <v>11</v>
      </c>
      <c r="G1163" s="28"/>
    </row>
    <row r="1164" spans="1:7">
      <c r="A1164" s="28">
        <v>1163</v>
      </c>
      <c r="B1164" s="28" t="s">
        <v>560</v>
      </c>
      <c r="C1164" s="28">
        <v>4135010389</v>
      </c>
      <c r="D1164" s="28" t="s">
        <v>3481</v>
      </c>
      <c r="E1164" s="28" t="s">
        <v>3482</v>
      </c>
      <c r="F1164" s="28" t="s">
        <v>11</v>
      </c>
      <c r="G1164" s="28"/>
    </row>
    <row r="1165" spans="1:7">
      <c r="A1165" s="28">
        <v>1164</v>
      </c>
      <c r="B1165" s="28" t="s">
        <v>561</v>
      </c>
      <c r="C1165" s="28">
        <v>4135010390</v>
      </c>
      <c r="D1165" s="28" t="s">
        <v>3481</v>
      </c>
      <c r="E1165" s="28" t="s">
        <v>3478</v>
      </c>
      <c r="F1165" s="28" t="s">
        <v>11</v>
      </c>
      <c r="G1165" s="28"/>
    </row>
    <row r="1166" spans="1:7">
      <c r="A1166" s="28">
        <v>1165</v>
      </c>
      <c r="B1166" s="28" t="s">
        <v>562</v>
      </c>
      <c r="C1166" s="28">
        <v>4135010392</v>
      </c>
      <c r="D1166" s="28" t="s">
        <v>3481</v>
      </c>
      <c r="E1166" s="28" t="s">
        <v>3482</v>
      </c>
      <c r="F1166" s="28" t="s">
        <v>11</v>
      </c>
      <c r="G1166" s="28"/>
    </row>
    <row r="1167" spans="1:7">
      <c r="A1167" s="28">
        <v>1166</v>
      </c>
      <c r="B1167" s="28" t="s">
        <v>563</v>
      </c>
      <c r="C1167" s="28">
        <v>4135010393</v>
      </c>
      <c r="D1167" s="28" t="s">
        <v>3481</v>
      </c>
      <c r="E1167" s="28" t="s">
        <v>3482</v>
      </c>
      <c r="F1167" s="28" t="s">
        <v>11</v>
      </c>
      <c r="G1167" s="28"/>
    </row>
    <row r="1168" spans="1:7">
      <c r="A1168" s="28">
        <v>1167</v>
      </c>
      <c r="B1168" s="28" t="s">
        <v>564</v>
      </c>
      <c r="C1168" s="28">
        <v>4135010394</v>
      </c>
      <c r="D1168" s="28" t="s">
        <v>3481</v>
      </c>
      <c r="E1168" s="28" t="s">
        <v>3482</v>
      </c>
      <c r="F1168" s="28" t="s">
        <v>11</v>
      </c>
      <c r="G1168" s="28"/>
    </row>
    <row r="1169" spans="1:7">
      <c r="A1169" s="28">
        <v>1168</v>
      </c>
      <c r="B1169" s="28" t="s">
        <v>3483</v>
      </c>
      <c r="C1169" s="28">
        <v>4135010395</v>
      </c>
      <c r="D1169" s="28" t="s">
        <v>3481</v>
      </c>
      <c r="E1169" s="28" t="s">
        <v>3482</v>
      </c>
      <c r="F1169" s="28" t="s">
        <v>11</v>
      </c>
      <c r="G1169" s="28"/>
    </row>
    <row r="1170" spans="1:7">
      <c r="A1170" s="28">
        <v>1169</v>
      </c>
      <c r="B1170" s="28" t="s">
        <v>566</v>
      </c>
      <c r="C1170" s="28">
        <v>4135010397</v>
      </c>
      <c r="D1170" s="28" t="s">
        <v>3481</v>
      </c>
      <c r="E1170" s="28" t="s">
        <v>3484</v>
      </c>
      <c r="F1170" s="28" t="s">
        <v>11</v>
      </c>
      <c r="G1170" s="28"/>
    </row>
    <row r="1171" spans="1:7">
      <c r="A1171" s="28">
        <v>1170</v>
      </c>
      <c r="B1171" s="28" t="s">
        <v>568</v>
      </c>
      <c r="C1171" s="28">
        <v>4135010398</v>
      </c>
      <c r="D1171" s="28" t="s">
        <v>3481</v>
      </c>
      <c r="E1171" s="28" t="s">
        <v>3485</v>
      </c>
      <c r="F1171" s="28" t="s">
        <v>11</v>
      </c>
      <c r="G1171" s="28"/>
    </row>
    <row r="1172" spans="1:7">
      <c r="A1172" s="28">
        <v>1171</v>
      </c>
      <c r="B1172" s="28" t="s">
        <v>570</v>
      </c>
      <c r="C1172" s="28">
        <v>4135010399</v>
      </c>
      <c r="D1172" s="28" t="s">
        <v>3481</v>
      </c>
      <c r="E1172" s="28" t="s">
        <v>3480</v>
      </c>
      <c r="F1172" s="28" t="s">
        <v>11</v>
      </c>
      <c r="G1172" s="28"/>
    </row>
    <row r="1173" spans="1:7">
      <c r="A1173" s="28">
        <v>1172</v>
      </c>
      <c r="B1173" s="28" t="s">
        <v>571</v>
      </c>
      <c r="C1173" s="28">
        <v>4135010402</v>
      </c>
      <c r="D1173" s="28" t="s">
        <v>3481</v>
      </c>
      <c r="E1173" s="28" t="s">
        <v>3486</v>
      </c>
      <c r="F1173" s="28" t="s">
        <v>11</v>
      </c>
      <c r="G1173" s="28"/>
    </row>
    <row r="1174" spans="1:7">
      <c r="A1174" s="28">
        <v>1173</v>
      </c>
      <c r="B1174" s="28" t="s">
        <v>573</v>
      </c>
      <c r="C1174" s="28">
        <v>4135011062</v>
      </c>
      <c r="D1174" s="28" t="s">
        <v>3481</v>
      </c>
      <c r="E1174" s="28" t="s">
        <v>3478</v>
      </c>
      <c r="F1174" s="28" t="s">
        <v>11</v>
      </c>
      <c r="G1174" s="28"/>
    </row>
    <row r="1175" spans="1:7">
      <c r="A1175" s="28">
        <v>1174</v>
      </c>
      <c r="B1175" s="28" t="s">
        <v>574</v>
      </c>
      <c r="C1175" s="28">
        <v>4135011311</v>
      </c>
      <c r="D1175" s="28" t="s">
        <v>3481</v>
      </c>
      <c r="E1175" s="28" t="s">
        <v>3487</v>
      </c>
      <c r="F1175" s="28" t="s">
        <v>11</v>
      </c>
      <c r="G1175" s="28"/>
    </row>
    <row r="1176" spans="1:7">
      <c r="A1176" s="28">
        <v>1175</v>
      </c>
      <c r="B1176" s="28" t="s">
        <v>576</v>
      </c>
      <c r="C1176" s="28">
        <v>4135011312</v>
      </c>
      <c r="D1176" s="28" t="s">
        <v>3481</v>
      </c>
      <c r="E1176" s="28" t="s">
        <v>3488</v>
      </c>
      <c r="F1176" s="28" t="s">
        <v>11</v>
      </c>
      <c r="G1176" s="28"/>
    </row>
    <row r="1177" spans="1:7">
      <c r="A1177" s="28">
        <v>1176</v>
      </c>
      <c r="B1177" s="28" t="s">
        <v>578</v>
      </c>
      <c r="C1177" s="28">
        <v>4135011313</v>
      </c>
      <c r="D1177" s="28" t="s">
        <v>3481</v>
      </c>
      <c r="E1177" s="28" t="s">
        <v>3482</v>
      </c>
      <c r="F1177" s="28" t="s">
        <v>11</v>
      </c>
      <c r="G1177" s="28"/>
    </row>
    <row r="1178" spans="1:7">
      <c r="A1178" s="28">
        <v>1177</v>
      </c>
      <c r="B1178" s="28" t="s">
        <v>579</v>
      </c>
      <c r="C1178" s="28">
        <v>4135011495</v>
      </c>
      <c r="D1178" s="28" t="s">
        <v>3481</v>
      </c>
      <c r="E1178" s="28" t="s">
        <v>3482</v>
      </c>
      <c r="F1178" s="28" t="s">
        <v>11</v>
      </c>
      <c r="G1178" s="28"/>
    </row>
    <row r="1179" spans="1:7">
      <c r="A1179" s="28">
        <v>1178</v>
      </c>
      <c r="B1179" s="28" t="s">
        <v>580</v>
      </c>
      <c r="C1179" s="28">
        <v>4135011498</v>
      </c>
      <c r="D1179" s="28" t="s">
        <v>3481</v>
      </c>
      <c r="E1179" s="28" t="s">
        <v>3489</v>
      </c>
      <c r="F1179" s="28" t="s">
        <v>11</v>
      </c>
      <c r="G1179" s="28"/>
    </row>
    <row r="1180" spans="1:7">
      <c r="A1180" s="28">
        <v>1179</v>
      </c>
      <c r="B1180" s="28" t="s">
        <v>1415</v>
      </c>
      <c r="C1180" s="28">
        <v>4135011784</v>
      </c>
      <c r="D1180" s="28" t="s">
        <v>3490</v>
      </c>
      <c r="E1180" s="28" t="s">
        <v>3480</v>
      </c>
      <c r="F1180" s="28" t="s">
        <v>11</v>
      </c>
      <c r="G1180" s="28" t="s">
        <v>1252</v>
      </c>
    </row>
    <row r="1181" spans="1:7">
      <c r="A1181" s="28">
        <v>1180</v>
      </c>
      <c r="B1181" s="28" t="s">
        <v>582</v>
      </c>
      <c r="C1181" s="28">
        <v>4135012631</v>
      </c>
      <c r="D1181" s="28" t="s">
        <v>3481</v>
      </c>
      <c r="E1181" s="28" t="s">
        <v>3478</v>
      </c>
      <c r="F1181" s="28" t="s">
        <v>11</v>
      </c>
      <c r="G1181" s="28"/>
    </row>
    <row r="1182" spans="1:7">
      <c r="A1182" s="28">
        <v>1181</v>
      </c>
      <c r="B1182" s="28" t="s">
        <v>1416</v>
      </c>
      <c r="C1182" s="28">
        <v>4135012709</v>
      </c>
      <c r="D1182" s="28" t="s">
        <v>3490</v>
      </c>
      <c r="E1182" s="28" t="s">
        <v>3478</v>
      </c>
      <c r="F1182" s="28" t="s">
        <v>11</v>
      </c>
      <c r="G1182" s="28" t="s">
        <v>1252</v>
      </c>
    </row>
    <row r="1183" spans="1:7">
      <c r="A1183" s="28">
        <v>1182</v>
      </c>
      <c r="B1183" s="28" t="s">
        <v>1417</v>
      </c>
      <c r="C1183" s="28">
        <v>4135012710</v>
      </c>
      <c r="D1183" s="28" t="s">
        <v>3490</v>
      </c>
      <c r="E1183" s="28" t="s">
        <v>3480</v>
      </c>
      <c r="F1183" s="28" t="s">
        <v>11</v>
      </c>
      <c r="G1183" s="28" t="s">
        <v>1252</v>
      </c>
    </row>
    <row r="1184" spans="1:7">
      <c r="A1184" s="28">
        <v>1183</v>
      </c>
      <c r="B1184" s="28" t="s">
        <v>1418</v>
      </c>
      <c r="C1184" s="28">
        <v>4135012928</v>
      </c>
      <c r="D1184" s="28" t="s">
        <v>3490</v>
      </c>
      <c r="E1184" s="28" t="s">
        <v>3480</v>
      </c>
      <c r="F1184" s="28" t="s">
        <v>11</v>
      </c>
      <c r="G1184" s="28" t="s">
        <v>1252</v>
      </c>
    </row>
    <row r="1185" spans="1:7">
      <c r="A1185" s="28">
        <v>1184</v>
      </c>
      <c r="B1185" s="28" t="s">
        <v>1419</v>
      </c>
      <c r="C1185" s="28">
        <v>4135012992</v>
      </c>
      <c r="D1185" s="28" t="s">
        <v>3490</v>
      </c>
      <c r="E1185" s="28" t="s">
        <v>3480</v>
      </c>
      <c r="F1185" s="28" t="s">
        <v>11</v>
      </c>
      <c r="G1185" s="28" t="s">
        <v>1252</v>
      </c>
    </row>
    <row r="1186" spans="1:7">
      <c r="A1186" s="28">
        <v>1185</v>
      </c>
      <c r="B1186" s="28" t="s">
        <v>1420</v>
      </c>
      <c r="C1186" s="28">
        <v>4135012993</v>
      </c>
      <c r="D1186" s="28" t="s">
        <v>3490</v>
      </c>
      <c r="E1186" s="28" t="s">
        <v>3482</v>
      </c>
      <c r="F1186" s="28" t="s">
        <v>11</v>
      </c>
      <c r="G1186" s="28" t="s">
        <v>1252</v>
      </c>
    </row>
    <row r="1187" spans="1:7">
      <c r="A1187" s="28">
        <v>1186</v>
      </c>
      <c r="B1187" s="28" t="s">
        <v>1421</v>
      </c>
      <c r="C1187" s="28">
        <v>4135013115</v>
      </c>
      <c r="D1187" s="28" t="s">
        <v>3490</v>
      </c>
      <c r="E1187" s="28" t="s">
        <v>3478</v>
      </c>
      <c r="F1187" s="28" t="s">
        <v>11</v>
      </c>
      <c r="G1187" s="28" t="s">
        <v>1252</v>
      </c>
    </row>
    <row r="1188" spans="1:7">
      <c r="A1188" s="28">
        <v>1187</v>
      </c>
      <c r="B1188" s="28" t="s">
        <v>1422</v>
      </c>
      <c r="C1188" s="28">
        <v>4135013468</v>
      </c>
      <c r="D1188" s="28" t="s">
        <v>3490</v>
      </c>
      <c r="E1188" s="28" t="s">
        <v>3482</v>
      </c>
      <c r="F1188" s="28" t="s">
        <v>11</v>
      </c>
      <c r="G1188" s="28" t="s">
        <v>1252</v>
      </c>
    </row>
    <row r="1189" spans="1:7">
      <c r="A1189" s="28">
        <v>1188</v>
      </c>
      <c r="B1189" s="28" t="s">
        <v>1423</v>
      </c>
      <c r="C1189" s="28">
        <v>4135013469</v>
      </c>
      <c r="D1189" s="28" t="s">
        <v>3490</v>
      </c>
      <c r="E1189" s="28" t="s">
        <v>3486</v>
      </c>
      <c r="F1189" s="28" t="s">
        <v>11</v>
      </c>
      <c r="G1189" s="28" t="s">
        <v>1252</v>
      </c>
    </row>
    <row r="1190" spans="1:7">
      <c r="A1190" s="28">
        <v>1189</v>
      </c>
      <c r="B1190" s="28" t="s">
        <v>1424</v>
      </c>
      <c r="C1190" s="28">
        <v>4135013470</v>
      </c>
      <c r="D1190" s="28" t="s">
        <v>3490</v>
      </c>
      <c r="E1190" s="28" t="s">
        <v>3482</v>
      </c>
      <c r="F1190" s="28" t="s">
        <v>11</v>
      </c>
      <c r="G1190" s="28" t="s">
        <v>1252</v>
      </c>
    </row>
    <row r="1191" spans="1:7">
      <c r="A1191" s="28">
        <v>1190</v>
      </c>
      <c r="B1191" s="28" t="s">
        <v>1425</v>
      </c>
      <c r="C1191" s="28">
        <v>4135013471</v>
      </c>
      <c r="D1191" s="28" t="s">
        <v>3490</v>
      </c>
      <c r="E1191" s="28" t="s">
        <v>3478</v>
      </c>
      <c r="F1191" s="28" t="s">
        <v>11</v>
      </c>
      <c r="G1191" s="28" t="s">
        <v>1252</v>
      </c>
    </row>
    <row r="1192" spans="1:7">
      <c r="A1192" s="28">
        <v>1191</v>
      </c>
      <c r="B1192" s="28" t="s">
        <v>1426</v>
      </c>
      <c r="C1192" s="28">
        <v>4135013472</v>
      </c>
      <c r="D1192" s="28" t="s">
        <v>3490</v>
      </c>
      <c r="E1192" s="28" t="s">
        <v>3482</v>
      </c>
      <c r="F1192" s="28" t="s">
        <v>11</v>
      </c>
      <c r="G1192" s="28" t="s">
        <v>1252</v>
      </c>
    </row>
    <row r="1193" spans="1:7">
      <c r="A1193" s="28">
        <v>1192</v>
      </c>
      <c r="B1193" s="28" t="s">
        <v>1427</v>
      </c>
      <c r="C1193" s="28">
        <v>4135013762</v>
      </c>
      <c r="D1193" s="28" t="s">
        <v>3490</v>
      </c>
      <c r="E1193" s="28" t="s">
        <v>3482</v>
      </c>
      <c r="F1193" s="28" t="s">
        <v>11</v>
      </c>
      <c r="G1193" s="28" t="s">
        <v>1252</v>
      </c>
    </row>
    <row r="1194" spans="1:7">
      <c r="A1194" s="28">
        <v>1193</v>
      </c>
      <c r="B1194" s="28" t="s">
        <v>583</v>
      </c>
      <c r="C1194" s="28">
        <v>4135013763</v>
      </c>
      <c r="D1194" s="28" t="s">
        <v>3481</v>
      </c>
      <c r="E1194" s="28" t="s">
        <v>3482</v>
      </c>
      <c r="F1194" s="28" t="s">
        <v>11</v>
      </c>
      <c r="G1194" s="28"/>
    </row>
    <row r="1195" spans="1:7">
      <c r="A1195" s="28">
        <v>1194</v>
      </c>
      <c r="B1195" s="28" t="s">
        <v>1428</v>
      </c>
      <c r="C1195" s="28">
        <v>4135013766</v>
      </c>
      <c r="D1195" s="28" t="s">
        <v>3490</v>
      </c>
      <c r="E1195" s="28" t="s">
        <v>3480</v>
      </c>
      <c r="F1195" s="28" t="s">
        <v>11</v>
      </c>
      <c r="G1195" s="28" t="s">
        <v>1252</v>
      </c>
    </row>
    <row r="1196" spans="1:7">
      <c r="A1196" s="28">
        <v>1195</v>
      </c>
      <c r="B1196" s="28" t="s">
        <v>1429</v>
      </c>
      <c r="C1196" s="28">
        <v>4135013773</v>
      </c>
      <c r="D1196" s="28" t="s">
        <v>3490</v>
      </c>
      <c r="E1196" s="28" t="s">
        <v>3482</v>
      </c>
      <c r="F1196" s="28" t="s">
        <v>11</v>
      </c>
      <c r="G1196" s="28" t="s">
        <v>1252</v>
      </c>
    </row>
    <row r="1197" spans="1:7">
      <c r="A1197" s="28">
        <v>1196</v>
      </c>
      <c r="B1197" s="28" t="s">
        <v>1430</v>
      </c>
      <c r="C1197" s="28">
        <v>4135014046</v>
      </c>
      <c r="D1197" s="28" t="s">
        <v>3490</v>
      </c>
      <c r="E1197" s="28" t="s">
        <v>3482</v>
      </c>
      <c r="F1197" s="28" t="s">
        <v>11</v>
      </c>
      <c r="G1197" s="28" t="s">
        <v>1252</v>
      </c>
    </row>
    <row r="1198" spans="1:7">
      <c r="A1198" s="28">
        <v>1197</v>
      </c>
      <c r="B1198" s="28" t="s">
        <v>584</v>
      </c>
      <c r="C1198" s="28">
        <v>4135014683</v>
      </c>
      <c r="D1198" s="28" t="s">
        <v>3481</v>
      </c>
      <c r="E1198" s="28" t="s">
        <v>3482</v>
      </c>
      <c r="F1198" s="28" t="s">
        <v>11</v>
      </c>
      <c r="G1198" s="28"/>
    </row>
    <row r="1199" spans="1:7">
      <c r="A1199" s="28">
        <v>1198</v>
      </c>
      <c r="B1199" s="28" t="s">
        <v>1676</v>
      </c>
      <c r="C1199" s="28">
        <v>4135014896</v>
      </c>
      <c r="D1199" s="28" t="s">
        <v>3490</v>
      </c>
      <c r="E1199" s="28" t="s">
        <v>3482</v>
      </c>
      <c r="F1199" s="28" t="s">
        <v>11</v>
      </c>
      <c r="G1199" s="28" t="s">
        <v>1252</v>
      </c>
    </row>
    <row r="1200" spans="1:7">
      <c r="A1200" s="28">
        <v>1199</v>
      </c>
      <c r="B1200" s="28" t="s">
        <v>585</v>
      </c>
      <c r="C1200" s="28">
        <v>4135011317</v>
      </c>
      <c r="D1200" s="28" t="s">
        <v>3481</v>
      </c>
      <c r="E1200" s="28" t="s">
        <v>3480</v>
      </c>
      <c r="F1200" s="28" t="s">
        <v>11</v>
      </c>
      <c r="G1200" s="28"/>
    </row>
    <row r="1201" spans="1:7">
      <c r="A1201" s="28">
        <v>1200</v>
      </c>
      <c r="B1201" s="28" t="s">
        <v>2117</v>
      </c>
      <c r="C1201" s="28">
        <v>4135010866</v>
      </c>
      <c r="D1201" s="28" t="s">
        <v>3481</v>
      </c>
      <c r="E1201" s="28" t="s">
        <v>3482</v>
      </c>
      <c r="F1201" s="28" t="s">
        <v>1700</v>
      </c>
      <c r="G1201" s="28"/>
    </row>
    <row r="1202" spans="1:7">
      <c r="A1202" s="28">
        <v>1201</v>
      </c>
      <c r="B1202" s="28" t="s">
        <v>2118</v>
      </c>
      <c r="C1202" s="28">
        <v>4135011314</v>
      </c>
      <c r="D1202" s="28" t="s">
        <v>3481</v>
      </c>
      <c r="E1202" s="28" t="s">
        <v>3486</v>
      </c>
      <c r="F1202" s="28" t="s">
        <v>1700</v>
      </c>
      <c r="G1202" s="28"/>
    </row>
    <row r="1203" spans="1:7">
      <c r="A1203" s="28">
        <v>1202</v>
      </c>
      <c r="B1203" s="28" t="s">
        <v>2119</v>
      </c>
      <c r="C1203" s="28">
        <v>4135011315</v>
      </c>
      <c r="D1203" s="28" t="s">
        <v>3481</v>
      </c>
      <c r="E1203" s="28" t="s">
        <v>3488</v>
      </c>
      <c r="F1203" s="28" t="s">
        <v>1700</v>
      </c>
      <c r="G1203" s="28"/>
    </row>
    <row r="1204" spans="1:7">
      <c r="A1204" s="28">
        <v>1203</v>
      </c>
      <c r="B1204" s="28" t="s">
        <v>3005</v>
      </c>
      <c r="C1204" s="28">
        <v>4135011499</v>
      </c>
      <c r="D1204" s="28" t="s">
        <v>3490</v>
      </c>
      <c r="E1204" s="28" t="s">
        <v>3482</v>
      </c>
      <c r="F1204" s="28" t="s">
        <v>1700</v>
      </c>
      <c r="G1204" s="28" t="s">
        <v>1252</v>
      </c>
    </row>
    <row r="1205" spans="1:7">
      <c r="A1205" s="28">
        <v>1204</v>
      </c>
      <c r="B1205" s="28" t="s">
        <v>2120</v>
      </c>
      <c r="C1205" s="28">
        <v>4135011502</v>
      </c>
      <c r="D1205" s="28" t="s">
        <v>3481</v>
      </c>
      <c r="E1205" s="28" t="s">
        <v>3482</v>
      </c>
      <c r="F1205" s="28" t="s">
        <v>1700</v>
      </c>
      <c r="G1205" s="28"/>
    </row>
    <row r="1206" spans="1:7">
      <c r="A1206" s="28">
        <v>1205</v>
      </c>
      <c r="B1206" s="28" t="s">
        <v>2121</v>
      </c>
      <c r="C1206" s="28">
        <v>4135012625</v>
      </c>
      <c r="D1206" s="28" t="s">
        <v>3481</v>
      </c>
      <c r="E1206" s="28" t="s">
        <v>3484</v>
      </c>
      <c r="F1206" s="28" t="s">
        <v>1700</v>
      </c>
      <c r="G1206" s="28"/>
    </row>
    <row r="1207" spans="1:7">
      <c r="A1207" s="28">
        <v>1206</v>
      </c>
      <c r="B1207" s="28" t="s">
        <v>2122</v>
      </c>
      <c r="C1207" s="28">
        <v>4135012626</v>
      </c>
      <c r="D1207" s="28" t="s">
        <v>3481</v>
      </c>
      <c r="E1207" s="28" t="s">
        <v>3482</v>
      </c>
      <c r="F1207" s="28" t="s">
        <v>1700</v>
      </c>
      <c r="G1207" s="28"/>
    </row>
    <row r="1208" spans="1:7">
      <c r="A1208" s="28">
        <v>1207</v>
      </c>
      <c r="B1208" s="28" t="s">
        <v>2123</v>
      </c>
      <c r="C1208" s="28">
        <v>4135012627</v>
      </c>
      <c r="D1208" s="28" t="s">
        <v>3481</v>
      </c>
      <c r="E1208" s="28" t="s">
        <v>3487</v>
      </c>
      <c r="F1208" s="28" t="s">
        <v>1700</v>
      </c>
      <c r="G1208" s="28"/>
    </row>
    <row r="1209" spans="1:7">
      <c r="A1209" s="28">
        <v>1208</v>
      </c>
      <c r="B1209" s="28" t="s">
        <v>2124</v>
      </c>
      <c r="C1209" s="28">
        <v>4135012628</v>
      </c>
      <c r="D1209" s="28" t="s">
        <v>3481</v>
      </c>
      <c r="E1209" s="28" t="s">
        <v>3480</v>
      </c>
      <c r="F1209" s="28" t="s">
        <v>1700</v>
      </c>
      <c r="G1209" s="28"/>
    </row>
    <row r="1210" spans="1:7">
      <c r="A1210" s="28">
        <v>1209</v>
      </c>
      <c r="B1210" s="28" t="s">
        <v>2125</v>
      </c>
      <c r="C1210" s="28">
        <v>4135012629</v>
      </c>
      <c r="D1210" s="28" t="s">
        <v>3481</v>
      </c>
      <c r="E1210" s="28" t="s">
        <v>3478</v>
      </c>
      <c r="F1210" s="28" t="s">
        <v>1700</v>
      </c>
      <c r="G1210" s="28"/>
    </row>
    <row r="1211" spans="1:7">
      <c r="A1211" s="28">
        <v>1210</v>
      </c>
      <c r="B1211" s="28" t="s">
        <v>2126</v>
      </c>
      <c r="C1211" s="28">
        <v>4135012630</v>
      </c>
      <c r="D1211" s="28" t="s">
        <v>3481</v>
      </c>
      <c r="E1211" s="28" t="s">
        <v>3482</v>
      </c>
      <c r="F1211" s="28" t="s">
        <v>1700</v>
      </c>
      <c r="G1211" s="28"/>
    </row>
    <row r="1212" spans="1:7">
      <c r="A1212" s="28">
        <v>1211</v>
      </c>
      <c r="B1212" s="28" t="s">
        <v>2127</v>
      </c>
      <c r="C1212" s="28">
        <v>4135012633</v>
      </c>
      <c r="D1212" s="28" t="s">
        <v>3481</v>
      </c>
      <c r="E1212" s="28" t="s">
        <v>3482</v>
      </c>
      <c r="F1212" s="28" t="s">
        <v>1700</v>
      </c>
      <c r="G1212" s="28"/>
    </row>
    <row r="1213" spans="1:7">
      <c r="A1213" s="28">
        <v>1212</v>
      </c>
      <c r="B1213" s="28" t="s">
        <v>2128</v>
      </c>
      <c r="C1213" s="28">
        <v>4135012634</v>
      </c>
      <c r="D1213" s="28" t="s">
        <v>3481</v>
      </c>
      <c r="E1213" s="28" t="s">
        <v>3480</v>
      </c>
      <c r="F1213" s="28" t="s">
        <v>1700</v>
      </c>
      <c r="G1213" s="28"/>
    </row>
    <row r="1214" spans="1:7">
      <c r="A1214" s="28">
        <v>1213</v>
      </c>
      <c r="B1214" s="28" t="s">
        <v>3006</v>
      </c>
      <c r="C1214" s="28">
        <v>4135012708</v>
      </c>
      <c r="D1214" s="28" t="s">
        <v>3490</v>
      </c>
      <c r="E1214" s="28" t="s">
        <v>3482</v>
      </c>
      <c r="F1214" s="28" t="s">
        <v>1700</v>
      </c>
      <c r="G1214" s="28" t="s">
        <v>1252</v>
      </c>
    </row>
    <row r="1215" spans="1:7">
      <c r="A1215" s="28">
        <v>1214</v>
      </c>
      <c r="B1215" s="28" t="s">
        <v>3007</v>
      </c>
      <c r="C1215" s="28">
        <v>4135012711</v>
      </c>
      <c r="D1215" s="28" t="s">
        <v>3490</v>
      </c>
      <c r="E1215" s="28" t="s">
        <v>3480</v>
      </c>
      <c r="F1215" s="28" t="s">
        <v>1700</v>
      </c>
      <c r="G1215" s="28" t="s">
        <v>1252</v>
      </c>
    </row>
    <row r="1216" spans="1:7">
      <c r="A1216" s="28">
        <v>1215</v>
      </c>
      <c r="B1216" s="28" t="s">
        <v>3008</v>
      </c>
      <c r="C1216" s="28">
        <v>4135012927</v>
      </c>
      <c r="D1216" s="28" t="s">
        <v>3490</v>
      </c>
      <c r="E1216" s="28" t="s">
        <v>3480</v>
      </c>
      <c r="F1216" s="28" t="s">
        <v>1700</v>
      </c>
      <c r="G1216" s="28" t="s">
        <v>1252</v>
      </c>
    </row>
    <row r="1217" spans="1:7">
      <c r="A1217" s="28">
        <v>1216</v>
      </c>
      <c r="B1217" s="28" t="s">
        <v>2129</v>
      </c>
      <c r="C1217" s="28">
        <v>4135013764</v>
      </c>
      <c r="D1217" s="28" t="s">
        <v>3481</v>
      </c>
      <c r="E1217" s="28" t="s">
        <v>3484</v>
      </c>
      <c r="F1217" s="28" t="s">
        <v>1700</v>
      </c>
      <c r="G1217" s="28"/>
    </row>
    <row r="1218" spans="1:7">
      <c r="A1218" s="28">
        <v>1217</v>
      </c>
      <c r="B1218" s="28" t="s">
        <v>3009</v>
      </c>
      <c r="C1218" s="28">
        <v>4135013765</v>
      </c>
      <c r="D1218" s="28" t="s">
        <v>3490</v>
      </c>
      <c r="E1218" s="28" t="s">
        <v>3482</v>
      </c>
      <c r="F1218" s="28" t="s">
        <v>1700</v>
      </c>
      <c r="G1218" s="28" t="s">
        <v>1252</v>
      </c>
    </row>
    <row r="1219" spans="1:7">
      <c r="A1219" s="28">
        <v>1218</v>
      </c>
      <c r="B1219" s="28" t="s">
        <v>3010</v>
      </c>
      <c r="C1219" s="28">
        <v>4135013767</v>
      </c>
      <c r="D1219" s="28" t="s">
        <v>3490</v>
      </c>
      <c r="E1219" s="28" t="s">
        <v>3478</v>
      </c>
      <c r="F1219" s="28" t="s">
        <v>1700</v>
      </c>
      <c r="G1219" s="28" t="s">
        <v>1252</v>
      </c>
    </row>
    <row r="1220" spans="1:7">
      <c r="A1220" s="28">
        <v>1219</v>
      </c>
      <c r="B1220" s="28" t="s">
        <v>3011</v>
      </c>
      <c r="C1220" s="28">
        <v>4135013768</v>
      </c>
      <c r="D1220" s="28" t="s">
        <v>3490</v>
      </c>
      <c r="E1220" s="28" t="s">
        <v>3478</v>
      </c>
      <c r="F1220" s="28" t="s">
        <v>1700</v>
      </c>
      <c r="G1220" s="28" t="s">
        <v>1252</v>
      </c>
    </row>
    <row r="1221" spans="1:7">
      <c r="A1221" s="28">
        <v>1220</v>
      </c>
      <c r="B1221" s="28" t="s">
        <v>3012</v>
      </c>
      <c r="C1221" s="28">
        <v>4135013769</v>
      </c>
      <c r="D1221" s="28" t="s">
        <v>3490</v>
      </c>
      <c r="E1221" s="28" t="s">
        <v>3482</v>
      </c>
      <c r="F1221" s="28" t="s">
        <v>1700</v>
      </c>
      <c r="G1221" s="28" t="s">
        <v>1252</v>
      </c>
    </row>
    <row r="1222" spans="1:7">
      <c r="A1222" s="28">
        <v>1221</v>
      </c>
      <c r="B1222" s="28" t="s">
        <v>2130</v>
      </c>
      <c r="C1222" s="28">
        <v>4135013770</v>
      </c>
      <c r="D1222" s="28" t="s">
        <v>3481</v>
      </c>
      <c r="E1222" s="28" t="s">
        <v>3480</v>
      </c>
      <c r="F1222" s="28" t="s">
        <v>1700</v>
      </c>
      <c r="G1222" s="28"/>
    </row>
    <row r="1223" spans="1:7">
      <c r="A1223" s="28">
        <v>1222</v>
      </c>
      <c r="B1223" s="28" t="s">
        <v>2131</v>
      </c>
      <c r="C1223" s="28">
        <v>4135013772</v>
      </c>
      <c r="D1223" s="28" t="s">
        <v>3481</v>
      </c>
      <c r="E1223" s="28" t="s">
        <v>3489</v>
      </c>
      <c r="F1223" s="28" t="s">
        <v>1700</v>
      </c>
      <c r="G1223" s="28"/>
    </row>
    <row r="1224" spans="1:7">
      <c r="A1224" s="28">
        <v>1223</v>
      </c>
      <c r="B1224" s="28" t="s">
        <v>2132</v>
      </c>
      <c r="C1224" s="28">
        <v>4135013969</v>
      </c>
      <c r="D1224" s="28" t="s">
        <v>3481</v>
      </c>
      <c r="E1224" s="28" t="s">
        <v>3482</v>
      </c>
      <c r="F1224" s="28" t="s">
        <v>1700</v>
      </c>
      <c r="G1224" s="28"/>
    </row>
    <row r="1225" spans="1:7">
      <c r="A1225" s="28">
        <v>1224</v>
      </c>
      <c r="B1225" s="28" t="s">
        <v>2133</v>
      </c>
      <c r="C1225" s="28">
        <v>4135013970</v>
      </c>
      <c r="D1225" s="28" t="s">
        <v>3481</v>
      </c>
      <c r="E1225" s="28" t="s">
        <v>3482</v>
      </c>
      <c r="F1225" s="28" t="s">
        <v>1700</v>
      </c>
      <c r="G1225" s="28"/>
    </row>
    <row r="1226" spans="1:7">
      <c r="A1226" s="28">
        <v>1225</v>
      </c>
      <c r="B1226" s="28" t="s">
        <v>2134</v>
      </c>
      <c r="C1226" s="28">
        <v>4135013972</v>
      </c>
      <c r="D1226" s="28" t="s">
        <v>3481</v>
      </c>
      <c r="E1226" s="28" t="s">
        <v>3482</v>
      </c>
      <c r="F1226" s="28" t="s">
        <v>1700</v>
      </c>
      <c r="G1226" s="28"/>
    </row>
    <row r="1227" spans="1:7">
      <c r="A1227" s="28">
        <v>1226</v>
      </c>
      <c r="B1227" s="28" t="s">
        <v>2135</v>
      </c>
      <c r="C1227" s="28">
        <v>4135013973</v>
      </c>
      <c r="D1227" s="28" t="s">
        <v>3481</v>
      </c>
      <c r="E1227" s="28" t="s">
        <v>3478</v>
      </c>
      <c r="F1227" s="28" t="s">
        <v>1700</v>
      </c>
      <c r="G1227" s="28"/>
    </row>
    <row r="1228" spans="1:7">
      <c r="A1228" s="28">
        <v>1227</v>
      </c>
      <c r="B1228" s="28" t="s">
        <v>2136</v>
      </c>
      <c r="C1228" s="28">
        <v>4135013975</v>
      </c>
      <c r="D1228" s="28" t="s">
        <v>3481</v>
      </c>
      <c r="E1228" s="28" t="s">
        <v>3480</v>
      </c>
      <c r="F1228" s="28" t="s">
        <v>1700</v>
      </c>
      <c r="G1228" s="28"/>
    </row>
    <row r="1229" spans="1:7">
      <c r="A1229" s="28">
        <v>1228</v>
      </c>
      <c r="B1229" s="28" t="s">
        <v>2137</v>
      </c>
      <c r="C1229" s="28">
        <v>4135013976</v>
      </c>
      <c r="D1229" s="28" t="s">
        <v>3481</v>
      </c>
      <c r="E1229" s="28" t="s">
        <v>3487</v>
      </c>
      <c r="F1229" s="28" t="s">
        <v>1700</v>
      </c>
      <c r="G1229" s="28"/>
    </row>
    <row r="1230" spans="1:7">
      <c r="A1230" s="28">
        <v>1229</v>
      </c>
      <c r="B1230" s="28" t="s">
        <v>2138</v>
      </c>
      <c r="C1230" s="28">
        <v>4135013977</v>
      </c>
      <c r="D1230" s="28" t="s">
        <v>3481</v>
      </c>
      <c r="E1230" s="28" t="s">
        <v>3485</v>
      </c>
      <c r="F1230" s="28" t="s">
        <v>1700</v>
      </c>
      <c r="G1230" s="28"/>
    </row>
    <row r="1231" spans="1:7">
      <c r="A1231" s="28">
        <v>1230</v>
      </c>
      <c r="B1231" s="28" t="s">
        <v>3013</v>
      </c>
      <c r="C1231" s="28">
        <v>4135013978</v>
      </c>
      <c r="D1231" s="28" t="s">
        <v>3490</v>
      </c>
      <c r="E1231" s="28" t="s">
        <v>3482</v>
      </c>
      <c r="F1231" s="28" t="s">
        <v>1700</v>
      </c>
      <c r="G1231" s="28" t="s">
        <v>1252</v>
      </c>
    </row>
    <row r="1232" spans="1:7">
      <c r="A1232" s="28">
        <v>1231</v>
      </c>
      <c r="B1232" s="28" t="s">
        <v>3014</v>
      </c>
      <c r="C1232" s="28">
        <v>4135013979</v>
      </c>
      <c r="D1232" s="28" t="s">
        <v>3490</v>
      </c>
      <c r="E1232" s="28" t="s">
        <v>3478</v>
      </c>
      <c r="F1232" s="28" t="s">
        <v>1700</v>
      </c>
      <c r="G1232" s="28" t="s">
        <v>1252</v>
      </c>
    </row>
    <row r="1233" spans="1:7">
      <c r="A1233" s="28">
        <v>1232</v>
      </c>
      <c r="B1233" s="28" t="s">
        <v>3015</v>
      </c>
      <c r="C1233" s="28">
        <v>4135014059</v>
      </c>
      <c r="D1233" s="28" t="s">
        <v>3490</v>
      </c>
      <c r="E1233" s="28" t="s">
        <v>3478</v>
      </c>
      <c r="F1233" s="28" t="s">
        <v>1700</v>
      </c>
      <c r="G1233" s="28" t="s">
        <v>1252</v>
      </c>
    </row>
    <row r="1234" spans="1:7">
      <c r="A1234" s="28">
        <v>1233</v>
      </c>
      <c r="B1234" s="28" t="s">
        <v>2139</v>
      </c>
      <c r="C1234" s="28">
        <v>4135014060</v>
      </c>
      <c r="D1234" s="28" t="s">
        <v>3481</v>
      </c>
      <c r="E1234" s="28" t="s">
        <v>3482</v>
      </c>
      <c r="F1234" s="28" t="s">
        <v>1700</v>
      </c>
      <c r="G1234" s="28"/>
    </row>
    <row r="1235" spans="1:7">
      <c r="A1235" s="28">
        <v>1234</v>
      </c>
      <c r="B1235" s="28" t="s">
        <v>2140</v>
      </c>
      <c r="C1235" s="28">
        <v>4135014110</v>
      </c>
      <c r="D1235" s="28" t="s">
        <v>3481</v>
      </c>
      <c r="E1235" s="28" t="s">
        <v>3486</v>
      </c>
      <c r="F1235" s="28" t="s">
        <v>1700</v>
      </c>
      <c r="G1235" s="28"/>
    </row>
    <row r="1236" spans="1:7">
      <c r="A1236" s="28">
        <v>1235</v>
      </c>
      <c r="B1236" s="28" t="s">
        <v>3016</v>
      </c>
      <c r="C1236" s="28">
        <v>4135014111</v>
      </c>
      <c r="D1236" s="28" t="s">
        <v>3490</v>
      </c>
      <c r="E1236" s="28" t="s">
        <v>3478</v>
      </c>
      <c r="F1236" s="28" t="s">
        <v>1700</v>
      </c>
      <c r="G1236" s="28" t="s">
        <v>1252</v>
      </c>
    </row>
    <row r="1237" spans="1:7">
      <c r="A1237" s="28">
        <v>1236</v>
      </c>
      <c r="B1237" s="28" t="s">
        <v>3017</v>
      </c>
      <c r="C1237" s="28">
        <v>4135014112</v>
      </c>
      <c r="D1237" s="28" t="s">
        <v>3490</v>
      </c>
      <c r="E1237" s="28" t="s">
        <v>3478</v>
      </c>
      <c r="F1237" s="28" t="s">
        <v>1700</v>
      </c>
      <c r="G1237" s="28" t="s">
        <v>1252</v>
      </c>
    </row>
    <row r="1238" spans="1:7">
      <c r="A1238" s="28">
        <v>1237</v>
      </c>
      <c r="B1238" s="28" t="s">
        <v>3018</v>
      </c>
      <c r="C1238" s="28">
        <v>4135014113</v>
      </c>
      <c r="D1238" s="28" t="s">
        <v>3490</v>
      </c>
      <c r="E1238" s="28" t="s">
        <v>3486</v>
      </c>
      <c r="F1238" s="28" t="s">
        <v>1700</v>
      </c>
      <c r="G1238" s="28" t="s">
        <v>1252</v>
      </c>
    </row>
    <row r="1239" spans="1:7">
      <c r="A1239" s="28">
        <v>1238</v>
      </c>
      <c r="B1239" s="28" t="s">
        <v>3019</v>
      </c>
      <c r="C1239" s="28">
        <v>4135014115</v>
      </c>
      <c r="D1239" s="28" t="s">
        <v>3490</v>
      </c>
      <c r="E1239" s="28" t="s">
        <v>3486</v>
      </c>
      <c r="F1239" s="28" t="s">
        <v>1700</v>
      </c>
      <c r="G1239" s="28" t="s">
        <v>1252</v>
      </c>
    </row>
    <row r="1240" spans="1:7">
      <c r="A1240" s="28">
        <v>1239</v>
      </c>
      <c r="B1240" s="28" t="s">
        <v>3020</v>
      </c>
      <c r="C1240" s="28">
        <v>4135014116</v>
      </c>
      <c r="D1240" s="28" t="s">
        <v>3490</v>
      </c>
      <c r="E1240" s="28" t="s">
        <v>3484</v>
      </c>
      <c r="F1240" s="28" t="s">
        <v>1700</v>
      </c>
      <c r="G1240" s="28" t="s">
        <v>1252</v>
      </c>
    </row>
    <row r="1241" spans="1:7">
      <c r="A1241" s="28">
        <v>1240</v>
      </c>
      <c r="B1241" s="28" t="s">
        <v>2141</v>
      </c>
      <c r="C1241" s="28">
        <v>4135014117</v>
      </c>
      <c r="D1241" s="28" t="s">
        <v>3481</v>
      </c>
      <c r="E1241" s="28" t="s">
        <v>3486</v>
      </c>
      <c r="F1241" s="28" t="s">
        <v>1700</v>
      </c>
      <c r="G1241" s="28"/>
    </row>
    <row r="1242" spans="1:7">
      <c r="A1242" s="28">
        <v>1241</v>
      </c>
      <c r="B1242" s="28" t="s">
        <v>3021</v>
      </c>
      <c r="C1242" s="28">
        <v>4135014231</v>
      </c>
      <c r="D1242" s="28" t="s">
        <v>3490</v>
      </c>
      <c r="E1242" s="28" t="s">
        <v>3480</v>
      </c>
      <c r="F1242" s="28" t="s">
        <v>1700</v>
      </c>
      <c r="G1242" s="28" t="s">
        <v>1252</v>
      </c>
    </row>
    <row r="1243" spans="1:7">
      <c r="A1243" s="28">
        <v>1242</v>
      </c>
      <c r="B1243" s="28" t="s">
        <v>3022</v>
      </c>
      <c r="C1243" s="28">
        <v>4135014232</v>
      </c>
      <c r="D1243" s="28" t="s">
        <v>3490</v>
      </c>
      <c r="E1243" s="28" t="s">
        <v>3480</v>
      </c>
      <c r="F1243" s="28" t="s">
        <v>1700</v>
      </c>
      <c r="G1243" s="28" t="s">
        <v>1252</v>
      </c>
    </row>
    <row r="1244" spans="1:7">
      <c r="A1244" s="28">
        <v>1243</v>
      </c>
      <c r="B1244" s="28" t="s">
        <v>3023</v>
      </c>
      <c r="C1244" s="28">
        <v>4135014257</v>
      </c>
      <c r="D1244" s="28" t="s">
        <v>3490</v>
      </c>
      <c r="E1244" s="28" t="s">
        <v>3478</v>
      </c>
      <c r="F1244" s="28" t="s">
        <v>1700</v>
      </c>
      <c r="G1244" s="28" t="s">
        <v>1252</v>
      </c>
    </row>
    <row r="1245" spans="1:7">
      <c r="A1245" s="28">
        <v>1244</v>
      </c>
      <c r="B1245" s="28" t="s">
        <v>2142</v>
      </c>
      <c r="C1245" s="28">
        <v>4135014331</v>
      </c>
      <c r="D1245" s="28" t="s">
        <v>3481</v>
      </c>
      <c r="E1245" s="28" t="s">
        <v>3480</v>
      </c>
      <c r="F1245" s="28" t="s">
        <v>1700</v>
      </c>
      <c r="G1245" s="28"/>
    </row>
    <row r="1246" spans="1:7">
      <c r="A1246" s="28">
        <v>1245</v>
      </c>
      <c r="B1246" s="28" t="s">
        <v>2143</v>
      </c>
      <c r="C1246" s="28">
        <v>4135014490</v>
      </c>
      <c r="D1246" s="28" t="s">
        <v>3481</v>
      </c>
      <c r="E1246" s="28" t="s">
        <v>3482</v>
      </c>
      <c r="F1246" s="28" t="s">
        <v>1700</v>
      </c>
      <c r="G1246" s="28"/>
    </row>
    <row r="1247" spans="1:7">
      <c r="A1247" s="28">
        <v>1246</v>
      </c>
      <c r="B1247" s="28" t="s">
        <v>3024</v>
      </c>
      <c r="C1247" s="28">
        <v>4135014503</v>
      </c>
      <c r="D1247" s="28" t="s">
        <v>3490</v>
      </c>
      <c r="E1247" s="28" t="s">
        <v>3480</v>
      </c>
      <c r="F1247" s="28" t="s">
        <v>1700</v>
      </c>
      <c r="G1247" s="28" t="s">
        <v>1252</v>
      </c>
    </row>
    <row r="1248" spans="1:7">
      <c r="A1248" s="28">
        <v>1247</v>
      </c>
      <c r="B1248" s="28" t="s">
        <v>3303</v>
      </c>
      <c r="C1248" s="28">
        <v>4135016411</v>
      </c>
      <c r="D1248" s="28" t="s">
        <v>3490</v>
      </c>
      <c r="E1248" s="28" t="s">
        <v>3482</v>
      </c>
      <c r="F1248" s="28" t="s">
        <v>1700</v>
      </c>
      <c r="G1248" s="28" t="s">
        <v>3424</v>
      </c>
    </row>
    <row r="1249" spans="1:7">
      <c r="A1249" s="28">
        <v>1248</v>
      </c>
      <c r="B1249" s="28" t="s">
        <v>2878</v>
      </c>
      <c r="C1249" s="28">
        <v>4135014918</v>
      </c>
      <c r="D1249" s="28" t="s">
        <v>3481</v>
      </c>
      <c r="E1249" s="28" t="s">
        <v>3478</v>
      </c>
      <c r="F1249" s="28" t="s">
        <v>1700</v>
      </c>
      <c r="G1249" s="28"/>
    </row>
    <row r="1250" spans="1:7">
      <c r="A1250" s="28">
        <v>1249</v>
      </c>
      <c r="B1250" s="28" t="s">
        <v>586</v>
      </c>
      <c r="C1250" s="28">
        <v>4136010403</v>
      </c>
      <c r="D1250" s="28" t="s">
        <v>3491</v>
      </c>
      <c r="E1250" s="28" t="s">
        <v>3492</v>
      </c>
      <c r="F1250" s="28" t="s">
        <v>11</v>
      </c>
      <c r="G1250" s="28"/>
    </row>
    <row r="1251" spans="1:7">
      <c r="A1251" s="28">
        <v>1250</v>
      </c>
      <c r="B1251" s="28" t="s">
        <v>589</v>
      </c>
      <c r="C1251" s="28">
        <v>4136010404</v>
      </c>
      <c r="D1251" s="28" t="s">
        <v>3491</v>
      </c>
      <c r="E1251" s="28" t="s">
        <v>3492</v>
      </c>
      <c r="F1251" s="28" t="s">
        <v>11</v>
      </c>
      <c r="G1251" s="28"/>
    </row>
    <row r="1252" spans="1:7">
      <c r="A1252" s="28">
        <v>1251</v>
      </c>
      <c r="B1252" s="28" t="s">
        <v>590</v>
      </c>
      <c r="C1252" s="28">
        <v>4136010405</v>
      </c>
      <c r="D1252" s="28" t="s">
        <v>3491</v>
      </c>
      <c r="E1252" s="28" t="s">
        <v>3493</v>
      </c>
      <c r="F1252" s="28" t="s">
        <v>11</v>
      </c>
      <c r="G1252" s="28"/>
    </row>
    <row r="1253" spans="1:7">
      <c r="A1253" s="28">
        <v>1252</v>
      </c>
      <c r="B1253" s="28" t="s">
        <v>592</v>
      </c>
      <c r="C1253" s="28">
        <v>4136010406</v>
      </c>
      <c r="D1253" s="28" t="s">
        <v>3491</v>
      </c>
      <c r="E1253" s="28" t="s">
        <v>3492</v>
      </c>
      <c r="F1253" s="28" t="s">
        <v>11</v>
      </c>
      <c r="G1253" s="28"/>
    </row>
    <row r="1254" spans="1:7">
      <c r="A1254" s="28">
        <v>1253</v>
      </c>
      <c r="B1254" s="28" t="s">
        <v>593</v>
      </c>
      <c r="C1254" s="28">
        <v>4136010407</v>
      </c>
      <c r="D1254" s="28" t="s">
        <v>3491</v>
      </c>
      <c r="E1254" s="28" t="s">
        <v>3494</v>
      </c>
      <c r="F1254" s="28" t="s">
        <v>11</v>
      </c>
      <c r="G1254" s="28"/>
    </row>
    <row r="1255" spans="1:7">
      <c r="A1255" s="28">
        <v>1254</v>
      </c>
      <c r="B1255" s="28" t="s">
        <v>595</v>
      </c>
      <c r="C1255" s="28">
        <v>4136010408</v>
      </c>
      <c r="D1255" s="28" t="s">
        <v>3491</v>
      </c>
      <c r="E1255" s="28" t="s">
        <v>3495</v>
      </c>
      <c r="F1255" s="28" t="s">
        <v>11</v>
      </c>
      <c r="G1255" s="28"/>
    </row>
    <row r="1256" spans="1:7">
      <c r="A1256" s="28">
        <v>1255</v>
      </c>
      <c r="B1256" s="28" t="s">
        <v>597</v>
      </c>
      <c r="C1256" s="28">
        <v>4136010410</v>
      </c>
      <c r="D1256" s="28" t="s">
        <v>3491</v>
      </c>
      <c r="E1256" s="28" t="s">
        <v>3492</v>
      </c>
      <c r="F1256" s="28" t="s">
        <v>11</v>
      </c>
      <c r="G1256" s="28"/>
    </row>
    <row r="1257" spans="1:7">
      <c r="A1257" s="28">
        <v>1256</v>
      </c>
      <c r="B1257" s="28" t="s">
        <v>598</v>
      </c>
      <c r="C1257" s="28">
        <v>4136010412</v>
      </c>
      <c r="D1257" s="28" t="s">
        <v>3491</v>
      </c>
      <c r="E1257" s="28" t="s">
        <v>3492</v>
      </c>
      <c r="F1257" s="28" t="s">
        <v>11</v>
      </c>
      <c r="G1257" s="28"/>
    </row>
    <row r="1258" spans="1:7">
      <c r="A1258" s="28">
        <v>1257</v>
      </c>
      <c r="B1258" s="28" t="s">
        <v>599</v>
      </c>
      <c r="C1258" s="28">
        <v>4136010413</v>
      </c>
      <c r="D1258" s="28" t="s">
        <v>3491</v>
      </c>
      <c r="E1258" s="28" t="s">
        <v>3494</v>
      </c>
      <c r="F1258" s="28" t="s">
        <v>11</v>
      </c>
      <c r="G1258" s="28"/>
    </row>
    <row r="1259" spans="1:7">
      <c r="A1259" s="28">
        <v>1258</v>
      </c>
      <c r="B1259" s="28" t="s">
        <v>600</v>
      </c>
      <c r="C1259" s="28">
        <v>4136010414</v>
      </c>
      <c r="D1259" s="28" t="s">
        <v>3491</v>
      </c>
      <c r="E1259" s="28" t="s">
        <v>3492</v>
      </c>
      <c r="F1259" s="28" t="s">
        <v>11</v>
      </c>
      <c r="G1259" s="28"/>
    </row>
    <row r="1260" spans="1:7">
      <c r="A1260" s="28">
        <v>1259</v>
      </c>
      <c r="B1260" s="28" t="s">
        <v>601</v>
      </c>
      <c r="C1260" s="28">
        <v>4136010416</v>
      </c>
      <c r="D1260" s="28" t="s">
        <v>3491</v>
      </c>
      <c r="E1260" s="28" t="s">
        <v>3496</v>
      </c>
      <c r="F1260" s="28" t="s">
        <v>11</v>
      </c>
      <c r="G1260" s="28"/>
    </row>
    <row r="1261" spans="1:7">
      <c r="A1261" s="28">
        <v>1260</v>
      </c>
      <c r="B1261" s="28" t="s">
        <v>603</v>
      </c>
      <c r="C1261" s="28">
        <v>4136010417</v>
      </c>
      <c r="D1261" s="28" t="s">
        <v>3491</v>
      </c>
      <c r="E1261" s="28" t="s">
        <v>3497</v>
      </c>
      <c r="F1261" s="28" t="s">
        <v>11</v>
      </c>
      <c r="G1261" s="28"/>
    </row>
    <row r="1262" spans="1:7">
      <c r="A1262" s="28">
        <v>1261</v>
      </c>
      <c r="B1262" s="28" t="s">
        <v>605</v>
      </c>
      <c r="C1262" s="28">
        <v>4136010418</v>
      </c>
      <c r="D1262" s="28" t="s">
        <v>3491</v>
      </c>
      <c r="E1262" s="28" t="s">
        <v>3494</v>
      </c>
      <c r="F1262" s="28" t="s">
        <v>11</v>
      </c>
      <c r="G1262" s="28"/>
    </row>
    <row r="1263" spans="1:7">
      <c r="A1263" s="28">
        <v>1262</v>
      </c>
      <c r="B1263" s="28" t="s">
        <v>606</v>
      </c>
      <c r="C1263" s="28">
        <v>4136010419</v>
      </c>
      <c r="D1263" s="28" t="s">
        <v>3491</v>
      </c>
      <c r="E1263" s="28" t="s">
        <v>3498</v>
      </c>
      <c r="F1263" s="28" t="s">
        <v>11</v>
      </c>
      <c r="G1263" s="28"/>
    </row>
    <row r="1264" spans="1:7">
      <c r="A1264" s="28">
        <v>1263</v>
      </c>
      <c r="B1264" s="28" t="s">
        <v>608</v>
      </c>
      <c r="C1264" s="28">
        <v>4136010421</v>
      </c>
      <c r="D1264" s="28" t="s">
        <v>3491</v>
      </c>
      <c r="E1264" s="28" t="s">
        <v>3492</v>
      </c>
      <c r="F1264" s="28" t="s">
        <v>11</v>
      </c>
      <c r="G1264" s="28"/>
    </row>
    <row r="1265" spans="1:7">
      <c r="A1265" s="28">
        <v>1264</v>
      </c>
      <c r="B1265" s="28" t="s">
        <v>1431</v>
      </c>
      <c r="C1265" s="28">
        <v>4136010846</v>
      </c>
      <c r="D1265" s="28" t="s">
        <v>3499</v>
      </c>
      <c r="E1265" s="28" t="s">
        <v>3492</v>
      </c>
      <c r="F1265" s="28" t="s">
        <v>11</v>
      </c>
      <c r="G1265" s="28" t="s">
        <v>1252</v>
      </c>
    </row>
    <row r="1266" spans="1:7">
      <c r="A1266" s="28">
        <v>1265</v>
      </c>
      <c r="B1266" s="28" t="s">
        <v>609</v>
      </c>
      <c r="C1266" s="28">
        <v>4136010894</v>
      </c>
      <c r="D1266" s="28" t="s">
        <v>3491</v>
      </c>
      <c r="E1266" s="28" t="s">
        <v>3495</v>
      </c>
      <c r="F1266" s="28" t="s">
        <v>11</v>
      </c>
      <c r="G1266" s="28"/>
    </row>
    <row r="1267" spans="1:7">
      <c r="A1267" s="28">
        <v>1266</v>
      </c>
      <c r="B1267" s="28" t="s">
        <v>610</v>
      </c>
      <c r="C1267" s="28">
        <v>4136010895</v>
      </c>
      <c r="D1267" s="28" t="s">
        <v>3491</v>
      </c>
      <c r="E1267" s="28" t="s">
        <v>3500</v>
      </c>
      <c r="F1267" s="28" t="s">
        <v>11</v>
      </c>
      <c r="G1267" s="28"/>
    </row>
    <row r="1268" spans="1:7">
      <c r="A1268" s="28">
        <v>1267</v>
      </c>
      <c r="B1268" s="28" t="s">
        <v>612</v>
      </c>
      <c r="C1268" s="28">
        <v>4136011318</v>
      </c>
      <c r="D1268" s="28" t="s">
        <v>3491</v>
      </c>
      <c r="E1268" s="28" t="s">
        <v>3492</v>
      </c>
      <c r="F1268" s="28" t="s">
        <v>11</v>
      </c>
      <c r="G1268" s="28"/>
    </row>
    <row r="1269" spans="1:7">
      <c r="A1269" s="28">
        <v>1268</v>
      </c>
      <c r="B1269" s="28" t="s">
        <v>613</v>
      </c>
      <c r="C1269" s="28">
        <v>4136011319</v>
      </c>
      <c r="D1269" s="28" t="s">
        <v>3491</v>
      </c>
      <c r="E1269" s="28" t="s">
        <v>3492</v>
      </c>
      <c r="F1269" s="28" t="s">
        <v>11</v>
      </c>
      <c r="G1269" s="28"/>
    </row>
    <row r="1270" spans="1:7">
      <c r="A1270" s="28">
        <v>1269</v>
      </c>
      <c r="B1270" s="28" t="s">
        <v>614</v>
      </c>
      <c r="C1270" s="28">
        <v>4136011504</v>
      </c>
      <c r="D1270" s="28" t="s">
        <v>3491</v>
      </c>
      <c r="E1270" s="28" t="s">
        <v>3492</v>
      </c>
      <c r="F1270" s="28" t="s">
        <v>11</v>
      </c>
      <c r="G1270" s="28"/>
    </row>
    <row r="1271" spans="1:7">
      <c r="A1271" s="28">
        <v>1270</v>
      </c>
      <c r="B1271" s="28" t="s">
        <v>615</v>
      </c>
      <c r="C1271" s="28">
        <v>4136011508</v>
      </c>
      <c r="D1271" s="28" t="s">
        <v>3491</v>
      </c>
      <c r="E1271" s="28" t="s">
        <v>3501</v>
      </c>
      <c r="F1271" s="28" t="s">
        <v>11</v>
      </c>
      <c r="G1271" s="28"/>
    </row>
    <row r="1272" spans="1:7">
      <c r="A1272" s="28">
        <v>1271</v>
      </c>
      <c r="B1272" s="28" t="s">
        <v>617</v>
      </c>
      <c r="C1272" s="28">
        <v>4136011843</v>
      </c>
      <c r="D1272" s="28" t="s">
        <v>3491</v>
      </c>
      <c r="E1272" s="28" t="s">
        <v>3502</v>
      </c>
      <c r="F1272" s="28" t="s">
        <v>11</v>
      </c>
      <c r="G1272" s="28"/>
    </row>
    <row r="1273" spans="1:7">
      <c r="A1273" s="28">
        <v>1272</v>
      </c>
      <c r="B1273" s="28" t="s">
        <v>1432</v>
      </c>
      <c r="C1273" s="28">
        <v>4136012766</v>
      </c>
      <c r="D1273" s="28" t="s">
        <v>3499</v>
      </c>
      <c r="E1273" s="28" t="s">
        <v>3501</v>
      </c>
      <c r="F1273" s="28" t="s">
        <v>11</v>
      </c>
      <c r="G1273" s="28" t="s">
        <v>1252</v>
      </c>
    </row>
    <row r="1274" spans="1:7">
      <c r="A1274" s="28">
        <v>1273</v>
      </c>
      <c r="B1274" s="28" t="s">
        <v>1433</v>
      </c>
      <c r="C1274" s="28">
        <v>4136012795</v>
      </c>
      <c r="D1274" s="28" t="s">
        <v>3499</v>
      </c>
      <c r="E1274" s="28" t="s">
        <v>3492</v>
      </c>
      <c r="F1274" s="28" t="s">
        <v>11</v>
      </c>
      <c r="G1274" s="28" t="s">
        <v>1252</v>
      </c>
    </row>
    <row r="1275" spans="1:7">
      <c r="A1275" s="28">
        <v>1274</v>
      </c>
      <c r="B1275" s="28" t="s">
        <v>1434</v>
      </c>
      <c r="C1275" s="28">
        <v>4136012938</v>
      </c>
      <c r="D1275" s="28" t="s">
        <v>3499</v>
      </c>
      <c r="E1275" s="28" t="s">
        <v>3492</v>
      </c>
      <c r="F1275" s="28" t="s">
        <v>11</v>
      </c>
      <c r="G1275" s="28" t="s">
        <v>1252</v>
      </c>
    </row>
    <row r="1276" spans="1:7">
      <c r="A1276" s="28">
        <v>1275</v>
      </c>
      <c r="B1276" s="28" t="s">
        <v>1435</v>
      </c>
      <c r="C1276" s="28">
        <v>4136013418</v>
      </c>
      <c r="D1276" s="28" t="s">
        <v>3499</v>
      </c>
      <c r="E1276" s="28" t="s">
        <v>3492</v>
      </c>
      <c r="F1276" s="28" t="s">
        <v>11</v>
      </c>
      <c r="G1276" s="28" t="s">
        <v>1252</v>
      </c>
    </row>
    <row r="1277" spans="1:7">
      <c r="A1277" s="28">
        <v>1276</v>
      </c>
      <c r="B1277" s="28" t="s">
        <v>1436</v>
      </c>
      <c r="C1277" s="28">
        <v>4136013420</v>
      </c>
      <c r="D1277" s="28" t="s">
        <v>3499</v>
      </c>
      <c r="E1277" s="28" t="s">
        <v>3492</v>
      </c>
      <c r="F1277" s="28" t="s">
        <v>11</v>
      </c>
      <c r="G1277" s="28" t="s">
        <v>1252</v>
      </c>
    </row>
    <row r="1278" spans="1:7">
      <c r="A1278" s="28">
        <v>1277</v>
      </c>
      <c r="B1278" s="28" t="s">
        <v>1437</v>
      </c>
      <c r="C1278" s="28">
        <v>4136013421</v>
      </c>
      <c r="D1278" s="28" t="s">
        <v>3499</v>
      </c>
      <c r="E1278" s="28" t="s">
        <v>3492</v>
      </c>
      <c r="F1278" s="28" t="s">
        <v>11</v>
      </c>
      <c r="G1278" s="28" t="s">
        <v>1252</v>
      </c>
    </row>
    <row r="1279" spans="1:7">
      <c r="A1279" s="28">
        <v>1278</v>
      </c>
      <c r="B1279" s="28" t="s">
        <v>1438</v>
      </c>
      <c r="C1279" s="28">
        <v>4136013429</v>
      </c>
      <c r="D1279" s="28" t="s">
        <v>3499</v>
      </c>
      <c r="E1279" s="28" t="s">
        <v>3492</v>
      </c>
      <c r="F1279" s="28" t="s">
        <v>11</v>
      </c>
      <c r="G1279" s="28" t="s">
        <v>1252</v>
      </c>
    </row>
    <row r="1280" spans="1:7">
      <c r="A1280" s="28">
        <v>1279</v>
      </c>
      <c r="B1280" s="28" t="s">
        <v>1439</v>
      </c>
      <c r="C1280" s="28">
        <v>4136013430</v>
      </c>
      <c r="D1280" s="28" t="s">
        <v>3499</v>
      </c>
      <c r="E1280" s="28" t="s">
        <v>3502</v>
      </c>
      <c r="F1280" s="28" t="s">
        <v>11</v>
      </c>
      <c r="G1280" s="28" t="s">
        <v>1252</v>
      </c>
    </row>
    <row r="1281" spans="1:7">
      <c r="A1281" s="28">
        <v>1280</v>
      </c>
      <c r="B1281" s="28" t="s">
        <v>1440</v>
      </c>
      <c r="C1281" s="28">
        <v>4136013431</v>
      </c>
      <c r="D1281" s="28" t="s">
        <v>3499</v>
      </c>
      <c r="E1281" s="28" t="s">
        <v>3492</v>
      </c>
      <c r="F1281" s="28" t="s">
        <v>11</v>
      </c>
      <c r="G1281" s="28" t="s">
        <v>1252</v>
      </c>
    </row>
    <row r="1282" spans="1:7">
      <c r="A1282" s="28">
        <v>1281</v>
      </c>
      <c r="B1282" s="28" t="s">
        <v>619</v>
      </c>
      <c r="C1282" s="28">
        <v>4136013432</v>
      </c>
      <c r="D1282" s="28" t="s">
        <v>3491</v>
      </c>
      <c r="E1282" s="28" t="s">
        <v>3493</v>
      </c>
      <c r="F1282" s="28" t="s">
        <v>11</v>
      </c>
      <c r="G1282" s="28"/>
    </row>
    <row r="1283" spans="1:7">
      <c r="A1283" s="28">
        <v>1282</v>
      </c>
      <c r="B1283" s="28" t="s">
        <v>1441</v>
      </c>
      <c r="C1283" s="28">
        <v>4136013433</v>
      </c>
      <c r="D1283" s="28" t="s">
        <v>3499</v>
      </c>
      <c r="E1283" s="28" t="s">
        <v>3492</v>
      </c>
      <c r="F1283" s="28" t="s">
        <v>11</v>
      </c>
      <c r="G1283" s="28" t="s">
        <v>1252</v>
      </c>
    </row>
    <row r="1284" spans="1:7">
      <c r="A1284" s="28">
        <v>1283</v>
      </c>
      <c r="B1284" s="28" t="s">
        <v>620</v>
      </c>
      <c r="C1284" s="28">
        <v>4136013434</v>
      </c>
      <c r="D1284" s="28" t="s">
        <v>3491</v>
      </c>
      <c r="E1284" s="28" t="s">
        <v>3494</v>
      </c>
      <c r="F1284" s="28" t="s">
        <v>11</v>
      </c>
      <c r="G1284" s="28"/>
    </row>
    <row r="1285" spans="1:7">
      <c r="A1285" s="28">
        <v>1284</v>
      </c>
      <c r="B1285" s="28" t="s">
        <v>1442</v>
      </c>
      <c r="C1285" s="28">
        <v>4136013435</v>
      </c>
      <c r="D1285" s="28" t="s">
        <v>3499</v>
      </c>
      <c r="E1285" s="28" t="s">
        <v>3495</v>
      </c>
      <c r="F1285" s="28" t="s">
        <v>11</v>
      </c>
      <c r="G1285" s="28" t="s">
        <v>1252</v>
      </c>
    </row>
    <row r="1286" spans="1:7">
      <c r="A1286" s="28">
        <v>1285</v>
      </c>
      <c r="B1286" s="28" t="s">
        <v>1443</v>
      </c>
      <c r="C1286" s="28">
        <v>4136013436</v>
      </c>
      <c r="D1286" s="28" t="s">
        <v>3499</v>
      </c>
      <c r="E1286" s="28" t="s">
        <v>3492</v>
      </c>
      <c r="F1286" s="28" t="s">
        <v>11</v>
      </c>
      <c r="G1286" s="28" t="s">
        <v>1252</v>
      </c>
    </row>
    <row r="1287" spans="1:7">
      <c r="A1287" s="28">
        <v>1286</v>
      </c>
      <c r="B1287" s="28" t="s">
        <v>621</v>
      </c>
      <c r="C1287" s="28">
        <v>4136013437</v>
      </c>
      <c r="D1287" s="28" t="s">
        <v>3491</v>
      </c>
      <c r="E1287" s="28" t="s">
        <v>3492</v>
      </c>
      <c r="F1287" s="28" t="s">
        <v>11</v>
      </c>
      <c r="G1287" s="28"/>
    </row>
    <row r="1288" spans="1:7">
      <c r="A1288" s="28">
        <v>1287</v>
      </c>
      <c r="B1288" s="28" t="s">
        <v>1444</v>
      </c>
      <c r="C1288" s="28">
        <v>4136013438</v>
      </c>
      <c r="D1288" s="28" t="s">
        <v>3499</v>
      </c>
      <c r="E1288" s="28" t="s">
        <v>3492</v>
      </c>
      <c r="F1288" s="28" t="s">
        <v>11</v>
      </c>
      <c r="G1288" s="28" t="s">
        <v>1252</v>
      </c>
    </row>
    <row r="1289" spans="1:7">
      <c r="A1289" s="28">
        <v>1288</v>
      </c>
      <c r="B1289" s="28" t="s">
        <v>1445</v>
      </c>
      <c r="C1289" s="28">
        <v>4136013439</v>
      </c>
      <c r="D1289" s="28" t="s">
        <v>3499</v>
      </c>
      <c r="E1289" s="28" t="s">
        <v>3494</v>
      </c>
      <c r="F1289" s="28" t="s">
        <v>11</v>
      </c>
      <c r="G1289" s="28" t="s">
        <v>1252</v>
      </c>
    </row>
    <row r="1290" spans="1:7">
      <c r="A1290" s="28">
        <v>1289</v>
      </c>
      <c r="B1290" s="28" t="s">
        <v>1446</v>
      </c>
      <c r="C1290" s="28">
        <v>4136013440</v>
      </c>
      <c r="D1290" s="28" t="s">
        <v>3499</v>
      </c>
      <c r="E1290" s="28" t="s">
        <v>3492</v>
      </c>
      <c r="F1290" s="28" t="s">
        <v>11</v>
      </c>
      <c r="G1290" s="28" t="s">
        <v>1252</v>
      </c>
    </row>
    <row r="1291" spans="1:7">
      <c r="A1291" s="28">
        <v>1290</v>
      </c>
      <c r="B1291" s="28" t="s">
        <v>1447</v>
      </c>
      <c r="C1291" s="28">
        <v>4136013441</v>
      </c>
      <c r="D1291" s="28" t="s">
        <v>3499</v>
      </c>
      <c r="E1291" s="28" t="s">
        <v>3492</v>
      </c>
      <c r="F1291" s="28" t="s">
        <v>11</v>
      </c>
      <c r="G1291" s="28" t="s">
        <v>1252</v>
      </c>
    </row>
    <row r="1292" spans="1:7">
      <c r="A1292" s="28">
        <v>1291</v>
      </c>
      <c r="B1292" s="28" t="s">
        <v>622</v>
      </c>
      <c r="C1292" s="28">
        <v>4136013774</v>
      </c>
      <c r="D1292" s="28" t="s">
        <v>3491</v>
      </c>
      <c r="E1292" s="28" t="s">
        <v>3492</v>
      </c>
      <c r="F1292" s="28" t="s">
        <v>11</v>
      </c>
      <c r="G1292" s="28"/>
    </row>
    <row r="1293" spans="1:7">
      <c r="A1293" s="28">
        <v>1292</v>
      </c>
      <c r="B1293" s="28" t="s">
        <v>1448</v>
      </c>
      <c r="C1293" s="28">
        <v>4136013776</v>
      </c>
      <c r="D1293" s="28" t="s">
        <v>3499</v>
      </c>
      <c r="E1293" s="28" t="s">
        <v>3492</v>
      </c>
      <c r="F1293" s="28" t="s">
        <v>11</v>
      </c>
      <c r="G1293" s="28" t="s">
        <v>1252</v>
      </c>
    </row>
    <row r="1294" spans="1:7">
      <c r="A1294" s="28">
        <v>1293</v>
      </c>
      <c r="B1294" s="28" t="s">
        <v>623</v>
      </c>
      <c r="C1294" s="28">
        <v>4136014437</v>
      </c>
      <c r="D1294" s="28" t="s">
        <v>3491</v>
      </c>
      <c r="E1294" s="28" t="s">
        <v>3492</v>
      </c>
      <c r="F1294" s="28" t="s">
        <v>11</v>
      </c>
      <c r="G1294" s="28"/>
    </row>
    <row r="1295" spans="1:7">
      <c r="A1295" s="28">
        <v>1294</v>
      </c>
      <c r="B1295" s="28" t="s">
        <v>626</v>
      </c>
      <c r="C1295" s="28">
        <v>4136014839</v>
      </c>
      <c r="D1295" s="28" t="s">
        <v>3491</v>
      </c>
      <c r="E1295" s="28" t="s">
        <v>3492</v>
      </c>
      <c r="F1295" s="28" t="s">
        <v>11</v>
      </c>
      <c r="G1295" s="28"/>
    </row>
    <row r="1296" spans="1:7">
      <c r="A1296" s="28">
        <v>1295</v>
      </c>
      <c r="B1296" s="28" t="s">
        <v>624</v>
      </c>
      <c r="C1296" s="28">
        <v>4136011785</v>
      </c>
      <c r="D1296" s="28" t="s">
        <v>3491</v>
      </c>
      <c r="E1296" s="28" t="s">
        <v>3502</v>
      </c>
      <c r="F1296" s="28" t="s">
        <v>11</v>
      </c>
      <c r="G1296" s="28"/>
    </row>
    <row r="1297" spans="1:7">
      <c r="A1297" s="28">
        <v>1296</v>
      </c>
      <c r="B1297" s="28" t="s">
        <v>625</v>
      </c>
      <c r="C1297" s="28">
        <v>4136013775</v>
      </c>
      <c r="D1297" s="28" t="s">
        <v>3491</v>
      </c>
      <c r="E1297" s="28" t="s">
        <v>3493</v>
      </c>
      <c r="F1297" s="28" t="s">
        <v>11</v>
      </c>
      <c r="G1297" s="28"/>
    </row>
    <row r="1298" spans="1:7">
      <c r="A1298" s="28">
        <v>1297</v>
      </c>
      <c r="B1298" s="28" t="s">
        <v>1450</v>
      </c>
      <c r="C1298" s="28">
        <v>4136014403</v>
      </c>
      <c r="D1298" s="28" t="s">
        <v>3499</v>
      </c>
      <c r="E1298" s="28" t="s">
        <v>3502</v>
      </c>
      <c r="F1298" s="28" t="s">
        <v>11</v>
      </c>
      <c r="G1298" s="28" t="s">
        <v>1252</v>
      </c>
    </row>
    <row r="1299" spans="1:7">
      <c r="A1299" s="28">
        <v>1298</v>
      </c>
      <c r="B1299" s="28" t="s">
        <v>2144</v>
      </c>
      <c r="C1299" s="28">
        <v>3636000312</v>
      </c>
      <c r="D1299" s="28" t="s">
        <v>3491</v>
      </c>
      <c r="E1299" s="28" t="s">
        <v>3496</v>
      </c>
      <c r="F1299" s="28" t="s">
        <v>1700</v>
      </c>
      <c r="G1299" s="28"/>
    </row>
    <row r="1300" spans="1:7">
      <c r="A1300" s="28">
        <v>1299</v>
      </c>
      <c r="B1300" s="28" t="s">
        <v>2145</v>
      </c>
      <c r="C1300" s="28">
        <v>3636000519</v>
      </c>
      <c r="D1300" s="28" t="s">
        <v>3491</v>
      </c>
      <c r="E1300" s="28" t="s">
        <v>3493</v>
      </c>
      <c r="F1300" s="28" t="s">
        <v>1700</v>
      </c>
      <c r="G1300" s="28"/>
    </row>
    <row r="1301" spans="1:7">
      <c r="A1301" s="28">
        <v>1300</v>
      </c>
      <c r="B1301" s="28" t="s">
        <v>2146</v>
      </c>
      <c r="C1301" s="28">
        <v>4136010839</v>
      </c>
      <c r="D1301" s="28" t="s">
        <v>3491</v>
      </c>
      <c r="E1301" s="28" t="s">
        <v>3492</v>
      </c>
      <c r="F1301" s="28" t="s">
        <v>1700</v>
      </c>
      <c r="G1301" s="28"/>
    </row>
    <row r="1302" spans="1:7">
      <c r="A1302" s="28">
        <v>1301</v>
      </c>
      <c r="B1302" s="28" t="s">
        <v>2147</v>
      </c>
      <c r="C1302" s="28">
        <v>4136010888</v>
      </c>
      <c r="D1302" s="28" t="s">
        <v>3491</v>
      </c>
      <c r="E1302" s="28" t="s">
        <v>3496</v>
      </c>
      <c r="F1302" s="28" t="s">
        <v>1700</v>
      </c>
      <c r="G1302" s="28"/>
    </row>
    <row r="1303" spans="1:7">
      <c r="A1303" s="28">
        <v>1302</v>
      </c>
      <c r="B1303" s="28" t="s">
        <v>2148</v>
      </c>
      <c r="C1303" s="28">
        <v>4136011505</v>
      </c>
      <c r="D1303" s="28" t="s">
        <v>3491</v>
      </c>
      <c r="E1303" s="28" t="s">
        <v>3502</v>
      </c>
      <c r="F1303" s="28" t="s">
        <v>1700</v>
      </c>
      <c r="G1303" s="28"/>
    </row>
    <row r="1304" spans="1:7">
      <c r="A1304" s="28">
        <v>1303</v>
      </c>
      <c r="B1304" s="28" t="s">
        <v>2149</v>
      </c>
      <c r="C1304" s="28">
        <v>4136012929</v>
      </c>
      <c r="D1304" s="28" t="s">
        <v>3491</v>
      </c>
      <c r="E1304" s="28" t="s">
        <v>3492</v>
      </c>
      <c r="F1304" s="28" t="s">
        <v>1700</v>
      </c>
      <c r="G1304" s="28"/>
    </row>
    <row r="1305" spans="1:7">
      <c r="A1305" s="28">
        <v>1304</v>
      </c>
      <c r="B1305" s="28" t="s">
        <v>2150</v>
      </c>
      <c r="C1305" s="28">
        <v>4136012930</v>
      </c>
      <c r="D1305" s="28" t="s">
        <v>3491</v>
      </c>
      <c r="E1305" s="28" t="s">
        <v>3495</v>
      </c>
      <c r="F1305" s="28" t="s">
        <v>1700</v>
      </c>
      <c r="G1305" s="28"/>
    </row>
    <row r="1306" spans="1:7">
      <c r="A1306" s="28">
        <v>1305</v>
      </c>
      <c r="B1306" s="28" t="s">
        <v>2151</v>
      </c>
      <c r="C1306" s="28">
        <v>4136012932</v>
      </c>
      <c r="D1306" s="28" t="s">
        <v>3491</v>
      </c>
      <c r="E1306" s="28" t="s">
        <v>3492</v>
      </c>
      <c r="F1306" s="28" t="s">
        <v>1700</v>
      </c>
      <c r="G1306" s="28"/>
    </row>
    <row r="1307" spans="1:7">
      <c r="A1307" s="28">
        <v>1306</v>
      </c>
      <c r="B1307" s="28" t="s">
        <v>2152</v>
      </c>
      <c r="C1307" s="28">
        <v>4136012933</v>
      </c>
      <c r="D1307" s="28" t="s">
        <v>3491</v>
      </c>
      <c r="E1307" s="28" t="s">
        <v>3492</v>
      </c>
      <c r="F1307" s="28" t="s">
        <v>1700</v>
      </c>
      <c r="G1307" s="28"/>
    </row>
    <row r="1308" spans="1:7">
      <c r="A1308" s="28">
        <v>1307</v>
      </c>
      <c r="B1308" s="28" t="s">
        <v>2153</v>
      </c>
      <c r="C1308" s="28">
        <v>4136012934</v>
      </c>
      <c r="D1308" s="28" t="s">
        <v>3491</v>
      </c>
      <c r="E1308" s="28" t="s">
        <v>3494</v>
      </c>
      <c r="F1308" s="28" t="s">
        <v>1700</v>
      </c>
      <c r="G1308" s="28"/>
    </row>
    <row r="1309" spans="1:7">
      <c r="A1309" s="28">
        <v>1308</v>
      </c>
      <c r="B1309" s="28" t="s">
        <v>2154</v>
      </c>
      <c r="C1309" s="28">
        <v>4136012936</v>
      </c>
      <c r="D1309" s="28" t="s">
        <v>3491</v>
      </c>
      <c r="E1309" s="28" t="s">
        <v>3492</v>
      </c>
      <c r="F1309" s="28" t="s">
        <v>1700</v>
      </c>
      <c r="G1309" s="28"/>
    </row>
    <row r="1310" spans="1:7">
      <c r="A1310" s="28">
        <v>1309</v>
      </c>
      <c r="B1310" s="28" t="s">
        <v>2155</v>
      </c>
      <c r="C1310" s="28">
        <v>4136012937</v>
      </c>
      <c r="D1310" s="28" t="s">
        <v>3491</v>
      </c>
      <c r="E1310" s="28" t="s">
        <v>3503</v>
      </c>
      <c r="F1310" s="28" t="s">
        <v>1700</v>
      </c>
      <c r="G1310" s="28"/>
    </row>
    <row r="1311" spans="1:7">
      <c r="A1311" s="28">
        <v>1310</v>
      </c>
      <c r="B1311" s="28" t="s">
        <v>2157</v>
      </c>
      <c r="C1311" s="28">
        <v>4136012939</v>
      </c>
      <c r="D1311" s="28" t="s">
        <v>3491</v>
      </c>
      <c r="E1311" s="28" t="s">
        <v>3492</v>
      </c>
      <c r="F1311" s="28" t="s">
        <v>1700</v>
      </c>
      <c r="G1311" s="28"/>
    </row>
    <row r="1312" spans="1:7">
      <c r="A1312" s="28">
        <v>1311</v>
      </c>
      <c r="B1312" s="28" t="s">
        <v>2158</v>
      </c>
      <c r="C1312" s="28">
        <v>4136012940</v>
      </c>
      <c r="D1312" s="28" t="s">
        <v>3491</v>
      </c>
      <c r="E1312" s="28" t="s">
        <v>3492</v>
      </c>
      <c r="F1312" s="28" t="s">
        <v>1700</v>
      </c>
      <c r="G1312" s="28"/>
    </row>
    <row r="1313" spans="1:7">
      <c r="A1313" s="28">
        <v>1312</v>
      </c>
      <c r="B1313" s="28" t="s">
        <v>2159</v>
      </c>
      <c r="C1313" s="28">
        <v>4136012941</v>
      </c>
      <c r="D1313" s="28" t="s">
        <v>3491</v>
      </c>
      <c r="E1313" s="28" t="s">
        <v>3502</v>
      </c>
      <c r="F1313" s="28" t="s">
        <v>1700</v>
      </c>
      <c r="G1313" s="28"/>
    </row>
    <row r="1314" spans="1:7">
      <c r="A1314" s="28">
        <v>1313</v>
      </c>
      <c r="B1314" s="28" t="s">
        <v>2160</v>
      </c>
      <c r="C1314" s="28">
        <v>4136012942</v>
      </c>
      <c r="D1314" s="28" t="s">
        <v>3491</v>
      </c>
      <c r="E1314" s="28" t="s">
        <v>3494</v>
      </c>
      <c r="F1314" s="28" t="s">
        <v>1700</v>
      </c>
      <c r="G1314" s="28"/>
    </row>
    <row r="1315" spans="1:7">
      <c r="A1315" s="28">
        <v>1314</v>
      </c>
      <c r="B1315" s="28" t="s">
        <v>2161</v>
      </c>
      <c r="C1315" s="28">
        <v>4136012943</v>
      </c>
      <c r="D1315" s="28" t="s">
        <v>3491</v>
      </c>
      <c r="E1315" s="28" t="s">
        <v>3492</v>
      </c>
      <c r="F1315" s="28" t="s">
        <v>1700</v>
      </c>
      <c r="G1315" s="28"/>
    </row>
    <row r="1316" spans="1:7">
      <c r="A1316" s="28">
        <v>1315</v>
      </c>
      <c r="B1316" s="28" t="s">
        <v>2162</v>
      </c>
      <c r="C1316" s="28">
        <v>4136012944</v>
      </c>
      <c r="D1316" s="28" t="s">
        <v>3491</v>
      </c>
      <c r="E1316" s="28" t="s">
        <v>3500</v>
      </c>
      <c r="F1316" s="28" t="s">
        <v>1700</v>
      </c>
      <c r="G1316" s="28"/>
    </row>
    <row r="1317" spans="1:7">
      <c r="A1317" s="28">
        <v>1316</v>
      </c>
      <c r="B1317" s="28" t="s">
        <v>2163</v>
      </c>
      <c r="C1317" s="28">
        <v>4136012976</v>
      </c>
      <c r="D1317" s="28" t="s">
        <v>3491</v>
      </c>
      <c r="E1317" s="28" t="s">
        <v>3492</v>
      </c>
      <c r="F1317" s="28" t="s">
        <v>1700</v>
      </c>
      <c r="G1317" s="28"/>
    </row>
    <row r="1318" spans="1:7">
      <c r="A1318" s="28">
        <v>1317</v>
      </c>
      <c r="B1318" s="28" t="s">
        <v>3025</v>
      </c>
      <c r="C1318" s="28">
        <v>4136013419</v>
      </c>
      <c r="D1318" s="28" t="s">
        <v>3499</v>
      </c>
      <c r="E1318" s="28" t="s">
        <v>3492</v>
      </c>
      <c r="F1318" s="28" t="s">
        <v>1700</v>
      </c>
      <c r="G1318" s="28" t="s">
        <v>1252</v>
      </c>
    </row>
    <row r="1319" spans="1:7">
      <c r="A1319" s="28">
        <v>1318</v>
      </c>
      <c r="B1319" s="28" t="s">
        <v>2164</v>
      </c>
      <c r="C1319" s="28">
        <v>4136013422</v>
      </c>
      <c r="D1319" s="28" t="s">
        <v>3491</v>
      </c>
      <c r="E1319" s="28" t="s">
        <v>3492</v>
      </c>
      <c r="F1319" s="28" t="s">
        <v>1700</v>
      </c>
      <c r="G1319" s="28"/>
    </row>
    <row r="1320" spans="1:7">
      <c r="A1320" s="28">
        <v>1319</v>
      </c>
      <c r="B1320" s="28" t="s">
        <v>2165</v>
      </c>
      <c r="C1320" s="28">
        <v>4136013423</v>
      </c>
      <c r="D1320" s="28" t="s">
        <v>3491</v>
      </c>
      <c r="E1320" s="28" t="s">
        <v>3492</v>
      </c>
      <c r="F1320" s="28" t="s">
        <v>1700</v>
      </c>
      <c r="G1320" s="28"/>
    </row>
    <row r="1321" spans="1:7">
      <c r="A1321" s="28">
        <v>1320</v>
      </c>
      <c r="B1321" s="28" t="s">
        <v>2166</v>
      </c>
      <c r="C1321" s="28">
        <v>4136013424</v>
      </c>
      <c r="D1321" s="28" t="s">
        <v>3491</v>
      </c>
      <c r="E1321" s="28" t="s">
        <v>3497</v>
      </c>
      <c r="F1321" s="28" t="s">
        <v>1700</v>
      </c>
      <c r="G1321" s="28"/>
    </row>
    <row r="1322" spans="1:7">
      <c r="A1322" s="28">
        <v>1321</v>
      </c>
      <c r="B1322" s="28" t="s">
        <v>2167</v>
      </c>
      <c r="C1322" s="28">
        <v>4136013425</v>
      </c>
      <c r="D1322" s="28" t="s">
        <v>3491</v>
      </c>
      <c r="E1322" s="28" t="s">
        <v>3500</v>
      </c>
      <c r="F1322" s="28" t="s">
        <v>1700</v>
      </c>
      <c r="G1322" s="28"/>
    </row>
    <row r="1323" spans="1:7">
      <c r="A1323" s="28">
        <v>1322</v>
      </c>
      <c r="B1323" s="28" t="s">
        <v>2168</v>
      </c>
      <c r="C1323" s="28">
        <v>4136013426</v>
      </c>
      <c r="D1323" s="28" t="s">
        <v>3491</v>
      </c>
      <c r="E1323" s="28" t="s">
        <v>3492</v>
      </c>
      <c r="F1323" s="28" t="s">
        <v>1700</v>
      </c>
      <c r="G1323" s="28"/>
    </row>
    <row r="1324" spans="1:7">
      <c r="A1324" s="28">
        <v>1323</v>
      </c>
      <c r="B1324" s="28" t="s">
        <v>2169</v>
      </c>
      <c r="C1324" s="28">
        <v>4136013427</v>
      </c>
      <c r="D1324" s="28" t="s">
        <v>3491</v>
      </c>
      <c r="E1324" s="28" t="s">
        <v>3492</v>
      </c>
      <c r="F1324" s="28" t="s">
        <v>1700</v>
      </c>
      <c r="G1324" s="28"/>
    </row>
    <row r="1325" spans="1:7">
      <c r="A1325" s="28">
        <v>1324</v>
      </c>
      <c r="B1325" s="28" t="s">
        <v>2170</v>
      </c>
      <c r="C1325" s="28">
        <v>4136013428</v>
      </c>
      <c r="D1325" s="28" t="s">
        <v>3491</v>
      </c>
      <c r="E1325" s="28" t="s">
        <v>3493</v>
      </c>
      <c r="F1325" s="28" t="s">
        <v>1700</v>
      </c>
      <c r="G1325" s="28"/>
    </row>
    <row r="1326" spans="1:7">
      <c r="A1326" s="28">
        <v>1325</v>
      </c>
      <c r="B1326" s="28" t="s">
        <v>3504</v>
      </c>
      <c r="C1326" s="28">
        <v>4136013866</v>
      </c>
      <c r="D1326" s="28" t="s">
        <v>3491</v>
      </c>
      <c r="E1326" s="28" t="s">
        <v>3492</v>
      </c>
      <c r="F1326" s="28" t="s">
        <v>1700</v>
      </c>
      <c r="G1326" s="28"/>
    </row>
    <row r="1327" spans="1:7">
      <c r="A1327" s="28">
        <v>1326</v>
      </c>
      <c r="B1327" s="28" t="s">
        <v>2171</v>
      </c>
      <c r="C1327" s="28">
        <v>4136013867</v>
      </c>
      <c r="D1327" s="28" t="s">
        <v>3491</v>
      </c>
      <c r="E1327" s="28" t="s">
        <v>3492</v>
      </c>
      <c r="F1327" s="28" t="s">
        <v>1700</v>
      </c>
      <c r="G1327" s="28"/>
    </row>
    <row r="1328" spans="1:7">
      <c r="A1328" s="28">
        <v>1327</v>
      </c>
      <c r="B1328" s="28" t="s">
        <v>2172</v>
      </c>
      <c r="C1328" s="28">
        <v>4136013868</v>
      </c>
      <c r="D1328" s="28" t="s">
        <v>3491</v>
      </c>
      <c r="E1328" s="28" t="s">
        <v>3492</v>
      </c>
      <c r="F1328" s="28" t="s">
        <v>1700</v>
      </c>
      <c r="G1328" s="28"/>
    </row>
    <row r="1329" spans="1:7">
      <c r="A1329" s="28">
        <v>1328</v>
      </c>
      <c r="B1329" s="28" t="s">
        <v>2173</v>
      </c>
      <c r="C1329" s="28">
        <v>4136013869</v>
      </c>
      <c r="D1329" s="28" t="s">
        <v>3491</v>
      </c>
      <c r="E1329" s="28" t="s">
        <v>3492</v>
      </c>
      <c r="F1329" s="28" t="s">
        <v>1700</v>
      </c>
      <c r="G1329" s="28"/>
    </row>
    <row r="1330" spans="1:7">
      <c r="A1330" s="28">
        <v>1329</v>
      </c>
      <c r="B1330" s="28" t="s">
        <v>2174</v>
      </c>
      <c r="C1330" s="28">
        <v>4136013870</v>
      </c>
      <c r="D1330" s="28" t="s">
        <v>3491</v>
      </c>
      <c r="E1330" s="28" t="s">
        <v>3496</v>
      </c>
      <c r="F1330" s="28" t="s">
        <v>1700</v>
      </c>
      <c r="G1330" s="28"/>
    </row>
    <row r="1331" spans="1:7">
      <c r="A1331" s="28">
        <v>1330</v>
      </c>
      <c r="B1331" s="28" t="s">
        <v>3026</v>
      </c>
      <c r="C1331" s="28">
        <v>4136013871</v>
      </c>
      <c r="D1331" s="28" t="s">
        <v>3499</v>
      </c>
      <c r="E1331" s="28" t="s">
        <v>3492</v>
      </c>
      <c r="F1331" s="28" t="s">
        <v>1700</v>
      </c>
      <c r="G1331" s="28" t="s">
        <v>1252</v>
      </c>
    </row>
    <row r="1332" spans="1:7">
      <c r="A1332" s="28">
        <v>1331</v>
      </c>
      <c r="B1332" s="28" t="s">
        <v>2175</v>
      </c>
      <c r="C1332" s="28">
        <v>4136013872</v>
      </c>
      <c r="D1332" s="28" t="s">
        <v>3491</v>
      </c>
      <c r="E1332" s="28" t="s">
        <v>3497</v>
      </c>
      <c r="F1332" s="28" t="s">
        <v>1700</v>
      </c>
      <c r="G1332" s="28"/>
    </row>
    <row r="1333" spans="1:7">
      <c r="A1333" s="28">
        <v>1332</v>
      </c>
      <c r="B1333" s="28" t="s">
        <v>3027</v>
      </c>
      <c r="C1333" s="28">
        <v>4136013873</v>
      </c>
      <c r="D1333" s="28" t="s">
        <v>3499</v>
      </c>
      <c r="E1333" s="28" t="s">
        <v>3501</v>
      </c>
      <c r="F1333" s="28" t="s">
        <v>1700</v>
      </c>
      <c r="G1333" s="28" t="s">
        <v>1252</v>
      </c>
    </row>
    <row r="1334" spans="1:7">
      <c r="A1334" s="28">
        <v>1333</v>
      </c>
      <c r="B1334" s="28" t="s">
        <v>2176</v>
      </c>
      <c r="C1334" s="28">
        <v>4136013965</v>
      </c>
      <c r="D1334" s="28" t="s">
        <v>3491</v>
      </c>
      <c r="E1334" s="28" t="s">
        <v>3492</v>
      </c>
      <c r="F1334" s="28" t="s">
        <v>1700</v>
      </c>
      <c r="G1334" s="28"/>
    </row>
    <row r="1335" spans="1:7">
      <c r="A1335" s="28">
        <v>1334</v>
      </c>
      <c r="B1335" s="28" t="s">
        <v>3028</v>
      </c>
      <c r="C1335" s="28">
        <v>4136014166</v>
      </c>
      <c r="D1335" s="28" t="s">
        <v>3499</v>
      </c>
      <c r="E1335" s="28" t="s">
        <v>3501</v>
      </c>
      <c r="F1335" s="28" t="s">
        <v>1700</v>
      </c>
      <c r="G1335" s="28" t="s">
        <v>1252</v>
      </c>
    </row>
    <row r="1336" spans="1:7">
      <c r="A1336" s="28">
        <v>1335</v>
      </c>
      <c r="B1336" s="28" t="s">
        <v>3029</v>
      </c>
      <c r="C1336" s="28">
        <v>4136014167</v>
      </c>
      <c r="D1336" s="28" t="s">
        <v>3499</v>
      </c>
      <c r="E1336" s="28" t="s">
        <v>3502</v>
      </c>
      <c r="F1336" s="28" t="s">
        <v>1700</v>
      </c>
      <c r="G1336" s="28" t="s">
        <v>1252</v>
      </c>
    </row>
    <row r="1337" spans="1:7">
      <c r="A1337" s="28">
        <v>1336</v>
      </c>
      <c r="B1337" s="28" t="s">
        <v>3505</v>
      </c>
      <c r="C1337" s="28">
        <v>4136014168</v>
      </c>
      <c r="D1337" s="28" t="s">
        <v>3499</v>
      </c>
      <c r="E1337" s="28" t="s">
        <v>3492</v>
      </c>
      <c r="F1337" s="28" t="s">
        <v>1700</v>
      </c>
      <c r="G1337" s="28" t="s">
        <v>1252</v>
      </c>
    </row>
    <row r="1338" spans="1:7">
      <c r="A1338" s="28">
        <v>1337</v>
      </c>
      <c r="B1338" s="28" t="s">
        <v>2177</v>
      </c>
      <c r="C1338" s="28">
        <v>4136014241</v>
      </c>
      <c r="D1338" s="28" t="s">
        <v>3491</v>
      </c>
      <c r="E1338" s="28" t="s">
        <v>3501</v>
      </c>
      <c r="F1338" s="28" t="s">
        <v>1700</v>
      </c>
      <c r="G1338" s="28"/>
    </row>
    <row r="1339" spans="1:7">
      <c r="A1339" s="28">
        <v>1338</v>
      </c>
      <c r="B1339" s="28" t="s">
        <v>2178</v>
      </c>
      <c r="C1339" s="28">
        <v>4136014249</v>
      </c>
      <c r="D1339" s="28" t="s">
        <v>3491</v>
      </c>
      <c r="E1339" s="28" t="s">
        <v>3492</v>
      </c>
      <c r="F1339" s="28" t="s">
        <v>1700</v>
      </c>
      <c r="G1339" s="28"/>
    </row>
    <row r="1340" spans="1:7">
      <c r="A1340" s="28">
        <v>1339</v>
      </c>
      <c r="B1340" s="28" t="s">
        <v>2179</v>
      </c>
      <c r="C1340" s="28">
        <v>4136014250</v>
      </c>
      <c r="D1340" s="28" t="s">
        <v>3491</v>
      </c>
      <c r="E1340" s="28" t="s">
        <v>3492</v>
      </c>
      <c r="F1340" s="28" t="s">
        <v>1700</v>
      </c>
      <c r="G1340" s="28"/>
    </row>
    <row r="1341" spans="1:7">
      <c r="A1341" s="28">
        <v>1340</v>
      </c>
      <c r="B1341" s="28" t="s">
        <v>3030</v>
      </c>
      <c r="C1341" s="28">
        <v>4136014321</v>
      </c>
      <c r="D1341" s="28" t="s">
        <v>3499</v>
      </c>
      <c r="E1341" s="28" t="s">
        <v>3492</v>
      </c>
      <c r="F1341" s="28" t="s">
        <v>1700</v>
      </c>
      <c r="G1341" s="28" t="s">
        <v>1252</v>
      </c>
    </row>
    <row r="1342" spans="1:7">
      <c r="A1342" s="28">
        <v>1341</v>
      </c>
      <c r="B1342" s="28" t="s">
        <v>3031</v>
      </c>
      <c r="C1342" s="28">
        <v>4136014402</v>
      </c>
      <c r="D1342" s="28" t="s">
        <v>3499</v>
      </c>
      <c r="E1342" s="28" t="s">
        <v>3495</v>
      </c>
      <c r="F1342" s="28" t="s">
        <v>1700</v>
      </c>
      <c r="G1342" s="28" t="s">
        <v>1252</v>
      </c>
    </row>
    <row r="1343" spans="1:7">
      <c r="A1343" s="28">
        <v>1342</v>
      </c>
      <c r="B1343" s="28" t="s">
        <v>2180</v>
      </c>
      <c r="C1343" s="28">
        <v>4136014465</v>
      </c>
      <c r="D1343" s="28" t="s">
        <v>3491</v>
      </c>
      <c r="E1343" s="28" t="s">
        <v>3494</v>
      </c>
      <c r="F1343" s="28" t="s">
        <v>1700</v>
      </c>
      <c r="G1343" s="28"/>
    </row>
    <row r="1344" spans="1:7">
      <c r="A1344" s="28">
        <v>1343</v>
      </c>
      <c r="B1344" s="28" t="s">
        <v>2181</v>
      </c>
      <c r="C1344" s="28">
        <v>4136014476</v>
      </c>
      <c r="D1344" s="28" t="s">
        <v>3491</v>
      </c>
      <c r="E1344" s="28" t="s">
        <v>3492</v>
      </c>
      <c r="F1344" s="28" t="s">
        <v>1700</v>
      </c>
      <c r="G1344" s="28"/>
    </row>
    <row r="1345" spans="1:7">
      <c r="A1345" s="28">
        <v>1344</v>
      </c>
      <c r="B1345" s="28" t="s">
        <v>2182</v>
      </c>
      <c r="C1345" s="28">
        <v>4136014494</v>
      </c>
      <c r="D1345" s="28" t="s">
        <v>3491</v>
      </c>
      <c r="E1345" s="28" t="s">
        <v>3497</v>
      </c>
      <c r="F1345" s="28" t="s">
        <v>1700</v>
      </c>
      <c r="G1345" s="28"/>
    </row>
    <row r="1346" spans="1:7">
      <c r="A1346" s="28">
        <v>1345</v>
      </c>
      <c r="B1346" s="28" t="s">
        <v>2183</v>
      </c>
      <c r="C1346" s="28">
        <v>4136014504</v>
      </c>
      <c r="D1346" s="28" t="s">
        <v>3491</v>
      </c>
      <c r="E1346" s="28" t="s">
        <v>3498</v>
      </c>
      <c r="F1346" s="28" t="s">
        <v>1700</v>
      </c>
      <c r="G1346" s="28"/>
    </row>
    <row r="1347" spans="1:7">
      <c r="A1347" s="28">
        <v>1346</v>
      </c>
      <c r="B1347" s="28" t="s">
        <v>3032</v>
      </c>
      <c r="C1347" s="28">
        <v>4136014505</v>
      </c>
      <c r="D1347" s="28" t="s">
        <v>3499</v>
      </c>
      <c r="E1347" s="28" t="s">
        <v>3497</v>
      </c>
      <c r="F1347" s="28" t="s">
        <v>1700</v>
      </c>
      <c r="G1347" s="28" t="s">
        <v>1252</v>
      </c>
    </row>
    <row r="1348" spans="1:7">
      <c r="A1348" s="28">
        <v>1347</v>
      </c>
      <c r="B1348" s="28" t="s">
        <v>2184</v>
      </c>
      <c r="C1348" s="28">
        <v>4136014537</v>
      </c>
      <c r="D1348" s="28" t="s">
        <v>3506</v>
      </c>
      <c r="E1348" s="28" t="s">
        <v>3503</v>
      </c>
      <c r="F1348" s="28" t="s">
        <v>1700</v>
      </c>
      <c r="G1348" s="28"/>
    </row>
    <row r="1349" spans="1:7">
      <c r="A1349" s="28">
        <v>1348</v>
      </c>
      <c r="B1349" s="28" t="s">
        <v>3033</v>
      </c>
      <c r="C1349" s="28">
        <v>4136014544</v>
      </c>
      <c r="D1349" s="28" t="s">
        <v>3499</v>
      </c>
      <c r="E1349" s="28" t="s">
        <v>3492</v>
      </c>
      <c r="F1349" s="28" t="s">
        <v>1700</v>
      </c>
      <c r="G1349" s="28" t="s">
        <v>1252</v>
      </c>
    </row>
    <row r="1350" spans="1:7">
      <c r="A1350" s="28">
        <v>1349</v>
      </c>
      <c r="B1350" s="28" t="s">
        <v>2185</v>
      </c>
      <c r="C1350" s="28">
        <v>4136014569</v>
      </c>
      <c r="D1350" s="28" t="s">
        <v>3491</v>
      </c>
      <c r="E1350" s="28" t="s">
        <v>3494</v>
      </c>
      <c r="F1350" s="28" t="s">
        <v>1700</v>
      </c>
      <c r="G1350" s="28"/>
    </row>
    <row r="1351" spans="1:7">
      <c r="A1351" s="28">
        <v>1350</v>
      </c>
      <c r="B1351" s="28" t="s">
        <v>2186</v>
      </c>
      <c r="C1351" s="28">
        <v>4136014656</v>
      </c>
      <c r="D1351" s="28" t="s">
        <v>3491</v>
      </c>
      <c r="E1351" s="28" t="s">
        <v>3500</v>
      </c>
      <c r="F1351" s="28" t="s">
        <v>1700</v>
      </c>
      <c r="G1351" s="28"/>
    </row>
    <row r="1352" spans="1:7">
      <c r="A1352" s="28">
        <v>1351</v>
      </c>
      <c r="B1352" s="28" t="s">
        <v>2187</v>
      </c>
      <c r="C1352" s="28">
        <v>4136014657</v>
      </c>
      <c r="D1352" s="28" t="s">
        <v>3491</v>
      </c>
      <c r="E1352" s="28" t="s">
        <v>3496</v>
      </c>
      <c r="F1352" s="28" t="s">
        <v>1700</v>
      </c>
      <c r="G1352" s="28"/>
    </row>
    <row r="1353" spans="1:7">
      <c r="A1353" s="28">
        <v>1352</v>
      </c>
      <c r="B1353" s="28" t="s">
        <v>2188</v>
      </c>
      <c r="C1353" s="28">
        <v>4136014665</v>
      </c>
      <c r="D1353" s="28" t="s">
        <v>3491</v>
      </c>
      <c r="E1353" s="28" t="s">
        <v>3494</v>
      </c>
      <c r="F1353" s="28" t="s">
        <v>1700</v>
      </c>
      <c r="G1353" s="28"/>
    </row>
    <row r="1354" spans="1:7">
      <c r="A1354" s="28">
        <v>1353</v>
      </c>
      <c r="B1354" s="28" t="s">
        <v>2189</v>
      </c>
      <c r="C1354" s="28">
        <v>4136014705</v>
      </c>
      <c r="D1354" s="28" t="s">
        <v>3491</v>
      </c>
      <c r="E1354" s="28" t="s">
        <v>3492</v>
      </c>
      <c r="F1354" s="28" t="s">
        <v>1700</v>
      </c>
      <c r="G1354" s="28"/>
    </row>
    <row r="1355" spans="1:7">
      <c r="A1355" s="28">
        <v>1354</v>
      </c>
      <c r="B1355" s="28" t="s">
        <v>3034</v>
      </c>
      <c r="C1355" s="28">
        <v>4136014706</v>
      </c>
      <c r="D1355" s="28" t="s">
        <v>3499</v>
      </c>
      <c r="E1355" s="28" t="s">
        <v>3502</v>
      </c>
      <c r="F1355" s="28" t="s">
        <v>1700</v>
      </c>
      <c r="G1355" s="28" t="s">
        <v>1252</v>
      </c>
    </row>
    <row r="1356" spans="1:7">
      <c r="A1356" s="28">
        <v>1355</v>
      </c>
      <c r="B1356" s="28" t="s">
        <v>3035</v>
      </c>
      <c r="C1356" s="28">
        <v>4136014748</v>
      </c>
      <c r="D1356" s="28" t="s">
        <v>3499</v>
      </c>
      <c r="E1356" s="28" t="s">
        <v>3494</v>
      </c>
      <c r="F1356" s="28" t="s">
        <v>1700</v>
      </c>
      <c r="G1356" s="28" t="s">
        <v>1252</v>
      </c>
    </row>
    <row r="1357" spans="1:7">
      <c r="A1357" s="28">
        <v>1356</v>
      </c>
      <c r="B1357" s="28" t="s">
        <v>2827</v>
      </c>
      <c r="C1357" s="28">
        <v>4136014807</v>
      </c>
      <c r="D1357" s="28" t="s">
        <v>3491</v>
      </c>
      <c r="E1357" s="28" t="s">
        <v>3498</v>
      </c>
      <c r="F1357" s="28" t="s">
        <v>1700</v>
      </c>
      <c r="G1357" s="28"/>
    </row>
    <row r="1358" spans="1:7">
      <c r="A1358" s="28">
        <v>1357</v>
      </c>
      <c r="B1358" s="28" t="s">
        <v>2828</v>
      </c>
      <c r="C1358" s="28">
        <v>4136014808</v>
      </c>
      <c r="D1358" s="28" t="s">
        <v>3491</v>
      </c>
      <c r="E1358" s="28" t="s">
        <v>3496</v>
      </c>
      <c r="F1358" s="28" t="s">
        <v>1700</v>
      </c>
      <c r="G1358" s="28"/>
    </row>
    <row r="1359" spans="1:7">
      <c r="A1359" s="28">
        <v>1358</v>
      </c>
      <c r="B1359" s="28" t="s">
        <v>3263</v>
      </c>
      <c r="C1359" s="28">
        <v>4136014837</v>
      </c>
      <c r="D1359" s="28" t="s">
        <v>3499</v>
      </c>
      <c r="E1359" s="28" t="s">
        <v>3497</v>
      </c>
      <c r="F1359" s="28" t="s">
        <v>1700</v>
      </c>
      <c r="G1359" s="28" t="s">
        <v>1252</v>
      </c>
    </row>
    <row r="1360" spans="1:7">
      <c r="A1360" s="28">
        <v>1359</v>
      </c>
      <c r="B1360" s="28" t="s">
        <v>3264</v>
      </c>
      <c r="C1360" s="28">
        <v>4136014856</v>
      </c>
      <c r="D1360" s="28" t="s">
        <v>3499</v>
      </c>
      <c r="E1360" s="28" t="s">
        <v>3493</v>
      </c>
      <c r="F1360" s="28" t="s">
        <v>1700</v>
      </c>
      <c r="G1360" s="28" t="s">
        <v>1252</v>
      </c>
    </row>
    <row r="1361" spans="1:7">
      <c r="A1361" s="28">
        <v>1360</v>
      </c>
      <c r="B1361" s="28" t="s">
        <v>2872</v>
      </c>
      <c r="C1361" s="28">
        <v>4136014906</v>
      </c>
      <c r="D1361" s="28" t="s">
        <v>3491</v>
      </c>
      <c r="E1361" s="28" t="s">
        <v>3492</v>
      </c>
      <c r="F1361" s="28" t="s">
        <v>1700</v>
      </c>
      <c r="G1361" s="28"/>
    </row>
    <row r="1362" spans="1:7">
      <c r="A1362" s="28">
        <v>1361</v>
      </c>
      <c r="B1362" s="28" t="s">
        <v>3281</v>
      </c>
      <c r="C1362" s="28">
        <v>4136014907</v>
      </c>
      <c r="D1362" s="28" t="s">
        <v>3499</v>
      </c>
      <c r="E1362" s="28" t="s">
        <v>3503</v>
      </c>
      <c r="F1362" s="28" t="s">
        <v>1700</v>
      </c>
      <c r="G1362" s="28" t="s">
        <v>1252</v>
      </c>
    </row>
    <row r="1363" spans="1:7">
      <c r="A1363" s="28">
        <v>1362</v>
      </c>
      <c r="B1363" s="28" t="s">
        <v>2879</v>
      </c>
      <c r="C1363" s="28">
        <v>4136014919</v>
      </c>
      <c r="D1363" s="28" t="s">
        <v>3491</v>
      </c>
      <c r="E1363" s="28" t="s">
        <v>3502</v>
      </c>
      <c r="F1363" s="28" t="s">
        <v>1700</v>
      </c>
      <c r="G1363" s="28"/>
    </row>
    <row r="1364" spans="1:7">
      <c r="A1364" s="28">
        <v>1363</v>
      </c>
      <c r="B1364" s="28" t="s">
        <v>2880</v>
      </c>
      <c r="C1364" s="28">
        <v>4136014920</v>
      </c>
      <c r="D1364" s="28" t="s">
        <v>3491</v>
      </c>
      <c r="E1364" s="28" t="s">
        <v>3501</v>
      </c>
      <c r="F1364" s="28" t="s">
        <v>1700</v>
      </c>
      <c r="G1364" s="28"/>
    </row>
    <row r="1365" spans="1:7">
      <c r="A1365" s="28">
        <v>1364</v>
      </c>
      <c r="B1365" s="28" t="s">
        <v>3287</v>
      </c>
      <c r="C1365" s="28">
        <v>4136014921</v>
      </c>
      <c r="D1365" s="28" t="s">
        <v>3499</v>
      </c>
      <c r="E1365" s="28" t="s">
        <v>3494</v>
      </c>
      <c r="F1365" s="28" t="s">
        <v>1700</v>
      </c>
      <c r="G1365" s="28" t="s">
        <v>1252</v>
      </c>
    </row>
    <row r="1366" spans="1:7">
      <c r="A1366" s="28">
        <v>1365</v>
      </c>
      <c r="B1366" s="28" t="s">
        <v>3288</v>
      </c>
      <c r="C1366" s="28">
        <v>4136014922</v>
      </c>
      <c r="D1366" s="28" t="s">
        <v>3499</v>
      </c>
      <c r="E1366" s="28" t="s">
        <v>3494</v>
      </c>
      <c r="F1366" s="28" t="s">
        <v>1700</v>
      </c>
      <c r="G1366" s="28" t="s">
        <v>1252</v>
      </c>
    </row>
    <row r="1367" spans="1:7">
      <c r="A1367" s="28">
        <v>1366</v>
      </c>
      <c r="B1367" s="28" t="s">
        <v>627</v>
      </c>
      <c r="C1367" s="28">
        <v>4137010422</v>
      </c>
      <c r="D1367" s="28" t="s">
        <v>3309</v>
      </c>
      <c r="E1367" s="28" t="s">
        <v>3507</v>
      </c>
      <c r="F1367" s="28" t="s">
        <v>11</v>
      </c>
      <c r="G1367" s="28"/>
    </row>
    <row r="1368" spans="1:7">
      <c r="A1368" s="28">
        <v>1367</v>
      </c>
      <c r="B1368" s="28" t="s">
        <v>630</v>
      </c>
      <c r="C1368" s="28">
        <v>4137010423</v>
      </c>
      <c r="D1368" s="28" t="s">
        <v>3309</v>
      </c>
      <c r="E1368" s="28" t="s">
        <v>3508</v>
      </c>
      <c r="F1368" s="28" t="s">
        <v>11</v>
      </c>
      <c r="G1368" s="28"/>
    </row>
    <row r="1369" spans="1:7">
      <c r="A1369" s="28">
        <v>1368</v>
      </c>
      <c r="B1369" s="28" t="s">
        <v>632</v>
      </c>
      <c r="C1369" s="28">
        <v>4137010424</v>
      </c>
      <c r="D1369" s="28" t="s">
        <v>3509</v>
      </c>
      <c r="E1369" s="28" t="s">
        <v>3508</v>
      </c>
      <c r="F1369" s="28" t="s">
        <v>11</v>
      </c>
      <c r="G1369" s="28"/>
    </row>
    <row r="1370" spans="1:7">
      <c r="A1370" s="28">
        <v>1369</v>
      </c>
      <c r="B1370" s="28" t="s">
        <v>633</v>
      </c>
      <c r="C1370" s="28">
        <v>4137010425</v>
      </c>
      <c r="D1370" s="28" t="s">
        <v>3309</v>
      </c>
      <c r="E1370" s="28" t="s">
        <v>3508</v>
      </c>
      <c r="F1370" s="28" t="s">
        <v>11</v>
      </c>
      <c r="G1370" s="28"/>
    </row>
    <row r="1371" spans="1:7">
      <c r="A1371" s="28">
        <v>1370</v>
      </c>
      <c r="B1371" s="28" t="s">
        <v>634</v>
      </c>
      <c r="C1371" s="28">
        <v>4137010426</v>
      </c>
      <c r="D1371" s="28" t="s">
        <v>3509</v>
      </c>
      <c r="E1371" s="28" t="s">
        <v>3508</v>
      </c>
      <c r="F1371" s="28" t="s">
        <v>11</v>
      </c>
      <c r="G1371" s="28"/>
    </row>
    <row r="1372" spans="1:7">
      <c r="A1372" s="28">
        <v>1371</v>
      </c>
      <c r="B1372" s="28" t="s">
        <v>635</v>
      </c>
      <c r="C1372" s="28">
        <v>4137010427</v>
      </c>
      <c r="D1372" s="28" t="s">
        <v>3509</v>
      </c>
      <c r="E1372" s="28" t="s">
        <v>3507</v>
      </c>
      <c r="F1372" s="28" t="s">
        <v>11</v>
      </c>
      <c r="G1372" s="28"/>
    </row>
    <row r="1373" spans="1:7">
      <c r="A1373" s="28">
        <v>1372</v>
      </c>
      <c r="B1373" s="28" t="s">
        <v>636</v>
      </c>
      <c r="C1373" s="28">
        <v>4137010429</v>
      </c>
      <c r="D1373" s="28" t="s">
        <v>3509</v>
      </c>
      <c r="E1373" s="28" t="s">
        <v>3508</v>
      </c>
      <c r="F1373" s="28" t="s">
        <v>11</v>
      </c>
      <c r="G1373" s="28"/>
    </row>
    <row r="1374" spans="1:7">
      <c r="A1374" s="28">
        <v>1373</v>
      </c>
      <c r="B1374" s="28" t="s">
        <v>637</v>
      </c>
      <c r="C1374" s="28">
        <v>4137010430</v>
      </c>
      <c r="D1374" s="28" t="s">
        <v>3509</v>
      </c>
      <c r="E1374" s="28" t="s">
        <v>3507</v>
      </c>
      <c r="F1374" s="28" t="s">
        <v>11</v>
      </c>
      <c r="G1374" s="28"/>
    </row>
    <row r="1375" spans="1:7">
      <c r="A1375" s="28">
        <v>1374</v>
      </c>
      <c r="B1375" s="28" t="s">
        <v>638</v>
      </c>
      <c r="C1375" s="28">
        <v>4137010431</v>
      </c>
      <c r="D1375" s="28" t="s">
        <v>3509</v>
      </c>
      <c r="E1375" s="28" t="s">
        <v>3507</v>
      </c>
      <c r="F1375" s="28" t="s">
        <v>11</v>
      </c>
      <c r="G1375" s="28"/>
    </row>
    <row r="1376" spans="1:7">
      <c r="A1376" s="28">
        <v>1375</v>
      </c>
      <c r="B1376" s="28" t="s">
        <v>639</v>
      </c>
      <c r="C1376" s="28">
        <v>4137010433</v>
      </c>
      <c r="D1376" s="28" t="s">
        <v>3509</v>
      </c>
      <c r="E1376" s="28" t="s">
        <v>3510</v>
      </c>
      <c r="F1376" s="28" t="s">
        <v>11</v>
      </c>
      <c r="G1376" s="28"/>
    </row>
    <row r="1377" spans="1:7">
      <c r="A1377" s="28">
        <v>1376</v>
      </c>
      <c r="B1377" s="28" t="s">
        <v>641</v>
      </c>
      <c r="C1377" s="28">
        <v>4137010434</v>
      </c>
      <c r="D1377" s="28" t="s">
        <v>3509</v>
      </c>
      <c r="E1377" s="28" t="s">
        <v>3511</v>
      </c>
      <c r="F1377" s="28" t="s">
        <v>11</v>
      </c>
      <c r="G1377" s="28"/>
    </row>
    <row r="1378" spans="1:7">
      <c r="A1378" s="28">
        <v>1377</v>
      </c>
      <c r="B1378" s="28" t="s">
        <v>643</v>
      </c>
      <c r="C1378" s="28">
        <v>4137010435</v>
      </c>
      <c r="D1378" s="28" t="s">
        <v>3509</v>
      </c>
      <c r="E1378" s="28" t="s">
        <v>3508</v>
      </c>
      <c r="F1378" s="28" t="s">
        <v>11</v>
      </c>
      <c r="G1378" s="28"/>
    </row>
    <row r="1379" spans="1:7">
      <c r="A1379" s="28">
        <v>1378</v>
      </c>
      <c r="B1379" s="28" t="s">
        <v>644</v>
      </c>
      <c r="C1379" s="28">
        <v>4137010438</v>
      </c>
      <c r="D1379" s="28" t="s">
        <v>3509</v>
      </c>
      <c r="E1379" s="28" t="s">
        <v>3512</v>
      </c>
      <c r="F1379" s="28" t="s">
        <v>11</v>
      </c>
      <c r="G1379" s="28"/>
    </row>
    <row r="1380" spans="1:7">
      <c r="A1380" s="28">
        <v>1379</v>
      </c>
      <c r="B1380" s="28" t="s">
        <v>646</v>
      </c>
      <c r="C1380" s="28">
        <v>4137010439</v>
      </c>
      <c r="D1380" s="28" t="s">
        <v>3509</v>
      </c>
      <c r="E1380" s="28" t="s">
        <v>3507</v>
      </c>
      <c r="F1380" s="28" t="s">
        <v>11</v>
      </c>
      <c r="G1380" s="28"/>
    </row>
    <row r="1381" spans="1:7">
      <c r="A1381" s="28">
        <v>1380</v>
      </c>
      <c r="B1381" s="28" t="s">
        <v>3513</v>
      </c>
      <c r="C1381" s="28">
        <v>4137010440</v>
      </c>
      <c r="D1381" s="28" t="s">
        <v>3509</v>
      </c>
      <c r="E1381" s="28" t="s">
        <v>3514</v>
      </c>
      <c r="F1381" s="28" t="s">
        <v>11</v>
      </c>
      <c r="G1381" s="28"/>
    </row>
    <row r="1382" spans="1:7">
      <c r="A1382" s="28">
        <v>1381</v>
      </c>
      <c r="B1382" s="28" t="s">
        <v>649</v>
      </c>
      <c r="C1382" s="28">
        <v>4137010441</v>
      </c>
      <c r="D1382" s="28" t="s">
        <v>3509</v>
      </c>
      <c r="E1382" s="28" t="s">
        <v>3507</v>
      </c>
      <c r="F1382" s="28" t="s">
        <v>11</v>
      </c>
      <c r="G1382" s="28"/>
    </row>
    <row r="1383" spans="1:7">
      <c r="A1383" s="28">
        <v>1382</v>
      </c>
      <c r="B1383" s="28" t="s">
        <v>650</v>
      </c>
      <c r="C1383" s="28">
        <v>4137010443</v>
      </c>
      <c r="D1383" s="28" t="s">
        <v>3509</v>
      </c>
      <c r="E1383" s="28" t="s">
        <v>3515</v>
      </c>
      <c r="F1383" s="28" t="s">
        <v>11</v>
      </c>
      <c r="G1383" s="28"/>
    </row>
    <row r="1384" spans="1:7">
      <c r="A1384" s="28">
        <v>1383</v>
      </c>
      <c r="B1384" s="28" t="s">
        <v>652</v>
      </c>
      <c r="C1384" s="28">
        <v>4137010445</v>
      </c>
      <c r="D1384" s="28" t="s">
        <v>3509</v>
      </c>
      <c r="E1384" s="28" t="s">
        <v>3507</v>
      </c>
      <c r="F1384" s="28" t="s">
        <v>11</v>
      </c>
      <c r="G1384" s="28"/>
    </row>
    <row r="1385" spans="1:7">
      <c r="A1385" s="28">
        <v>1384</v>
      </c>
      <c r="B1385" s="28" t="s">
        <v>653</v>
      </c>
      <c r="C1385" s="28">
        <v>4137010446</v>
      </c>
      <c r="D1385" s="28" t="s">
        <v>3509</v>
      </c>
      <c r="E1385" s="28" t="s">
        <v>3515</v>
      </c>
      <c r="F1385" s="28" t="s">
        <v>11</v>
      </c>
      <c r="G1385" s="28"/>
    </row>
    <row r="1386" spans="1:7">
      <c r="A1386" s="28">
        <v>1385</v>
      </c>
      <c r="B1386" s="28" t="s">
        <v>654</v>
      </c>
      <c r="C1386" s="28">
        <v>4137010447</v>
      </c>
      <c r="D1386" s="28" t="s">
        <v>3509</v>
      </c>
      <c r="E1386" s="28" t="s">
        <v>3516</v>
      </c>
      <c r="F1386" s="28" t="s">
        <v>11</v>
      </c>
      <c r="G1386" s="28"/>
    </row>
    <row r="1387" spans="1:7">
      <c r="A1387" s="28">
        <v>1386</v>
      </c>
      <c r="B1387" s="28" t="s">
        <v>656</v>
      </c>
      <c r="C1387" s="28">
        <v>4137010448</v>
      </c>
      <c r="D1387" s="28" t="s">
        <v>3509</v>
      </c>
      <c r="E1387" s="28" t="s">
        <v>3517</v>
      </c>
      <c r="F1387" s="28" t="s">
        <v>11</v>
      </c>
      <c r="G1387" s="28"/>
    </row>
    <row r="1388" spans="1:7">
      <c r="A1388" s="28">
        <v>1387</v>
      </c>
      <c r="B1388" s="28" t="s">
        <v>658</v>
      </c>
      <c r="C1388" s="28">
        <v>4137010449</v>
      </c>
      <c r="D1388" s="28" t="s">
        <v>3509</v>
      </c>
      <c r="E1388" s="28" t="s">
        <v>3514</v>
      </c>
      <c r="F1388" s="28" t="s">
        <v>11</v>
      </c>
      <c r="G1388" s="28"/>
    </row>
    <row r="1389" spans="1:7">
      <c r="A1389" s="28">
        <v>1388</v>
      </c>
      <c r="B1389" s="28" t="s">
        <v>659</v>
      </c>
      <c r="C1389" s="28">
        <v>4137010451</v>
      </c>
      <c r="D1389" s="28" t="s">
        <v>3509</v>
      </c>
      <c r="E1389" s="28" t="s">
        <v>3518</v>
      </c>
      <c r="F1389" s="28" t="s">
        <v>11</v>
      </c>
      <c r="G1389" s="28"/>
    </row>
    <row r="1390" spans="1:7">
      <c r="A1390" s="28">
        <v>1389</v>
      </c>
      <c r="B1390" s="28" t="s">
        <v>661</v>
      </c>
      <c r="C1390" s="28">
        <v>4137010452</v>
      </c>
      <c r="D1390" s="28" t="s">
        <v>3509</v>
      </c>
      <c r="E1390" s="28" t="s">
        <v>3519</v>
      </c>
      <c r="F1390" s="28" t="s">
        <v>11</v>
      </c>
      <c r="G1390" s="28"/>
    </row>
    <row r="1391" spans="1:7">
      <c r="A1391" s="28">
        <v>1390</v>
      </c>
      <c r="B1391" s="28" t="s">
        <v>663</v>
      </c>
      <c r="C1391" s="28">
        <v>4137010453</v>
      </c>
      <c r="D1391" s="28" t="s">
        <v>3509</v>
      </c>
      <c r="E1391" s="28" t="s">
        <v>3511</v>
      </c>
      <c r="F1391" s="28" t="s">
        <v>11</v>
      </c>
      <c r="G1391" s="28"/>
    </row>
    <row r="1392" spans="1:7">
      <c r="A1392" s="28">
        <v>1391</v>
      </c>
      <c r="B1392" s="28" t="s">
        <v>664</v>
      </c>
      <c r="C1392" s="28">
        <v>4137010454</v>
      </c>
      <c r="D1392" s="28" t="s">
        <v>3509</v>
      </c>
      <c r="E1392" s="28" t="s">
        <v>3515</v>
      </c>
      <c r="F1392" s="28" t="s">
        <v>11</v>
      </c>
      <c r="G1392" s="28"/>
    </row>
    <row r="1393" spans="1:7">
      <c r="A1393" s="28">
        <v>1392</v>
      </c>
      <c r="B1393" s="28" t="s">
        <v>665</v>
      </c>
      <c r="C1393" s="28">
        <v>4137010455</v>
      </c>
      <c r="D1393" s="28" t="s">
        <v>3509</v>
      </c>
      <c r="E1393" s="28" t="s">
        <v>3520</v>
      </c>
      <c r="F1393" s="28" t="s">
        <v>11</v>
      </c>
      <c r="G1393" s="28"/>
    </row>
    <row r="1394" spans="1:7">
      <c r="A1394" s="28">
        <v>1393</v>
      </c>
      <c r="B1394" s="28" t="s">
        <v>667</v>
      </c>
      <c r="C1394" s="28">
        <v>4137010456</v>
      </c>
      <c r="D1394" s="28" t="s">
        <v>3509</v>
      </c>
      <c r="E1394" s="28" t="s">
        <v>3507</v>
      </c>
      <c r="F1394" s="28" t="s">
        <v>11</v>
      </c>
      <c r="G1394" s="28"/>
    </row>
    <row r="1395" spans="1:7">
      <c r="A1395" s="28">
        <v>1394</v>
      </c>
      <c r="B1395" s="28" t="s">
        <v>668</v>
      </c>
      <c r="C1395" s="28">
        <v>4137010457</v>
      </c>
      <c r="D1395" s="28" t="s">
        <v>3509</v>
      </c>
      <c r="E1395" s="28" t="s">
        <v>3507</v>
      </c>
      <c r="F1395" s="28" t="s">
        <v>11</v>
      </c>
      <c r="G1395" s="28"/>
    </row>
    <row r="1396" spans="1:7">
      <c r="A1396" s="28">
        <v>1395</v>
      </c>
      <c r="B1396" s="28" t="s">
        <v>669</v>
      </c>
      <c r="C1396" s="28">
        <v>4137010458</v>
      </c>
      <c r="D1396" s="28" t="s">
        <v>3509</v>
      </c>
      <c r="E1396" s="28" t="s">
        <v>3507</v>
      </c>
      <c r="F1396" s="28" t="s">
        <v>11</v>
      </c>
      <c r="G1396" s="28"/>
    </row>
    <row r="1397" spans="1:7">
      <c r="A1397" s="28">
        <v>1396</v>
      </c>
      <c r="B1397" s="28" t="s">
        <v>1451</v>
      </c>
      <c r="C1397" s="28">
        <v>4137010825</v>
      </c>
      <c r="D1397" s="28" t="s">
        <v>3521</v>
      </c>
      <c r="E1397" s="28" t="s">
        <v>3510</v>
      </c>
      <c r="F1397" s="28" t="s">
        <v>11</v>
      </c>
      <c r="G1397" s="28" t="s">
        <v>1252</v>
      </c>
    </row>
    <row r="1398" spans="1:7">
      <c r="A1398" s="28">
        <v>1397</v>
      </c>
      <c r="B1398" s="28" t="s">
        <v>1452</v>
      </c>
      <c r="C1398" s="28">
        <v>4137010868</v>
      </c>
      <c r="D1398" s="28" t="s">
        <v>3521</v>
      </c>
      <c r="E1398" s="28" t="s">
        <v>3508</v>
      </c>
      <c r="F1398" s="28" t="s">
        <v>11</v>
      </c>
      <c r="G1398" s="28" t="s">
        <v>1252</v>
      </c>
    </row>
    <row r="1399" spans="1:7">
      <c r="A1399" s="28">
        <v>1398</v>
      </c>
      <c r="B1399" s="28" t="s">
        <v>670</v>
      </c>
      <c r="C1399" s="28">
        <v>4137010904</v>
      </c>
      <c r="D1399" s="28" t="s">
        <v>3509</v>
      </c>
      <c r="E1399" s="28" t="s">
        <v>3522</v>
      </c>
      <c r="F1399" s="28" t="s">
        <v>11</v>
      </c>
      <c r="G1399" s="28"/>
    </row>
    <row r="1400" spans="1:7">
      <c r="A1400" s="28">
        <v>1399</v>
      </c>
      <c r="B1400" s="28" t="s">
        <v>672</v>
      </c>
      <c r="C1400" s="28">
        <v>4137010908</v>
      </c>
      <c r="D1400" s="28" t="s">
        <v>3509</v>
      </c>
      <c r="E1400" s="28" t="s">
        <v>3507</v>
      </c>
      <c r="F1400" s="28" t="s">
        <v>11</v>
      </c>
      <c r="G1400" s="28"/>
    </row>
    <row r="1401" spans="1:7">
      <c r="A1401" s="28">
        <v>1400</v>
      </c>
      <c r="B1401" s="28" t="s">
        <v>673</v>
      </c>
      <c r="C1401" s="28">
        <v>4137011065</v>
      </c>
      <c r="D1401" s="28" t="s">
        <v>3509</v>
      </c>
      <c r="E1401" s="28" t="s">
        <v>3508</v>
      </c>
      <c r="F1401" s="28" t="s">
        <v>11</v>
      </c>
      <c r="G1401" s="28"/>
    </row>
    <row r="1402" spans="1:7">
      <c r="A1402" s="28">
        <v>1401</v>
      </c>
      <c r="B1402" s="28" t="s">
        <v>674</v>
      </c>
      <c r="C1402" s="28">
        <v>4137011066</v>
      </c>
      <c r="D1402" s="28" t="s">
        <v>3509</v>
      </c>
      <c r="E1402" s="28" t="s">
        <v>3518</v>
      </c>
      <c r="F1402" s="28" t="s">
        <v>11</v>
      </c>
      <c r="G1402" s="28"/>
    </row>
    <row r="1403" spans="1:7">
      <c r="A1403" s="28">
        <v>1402</v>
      </c>
      <c r="B1403" s="28" t="s">
        <v>675</v>
      </c>
      <c r="C1403" s="28">
        <v>4137011067</v>
      </c>
      <c r="D1403" s="28" t="s">
        <v>3509</v>
      </c>
      <c r="E1403" s="28" t="s">
        <v>3512</v>
      </c>
      <c r="F1403" s="28" t="s">
        <v>11</v>
      </c>
      <c r="G1403" s="28"/>
    </row>
    <row r="1404" spans="1:7">
      <c r="A1404" s="28">
        <v>1403</v>
      </c>
      <c r="B1404" s="28" t="s">
        <v>676</v>
      </c>
      <c r="C1404" s="28">
        <v>4137011324</v>
      </c>
      <c r="D1404" s="28" t="s">
        <v>3509</v>
      </c>
      <c r="E1404" s="28" t="s">
        <v>3507</v>
      </c>
      <c r="F1404" s="28" t="s">
        <v>11</v>
      </c>
      <c r="G1404" s="28"/>
    </row>
    <row r="1405" spans="1:7">
      <c r="A1405" s="28">
        <v>1404</v>
      </c>
      <c r="B1405" s="28" t="s">
        <v>677</v>
      </c>
      <c r="C1405" s="28">
        <v>4137011510</v>
      </c>
      <c r="D1405" s="28" t="s">
        <v>3509</v>
      </c>
      <c r="E1405" s="28" t="s">
        <v>3507</v>
      </c>
      <c r="F1405" s="28" t="s">
        <v>11</v>
      </c>
      <c r="G1405" s="28"/>
    </row>
    <row r="1406" spans="1:7">
      <c r="A1406" s="28">
        <v>1405</v>
      </c>
      <c r="B1406" s="28" t="s">
        <v>678</v>
      </c>
      <c r="C1406" s="28">
        <v>4137011688</v>
      </c>
      <c r="D1406" s="28" t="s">
        <v>3509</v>
      </c>
      <c r="E1406" s="28" t="s">
        <v>3518</v>
      </c>
      <c r="F1406" s="28" t="s">
        <v>11</v>
      </c>
      <c r="G1406" s="28"/>
    </row>
    <row r="1407" spans="1:7">
      <c r="A1407" s="28">
        <v>1406</v>
      </c>
      <c r="B1407" s="28" t="s">
        <v>679</v>
      </c>
      <c r="C1407" s="28">
        <v>4137012331</v>
      </c>
      <c r="D1407" s="28" t="s">
        <v>3509</v>
      </c>
      <c r="E1407" s="28" t="s">
        <v>3507</v>
      </c>
      <c r="F1407" s="28" t="s">
        <v>11</v>
      </c>
      <c r="G1407" s="28"/>
    </row>
    <row r="1408" spans="1:7">
      <c r="A1408" s="28">
        <v>1407</v>
      </c>
      <c r="B1408" s="28" t="s">
        <v>1453</v>
      </c>
      <c r="C1408" s="28">
        <v>4137012332</v>
      </c>
      <c r="D1408" s="28" t="s">
        <v>3521</v>
      </c>
      <c r="E1408" s="28" t="s">
        <v>3518</v>
      </c>
      <c r="F1408" s="28" t="s">
        <v>11</v>
      </c>
      <c r="G1408" s="28" t="s">
        <v>1252</v>
      </c>
    </row>
    <row r="1409" spans="1:7">
      <c r="A1409" s="28">
        <v>1408</v>
      </c>
      <c r="B1409" s="28" t="s">
        <v>1454</v>
      </c>
      <c r="C1409" s="28">
        <v>4137012843</v>
      </c>
      <c r="D1409" s="28" t="s">
        <v>3521</v>
      </c>
      <c r="E1409" s="28" t="s">
        <v>3512</v>
      </c>
      <c r="F1409" s="28" t="s">
        <v>11</v>
      </c>
      <c r="G1409" s="28" t="s">
        <v>1252</v>
      </c>
    </row>
    <row r="1410" spans="1:7">
      <c r="A1410" s="28">
        <v>1409</v>
      </c>
      <c r="B1410" s="28" t="s">
        <v>1455</v>
      </c>
      <c r="C1410" s="28">
        <v>4137013006</v>
      </c>
      <c r="D1410" s="28" t="s">
        <v>3521</v>
      </c>
      <c r="E1410" s="28" t="s">
        <v>3507</v>
      </c>
      <c r="F1410" s="28" t="s">
        <v>11</v>
      </c>
      <c r="G1410" s="28" t="s">
        <v>1252</v>
      </c>
    </row>
    <row r="1411" spans="1:7">
      <c r="A1411" s="28">
        <v>1410</v>
      </c>
      <c r="B1411" s="28" t="s">
        <v>1456</v>
      </c>
      <c r="C1411" s="28">
        <v>4137013015</v>
      </c>
      <c r="D1411" s="28" t="s">
        <v>3521</v>
      </c>
      <c r="E1411" s="28" t="s">
        <v>3508</v>
      </c>
      <c r="F1411" s="28" t="s">
        <v>11</v>
      </c>
      <c r="G1411" s="28" t="s">
        <v>1252</v>
      </c>
    </row>
    <row r="1412" spans="1:7">
      <c r="A1412" s="28">
        <v>1411</v>
      </c>
      <c r="B1412" s="28" t="s">
        <v>1457</v>
      </c>
      <c r="C1412" s="28">
        <v>4137013320</v>
      </c>
      <c r="D1412" s="28" t="s">
        <v>3521</v>
      </c>
      <c r="E1412" s="28" t="s">
        <v>3508</v>
      </c>
      <c r="F1412" s="28" t="s">
        <v>11</v>
      </c>
      <c r="G1412" s="28" t="s">
        <v>1252</v>
      </c>
    </row>
    <row r="1413" spans="1:7">
      <c r="A1413" s="28">
        <v>1412</v>
      </c>
      <c r="B1413" s="28" t="s">
        <v>1458</v>
      </c>
      <c r="C1413" s="28">
        <v>4137013322</v>
      </c>
      <c r="D1413" s="28" t="s">
        <v>3521</v>
      </c>
      <c r="E1413" s="28" t="s">
        <v>3507</v>
      </c>
      <c r="F1413" s="28" t="s">
        <v>11</v>
      </c>
      <c r="G1413" s="28" t="s">
        <v>1252</v>
      </c>
    </row>
    <row r="1414" spans="1:7">
      <c r="A1414" s="28">
        <v>1413</v>
      </c>
      <c r="B1414" s="28" t="s">
        <v>1459</v>
      </c>
      <c r="C1414" s="28">
        <v>4137013324</v>
      </c>
      <c r="D1414" s="28" t="s">
        <v>3521</v>
      </c>
      <c r="E1414" s="28" t="s">
        <v>3507</v>
      </c>
      <c r="F1414" s="28" t="s">
        <v>11</v>
      </c>
      <c r="G1414" s="28" t="s">
        <v>1252</v>
      </c>
    </row>
    <row r="1415" spans="1:7">
      <c r="A1415" s="28">
        <v>1414</v>
      </c>
      <c r="B1415" s="28" t="s">
        <v>1460</v>
      </c>
      <c r="C1415" s="28">
        <v>4137013356</v>
      </c>
      <c r="D1415" s="28" t="s">
        <v>3521</v>
      </c>
      <c r="E1415" s="28" t="s">
        <v>3507</v>
      </c>
      <c r="F1415" s="28" t="s">
        <v>11</v>
      </c>
      <c r="G1415" s="28" t="s">
        <v>1252</v>
      </c>
    </row>
    <row r="1416" spans="1:7">
      <c r="A1416" s="28">
        <v>1415</v>
      </c>
      <c r="B1416" s="28" t="s">
        <v>1461</v>
      </c>
      <c r="C1416" s="28">
        <v>4137013359</v>
      </c>
      <c r="D1416" s="28" t="s">
        <v>3521</v>
      </c>
      <c r="E1416" s="28" t="s">
        <v>3518</v>
      </c>
      <c r="F1416" s="28" t="s">
        <v>11</v>
      </c>
      <c r="G1416" s="28" t="s">
        <v>1252</v>
      </c>
    </row>
    <row r="1417" spans="1:7">
      <c r="A1417" s="28">
        <v>1416</v>
      </c>
      <c r="B1417" s="28" t="s">
        <v>1462</v>
      </c>
      <c r="C1417" s="28">
        <v>4137013373</v>
      </c>
      <c r="D1417" s="28" t="s">
        <v>3521</v>
      </c>
      <c r="E1417" s="28" t="s">
        <v>3516</v>
      </c>
      <c r="F1417" s="28" t="s">
        <v>11</v>
      </c>
      <c r="G1417" s="28" t="s">
        <v>1252</v>
      </c>
    </row>
    <row r="1418" spans="1:7">
      <c r="A1418" s="28">
        <v>1417</v>
      </c>
      <c r="B1418" s="28" t="s">
        <v>1463</v>
      </c>
      <c r="C1418" s="28">
        <v>4137013378</v>
      </c>
      <c r="D1418" s="28" t="s">
        <v>3521</v>
      </c>
      <c r="E1418" s="28" t="s">
        <v>3508</v>
      </c>
      <c r="F1418" s="28" t="s">
        <v>11</v>
      </c>
      <c r="G1418" s="28" t="s">
        <v>1252</v>
      </c>
    </row>
    <row r="1419" spans="1:7">
      <c r="A1419" s="28">
        <v>1418</v>
      </c>
      <c r="B1419" s="28" t="s">
        <v>1464</v>
      </c>
      <c r="C1419" s="28">
        <v>4137013379</v>
      </c>
      <c r="D1419" s="28" t="s">
        <v>3521</v>
      </c>
      <c r="E1419" s="28" t="s">
        <v>3512</v>
      </c>
      <c r="F1419" s="28" t="s">
        <v>11</v>
      </c>
      <c r="G1419" s="28" t="s">
        <v>1252</v>
      </c>
    </row>
    <row r="1420" spans="1:7">
      <c r="A1420" s="28">
        <v>1419</v>
      </c>
      <c r="B1420" s="28" t="s">
        <v>1465</v>
      </c>
      <c r="C1420" s="28">
        <v>4137013383</v>
      </c>
      <c r="D1420" s="28" t="s">
        <v>3521</v>
      </c>
      <c r="E1420" s="28" t="s">
        <v>3507</v>
      </c>
      <c r="F1420" s="28" t="s">
        <v>11</v>
      </c>
      <c r="G1420" s="28" t="s">
        <v>1252</v>
      </c>
    </row>
    <row r="1421" spans="1:7">
      <c r="A1421" s="28">
        <v>1420</v>
      </c>
      <c r="B1421" s="28" t="s">
        <v>680</v>
      </c>
      <c r="C1421" s="28">
        <v>4137013386</v>
      </c>
      <c r="D1421" s="28" t="s">
        <v>3509</v>
      </c>
      <c r="E1421" s="28" t="s">
        <v>3523</v>
      </c>
      <c r="F1421" s="28" t="s">
        <v>11</v>
      </c>
      <c r="G1421" s="28"/>
    </row>
    <row r="1422" spans="1:7">
      <c r="A1422" s="28">
        <v>1421</v>
      </c>
      <c r="B1422" s="28" t="s">
        <v>1466</v>
      </c>
      <c r="C1422" s="28">
        <v>4137013387</v>
      </c>
      <c r="D1422" s="28" t="s">
        <v>3521</v>
      </c>
      <c r="E1422" s="28" t="s">
        <v>3524</v>
      </c>
      <c r="F1422" s="28" t="s">
        <v>11</v>
      </c>
      <c r="G1422" s="28" t="s">
        <v>1252</v>
      </c>
    </row>
    <row r="1423" spans="1:7">
      <c r="A1423" s="28">
        <v>1422</v>
      </c>
      <c r="B1423" s="28" t="s">
        <v>1467</v>
      </c>
      <c r="C1423" s="28">
        <v>4137013624</v>
      </c>
      <c r="D1423" s="28" t="s">
        <v>3521</v>
      </c>
      <c r="E1423" s="28" t="s">
        <v>3511</v>
      </c>
      <c r="F1423" s="28" t="s">
        <v>11</v>
      </c>
      <c r="G1423" s="28" t="s">
        <v>1252</v>
      </c>
    </row>
    <row r="1424" spans="1:7">
      <c r="A1424" s="28">
        <v>1423</v>
      </c>
      <c r="B1424" s="28" t="s">
        <v>1468</v>
      </c>
      <c r="C1424" s="28">
        <v>4137013857</v>
      </c>
      <c r="D1424" s="28" t="s">
        <v>3521</v>
      </c>
      <c r="E1424" s="28" t="s">
        <v>3517</v>
      </c>
      <c r="F1424" s="28" t="s">
        <v>11</v>
      </c>
      <c r="G1424" s="28" t="s">
        <v>1252</v>
      </c>
    </row>
    <row r="1425" spans="1:7">
      <c r="A1425" s="28">
        <v>1424</v>
      </c>
      <c r="B1425" s="28" t="s">
        <v>1469</v>
      </c>
      <c r="C1425" s="28">
        <v>4137013874</v>
      </c>
      <c r="D1425" s="28" t="s">
        <v>3521</v>
      </c>
      <c r="E1425" s="28" t="s">
        <v>3525</v>
      </c>
      <c r="F1425" s="28" t="s">
        <v>11</v>
      </c>
      <c r="G1425" s="28" t="s">
        <v>1252</v>
      </c>
    </row>
    <row r="1426" spans="1:7">
      <c r="A1426" s="28">
        <v>1425</v>
      </c>
      <c r="B1426" s="28" t="s">
        <v>1471</v>
      </c>
      <c r="C1426" s="28">
        <v>4137013995</v>
      </c>
      <c r="D1426" s="28" t="s">
        <v>3521</v>
      </c>
      <c r="E1426" s="28" t="s">
        <v>3508</v>
      </c>
      <c r="F1426" s="28" t="s">
        <v>11</v>
      </c>
      <c r="G1426" s="28" t="s">
        <v>1252</v>
      </c>
    </row>
    <row r="1427" spans="1:7">
      <c r="A1427" s="28">
        <v>1426</v>
      </c>
      <c r="B1427" s="28" t="s">
        <v>1472</v>
      </c>
      <c r="C1427" s="28">
        <v>4137013997</v>
      </c>
      <c r="D1427" s="28" t="s">
        <v>3521</v>
      </c>
      <c r="E1427" s="28" t="s">
        <v>3518</v>
      </c>
      <c r="F1427" s="28" t="s">
        <v>11</v>
      </c>
      <c r="G1427" s="28" t="s">
        <v>1252</v>
      </c>
    </row>
    <row r="1428" spans="1:7">
      <c r="A1428" s="28">
        <v>1427</v>
      </c>
      <c r="B1428" s="28" t="s">
        <v>1473</v>
      </c>
      <c r="C1428" s="28">
        <v>4137013998</v>
      </c>
      <c r="D1428" s="28" t="s">
        <v>3521</v>
      </c>
      <c r="E1428" s="28" t="s">
        <v>3507</v>
      </c>
      <c r="F1428" s="28" t="s">
        <v>11</v>
      </c>
      <c r="G1428" s="28" t="s">
        <v>1252</v>
      </c>
    </row>
    <row r="1429" spans="1:7">
      <c r="A1429" s="28">
        <v>1428</v>
      </c>
      <c r="B1429" s="28" t="s">
        <v>1474</v>
      </c>
      <c r="C1429" s="28">
        <v>4137013999</v>
      </c>
      <c r="D1429" s="28" t="s">
        <v>3521</v>
      </c>
      <c r="E1429" s="28" t="s">
        <v>3511</v>
      </c>
      <c r="F1429" s="28" t="s">
        <v>11</v>
      </c>
      <c r="G1429" s="28" t="s">
        <v>1252</v>
      </c>
    </row>
    <row r="1430" spans="1:7">
      <c r="A1430" s="28">
        <v>1429</v>
      </c>
      <c r="B1430" s="28" t="s">
        <v>1475</v>
      </c>
      <c r="C1430" s="28">
        <v>4137014002</v>
      </c>
      <c r="D1430" s="28" t="s">
        <v>3521</v>
      </c>
      <c r="E1430" s="28" t="s">
        <v>3518</v>
      </c>
      <c r="F1430" s="28" t="s">
        <v>11</v>
      </c>
      <c r="G1430" s="28" t="s">
        <v>1252</v>
      </c>
    </row>
    <row r="1431" spans="1:7">
      <c r="A1431" s="28">
        <v>1430</v>
      </c>
      <c r="B1431" s="28" t="s">
        <v>682</v>
      </c>
      <c r="C1431" s="28">
        <v>4137014100</v>
      </c>
      <c r="D1431" s="28" t="s">
        <v>3509</v>
      </c>
      <c r="E1431" s="28" t="s">
        <v>3507</v>
      </c>
      <c r="F1431" s="28" t="s">
        <v>11</v>
      </c>
      <c r="G1431" s="28"/>
    </row>
    <row r="1432" spans="1:7">
      <c r="A1432" s="28">
        <v>1431</v>
      </c>
      <c r="B1432" s="28" t="s">
        <v>683</v>
      </c>
      <c r="C1432" s="28">
        <v>4137014276</v>
      </c>
      <c r="D1432" s="28" t="s">
        <v>3509</v>
      </c>
      <c r="E1432" s="28" t="s">
        <v>3507</v>
      </c>
      <c r="F1432" s="28" t="s">
        <v>11</v>
      </c>
      <c r="G1432" s="28"/>
    </row>
    <row r="1433" spans="1:7">
      <c r="A1433" s="28">
        <v>1432</v>
      </c>
      <c r="B1433" s="28" t="s">
        <v>684</v>
      </c>
      <c r="C1433" s="28">
        <v>4137014277</v>
      </c>
      <c r="D1433" s="28" t="s">
        <v>3509</v>
      </c>
      <c r="E1433" s="28" t="s">
        <v>3507</v>
      </c>
      <c r="F1433" s="28" t="s">
        <v>11</v>
      </c>
      <c r="G1433" s="28"/>
    </row>
    <row r="1434" spans="1:7">
      <c r="A1434" s="28">
        <v>1433</v>
      </c>
      <c r="B1434" s="28" t="s">
        <v>1476</v>
      </c>
      <c r="C1434" s="28">
        <v>4137014327</v>
      </c>
      <c r="D1434" s="28" t="s">
        <v>3521</v>
      </c>
      <c r="E1434" s="28" t="s">
        <v>3508</v>
      </c>
      <c r="F1434" s="28" t="s">
        <v>11</v>
      </c>
      <c r="G1434" s="28" t="s">
        <v>1252</v>
      </c>
    </row>
    <row r="1435" spans="1:7">
      <c r="A1435" s="28">
        <v>1434</v>
      </c>
      <c r="B1435" s="28" t="s">
        <v>685</v>
      </c>
      <c r="C1435" s="28">
        <v>4137014438</v>
      </c>
      <c r="D1435" s="28" t="s">
        <v>3509</v>
      </c>
      <c r="E1435" s="28" t="s">
        <v>3507</v>
      </c>
      <c r="F1435" s="28" t="s">
        <v>11</v>
      </c>
      <c r="G1435" s="28"/>
    </row>
    <row r="1436" spans="1:7">
      <c r="A1436" s="28">
        <v>1435</v>
      </c>
      <c r="B1436" s="28" t="s">
        <v>686</v>
      </c>
      <c r="C1436" s="28">
        <v>4137014439</v>
      </c>
      <c r="D1436" s="28" t="s">
        <v>3509</v>
      </c>
      <c r="E1436" s="28" t="s">
        <v>3507</v>
      </c>
      <c r="F1436" s="28" t="s">
        <v>11</v>
      </c>
      <c r="G1436" s="28"/>
    </row>
    <row r="1437" spans="1:7">
      <c r="A1437" s="28">
        <v>1436</v>
      </c>
      <c r="B1437" s="28" t="s">
        <v>1241</v>
      </c>
      <c r="C1437" s="28">
        <v>4137014878</v>
      </c>
      <c r="D1437" s="28" t="s">
        <v>3509</v>
      </c>
      <c r="E1437" s="28" t="s">
        <v>3508</v>
      </c>
      <c r="F1437" s="28" t="s">
        <v>11</v>
      </c>
      <c r="G1437" s="28"/>
    </row>
    <row r="1438" spans="1:7">
      <c r="A1438" s="28">
        <v>1437</v>
      </c>
      <c r="B1438" s="28" t="s">
        <v>690</v>
      </c>
      <c r="C1438" s="28">
        <v>4137013009</v>
      </c>
      <c r="D1438" s="28" t="s">
        <v>3509</v>
      </c>
      <c r="E1438" s="28" t="s">
        <v>3510</v>
      </c>
      <c r="F1438" s="28" t="s">
        <v>11</v>
      </c>
      <c r="G1438" s="28"/>
    </row>
    <row r="1439" spans="1:7">
      <c r="A1439" s="28">
        <v>1438</v>
      </c>
      <c r="B1439" s="28" t="s">
        <v>2190</v>
      </c>
      <c r="C1439" s="28">
        <v>4137010442</v>
      </c>
      <c r="D1439" s="28" t="s">
        <v>3509</v>
      </c>
      <c r="E1439" s="28" t="s">
        <v>3519</v>
      </c>
      <c r="F1439" s="28" t="s">
        <v>1700</v>
      </c>
      <c r="G1439" s="28"/>
    </row>
    <row r="1440" spans="1:7">
      <c r="A1440" s="28">
        <v>1439</v>
      </c>
      <c r="B1440" s="28" t="s">
        <v>2191</v>
      </c>
      <c r="C1440" s="28">
        <v>4137010444</v>
      </c>
      <c r="D1440" s="28" t="s">
        <v>3509</v>
      </c>
      <c r="E1440" s="28" t="s">
        <v>3520</v>
      </c>
      <c r="F1440" s="28" t="s">
        <v>1700</v>
      </c>
      <c r="G1440" s="28"/>
    </row>
    <row r="1441" spans="1:7">
      <c r="A1441" s="28">
        <v>1440</v>
      </c>
      <c r="B1441" s="28" t="s">
        <v>2192</v>
      </c>
      <c r="C1441" s="28">
        <v>4137010832</v>
      </c>
      <c r="D1441" s="28" t="s">
        <v>3509</v>
      </c>
      <c r="E1441" s="28" t="s">
        <v>3507</v>
      </c>
      <c r="F1441" s="28" t="s">
        <v>1700</v>
      </c>
      <c r="G1441" s="28"/>
    </row>
    <row r="1442" spans="1:7">
      <c r="A1442" s="28">
        <v>1441</v>
      </c>
      <c r="B1442" s="28" t="s">
        <v>2193</v>
      </c>
      <c r="C1442" s="28">
        <v>4137011827</v>
      </c>
      <c r="D1442" s="28" t="s">
        <v>3509</v>
      </c>
      <c r="E1442" s="28" t="s">
        <v>3507</v>
      </c>
      <c r="F1442" s="28" t="s">
        <v>1700</v>
      </c>
      <c r="G1442" s="28"/>
    </row>
    <row r="1443" spans="1:7">
      <c r="A1443" s="28">
        <v>1442</v>
      </c>
      <c r="B1443" s="28" t="s">
        <v>3526</v>
      </c>
      <c r="C1443" s="28">
        <v>4137012062</v>
      </c>
      <c r="D1443" s="28" t="s">
        <v>3509</v>
      </c>
      <c r="E1443" s="28" t="s">
        <v>3524</v>
      </c>
      <c r="F1443" s="28" t="s">
        <v>1700</v>
      </c>
      <c r="G1443" s="28"/>
    </row>
    <row r="1444" spans="1:7">
      <c r="A1444" s="28">
        <v>1443</v>
      </c>
      <c r="B1444" s="28" t="s">
        <v>3036</v>
      </c>
      <c r="C1444" s="28">
        <v>4137012070</v>
      </c>
      <c r="D1444" s="28" t="s">
        <v>3521</v>
      </c>
      <c r="E1444" s="28" t="s">
        <v>3515</v>
      </c>
      <c r="F1444" s="28" t="s">
        <v>1700</v>
      </c>
      <c r="G1444" s="28" t="s">
        <v>1252</v>
      </c>
    </row>
    <row r="1445" spans="1:7">
      <c r="A1445" s="28">
        <v>1444</v>
      </c>
      <c r="B1445" s="28" t="s">
        <v>2194</v>
      </c>
      <c r="C1445" s="28">
        <v>4137012324</v>
      </c>
      <c r="D1445" s="28" t="s">
        <v>3509</v>
      </c>
      <c r="E1445" s="28" t="s">
        <v>3508</v>
      </c>
      <c r="F1445" s="28" t="s">
        <v>1700</v>
      </c>
      <c r="G1445" s="28"/>
    </row>
    <row r="1446" spans="1:7">
      <c r="A1446" s="28">
        <v>1445</v>
      </c>
      <c r="B1446" s="28" t="s">
        <v>2195</v>
      </c>
      <c r="C1446" s="28">
        <v>4137012326</v>
      </c>
      <c r="D1446" s="28" t="s">
        <v>3509</v>
      </c>
      <c r="E1446" s="28" t="s">
        <v>3525</v>
      </c>
      <c r="F1446" s="28" t="s">
        <v>1700</v>
      </c>
      <c r="G1446" s="28"/>
    </row>
    <row r="1447" spans="1:7">
      <c r="A1447" s="28">
        <v>1446</v>
      </c>
      <c r="B1447" s="28" t="s">
        <v>2196</v>
      </c>
      <c r="C1447" s="28">
        <v>4137012328</v>
      </c>
      <c r="D1447" s="28" t="s">
        <v>3509</v>
      </c>
      <c r="E1447" s="28" t="s">
        <v>3507</v>
      </c>
      <c r="F1447" s="28" t="s">
        <v>1700</v>
      </c>
      <c r="G1447" s="28"/>
    </row>
    <row r="1448" spans="1:7">
      <c r="A1448" s="28">
        <v>1447</v>
      </c>
      <c r="B1448" s="28" t="s">
        <v>2197</v>
      </c>
      <c r="C1448" s="28">
        <v>4137012329</v>
      </c>
      <c r="D1448" s="28" t="s">
        <v>3509</v>
      </c>
      <c r="E1448" s="28" t="s">
        <v>3507</v>
      </c>
      <c r="F1448" s="28" t="s">
        <v>1700</v>
      </c>
      <c r="G1448" s="28"/>
    </row>
    <row r="1449" spans="1:7">
      <c r="A1449" s="28">
        <v>1448</v>
      </c>
      <c r="B1449" s="28" t="s">
        <v>2198</v>
      </c>
      <c r="C1449" s="28">
        <v>4137012330</v>
      </c>
      <c r="D1449" s="28" t="s">
        <v>3509</v>
      </c>
      <c r="E1449" s="28" t="s">
        <v>3507</v>
      </c>
      <c r="F1449" s="28" t="s">
        <v>1700</v>
      </c>
      <c r="G1449" s="28"/>
    </row>
    <row r="1450" spans="1:7">
      <c r="A1450" s="28">
        <v>1449</v>
      </c>
      <c r="B1450" s="28" t="s">
        <v>2199</v>
      </c>
      <c r="C1450" s="28">
        <v>4137012335</v>
      </c>
      <c r="D1450" s="28" t="s">
        <v>3509</v>
      </c>
      <c r="E1450" s="28" t="s">
        <v>3515</v>
      </c>
      <c r="F1450" s="28" t="s">
        <v>1700</v>
      </c>
      <c r="G1450" s="28"/>
    </row>
    <row r="1451" spans="1:7">
      <c r="A1451" s="28">
        <v>1450</v>
      </c>
      <c r="B1451" s="28" t="s">
        <v>2200</v>
      </c>
      <c r="C1451" s="28">
        <v>4137012391</v>
      </c>
      <c r="D1451" s="28" t="s">
        <v>3509</v>
      </c>
      <c r="E1451" s="28" t="s">
        <v>3512</v>
      </c>
      <c r="F1451" s="28" t="s">
        <v>1700</v>
      </c>
      <c r="G1451" s="28"/>
    </row>
    <row r="1452" spans="1:7">
      <c r="A1452" s="28">
        <v>1451</v>
      </c>
      <c r="B1452" s="28" t="s">
        <v>2201</v>
      </c>
      <c r="C1452" s="28">
        <v>4137012396</v>
      </c>
      <c r="D1452" s="28" t="s">
        <v>3509</v>
      </c>
      <c r="E1452" s="28" t="s">
        <v>3518</v>
      </c>
      <c r="F1452" s="28" t="s">
        <v>1700</v>
      </c>
      <c r="G1452" s="28"/>
    </row>
    <row r="1453" spans="1:7">
      <c r="A1453" s="28">
        <v>1452</v>
      </c>
      <c r="B1453" s="28" t="s">
        <v>2202</v>
      </c>
      <c r="C1453" s="28">
        <v>4137012440</v>
      </c>
      <c r="D1453" s="28" t="s">
        <v>3509</v>
      </c>
      <c r="E1453" s="28" t="s">
        <v>3523</v>
      </c>
      <c r="F1453" s="28" t="s">
        <v>1700</v>
      </c>
      <c r="G1453" s="28"/>
    </row>
    <row r="1454" spans="1:7">
      <c r="A1454" s="28">
        <v>1453</v>
      </c>
      <c r="B1454" s="28" t="s">
        <v>2203</v>
      </c>
      <c r="C1454" s="28">
        <v>4137012441</v>
      </c>
      <c r="D1454" s="28" t="s">
        <v>3509</v>
      </c>
      <c r="E1454" s="28" t="s">
        <v>3516</v>
      </c>
      <c r="F1454" s="28" t="s">
        <v>1700</v>
      </c>
      <c r="G1454" s="28"/>
    </row>
    <row r="1455" spans="1:7">
      <c r="A1455" s="28">
        <v>1454</v>
      </c>
      <c r="B1455" s="28" t="s">
        <v>3527</v>
      </c>
      <c r="C1455" s="28">
        <v>4137012818</v>
      </c>
      <c r="D1455" s="28" t="s">
        <v>3509</v>
      </c>
      <c r="E1455" s="28" t="s">
        <v>3514</v>
      </c>
      <c r="F1455" s="28" t="s">
        <v>1700</v>
      </c>
      <c r="G1455" s="28"/>
    </row>
    <row r="1456" spans="1:7">
      <c r="A1456" s="28">
        <v>1455</v>
      </c>
      <c r="B1456" s="28" t="s">
        <v>2204</v>
      </c>
      <c r="C1456" s="28">
        <v>4137012819</v>
      </c>
      <c r="D1456" s="28" t="s">
        <v>3509</v>
      </c>
      <c r="E1456" s="28" t="s">
        <v>3512</v>
      </c>
      <c r="F1456" s="28" t="s">
        <v>1700</v>
      </c>
      <c r="G1456" s="28"/>
    </row>
    <row r="1457" spans="1:7">
      <c r="A1457" s="28">
        <v>1456</v>
      </c>
      <c r="B1457" s="28" t="s">
        <v>2205</v>
      </c>
      <c r="C1457" s="28">
        <v>4137012841</v>
      </c>
      <c r="D1457" s="28" t="s">
        <v>3509</v>
      </c>
      <c r="E1457" s="28" t="s">
        <v>3511</v>
      </c>
      <c r="F1457" s="28" t="s">
        <v>1700</v>
      </c>
      <c r="G1457" s="28"/>
    </row>
    <row r="1458" spans="1:7">
      <c r="A1458" s="28">
        <v>1457</v>
      </c>
      <c r="B1458" s="28" t="s">
        <v>3037</v>
      </c>
      <c r="C1458" s="28">
        <v>4137012842</v>
      </c>
      <c r="D1458" s="28" t="s">
        <v>3521</v>
      </c>
      <c r="E1458" s="28" t="s">
        <v>3517</v>
      </c>
      <c r="F1458" s="28" t="s">
        <v>1700</v>
      </c>
      <c r="G1458" s="28" t="s">
        <v>1252</v>
      </c>
    </row>
    <row r="1459" spans="1:7">
      <c r="A1459" s="28">
        <v>1458</v>
      </c>
      <c r="B1459" s="28" t="s">
        <v>3038</v>
      </c>
      <c r="C1459" s="28">
        <v>4137012844</v>
      </c>
      <c r="D1459" s="28" t="s">
        <v>3521</v>
      </c>
      <c r="E1459" s="28" t="s">
        <v>3511</v>
      </c>
      <c r="F1459" s="28" t="s">
        <v>1700</v>
      </c>
      <c r="G1459" s="28" t="s">
        <v>1252</v>
      </c>
    </row>
    <row r="1460" spans="1:7">
      <c r="A1460" s="28">
        <v>1459</v>
      </c>
      <c r="B1460" s="28" t="s">
        <v>3039</v>
      </c>
      <c r="C1460" s="28">
        <v>4137012945</v>
      </c>
      <c r="D1460" s="28" t="s">
        <v>3521</v>
      </c>
      <c r="E1460" s="28" t="s">
        <v>3507</v>
      </c>
      <c r="F1460" s="28" t="s">
        <v>1700</v>
      </c>
      <c r="G1460" s="28" t="s">
        <v>1252</v>
      </c>
    </row>
    <row r="1461" spans="1:7">
      <c r="A1461" s="28">
        <v>1460</v>
      </c>
      <c r="B1461" s="28" t="s">
        <v>2206</v>
      </c>
      <c r="C1461" s="28">
        <v>4137012946</v>
      </c>
      <c r="D1461" s="28" t="s">
        <v>3509</v>
      </c>
      <c r="E1461" s="28" t="s">
        <v>3524</v>
      </c>
      <c r="F1461" s="28" t="s">
        <v>1700</v>
      </c>
      <c r="G1461" s="28"/>
    </row>
    <row r="1462" spans="1:7">
      <c r="A1462" s="28">
        <v>1461</v>
      </c>
      <c r="B1462" s="28" t="s">
        <v>2207</v>
      </c>
      <c r="C1462" s="28">
        <v>4137012947</v>
      </c>
      <c r="D1462" s="28" t="s">
        <v>3509</v>
      </c>
      <c r="E1462" s="28" t="s">
        <v>3512</v>
      </c>
      <c r="F1462" s="28" t="s">
        <v>1700</v>
      </c>
      <c r="G1462" s="28"/>
    </row>
    <row r="1463" spans="1:7">
      <c r="A1463" s="28">
        <v>1462</v>
      </c>
      <c r="B1463" s="28" t="s">
        <v>3040</v>
      </c>
      <c r="C1463" s="28">
        <v>4137013005</v>
      </c>
      <c r="D1463" s="28" t="s">
        <v>3521</v>
      </c>
      <c r="E1463" s="28" t="s">
        <v>3508</v>
      </c>
      <c r="F1463" s="28" t="s">
        <v>1700</v>
      </c>
      <c r="G1463" s="28" t="s">
        <v>1252</v>
      </c>
    </row>
    <row r="1464" spans="1:7">
      <c r="A1464" s="28">
        <v>1463</v>
      </c>
      <c r="B1464" s="28" t="s">
        <v>2208</v>
      </c>
      <c r="C1464" s="28">
        <v>4137013007</v>
      </c>
      <c r="D1464" s="28" t="s">
        <v>3509</v>
      </c>
      <c r="E1464" s="28" t="s">
        <v>3523</v>
      </c>
      <c r="F1464" s="28" t="s">
        <v>1700</v>
      </c>
      <c r="G1464" s="28"/>
    </row>
    <row r="1465" spans="1:7">
      <c r="A1465" s="28">
        <v>1464</v>
      </c>
      <c r="B1465" s="28" t="s">
        <v>2209</v>
      </c>
      <c r="C1465" s="28">
        <v>4137013008</v>
      </c>
      <c r="D1465" s="28" t="s">
        <v>3509</v>
      </c>
      <c r="E1465" s="28" t="s">
        <v>3512</v>
      </c>
      <c r="F1465" s="28" t="s">
        <v>1700</v>
      </c>
      <c r="G1465" s="28"/>
    </row>
    <row r="1466" spans="1:7">
      <c r="A1466" s="28">
        <v>1465</v>
      </c>
      <c r="B1466" s="28" t="s">
        <v>2210</v>
      </c>
      <c r="C1466" s="28">
        <v>4137013010</v>
      </c>
      <c r="D1466" s="28" t="s">
        <v>3509</v>
      </c>
      <c r="E1466" s="28" t="s">
        <v>3508</v>
      </c>
      <c r="F1466" s="28" t="s">
        <v>1700</v>
      </c>
      <c r="G1466" s="28"/>
    </row>
    <row r="1467" spans="1:7">
      <c r="A1467" s="28">
        <v>1466</v>
      </c>
      <c r="B1467" s="28" t="s">
        <v>2211</v>
      </c>
      <c r="C1467" s="28">
        <v>4137013011</v>
      </c>
      <c r="D1467" s="28" t="s">
        <v>3509</v>
      </c>
      <c r="E1467" s="28" t="s">
        <v>3508</v>
      </c>
      <c r="F1467" s="28" t="s">
        <v>1700</v>
      </c>
      <c r="G1467" s="28"/>
    </row>
    <row r="1468" spans="1:7">
      <c r="A1468" s="28">
        <v>1467</v>
      </c>
      <c r="B1468" s="28" t="s">
        <v>2212</v>
      </c>
      <c r="C1468" s="28">
        <v>4137013012</v>
      </c>
      <c r="D1468" s="28" t="s">
        <v>3509</v>
      </c>
      <c r="E1468" s="28" t="s">
        <v>3512</v>
      </c>
      <c r="F1468" s="28" t="s">
        <v>1700</v>
      </c>
      <c r="G1468" s="28"/>
    </row>
    <row r="1469" spans="1:7">
      <c r="A1469" s="28">
        <v>1468</v>
      </c>
      <c r="B1469" s="28" t="s">
        <v>2213</v>
      </c>
      <c r="C1469" s="28">
        <v>4137013014</v>
      </c>
      <c r="D1469" s="28" t="s">
        <v>3509</v>
      </c>
      <c r="E1469" s="28" t="s">
        <v>3508</v>
      </c>
      <c r="F1469" s="28" t="s">
        <v>1700</v>
      </c>
      <c r="G1469" s="28"/>
    </row>
    <row r="1470" spans="1:7">
      <c r="A1470" s="28">
        <v>1469</v>
      </c>
      <c r="B1470" s="28" t="s">
        <v>2214</v>
      </c>
      <c r="C1470" s="28">
        <v>4137013316</v>
      </c>
      <c r="D1470" s="28" t="s">
        <v>3509</v>
      </c>
      <c r="E1470" s="28" t="s">
        <v>3523</v>
      </c>
      <c r="F1470" s="28" t="s">
        <v>1700</v>
      </c>
      <c r="G1470" s="28"/>
    </row>
    <row r="1471" spans="1:7">
      <c r="A1471" s="28">
        <v>1470</v>
      </c>
      <c r="B1471" s="28" t="s">
        <v>2215</v>
      </c>
      <c r="C1471" s="28">
        <v>4137013317</v>
      </c>
      <c r="D1471" s="28" t="s">
        <v>3509</v>
      </c>
      <c r="E1471" s="28" t="s">
        <v>3512</v>
      </c>
      <c r="F1471" s="28" t="s">
        <v>1700</v>
      </c>
      <c r="G1471" s="28"/>
    </row>
    <row r="1472" spans="1:7">
      <c r="A1472" s="28">
        <v>1471</v>
      </c>
      <c r="B1472" s="28" t="s">
        <v>2216</v>
      </c>
      <c r="C1472" s="28">
        <v>4137013318</v>
      </c>
      <c r="D1472" s="28" t="s">
        <v>3509</v>
      </c>
      <c r="E1472" s="28" t="s">
        <v>3510</v>
      </c>
      <c r="F1472" s="28" t="s">
        <v>1700</v>
      </c>
      <c r="G1472" s="28"/>
    </row>
    <row r="1473" spans="1:7">
      <c r="A1473" s="28">
        <v>1472</v>
      </c>
      <c r="B1473" s="28" t="s">
        <v>2217</v>
      </c>
      <c r="C1473" s="28">
        <v>4137013319</v>
      </c>
      <c r="D1473" s="28" t="s">
        <v>3509</v>
      </c>
      <c r="E1473" s="28" t="s">
        <v>3510</v>
      </c>
      <c r="F1473" s="28" t="s">
        <v>1700</v>
      </c>
      <c r="G1473" s="28"/>
    </row>
    <row r="1474" spans="1:7">
      <c r="A1474" s="28">
        <v>1473</v>
      </c>
      <c r="B1474" s="28" t="s">
        <v>3041</v>
      </c>
      <c r="C1474" s="28">
        <v>4137013321</v>
      </c>
      <c r="D1474" s="28" t="s">
        <v>3521</v>
      </c>
      <c r="E1474" s="28" t="s">
        <v>3508</v>
      </c>
      <c r="F1474" s="28" t="s">
        <v>1700</v>
      </c>
      <c r="G1474" s="28" t="s">
        <v>1252</v>
      </c>
    </row>
    <row r="1475" spans="1:7">
      <c r="A1475" s="28">
        <v>1474</v>
      </c>
      <c r="B1475" s="28" t="s">
        <v>2218</v>
      </c>
      <c r="C1475" s="28">
        <v>4137013323</v>
      </c>
      <c r="D1475" s="28" t="s">
        <v>3509</v>
      </c>
      <c r="E1475" s="28" t="s">
        <v>3507</v>
      </c>
      <c r="F1475" s="28" t="s">
        <v>1700</v>
      </c>
      <c r="G1475" s="28"/>
    </row>
    <row r="1476" spans="1:7">
      <c r="A1476" s="28">
        <v>1475</v>
      </c>
      <c r="B1476" s="28" t="s">
        <v>2219</v>
      </c>
      <c r="C1476" s="28">
        <v>4137013355</v>
      </c>
      <c r="D1476" s="28" t="s">
        <v>3509</v>
      </c>
      <c r="E1476" s="28" t="s">
        <v>3518</v>
      </c>
      <c r="F1476" s="28" t="s">
        <v>1700</v>
      </c>
      <c r="G1476" s="28"/>
    </row>
    <row r="1477" spans="1:7">
      <c r="A1477" s="28">
        <v>1476</v>
      </c>
      <c r="B1477" s="28" t="s">
        <v>3042</v>
      </c>
      <c r="C1477" s="28">
        <v>4137013388</v>
      </c>
      <c r="D1477" s="28" t="s">
        <v>3521</v>
      </c>
      <c r="E1477" s="28" t="s">
        <v>3512</v>
      </c>
      <c r="F1477" s="28" t="s">
        <v>1700</v>
      </c>
      <c r="G1477" s="28" t="s">
        <v>1252</v>
      </c>
    </row>
    <row r="1478" spans="1:7">
      <c r="A1478" s="28">
        <v>1477</v>
      </c>
      <c r="B1478" s="28" t="s">
        <v>2220</v>
      </c>
      <c r="C1478" s="28">
        <v>4137013389</v>
      </c>
      <c r="D1478" s="28" t="s">
        <v>3509</v>
      </c>
      <c r="E1478" s="28" t="s">
        <v>3517</v>
      </c>
      <c r="F1478" s="28" t="s">
        <v>1700</v>
      </c>
      <c r="G1478" s="28"/>
    </row>
    <row r="1479" spans="1:7">
      <c r="A1479" s="28">
        <v>1478</v>
      </c>
      <c r="B1479" s="28" t="s">
        <v>2221</v>
      </c>
      <c r="C1479" s="28">
        <v>4137013390</v>
      </c>
      <c r="D1479" s="28" t="s">
        <v>3509</v>
      </c>
      <c r="E1479" s="28" t="s">
        <v>3522</v>
      </c>
      <c r="F1479" s="28" t="s">
        <v>1700</v>
      </c>
      <c r="G1479" s="28"/>
    </row>
    <row r="1480" spans="1:7">
      <c r="A1480" s="28">
        <v>1479</v>
      </c>
      <c r="B1480" s="28" t="s">
        <v>2222</v>
      </c>
      <c r="C1480" s="28">
        <v>4137013777</v>
      </c>
      <c r="D1480" s="28" t="s">
        <v>3509</v>
      </c>
      <c r="E1480" s="28" t="s">
        <v>3510</v>
      </c>
      <c r="F1480" s="28" t="s">
        <v>1700</v>
      </c>
      <c r="G1480" s="28"/>
    </row>
    <row r="1481" spans="1:7">
      <c r="A1481" s="28">
        <v>1480</v>
      </c>
      <c r="B1481" s="28" t="s">
        <v>2223</v>
      </c>
      <c r="C1481" s="28">
        <v>4137013778</v>
      </c>
      <c r="D1481" s="28" t="s">
        <v>3509</v>
      </c>
      <c r="E1481" s="28" t="s">
        <v>3518</v>
      </c>
      <c r="F1481" s="28" t="s">
        <v>1700</v>
      </c>
      <c r="G1481" s="28"/>
    </row>
    <row r="1482" spans="1:7">
      <c r="A1482" s="28">
        <v>1481</v>
      </c>
      <c r="B1482" s="28" t="s">
        <v>2224</v>
      </c>
      <c r="C1482" s="28">
        <v>4137013855</v>
      </c>
      <c r="D1482" s="28" t="s">
        <v>3509</v>
      </c>
      <c r="E1482" s="28" t="s">
        <v>3507</v>
      </c>
      <c r="F1482" s="28" t="s">
        <v>1700</v>
      </c>
      <c r="G1482" s="28"/>
    </row>
    <row r="1483" spans="1:7">
      <c r="A1483" s="28">
        <v>1482</v>
      </c>
      <c r="B1483" s="28" t="s">
        <v>2225</v>
      </c>
      <c r="C1483" s="28">
        <v>4137013856</v>
      </c>
      <c r="D1483" s="28" t="s">
        <v>3509</v>
      </c>
      <c r="E1483" s="28" t="s">
        <v>3507</v>
      </c>
      <c r="F1483" s="28" t="s">
        <v>1700</v>
      </c>
      <c r="G1483" s="28"/>
    </row>
    <row r="1484" spans="1:7">
      <c r="A1484" s="28">
        <v>1483</v>
      </c>
      <c r="B1484" s="28" t="s">
        <v>2226</v>
      </c>
      <c r="C1484" s="28">
        <v>4137013858</v>
      </c>
      <c r="D1484" s="28" t="s">
        <v>3509</v>
      </c>
      <c r="E1484" s="28" t="s">
        <v>3507</v>
      </c>
      <c r="F1484" s="28" t="s">
        <v>1700</v>
      </c>
      <c r="G1484" s="28"/>
    </row>
    <row r="1485" spans="1:7">
      <c r="A1485" s="28">
        <v>1484</v>
      </c>
      <c r="B1485" s="28" t="s">
        <v>2227</v>
      </c>
      <c r="C1485" s="28">
        <v>4137013859</v>
      </c>
      <c r="D1485" s="28" t="s">
        <v>3509</v>
      </c>
      <c r="E1485" s="28" t="s">
        <v>3510</v>
      </c>
      <c r="F1485" s="28" t="s">
        <v>1700</v>
      </c>
      <c r="G1485" s="28"/>
    </row>
    <row r="1486" spans="1:7">
      <c r="A1486" s="28">
        <v>1485</v>
      </c>
      <c r="B1486" s="28" t="s">
        <v>3043</v>
      </c>
      <c r="C1486" s="28">
        <v>4137013860</v>
      </c>
      <c r="D1486" s="28" t="s">
        <v>3521</v>
      </c>
      <c r="E1486" s="28" t="s">
        <v>3507</v>
      </c>
      <c r="F1486" s="28" t="s">
        <v>1700</v>
      </c>
      <c r="G1486" s="28" t="s">
        <v>1252</v>
      </c>
    </row>
    <row r="1487" spans="1:7">
      <c r="A1487" s="28">
        <v>1486</v>
      </c>
      <c r="B1487" s="28" t="s">
        <v>2228</v>
      </c>
      <c r="C1487" s="28">
        <v>4137013861</v>
      </c>
      <c r="D1487" s="28" t="s">
        <v>3509</v>
      </c>
      <c r="E1487" s="28" t="s">
        <v>3511</v>
      </c>
      <c r="F1487" s="28" t="s">
        <v>1700</v>
      </c>
      <c r="G1487" s="28"/>
    </row>
    <row r="1488" spans="1:7">
      <c r="A1488" s="28">
        <v>1487</v>
      </c>
      <c r="B1488" s="28" t="s">
        <v>2229</v>
      </c>
      <c r="C1488" s="28">
        <v>4137013966</v>
      </c>
      <c r="D1488" s="28" t="s">
        <v>3509</v>
      </c>
      <c r="E1488" s="28" t="s">
        <v>3525</v>
      </c>
      <c r="F1488" s="28" t="s">
        <v>1700</v>
      </c>
      <c r="G1488" s="28"/>
    </row>
    <row r="1489" spans="1:7">
      <c r="A1489" s="28">
        <v>1488</v>
      </c>
      <c r="B1489" s="28" t="s">
        <v>2230</v>
      </c>
      <c r="C1489" s="28">
        <v>4137014078</v>
      </c>
      <c r="D1489" s="28" t="s">
        <v>3509</v>
      </c>
      <c r="E1489" s="28" t="s">
        <v>3518</v>
      </c>
      <c r="F1489" s="28" t="s">
        <v>1700</v>
      </c>
      <c r="G1489" s="28"/>
    </row>
    <row r="1490" spans="1:7">
      <c r="A1490" s="28">
        <v>1489</v>
      </c>
      <c r="B1490" s="28" t="s">
        <v>2231</v>
      </c>
      <c r="C1490" s="28">
        <v>4137014079</v>
      </c>
      <c r="D1490" s="28" t="s">
        <v>3509</v>
      </c>
      <c r="E1490" s="28" t="s">
        <v>3510</v>
      </c>
      <c r="F1490" s="28" t="s">
        <v>1700</v>
      </c>
      <c r="G1490" s="28"/>
    </row>
    <row r="1491" spans="1:7">
      <c r="A1491" s="28">
        <v>1490</v>
      </c>
      <c r="B1491" s="28" t="s">
        <v>2232</v>
      </c>
      <c r="C1491" s="28">
        <v>4137014080</v>
      </c>
      <c r="D1491" s="28" t="s">
        <v>3509</v>
      </c>
      <c r="E1491" s="28" t="s">
        <v>3507</v>
      </c>
      <c r="F1491" s="28" t="s">
        <v>1700</v>
      </c>
      <c r="G1491" s="28"/>
    </row>
    <row r="1492" spans="1:7">
      <c r="A1492" s="28">
        <v>1491</v>
      </c>
      <c r="B1492" s="28" t="s">
        <v>2233</v>
      </c>
      <c r="C1492" s="28">
        <v>4137014081</v>
      </c>
      <c r="D1492" s="28" t="s">
        <v>3509</v>
      </c>
      <c r="E1492" s="28" t="s">
        <v>3518</v>
      </c>
      <c r="F1492" s="28" t="s">
        <v>1700</v>
      </c>
      <c r="G1492" s="28"/>
    </row>
    <row r="1493" spans="1:7">
      <c r="A1493" s="28">
        <v>1492</v>
      </c>
      <c r="B1493" s="28" t="s">
        <v>2234</v>
      </c>
      <c r="C1493" s="28">
        <v>4137014082</v>
      </c>
      <c r="D1493" s="28" t="s">
        <v>3509</v>
      </c>
      <c r="E1493" s="28" t="s">
        <v>3507</v>
      </c>
      <c r="F1493" s="28" t="s">
        <v>1700</v>
      </c>
      <c r="G1493" s="28"/>
    </row>
    <row r="1494" spans="1:7">
      <c r="A1494" s="28">
        <v>1493</v>
      </c>
      <c r="B1494" s="28" t="s">
        <v>2235</v>
      </c>
      <c r="C1494" s="28">
        <v>4137014118</v>
      </c>
      <c r="D1494" s="28" t="s">
        <v>3509</v>
      </c>
      <c r="E1494" s="28" t="s">
        <v>3520</v>
      </c>
      <c r="F1494" s="28" t="s">
        <v>1700</v>
      </c>
      <c r="G1494" s="28"/>
    </row>
    <row r="1495" spans="1:7">
      <c r="A1495" s="28">
        <v>1494</v>
      </c>
      <c r="B1495" s="28" t="s">
        <v>2236</v>
      </c>
      <c r="C1495" s="28">
        <v>4137014193</v>
      </c>
      <c r="D1495" s="28" t="s">
        <v>3509</v>
      </c>
      <c r="E1495" s="28" t="s">
        <v>3507</v>
      </c>
      <c r="F1495" s="28" t="s">
        <v>1700</v>
      </c>
      <c r="G1495" s="28"/>
    </row>
    <row r="1496" spans="1:7">
      <c r="A1496" s="28">
        <v>1495</v>
      </c>
      <c r="B1496" s="28" t="s">
        <v>2237</v>
      </c>
      <c r="C1496" s="28">
        <v>4137014195</v>
      </c>
      <c r="D1496" s="28" t="s">
        <v>3509</v>
      </c>
      <c r="E1496" s="28" t="s">
        <v>3519</v>
      </c>
      <c r="F1496" s="28" t="s">
        <v>1700</v>
      </c>
      <c r="G1496" s="28"/>
    </row>
    <row r="1497" spans="1:7">
      <c r="A1497" s="28">
        <v>1496</v>
      </c>
      <c r="B1497" s="28" t="s">
        <v>2238</v>
      </c>
      <c r="C1497" s="28">
        <v>4137014196</v>
      </c>
      <c r="D1497" s="28" t="s">
        <v>3509</v>
      </c>
      <c r="E1497" s="28" t="s">
        <v>3522</v>
      </c>
      <c r="F1497" s="28" t="s">
        <v>1700</v>
      </c>
      <c r="G1497" s="28"/>
    </row>
    <row r="1498" spans="1:7">
      <c r="A1498" s="28">
        <v>1497</v>
      </c>
      <c r="B1498" s="28" t="s">
        <v>2239</v>
      </c>
      <c r="C1498" s="28">
        <v>4137014242</v>
      </c>
      <c r="D1498" s="28" t="s">
        <v>3509</v>
      </c>
      <c r="E1498" s="28" t="s">
        <v>3515</v>
      </c>
      <c r="F1498" s="28" t="s">
        <v>1700</v>
      </c>
      <c r="G1498" s="28"/>
    </row>
    <row r="1499" spans="1:7">
      <c r="A1499" s="28">
        <v>1498</v>
      </c>
      <c r="B1499" s="28" t="s">
        <v>3044</v>
      </c>
      <c r="C1499" s="28">
        <v>4137014261</v>
      </c>
      <c r="D1499" s="28" t="s">
        <v>3521</v>
      </c>
      <c r="E1499" s="28" t="s">
        <v>3508</v>
      </c>
      <c r="F1499" s="28" t="s">
        <v>1700</v>
      </c>
      <c r="G1499" s="28" t="s">
        <v>1252</v>
      </c>
    </row>
    <row r="1500" spans="1:7">
      <c r="A1500" s="28">
        <v>1499</v>
      </c>
      <c r="B1500" s="28" t="s">
        <v>2240</v>
      </c>
      <c r="C1500" s="28">
        <v>4137014320</v>
      </c>
      <c r="D1500" s="28" t="s">
        <v>3509</v>
      </c>
      <c r="E1500" s="28" t="s">
        <v>3508</v>
      </c>
      <c r="F1500" s="28" t="s">
        <v>1700</v>
      </c>
      <c r="G1500" s="28"/>
    </row>
    <row r="1501" spans="1:7">
      <c r="A1501" s="28">
        <v>1500</v>
      </c>
      <c r="B1501" s="28" t="s">
        <v>2241</v>
      </c>
      <c r="C1501" s="28">
        <v>4137014332</v>
      </c>
      <c r="D1501" s="28" t="s">
        <v>3509</v>
      </c>
      <c r="E1501" s="28" t="s">
        <v>3507</v>
      </c>
      <c r="F1501" s="28" t="s">
        <v>1700</v>
      </c>
      <c r="G1501" s="28"/>
    </row>
    <row r="1502" spans="1:7">
      <c r="A1502" s="28">
        <v>1501</v>
      </c>
      <c r="B1502" s="28" t="s">
        <v>2242</v>
      </c>
      <c r="C1502" s="28">
        <v>4137014343</v>
      </c>
      <c r="D1502" s="28" t="s">
        <v>3509</v>
      </c>
      <c r="E1502" s="28" t="s">
        <v>3507</v>
      </c>
      <c r="F1502" s="28" t="s">
        <v>1700</v>
      </c>
      <c r="G1502" s="28"/>
    </row>
    <row r="1503" spans="1:7">
      <c r="A1503" s="28">
        <v>1502</v>
      </c>
      <c r="B1503" s="28" t="s">
        <v>2243</v>
      </c>
      <c r="C1503" s="28">
        <v>4137014345</v>
      </c>
      <c r="D1503" s="28" t="s">
        <v>3509</v>
      </c>
      <c r="E1503" s="28" t="s">
        <v>3511</v>
      </c>
      <c r="F1503" s="28" t="s">
        <v>1700</v>
      </c>
      <c r="G1503" s="28"/>
    </row>
    <row r="1504" spans="1:7">
      <c r="A1504" s="28">
        <v>1503</v>
      </c>
      <c r="B1504" s="28" t="s">
        <v>3045</v>
      </c>
      <c r="C1504" s="28">
        <v>4137014346</v>
      </c>
      <c r="D1504" s="28" t="s">
        <v>3521</v>
      </c>
      <c r="E1504" s="28" t="s">
        <v>3512</v>
      </c>
      <c r="F1504" s="28" t="s">
        <v>1700</v>
      </c>
      <c r="G1504" s="28" t="s">
        <v>1252</v>
      </c>
    </row>
    <row r="1505" spans="1:7">
      <c r="A1505" s="28">
        <v>1504</v>
      </c>
      <c r="B1505" s="28" t="s">
        <v>2244</v>
      </c>
      <c r="C1505" s="28">
        <v>4137014347</v>
      </c>
      <c r="D1505" s="28" t="s">
        <v>3509</v>
      </c>
      <c r="E1505" s="28" t="s">
        <v>3512</v>
      </c>
      <c r="F1505" s="28" t="s">
        <v>1700</v>
      </c>
      <c r="G1505" s="28"/>
    </row>
    <row r="1506" spans="1:7">
      <c r="A1506" s="28">
        <v>1505</v>
      </c>
      <c r="B1506" s="28" t="s">
        <v>2245</v>
      </c>
      <c r="C1506" s="28">
        <v>4137014379</v>
      </c>
      <c r="D1506" s="28" t="s">
        <v>3509</v>
      </c>
      <c r="E1506" s="28" t="s">
        <v>3512</v>
      </c>
      <c r="F1506" s="28" t="s">
        <v>1700</v>
      </c>
      <c r="G1506" s="28"/>
    </row>
    <row r="1507" spans="1:7">
      <c r="A1507" s="28">
        <v>1506</v>
      </c>
      <c r="B1507" s="28" t="s">
        <v>2246</v>
      </c>
      <c r="C1507" s="28">
        <v>4137014477</v>
      </c>
      <c r="D1507" s="28" t="s">
        <v>3509</v>
      </c>
      <c r="E1507" s="28" t="s">
        <v>3520</v>
      </c>
      <c r="F1507" s="28" t="s">
        <v>1700</v>
      </c>
      <c r="G1507" s="28"/>
    </row>
    <row r="1508" spans="1:7">
      <c r="A1508" s="28">
        <v>1507</v>
      </c>
      <c r="B1508" s="28" t="s">
        <v>3046</v>
      </c>
      <c r="C1508" s="28">
        <v>4137014506</v>
      </c>
      <c r="D1508" s="28" t="s">
        <v>3521</v>
      </c>
      <c r="E1508" s="28" t="s">
        <v>3507</v>
      </c>
      <c r="F1508" s="28" t="s">
        <v>1700</v>
      </c>
      <c r="G1508" s="28" t="s">
        <v>1252</v>
      </c>
    </row>
    <row r="1509" spans="1:7">
      <c r="A1509" s="28">
        <v>1508</v>
      </c>
      <c r="B1509" s="28" t="s">
        <v>2247</v>
      </c>
      <c r="C1509" s="28">
        <v>4137014507</v>
      </c>
      <c r="D1509" s="28" t="s">
        <v>3509</v>
      </c>
      <c r="E1509" s="28" t="s">
        <v>3525</v>
      </c>
      <c r="F1509" s="28" t="s">
        <v>1700</v>
      </c>
      <c r="G1509" s="28"/>
    </row>
    <row r="1510" spans="1:7">
      <c r="A1510" s="28">
        <v>1509</v>
      </c>
      <c r="B1510" s="28" t="s">
        <v>2248</v>
      </c>
      <c r="C1510" s="28">
        <v>4137014545</v>
      </c>
      <c r="D1510" s="28" t="s">
        <v>3509</v>
      </c>
      <c r="E1510" s="28" t="s">
        <v>3507</v>
      </c>
      <c r="F1510" s="28" t="s">
        <v>1700</v>
      </c>
      <c r="G1510" s="28"/>
    </row>
    <row r="1511" spans="1:7">
      <c r="A1511" s="28">
        <v>1510</v>
      </c>
      <c r="B1511" s="28" t="s">
        <v>3047</v>
      </c>
      <c r="C1511" s="28">
        <v>4137014570</v>
      </c>
      <c r="D1511" s="28" t="s">
        <v>3521</v>
      </c>
      <c r="E1511" s="28" t="s">
        <v>3518</v>
      </c>
      <c r="F1511" s="28" t="s">
        <v>1700</v>
      </c>
      <c r="G1511" s="28" t="s">
        <v>1252</v>
      </c>
    </row>
    <row r="1512" spans="1:7">
      <c r="A1512" s="28">
        <v>1511</v>
      </c>
      <c r="B1512" s="28" t="s">
        <v>3048</v>
      </c>
      <c r="C1512" s="28">
        <v>4137014605</v>
      </c>
      <c r="D1512" s="28" t="s">
        <v>3521</v>
      </c>
      <c r="E1512" s="28" t="s">
        <v>3524</v>
      </c>
      <c r="F1512" s="28" t="s">
        <v>1700</v>
      </c>
      <c r="G1512" s="28" t="s">
        <v>1252</v>
      </c>
    </row>
    <row r="1513" spans="1:7">
      <c r="A1513" s="28">
        <v>1512</v>
      </c>
      <c r="B1513" s="28" t="s">
        <v>2249</v>
      </c>
      <c r="C1513" s="28">
        <v>4137014666</v>
      </c>
      <c r="D1513" s="28" t="s">
        <v>3509</v>
      </c>
      <c r="E1513" s="28" t="s">
        <v>3508</v>
      </c>
      <c r="F1513" s="28" t="s">
        <v>1700</v>
      </c>
      <c r="G1513" s="28"/>
    </row>
    <row r="1514" spans="1:7">
      <c r="A1514" s="28">
        <v>1513</v>
      </c>
      <c r="B1514" s="28" t="s">
        <v>2250</v>
      </c>
      <c r="C1514" s="28">
        <v>4137014688</v>
      </c>
      <c r="D1514" s="28" t="s">
        <v>3509</v>
      </c>
      <c r="E1514" s="28" t="s">
        <v>3508</v>
      </c>
      <c r="F1514" s="28" t="s">
        <v>1700</v>
      </c>
      <c r="G1514" s="28"/>
    </row>
    <row r="1515" spans="1:7">
      <c r="A1515" s="28">
        <v>1514</v>
      </c>
      <c r="B1515" s="28" t="s">
        <v>2251</v>
      </c>
      <c r="C1515" s="28">
        <v>4137014689</v>
      </c>
      <c r="D1515" s="28" t="s">
        <v>3509</v>
      </c>
      <c r="E1515" s="28" t="s">
        <v>3518</v>
      </c>
      <c r="F1515" s="28" t="s">
        <v>1700</v>
      </c>
      <c r="G1515" s="28"/>
    </row>
    <row r="1516" spans="1:7">
      <c r="A1516" s="28">
        <v>1515</v>
      </c>
      <c r="B1516" s="28" t="s">
        <v>2252</v>
      </c>
      <c r="C1516" s="28">
        <v>4137014707</v>
      </c>
      <c r="D1516" s="28" t="s">
        <v>3509</v>
      </c>
      <c r="E1516" s="28" t="s">
        <v>3518</v>
      </c>
      <c r="F1516" s="28" t="s">
        <v>1700</v>
      </c>
      <c r="G1516" s="28"/>
    </row>
    <row r="1517" spans="1:7">
      <c r="A1517" s="28">
        <v>1516</v>
      </c>
      <c r="B1517" s="28" t="s">
        <v>2253</v>
      </c>
      <c r="C1517" s="28">
        <v>4137014708</v>
      </c>
      <c r="D1517" s="28" t="s">
        <v>3509</v>
      </c>
      <c r="E1517" s="28" t="s">
        <v>3519</v>
      </c>
      <c r="F1517" s="28" t="s">
        <v>1700</v>
      </c>
      <c r="G1517" s="28"/>
    </row>
    <row r="1518" spans="1:7">
      <c r="A1518" s="28">
        <v>1517</v>
      </c>
      <c r="B1518" s="28" t="s">
        <v>3049</v>
      </c>
      <c r="C1518" s="28">
        <v>4137014709</v>
      </c>
      <c r="D1518" s="28" t="s">
        <v>3521</v>
      </c>
      <c r="E1518" s="28" t="s">
        <v>3508</v>
      </c>
      <c r="F1518" s="28" t="s">
        <v>1700</v>
      </c>
      <c r="G1518" s="28" t="s">
        <v>1252</v>
      </c>
    </row>
    <row r="1519" spans="1:7">
      <c r="A1519" s="28">
        <v>1518</v>
      </c>
      <c r="B1519" s="28" t="s">
        <v>3050</v>
      </c>
      <c r="C1519" s="28">
        <v>4137014710</v>
      </c>
      <c r="D1519" s="28" t="s">
        <v>3521</v>
      </c>
      <c r="E1519" s="28" t="s">
        <v>3512</v>
      </c>
      <c r="F1519" s="28" t="s">
        <v>1700</v>
      </c>
      <c r="G1519" s="28" t="s">
        <v>1252</v>
      </c>
    </row>
    <row r="1520" spans="1:7">
      <c r="A1520" s="28">
        <v>1519</v>
      </c>
      <c r="B1520" s="28" t="s">
        <v>3051</v>
      </c>
      <c r="C1520" s="28">
        <v>4137014749</v>
      </c>
      <c r="D1520" s="28" t="s">
        <v>3521</v>
      </c>
      <c r="E1520" s="28" t="s">
        <v>3514</v>
      </c>
      <c r="F1520" s="28" t="s">
        <v>1700</v>
      </c>
      <c r="G1520" s="28" t="s">
        <v>1252</v>
      </c>
    </row>
    <row r="1521" spans="1:7">
      <c r="A1521" s="28">
        <v>1520</v>
      </c>
      <c r="B1521" s="28" t="s">
        <v>2829</v>
      </c>
      <c r="C1521" s="28">
        <v>4137014809</v>
      </c>
      <c r="D1521" s="28" t="s">
        <v>3509</v>
      </c>
      <c r="E1521" s="28" t="s">
        <v>3518</v>
      </c>
      <c r="F1521" s="28" t="s">
        <v>1700</v>
      </c>
      <c r="G1521" s="28"/>
    </row>
    <row r="1522" spans="1:7">
      <c r="A1522" s="28">
        <v>1521</v>
      </c>
      <c r="B1522" s="28" t="s">
        <v>3243</v>
      </c>
      <c r="C1522" s="28">
        <v>4137014810</v>
      </c>
      <c r="D1522" s="28" t="s">
        <v>3521</v>
      </c>
      <c r="E1522" s="28" t="s">
        <v>3512</v>
      </c>
      <c r="F1522" s="28" t="s">
        <v>1700</v>
      </c>
      <c r="G1522" s="28" t="s">
        <v>1252</v>
      </c>
    </row>
    <row r="1523" spans="1:7">
      <c r="A1523" s="28">
        <v>1522</v>
      </c>
      <c r="B1523" s="28" t="s">
        <v>3244</v>
      </c>
      <c r="C1523" s="28">
        <v>4137014811</v>
      </c>
      <c r="D1523" s="28" t="s">
        <v>3521</v>
      </c>
      <c r="E1523" s="28" t="s">
        <v>3518</v>
      </c>
      <c r="F1523" s="28" t="s">
        <v>1700</v>
      </c>
      <c r="G1523" s="28" t="s">
        <v>1252</v>
      </c>
    </row>
    <row r="1524" spans="1:7">
      <c r="A1524" s="28">
        <v>1523</v>
      </c>
      <c r="B1524" s="28" t="s">
        <v>3265</v>
      </c>
      <c r="C1524" s="28">
        <v>4137014857</v>
      </c>
      <c r="D1524" s="28" t="s">
        <v>3521</v>
      </c>
      <c r="E1524" s="28" t="s">
        <v>3517</v>
      </c>
      <c r="F1524" s="28" t="s">
        <v>1700</v>
      </c>
      <c r="G1524" s="28" t="s">
        <v>1252</v>
      </c>
    </row>
    <row r="1525" spans="1:7">
      <c r="A1525" s="28">
        <v>1524</v>
      </c>
      <c r="B1525" s="28" t="s">
        <v>3266</v>
      </c>
      <c r="C1525" s="28">
        <v>4137014858</v>
      </c>
      <c r="D1525" s="28" t="s">
        <v>3521</v>
      </c>
      <c r="E1525" s="28" t="s">
        <v>3524</v>
      </c>
      <c r="F1525" s="28" t="s">
        <v>1700</v>
      </c>
      <c r="G1525" s="28" t="s">
        <v>1252</v>
      </c>
    </row>
    <row r="1526" spans="1:7">
      <c r="A1526" s="28">
        <v>1525</v>
      </c>
      <c r="B1526" s="28" t="s">
        <v>2854</v>
      </c>
      <c r="C1526" s="28">
        <v>4137014859</v>
      </c>
      <c r="D1526" s="28" t="s">
        <v>3509</v>
      </c>
      <c r="E1526" s="28" t="s">
        <v>3518</v>
      </c>
      <c r="F1526" s="28" t="s">
        <v>1700</v>
      </c>
      <c r="G1526" s="28"/>
    </row>
    <row r="1527" spans="1:7">
      <c r="A1527" s="28">
        <v>1526</v>
      </c>
      <c r="B1527" s="28" t="s">
        <v>2855</v>
      </c>
      <c r="C1527" s="28">
        <v>4137014860</v>
      </c>
      <c r="D1527" s="28" t="s">
        <v>3509</v>
      </c>
      <c r="E1527" s="28" t="s">
        <v>3517</v>
      </c>
      <c r="F1527" s="28" t="s">
        <v>1700</v>
      </c>
      <c r="G1527" s="28"/>
    </row>
    <row r="1528" spans="1:7">
      <c r="A1528" s="28">
        <v>1527</v>
      </c>
      <c r="B1528" s="28" t="s">
        <v>2881</v>
      </c>
      <c r="C1528" s="28">
        <v>4137014923</v>
      </c>
      <c r="D1528" s="28" t="s">
        <v>3509</v>
      </c>
      <c r="E1528" s="28" t="s">
        <v>3516</v>
      </c>
      <c r="F1528" s="28" t="s">
        <v>1700</v>
      </c>
      <c r="G1528" s="28"/>
    </row>
    <row r="1529" spans="1:7">
      <c r="A1529" s="28">
        <v>1528</v>
      </c>
      <c r="B1529" s="28" t="s">
        <v>3289</v>
      </c>
      <c r="C1529" s="28">
        <v>4137014924</v>
      </c>
      <c r="D1529" s="28" t="s">
        <v>3521</v>
      </c>
      <c r="E1529" s="28" t="s">
        <v>3515</v>
      </c>
      <c r="F1529" s="28" t="s">
        <v>1700</v>
      </c>
      <c r="G1529" s="28" t="s">
        <v>1252</v>
      </c>
    </row>
    <row r="1530" spans="1:7">
      <c r="A1530" s="28">
        <v>1529</v>
      </c>
      <c r="B1530" s="28" t="s">
        <v>3290</v>
      </c>
      <c r="C1530" s="28">
        <v>4137014925</v>
      </c>
      <c r="D1530" s="28" t="s">
        <v>3521</v>
      </c>
      <c r="E1530" s="28" t="s">
        <v>3524</v>
      </c>
      <c r="F1530" s="28" t="s">
        <v>1700</v>
      </c>
      <c r="G1530" s="28" t="s">
        <v>1252</v>
      </c>
    </row>
    <row r="1531" spans="1:7">
      <c r="A1531" s="28">
        <v>1530</v>
      </c>
      <c r="B1531" s="28" t="s">
        <v>3291</v>
      </c>
      <c r="C1531" s="28">
        <v>4137014926</v>
      </c>
      <c r="D1531" s="28" t="s">
        <v>3521</v>
      </c>
      <c r="E1531" s="28" t="s">
        <v>3522</v>
      </c>
      <c r="F1531" s="28" t="s">
        <v>1700</v>
      </c>
      <c r="G1531" s="28" t="s">
        <v>1252</v>
      </c>
    </row>
    <row r="1532" spans="1:7">
      <c r="A1532" s="28">
        <v>1531</v>
      </c>
      <c r="B1532" s="28" t="s">
        <v>3292</v>
      </c>
      <c r="C1532" s="28">
        <v>4137014927</v>
      </c>
      <c r="D1532" s="28" t="s">
        <v>3521</v>
      </c>
      <c r="E1532" s="28" t="s">
        <v>3519</v>
      </c>
      <c r="F1532" s="28" t="s">
        <v>1700</v>
      </c>
      <c r="G1532" s="28" t="s">
        <v>1252</v>
      </c>
    </row>
    <row r="1533" spans="1:7">
      <c r="A1533" s="28">
        <v>1532</v>
      </c>
      <c r="B1533" s="28" t="s">
        <v>3293</v>
      </c>
      <c r="C1533" s="28">
        <v>4137014928</v>
      </c>
      <c r="D1533" s="28" t="s">
        <v>3521</v>
      </c>
      <c r="E1533" s="28" t="s">
        <v>3520</v>
      </c>
      <c r="F1533" s="28" t="s">
        <v>1700</v>
      </c>
      <c r="G1533" s="28" t="s">
        <v>1252</v>
      </c>
    </row>
    <row r="1534" spans="1:7">
      <c r="A1534" s="28">
        <v>1533</v>
      </c>
      <c r="B1534" s="28" t="s">
        <v>691</v>
      </c>
      <c r="C1534" s="28">
        <v>4141010078</v>
      </c>
      <c r="D1534" s="28" t="s">
        <v>3528</v>
      </c>
      <c r="E1534" s="28" t="s">
        <v>3529</v>
      </c>
      <c r="F1534" s="28" t="s">
        <v>11</v>
      </c>
      <c r="G1534" s="28"/>
    </row>
    <row r="1535" spans="1:7">
      <c r="A1535" s="28">
        <v>1534</v>
      </c>
      <c r="B1535" s="28" t="s">
        <v>694</v>
      </c>
      <c r="C1535" s="28">
        <v>4141010459</v>
      </c>
      <c r="D1535" s="28" t="s">
        <v>3528</v>
      </c>
      <c r="E1535" s="28" t="s">
        <v>3529</v>
      </c>
      <c r="F1535" s="28" t="s">
        <v>11</v>
      </c>
      <c r="G1535" s="28"/>
    </row>
    <row r="1536" spans="1:7">
      <c r="A1536" s="28">
        <v>1535</v>
      </c>
      <c r="B1536" s="28" t="s">
        <v>695</v>
      </c>
      <c r="C1536" s="28">
        <v>4141010460</v>
      </c>
      <c r="D1536" s="28" t="s">
        <v>3528</v>
      </c>
      <c r="E1536" s="28" t="s">
        <v>3530</v>
      </c>
      <c r="F1536" s="28" t="s">
        <v>11</v>
      </c>
      <c r="G1536" s="28"/>
    </row>
    <row r="1537" spans="1:7">
      <c r="A1537" s="28">
        <v>1536</v>
      </c>
      <c r="B1537" s="28" t="s">
        <v>697</v>
      </c>
      <c r="C1537" s="28">
        <v>4141010462</v>
      </c>
      <c r="D1537" s="28" t="s">
        <v>3528</v>
      </c>
      <c r="E1537" s="28" t="s">
        <v>3529</v>
      </c>
      <c r="F1537" s="28" t="s">
        <v>11</v>
      </c>
      <c r="G1537" s="28"/>
    </row>
    <row r="1538" spans="1:7">
      <c r="A1538" s="28">
        <v>1537</v>
      </c>
      <c r="B1538" s="28" t="s">
        <v>698</v>
      </c>
      <c r="C1538" s="28">
        <v>4141010463</v>
      </c>
      <c r="D1538" s="28" t="s">
        <v>3528</v>
      </c>
      <c r="E1538" s="28" t="s">
        <v>3529</v>
      </c>
      <c r="F1538" s="28" t="s">
        <v>11</v>
      </c>
      <c r="G1538" s="28"/>
    </row>
    <row r="1539" spans="1:7">
      <c r="A1539" s="28">
        <v>1538</v>
      </c>
      <c r="B1539" s="28" t="s">
        <v>699</v>
      </c>
      <c r="C1539" s="28">
        <v>4141010464</v>
      </c>
      <c r="D1539" s="28" t="s">
        <v>3528</v>
      </c>
      <c r="E1539" s="28" t="s">
        <v>3531</v>
      </c>
      <c r="F1539" s="28" t="s">
        <v>11</v>
      </c>
      <c r="G1539" s="28"/>
    </row>
    <row r="1540" spans="1:7">
      <c r="A1540" s="28">
        <v>1539</v>
      </c>
      <c r="B1540" s="28" t="s">
        <v>701</v>
      </c>
      <c r="C1540" s="28">
        <v>4141010465</v>
      </c>
      <c r="D1540" s="28" t="s">
        <v>3528</v>
      </c>
      <c r="E1540" s="28" t="s">
        <v>3529</v>
      </c>
      <c r="F1540" s="28" t="s">
        <v>11</v>
      </c>
      <c r="G1540" s="28"/>
    </row>
    <row r="1541" spans="1:7">
      <c r="A1541" s="28">
        <v>1540</v>
      </c>
      <c r="B1541" s="28" t="s">
        <v>702</v>
      </c>
      <c r="C1541" s="28">
        <v>4141010466</v>
      </c>
      <c r="D1541" s="28" t="s">
        <v>3528</v>
      </c>
      <c r="E1541" s="28" t="s">
        <v>3529</v>
      </c>
      <c r="F1541" s="28" t="s">
        <v>11</v>
      </c>
      <c r="G1541" s="28"/>
    </row>
    <row r="1542" spans="1:7">
      <c r="A1542" s="28">
        <v>1541</v>
      </c>
      <c r="B1542" s="28" t="s">
        <v>703</v>
      </c>
      <c r="C1542" s="28">
        <v>4141010467</v>
      </c>
      <c r="D1542" s="28" t="s">
        <v>3528</v>
      </c>
      <c r="E1542" s="28" t="s">
        <v>3532</v>
      </c>
      <c r="F1542" s="28" t="s">
        <v>11</v>
      </c>
      <c r="G1542" s="28"/>
    </row>
    <row r="1543" spans="1:7">
      <c r="A1543" s="28">
        <v>1542</v>
      </c>
      <c r="B1543" s="28" t="s">
        <v>705</v>
      </c>
      <c r="C1543" s="28">
        <v>4141010469</v>
      </c>
      <c r="D1543" s="28" t="s">
        <v>3528</v>
      </c>
      <c r="E1543" s="28" t="s">
        <v>3529</v>
      </c>
      <c r="F1543" s="28" t="s">
        <v>11</v>
      </c>
      <c r="G1543" s="28"/>
    </row>
    <row r="1544" spans="1:7">
      <c r="A1544" s="28">
        <v>1543</v>
      </c>
      <c r="B1544" s="28" t="s">
        <v>706</v>
      </c>
      <c r="C1544" s="28">
        <v>4141010471</v>
      </c>
      <c r="D1544" s="28" t="s">
        <v>3528</v>
      </c>
      <c r="E1544" s="28" t="s">
        <v>3529</v>
      </c>
      <c r="F1544" s="28" t="s">
        <v>11</v>
      </c>
      <c r="G1544" s="28"/>
    </row>
    <row r="1545" spans="1:7">
      <c r="A1545" s="28">
        <v>1544</v>
      </c>
      <c r="B1545" s="28" t="s">
        <v>707</v>
      </c>
      <c r="C1545" s="28">
        <v>4141010472</v>
      </c>
      <c r="D1545" s="28" t="s">
        <v>3528</v>
      </c>
      <c r="E1545" s="28" t="s">
        <v>3532</v>
      </c>
      <c r="F1545" s="28" t="s">
        <v>11</v>
      </c>
      <c r="G1545" s="28"/>
    </row>
    <row r="1546" spans="1:7">
      <c r="A1546" s="28">
        <v>1545</v>
      </c>
      <c r="B1546" s="28" t="s">
        <v>708</v>
      </c>
      <c r="C1546" s="28">
        <v>4141010475</v>
      </c>
      <c r="D1546" s="28" t="s">
        <v>3528</v>
      </c>
      <c r="E1546" s="28" t="s">
        <v>3533</v>
      </c>
      <c r="F1546" s="28" t="s">
        <v>11</v>
      </c>
      <c r="G1546" s="28"/>
    </row>
    <row r="1547" spans="1:7">
      <c r="A1547" s="28">
        <v>1546</v>
      </c>
      <c r="B1547" s="28" t="s">
        <v>710</v>
      </c>
      <c r="C1547" s="28">
        <v>4141010476</v>
      </c>
      <c r="D1547" s="28" t="s">
        <v>3528</v>
      </c>
      <c r="E1547" s="28" t="s">
        <v>3532</v>
      </c>
      <c r="F1547" s="28" t="s">
        <v>11</v>
      </c>
      <c r="G1547" s="28"/>
    </row>
    <row r="1548" spans="1:7">
      <c r="A1548" s="28">
        <v>1547</v>
      </c>
      <c r="B1548" s="28" t="s">
        <v>711</v>
      </c>
      <c r="C1548" s="28">
        <v>4141010477</v>
      </c>
      <c r="D1548" s="28" t="s">
        <v>3528</v>
      </c>
      <c r="E1548" s="28" t="s">
        <v>3534</v>
      </c>
      <c r="F1548" s="28" t="s">
        <v>11</v>
      </c>
      <c r="G1548" s="28"/>
    </row>
    <row r="1549" spans="1:7">
      <c r="A1549" s="28">
        <v>1548</v>
      </c>
      <c r="B1549" s="28" t="s">
        <v>713</v>
      </c>
      <c r="C1549" s="28">
        <v>4141010478</v>
      </c>
      <c r="D1549" s="28" t="s">
        <v>3528</v>
      </c>
      <c r="E1549" s="28" t="s">
        <v>3535</v>
      </c>
      <c r="F1549" s="28" t="s">
        <v>11</v>
      </c>
      <c r="G1549" s="28"/>
    </row>
    <row r="1550" spans="1:7">
      <c r="A1550" s="28">
        <v>1549</v>
      </c>
      <c r="B1550" s="28" t="s">
        <v>715</v>
      </c>
      <c r="C1550" s="28">
        <v>4141010479</v>
      </c>
      <c r="D1550" s="28" t="s">
        <v>3528</v>
      </c>
      <c r="E1550" s="28" t="s">
        <v>3536</v>
      </c>
      <c r="F1550" s="28" t="s">
        <v>11</v>
      </c>
      <c r="G1550" s="28"/>
    </row>
    <row r="1551" spans="1:7">
      <c r="A1551" s="28">
        <v>1550</v>
      </c>
      <c r="B1551" s="28" t="s">
        <v>717</v>
      </c>
      <c r="C1551" s="28">
        <v>4141010480</v>
      </c>
      <c r="D1551" s="28" t="s">
        <v>3528</v>
      </c>
      <c r="E1551" s="28" t="s">
        <v>3537</v>
      </c>
      <c r="F1551" s="28" t="s">
        <v>11</v>
      </c>
      <c r="G1551" s="28"/>
    </row>
    <row r="1552" spans="1:7">
      <c r="A1552" s="28">
        <v>1551</v>
      </c>
      <c r="B1552" s="28" t="s">
        <v>719</v>
      </c>
      <c r="C1552" s="28">
        <v>4141010481</v>
      </c>
      <c r="D1552" s="28" t="s">
        <v>3528</v>
      </c>
      <c r="E1552" s="28" t="s">
        <v>3538</v>
      </c>
      <c r="F1552" s="28" t="s">
        <v>11</v>
      </c>
      <c r="G1552" s="28"/>
    </row>
    <row r="1553" spans="1:7">
      <c r="A1553" s="28">
        <v>1552</v>
      </c>
      <c r="B1553" s="28" t="s">
        <v>721</v>
      </c>
      <c r="C1553" s="28">
        <v>4141010482</v>
      </c>
      <c r="D1553" s="28" t="s">
        <v>3528</v>
      </c>
      <c r="E1553" s="28" t="s">
        <v>3531</v>
      </c>
      <c r="F1553" s="28" t="s">
        <v>11</v>
      </c>
      <c r="G1553" s="28"/>
    </row>
    <row r="1554" spans="1:7">
      <c r="A1554" s="28">
        <v>1553</v>
      </c>
      <c r="B1554" s="28" t="s">
        <v>722</v>
      </c>
      <c r="C1554" s="28">
        <v>4141010483</v>
      </c>
      <c r="D1554" s="28" t="s">
        <v>3528</v>
      </c>
      <c r="E1554" s="28" t="s">
        <v>3539</v>
      </c>
      <c r="F1554" s="28" t="s">
        <v>11</v>
      </c>
      <c r="G1554" s="28"/>
    </row>
    <row r="1555" spans="1:7">
      <c r="A1555" s="28">
        <v>1554</v>
      </c>
      <c r="B1555" s="28" t="s">
        <v>724</v>
      </c>
      <c r="C1555" s="28">
        <v>4141010484</v>
      </c>
      <c r="D1555" s="28" t="s">
        <v>3528</v>
      </c>
      <c r="E1555" s="28" t="s">
        <v>3529</v>
      </c>
      <c r="F1555" s="28" t="s">
        <v>11</v>
      </c>
      <c r="G1555" s="28"/>
    </row>
    <row r="1556" spans="1:7">
      <c r="A1556" s="28">
        <v>1555</v>
      </c>
      <c r="B1556" s="28" t="s">
        <v>725</v>
      </c>
      <c r="C1556" s="28">
        <v>4141010485</v>
      </c>
      <c r="D1556" s="28" t="s">
        <v>3528</v>
      </c>
      <c r="E1556" s="28" t="s">
        <v>3529</v>
      </c>
      <c r="F1556" s="28" t="s">
        <v>11</v>
      </c>
      <c r="G1556" s="28"/>
    </row>
    <row r="1557" spans="1:7">
      <c r="A1557" s="28">
        <v>1556</v>
      </c>
      <c r="B1557" s="28" t="s">
        <v>726</v>
      </c>
      <c r="C1557" s="28">
        <v>4141010918</v>
      </c>
      <c r="D1557" s="28" t="s">
        <v>3528</v>
      </c>
      <c r="E1557" s="28" t="s">
        <v>3540</v>
      </c>
      <c r="F1557" s="28" t="s">
        <v>11</v>
      </c>
      <c r="G1557" s="28"/>
    </row>
    <row r="1558" spans="1:7">
      <c r="A1558" s="28">
        <v>1557</v>
      </c>
      <c r="B1558" s="28" t="s">
        <v>728</v>
      </c>
      <c r="C1558" s="28">
        <v>4141010919</v>
      </c>
      <c r="D1558" s="28" t="s">
        <v>3528</v>
      </c>
      <c r="E1558" s="28" t="s">
        <v>3541</v>
      </c>
      <c r="F1558" s="28" t="s">
        <v>11</v>
      </c>
      <c r="G1558" s="28"/>
    </row>
    <row r="1559" spans="1:7">
      <c r="A1559" s="28">
        <v>1558</v>
      </c>
      <c r="B1559" s="28" t="s">
        <v>730</v>
      </c>
      <c r="C1559" s="28">
        <v>4141011068</v>
      </c>
      <c r="D1559" s="28" t="s">
        <v>3528</v>
      </c>
      <c r="E1559" s="28" t="s">
        <v>3529</v>
      </c>
      <c r="F1559" s="28" t="s">
        <v>11</v>
      </c>
      <c r="G1559" s="28"/>
    </row>
    <row r="1560" spans="1:7">
      <c r="A1560" s="28">
        <v>1559</v>
      </c>
      <c r="B1560" s="28" t="s">
        <v>731</v>
      </c>
      <c r="C1560" s="28">
        <v>4141011070</v>
      </c>
      <c r="D1560" s="28" t="s">
        <v>3528</v>
      </c>
      <c r="E1560" s="28" t="s">
        <v>3531</v>
      </c>
      <c r="F1560" s="28" t="s">
        <v>11</v>
      </c>
      <c r="G1560" s="28"/>
    </row>
    <row r="1561" spans="1:7">
      <c r="A1561" s="28">
        <v>1560</v>
      </c>
      <c r="B1561" s="28" t="s">
        <v>732</v>
      </c>
      <c r="C1561" s="28">
        <v>4141011071</v>
      </c>
      <c r="D1561" s="28" t="s">
        <v>3528</v>
      </c>
      <c r="E1561" s="28" t="s">
        <v>3532</v>
      </c>
      <c r="F1561" s="28" t="s">
        <v>11</v>
      </c>
      <c r="G1561" s="28"/>
    </row>
    <row r="1562" spans="1:7">
      <c r="A1562" s="28">
        <v>1561</v>
      </c>
      <c r="B1562" s="28" t="s">
        <v>733</v>
      </c>
      <c r="C1562" s="28">
        <v>4141011326</v>
      </c>
      <c r="D1562" s="28" t="s">
        <v>3528</v>
      </c>
      <c r="E1562" s="28" t="s">
        <v>3534</v>
      </c>
      <c r="F1562" s="28" t="s">
        <v>11</v>
      </c>
      <c r="G1562" s="28"/>
    </row>
    <row r="1563" spans="1:7">
      <c r="A1563" s="28">
        <v>1562</v>
      </c>
      <c r="B1563" s="28" t="s">
        <v>734</v>
      </c>
      <c r="C1563" s="28">
        <v>4141011329</v>
      </c>
      <c r="D1563" s="28" t="s">
        <v>3528</v>
      </c>
      <c r="E1563" s="28" t="s">
        <v>3532</v>
      </c>
      <c r="F1563" s="28" t="s">
        <v>11</v>
      </c>
      <c r="G1563" s="28"/>
    </row>
    <row r="1564" spans="1:7">
      <c r="A1564" s="28">
        <v>1563</v>
      </c>
      <c r="B1564" s="28" t="s">
        <v>735</v>
      </c>
      <c r="C1564" s="28">
        <v>4141011330</v>
      </c>
      <c r="D1564" s="28" t="s">
        <v>3528</v>
      </c>
      <c r="E1564" s="28" t="s">
        <v>3536</v>
      </c>
      <c r="F1564" s="28" t="s">
        <v>11</v>
      </c>
      <c r="G1564" s="28"/>
    </row>
    <row r="1565" spans="1:7">
      <c r="A1565" s="28">
        <v>1564</v>
      </c>
      <c r="B1565" s="28" t="s">
        <v>736</v>
      </c>
      <c r="C1565" s="28">
        <v>4141011517</v>
      </c>
      <c r="D1565" s="28" t="s">
        <v>3528</v>
      </c>
      <c r="E1565" s="28" t="s">
        <v>3529</v>
      </c>
      <c r="F1565" s="28" t="s">
        <v>11</v>
      </c>
      <c r="G1565" s="28"/>
    </row>
    <row r="1566" spans="1:7">
      <c r="A1566" s="28">
        <v>1565</v>
      </c>
      <c r="B1566" s="28" t="s">
        <v>737</v>
      </c>
      <c r="C1566" s="28">
        <v>4141011652</v>
      </c>
      <c r="D1566" s="28" t="s">
        <v>3528</v>
      </c>
      <c r="E1566" s="28" t="s">
        <v>3529</v>
      </c>
      <c r="F1566" s="28" t="s">
        <v>11</v>
      </c>
      <c r="G1566" s="28"/>
    </row>
    <row r="1567" spans="1:7">
      <c r="A1567" s="28">
        <v>1566</v>
      </c>
      <c r="B1567" s="28" t="s">
        <v>738</v>
      </c>
      <c r="C1567" s="28">
        <v>4141011653</v>
      </c>
      <c r="D1567" s="28" t="s">
        <v>3528</v>
      </c>
      <c r="E1567" s="28" t="s">
        <v>3538</v>
      </c>
      <c r="F1567" s="28" t="s">
        <v>11</v>
      </c>
      <c r="G1567" s="28"/>
    </row>
    <row r="1568" spans="1:7">
      <c r="A1568" s="28">
        <v>1567</v>
      </c>
      <c r="B1568" s="28" t="s">
        <v>739</v>
      </c>
      <c r="C1568" s="28">
        <v>4141011765</v>
      </c>
      <c r="D1568" s="28" t="s">
        <v>3528</v>
      </c>
      <c r="E1568" s="28" t="s">
        <v>3541</v>
      </c>
      <c r="F1568" s="28" t="s">
        <v>11</v>
      </c>
      <c r="G1568" s="28"/>
    </row>
    <row r="1569" spans="1:7">
      <c r="A1569" s="28">
        <v>1568</v>
      </c>
      <c r="B1569" s="28" t="s">
        <v>740</v>
      </c>
      <c r="C1569" s="28">
        <v>4141011788</v>
      </c>
      <c r="D1569" s="28" t="s">
        <v>3528</v>
      </c>
      <c r="E1569" s="28" t="s">
        <v>3529</v>
      </c>
      <c r="F1569" s="28" t="s">
        <v>11</v>
      </c>
      <c r="G1569" s="28"/>
    </row>
    <row r="1570" spans="1:7">
      <c r="A1570" s="28">
        <v>1569</v>
      </c>
      <c r="B1570" s="28" t="s">
        <v>1477</v>
      </c>
      <c r="C1570" s="28">
        <v>4141011834</v>
      </c>
      <c r="D1570" s="28" t="s">
        <v>3542</v>
      </c>
      <c r="E1570" s="28" t="s">
        <v>3529</v>
      </c>
      <c r="F1570" s="28" t="s">
        <v>11</v>
      </c>
      <c r="G1570" s="28" t="s">
        <v>1252</v>
      </c>
    </row>
    <row r="1571" spans="1:7">
      <c r="A1571" s="28">
        <v>1570</v>
      </c>
      <c r="B1571" s="28" t="s">
        <v>741</v>
      </c>
      <c r="C1571" s="28">
        <v>4141012735</v>
      </c>
      <c r="D1571" s="28" t="s">
        <v>3316</v>
      </c>
      <c r="E1571" s="28" t="s">
        <v>3529</v>
      </c>
      <c r="F1571" s="28" t="s">
        <v>11</v>
      </c>
      <c r="G1571" s="28"/>
    </row>
    <row r="1572" spans="1:7">
      <c r="A1572" s="28">
        <v>1571</v>
      </c>
      <c r="B1572" s="28" t="s">
        <v>1478</v>
      </c>
      <c r="C1572" s="28">
        <v>4141012746</v>
      </c>
      <c r="D1572" s="28" t="s">
        <v>3542</v>
      </c>
      <c r="E1572" s="28" t="s">
        <v>3529</v>
      </c>
      <c r="F1572" s="28" t="s">
        <v>11</v>
      </c>
      <c r="G1572" s="28" t="s">
        <v>1252</v>
      </c>
    </row>
    <row r="1573" spans="1:7">
      <c r="A1573" s="28">
        <v>1572</v>
      </c>
      <c r="B1573" s="28" t="s">
        <v>1479</v>
      </c>
      <c r="C1573" s="28">
        <v>4141012747</v>
      </c>
      <c r="D1573" s="28" t="s">
        <v>3542</v>
      </c>
      <c r="E1573" s="28" t="s">
        <v>3529</v>
      </c>
      <c r="F1573" s="28" t="s">
        <v>11</v>
      </c>
      <c r="G1573" s="28" t="s">
        <v>1252</v>
      </c>
    </row>
    <row r="1574" spans="1:7">
      <c r="A1574" s="28">
        <v>1573</v>
      </c>
      <c r="B1574" s="28" t="s">
        <v>742</v>
      </c>
      <c r="C1574" s="28">
        <v>4141012949</v>
      </c>
      <c r="D1574" s="28" t="s">
        <v>3528</v>
      </c>
      <c r="E1574" s="28" t="s">
        <v>3529</v>
      </c>
      <c r="F1574" s="28" t="s">
        <v>11</v>
      </c>
      <c r="G1574" s="28"/>
    </row>
    <row r="1575" spans="1:7">
      <c r="A1575" s="28">
        <v>1574</v>
      </c>
      <c r="B1575" s="28" t="s">
        <v>1480</v>
      </c>
      <c r="C1575" s="28">
        <v>4141013497</v>
      </c>
      <c r="D1575" s="28" t="s">
        <v>3542</v>
      </c>
      <c r="E1575" s="28" t="s">
        <v>3529</v>
      </c>
      <c r="F1575" s="28" t="s">
        <v>11</v>
      </c>
      <c r="G1575" s="28" t="s">
        <v>1252</v>
      </c>
    </row>
    <row r="1576" spans="1:7">
      <c r="A1576" s="28">
        <v>1575</v>
      </c>
      <c r="B1576" s="28" t="s">
        <v>1481</v>
      </c>
      <c r="C1576" s="28">
        <v>4141013498</v>
      </c>
      <c r="D1576" s="28" t="s">
        <v>3542</v>
      </c>
      <c r="E1576" s="28" t="s">
        <v>3530</v>
      </c>
      <c r="F1576" s="28" t="s">
        <v>11</v>
      </c>
      <c r="G1576" s="28" t="s">
        <v>1252</v>
      </c>
    </row>
    <row r="1577" spans="1:7">
      <c r="A1577" s="28">
        <v>1576</v>
      </c>
      <c r="B1577" s="28" t="s">
        <v>1482</v>
      </c>
      <c r="C1577" s="28">
        <v>4141013500</v>
      </c>
      <c r="D1577" s="28" t="s">
        <v>3542</v>
      </c>
      <c r="E1577" s="28" t="s">
        <v>3539</v>
      </c>
      <c r="F1577" s="28" t="s">
        <v>11</v>
      </c>
      <c r="G1577" s="28" t="s">
        <v>1252</v>
      </c>
    </row>
    <row r="1578" spans="1:7">
      <c r="A1578" s="28">
        <v>1577</v>
      </c>
      <c r="B1578" s="28" t="s">
        <v>1483</v>
      </c>
      <c r="C1578" s="28">
        <v>4141013501</v>
      </c>
      <c r="D1578" s="28" t="s">
        <v>3542</v>
      </c>
      <c r="E1578" s="28" t="s">
        <v>3533</v>
      </c>
      <c r="F1578" s="28" t="s">
        <v>11</v>
      </c>
      <c r="G1578" s="28" t="s">
        <v>1252</v>
      </c>
    </row>
    <row r="1579" spans="1:7">
      <c r="A1579" s="28">
        <v>1578</v>
      </c>
      <c r="B1579" s="28" t="s">
        <v>1484</v>
      </c>
      <c r="C1579" s="28">
        <v>4141013502</v>
      </c>
      <c r="D1579" s="28" t="s">
        <v>3542</v>
      </c>
      <c r="E1579" s="28" t="s">
        <v>3529</v>
      </c>
      <c r="F1579" s="28" t="s">
        <v>11</v>
      </c>
      <c r="G1579" s="28" t="s">
        <v>1252</v>
      </c>
    </row>
    <row r="1580" spans="1:7">
      <c r="A1580" s="28">
        <v>1579</v>
      </c>
      <c r="B1580" s="28" t="s">
        <v>1485</v>
      </c>
      <c r="C1580" s="28">
        <v>4141013503</v>
      </c>
      <c r="D1580" s="28" t="s">
        <v>3542</v>
      </c>
      <c r="E1580" s="28" t="s">
        <v>3534</v>
      </c>
      <c r="F1580" s="28" t="s">
        <v>11</v>
      </c>
      <c r="G1580" s="28" t="s">
        <v>1252</v>
      </c>
    </row>
    <row r="1581" spans="1:7">
      <c r="A1581" s="28">
        <v>1580</v>
      </c>
      <c r="B1581" s="28" t="s">
        <v>1486</v>
      </c>
      <c r="C1581" s="28">
        <v>4141013504</v>
      </c>
      <c r="D1581" s="28" t="s">
        <v>3542</v>
      </c>
      <c r="E1581" s="28" t="s">
        <v>3536</v>
      </c>
      <c r="F1581" s="28" t="s">
        <v>11</v>
      </c>
      <c r="G1581" s="28" t="s">
        <v>1252</v>
      </c>
    </row>
    <row r="1582" spans="1:7">
      <c r="A1582" s="28">
        <v>1581</v>
      </c>
      <c r="B1582" s="28" t="s">
        <v>1487</v>
      </c>
      <c r="C1582" s="28">
        <v>4141013505</v>
      </c>
      <c r="D1582" s="28" t="s">
        <v>3542</v>
      </c>
      <c r="E1582" s="28" t="s">
        <v>3532</v>
      </c>
      <c r="F1582" s="28" t="s">
        <v>11</v>
      </c>
      <c r="G1582" s="28" t="s">
        <v>1252</v>
      </c>
    </row>
    <row r="1583" spans="1:7">
      <c r="A1583" s="28">
        <v>1582</v>
      </c>
      <c r="B1583" s="28" t="s">
        <v>1488</v>
      </c>
      <c r="C1583" s="28">
        <v>4141013506</v>
      </c>
      <c r="D1583" s="28" t="s">
        <v>3542</v>
      </c>
      <c r="E1583" s="28" t="s">
        <v>3532</v>
      </c>
      <c r="F1583" s="28" t="s">
        <v>11</v>
      </c>
      <c r="G1583" s="28" t="s">
        <v>1252</v>
      </c>
    </row>
    <row r="1584" spans="1:7">
      <c r="A1584" s="28">
        <v>1583</v>
      </c>
      <c r="B1584" s="28" t="s">
        <v>1489</v>
      </c>
      <c r="C1584" s="28">
        <v>4141013507</v>
      </c>
      <c r="D1584" s="28" t="s">
        <v>3542</v>
      </c>
      <c r="E1584" s="28" t="s">
        <v>3529</v>
      </c>
      <c r="F1584" s="28" t="s">
        <v>11</v>
      </c>
      <c r="G1584" s="28" t="s">
        <v>1252</v>
      </c>
    </row>
    <row r="1585" spans="1:7">
      <c r="A1585" s="28">
        <v>1584</v>
      </c>
      <c r="B1585" s="28" t="s">
        <v>1490</v>
      </c>
      <c r="C1585" s="28">
        <v>4141013508</v>
      </c>
      <c r="D1585" s="28" t="s">
        <v>3542</v>
      </c>
      <c r="E1585" s="28" t="s">
        <v>3529</v>
      </c>
      <c r="F1585" s="28" t="s">
        <v>11</v>
      </c>
      <c r="G1585" s="28" t="s">
        <v>1252</v>
      </c>
    </row>
    <row r="1586" spans="1:7">
      <c r="A1586" s="28">
        <v>1585</v>
      </c>
      <c r="B1586" s="28" t="s">
        <v>1491</v>
      </c>
      <c r="C1586" s="28">
        <v>4141014003</v>
      </c>
      <c r="D1586" s="28" t="s">
        <v>3542</v>
      </c>
      <c r="E1586" s="28" t="s">
        <v>3539</v>
      </c>
      <c r="F1586" s="28" t="s">
        <v>11</v>
      </c>
      <c r="G1586" s="28" t="s">
        <v>1252</v>
      </c>
    </row>
    <row r="1587" spans="1:7">
      <c r="A1587" s="28">
        <v>1586</v>
      </c>
      <c r="B1587" s="28" t="s">
        <v>1492</v>
      </c>
      <c r="C1587" s="28">
        <v>4141014040</v>
      </c>
      <c r="D1587" s="28" t="s">
        <v>3542</v>
      </c>
      <c r="E1587" s="28" t="s">
        <v>3529</v>
      </c>
      <c r="F1587" s="28" t="s">
        <v>11</v>
      </c>
      <c r="G1587" s="28" t="s">
        <v>1252</v>
      </c>
    </row>
    <row r="1588" spans="1:7">
      <c r="A1588" s="28">
        <v>1587</v>
      </c>
      <c r="B1588" s="28" t="s">
        <v>1493</v>
      </c>
      <c r="C1588" s="28">
        <v>4141014169</v>
      </c>
      <c r="D1588" s="28" t="s">
        <v>3542</v>
      </c>
      <c r="E1588" s="28" t="s">
        <v>3535</v>
      </c>
      <c r="F1588" s="28" t="s">
        <v>11</v>
      </c>
      <c r="G1588" s="28" t="s">
        <v>1252</v>
      </c>
    </row>
    <row r="1589" spans="1:7">
      <c r="A1589" s="28">
        <v>1588</v>
      </c>
      <c r="B1589" s="28" t="s">
        <v>1494</v>
      </c>
      <c r="C1589" s="28">
        <v>4141014333</v>
      </c>
      <c r="D1589" s="28" t="s">
        <v>3542</v>
      </c>
      <c r="E1589" s="28" t="s">
        <v>3529</v>
      </c>
      <c r="F1589" s="28" t="s">
        <v>11</v>
      </c>
      <c r="G1589" s="28" t="s">
        <v>1252</v>
      </c>
    </row>
    <row r="1590" spans="1:7">
      <c r="A1590" s="28">
        <v>1589</v>
      </c>
      <c r="B1590" s="28" t="s">
        <v>1495</v>
      </c>
      <c r="C1590" s="28">
        <v>4141014654</v>
      </c>
      <c r="D1590" s="28" t="s">
        <v>3542</v>
      </c>
      <c r="E1590" s="28" t="s">
        <v>3529</v>
      </c>
      <c r="F1590" s="28" t="s">
        <v>11</v>
      </c>
      <c r="G1590" s="28" t="s">
        <v>1252</v>
      </c>
    </row>
    <row r="1591" spans="1:7">
      <c r="A1591" s="28">
        <v>1590</v>
      </c>
      <c r="B1591" s="28" t="s">
        <v>1675</v>
      </c>
      <c r="C1591" s="28">
        <v>4141014831</v>
      </c>
      <c r="D1591" s="28" t="s">
        <v>3542</v>
      </c>
      <c r="E1591" s="28" t="s">
        <v>3529</v>
      </c>
      <c r="F1591" s="28" t="s">
        <v>11</v>
      </c>
      <c r="G1591" s="28" t="s">
        <v>1252</v>
      </c>
    </row>
    <row r="1592" spans="1:7">
      <c r="A1592" s="28">
        <v>1591</v>
      </c>
      <c r="B1592" s="28" t="s">
        <v>1497</v>
      </c>
      <c r="C1592" s="28">
        <v>4141014233</v>
      </c>
      <c r="D1592" s="28" t="s">
        <v>3542</v>
      </c>
      <c r="E1592" s="28" t="s">
        <v>3543</v>
      </c>
      <c r="F1592" s="28" t="s">
        <v>11</v>
      </c>
      <c r="G1592" s="28" t="s">
        <v>1252</v>
      </c>
    </row>
    <row r="1593" spans="1:7">
      <c r="A1593" s="28">
        <v>1592</v>
      </c>
      <c r="B1593" s="28" t="s">
        <v>1242</v>
      </c>
      <c r="C1593" s="28">
        <v>4141014879</v>
      </c>
      <c r="D1593" s="28" t="s">
        <v>3528</v>
      </c>
      <c r="E1593" s="28" t="s">
        <v>3529</v>
      </c>
      <c r="F1593" s="28" t="s">
        <v>11</v>
      </c>
      <c r="G1593" s="28"/>
    </row>
    <row r="1594" spans="1:7">
      <c r="A1594" s="28">
        <v>1593</v>
      </c>
      <c r="B1594" s="28" t="s">
        <v>1496</v>
      </c>
      <c r="C1594" s="28">
        <v>4141012948</v>
      </c>
      <c r="D1594" s="28" t="s">
        <v>3542</v>
      </c>
      <c r="E1594" s="28" t="s">
        <v>3529</v>
      </c>
      <c r="F1594" s="28" t="s">
        <v>11</v>
      </c>
      <c r="G1594" s="28" t="s">
        <v>1252</v>
      </c>
    </row>
    <row r="1595" spans="1:7">
      <c r="A1595" s="28">
        <v>1594</v>
      </c>
      <c r="B1595" s="28" t="s">
        <v>743</v>
      </c>
      <c r="C1595" s="28">
        <v>4141012058</v>
      </c>
      <c r="D1595" s="28" t="s">
        <v>3528</v>
      </c>
      <c r="E1595" s="28" t="s">
        <v>3533</v>
      </c>
      <c r="F1595" s="28" t="s">
        <v>11</v>
      </c>
      <c r="G1595" s="28"/>
    </row>
    <row r="1596" spans="1:7">
      <c r="A1596" s="28">
        <v>1595</v>
      </c>
      <c r="B1596" s="28" t="s">
        <v>2254</v>
      </c>
      <c r="C1596" s="28">
        <v>4141010824</v>
      </c>
      <c r="D1596" s="28" t="s">
        <v>3528</v>
      </c>
      <c r="E1596" s="28" t="s">
        <v>3529</v>
      </c>
      <c r="F1596" s="28" t="s">
        <v>1700</v>
      </c>
      <c r="G1596" s="28"/>
    </row>
    <row r="1597" spans="1:7">
      <c r="A1597" s="28">
        <v>1596</v>
      </c>
      <c r="B1597" s="28" t="s">
        <v>2255</v>
      </c>
      <c r="C1597" s="28">
        <v>4141010835</v>
      </c>
      <c r="D1597" s="28" t="s">
        <v>3528</v>
      </c>
      <c r="E1597" s="28" t="s">
        <v>3543</v>
      </c>
      <c r="F1597" s="28" t="s">
        <v>1700</v>
      </c>
      <c r="G1597" s="28"/>
    </row>
    <row r="1598" spans="1:7">
      <c r="A1598" s="28">
        <v>1597</v>
      </c>
      <c r="B1598" s="28" t="s">
        <v>2256</v>
      </c>
      <c r="C1598" s="28">
        <v>4141010842</v>
      </c>
      <c r="D1598" s="28" t="s">
        <v>3528</v>
      </c>
      <c r="E1598" s="28" t="s">
        <v>3544</v>
      </c>
      <c r="F1598" s="28" t="s">
        <v>1700</v>
      </c>
      <c r="G1598" s="28"/>
    </row>
    <row r="1599" spans="1:7">
      <c r="A1599" s="28">
        <v>1598</v>
      </c>
      <c r="B1599" s="28" t="s">
        <v>2258</v>
      </c>
      <c r="C1599" s="28">
        <v>4141010843</v>
      </c>
      <c r="D1599" s="28" t="s">
        <v>3528</v>
      </c>
      <c r="E1599" s="28" t="s">
        <v>3529</v>
      </c>
      <c r="F1599" s="28" t="s">
        <v>1700</v>
      </c>
      <c r="G1599" s="28"/>
    </row>
    <row r="1600" spans="1:7">
      <c r="A1600" s="28">
        <v>1599</v>
      </c>
      <c r="B1600" s="28" t="s">
        <v>2259</v>
      </c>
      <c r="C1600" s="28">
        <v>4141011069</v>
      </c>
      <c r="D1600" s="28" t="s">
        <v>3528</v>
      </c>
      <c r="E1600" s="28" t="s">
        <v>3533</v>
      </c>
      <c r="F1600" s="28" t="s">
        <v>1700</v>
      </c>
      <c r="G1600" s="28"/>
    </row>
    <row r="1601" spans="1:7">
      <c r="A1601" s="28">
        <v>1600</v>
      </c>
      <c r="B1601" s="28" t="s">
        <v>2260</v>
      </c>
      <c r="C1601" s="28">
        <v>4141011522</v>
      </c>
      <c r="D1601" s="28" t="s">
        <v>3528</v>
      </c>
      <c r="E1601" s="28" t="s">
        <v>3530</v>
      </c>
      <c r="F1601" s="28" t="s">
        <v>1700</v>
      </c>
      <c r="G1601" s="28"/>
    </row>
    <row r="1602" spans="1:7">
      <c r="A1602" s="28">
        <v>1601</v>
      </c>
      <c r="B1602" s="28" t="s">
        <v>2261</v>
      </c>
      <c r="C1602" s="28">
        <v>4141011787</v>
      </c>
      <c r="D1602" s="28" t="s">
        <v>3528</v>
      </c>
      <c r="E1602" s="28" t="s">
        <v>3545</v>
      </c>
      <c r="F1602" s="28" t="s">
        <v>1700</v>
      </c>
      <c r="G1602" s="28"/>
    </row>
    <row r="1603" spans="1:7">
      <c r="A1603" s="28">
        <v>1602</v>
      </c>
      <c r="B1603" s="28" t="s">
        <v>2263</v>
      </c>
      <c r="C1603" s="28">
        <v>4141011828</v>
      </c>
      <c r="D1603" s="28" t="s">
        <v>3528</v>
      </c>
      <c r="E1603" s="28" t="s">
        <v>3529</v>
      </c>
      <c r="F1603" s="28" t="s">
        <v>1700</v>
      </c>
      <c r="G1603" s="28"/>
    </row>
    <row r="1604" spans="1:7">
      <c r="A1604" s="28">
        <v>1603</v>
      </c>
      <c r="B1604" s="28" t="s">
        <v>2264</v>
      </c>
      <c r="C1604" s="28">
        <v>4141012067</v>
      </c>
      <c r="D1604" s="28" t="s">
        <v>3528</v>
      </c>
      <c r="E1604" s="28" t="s">
        <v>3537</v>
      </c>
      <c r="F1604" s="28" t="s">
        <v>1700</v>
      </c>
      <c r="G1604" s="28"/>
    </row>
    <row r="1605" spans="1:7">
      <c r="A1605" s="28">
        <v>1604</v>
      </c>
      <c r="B1605" s="28" t="s">
        <v>2265</v>
      </c>
      <c r="C1605" s="28">
        <v>4141012581</v>
      </c>
      <c r="D1605" s="28" t="s">
        <v>3528</v>
      </c>
      <c r="E1605" s="28" t="s">
        <v>3530</v>
      </c>
      <c r="F1605" s="28" t="s">
        <v>1700</v>
      </c>
      <c r="G1605" s="28"/>
    </row>
    <row r="1606" spans="1:7">
      <c r="A1606" s="28">
        <v>1605</v>
      </c>
      <c r="B1606" s="28" t="s">
        <v>2266</v>
      </c>
      <c r="C1606" s="28">
        <v>4141012582</v>
      </c>
      <c r="D1606" s="28" t="s">
        <v>3528</v>
      </c>
      <c r="E1606" s="28" t="s">
        <v>3529</v>
      </c>
      <c r="F1606" s="28" t="s">
        <v>1700</v>
      </c>
      <c r="G1606" s="28"/>
    </row>
    <row r="1607" spans="1:7">
      <c r="A1607" s="28">
        <v>1606</v>
      </c>
      <c r="B1607" s="28" t="s">
        <v>2267</v>
      </c>
      <c r="C1607" s="28">
        <v>4141012745</v>
      </c>
      <c r="D1607" s="28" t="s">
        <v>3528</v>
      </c>
      <c r="E1607" s="28" t="s">
        <v>3539</v>
      </c>
      <c r="F1607" s="28" t="s">
        <v>1700</v>
      </c>
      <c r="G1607" s="28"/>
    </row>
    <row r="1608" spans="1:7">
      <c r="A1608" s="28">
        <v>1607</v>
      </c>
      <c r="B1608" s="28" t="s">
        <v>2268</v>
      </c>
      <c r="C1608" s="28">
        <v>4141012748</v>
      </c>
      <c r="D1608" s="28" t="s">
        <v>3528</v>
      </c>
      <c r="E1608" s="28" t="s">
        <v>3541</v>
      </c>
      <c r="F1608" s="28" t="s">
        <v>1700</v>
      </c>
      <c r="G1608" s="28"/>
    </row>
    <row r="1609" spans="1:7">
      <c r="A1609" s="28">
        <v>1608</v>
      </c>
      <c r="B1609" s="28" t="s">
        <v>2269</v>
      </c>
      <c r="C1609" s="28">
        <v>4141012750</v>
      </c>
      <c r="D1609" s="28" t="s">
        <v>3528</v>
      </c>
      <c r="E1609" s="28" t="s">
        <v>3535</v>
      </c>
      <c r="F1609" s="28" t="s">
        <v>1700</v>
      </c>
      <c r="G1609" s="28"/>
    </row>
    <row r="1610" spans="1:7">
      <c r="A1610" s="28">
        <v>1609</v>
      </c>
      <c r="B1610" s="28" t="s">
        <v>2270</v>
      </c>
      <c r="C1610" s="28">
        <v>4141012768</v>
      </c>
      <c r="D1610" s="28" t="s">
        <v>3528</v>
      </c>
      <c r="E1610" s="28" t="s">
        <v>3546</v>
      </c>
      <c r="F1610" s="28" t="s">
        <v>1700</v>
      </c>
      <c r="G1610" s="28"/>
    </row>
    <row r="1611" spans="1:7">
      <c r="A1611" s="28">
        <v>1610</v>
      </c>
      <c r="B1611" s="28" t="s">
        <v>2272</v>
      </c>
      <c r="C1611" s="28">
        <v>4141012781</v>
      </c>
      <c r="D1611" s="28" t="s">
        <v>3528</v>
      </c>
      <c r="E1611" s="28" t="s">
        <v>3529</v>
      </c>
      <c r="F1611" s="28" t="s">
        <v>1700</v>
      </c>
      <c r="G1611" s="28"/>
    </row>
    <row r="1612" spans="1:7">
      <c r="A1612" s="28">
        <v>1611</v>
      </c>
      <c r="B1612" s="28" t="s">
        <v>2273</v>
      </c>
      <c r="C1612" s="28">
        <v>4141012793</v>
      </c>
      <c r="D1612" s="28" t="s">
        <v>3528</v>
      </c>
      <c r="E1612" s="28" t="s">
        <v>3547</v>
      </c>
      <c r="F1612" s="28" t="s">
        <v>1700</v>
      </c>
      <c r="G1612" s="28"/>
    </row>
    <row r="1613" spans="1:7">
      <c r="A1613" s="28">
        <v>1612</v>
      </c>
      <c r="B1613" s="28" t="s">
        <v>3548</v>
      </c>
      <c r="C1613" s="28">
        <v>4141012794</v>
      </c>
      <c r="D1613" s="28" t="s">
        <v>3528</v>
      </c>
      <c r="E1613" s="28" t="s">
        <v>3538</v>
      </c>
      <c r="F1613" s="28" t="s">
        <v>1700</v>
      </c>
      <c r="G1613" s="28"/>
    </row>
    <row r="1614" spans="1:7">
      <c r="A1614" s="28">
        <v>1613</v>
      </c>
      <c r="B1614" s="28" t="s">
        <v>2275</v>
      </c>
      <c r="C1614" s="28">
        <v>4141012950</v>
      </c>
      <c r="D1614" s="28" t="s">
        <v>3528</v>
      </c>
      <c r="E1614" s="28" t="s">
        <v>3530</v>
      </c>
      <c r="F1614" s="28" t="s">
        <v>1700</v>
      </c>
      <c r="G1614" s="28"/>
    </row>
    <row r="1615" spans="1:7">
      <c r="A1615" s="28">
        <v>1614</v>
      </c>
      <c r="B1615" s="28" t="s">
        <v>2276</v>
      </c>
      <c r="C1615" s="28">
        <v>4141013499</v>
      </c>
      <c r="D1615" s="28" t="s">
        <v>3528</v>
      </c>
      <c r="E1615" s="28" t="s">
        <v>3529</v>
      </c>
      <c r="F1615" s="28" t="s">
        <v>1700</v>
      </c>
      <c r="G1615" s="28"/>
    </row>
    <row r="1616" spans="1:7">
      <c r="A1616" s="28">
        <v>1615</v>
      </c>
      <c r="B1616" s="28" t="s">
        <v>2277</v>
      </c>
      <c r="C1616" s="28">
        <v>4141013564</v>
      </c>
      <c r="D1616" s="28" t="s">
        <v>3528</v>
      </c>
      <c r="E1616" s="28" t="s">
        <v>3541</v>
      </c>
      <c r="F1616" s="28" t="s">
        <v>1700</v>
      </c>
      <c r="G1616" s="28"/>
    </row>
    <row r="1617" spans="1:7">
      <c r="A1617" s="28">
        <v>1616</v>
      </c>
      <c r="B1617" s="28" t="s">
        <v>2278</v>
      </c>
      <c r="C1617" s="28">
        <v>4141013565</v>
      </c>
      <c r="D1617" s="28" t="s">
        <v>3528</v>
      </c>
      <c r="E1617" s="28" t="s">
        <v>3529</v>
      </c>
      <c r="F1617" s="28" t="s">
        <v>1700</v>
      </c>
      <c r="G1617" s="28"/>
    </row>
    <row r="1618" spans="1:7">
      <c r="A1618" s="28">
        <v>1617</v>
      </c>
      <c r="B1618" s="28" t="s">
        <v>2279</v>
      </c>
      <c r="C1618" s="28">
        <v>4141013780</v>
      </c>
      <c r="D1618" s="28" t="s">
        <v>3528</v>
      </c>
      <c r="E1618" s="28" t="s">
        <v>3543</v>
      </c>
      <c r="F1618" s="28" t="s">
        <v>1700</v>
      </c>
      <c r="G1618" s="28"/>
    </row>
    <row r="1619" spans="1:7">
      <c r="A1619" s="28">
        <v>1618</v>
      </c>
      <c r="B1619" s="28" t="s">
        <v>2280</v>
      </c>
      <c r="C1619" s="28">
        <v>4141013781</v>
      </c>
      <c r="D1619" s="28" t="s">
        <v>3528</v>
      </c>
      <c r="E1619" s="28" t="s">
        <v>3538</v>
      </c>
      <c r="F1619" s="28" t="s">
        <v>1700</v>
      </c>
      <c r="G1619" s="28"/>
    </row>
    <row r="1620" spans="1:7">
      <c r="A1620" s="28">
        <v>1619</v>
      </c>
      <c r="B1620" s="28" t="s">
        <v>2281</v>
      </c>
      <c r="C1620" s="28">
        <v>4141013782</v>
      </c>
      <c r="D1620" s="28" t="s">
        <v>3528</v>
      </c>
      <c r="E1620" s="28" t="s">
        <v>3539</v>
      </c>
      <c r="F1620" s="28" t="s">
        <v>1700</v>
      </c>
      <c r="G1620" s="28"/>
    </row>
    <row r="1621" spans="1:7">
      <c r="A1621" s="28">
        <v>1620</v>
      </c>
      <c r="B1621" s="28" t="s">
        <v>3052</v>
      </c>
      <c r="C1621" s="28">
        <v>4141013783</v>
      </c>
      <c r="D1621" s="28" t="s">
        <v>3542</v>
      </c>
      <c r="E1621" s="28" t="s">
        <v>3529</v>
      </c>
      <c r="F1621" s="28" t="s">
        <v>1700</v>
      </c>
      <c r="G1621" s="28" t="s">
        <v>1252</v>
      </c>
    </row>
    <row r="1622" spans="1:7">
      <c r="A1622" s="28">
        <v>1621</v>
      </c>
      <c r="B1622" s="28" t="s">
        <v>2282</v>
      </c>
      <c r="C1622" s="28">
        <v>4141013784</v>
      </c>
      <c r="D1622" s="28" t="s">
        <v>3528</v>
      </c>
      <c r="E1622" s="28" t="s">
        <v>3534</v>
      </c>
      <c r="F1622" s="28" t="s">
        <v>1700</v>
      </c>
      <c r="G1622" s="28"/>
    </row>
    <row r="1623" spans="1:7">
      <c r="A1623" s="28">
        <v>1622</v>
      </c>
      <c r="B1623" s="28" t="s">
        <v>3053</v>
      </c>
      <c r="C1623" s="28">
        <v>4141013785</v>
      </c>
      <c r="D1623" s="28" t="s">
        <v>3542</v>
      </c>
      <c r="E1623" s="28" t="s">
        <v>3529</v>
      </c>
      <c r="F1623" s="28" t="s">
        <v>1700</v>
      </c>
      <c r="G1623" s="28" t="s">
        <v>1252</v>
      </c>
    </row>
    <row r="1624" spans="1:7">
      <c r="A1624" s="28">
        <v>1623</v>
      </c>
      <c r="B1624" s="28" t="s">
        <v>2283</v>
      </c>
      <c r="C1624" s="28">
        <v>4141013786</v>
      </c>
      <c r="D1624" s="28" t="s">
        <v>3528</v>
      </c>
      <c r="E1624" s="28" t="s">
        <v>3529</v>
      </c>
      <c r="F1624" s="28" t="s">
        <v>1700</v>
      </c>
      <c r="G1624" s="28"/>
    </row>
    <row r="1625" spans="1:7">
      <c r="A1625" s="28">
        <v>1624</v>
      </c>
      <c r="B1625" s="28" t="s">
        <v>2284</v>
      </c>
      <c r="C1625" s="28">
        <v>4141013787</v>
      </c>
      <c r="D1625" s="28" t="s">
        <v>3528</v>
      </c>
      <c r="E1625" s="28" t="s">
        <v>3539</v>
      </c>
      <c r="F1625" s="28" t="s">
        <v>1700</v>
      </c>
      <c r="G1625" s="28"/>
    </row>
    <row r="1626" spans="1:7">
      <c r="A1626" s="28">
        <v>1625</v>
      </c>
      <c r="B1626" s="28" t="s">
        <v>2285</v>
      </c>
      <c r="C1626" s="28">
        <v>4141013788</v>
      </c>
      <c r="D1626" s="28" t="s">
        <v>3528</v>
      </c>
      <c r="E1626" s="28" t="s">
        <v>3529</v>
      </c>
      <c r="F1626" s="28" t="s">
        <v>1700</v>
      </c>
      <c r="G1626" s="28"/>
    </row>
    <row r="1627" spans="1:7">
      <c r="A1627" s="28">
        <v>1626</v>
      </c>
      <c r="B1627" s="28" t="s">
        <v>2286</v>
      </c>
      <c r="C1627" s="28">
        <v>4141013789</v>
      </c>
      <c r="D1627" s="28" t="s">
        <v>3528</v>
      </c>
      <c r="E1627" s="28" t="s">
        <v>3529</v>
      </c>
      <c r="F1627" s="28" t="s">
        <v>1700</v>
      </c>
      <c r="G1627" s="28"/>
    </row>
    <row r="1628" spans="1:7">
      <c r="A1628" s="28">
        <v>1627</v>
      </c>
      <c r="B1628" s="28" t="s">
        <v>2287</v>
      </c>
      <c r="C1628" s="28">
        <v>4141013790</v>
      </c>
      <c r="D1628" s="28" t="s">
        <v>3528</v>
      </c>
      <c r="E1628" s="28" t="s">
        <v>3529</v>
      </c>
      <c r="F1628" s="28" t="s">
        <v>1700</v>
      </c>
      <c r="G1628" s="28"/>
    </row>
    <row r="1629" spans="1:7">
      <c r="A1629" s="28">
        <v>1628</v>
      </c>
      <c r="B1629" s="28" t="s">
        <v>2288</v>
      </c>
      <c r="C1629" s="28">
        <v>4141013791</v>
      </c>
      <c r="D1629" s="28" t="s">
        <v>3528</v>
      </c>
      <c r="E1629" s="28" t="s">
        <v>3529</v>
      </c>
      <c r="F1629" s="28" t="s">
        <v>1700</v>
      </c>
      <c r="G1629" s="28"/>
    </row>
    <row r="1630" spans="1:7">
      <c r="A1630" s="28">
        <v>1629</v>
      </c>
      <c r="B1630" s="28" t="s">
        <v>2289</v>
      </c>
      <c r="C1630" s="28">
        <v>4141013792</v>
      </c>
      <c r="D1630" s="28" t="s">
        <v>3528</v>
      </c>
      <c r="E1630" s="28" t="s">
        <v>3529</v>
      </c>
      <c r="F1630" s="28" t="s">
        <v>1700</v>
      </c>
      <c r="G1630" s="28"/>
    </row>
    <row r="1631" spans="1:7">
      <c r="A1631" s="28">
        <v>1630</v>
      </c>
      <c r="B1631" s="28" t="s">
        <v>2290</v>
      </c>
      <c r="C1631" s="28">
        <v>4141013885</v>
      </c>
      <c r="D1631" s="28" t="s">
        <v>3528</v>
      </c>
      <c r="E1631" s="28" t="s">
        <v>3529</v>
      </c>
      <c r="F1631" s="28" t="s">
        <v>1700</v>
      </c>
      <c r="G1631" s="28"/>
    </row>
    <row r="1632" spans="1:7">
      <c r="A1632" s="28">
        <v>1631</v>
      </c>
      <c r="B1632" s="28" t="s">
        <v>2291</v>
      </c>
      <c r="C1632" s="28">
        <v>4141013889</v>
      </c>
      <c r="D1632" s="28" t="s">
        <v>3528</v>
      </c>
      <c r="E1632" s="28" t="s">
        <v>3531</v>
      </c>
      <c r="F1632" s="28" t="s">
        <v>1700</v>
      </c>
      <c r="G1632" s="28"/>
    </row>
    <row r="1633" spans="1:7">
      <c r="A1633" s="28">
        <v>1632</v>
      </c>
      <c r="B1633" s="28" t="s">
        <v>2292</v>
      </c>
      <c r="C1633" s="28">
        <v>4141013936</v>
      </c>
      <c r="D1633" s="28" t="s">
        <v>3528</v>
      </c>
      <c r="E1633" s="28" t="s">
        <v>3529</v>
      </c>
      <c r="F1633" s="28" t="s">
        <v>1700</v>
      </c>
      <c r="G1633" s="28"/>
    </row>
    <row r="1634" spans="1:7">
      <c r="A1634" s="28">
        <v>1633</v>
      </c>
      <c r="B1634" s="28" t="s">
        <v>3054</v>
      </c>
      <c r="C1634" s="28">
        <v>4141014062</v>
      </c>
      <c r="D1634" s="28" t="s">
        <v>3542</v>
      </c>
      <c r="E1634" s="28" t="s">
        <v>3529</v>
      </c>
      <c r="F1634" s="28" t="s">
        <v>1700</v>
      </c>
      <c r="G1634" s="28" t="s">
        <v>1252</v>
      </c>
    </row>
    <row r="1635" spans="1:7">
      <c r="A1635" s="28">
        <v>1634</v>
      </c>
      <c r="B1635" s="28" t="s">
        <v>2293</v>
      </c>
      <c r="C1635" s="28">
        <v>4141014181</v>
      </c>
      <c r="D1635" s="28" t="s">
        <v>3528</v>
      </c>
      <c r="E1635" s="28" t="s">
        <v>3529</v>
      </c>
      <c r="F1635" s="28" t="s">
        <v>1700</v>
      </c>
      <c r="G1635" s="28"/>
    </row>
    <row r="1636" spans="1:7">
      <c r="A1636" s="28">
        <v>1635</v>
      </c>
      <c r="B1636" s="28" t="s">
        <v>3055</v>
      </c>
      <c r="C1636" s="28">
        <v>4141014235</v>
      </c>
      <c r="D1636" s="28" t="s">
        <v>3542</v>
      </c>
      <c r="E1636" s="28" t="s">
        <v>3529</v>
      </c>
      <c r="F1636" s="28" t="s">
        <v>1700</v>
      </c>
      <c r="G1636" s="28" t="s">
        <v>1252</v>
      </c>
    </row>
    <row r="1637" spans="1:7">
      <c r="A1637" s="28">
        <v>1636</v>
      </c>
      <c r="B1637" s="28" t="s">
        <v>2294</v>
      </c>
      <c r="C1637" s="28">
        <v>4141014243</v>
      </c>
      <c r="D1637" s="28" t="s">
        <v>3528</v>
      </c>
      <c r="E1637" s="28" t="s">
        <v>3536</v>
      </c>
      <c r="F1637" s="28" t="s">
        <v>1700</v>
      </c>
      <c r="G1637" s="28"/>
    </row>
    <row r="1638" spans="1:7">
      <c r="A1638" s="28">
        <v>1637</v>
      </c>
      <c r="B1638" s="28" t="s">
        <v>2295</v>
      </c>
      <c r="C1638" s="28">
        <v>4141014245</v>
      </c>
      <c r="D1638" s="28" t="s">
        <v>3528</v>
      </c>
      <c r="E1638" s="28" t="s">
        <v>3532</v>
      </c>
      <c r="F1638" s="28" t="s">
        <v>1700</v>
      </c>
      <c r="G1638" s="28"/>
    </row>
    <row r="1639" spans="1:7">
      <c r="A1639" s="28">
        <v>1638</v>
      </c>
      <c r="B1639" s="28" t="s">
        <v>2296</v>
      </c>
      <c r="C1639" s="28">
        <v>4141014251</v>
      </c>
      <c r="D1639" s="28" t="s">
        <v>3528</v>
      </c>
      <c r="E1639" s="28" t="s">
        <v>3540</v>
      </c>
      <c r="F1639" s="28" t="s">
        <v>1700</v>
      </c>
      <c r="G1639" s="28"/>
    </row>
    <row r="1640" spans="1:7">
      <c r="A1640" s="28">
        <v>1639</v>
      </c>
      <c r="B1640" s="28" t="s">
        <v>3056</v>
      </c>
      <c r="C1640" s="28">
        <v>4141014300</v>
      </c>
      <c r="D1640" s="28" t="s">
        <v>3542</v>
      </c>
      <c r="E1640" s="28" t="s">
        <v>3530</v>
      </c>
      <c r="F1640" s="28" t="s">
        <v>1700</v>
      </c>
      <c r="G1640" s="28" t="s">
        <v>1252</v>
      </c>
    </row>
    <row r="1641" spans="1:7">
      <c r="A1641" s="28">
        <v>1640</v>
      </c>
      <c r="B1641" s="28" t="s">
        <v>3057</v>
      </c>
      <c r="C1641" s="28">
        <v>4141014301</v>
      </c>
      <c r="D1641" s="28" t="s">
        <v>3542</v>
      </c>
      <c r="E1641" s="28" t="s">
        <v>3537</v>
      </c>
      <c r="F1641" s="28" t="s">
        <v>1700</v>
      </c>
      <c r="G1641" s="28" t="s">
        <v>1252</v>
      </c>
    </row>
    <row r="1642" spans="1:7">
      <c r="A1642" s="28">
        <v>1641</v>
      </c>
      <c r="B1642" s="28" t="s">
        <v>3058</v>
      </c>
      <c r="C1642" s="28">
        <v>4141014302</v>
      </c>
      <c r="D1642" s="28" t="s">
        <v>3542</v>
      </c>
      <c r="E1642" s="28" t="s">
        <v>3529</v>
      </c>
      <c r="F1642" s="28" t="s">
        <v>1700</v>
      </c>
      <c r="G1642" s="28" t="s">
        <v>1252</v>
      </c>
    </row>
    <row r="1643" spans="1:7">
      <c r="A1643" s="28">
        <v>1642</v>
      </c>
      <c r="B1643" s="28" t="s">
        <v>3059</v>
      </c>
      <c r="C1643" s="28">
        <v>4141014303</v>
      </c>
      <c r="D1643" s="28" t="s">
        <v>3542</v>
      </c>
      <c r="E1643" s="28" t="s">
        <v>3529</v>
      </c>
      <c r="F1643" s="28" t="s">
        <v>1700</v>
      </c>
      <c r="G1643" s="28" t="s">
        <v>1252</v>
      </c>
    </row>
    <row r="1644" spans="1:7">
      <c r="A1644" s="28">
        <v>1643</v>
      </c>
      <c r="B1644" s="28" t="s">
        <v>3060</v>
      </c>
      <c r="C1644" s="28">
        <v>4141014305</v>
      </c>
      <c r="D1644" s="28" t="s">
        <v>3542</v>
      </c>
      <c r="E1644" s="28" t="s">
        <v>3532</v>
      </c>
      <c r="F1644" s="28" t="s">
        <v>1700</v>
      </c>
      <c r="G1644" s="28" t="s">
        <v>1252</v>
      </c>
    </row>
    <row r="1645" spans="1:7">
      <c r="A1645" s="28">
        <v>1644</v>
      </c>
      <c r="B1645" s="28" t="s">
        <v>2297</v>
      </c>
      <c r="C1645" s="28">
        <v>4141014306</v>
      </c>
      <c r="D1645" s="28" t="s">
        <v>3528</v>
      </c>
      <c r="E1645" s="28" t="s">
        <v>3533</v>
      </c>
      <c r="F1645" s="28" t="s">
        <v>1700</v>
      </c>
      <c r="G1645" s="28"/>
    </row>
    <row r="1646" spans="1:7">
      <c r="A1646" s="28">
        <v>1645</v>
      </c>
      <c r="B1646" s="28" t="s">
        <v>2298</v>
      </c>
      <c r="C1646" s="28">
        <v>4141014307</v>
      </c>
      <c r="D1646" s="28" t="s">
        <v>3528</v>
      </c>
      <c r="E1646" s="28" t="s">
        <v>3529</v>
      </c>
      <c r="F1646" s="28" t="s">
        <v>1700</v>
      </c>
      <c r="G1646" s="28"/>
    </row>
    <row r="1647" spans="1:7">
      <c r="A1647" s="28">
        <v>1646</v>
      </c>
      <c r="B1647" s="28" t="s">
        <v>2299</v>
      </c>
      <c r="C1647" s="28">
        <v>4141014308</v>
      </c>
      <c r="D1647" s="28" t="s">
        <v>3528</v>
      </c>
      <c r="E1647" s="28" t="s">
        <v>3529</v>
      </c>
      <c r="F1647" s="28" t="s">
        <v>1700</v>
      </c>
      <c r="G1647" s="28"/>
    </row>
    <row r="1648" spans="1:7">
      <c r="A1648" s="28">
        <v>1647</v>
      </c>
      <c r="B1648" s="28" t="s">
        <v>2300</v>
      </c>
      <c r="C1648" s="28">
        <v>4141014348</v>
      </c>
      <c r="D1648" s="28" t="s">
        <v>3528</v>
      </c>
      <c r="E1648" s="28" t="s">
        <v>3529</v>
      </c>
      <c r="F1648" s="28" t="s">
        <v>1700</v>
      </c>
      <c r="G1648" s="28"/>
    </row>
    <row r="1649" spans="1:7">
      <c r="A1649" s="28">
        <v>1648</v>
      </c>
      <c r="B1649" s="28" t="s">
        <v>2301</v>
      </c>
      <c r="C1649" s="28">
        <v>4141014349</v>
      </c>
      <c r="D1649" s="28" t="s">
        <v>3528</v>
      </c>
      <c r="E1649" s="28" t="s">
        <v>3536</v>
      </c>
      <c r="F1649" s="28" t="s">
        <v>1700</v>
      </c>
      <c r="G1649" s="28"/>
    </row>
    <row r="1650" spans="1:7">
      <c r="A1650" s="28">
        <v>1649</v>
      </c>
      <c r="B1650" s="28" t="s">
        <v>2302</v>
      </c>
      <c r="C1650" s="28">
        <v>4141014350</v>
      </c>
      <c r="D1650" s="28" t="s">
        <v>3528</v>
      </c>
      <c r="E1650" s="28" t="s">
        <v>3537</v>
      </c>
      <c r="F1650" s="28" t="s">
        <v>1700</v>
      </c>
      <c r="G1650" s="28"/>
    </row>
    <row r="1651" spans="1:7">
      <c r="A1651" s="28">
        <v>1650</v>
      </c>
      <c r="B1651" s="28" t="s">
        <v>3061</v>
      </c>
      <c r="C1651" s="28">
        <v>4141014351</v>
      </c>
      <c r="D1651" s="28" t="s">
        <v>3542</v>
      </c>
      <c r="E1651" s="28" t="s">
        <v>3534</v>
      </c>
      <c r="F1651" s="28" t="s">
        <v>1700</v>
      </c>
      <c r="G1651" s="28" t="s">
        <v>1252</v>
      </c>
    </row>
    <row r="1652" spans="1:7">
      <c r="A1652" s="28">
        <v>1651</v>
      </c>
      <c r="B1652" s="28" t="s">
        <v>3062</v>
      </c>
      <c r="C1652" s="28">
        <v>4141014352</v>
      </c>
      <c r="D1652" s="28" t="s">
        <v>3542</v>
      </c>
      <c r="E1652" s="28" t="s">
        <v>3547</v>
      </c>
      <c r="F1652" s="28" t="s">
        <v>1700</v>
      </c>
      <c r="G1652" s="28" t="s">
        <v>1252</v>
      </c>
    </row>
    <row r="1653" spans="1:7">
      <c r="A1653" s="28">
        <v>1652</v>
      </c>
      <c r="B1653" s="28" t="s">
        <v>3063</v>
      </c>
      <c r="C1653" s="28">
        <v>4141014353</v>
      </c>
      <c r="D1653" s="28" t="s">
        <v>3542</v>
      </c>
      <c r="E1653" s="28" t="s">
        <v>3538</v>
      </c>
      <c r="F1653" s="28" t="s">
        <v>1700</v>
      </c>
      <c r="G1653" s="28" t="s">
        <v>1252</v>
      </c>
    </row>
    <row r="1654" spans="1:7">
      <c r="A1654" s="28">
        <v>1653</v>
      </c>
      <c r="B1654" s="28" t="s">
        <v>3064</v>
      </c>
      <c r="C1654" s="28">
        <v>4141014380</v>
      </c>
      <c r="D1654" s="28" t="s">
        <v>3542</v>
      </c>
      <c r="E1654" s="28" t="s">
        <v>3529</v>
      </c>
      <c r="F1654" s="28" t="s">
        <v>1700</v>
      </c>
      <c r="G1654" s="28" t="s">
        <v>1252</v>
      </c>
    </row>
    <row r="1655" spans="1:7">
      <c r="A1655" s="28">
        <v>1654</v>
      </c>
      <c r="B1655" s="28" t="s">
        <v>2303</v>
      </c>
      <c r="C1655" s="28">
        <v>4141014382</v>
      </c>
      <c r="D1655" s="28" t="s">
        <v>3528</v>
      </c>
      <c r="E1655" s="28" t="s">
        <v>3531</v>
      </c>
      <c r="F1655" s="28" t="s">
        <v>1700</v>
      </c>
      <c r="G1655" s="28"/>
    </row>
    <row r="1656" spans="1:7">
      <c r="A1656" s="28">
        <v>1655</v>
      </c>
      <c r="B1656" s="28" t="s">
        <v>2304</v>
      </c>
      <c r="C1656" s="28">
        <v>4141014383</v>
      </c>
      <c r="D1656" s="28" t="s">
        <v>3528</v>
      </c>
      <c r="E1656" s="28" t="s">
        <v>3531</v>
      </c>
      <c r="F1656" s="28" t="s">
        <v>1700</v>
      </c>
      <c r="G1656" s="28"/>
    </row>
    <row r="1657" spans="1:7">
      <c r="A1657" s="28">
        <v>1656</v>
      </c>
      <c r="B1657" s="28" t="s">
        <v>2305</v>
      </c>
      <c r="C1657" s="28">
        <v>4141014391</v>
      </c>
      <c r="D1657" s="28" t="s">
        <v>3528</v>
      </c>
      <c r="E1657" s="28" t="s">
        <v>3529</v>
      </c>
      <c r="F1657" s="28" t="s">
        <v>1700</v>
      </c>
      <c r="G1657" s="28"/>
    </row>
    <row r="1658" spans="1:7">
      <c r="A1658" s="28">
        <v>1657</v>
      </c>
      <c r="B1658" s="28" t="s">
        <v>2306</v>
      </c>
      <c r="C1658" s="28">
        <v>4141014392</v>
      </c>
      <c r="D1658" s="28" t="s">
        <v>3528</v>
      </c>
      <c r="E1658" s="28" t="s">
        <v>3536</v>
      </c>
      <c r="F1658" s="28" t="s">
        <v>1700</v>
      </c>
      <c r="G1658" s="28"/>
    </row>
    <row r="1659" spans="1:7">
      <c r="A1659" s="28">
        <v>1658</v>
      </c>
      <c r="B1659" s="28" t="s">
        <v>3065</v>
      </c>
      <c r="C1659" s="28">
        <v>4141014405</v>
      </c>
      <c r="D1659" s="28" t="s">
        <v>3542</v>
      </c>
      <c r="E1659" s="28" t="s">
        <v>3529</v>
      </c>
      <c r="F1659" s="28" t="s">
        <v>1700</v>
      </c>
      <c r="G1659" s="28" t="s">
        <v>1252</v>
      </c>
    </row>
    <row r="1660" spans="1:7">
      <c r="A1660" s="28">
        <v>1659</v>
      </c>
      <c r="B1660" s="28" t="s">
        <v>2307</v>
      </c>
      <c r="C1660" s="28">
        <v>4141014466</v>
      </c>
      <c r="D1660" s="28" t="s">
        <v>3528</v>
      </c>
      <c r="E1660" s="28" t="s">
        <v>3529</v>
      </c>
      <c r="F1660" s="28" t="s">
        <v>1700</v>
      </c>
      <c r="G1660" s="28"/>
    </row>
    <row r="1661" spans="1:7">
      <c r="A1661" s="28">
        <v>1660</v>
      </c>
      <c r="B1661" s="28" t="s">
        <v>2308</v>
      </c>
      <c r="C1661" s="28">
        <v>4141014478</v>
      </c>
      <c r="D1661" s="28" t="s">
        <v>3528</v>
      </c>
      <c r="E1661" s="28" t="s">
        <v>3529</v>
      </c>
      <c r="F1661" s="28" t="s">
        <v>1700</v>
      </c>
      <c r="G1661" s="28"/>
    </row>
    <row r="1662" spans="1:7">
      <c r="A1662" s="28">
        <v>1661</v>
      </c>
      <c r="B1662" s="28" t="s">
        <v>2309</v>
      </c>
      <c r="C1662" s="28">
        <v>4141014479</v>
      </c>
      <c r="D1662" s="28" t="s">
        <v>3528</v>
      </c>
      <c r="E1662" s="28" t="s">
        <v>3538</v>
      </c>
      <c r="F1662" s="28" t="s">
        <v>1700</v>
      </c>
      <c r="G1662" s="28"/>
    </row>
    <row r="1663" spans="1:7">
      <c r="A1663" s="28">
        <v>1662</v>
      </c>
      <c r="B1663" s="28" t="s">
        <v>3066</v>
      </c>
      <c r="C1663" s="28">
        <v>4141014480</v>
      </c>
      <c r="D1663" s="28" t="s">
        <v>3542</v>
      </c>
      <c r="E1663" s="28" t="s">
        <v>3531</v>
      </c>
      <c r="F1663" s="28" t="s">
        <v>1700</v>
      </c>
      <c r="G1663" s="28" t="s">
        <v>1252</v>
      </c>
    </row>
    <row r="1664" spans="1:7">
      <c r="A1664" s="28">
        <v>1663</v>
      </c>
      <c r="B1664" s="28" t="s">
        <v>2310</v>
      </c>
      <c r="C1664" s="28">
        <v>4141014529</v>
      </c>
      <c r="D1664" s="28" t="s">
        <v>3528</v>
      </c>
      <c r="E1664" s="28" t="s">
        <v>3547</v>
      </c>
      <c r="F1664" s="28" t="s">
        <v>1700</v>
      </c>
      <c r="G1664" s="28"/>
    </row>
    <row r="1665" spans="1:7">
      <c r="A1665" s="28">
        <v>1664</v>
      </c>
      <c r="B1665" s="28" t="s">
        <v>3067</v>
      </c>
      <c r="C1665" s="28">
        <v>4141014530</v>
      </c>
      <c r="D1665" s="28" t="s">
        <v>3542</v>
      </c>
      <c r="E1665" s="28" t="s">
        <v>3541</v>
      </c>
      <c r="F1665" s="28" t="s">
        <v>1700</v>
      </c>
      <c r="G1665" s="28" t="s">
        <v>1252</v>
      </c>
    </row>
    <row r="1666" spans="1:7">
      <c r="A1666" s="28">
        <v>1665</v>
      </c>
      <c r="B1666" s="28" t="s">
        <v>2311</v>
      </c>
      <c r="C1666" s="28">
        <v>4141014597</v>
      </c>
      <c r="D1666" s="28" t="s">
        <v>3528</v>
      </c>
      <c r="E1666" s="28" t="s">
        <v>3545</v>
      </c>
      <c r="F1666" s="28" t="s">
        <v>1700</v>
      </c>
      <c r="G1666" s="28"/>
    </row>
    <row r="1667" spans="1:7">
      <c r="A1667" s="28">
        <v>1666</v>
      </c>
      <c r="B1667" s="28" t="s">
        <v>2312</v>
      </c>
      <c r="C1667" s="28">
        <v>4141014598</v>
      </c>
      <c r="D1667" s="28" t="s">
        <v>3528</v>
      </c>
      <c r="E1667" s="28" t="s">
        <v>3540</v>
      </c>
      <c r="F1667" s="28" t="s">
        <v>1700</v>
      </c>
      <c r="G1667" s="28"/>
    </row>
    <row r="1668" spans="1:7">
      <c r="A1668" s="28">
        <v>1667</v>
      </c>
      <c r="B1668" s="28" t="s">
        <v>2313</v>
      </c>
      <c r="C1668" s="28">
        <v>4141014606</v>
      </c>
      <c r="D1668" s="28" t="s">
        <v>3528</v>
      </c>
      <c r="E1668" s="28" t="s">
        <v>3544</v>
      </c>
      <c r="F1668" s="28" t="s">
        <v>1700</v>
      </c>
      <c r="G1668" s="28"/>
    </row>
    <row r="1669" spans="1:7">
      <c r="A1669" s="28">
        <v>1668</v>
      </c>
      <c r="B1669" s="28" t="s">
        <v>2314</v>
      </c>
      <c r="C1669" s="28">
        <v>4141014607</v>
      </c>
      <c r="D1669" s="28" t="s">
        <v>3528</v>
      </c>
      <c r="E1669" s="28" t="s">
        <v>3529</v>
      </c>
      <c r="F1669" s="28" t="s">
        <v>1700</v>
      </c>
      <c r="G1669" s="28"/>
    </row>
    <row r="1670" spans="1:7">
      <c r="A1670" s="28">
        <v>1669</v>
      </c>
      <c r="B1670" s="28" t="s">
        <v>2315</v>
      </c>
      <c r="C1670" s="28">
        <v>4141014608</v>
      </c>
      <c r="D1670" s="28" t="s">
        <v>3528</v>
      </c>
      <c r="E1670" s="28" t="s">
        <v>3529</v>
      </c>
      <c r="F1670" s="28" t="s">
        <v>1700</v>
      </c>
      <c r="G1670" s="28"/>
    </row>
    <row r="1671" spans="1:7">
      <c r="A1671" s="28">
        <v>1670</v>
      </c>
      <c r="B1671" s="28" t="s">
        <v>3068</v>
      </c>
      <c r="C1671" s="28">
        <v>4141014634</v>
      </c>
      <c r="D1671" s="28" t="s">
        <v>3542</v>
      </c>
      <c r="E1671" s="28" t="s">
        <v>3534</v>
      </c>
      <c r="F1671" s="28" t="s">
        <v>1700</v>
      </c>
      <c r="G1671" s="28" t="s">
        <v>1252</v>
      </c>
    </row>
    <row r="1672" spans="1:7">
      <c r="A1672" s="28">
        <v>1671</v>
      </c>
      <c r="B1672" s="28" t="s">
        <v>2316</v>
      </c>
      <c r="C1672" s="28">
        <v>4141014635</v>
      </c>
      <c r="D1672" s="28" t="s">
        <v>3528</v>
      </c>
      <c r="E1672" s="28" t="s">
        <v>3529</v>
      </c>
      <c r="F1672" s="28" t="s">
        <v>1700</v>
      </c>
      <c r="G1672" s="28"/>
    </row>
    <row r="1673" spans="1:7">
      <c r="A1673" s="28">
        <v>1672</v>
      </c>
      <c r="B1673" s="28" t="s">
        <v>2317</v>
      </c>
      <c r="C1673" s="28">
        <v>4141014636</v>
      </c>
      <c r="D1673" s="28" t="s">
        <v>3528</v>
      </c>
      <c r="E1673" s="28" t="s">
        <v>3532</v>
      </c>
      <c r="F1673" s="28" t="s">
        <v>1700</v>
      </c>
      <c r="G1673" s="28"/>
    </row>
    <row r="1674" spans="1:7">
      <c r="A1674" s="28">
        <v>1673</v>
      </c>
      <c r="B1674" s="28" t="s">
        <v>2318</v>
      </c>
      <c r="C1674" s="28">
        <v>4141014637</v>
      </c>
      <c r="D1674" s="28" t="s">
        <v>3528</v>
      </c>
      <c r="E1674" s="28" t="s">
        <v>3529</v>
      </c>
      <c r="F1674" s="28" t="s">
        <v>1700</v>
      </c>
      <c r="G1674" s="28"/>
    </row>
    <row r="1675" spans="1:7">
      <c r="A1675" s="28">
        <v>1674</v>
      </c>
      <c r="B1675" s="28" t="s">
        <v>3304</v>
      </c>
      <c r="C1675" s="28">
        <v>4141014685</v>
      </c>
      <c r="D1675" s="28" t="s">
        <v>3542</v>
      </c>
      <c r="E1675" s="28" t="s">
        <v>3529</v>
      </c>
      <c r="F1675" s="28" t="s">
        <v>1700</v>
      </c>
      <c r="G1675" s="28" t="s">
        <v>3424</v>
      </c>
    </row>
    <row r="1676" spans="1:7">
      <c r="A1676" s="28">
        <v>1675</v>
      </c>
      <c r="B1676" s="28" t="s">
        <v>2319</v>
      </c>
      <c r="C1676" s="28">
        <v>4141014711</v>
      </c>
      <c r="D1676" s="28" t="s">
        <v>3528</v>
      </c>
      <c r="E1676" s="28" t="s">
        <v>3532</v>
      </c>
      <c r="F1676" s="28" t="s">
        <v>1700</v>
      </c>
      <c r="G1676" s="28"/>
    </row>
    <row r="1677" spans="1:7">
      <c r="A1677" s="28">
        <v>1676</v>
      </c>
      <c r="B1677" s="28" t="s">
        <v>2320</v>
      </c>
      <c r="C1677" s="28">
        <v>4141014712</v>
      </c>
      <c r="D1677" s="28" t="s">
        <v>3528</v>
      </c>
      <c r="E1677" s="28" t="s">
        <v>3533</v>
      </c>
      <c r="F1677" s="28" t="s">
        <v>1700</v>
      </c>
      <c r="G1677" s="28"/>
    </row>
    <row r="1678" spans="1:7">
      <c r="A1678" s="28">
        <v>1677</v>
      </c>
      <c r="B1678" s="28" t="s">
        <v>2321</v>
      </c>
      <c r="C1678" s="28">
        <v>4141014713</v>
      </c>
      <c r="D1678" s="28" t="s">
        <v>3528</v>
      </c>
      <c r="E1678" s="28" t="s">
        <v>3545</v>
      </c>
      <c r="F1678" s="28" t="s">
        <v>1700</v>
      </c>
      <c r="G1678" s="28"/>
    </row>
    <row r="1679" spans="1:7">
      <c r="A1679" s="28">
        <v>1678</v>
      </c>
      <c r="B1679" s="28" t="s">
        <v>2322</v>
      </c>
      <c r="C1679" s="28">
        <v>4141014714</v>
      </c>
      <c r="D1679" s="28" t="s">
        <v>3528</v>
      </c>
      <c r="E1679" s="28" t="s">
        <v>3538</v>
      </c>
      <c r="F1679" s="28" t="s">
        <v>1700</v>
      </c>
      <c r="G1679" s="28"/>
    </row>
    <row r="1680" spans="1:7">
      <c r="A1680" s="28">
        <v>1679</v>
      </c>
      <c r="B1680" s="28" t="s">
        <v>2323</v>
      </c>
      <c r="C1680" s="28">
        <v>4141014715</v>
      </c>
      <c r="D1680" s="28" t="s">
        <v>3528</v>
      </c>
      <c r="E1680" s="28" t="s">
        <v>3533</v>
      </c>
      <c r="F1680" s="28" t="s">
        <v>1700</v>
      </c>
      <c r="G1680" s="28"/>
    </row>
    <row r="1681" spans="1:7">
      <c r="A1681" s="28">
        <v>1680</v>
      </c>
      <c r="B1681" s="28" t="s">
        <v>2324</v>
      </c>
      <c r="C1681" s="28">
        <v>4141014716</v>
      </c>
      <c r="D1681" s="28" t="s">
        <v>3528</v>
      </c>
      <c r="E1681" s="28" t="s">
        <v>3541</v>
      </c>
      <c r="F1681" s="28" t="s">
        <v>1700</v>
      </c>
      <c r="G1681" s="28"/>
    </row>
    <row r="1682" spans="1:7">
      <c r="A1682" s="28">
        <v>1681</v>
      </c>
      <c r="B1682" s="28" t="s">
        <v>3069</v>
      </c>
      <c r="C1682" s="28">
        <v>4141014717</v>
      </c>
      <c r="D1682" s="28" t="s">
        <v>3542</v>
      </c>
      <c r="E1682" s="28" t="s">
        <v>3536</v>
      </c>
      <c r="F1682" s="28" t="s">
        <v>1700</v>
      </c>
      <c r="G1682" s="28" t="s">
        <v>1252</v>
      </c>
    </row>
    <row r="1683" spans="1:7">
      <c r="A1683" s="28">
        <v>1682</v>
      </c>
      <c r="B1683" s="28" t="s">
        <v>3070</v>
      </c>
      <c r="C1683" s="28">
        <v>4141014718</v>
      </c>
      <c r="D1683" s="28" t="s">
        <v>3542</v>
      </c>
      <c r="E1683" s="28" t="s">
        <v>3529</v>
      </c>
      <c r="F1683" s="28" t="s">
        <v>1700</v>
      </c>
      <c r="G1683" s="28" t="s">
        <v>1252</v>
      </c>
    </row>
    <row r="1684" spans="1:7">
      <c r="A1684" s="28">
        <v>1683</v>
      </c>
      <c r="B1684" s="28" t="s">
        <v>3071</v>
      </c>
      <c r="C1684" s="28">
        <v>4141014719</v>
      </c>
      <c r="D1684" s="28" t="s">
        <v>3542</v>
      </c>
      <c r="E1684" s="28" t="s">
        <v>3529</v>
      </c>
      <c r="F1684" s="28" t="s">
        <v>1700</v>
      </c>
      <c r="G1684" s="28" t="s">
        <v>1252</v>
      </c>
    </row>
    <row r="1685" spans="1:7">
      <c r="A1685" s="28">
        <v>1684</v>
      </c>
      <c r="B1685" s="28" t="s">
        <v>3072</v>
      </c>
      <c r="C1685" s="28">
        <v>4141014720</v>
      </c>
      <c r="D1685" s="28" t="s">
        <v>3542</v>
      </c>
      <c r="E1685" s="28" t="s">
        <v>3529</v>
      </c>
      <c r="F1685" s="28" t="s">
        <v>1700</v>
      </c>
      <c r="G1685" s="28" t="s">
        <v>1252</v>
      </c>
    </row>
    <row r="1686" spans="1:7">
      <c r="A1686" s="28">
        <v>1685</v>
      </c>
      <c r="B1686" s="28" t="s">
        <v>2325</v>
      </c>
      <c r="C1686" s="28">
        <v>4141014750</v>
      </c>
      <c r="D1686" s="28" t="s">
        <v>3528</v>
      </c>
      <c r="E1686" s="28" t="s">
        <v>3531</v>
      </c>
      <c r="F1686" s="28" t="s">
        <v>1700</v>
      </c>
      <c r="G1686" s="28"/>
    </row>
    <row r="1687" spans="1:7">
      <c r="A1687" s="28">
        <v>1686</v>
      </c>
      <c r="B1687" s="28" t="s">
        <v>2326</v>
      </c>
      <c r="C1687" s="28">
        <v>4141014751</v>
      </c>
      <c r="D1687" s="28" t="s">
        <v>3528</v>
      </c>
      <c r="E1687" s="28" t="s">
        <v>3535</v>
      </c>
      <c r="F1687" s="28" t="s">
        <v>1700</v>
      </c>
      <c r="G1687" s="28"/>
    </row>
    <row r="1688" spans="1:7">
      <c r="A1688" s="28">
        <v>1687</v>
      </c>
      <c r="B1688" s="28" t="s">
        <v>2327</v>
      </c>
      <c r="C1688" s="28">
        <v>4141014752</v>
      </c>
      <c r="D1688" s="28" t="s">
        <v>3528</v>
      </c>
      <c r="E1688" s="28" t="s">
        <v>3534</v>
      </c>
      <c r="F1688" s="28" t="s">
        <v>1700</v>
      </c>
      <c r="G1688" s="28"/>
    </row>
    <row r="1689" spans="1:7">
      <c r="A1689" s="28">
        <v>1688</v>
      </c>
      <c r="B1689" s="28" t="s">
        <v>3073</v>
      </c>
      <c r="C1689" s="28">
        <v>4141014753</v>
      </c>
      <c r="D1689" s="28" t="s">
        <v>3542</v>
      </c>
      <c r="E1689" s="28" t="s">
        <v>3529</v>
      </c>
      <c r="F1689" s="28" t="s">
        <v>1700</v>
      </c>
      <c r="G1689" s="28" t="s">
        <v>1252</v>
      </c>
    </row>
    <row r="1690" spans="1:7">
      <c r="A1690" s="28">
        <v>1689</v>
      </c>
      <c r="B1690" s="28" t="s">
        <v>3074</v>
      </c>
      <c r="C1690" s="28">
        <v>4141014754</v>
      </c>
      <c r="D1690" s="28" t="s">
        <v>3542</v>
      </c>
      <c r="E1690" s="28" t="s">
        <v>3529</v>
      </c>
      <c r="F1690" s="28" t="s">
        <v>1700</v>
      </c>
      <c r="G1690" s="28" t="s">
        <v>1252</v>
      </c>
    </row>
    <row r="1691" spans="1:7">
      <c r="A1691" s="28">
        <v>1690</v>
      </c>
      <c r="B1691" s="28" t="s">
        <v>2328</v>
      </c>
      <c r="C1691" s="28">
        <v>4241050709</v>
      </c>
      <c r="D1691" s="28" t="s">
        <v>3528</v>
      </c>
      <c r="E1691" s="28" t="s">
        <v>3541</v>
      </c>
      <c r="F1691" s="28" t="s">
        <v>1700</v>
      </c>
      <c r="G1691" s="28"/>
    </row>
    <row r="1692" spans="1:7">
      <c r="A1692" s="28">
        <v>1691</v>
      </c>
      <c r="B1692" s="28" t="s">
        <v>2806</v>
      </c>
      <c r="C1692" s="28">
        <v>4141014789</v>
      </c>
      <c r="D1692" s="28" t="s">
        <v>3528</v>
      </c>
      <c r="E1692" s="28" t="s">
        <v>3538</v>
      </c>
      <c r="F1692" s="28" t="s">
        <v>1700</v>
      </c>
      <c r="G1692" s="28"/>
    </row>
    <row r="1693" spans="1:7">
      <c r="A1693" s="28">
        <v>1692</v>
      </c>
      <c r="B1693" s="28" t="s">
        <v>2807</v>
      </c>
      <c r="C1693" s="28">
        <v>4141014790</v>
      </c>
      <c r="D1693" s="28" t="s">
        <v>3528</v>
      </c>
      <c r="E1693" s="28" t="s">
        <v>3545</v>
      </c>
      <c r="F1693" s="28" t="s">
        <v>1700</v>
      </c>
      <c r="G1693" s="28"/>
    </row>
    <row r="1694" spans="1:7">
      <c r="A1694" s="28">
        <v>1693</v>
      </c>
      <c r="B1694" s="28" t="s">
        <v>2808</v>
      </c>
      <c r="C1694" s="28">
        <v>4141014791</v>
      </c>
      <c r="D1694" s="28" t="s">
        <v>3528</v>
      </c>
      <c r="E1694" s="28" t="s">
        <v>3539</v>
      </c>
      <c r="F1694" s="28" t="s">
        <v>1700</v>
      </c>
      <c r="G1694" s="28"/>
    </row>
    <row r="1695" spans="1:7">
      <c r="A1695" s="28">
        <v>1694</v>
      </c>
      <c r="B1695" s="28" t="s">
        <v>2809</v>
      </c>
      <c r="C1695" s="28">
        <v>4141014792</v>
      </c>
      <c r="D1695" s="28" t="s">
        <v>3528</v>
      </c>
      <c r="E1695" s="28" t="s">
        <v>3535</v>
      </c>
      <c r="F1695" s="28" t="s">
        <v>1700</v>
      </c>
      <c r="G1695" s="28"/>
    </row>
    <row r="1696" spans="1:7">
      <c r="A1696" s="28">
        <v>1695</v>
      </c>
      <c r="B1696" s="28" t="s">
        <v>3234</v>
      </c>
      <c r="C1696" s="28">
        <v>4141014793</v>
      </c>
      <c r="D1696" s="28" t="s">
        <v>3542</v>
      </c>
      <c r="E1696" s="28" t="s">
        <v>3530</v>
      </c>
      <c r="F1696" s="28" t="s">
        <v>1700</v>
      </c>
      <c r="G1696" s="28" t="s">
        <v>1252</v>
      </c>
    </row>
    <row r="1697" spans="1:7">
      <c r="A1697" s="28">
        <v>1696</v>
      </c>
      <c r="B1697" s="28" t="s">
        <v>3235</v>
      </c>
      <c r="C1697" s="28">
        <v>4141014794</v>
      </c>
      <c r="D1697" s="28" t="s">
        <v>3542</v>
      </c>
      <c r="E1697" s="28" t="s">
        <v>3533</v>
      </c>
      <c r="F1697" s="28" t="s">
        <v>1700</v>
      </c>
      <c r="G1697" s="28" t="s">
        <v>1252</v>
      </c>
    </row>
    <row r="1698" spans="1:7">
      <c r="A1698" s="28">
        <v>1697</v>
      </c>
      <c r="B1698" s="28" t="s">
        <v>3236</v>
      </c>
      <c r="C1698" s="28">
        <v>4141014795</v>
      </c>
      <c r="D1698" s="28" t="s">
        <v>3542</v>
      </c>
      <c r="E1698" s="28" t="s">
        <v>3531</v>
      </c>
      <c r="F1698" s="28" t="s">
        <v>1700</v>
      </c>
      <c r="G1698" s="28" t="s">
        <v>1252</v>
      </c>
    </row>
    <row r="1699" spans="1:7">
      <c r="A1699" s="28">
        <v>1698</v>
      </c>
      <c r="B1699" s="28" t="s">
        <v>3237</v>
      </c>
      <c r="C1699" s="28">
        <v>4141014796</v>
      </c>
      <c r="D1699" s="28" t="s">
        <v>3542</v>
      </c>
      <c r="E1699" s="28" t="s">
        <v>3529</v>
      </c>
      <c r="F1699" s="28" t="s">
        <v>1700</v>
      </c>
      <c r="G1699" s="28" t="s">
        <v>1252</v>
      </c>
    </row>
    <row r="1700" spans="1:7">
      <c r="A1700" s="28">
        <v>1699</v>
      </c>
      <c r="B1700" s="28" t="s">
        <v>3238</v>
      </c>
      <c r="C1700" s="28">
        <v>4141014797</v>
      </c>
      <c r="D1700" s="28" t="s">
        <v>3542</v>
      </c>
      <c r="E1700" s="28" t="s">
        <v>3529</v>
      </c>
      <c r="F1700" s="28" t="s">
        <v>1700</v>
      </c>
      <c r="G1700" s="28" t="s">
        <v>1252</v>
      </c>
    </row>
    <row r="1701" spans="1:7">
      <c r="A1701" s="28">
        <v>1700</v>
      </c>
      <c r="B1701" s="28" t="s">
        <v>3245</v>
      </c>
      <c r="C1701" s="28">
        <v>4141014812</v>
      </c>
      <c r="D1701" s="28" t="s">
        <v>3542</v>
      </c>
      <c r="E1701" s="28" t="s">
        <v>3529</v>
      </c>
      <c r="F1701" s="28" t="s">
        <v>1700</v>
      </c>
      <c r="G1701" s="28" t="s">
        <v>1252</v>
      </c>
    </row>
    <row r="1702" spans="1:7">
      <c r="A1702" s="28">
        <v>1701</v>
      </c>
      <c r="B1702" s="28" t="s">
        <v>3246</v>
      </c>
      <c r="C1702" s="28">
        <v>4141014813</v>
      </c>
      <c r="D1702" s="28" t="s">
        <v>3542</v>
      </c>
      <c r="E1702" s="28" t="s">
        <v>3529</v>
      </c>
      <c r="F1702" s="28" t="s">
        <v>1700</v>
      </c>
      <c r="G1702" s="28" t="s">
        <v>1252</v>
      </c>
    </row>
    <row r="1703" spans="1:7">
      <c r="A1703" s="28">
        <v>1702</v>
      </c>
      <c r="B1703" s="28" t="s">
        <v>2856</v>
      </c>
      <c r="C1703" s="28">
        <v>4141014861</v>
      </c>
      <c r="D1703" s="28" t="s">
        <v>3528</v>
      </c>
      <c r="E1703" s="28" t="s">
        <v>3540</v>
      </c>
      <c r="F1703" s="28" t="s">
        <v>1700</v>
      </c>
      <c r="G1703" s="28"/>
    </row>
    <row r="1704" spans="1:7">
      <c r="A1704" s="28">
        <v>1703</v>
      </c>
      <c r="B1704" s="28" t="s">
        <v>3267</v>
      </c>
      <c r="C1704" s="28">
        <v>4141014862</v>
      </c>
      <c r="D1704" s="28" t="s">
        <v>3542</v>
      </c>
      <c r="E1704" s="28" t="s">
        <v>3534</v>
      </c>
      <c r="F1704" s="28" t="s">
        <v>1700</v>
      </c>
      <c r="G1704" s="28" t="s">
        <v>1252</v>
      </c>
    </row>
    <row r="1705" spans="1:7">
      <c r="A1705" s="28">
        <v>1704</v>
      </c>
      <c r="B1705" s="28" t="s">
        <v>3268</v>
      </c>
      <c r="C1705" s="28">
        <v>4141014863</v>
      </c>
      <c r="D1705" s="28" t="s">
        <v>3542</v>
      </c>
      <c r="E1705" s="28" t="s">
        <v>3534</v>
      </c>
      <c r="F1705" s="28" t="s">
        <v>1700</v>
      </c>
      <c r="G1705" s="28" t="s">
        <v>1252</v>
      </c>
    </row>
    <row r="1706" spans="1:7">
      <c r="A1706" s="28">
        <v>1705</v>
      </c>
      <c r="B1706" s="28" t="s">
        <v>3269</v>
      </c>
      <c r="C1706" s="28">
        <v>4141014864</v>
      </c>
      <c r="D1706" s="28" t="s">
        <v>3542</v>
      </c>
      <c r="E1706" s="28" t="s">
        <v>3535</v>
      </c>
      <c r="F1706" s="28" t="s">
        <v>1700</v>
      </c>
      <c r="G1706" s="28" t="s">
        <v>1252</v>
      </c>
    </row>
    <row r="1707" spans="1:7">
      <c r="A1707" s="28">
        <v>1706</v>
      </c>
      <c r="B1707" s="28" t="s">
        <v>3270</v>
      </c>
      <c r="C1707" s="28">
        <v>4141014865</v>
      </c>
      <c r="D1707" s="28" t="s">
        <v>3542</v>
      </c>
      <c r="E1707" s="28" t="s">
        <v>3532</v>
      </c>
      <c r="F1707" s="28" t="s">
        <v>1700</v>
      </c>
      <c r="G1707" s="28" t="s">
        <v>1252</v>
      </c>
    </row>
    <row r="1708" spans="1:7">
      <c r="A1708" s="28">
        <v>1707</v>
      </c>
      <c r="B1708" s="28" t="s">
        <v>3294</v>
      </c>
      <c r="C1708" s="28">
        <v>4141014929</v>
      </c>
      <c r="D1708" s="28" t="s">
        <v>3542</v>
      </c>
      <c r="E1708" s="28" t="s">
        <v>3533</v>
      </c>
      <c r="F1708" s="28" t="s">
        <v>1700</v>
      </c>
      <c r="G1708" s="28" t="s">
        <v>1252</v>
      </c>
    </row>
    <row r="1709" spans="1:7">
      <c r="A1709" s="28">
        <v>1708</v>
      </c>
      <c r="B1709" s="28" t="s">
        <v>3295</v>
      </c>
      <c r="C1709" s="28">
        <v>4141014930</v>
      </c>
      <c r="D1709" s="28" t="s">
        <v>3542</v>
      </c>
      <c r="E1709" s="28" t="s">
        <v>3533</v>
      </c>
      <c r="F1709" s="28" t="s">
        <v>1700</v>
      </c>
      <c r="G1709" s="28" t="s">
        <v>1252</v>
      </c>
    </row>
    <row r="1710" spans="1:7">
      <c r="A1710" s="28">
        <v>1709</v>
      </c>
      <c r="B1710" s="28" t="s">
        <v>3296</v>
      </c>
      <c r="C1710" s="28">
        <v>4141014931</v>
      </c>
      <c r="D1710" s="28" t="s">
        <v>3542</v>
      </c>
      <c r="E1710" s="28" t="s">
        <v>3535</v>
      </c>
      <c r="F1710" s="28" t="s">
        <v>1700</v>
      </c>
      <c r="G1710" s="28" t="s">
        <v>1252</v>
      </c>
    </row>
    <row r="1711" spans="1:7">
      <c r="A1711" s="28">
        <v>1710</v>
      </c>
      <c r="B1711" s="28" t="s">
        <v>3297</v>
      </c>
      <c r="C1711" s="28">
        <v>4141014932</v>
      </c>
      <c r="D1711" s="28" t="s">
        <v>3542</v>
      </c>
      <c r="E1711" s="28" t="s">
        <v>3541</v>
      </c>
      <c r="F1711" s="28" t="s">
        <v>1700</v>
      </c>
      <c r="G1711" s="28" t="s">
        <v>1252</v>
      </c>
    </row>
    <row r="1712" spans="1:7">
      <c r="A1712" s="28">
        <v>1711</v>
      </c>
      <c r="B1712" s="28" t="s">
        <v>745</v>
      </c>
      <c r="C1712" s="28">
        <v>4142010486</v>
      </c>
      <c r="D1712" s="28" t="s">
        <v>3309</v>
      </c>
      <c r="E1712" s="28" t="s">
        <v>3549</v>
      </c>
      <c r="F1712" s="28" t="s">
        <v>11</v>
      </c>
      <c r="G1712" s="28"/>
    </row>
    <row r="1713" spans="1:7">
      <c r="A1713" s="28">
        <v>1712</v>
      </c>
      <c r="B1713" s="28" t="s">
        <v>748</v>
      </c>
      <c r="C1713" s="28">
        <v>4142010487</v>
      </c>
      <c r="D1713" s="28" t="s">
        <v>3309</v>
      </c>
      <c r="E1713" s="28" t="s">
        <v>3549</v>
      </c>
      <c r="F1713" s="28" t="s">
        <v>11</v>
      </c>
      <c r="G1713" s="28"/>
    </row>
    <row r="1714" spans="1:7">
      <c r="A1714" s="28">
        <v>1713</v>
      </c>
      <c r="B1714" s="28" t="s">
        <v>749</v>
      </c>
      <c r="C1714" s="28">
        <v>4142010488</v>
      </c>
      <c r="D1714" s="28" t="s">
        <v>3550</v>
      </c>
      <c r="E1714" s="28" t="s">
        <v>3549</v>
      </c>
      <c r="F1714" s="28" t="s">
        <v>11</v>
      </c>
      <c r="G1714" s="28"/>
    </row>
    <row r="1715" spans="1:7">
      <c r="A1715" s="28">
        <v>1714</v>
      </c>
      <c r="B1715" s="28" t="s">
        <v>750</v>
      </c>
      <c r="C1715" s="28">
        <v>4142010489</v>
      </c>
      <c r="D1715" s="28" t="s">
        <v>3550</v>
      </c>
      <c r="E1715" s="28" t="s">
        <v>3551</v>
      </c>
      <c r="F1715" s="28" t="s">
        <v>11</v>
      </c>
      <c r="G1715" s="28"/>
    </row>
    <row r="1716" spans="1:7">
      <c r="A1716" s="28">
        <v>1715</v>
      </c>
      <c r="B1716" s="28" t="s">
        <v>752</v>
      </c>
      <c r="C1716" s="28">
        <v>4142010490</v>
      </c>
      <c r="D1716" s="28" t="s">
        <v>3550</v>
      </c>
      <c r="E1716" s="28" t="s">
        <v>3549</v>
      </c>
      <c r="F1716" s="28" t="s">
        <v>11</v>
      </c>
      <c r="G1716" s="28"/>
    </row>
    <row r="1717" spans="1:7">
      <c r="A1717" s="28">
        <v>1716</v>
      </c>
      <c r="B1717" s="28" t="s">
        <v>753</v>
      </c>
      <c r="C1717" s="28">
        <v>4142010491</v>
      </c>
      <c r="D1717" s="28" t="s">
        <v>3309</v>
      </c>
      <c r="E1717" s="28" t="s">
        <v>3549</v>
      </c>
      <c r="F1717" s="28" t="s">
        <v>11</v>
      </c>
      <c r="G1717" s="28"/>
    </row>
    <row r="1718" spans="1:7">
      <c r="A1718" s="28">
        <v>1717</v>
      </c>
      <c r="B1718" s="28" t="s">
        <v>754</v>
      </c>
      <c r="C1718" s="28">
        <v>4142010495</v>
      </c>
      <c r="D1718" s="28" t="s">
        <v>3550</v>
      </c>
      <c r="E1718" s="28" t="s">
        <v>3549</v>
      </c>
      <c r="F1718" s="28" t="s">
        <v>11</v>
      </c>
      <c r="G1718" s="28"/>
    </row>
    <row r="1719" spans="1:7">
      <c r="A1719" s="28">
        <v>1718</v>
      </c>
      <c r="B1719" s="28" t="s">
        <v>755</v>
      </c>
      <c r="C1719" s="28">
        <v>4142010496</v>
      </c>
      <c r="D1719" s="28" t="s">
        <v>3550</v>
      </c>
      <c r="E1719" s="28" t="s">
        <v>3549</v>
      </c>
      <c r="F1719" s="28" t="s">
        <v>11</v>
      </c>
      <c r="G1719" s="28"/>
    </row>
    <row r="1720" spans="1:7">
      <c r="A1720" s="28">
        <v>1719</v>
      </c>
      <c r="B1720" s="28" t="s">
        <v>756</v>
      </c>
      <c r="C1720" s="28">
        <v>4142010497</v>
      </c>
      <c r="D1720" s="28" t="s">
        <v>3309</v>
      </c>
      <c r="E1720" s="28" t="s">
        <v>3549</v>
      </c>
      <c r="F1720" s="28" t="s">
        <v>11</v>
      </c>
      <c r="G1720" s="28"/>
    </row>
    <row r="1721" spans="1:7">
      <c r="A1721" s="28">
        <v>1720</v>
      </c>
      <c r="B1721" s="28" t="s">
        <v>757</v>
      </c>
      <c r="C1721" s="28">
        <v>4142010500</v>
      </c>
      <c r="D1721" s="28" t="s">
        <v>3550</v>
      </c>
      <c r="E1721" s="28" t="s">
        <v>3549</v>
      </c>
      <c r="F1721" s="28" t="s">
        <v>11</v>
      </c>
      <c r="G1721" s="28"/>
    </row>
    <row r="1722" spans="1:7">
      <c r="A1722" s="28">
        <v>1721</v>
      </c>
      <c r="B1722" s="28" t="s">
        <v>758</v>
      </c>
      <c r="C1722" s="28">
        <v>4142010504</v>
      </c>
      <c r="D1722" s="28" t="s">
        <v>3309</v>
      </c>
      <c r="E1722" s="28" t="s">
        <v>3549</v>
      </c>
      <c r="F1722" s="28" t="s">
        <v>11</v>
      </c>
      <c r="G1722" s="28"/>
    </row>
    <row r="1723" spans="1:7">
      <c r="A1723" s="28">
        <v>1722</v>
      </c>
      <c r="B1723" s="28" t="s">
        <v>759</v>
      </c>
      <c r="C1723" s="28">
        <v>4142010507</v>
      </c>
      <c r="D1723" s="28" t="s">
        <v>3550</v>
      </c>
      <c r="E1723" s="28" t="s">
        <v>3549</v>
      </c>
      <c r="F1723" s="28" t="s">
        <v>11</v>
      </c>
      <c r="G1723" s="28"/>
    </row>
    <row r="1724" spans="1:7">
      <c r="A1724" s="28">
        <v>1723</v>
      </c>
      <c r="B1724" s="28" t="s">
        <v>760</v>
      </c>
      <c r="C1724" s="28">
        <v>4142010511</v>
      </c>
      <c r="D1724" s="28" t="s">
        <v>3309</v>
      </c>
      <c r="E1724" s="28" t="s">
        <v>3549</v>
      </c>
      <c r="F1724" s="28" t="s">
        <v>11</v>
      </c>
      <c r="G1724" s="28"/>
    </row>
    <row r="1725" spans="1:7">
      <c r="A1725" s="28">
        <v>1724</v>
      </c>
      <c r="B1725" s="28" t="s">
        <v>761</v>
      </c>
      <c r="C1725" s="28">
        <v>4142010512</v>
      </c>
      <c r="D1725" s="28" t="s">
        <v>3550</v>
      </c>
      <c r="E1725" s="28" t="s">
        <v>3549</v>
      </c>
      <c r="F1725" s="28" t="s">
        <v>11</v>
      </c>
      <c r="G1725" s="28"/>
    </row>
    <row r="1726" spans="1:7">
      <c r="A1726" s="28">
        <v>1725</v>
      </c>
      <c r="B1726" s="28" t="s">
        <v>762</v>
      </c>
      <c r="C1726" s="28">
        <v>4142010513</v>
      </c>
      <c r="D1726" s="28" t="s">
        <v>3550</v>
      </c>
      <c r="E1726" s="28" t="s">
        <v>3552</v>
      </c>
      <c r="F1726" s="28" t="s">
        <v>11</v>
      </c>
      <c r="G1726" s="28"/>
    </row>
    <row r="1727" spans="1:7">
      <c r="A1727" s="28">
        <v>1726</v>
      </c>
      <c r="B1727" s="28" t="s">
        <v>764</v>
      </c>
      <c r="C1727" s="28">
        <v>4142010514</v>
      </c>
      <c r="D1727" s="28" t="s">
        <v>3550</v>
      </c>
      <c r="E1727" s="28" t="s">
        <v>3553</v>
      </c>
      <c r="F1727" s="28" t="s">
        <v>11</v>
      </c>
      <c r="G1727" s="28"/>
    </row>
    <row r="1728" spans="1:7">
      <c r="A1728" s="28">
        <v>1727</v>
      </c>
      <c r="B1728" s="28" t="s">
        <v>766</v>
      </c>
      <c r="C1728" s="28">
        <v>4142010517</v>
      </c>
      <c r="D1728" s="28" t="s">
        <v>3550</v>
      </c>
      <c r="E1728" s="28" t="s">
        <v>3554</v>
      </c>
      <c r="F1728" s="28" t="s">
        <v>11</v>
      </c>
      <c r="G1728" s="28"/>
    </row>
    <row r="1729" spans="1:7">
      <c r="A1729" s="28">
        <v>1728</v>
      </c>
      <c r="B1729" s="28" t="s">
        <v>768</v>
      </c>
      <c r="C1729" s="28">
        <v>4142010518</v>
      </c>
      <c r="D1729" s="28" t="s">
        <v>3550</v>
      </c>
      <c r="E1729" s="28" t="s">
        <v>3555</v>
      </c>
      <c r="F1729" s="28" t="s">
        <v>11</v>
      </c>
      <c r="G1729" s="28"/>
    </row>
    <row r="1730" spans="1:7">
      <c r="A1730" s="28">
        <v>1729</v>
      </c>
      <c r="B1730" s="28" t="s">
        <v>770</v>
      </c>
      <c r="C1730" s="28">
        <v>4142010519</v>
      </c>
      <c r="D1730" s="28" t="s">
        <v>3550</v>
      </c>
      <c r="E1730" s="28" t="s">
        <v>3556</v>
      </c>
      <c r="F1730" s="28" t="s">
        <v>11</v>
      </c>
      <c r="G1730" s="28"/>
    </row>
    <row r="1731" spans="1:7">
      <c r="A1731" s="28">
        <v>1730</v>
      </c>
      <c r="B1731" s="28" t="s">
        <v>772</v>
      </c>
      <c r="C1731" s="28">
        <v>4142010520</v>
      </c>
      <c r="D1731" s="28" t="s">
        <v>3309</v>
      </c>
      <c r="E1731" s="28" t="s">
        <v>3549</v>
      </c>
      <c r="F1731" s="28" t="s">
        <v>11</v>
      </c>
      <c r="G1731" s="28"/>
    </row>
    <row r="1732" spans="1:7">
      <c r="A1732" s="28">
        <v>1731</v>
      </c>
      <c r="B1732" s="28" t="s">
        <v>773</v>
      </c>
      <c r="C1732" s="28">
        <v>4142010522</v>
      </c>
      <c r="D1732" s="28" t="s">
        <v>3550</v>
      </c>
      <c r="E1732" s="28" t="s">
        <v>3549</v>
      </c>
      <c r="F1732" s="28" t="s">
        <v>11</v>
      </c>
      <c r="G1732" s="28"/>
    </row>
    <row r="1733" spans="1:7">
      <c r="A1733" s="28">
        <v>1732</v>
      </c>
      <c r="B1733" s="28" t="s">
        <v>774</v>
      </c>
      <c r="C1733" s="28">
        <v>4142010523</v>
      </c>
      <c r="D1733" s="28" t="s">
        <v>3550</v>
      </c>
      <c r="E1733" s="28" t="s">
        <v>3549</v>
      </c>
      <c r="F1733" s="28" t="s">
        <v>11</v>
      </c>
      <c r="G1733" s="28"/>
    </row>
    <row r="1734" spans="1:7">
      <c r="A1734" s="28">
        <v>1733</v>
      </c>
      <c r="B1734" s="28" t="s">
        <v>775</v>
      </c>
      <c r="C1734" s="28">
        <v>4142010524</v>
      </c>
      <c r="D1734" s="28" t="s">
        <v>3318</v>
      </c>
      <c r="E1734" s="28" t="s">
        <v>3549</v>
      </c>
      <c r="F1734" s="28" t="s">
        <v>11</v>
      </c>
      <c r="G1734" s="28"/>
    </row>
    <row r="1735" spans="1:7">
      <c r="A1735" s="28">
        <v>1734</v>
      </c>
      <c r="B1735" s="28" t="s">
        <v>776</v>
      </c>
      <c r="C1735" s="28">
        <v>4142010525</v>
      </c>
      <c r="D1735" s="28" t="s">
        <v>3550</v>
      </c>
      <c r="E1735" s="28" t="s">
        <v>3555</v>
      </c>
      <c r="F1735" s="28" t="s">
        <v>11</v>
      </c>
      <c r="G1735" s="28"/>
    </row>
    <row r="1736" spans="1:7">
      <c r="A1736" s="28">
        <v>1735</v>
      </c>
      <c r="B1736" s="28" t="s">
        <v>777</v>
      </c>
      <c r="C1736" s="28">
        <v>4142010528</v>
      </c>
      <c r="D1736" s="28" t="s">
        <v>3550</v>
      </c>
      <c r="E1736" s="28" t="s">
        <v>3557</v>
      </c>
      <c r="F1736" s="28" t="s">
        <v>11</v>
      </c>
      <c r="G1736" s="28"/>
    </row>
    <row r="1737" spans="1:7">
      <c r="A1737" s="28">
        <v>1736</v>
      </c>
      <c r="B1737" s="28" t="s">
        <v>779</v>
      </c>
      <c r="C1737" s="28">
        <v>4142010920</v>
      </c>
      <c r="D1737" s="28" t="s">
        <v>3550</v>
      </c>
      <c r="E1737" s="28" t="s">
        <v>3552</v>
      </c>
      <c r="F1737" s="28" t="s">
        <v>11</v>
      </c>
      <c r="G1737" s="28"/>
    </row>
    <row r="1738" spans="1:7">
      <c r="A1738" s="28">
        <v>1737</v>
      </c>
      <c r="B1738" s="28" t="s">
        <v>780</v>
      </c>
      <c r="C1738" s="28">
        <v>4142010927</v>
      </c>
      <c r="D1738" s="28" t="s">
        <v>3550</v>
      </c>
      <c r="E1738" s="28" t="s">
        <v>3558</v>
      </c>
      <c r="F1738" s="28" t="s">
        <v>11</v>
      </c>
      <c r="G1738" s="28"/>
    </row>
    <row r="1739" spans="1:7">
      <c r="A1739" s="28">
        <v>1738</v>
      </c>
      <c r="B1739" s="28" t="s">
        <v>782</v>
      </c>
      <c r="C1739" s="28">
        <v>4142010929</v>
      </c>
      <c r="D1739" s="28" t="s">
        <v>3550</v>
      </c>
      <c r="E1739" s="28" t="s">
        <v>3555</v>
      </c>
      <c r="F1739" s="28" t="s">
        <v>11</v>
      </c>
      <c r="G1739" s="28"/>
    </row>
    <row r="1740" spans="1:7">
      <c r="A1740" s="28">
        <v>1739</v>
      </c>
      <c r="B1740" s="28" t="s">
        <v>783</v>
      </c>
      <c r="C1740" s="28">
        <v>4142011072</v>
      </c>
      <c r="D1740" s="28" t="s">
        <v>3550</v>
      </c>
      <c r="E1740" s="28" t="s">
        <v>3549</v>
      </c>
      <c r="F1740" s="28" t="s">
        <v>11</v>
      </c>
      <c r="G1740" s="28"/>
    </row>
    <row r="1741" spans="1:7">
      <c r="A1741" s="28">
        <v>1740</v>
      </c>
      <c r="B1741" s="28" t="s">
        <v>784</v>
      </c>
      <c r="C1741" s="28">
        <v>4142011075</v>
      </c>
      <c r="D1741" s="28" t="s">
        <v>3550</v>
      </c>
      <c r="E1741" s="28" t="s">
        <v>3559</v>
      </c>
      <c r="F1741" s="28" t="s">
        <v>11</v>
      </c>
      <c r="G1741" s="28"/>
    </row>
    <row r="1742" spans="1:7">
      <c r="A1742" s="28">
        <v>1741</v>
      </c>
      <c r="B1742" s="28" t="s">
        <v>786</v>
      </c>
      <c r="C1742" s="28">
        <v>4142011332</v>
      </c>
      <c r="D1742" s="28" t="s">
        <v>3550</v>
      </c>
      <c r="E1742" s="28" t="s">
        <v>3549</v>
      </c>
      <c r="F1742" s="28" t="s">
        <v>11</v>
      </c>
      <c r="G1742" s="28"/>
    </row>
    <row r="1743" spans="1:7">
      <c r="A1743" s="28">
        <v>1742</v>
      </c>
      <c r="B1743" s="28" t="s">
        <v>787</v>
      </c>
      <c r="C1743" s="28">
        <v>4142011336</v>
      </c>
      <c r="D1743" s="28" t="s">
        <v>3550</v>
      </c>
      <c r="E1743" s="28" t="s">
        <v>3560</v>
      </c>
      <c r="F1743" s="28" t="s">
        <v>11</v>
      </c>
      <c r="G1743" s="28"/>
    </row>
    <row r="1744" spans="1:7">
      <c r="A1744" s="28">
        <v>1743</v>
      </c>
      <c r="B1744" s="28" t="s">
        <v>789</v>
      </c>
      <c r="C1744" s="28">
        <v>4142011524</v>
      </c>
      <c r="D1744" s="28" t="s">
        <v>3550</v>
      </c>
      <c r="E1744" s="28" t="s">
        <v>3549</v>
      </c>
      <c r="F1744" s="28" t="s">
        <v>11</v>
      </c>
      <c r="G1744" s="28"/>
    </row>
    <row r="1745" spans="1:7">
      <c r="A1745" s="28">
        <v>1744</v>
      </c>
      <c r="B1745" s="28" t="s">
        <v>790</v>
      </c>
      <c r="C1745" s="28">
        <v>4142011600</v>
      </c>
      <c r="D1745" s="28" t="s">
        <v>3550</v>
      </c>
      <c r="E1745" s="28" t="s">
        <v>3549</v>
      </c>
      <c r="F1745" s="28" t="s">
        <v>11</v>
      </c>
      <c r="G1745" s="28"/>
    </row>
    <row r="1746" spans="1:7">
      <c r="A1746" s="28">
        <v>1745</v>
      </c>
      <c r="B1746" s="28" t="s">
        <v>791</v>
      </c>
      <c r="C1746" s="28">
        <v>4142011654</v>
      </c>
      <c r="D1746" s="28" t="s">
        <v>3550</v>
      </c>
      <c r="E1746" s="28" t="s">
        <v>3549</v>
      </c>
      <c r="F1746" s="28" t="s">
        <v>11</v>
      </c>
      <c r="G1746" s="28"/>
    </row>
    <row r="1747" spans="1:7">
      <c r="A1747" s="28">
        <v>1746</v>
      </c>
      <c r="B1747" s="28" t="s">
        <v>1499</v>
      </c>
      <c r="C1747" s="28">
        <v>4142011798</v>
      </c>
      <c r="D1747" s="28" t="s">
        <v>3561</v>
      </c>
      <c r="E1747" s="28" t="s">
        <v>3549</v>
      </c>
      <c r="F1747" s="28" t="s">
        <v>11</v>
      </c>
      <c r="G1747" s="28" t="s">
        <v>1252</v>
      </c>
    </row>
    <row r="1748" spans="1:7">
      <c r="A1748" s="28">
        <v>1747</v>
      </c>
      <c r="B1748" s="28" t="s">
        <v>1500</v>
      </c>
      <c r="C1748" s="28">
        <v>4142011800</v>
      </c>
      <c r="D1748" s="28" t="s">
        <v>3561</v>
      </c>
      <c r="E1748" s="28" t="s">
        <v>3549</v>
      </c>
      <c r="F1748" s="28" t="s">
        <v>11</v>
      </c>
      <c r="G1748" s="28" t="s">
        <v>1252</v>
      </c>
    </row>
    <row r="1749" spans="1:7">
      <c r="A1749" s="28">
        <v>1748</v>
      </c>
      <c r="B1749" s="28" t="s">
        <v>1501</v>
      </c>
      <c r="C1749" s="28">
        <v>4142012309</v>
      </c>
      <c r="D1749" s="28" t="s">
        <v>3561</v>
      </c>
      <c r="E1749" s="28" t="s">
        <v>3549</v>
      </c>
      <c r="F1749" s="28" t="s">
        <v>11</v>
      </c>
      <c r="G1749" s="28" t="s">
        <v>1252</v>
      </c>
    </row>
    <row r="1750" spans="1:7">
      <c r="A1750" s="28">
        <v>1749</v>
      </c>
      <c r="B1750" s="28" t="s">
        <v>1502</v>
      </c>
      <c r="C1750" s="28">
        <v>4142012310</v>
      </c>
      <c r="D1750" s="28" t="s">
        <v>3561</v>
      </c>
      <c r="E1750" s="28" t="s">
        <v>3549</v>
      </c>
      <c r="F1750" s="28" t="s">
        <v>11</v>
      </c>
      <c r="G1750" s="28" t="s">
        <v>1252</v>
      </c>
    </row>
    <row r="1751" spans="1:7">
      <c r="A1751" s="28">
        <v>1750</v>
      </c>
      <c r="B1751" s="28" t="s">
        <v>1503</v>
      </c>
      <c r="C1751" s="28">
        <v>4142012362</v>
      </c>
      <c r="D1751" s="28" t="s">
        <v>3561</v>
      </c>
      <c r="E1751" s="28" t="s">
        <v>3549</v>
      </c>
      <c r="F1751" s="28" t="s">
        <v>11</v>
      </c>
      <c r="G1751" s="28" t="s">
        <v>1252</v>
      </c>
    </row>
    <row r="1752" spans="1:7">
      <c r="A1752" s="28">
        <v>1751</v>
      </c>
      <c r="B1752" s="28" t="s">
        <v>1504</v>
      </c>
      <c r="C1752" s="28">
        <v>4142013188</v>
      </c>
      <c r="D1752" s="28" t="s">
        <v>3561</v>
      </c>
      <c r="E1752" s="28" t="s">
        <v>3549</v>
      </c>
      <c r="F1752" s="28" t="s">
        <v>11</v>
      </c>
      <c r="G1752" s="28" t="s">
        <v>1252</v>
      </c>
    </row>
    <row r="1753" spans="1:7">
      <c r="A1753" s="28">
        <v>1752</v>
      </c>
      <c r="B1753" s="28" t="s">
        <v>1505</v>
      </c>
      <c r="C1753" s="28">
        <v>4142013234</v>
      </c>
      <c r="D1753" s="28" t="s">
        <v>3561</v>
      </c>
      <c r="E1753" s="28" t="s">
        <v>3549</v>
      </c>
      <c r="F1753" s="28" t="s">
        <v>11</v>
      </c>
      <c r="G1753" s="28" t="s">
        <v>1252</v>
      </c>
    </row>
    <row r="1754" spans="1:7">
      <c r="A1754" s="28">
        <v>1753</v>
      </c>
      <c r="B1754" s="28" t="s">
        <v>1506</v>
      </c>
      <c r="C1754" s="28">
        <v>4142013235</v>
      </c>
      <c r="D1754" s="28" t="s">
        <v>3561</v>
      </c>
      <c r="E1754" s="28" t="s">
        <v>3549</v>
      </c>
      <c r="F1754" s="28" t="s">
        <v>11</v>
      </c>
      <c r="G1754" s="28" t="s">
        <v>1252</v>
      </c>
    </row>
    <row r="1755" spans="1:7">
      <c r="A1755" s="28">
        <v>1754</v>
      </c>
      <c r="B1755" s="28" t="s">
        <v>1507</v>
      </c>
      <c r="C1755" s="28">
        <v>4142013236</v>
      </c>
      <c r="D1755" s="28" t="s">
        <v>3561</v>
      </c>
      <c r="E1755" s="28" t="s">
        <v>3559</v>
      </c>
      <c r="F1755" s="28" t="s">
        <v>11</v>
      </c>
      <c r="G1755" s="28" t="s">
        <v>1252</v>
      </c>
    </row>
    <row r="1756" spans="1:7">
      <c r="A1756" s="28">
        <v>1755</v>
      </c>
      <c r="B1756" s="28" t="s">
        <v>1508</v>
      </c>
      <c r="C1756" s="28">
        <v>4142013237</v>
      </c>
      <c r="D1756" s="28" t="s">
        <v>3561</v>
      </c>
      <c r="E1756" s="28" t="s">
        <v>3549</v>
      </c>
      <c r="F1756" s="28" t="s">
        <v>11</v>
      </c>
      <c r="G1756" s="28" t="s">
        <v>1252</v>
      </c>
    </row>
    <row r="1757" spans="1:7">
      <c r="A1757" s="28">
        <v>1756</v>
      </c>
      <c r="B1757" s="28" t="s">
        <v>1509</v>
      </c>
      <c r="C1757" s="28">
        <v>4142013238</v>
      </c>
      <c r="D1757" s="28" t="s">
        <v>3561</v>
      </c>
      <c r="E1757" s="28" t="s">
        <v>3549</v>
      </c>
      <c r="F1757" s="28" t="s">
        <v>11</v>
      </c>
      <c r="G1757" s="28" t="s">
        <v>1252</v>
      </c>
    </row>
    <row r="1758" spans="1:7">
      <c r="A1758" s="28">
        <v>1757</v>
      </c>
      <c r="B1758" s="28" t="s">
        <v>1510</v>
      </c>
      <c r="C1758" s="28">
        <v>4142013239</v>
      </c>
      <c r="D1758" s="28" t="s">
        <v>3561</v>
      </c>
      <c r="E1758" s="28" t="s">
        <v>3549</v>
      </c>
      <c r="F1758" s="28" t="s">
        <v>11</v>
      </c>
      <c r="G1758" s="28" t="s">
        <v>1252</v>
      </c>
    </row>
    <row r="1759" spans="1:7">
      <c r="A1759" s="28">
        <v>1758</v>
      </c>
      <c r="B1759" s="28" t="s">
        <v>1511</v>
      </c>
      <c r="C1759" s="28">
        <v>4142013240</v>
      </c>
      <c r="D1759" s="28" t="s">
        <v>3561</v>
      </c>
      <c r="E1759" s="28" t="s">
        <v>3549</v>
      </c>
      <c r="F1759" s="28" t="s">
        <v>11</v>
      </c>
      <c r="G1759" s="28" t="s">
        <v>1252</v>
      </c>
    </row>
    <row r="1760" spans="1:7">
      <c r="A1760" s="28">
        <v>1759</v>
      </c>
      <c r="B1760" s="28" t="s">
        <v>1512</v>
      </c>
      <c r="C1760" s="28">
        <v>4142013241</v>
      </c>
      <c r="D1760" s="28" t="s">
        <v>3561</v>
      </c>
      <c r="E1760" s="28" t="s">
        <v>3549</v>
      </c>
      <c r="F1760" s="28" t="s">
        <v>11</v>
      </c>
      <c r="G1760" s="28" t="s">
        <v>1252</v>
      </c>
    </row>
    <row r="1761" spans="1:7">
      <c r="A1761" s="28">
        <v>1760</v>
      </c>
      <c r="B1761" s="28" t="s">
        <v>1513</v>
      </c>
      <c r="C1761" s="28">
        <v>4142013242</v>
      </c>
      <c r="D1761" s="28" t="s">
        <v>3561</v>
      </c>
      <c r="E1761" s="28" t="s">
        <v>3549</v>
      </c>
      <c r="F1761" s="28" t="s">
        <v>11</v>
      </c>
      <c r="G1761" s="28" t="s">
        <v>1252</v>
      </c>
    </row>
    <row r="1762" spans="1:7">
      <c r="A1762" s="28">
        <v>1761</v>
      </c>
      <c r="B1762" s="28" t="s">
        <v>1514</v>
      </c>
      <c r="C1762" s="28">
        <v>4142013245</v>
      </c>
      <c r="D1762" s="28" t="s">
        <v>3561</v>
      </c>
      <c r="E1762" s="28" t="s">
        <v>3551</v>
      </c>
      <c r="F1762" s="28" t="s">
        <v>11</v>
      </c>
      <c r="G1762" s="28" t="s">
        <v>1252</v>
      </c>
    </row>
    <row r="1763" spans="1:7">
      <c r="A1763" s="28">
        <v>1762</v>
      </c>
      <c r="B1763" s="28" t="s">
        <v>1515</v>
      </c>
      <c r="C1763" s="28">
        <v>4142013246</v>
      </c>
      <c r="D1763" s="28" t="s">
        <v>3561</v>
      </c>
      <c r="E1763" s="28" t="s">
        <v>3551</v>
      </c>
      <c r="F1763" s="28" t="s">
        <v>11</v>
      </c>
      <c r="G1763" s="28" t="s">
        <v>1252</v>
      </c>
    </row>
    <row r="1764" spans="1:7">
      <c r="A1764" s="28">
        <v>1763</v>
      </c>
      <c r="B1764" s="28" t="s">
        <v>1516</v>
      </c>
      <c r="C1764" s="28">
        <v>4142013247</v>
      </c>
      <c r="D1764" s="28" t="s">
        <v>3561</v>
      </c>
      <c r="E1764" s="28" t="s">
        <v>3549</v>
      </c>
      <c r="F1764" s="28" t="s">
        <v>11</v>
      </c>
      <c r="G1764" s="28" t="s">
        <v>1252</v>
      </c>
    </row>
    <row r="1765" spans="1:7">
      <c r="A1765" s="28">
        <v>1764</v>
      </c>
      <c r="B1765" s="28" t="s">
        <v>1517</v>
      </c>
      <c r="C1765" s="28">
        <v>4142013248</v>
      </c>
      <c r="D1765" s="28" t="s">
        <v>3561</v>
      </c>
      <c r="E1765" s="28" t="s">
        <v>3555</v>
      </c>
      <c r="F1765" s="28" t="s">
        <v>11</v>
      </c>
      <c r="G1765" s="28" t="s">
        <v>1252</v>
      </c>
    </row>
    <row r="1766" spans="1:7">
      <c r="A1766" s="28">
        <v>1765</v>
      </c>
      <c r="B1766" s="28" t="s">
        <v>1518</v>
      </c>
      <c r="C1766" s="28">
        <v>4142013249</v>
      </c>
      <c r="D1766" s="28" t="s">
        <v>3561</v>
      </c>
      <c r="E1766" s="28" t="s">
        <v>3555</v>
      </c>
      <c r="F1766" s="28" t="s">
        <v>11</v>
      </c>
      <c r="G1766" s="28" t="s">
        <v>1252</v>
      </c>
    </row>
    <row r="1767" spans="1:7">
      <c r="A1767" s="28">
        <v>1766</v>
      </c>
      <c r="B1767" s="28" t="s">
        <v>1519</v>
      </c>
      <c r="C1767" s="28">
        <v>4142013250</v>
      </c>
      <c r="D1767" s="28" t="s">
        <v>3561</v>
      </c>
      <c r="E1767" s="28" t="s">
        <v>3554</v>
      </c>
      <c r="F1767" s="28" t="s">
        <v>11</v>
      </c>
      <c r="G1767" s="28" t="s">
        <v>1252</v>
      </c>
    </row>
    <row r="1768" spans="1:7">
      <c r="A1768" s="28">
        <v>1767</v>
      </c>
      <c r="B1768" s="28" t="s">
        <v>1520</v>
      </c>
      <c r="C1768" s="28">
        <v>4142013251</v>
      </c>
      <c r="D1768" s="28" t="s">
        <v>3561</v>
      </c>
      <c r="E1768" s="28" t="s">
        <v>3549</v>
      </c>
      <c r="F1768" s="28" t="s">
        <v>11</v>
      </c>
      <c r="G1768" s="28" t="s">
        <v>1252</v>
      </c>
    </row>
    <row r="1769" spans="1:7">
      <c r="A1769" s="28">
        <v>1768</v>
      </c>
      <c r="B1769" s="28" t="s">
        <v>1521</v>
      </c>
      <c r="C1769" s="28">
        <v>4142013253</v>
      </c>
      <c r="D1769" s="28" t="s">
        <v>3561</v>
      </c>
      <c r="E1769" s="28" t="s">
        <v>3549</v>
      </c>
      <c r="F1769" s="28" t="s">
        <v>11</v>
      </c>
      <c r="G1769" s="28" t="s">
        <v>1252</v>
      </c>
    </row>
    <row r="1770" spans="1:7">
      <c r="A1770" s="28">
        <v>1769</v>
      </c>
      <c r="B1770" s="28" t="s">
        <v>1522</v>
      </c>
      <c r="C1770" s="28">
        <v>4142013256</v>
      </c>
      <c r="D1770" s="28" t="s">
        <v>3561</v>
      </c>
      <c r="E1770" s="28" t="s">
        <v>3552</v>
      </c>
      <c r="F1770" s="28" t="s">
        <v>11</v>
      </c>
      <c r="G1770" s="28" t="s">
        <v>1252</v>
      </c>
    </row>
    <row r="1771" spans="1:7">
      <c r="A1771" s="28">
        <v>1770</v>
      </c>
      <c r="B1771" s="28" t="s">
        <v>1523</v>
      </c>
      <c r="C1771" s="28">
        <v>4142013257</v>
      </c>
      <c r="D1771" s="28" t="s">
        <v>3561</v>
      </c>
      <c r="E1771" s="28" t="s">
        <v>3556</v>
      </c>
      <c r="F1771" s="28" t="s">
        <v>11</v>
      </c>
      <c r="G1771" s="28" t="s">
        <v>1252</v>
      </c>
    </row>
    <row r="1772" spans="1:7">
      <c r="A1772" s="28">
        <v>1771</v>
      </c>
      <c r="B1772" s="28" t="s">
        <v>1524</v>
      </c>
      <c r="C1772" s="28">
        <v>4142013258</v>
      </c>
      <c r="D1772" s="28" t="s">
        <v>3561</v>
      </c>
      <c r="E1772" s="28" t="s">
        <v>3557</v>
      </c>
      <c r="F1772" s="28" t="s">
        <v>11</v>
      </c>
      <c r="G1772" s="28" t="s">
        <v>1252</v>
      </c>
    </row>
    <row r="1773" spans="1:7">
      <c r="A1773" s="28">
        <v>1772</v>
      </c>
      <c r="B1773" s="28" t="s">
        <v>1525</v>
      </c>
      <c r="C1773" s="28">
        <v>4142013262</v>
      </c>
      <c r="D1773" s="28" t="s">
        <v>3561</v>
      </c>
      <c r="E1773" s="28" t="s">
        <v>3549</v>
      </c>
      <c r="F1773" s="28" t="s">
        <v>11</v>
      </c>
      <c r="G1773" s="28" t="s">
        <v>1252</v>
      </c>
    </row>
    <row r="1774" spans="1:7">
      <c r="A1774" s="28">
        <v>1773</v>
      </c>
      <c r="B1774" s="28" t="s">
        <v>1526</v>
      </c>
      <c r="C1774" s="28">
        <v>4142013634</v>
      </c>
      <c r="D1774" s="28" t="s">
        <v>3561</v>
      </c>
      <c r="E1774" s="28" t="s">
        <v>3549</v>
      </c>
      <c r="F1774" s="28" t="s">
        <v>11</v>
      </c>
      <c r="G1774" s="28" t="s">
        <v>1252</v>
      </c>
    </row>
    <row r="1775" spans="1:7">
      <c r="A1775" s="28">
        <v>1774</v>
      </c>
      <c r="B1775" s="28" t="s">
        <v>1527</v>
      </c>
      <c r="C1775" s="28">
        <v>4142013664</v>
      </c>
      <c r="D1775" s="28" t="s">
        <v>3561</v>
      </c>
      <c r="E1775" s="28" t="s">
        <v>3549</v>
      </c>
      <c r="F1775" s="28" t="s">
        <v>11</v>
      </c>
      <c r="G1775" s="28" t="s">
        <v>1252</v>
      </c>
    </row>
    <row r="1776" spans="1:7">
      <c r="A1776" s="28">
        <v>1775</v>
      </c>
      <c r="B1776" s="28" t="s">
        <v>1528</v>
      </c>
      <c r="C1776" s="28">
        <v>4142013666</v>
      </c>
      <c r="D1776" s="28" t="s">
        <v>3561</v>
      </c>
      <c r="E1776" s="28" t="s">
        <v>3549</v>
      </c>
      <c r="F1776" s="28" t="s">
        <v>11</v>
      </c>
      <c r="G1776" s="28" t="s">
        <v>1252</v>
      </c>
    </row>
    <row r="1777" spans="1:7">
      <c r="A1777" s="28">
        <v>1776</v>
      </c>
      <c r="B1777" s="28" t="s">
        <v>1529</v>
      </c>
      <c r="C1777" s="28">
        <v>4142013686</v>
      </c>
      <c r="D1777" s="28" t="s">
        <v>3561</v>
      </c>
      <c r="E1777" s="28" t="s">
        <v>3549</v>
      </c>
      <c r="F1777" s="28" t="s">
        <v>11</v>
      </c>
      <c r="G1777" s="28" t="s">
        <v>1252</v>
      </c>
    </row>
    <row r="1778" spans="1:7">
      <c r="A1778" s="28">
        <v>1777</v>
      </c>
      <c r="B1778" s="28" t="s">
        <v>1530</v>
      </c>
      <c r="C1778" s="28">
        <v>4142014035</v>
      </c>
      <c r="D1778" s="28" t="s">
        <v>3561</v>
      </c>
      <c r="E1778" s="28" t="s">
        <v>3549</v>
      </c>
      <c r="F1778" s="28" t="s">
        <v>11</v>
      </c>
      <c r="G1778" s="28" t="s">
        <v>1252</v>
      </c>
    </row>
    <row r="1779" spans="1:7">
      <c r="A1779" s="28">
        <v>1778</v>
      </c>
      <c r="B1779" s="28" t="s">
        <v>792</v>
      </c>
      <c r="C1779" s="28">
        <v>4142014099</v>
      </c>
      <c r="D1779" s="28" t="s">
        <v>3550</v>
      </c>
      <c r="E1779" s="28" t="s">
        <v>3549</v>
      </c>
      <c r="F1779" s="28" t="s">
        <v>11</v>
      </c>
      <c r="G1779" s="28"/>
    </row>
    <row r="1780" spans="1:7">
      <c r="A1780" s="28">
        <v>1779</v>
      </c>
      <c r="B1780" s="28" t="s">
        <v>793</v>
      </c>
      <c r="C1780" s="28">
        <v>4142010834</v>
      </c>
      <c r="D1780" s="28" t="s">
        <v>3550</v>
      </c>
      <c r="E1780" s="28" t="s">
        <v>3549</v>
      </c>
      <c r="F1780" s="28" t="s">
        <v>11</v>
      </c>
      <c r="G1780" s="28"/>
    </row>
    <row r="1781" spans="1:7">
      <c r="A1781" s="28">
        <v>1780</v>
      </c>
      <c r="B1781" s="28" t="s">
        <v>1677</v>
      </c>
      <c r="C1781" s="28">
        <v>4142014899</v>
      </c>
      <c r="D1781" s="28" t="s">
        <v>3561</v>
      </c>
      <c r="E1781" s="28" t="s">
        <v>3559</v>
      </c>
      <c r="F1781" s="28" t="s">
        <v>11</v>
      </c>
      <c r="G1781" s="28" t="s">
        <v>1252</v>
      </c>
    </row>
    <row r="1782" spans="1:7">
      <c r="A1782" s="28">
        <v>1781</v>
      </c>
      <c r="B1782" s="28" t="s">
        <v>3562</v>
      </c>
      <c r="C1782" s="28">
        <v>4142010955</v>
      </c>
      <c r="D1782" s="28" t="s">
        <v>3550</v>
      </c>
      <c r="E1782" s="28" t="s">
        <v>3553</v>
      </c>
      <c r="F1782" s="28" t="s">
        <v>1700</v>
      </c>
      <c r="G1782" s="28"/>
    </row>
    <row r="1783" spans="1:7">
      <c r="A1783" s="28">
        <v>1782</v>
      </c>
      <c r="B1783" s="28" t="s">
        <v>2329</v>
      </c>
      <c r="C1783" s="28">
        <v>4142010956</v>
      </c>
      <c r="D1783" s="28" t="s">
        <v>3550</v>
      </c>
      <c r="E1783" s="28" t="s">
        <v>3549</v>
      </c>
      <c r="F1783" s="28" t="s">
        <v>1700</v>
      </c>
      <c r="G1783" s="28"/>
    </row>
    <row r="1784" spans="1:7">
      <c r="A1784" s="28">
        <v>1783</v>
      </c>
      <c r="B1784" s="28" t="s">
        <v>2330</v>
      </c>
      <c r="C1784" s="28">
        <v>4142011074</v>
      </c>
      <c r="D1784" s="28" t="s">
        <v>3550</v>
      </c>
      <c r="E1784" s="28" t="s">
        <v>3551</v>
      </c>
      <c r="F1784" s="28" t="s">
        <v>1700</v>
      </c>
      <c r="G1784" s="28"/>
    </row>
    <row r="1785" spans="1:7">
      <c r="A1785" s="28">
        <v>1784</v>
      </c>
      <c r="B1785" s="28" t="s">
        <v>2331</v>
      </c>
      <c r="C1785" s="28">
        <v>4142011334</v>
      </c>
      <c r="D1785" s="28" t="s">
        <v>3550</v>
      </c>
      <c r="E1785" s="28" t="s">
        <v>3555</v>
      </c>
      <c r="F1785" s="28" t="s">
        <v>1700</v>
      </c>
      <c r="G1785" s="28"/>
    </row>
    <row r="1786" spans="1:7">
      <c r="A1786" s="28">
        <v>1785</v>
      </c>
      <c r="B1786" s="28" t="s">
        <v>2332</v>
      </c>
      <c r="C1786" s="28">
        <v>4142011335</v>
      </c>
      <c r="D1786" s="28" t="s">
        <v>3550</v>
      </c>
      <c r="E1786" s="28" t="s">
        <v>3563</v>
      </c>
      <c r="F1786" s="28" t="s">
        <v>1700</v>
      </c>
      <c r="G1786" s="28"/>
    </row>
    <row r="1787" spans="1:7">
      <c r="A1787" s="28">
        <v>1786</v>
      </c>
      <c r="B1787" s="28" t="s">
        <v>2334</v>
      </c>
      <c r="C1787" s="28">
        <v>4142011796</v>
      </c>
      <c r="D1787" s="28" t="s">
        <v>3550</v>
      </c>
      <c r="E1787" s="28" t="s">
        <v>3549</v>
      </c>
      <c r="F1787" s="28" t="s">
        <v>1700</v>
      </c>
      <c r="G1787" s="28"/>
    </row>
    <row r="1788" spans="1:7">
      <c r="A1788" s="28">
        <v>1787</v>
      </c>
      <c r="B1788" s="28" t="s">
        <v>2335</v>
      </c>
      <c r="C1788" s="28">
        <v>4142012051</v>
      </c>
      <c r="D1788" s="28" t="s">
        <v>3550</v>
      </c>
      <c r="E1788" s="28" t="s">
        <v>3557</v>
      </c>
      <c r="F1788" s="28" t="s">
        <v>1700</v>
      </c>
      <c r="G1788" s="28"/>
    </row>
    <row r="1789" spans="1:7">
      <c r="A1789" s="28">
        <v>1788</v>
      </c>
      <c r="B1789" s="28" t="s">
        <v>2336</v>
      </c>
      <c r="C1789" s="28">
        <v>4142012052</v>
      </c>
      <c r="D1789" s="28" t="s">
        <v>3550</v>
      </c>
      <c r="E1789" s="28" t="s">
        <v>3549</v>
      </c>
      <c r="F1789" s="28" t="s">
        <v>1700</v>
      </c>
      <c r="G1789" s="28"/>
    </row>
    <row r="1790" spans="1:7">
      <c r="A1790" s="28">
        <v>1789</v>
      </c>
      <c r="B1790" s="28" t="s">
        <v>2337</v>
      </c>
      <c r="C1790" s="28">
        <v>4142012347</v>
      </c>
      <c r="D1790" s="28" t="s">
        <v>3550</v>
      </c>
      <c r="E1790" s="28" t="s">
        <v>3554</v>
      </c>
      <c r="F1790" s="28" t="s">
        <v>1700</v>
      </c>
      <c r="G1790" s="28"/>
    </row>
    <row r="1791" spans="1:7">
      <c r="A1791" s="28">
        <v>1790</v>
      </c>
      <c r="B1791" s="28" t="s">
        <v>3564</v>
      </c>
      <c r="C1791" s="28">
        <v>4142012354</v>
      </c>
      <c r="D1791" s="28" t="s">
        <v>3550</v>
      </c>
      <c r="E1791" s="28" t="s">
        <v>3556</v>
      </c>
      <c r="F1791" s="28" t="s">
        <v>1700</v>
      </c>
      <c r="G1791" s="28"/>
    </row>
    <row r="1792" spans="1:7">
      <c r="A1792" s="28">
        <v>1791</v>
      </c>
      <c r="B1792" s="28" t="s">
        <v>3075</v>
      </c>
      <c r="C1792" s="28">
        <v>4142012369</v>
      </c>
      <c r="D1792" s="28" t="s">
        <v>3561</v>
      </c>
      <c r="E1792" s="28" t="s">
        <v>3549</v>
      </c>
      <c r="F1792" s="28" t="s">
        <v>1700</v>
      </c>
      <c r="G1792" s="28" t="s">
        <v>1252</v>
      </c>
    </row>
    <row r="1793" spans="1:7">
      <c r="A1793" s="28">
        <v>1792</v>
      </c>
      <c r="B1793" s="28" t="s">
        <v>2338</v>
      </c>
      <c r="C1793" s="28">
        <v>4142012737</v>
      </c>
      <c r="D1793" s="28" t="s">
        <v>3550</v>
      </c>
      <c r="E1793" s="28" t="s">
        <v>3551</v>
      </c>
      <c r="F1793" s="28" t="s">
        <v>1700</v>
      </c>
      <c r="G1793" s="28"/>
    </row>
    <row r="1794" spans="1:7">
      <c r="A1794" s="28">
        <v>1793</v>
      </c>
      <c r="B1794" s="28" t="s">
        <v>2339</v>
      </c>
      <c r="C1794" s="28">
        <v>4142012738</v>
      </c>
      <c r="D1794" s="28" t="s">
        <v>3550</v>
      </c>
      <c r="E1794" s="28" t="s">
        <v>3549</v>
      </c>
      <c r="F1794" s="28" t="s">
        <v>1700</v>
      </c>
      <c r="G1794" s="28"/>
    </row>
    <row r="1795" spans="1:7">
      <c r="A1795" s="28">
        <v>1794</v>
      </c>
      <c r="B1795" s="28" t="s">
        <v>2340</v>
      </c>
      <c r="C1795" s="28">
        <v>4142012740</v>
      </c>
      <c r="D1795" s="28" t="s">
        <v>3550</v>
      </c>
      <c r="E1795" s="28" t="s">
        <v>3565</v>
      </c>
      <c r="F1795" s="28" t="s">
        <v>1700</v>
      </c>
      <c r="G1795" s="28"/>
    </row>
    <row r="1796" spans="1:7">
      <c r="A1796" s="28">
        <v>1795</v>
      </c>
      <c r="B1796" s="28" t="s">
        <v>2342</v>
      </c>
      <c r="C1796" s="28">
        <v>4142012744</v>
      </c>
      <c r="D1796" s="28" t="s">
        <v>3550</v>
      </c>
      <c r="E1796" s="28" t="s">
        <v>3549</v>
      </c>
      <c r="F1796" s="28" t="s">
        <v>1700</v>
      </c>
      <c r="G1796" s="28"/>
    </row>
    <row r="1797" spans="1:7">
      <c r="A1797" s="28">
        <v>1796</v>
      </c>
      <c r="B1797" s="28" t="s">
        <v>2343</v>
      </c>
      <c r="C1797" s="28">
        <v>4142012752</v>
      </c>
      <c r="D1797" s="28" t="s">
        <v>3550</v>
      </c>
      <c r="E1797" s="28" t="s">
        <v>3549</v>
      </c>
      <c r="F1797" s="28" t="s">
        <v>1700</v>
      </c>
      <c r="G1797" s="28"/>
    </row>
    <row r="1798" spans="1:7">
      <c r="A1798" s="28">
        <v>1797</v>
      </c>
      <c r="B1798" s="28" t="s">
        <v>2344</v>
      </c>
      <c r="C1798" s="28">
        <v>4142012951</v>
      </c>
      <c r="D1798" s="28" t="s">
        <v>3550</v>
      </c>
      <c r="E1798" s="28" t="s">
        <v>3551</v>
      </c>
      <c r="F1798" s="28" t="s">
        <v>1700</v>
      </c>
      <c r="G1798" s="28"/>
    </row>
    <row r="1799" spans="1:7">
      <c r="A1799" s="28">
        <v>1798</v>
      </c>
      <c r="B1799" s="28" t="s">
        <v>2345</v>
      </c>
      <c r="C1799" s="28">
        <v>4142012952</v>
      </c>
      <c r="D1799" s="28" t="s">
        <v>3550</v>
      </c>
      <c r="E1799" s="28" t="s">
        <v>3549</v>
      </c>
      <c r="F1799" s="28" t="s">
        <v>1700</v>
      </c>
      <c r="G1799" s="28"/>
    </row>
    <row r="1800" spans="1:7">
      <c r="A1800" s="28">
        <v>1799</v>
      </c>
      <c r="B1800" s="28" t="s">
        <v>2346</v>
      </c>
      <c r="C1800" s="28">
        <v>4142012977</v>
      </c>
      <c r="D1800" s="28" t="s">
        <v>3550</v>
      </c>
      <c r="E1800" s="28" t="s">
        <v>3549</v>
      </c>
      <c r="F1800" s="28" t="s">
        <v>1700</v>
      </c>
      <c r="G1800" s="28"/>
    </row>
    <row r="1801" spans="1:7">
      <c r="A1801" s="28">
        <v>1800</v>
      </c>
      <c r="B1801" s="28" t="s">
        <v>2347</v>
      </c>
      <c r="C1801" s="28">
        <v>4142012978</v>
      </c>
      <c r="D1801" s="28" t="s">
        <v>3550</v>
      </c>
      <c r="E1801" s="28" t="s">
        <v>3549</v>
      </c>
      <c r="F1801" s="28" t="s">
        <v>1700</v>
      </c>
      <c r="G1801" s="28"/>
    </row>
    <row r="1802" spans="1:7">
      <c r="A1802" s="28">
        <v>1801</v>
      </c>
      <c r="B1802" s="28" t="s">
        <v>2348</v>
      </c>
      <c r="C1802" s="28">
        <v>4142012979</v>
      </c>
      <c r="D1802" s="28" t="s">
        <v>3550</v>
      </c>
      <c r="E1802" s="28" t="s">
        <v>3559</v>
      </c>
      <c r="F1802" s="28" t="s">
        <v>1700</v>
      </c>
      <c r="G1802" s="28"/>
    </row>
    <row r="1803" spans="1:7">
      <c r="A1803" s="28">
        <v>1802</v>
      </c>
      <c r="B1803" s="28" t="s">
        <v>2349</v>
      </c>
      <c r="C1803" s="28">
        <v>4142012980</v>
      </c>
      <c r="D1803" s="28" t="s">
        <v>3550</v>
      </c>
      <c r="E1803" s="28" t="s">
        <v>3566</v>
      </c>
      <c r="F1803" s="28" t="s">
        <v>1700</v>
      </c>
      <c r="G1803" s="28"/>
    </row>
    <row r="1804" spans="1:7">
      <c r="A1804" s="28">
        <v>1803</v>
      </c>
      <c r="B1804" s="28" t="s">
        <v>2351</v>
      </c>
      <c r="C1804" s="28">
        <v>4142012981</v>
      </c>
      <c r="D1804" s="28" t="s">
        <v>3550</v>
      </c>
      <c r="E1804" s="28" t="s">
        <v>3549</v>
      </c>
      <c r="F1804" s="28" t="s">
        <v>1700</v>
      </c>
      <c r="G1804" s="28"/>
    </row>
    <row r="1805" spans="1:7">
      <c r="A1805" s="28">
        <v>1804</v>
      </c>
      <c r="B1805" s="28" t="s">
        <v>2352</v>
      </c>
      <c r="C1805" s="28">
        <v>4142012982</v>
      </c>
      <c r="D1805" s="28" t="s">
        <v>3550</v>
      </c>
      <c r="E1805" s="28" t="s">
        <v>3549</v>
      </c>
      <c r="F1805" s="28" t="s">
        <v>1700</v>
      </c>
      <c r="G1805" s="28"/>
    </row>
    <row r="1806" spans="1:7">
      <c r="A1806" s="28">
        <v>1805</v>
      </c>
      <c r="B1806" s="28" t="s">
        <v>2353</v>
      </c>
      <c r="C1806" s="28">
        <v>4142012983</v>
      </c>
      <c r="D1806" s="28" t="s">
        <v>3550</v>
      </c>
      <c r="E1806" s="28" t="s">
        <v>3549</v>
      </c>
      <c r="F1806" s="28" t="s">
        <v>1700</v>
      </c>
      <c r="G1806" s="28"/>
    </row>
    <row r="1807" spans="1:7">
      <c r="A1807" s="28">
        <v>1806</v>
      </c>
      <c r="B1807" s="28" t="s">
        <v>2354</v>
      </c>
      <c r="C1807" s="28">
        <v>4142012984</v>
      </c>
      <c r="D1807" s="28" t="s">
        <v>3550</v>
      </c>
      <c r="E1807" s="28" t="s">
        <v>3549</v>
      </c>
      <c r="F1807" s="28" t="s">
        <v>1700</v>
      </c>
      <c r="G1807" s="28"/>
    </row>
    <row r="1808" spans="1:7">
      <c r="A1808" s="28">
        <v>1807</v>
      </c>
      <c r="B1808" s="28" t="s">
        <v>2355</v>
      </c>
      <c r="C1808" s="28">
        <v>4142012985</v>
      </c>
      <c r="D1808" s="28" t="s">
        <v>3550</v>
      </c>
      <c r="E1808" s="28" t="s">
        <v>3549</v>
      </c>
      <c r="F1808" s="28" t="s">
        <v>1700</v>
      </c>
      <c r="G1808" s="28"/>
    </row>
    <row r="1809" spans="1:7">
      <c r="A1809" s="28">
        <v>1808</v>
      </c>
      <c r="B1809" s="28" t="s">
        <v>3076</v>
      </c>
      <c r="C1809" s="28">
        <v>4142012986</v>
      </c>
      <c r="D1809" s="28" t="s">
        <v>3561</v>
      </c>
      <c r="E1809" s="28" t="s">
        <v>3549</v>
      </c>
      <c r="F1809" s="28" t="s">
        <v>1700</v>
      </c>
      <c r="G1809" s="28" t="s">
        <v>1252</v>
      </c>
    </row>
    <row r="1810" spans="1:7">
      <c r="A1810" s="28">
        <v>1809</v>
      </c>
      <c r="B1810" s="28" t="s">
        <v>3077</v>
      </c>
      <c r="C1810" s="28">
        <v>4142012987</v>
      </c>
      <c r="D1810" s="28" t="s">
        <v>3561</v>
      </c>
      <c r="E1810" s="28" t="s">
        <v>3549</v>
      </c>
      <c r="F1810" s="28" t="s">
        <v>1700</v>
      </c>
      <c r="G1810" s="28" t="s">
        <v>1252</v>
      </c>
    </row>
    <row r="1811" spans="1:7">
      <c r="A1811" s="28">
        <v>1810</v>
      </c>
      <c r="B1811" s="28" t="s">
        <v>3078</v>
      </c>
      <c r="C1811" s="28">
        <v>4142012988</v>
      </c>
      <c r="D1811" s="28" t="s">
        <v>3561</v>
      </c>
      <c r="E1811" s="28" t="s">
        <v>3549</v>
      </c>
      <c r="F1811" s="28" t="s">
        <v>1700</v>
      </c>
      <c r="G1811" s="28" t="s">
        <v>1252</v>
      </c>
    </row>
    <row r="1812" spans="1:7">
      <c r="A1812" s="28">
        <v>1811</v>
      </c>
      <c r="B1812" s="28" t="s">
        <v>3079</v>
      </c>
      <c r="C1812" s="28">
        <v>4142012989</v>
      </c>
      <c r="D1812" s="28" t="s">
        <v>3561</v>
      </c>
      <c r="E1812" s="28" t="s">
        <v>3549</v>
      </c>
      <c r="F1812" s="28" t="s">
        <v>1700</v>
      </c>
      <c r="G1812" s="28" t="s">
        <v>1252</v>
      </c>
    </row>
    <row r="1813" spans="1:7">
      <c r="A1813" s="28">
        <v>1812</v>
      </c>
      <c r="B1813" s="28" t="s">
        <v>3080</v>
      </c>
      <c r="C1813" s="28">
        <v>4142012990</v>
      </c>
      <c r="D1813" s="28" t="s">
        <v>3561</v>
      </c>
      <c r="E1813" s="28" t="s">
        <v>3549</v>
      </c>
      <c r="F1813" s="28" t="s">
        <v>1700</v>
      </c>
      <c r="G1813" s="28" t="s">
        <v>1252</v>
      </c>
    </row>
    <row r="1814" spans="1:7">
      <c r="A1814" s="28">
        <v>1813</v>
      </c>
      <c r="B1814" s="28" t="s">
        <v>3081</v>
      </c>
      <c r="C1814" s="28">
        <v>4142012991</v>
      </c>
      <c r="D1814" s="28" t="s">
        <v>3561</v>
      </c>
      <c r="E1814" s="28" t="s">
        <v>3549</v>
      </c>
      <c r="F1814" s="28" t="s">
        <v>1700</v>
      </c>
      <c r="G1814" s="28" t="s">
        <v>1252</v>
      </c>
    </row>
    <row r="1815" spans="1:7">
      <c r="A1815" s="28">
        <v>1814</v>
      </c>
      <c r="B1815" s="28" t="s">
        <v>2356</v>
      </c>
      <c r="C1815" s="28">
        <v>4142013263</v>
      </c>
      <c r="D1815" s="28" t="s">
        <v>3550</v>
      </c>
      <c r="E1815" s="28" t="s">
        <v>3549</v>
      </c>
      <c r="F1815" s="28" t="s">
        <v>1700</v>
      </c>
      <c r="G1815" s="28"/>
    </row>
    <row r="1816" spans="1:7">
      <c r="A1816" s="28">
        <v>1815</v>
      </c>
      <c r="B1816" s="28" t="s">
        <v>2357</v>
      </c>
      <c r="C1816" s="28">
        <v>4142013264</v>
      </c>
      <c r="D1816" s="28" t="s">
        <v>3550</v>
      </c>
      <c r="E1816" s="28" t="s">
        <v>3549</v>
      </c>
      <c r="F1816" s="28" t="s">
        <v>1700</v>
      </c>
      <c r="G1816" s="28"/>
    </row>
    <row r="1817" spans="1:7">
      <c r="A1817" s="28">
        <v>1816</v>
      </c>
      <c r="B1817" s="28" t="s">
        <v>2358</v>
      </c>
      <c r="C1817" s="28">
        <v>4142013265</v>
      </c>
      <c r="D1817" s="28" t="s">
        <v>3550</v>
      </c>
      <c r="E1817" s="28" t="s">
        <v>3558</v>
      </c>
      <c r="F1817" s="28" t="s">
        <v>1700</v>
      </c>
      <c r="G1817" s="28"/>
    </row>
    <row r="1818" spans="1:7">
      <c r="A1818" s="28">
        <v>1817</v>
      </c>
      <c r="B1818" s="28" t="s">
        <v>2359</v>
      </c>
      <c r="C1818" s="28">
        <v>4142013266</v>
      </c>
      <c r="D1818" s="28" t="s">
        <v>3550</v>
      </c>
      <c r="E1818" s="28" t="s">
        <v>3549</v>
      </c>
      <c r="F1818" s="28" t="s">
        <v>1700</v>
      </c>
      <c r="G1818" s="28"/>
    </row>
    <row r="1819" spans="1:7">
      <c r="A1819" s="28">
        <v>1818</v>
      </c>
      <c r="B1819" s="28" t="s">
        <v>2360</v>
      </c>
      <c r="C1819" s="28">
        <v>4142013793</v>
      </c>
      <c r="D1819" s="28" t="s">
        <v>3550</v>
      </c>
      <c r="E1819" s="28" t="s">
        <v>3567</v>
      </c>
      <c r="F1819" s="28" t="s">
        <v>1700</v>
      </c>
      <c r="G1819" s="28"/>
    </row>
    <row r="1820" spans="1:7">
      <c r="A1820" s="28">
        <v>1819</v>
      </c>
      <c r="B1820" s="28" t="s">
        <v>2362</v>
      </c>
      <c r="C1820" s="28">
        <v>4142013796</v>
      </c>
      <c r="D1820" s="28" t="s">
        <v>3550</v>
      </c>
      <c r="E1820" s="28" t="s">
        <v>3549</v>
      </c>
      <c r="F1820" s="28" t="s">
        <v>1700</v>
      </c>
      <c r="G1820" s="28"/>
    </row>
    <row r="1821" spans="1:7">
      <c r="A1821" s="28">
        <v>1820</v>
      </c>
      <c r="B1821" s="28" t="s">
        <v>2363</v>
      </c>
      <c r="C1821" s="28">
        <v>4142013797</v>
      </c>
      <c r="D1821" s="28" t="s">
        <v>3550</v>
      </c>
      <c r="E1821" s="28" t="s">
        <v>3553</v>
      </c>
      <c r="F1821" s="28" t="s">
        <v>1700</v>
      </c>
      <c r="G1821" s="28"/>
    </row>
    <row r="1822" spans="1:7">
      <c r="A1822" s="28">
        <v>1821</v>
      </c>
      <c r="B1822" s="28" t="s">
        <v>2364</v>
      </c>
      <c r="C1822" s="28">
        <v>4142013798</v>
      </c>
      <c r="D1822" s="28" t="s">
        <v>3550</v>
      </c>
      <c r="E1822" s="28" t="s">
        <v>3549</v>
      </c>
      <c r="F1822" s="28" t="s">
        <v>1700</v>
      </c>
      <c r="G1822" s="28"/>
    </row>
    <row r="1823" spans="1:7">
      <c r="A1823" s="28">
        <v>1822</v>
      </c>
      <c r="B1823" s="28" t="s">
        <v>3082</v>
      </c>
      <c r="C1823" s="28">
        <v>4142013799</v>
      </c>
      <c r="D1823" s="28" t="s">
        <v>3561</v>
      </c>
      <c r="E1823" s="28" t="s">
        <v>3553</v>
      </c>
      <c r="F1823" s="28" t="s">
        <v>1700</v>
      </c>
      <c r="G1823" s="28" t="s">
        <v>1252</v>
      </c>
    </row>
    <row r="1824" spans="1:7">
      <c r="A1824" s="28">
        <v>1823</v>
      </c>
      <c r="B1824" s="28" t="s">
        <v>2365</v>
      </c>
      <c r="C1824" s="28">
        <v>4142013800</v>
      </c>
      <c r="D1824" s="28" t="s">
        <v>3550</v>
      </c>
      <c r="E1824" s="28" t="s">
        <v>3549</v>
      </c>
      <c r="F1824" s="28" t="s">
        <v>1700</v>
      </c>
      <c r="G1824" s="28"/>
    </row>
    <row r="1825" spans="1:7">
      <c r="A1825" s="28">
        <v>1824</v>
      </c>
      <c r="B1825" s="28" t="s">
        <v>2366</v>
      </c>
      <c r="C1825" s="28">
        <v>4142013801</v>
      </c>
      <c r="D1825" s="28" t="s">
        <v>3550</v>
      </c>
      <c r="E1825" s="28" t="s">
        <v>3549</v>
      </c>
      <c r="F1825" s="28" t="s">
        <v>1700</v>
      </c>
      <c r="G1825" s="28"/>
    </row>
    <row r="1826" spans="1:7">
      <c r="A1826" s="28">
        <v>1825</v>
      </c>
      <c r="B1826" s="28" t="s">
        <v>2367</v>
      </c>
      <c r="C1826" s="28">
        <v>4142014061</v>
      </c>
      <c r="D1826" s="28" t="s">
        <v>3550</v>
      </c>
      <c r="E1826" s="28" t="s">
        <v>3559</v>
      </c>
      <c r="F1826" s="28" t="s">
        <v>1700</v>
      </c>
      <c r="G1826" s="28"/>
    </row>
    <row r="1827" spans="1:7">
      <c r="A1827" s="28">
        <v>1826</v>
      </c>
      <c r="B1827" s="28" t="s">
        <v>2368</v>
      </c>
      <c r="C1827" s="28">
        <v>4142014119</v>
      </c>
      <c r="D1827" s="28" t="s">
        <v>3550</v>
      </c>
      <c r="E1827" s="28" t="s">
        <v>3549</v>
      </c>
      <c r="F1827" s="28" t="s">
        <v>1700</v>
      </c>
      <c r="G1827" s="28"/>
    </row>
    <row r="1828" spans="1:7">
      <c r="A1828" s="28">
        <v>1827</v>
      </c>
      <c r="B1828" s="28" t="s">
        <v>2369</v>
      </c>
      <c r="C1828" s="28">
        <v>4142014120</v>
      </c>
      <c r="D1828" s="28" t="s">
        <v>3550</v>
      </c>
      <c r="E1828" s="28" t="s">
        <v>3549</v>
      </c>
      <c r="F1828" s="28" t="s">
        <v>1700</v>
      </c>
      <c r="G1828" s="28"/>
    </row>
    <row r="1829" spans="1:7">
      <c r="A1829" s="28">
        <v>1828</v>
      </c>
      <c r="B1829" s="28" t="s">
        <v>2370</v>
      </c>
      <c r="C1829" s="28">
        <v>4142014197</v>
      </c>
      <c r="D1829" s="28" t="s">
        <v>3550</v>
      </c>
      <c r="E1829" s="28" t="s">
        <v>3552</v>
      </c>
      <c r="F1829" s="28" t="s">
        <v>1700</v>
      </c>
      <c r="G1829" s="28"/>
    </row>
    <row r="1830" spans="1:7">
      <c r="A1830" s="28">
        <v>1829</v>
      </c>
      <c r="B1830" s="28" t="s">
        <v>2371</v>
      </c>
      <c r="C1830" s="28">
        <v>4142014258</v>
      </c>
      <c r="D1830" s="28" t="s">
        <v>3550</v>
      </c>
      <c r="E1830" s="28" t="s">
        <v>3559</v>
      </c>
      <c r="F1830" s="28" t="s">
        <v>1700</v>
      </c>
      <c r="G1830" s="28"/>
    </row>
    <row r="1831" spans="1:7">
      <c r="A1831" s="28">
        <v>1830</v>
      </c>
      <c r="B1831" s="28" t="s">
        <v>2372</v>
      </c>
      <c r="C1831" s="28">
        <v>4142014355</v>
      </c>
      <c r="D1831" s="28" t="s">
        <v>3550</v>
      </c>
      <c r="E1831" s="28" t="s">
        <v>3568</v>
      </c>
      <c r="F1831" s="28" t="s">
        <v>1700</v>
      </c>
      <c r="G1831" s="28"/>
    </row>
    <row r="1832" spans="1:7">
      <c r="A1832" s="28">
        <v>1831</v>
      </c>
      <c r="B1832" s="28" t="s">
        <v>2374</v>
      </c>
      <c r="C1832" s="28">
        <v>4142014356</v>
      </c>
      <c r="D1832" s="28" t="s">
        <v>3550</v>
      </c>
      <c r="E1832" s="28" t="s">
        <v>3549</v>
      </c>
      <c r="F1832" s="28" t="s">
        <v>1700</v>
      </c>
      <c r="G1832" s="28"/>
    </row>
    <row r="1833" spans="1:7">
      <c r="A1833" s="28">
        <v>1832</v>
      </c>
      <c r="B1833" s="28" t="s">
        <v>2375</v>
      </c>
      <c r="C1833" s="28">
        <v>4142014357</v>
      </c>
      <c r="D1833" s="28" t="s">
        <v>3550</v>
      </c>
      <c r="E1833" s="28" t="s">
        <v>3556</v>
      </c>
      <c r="F1833" s="28" t="s">
        <v>1700</v>
      </c>
      <c r="G1833" s="28"/>
    </row>
    <row r="1834" spans="1:7">
      <c r="A1834" s="28">
        <v>1833</v>
      </c>
      <c r="B1834" s="28" t="s">
        <v>2376</v>
      </c>
      <c r="C1834" s="28">
        <v>4142014467</v>
      </c>
      <c r="D1834" s="28" t="s">
        <v>3550</v>
      </c>
      <c r="E1834" s="28" t="s">
        <v>3549</v>
      </c>
      <c r="F1834" s="28" t="s">
        <v>1700</v>
      </c>
      <c r="G1834" s="28"/>
    </row>
    <row r="1835" spans="1:7">
      <c r="A1835" s="28">
        <v>1834</v>
      </c>
      <c r="B1835" s="28" t="s">
        <v>2377</v>
      </c>
      <c r="C1835" s="28">
        <v>4142014553</v>
      </c>
      <c r="D1835" s="28" t="s">
        <v>3550</v>
      </c>
      <c r="E1835" s="28" t="s">
        <v>3549</v>
      </c>
      <c r="F1835" s="28" t="s">
        <v>1700</v>
      </c>
      <c r="G1835" s="28"/>
    </row>
    <row r="1836" spans="1:7">
      <c r="A1836" s="28">
        <v>1835</v>
      </c>
      <c r="B1836" s="28" t="s">
        <v>2378</v>
      </c>
      <c r="C1836" s="28">
        <v>4142014554</v>
      </c>
      <c r="D1836" s="28" t="s">
        <v>3550</v>
      </c>
      <c r="E1836" s="28" t="s">
        <v>3549</v>
      </c>
      <c r="F1836" s="28" t="s">
        <v>1700</v>
      </c>
      <c r="G1836" s="28"/>
    </row>
    <row r="1837" spans="1:7">
      <c r="A1837" s="28">
        <v>1836</v>
      </c>
      <c r="B1837" s="28" t="s">
        <v>3083</v>
      </c>
      <c r="C1837" s="28">
        <v>4142014555</v>
      </c>
      <c r="D1837" s="28" t="s">
        <v>3561</v>
      </c>
      <c r="E1837" s="28" t="s">
        <v>3551</v>
      </c>
      <c r="F1837" s="28" t="s">
        <v>1700</v>
      </c>
      <c r="G1837" s="28" t="s">
        <v>1252</v>
      </c>
    </row>
    <row r="1838" spans="1:7">
      <c r="A1838" s="28">
        <v>1837</v>
      </c>
      <c r="B1838" s="28" t="s">
        <v>2379</v>
      </c>
      <c r="C1838" s="28">
        <v>4142014571</v>
      </c>
      <c r="D1838" s="28" t="s">
        <v>3550</v>
      </c>
      <c r="E1838" s="28" t="s">
        <v>3560</v>
      </c>
      <c r="F1838" s="28" t="s">
        <v>1700</v>
      </c>
      <c r="G1838" s="28"/>
    </row>
    <row r="1839" spans="1:7">
      <c r="A1839" s="28">
        <v>1838</v>
      </c>
      <c r="B1839" s="28" t="s">
        <v>2380</v>
      </c>
      <c r="C1839" s="28">
        <v>4142014590</v>
      </c>
      <c r="D1839" s="28" t="s">
        <v>3550</v>
      </c>
      <c r="E1839" s="28" t="s">
        <v>3549</v>
      </c>
      <c r="F1839" s="28" t="s">
        <v>1700</v>
      </c>
      <c r="G1839" s="28"/>
    </row>
    <row r="1840" spans="1:7">
      <c r="A1840" s="28">
        <v>1839</v>
      </c>
      <c r="B1840" s="28" t="s">
        <v>3084</v>
      </c>
      <c r="C1840" s="28">
        <v>4142014591</v>
      </c>
      <c r="D1840" s="28" t="s">
        <v>3561</v>
      </c>
      <c r="E1840" s="28" t="s">
        <v>3549</v>
      </c>
      <c r="F1840" s="28" t="s">
        <v>1700</v>
      </c>
      <c r="G1840" s="28" t="s">
        <v>1252</v>
      </c>
    </row>
    <row r="1841" spans="1:7">
      <c r="A1841" s="28">
        <v>1840</v>
      </c>
      <c r="B1841" s="28" t="s">
        <v>3085</v>
      </c>
      <c r="C1841" s="28">
        <v>4142014721</v>
      </c>
      <c r="D1841" s="28" t="s">
        <v>3561</v>
      </c>
      <c r="E1841" s="28" t="s">
        <v>3558</v>
      </c>
      <c r="F1841" s="28" t="s">
        <v>1700</v>
      </c>
      <c r="G1841" s="28" t="s">
        <v>1252</v>
      </c>
    </row>
    <row r="1842" spans="1:7">
      <c r="A1842" s="28">
        <v>1841</v>
      </c>
      <c r="B1842" s="28" t="s">
        <v>3086</v>
      </c>
      <c r="C1842" s="28">
        <v>4142014755</v>
      </c>
      <c r="D1842" s="28" t="s">
        <v>3561</v>
      </c>
      <c r="E1842" s="28" t="s">
        <v>3557</v>
      </c>
      <c r="F1842" s="28" t="s">
        <v>1700</v>
      </c>
      <c r="G1842" s="28" t="s">
        <v>1252</v>
      </c>
    </row>
    <row r="1843" spans="1:7">
      <c r="A1843" s="28">
        <v>1842</v>
      </c>
      <c r="B1843" s="28" t="s">
        <v>2842</v>
      </c>
      <c r="C1843" s="28">
        <v>4142014832</v>
      </c>
      <c r="D1843" s="28" t="s">
        <v>3550</v>
      </c>
      <c r="E1843" s="28" t="s">
        <v>3556</v>
      </c>
      <c r="F1843" s="28" t="s">
        <v>1700</v>
      </c>
      <c r="G1843" s="28"/>
    </row>
    <row r="1844" spans="1:7">
      <c r="A1844" s="28">
        <v>1843</v>
      </c>
      <c r="B1844" s="28" t="s">
        <v>2843</v>
      </c>
      <c r="C1844" s="28">
        <v>4142014833</v>
      </c>
      <c r="D1844" s="28" t="s">
        <v>3550</v>
      </c>
      <c r="E1844" s="28" t="s">
        <v>3559</v>
      </c>
      <c r="F1844" s="28" t="s">
        <v>1700</v>
      </c>
      <c r="G1844" s="28"/>
    </row>
    <row r="1845" spans="1:7">
      <c r="A1845" s="28">
        <v>1844</v>
      </c>
      <c r="B1845" s="28" t="s">
        <v>2857</v>
      </c>
      <c r="C1845" s="28">
        <v>4142014866</v>
      </c>
      <c r="D1845" s="28" t="s">
        <v>3550</v>
      </c>
      <c r="E1845" s="28" t="s">
        <v>3560</v>
      </c>
      <c r="F1845" s="28" t="s">
        <v>1700</v>
      </c>
      <c r="G1845" s="28"/>
    </row>
    <row r="1846" spans="1:7">
      <c r="A1846" s="28">
        <v>1845</v>
      </c>
      <c r="B1846" s="28" t="s">
        <v>796</v>
      </c>
      <c r="C1846" s="28">
        <v>4143010530</v>
      </c>
      <c r="D1846" s="28" t="s">
        <v>3569</v>
      </c>
      <c r="E1846" s="28" t="s">
        <v>3570</v>
      </c>
      <c r="F1846" s="28" t="s">
        <v>11</v>
      </c>
      <c r="G1846" s="28"/>
    </row>
    <row r="1847" spans="1:7">
      <c r="A1847" s="28">
        <v>1846</v>
      </c>
      <c r="B1847" s="28" t="s">
        <v>799</v>
      </c>
      <c r="C1847" s="28">
        <v>4143010531</v>
      </c>
      <c r="D1847" s="28" t="s">
        <v>3569</v>
      </c>
      <c r="E1847" s="28" t="s">
        <v>3571</v>
      </c>
      <c r="F1847" s="28" t="s">
        <v>11</v>
      </c>
      <c r="G1847" s="28"/>
    </row>
    <row r="1848" spans="1:7">
      <c r="A1848" s="28">
        <v>1847</v>
      </c>
      <c r="B1848" s="28" t="s">
        <v>801</v>
      </c>
      <c r="C1848" s="28">
        <v>4143010532</v>
      </c>
      <c r="D1848" s="28" t="s">
        <v>3309</v>
      </c>
      <c r="E1848" s="28" t="s">
        <v>3572</v>
      </c>
      <c r="F1848" s="28" t="s">
        <v>11</v>
      </c>
      <c r="G1848" s="28"/>
    </row>
    <row r="1849" spans="1:7">
      <c r="A1849" s="28">
        <v>1848</v>
      </c>
      <c r="B1849" s="28" t="s">
        <v>803</v>
      </c>
      <c r="C1849" s="28">
        <v>4143010533</v>
      </c>
      <c r="D1849" s="28" t="s">
        <v>3309</v>
      </c>
      <c r="E1849" s="28" t="s">
        <v>3572</v>
      </c>
      <c r="F1849" s="28" t="s">
        <v>11</v>
      </c>
      <c r="G1849" s="28"/>
    </row>
    <row r="1850" spans="1:7">
      <c r="A1850" s="28">
        <v>1849</v>
      </c>
      <c r="B1850" s="28" t="s">
        <v>804</v>
      </c>
      <c r="C1850" s="28">
        <v>4143010534</v>
      </c>
      <c r="D1850" s="28" t="s">
        <v>3569</v>
      </c>
      <c r="E1850" s="28" t="s">
        <v>3570</v>
      </c>
      <c r="F1850" s="28" t="s">
        <v>11</v>
      </c>
      <c r="G1850" s="28"/>
    </row>
    <row r="1851" spans="1:7">
      <c r="A1851" s="28">
        <v>1850</v>
      </c>
      <c r="B1851" s="28" t="s">
        <v>805</v>
      </c>
      <c r="C1851" s="28">
        <v>4143010536</v>
      </c>
      <c r="D1851" s="28" t="s">
        <v>3569</v>
      </c>
      <c r="E1851" s="28" t="s">
        <v>3572</v>
      </c>
      <c r="F1851" s="28" t="s">
        <v>11</v>
      </c>
      <c r="G1851" s="28"/>
    </row>
    <row r="1852" spans="1:7">
      <c r="A1852" s="28">
        <v>1851</v>
      </c>
      <c r="B1852" s="28" t="s">
        <v>806</v>
      </c>
      <c r="C1852" s="28">
        <v>4143010537</v>
      </c>
      <c r="D1852" s="28" t="s">
        <v>3569</v>
      </c>
      <c r="E1852" s="28" t="s">
        <v>3572</v>
      </c>
      <c r="F1852" s="28" t="s">
        <v>11</v>
      </c>
      <c r="G1852" s="28"/>
    </row>
    <row r="1853" spans="1:7">
      <c r="A1853" s="28">
        <v>1852</v>
      </c>
      <c r="B1853" s="28" t="s">
        <v>807</v>
      </c>
      <c r="C1853" s="28">
        <v>4143010538</v>
      </c>
      <c r="D1853" s="28" t="s">
        <v>3569</v>
      </c>
      <c r="E1853" s="28" t="s">
        <v>3572</v>
      </c>
      <c r="F1853" s="28" t="s">
        <v>11</v>
      </c>
      <c r="G1853" s="28"/>
    </row>
    <row r="1854" spans="1:7">
      <c r="A1854" s="28">
        <v>1853</v>
      </c>
      <c r="B1854" s="28" t="s">
        <v>808</v>
      </c>
      <c r="C1854" s="28">
        <v>4143010541</v>
      </c>
      <c r="D1854" s="28" t="s">
        <v>3569</v>
      </c>
      <c r="E1854" s="28" t="s">
        <v>3572</v>
      </c>
      <c r="F1854" s="28" t="s">
        <v>11</v>
      </c>
      <c r="G1854" s="28"/>
    </row>
    <row r="1855" spans="1:7">
      <c r="A1855" s="28">
        <v>1854</v>
      </c>
      <c r="B1855" s="28" t="s">
        <v>809</v>
      </c>
      <c r="C1855" s="28">
        <v>4143010542</v>
      </c>
      <c r="D1855" s="28" t="s">
        <v>3569</v>
      </c>
      <c r="E1855" s="28" t="s">
        <v>3572</v>
      </c>
      <c r="F1855" s="28" t="s">
        <v>11</v>
      </c>
      <c r="G1855" s="28"/>
    </row>
    <row r="1856" spans="1:7">
      <c r="A1856" s="28">
        <v>1855</v>
      </c>
      <c r="B1856" s="28" t="s">
        <v>3573</v>
      </c>
      <c r="C1856" s="28">
        <v>4143010543</v>
      </c>
      <c r="D1856" s="28" t="s">
        <v>3569</v>
      </c>
      <c r="E1856" s="28" t="s">
        <v>3574</v>
      </c>
      <c r="F1856" s="28" t="s">
        <v>11</v>
      </c>
      <c r="G1856" s="28"/>
    </row>
    <row r="1857" spans="1:7">
      <c r="A1857" s="28">
        <v>1856</v>
      </c>
      <c r="B1857" s="28" t="s">
        <v>812</v>
      </c>
      <c r="C1857" s="28">
        <v>4143010545</v>
      </c>
      <c r="D1857" s="28" t="s">
        <v>3569</v>
      </c>
      <c r="E1857" s="28" t="s">
        <v>3575</v>
      </c>
      <c r="F1857" s="28" t="s">
        <v>11</v>
      </c>
      <c r="G1857" s="28"/>
    </row>
    <row r="1858" spans="1:7">
      <c r="A1858" s="28">
        <v>1857</v>
      </c>
      <c r="B1858" s="28" t="s">
        <v>814</v>
      </c>
      <c r="C1858" s="28">
        <v>4143010546</v>
      </c>
      <c r="D1858" s="28" t="s">
        <v>3569</v>
      </c>
      <c r="E1858" s="28" t="s">
        <v>3576</v>
      </c>
      <c r="F1858" s="28" t="s">
        <v>11</v>
      </c>
      <c r="G1858" s="28"/>
    </row>
    <row r="1859" spans="1:7">
      <c r="A1859" s="28">
        <v>1858</v>
      </c>
      <c r="B1859" s="28" t="s">
        <v>816</v>
      </c>
      <c r="C1859" s="28">
        <v>4143010547</v>
      </c>
      <c r="D1859" s="28" t="s">
        <v>3569</v>
      </c>
      <c r="E1859" s="28" t="s">
        <v>3577</v>
      </c>
      <c r="F1859" s="28" t="s">
        <v>11</v>
      </c>
      <c r="G1859" s="28"/>
    </row>
    <row r="1860" spans="1:7">
      <c r="A1860" s="28">
        <v>1859</v>
      </c>
      <c r="B1860" s="28" t="s">
        <v>818</v>
      </c>
      <c r="C1860" s="28">
        <v>4143010548</v>
      </c>
      <c r="D1860" s="28" t="s">
        <v>3569</v>
      </c>
      <c r="E1860" s="28" t="s">
        <v>3578</v>
      </c>
      <c r="F1860" s="28" t="s">
        <v>11</v>
      </c>
      <c r="G1860" s="28"/>
    </row>
    <row r="1861" spans="1:7">
      <c r="A1861" s="28">
        <v>1860</v>
      </c>
      <c r="B1861" s="28" t="s">
        <v>820</v>
      </c>
      <c r="C1861" s="28">
        <v>4143010549</v>
      </c>
      <c r="D1861" s="28" t="s">
        <v>3569</v>
      </c>
      <c r="E1861" s="28" t="s">
        <v>3579</v>
      </c>
      <c r="F1861" s="28" t="s">
        <v>11</v>
      </c>
      <c r="G1861" s="28"/>
    </row>
    <row r="1862" spans="1:7">
      <c r="A1862" s="28">
        <v>1861</v>
      </c>
      <c r="B1862" s="28" t="s">
        <v>822</v>
      </c>
      <c r="C1862" s="28">
        <v>4143010551</v>
      </c>
      <c r="D1862" s="28" t="s">
        <v>3569</v>
      </c>
      <c r="E1862" s="28" t="s">
        <v>3580</v>
      </c>
      <c r="F1862" s="28" t="s">
        <v>11</v>
      </c>
      <c r="G1862" s="28"/>
    </row>
    <row r="1863" spans="1:7">
      <c r="A1863" s="28">
        <v>1862</v>
      </c>
      <c r="B1863" s="28" t="s">
        <v>824</v>
      </c>
      <c r="C1863" s="28">
        <v>4143010553</v>
      </c>
      <c r="D1863" s="28" t="s">
        <v>3569</v>
      </c>
      <c r="E1863" s="28" t="s">
        <v>3581</v>
      </c>
      <c r="F1863" s="28" t="s">
        <v>11</v>
      </c>
      <c r="G1863" s="28"/>
    </row>
    <row r="1864" spans="1:7">
      <c r="A1864" s="28">
        <v>1863</v>
      </c>
      <c r="B1864" s="28" t="s">
        <v>826</v>
      </c>
      <c r="C1864" s="28">
        <v>4143010554</v>
      </c>
      <c r="D1864" s="28" t="s">
        <v>3569</v>
      </c>
      <c r="E1864" s="28" t="s">
        <v>3572</v>
      </c>
      <c r="F1864" s="28" t="s">
        <v>11</v>
      </c>
      <c r="G1864" s="28"/>
    </row>
    <row r="1865" spans="1:7">
      <c r="A1865" s="28">
        <v>1864</v>
      </c>
      <c r="B1865" s="28" t="s">
        <v>827</v>
      </c>
      <c r="C1865" s="28">
        <v>4143010555</v>
      </c>
      <c r="D1865" s="28" t="s">
        <v>3569</v>
      </c>
      <c r="E1865" s="28" t="s">
        <v>3576</v>
      </c>
      <c r="F1865" s="28" t="s">
        <v>11</v>
      </c>
      <c r="G1865" s="28"/>
    </row>
    <row r="1866" spans="1:7">
      <c r="A1866" s="28">
        <v>1865</v>
      </c>
      <c r="B1866" s="28" t="s">
        <v>1531</v>
      </c>
      <c r="C1866" s="28">
        <v>4143010823</v>
      </c>
      <c r="D1866" s="28" t="s">
        <v>3582</v>
      </c>
      <c r="E1866" s="28" t="s">
        <v>3572</v>
      </c>
      <c r="F1866" s="28" t="s">
        <v>11</v>
      </c>
      <c r="G1866" s="28" t="s">
        <v>1252</v>
      </c>
    </row>
    <row r="1867" spans="1:7">
      <c r="A1867" s="28">
        <v>1866</v>
      </c>
      <c r="B1867" s="28" t="s">
        <v>828</v>
      </c>
      <c r="C1867" s="28">
        <v>4143011077</v>
      </c>
      <c r="D1867" s="28" t="s">
        <v>3569</v>
      </c>
      <c r="E1867" s="28" t="s">
        <v>3572</v>
      </c>
      <c r="F1867" s="28" t="s">
        <v>11</v>
      </c>
      <c r="G1867" s="28"/>
    </row>
    <row r="1868" spans="1:7">
      <c r="A1868" s="28">
        <v>1867</v>
      </c>
      <c r="B1868" s="28" t="s">
        <v>829</v>
      </c>
      <c r="C1868" s="28">
        <v>4143011342</v>
      </c>
      <c r="D1868" s="28" t="s">
        <v>3569</v>
      </c>
      <c r="E1868" s="28" t="s">
        <v>3570</v>
      </c>
      <c r="F1868" s="28" t="s">
        <v>11</v>
      </c>
      <c r="G1868" s="28"/>
    </row>
    <row r="1869" spans="1:7">
      <c r="A1869" s="28">
        <v>1868</v>
      </c>
      <c r="B1869" s="28" t="s">
        <v>830</v>
      </c>
      <c r="C1869" s="28">
        <v>4143011527</v>
      </c>
      <c r="D1869" s="28" t="s">
        <v>3569</v>
      </c>
      <c r="E1869" s="28" t="s">
        <v>3583</v>
      </c>
      <c r="F1869" s="28" t="s">
        <v>11</v>
      </c>
      <c r="G1869" s="28"/>
    </row>
    <row r="1870" spans="1:7">
      <c r="A1870" s="28">
        <v>1869</v>
      </c>
      <c r="B1870" s="28" t="s">
        <v>832</v>
      </c>
      <c r="C1870" s="28">
        <v>4143011528</v>
      </c>
      <c r="D1870" s="28" t="s">
        <v>3569</v>
      </c>
      <c r="E1870" s="28" t="s">
        <v>3576</v>
      </c>
      <c r="F1870" s="28" t="s">
        <v>11</v>
      </c>
      <c r="G1870" s="28"/>
    </row>
    <row r="1871" spans="1:7">
      <c r="A1871" s="28">
        <v>1870</v>
      </c>
      <c r="B1871" s="28" t="s">
        <v>833</v>
      </c>
      <c r="C1871" s="28">
        <v>4143011532</v>
      </c>
      <c r="D1871" s="28" t="s">
        <v>3569</v>
      </c>
      <c r="E1871" s="28" t="s">
        <v>3572</v>
      </c>
      <c r="F1871" s="28" t="s">
        <v>11</v>
      </c>
      <c r="G1871" s="28"/>
    </row>
    <row r="1872" spans="1:7">
      <c r="A1872" s="28">
        <v>1871</v>
      </c>
      <c r="B1872" s="28" t="s">
        <v>834</v>
      </c>
      <c r="C1872" s="28">
        <v>4143011534</v>
      </c>
      <c r="D1872" s="28" t="s">
        <v>3569</v>
      </c>
      <c r="E1872" s="28" t="s">
        <v>3572</v>
      </c>
      <c r="F1872" s="28" t="s">
        <v>11</v>
      </c>
      <c r="G1872" s="28"/>
    </row>
    <row r="1873" spans="1:7">
      <c r="A1873" s="28">
        <v>1872</v>
      </c>
      <c r="B1873" s="28" t="s">
        <v>835</v>
      </c>
      <c r="C1873" s="28">
        <v>4143011535</v>
      </c>
      <c r="D1873" s="28" t="s">
        <v>3569</v>
      </c>
      <c r="E1873" s="28" t="s">
        <v>3584</v>
      </c>
      <c r="F1873" s="28" t="s">
        <v>11</v>
      </c>
      <c r="G1873" s="28"/>
    </row>
    <row r="1874" spans="1:7">
      <c r="A1874" s="28">
        <v>1873</v>
      </c>
      <c r="B1874" s="28" t="s">
        <v>837</v>
      </c>
      <c r="C1874" s="28">
        <v>4143011538</v>
      </c>
      <c r="D1874" s="28" t="s">
        <v>3569</v>
      </c>
      <c r="E1874" s="28" t="s">
        <v>3572</v>
      </c>
      <c r="F1874" s="28" t="s">
        <v>11</v>
      </c>
      <c r="G1874" s="28"/>
    </row>
    <row r="1875" spans="1:7">
      <c r="A1875" s="28">
        <v>1874</v>
      </c>
      <c r="B1875" s="28" t="s">
        <v>838</v>
      </c>
      <c r="C1875" s="28">
        <v>4143012034</v>
      </c>
      <c r="D1875" s="28" t="s">
        <v>3569</v>
      </c>
      <c r="E1875" s="28" t="s">
        <v>3572</v>
      </c>
      <c r="F1875" s="28" t="s">
        <v>11</v>
      </c>
      <c r="G1875" s="28"/>
    </row>
    <row r="1876" spans="1:7">
      <c r="A1876" s="28">
        <v>1875</v>
      </c>
      <c r="B1876" s="28" t="s">
        <v>839</v>
      </c>
      <c r="C1876" s="28">
        <v>4143012214</v>
      </c>
      <c r="D1876" s="28" t="s">
        <v>3569</v>
      </c>
      <c r="E1876" s="28" t="s">
        <v>3578</v>
      </c>
      <c r="F1876" s="28" t="s">
        <v>11</v>
      </c>
      <c r="G1876" s="28"/>
    </row>
    <row r="1877" spans="1:7">
      <c r="A1877" s="28">
        <v>1876</v>
      </c>
      <c r="B1877" s="28" t="s">
        <v>1532</v>
      </c>
      <c r="C1877" s="28">
        <v>4143012303</v>
      </c>
      <c r="D1877" s="28" t="s">
        <v>3582</v>
      </c>
      <c r="E1877" s="28" t="s">
        <v>3572</v>
      </c>
      <c r="F1877" s="28" t="s">
        <v>11</v>
      </c>
      <c r="G1877" s="28" t="s">
        <v>1252</v>
      </c>
    </row>
    <row r="1878" spans="1:7">
      <c r="A1878" s="28">
        <v>1877</v>
      </c>
      <c r="B1878" s="28" t="s">
        <v>1533</v>
      </c>
      <c r="C1878" s="28">
        <v>4143012599</v>
      </c>
      <c r="D1878" s="28" t="s">
        <v>3582</v>
      </c>
      <c r="E1878" s="28" t="s">
        <v>3570</v>
      </c>
      <c r="F1878" s="28" t="s">
        <v>11</v>
      </c>
      <c r="G1878" s="28" t="s">
        <v>1252</v>
      </c>
    </row>
    <row r="1879" spans="1:7">
      <c r="A1879" s="28">
        <v>1878</v>
      </c>
      <c r="B1879" s="28" t="s">
        <v>1534</v>
      </c>
      <c r="C1879" s="28">
        <v>4143012604</v>
      </c>
      <c r="D1879" s="28" t="s">
        <v>3582</v>
      </c>
      <c r="E1879" s="28" t="s">
        <v>3584</v>
      </c>
      <c r="F1879" s="28" t="s">
        <v>11</v>
      </c>
      <c r="G1879" s="28" t="s">
        <v>1252</v>
      </c>
    </row>
    <row r="1880" spans="1:7">
      <c r="A1880" s="28">
        <v>1879</v>
      </c>
      <c r="B1880" s="28" t="s">
        <v>1535</v>
      </c>
      <c r="C1880" s="28">
        <v>4143012649</v>
      </c>
      <c r="D1880" s="28" t="s">
        <v>3582</v>
      </c>
      <c r="E1880" s="28" t="s">
        <v>3570</v>
      </c>
      <c r="F1880" s="28" t="s">
        <v>11</v>
      </c>
      <c r="G1880" s="28" t="s">
        <v>1252</v>
      </c>
    </row>
    <row r="1881" spans="1:7">
      <c r="A1881" s="28">
        <v>1880</v>
      </c>
      <c r="B1881" s="28" t="s">
        <v>1536</v>
      </c>
      <c r="C1881" s="28">
        <v>4143012650</v>
      </c>
      <c r="D1881" s="28" t="s">
        <v>3582</v>
      </c>
      <c r="E1881" s="28" t="s">
        <v>3576</v>
      </c>
      <c r="F1881" s="28" t="s">
        <v>11</v>
      </c>
      <c r="G1881" s="28" t="s">
        <v>1252</v>
      </c>
    </row>
    <row r="1882" spans="1:7">
      <c r="A1882" s="28">
        <v>1881</v>
      </c>
      <c r="B1882" s="28" t="s">
        <v>1537</v>
      </c>
      <c r="C1882" s="28">
        <v>4143012651</v>
      </c>
      <c r="D1882" s="28" t="s">
        <v>3582</v>
      </c>
      <c r="E1882" s="28" t="s">
        <v>3570</v>
      </c>
      <c r="F1882" s="28" t="s">
        <v>11</v>
      </c>
      <c r="G1882" s="28" t="s">
        <v>1252</v>
      </c>
    </row>
    <row r="1883" spans="1:7">
      <c r="A1883" s="28">
        <v>1882</v>
      </c>
      <c r="B1883" s="28" t="s">
        <v>840</v>
      </c>
      <c r="C1883" s="28">
        <v>4143012652</v>
      </c>
      <c r="D1883" s="28" t="s">
        <v>3569</v>
      </c>
      <c r="E1883" s="28" t="s">
        <v>3572</v>
      </c>
      <c r="F1883" s="28" t="s">
        <v>11</v>
      </c>
      <c r="G1883" s="28"/>
    </row>
    <row r="1884" spans="1:7">
      <c r="A1884" s="28">
        <v>1883</v>
      </c>
      <c r="B1884" s="28" t="s">
        <v>1538</v>
      </c>
      <c r="C1884" s="28">
        <v>4143012653</v>
      </c>
      <c r="D1884" s="28" t="s">
        <v>3582</v>
      </c>
      <c r="E1884" s="28" t="s">
        <v>3572</v>
      </c>
      <c r="F1884" s="28" t="s">
        <v>11</v>
      </c>
      <c r="G1884" s="28" t="s">
        <v>1252</v>
      </c>
    </row>
    <row r="1885" spans="1:7">
      <c r="A1885" s="28">
        <v>1884</v>
      </c>
      <c r="B1885" s="28" t="s">
        <v>1539</v>
      </c>
      <c r="C1885" s="28">
        <v>4143012656</v>
      </c>
      <c r="D1885" s="28" t="s">
        <v>3582</v>
      </c>
      <c r="E1885" s="28" t="s">
        <v>3572</v>
      </c>
      <c r="F1885" s="28" t="s">
        <v>11</v>
      </c>
      <c r="G1885" s="28" t="s">
        <v>1252</v>
      </c>
    </row>
    <row r="1886" spans="1:7">
      <c r="A1886" s="28">
        <v>1885</v>
      </c>
      <c r="B1886" s="28" t="s">
        <v>1540</v>
      </c>
      <c r="C1886" s="28">
        <v>4143012657</v>
      </c>
      <c r="D1886" s="28" t="s">
        <v>3582</v>
      </c>
      <c r="E1886" s="28" t="s">
        <v>3579</v>
      </c>
      <c r="F1886" s="28" t="s">
        <v>11</v>
      </c>
      <c r="G1886" s="28" t="s">
        <v>1252</v>
      </c>
    </row>
    <row r="1887" spans="1:7">
      <c r="A1887" s="28">
        <v>1886</v>
      </c>
      <c r="B1887" s="28" t="s">
        <v>1541</v>
      </c>
      <c r="C1887" s="28">
        <v>4143012658</v>
      </c>
      <c r="D1887" s="28" t="s">
        <v>3582</v>
      </c>
      <c r="E1887" s="28" t="s">
        <v>3574</v>
      </c>
      <c r="F1887" s="28" t="s">
        <v>11</v>
      </c>
      <c r="G1887" s="28" t="s">
        <v>1252</v>
      </c>
    </row>
    <row r="1888" spans="1:7">
      <c r="A1888" s="28">
        <v>1887</v>
      </c>
      <c r="B1888" s="28" t="s">
        <v>1542</v>
      </c>
      <c r="C1888" s="28">
        <v>4143012659</v>
      </c>
      <c r="D1888" s="28" t="s">
        <v>3582</v>
      </c>
      <c r="E1888" s="28" t="s">
        <v>3576</v>
      </c>
      <c r="F1888" s="28" t="s">
        <v>11</v>
      </c>
      <c r="G1888" s="28" t="s">
        <v>1252</v>
      </c>
    </row>
    <row r="1889" spans="1:7">
      <c r="A1889" s="28">
        <v>1888</v>
      </c>
      <c r="B1889" s="28" t="s">
        <v>1543</v>
      </c>
      <c r="C1889" s="28">
        <v>4143012660</v>
      </c>
      <c r="D1889" s="28" t="s">
        <v>3582</v>
      </c>
      <c r="E1889" s="28" t="s">
        <v>3570</v>
      </c>
      <c r="F1889" s="28" t="s">
        <v>11</v>
      </c>
      <c r="G1889" s="28" t="s">
        <v>1252</v>
      </c>
    </row>
    <row r="1890" spans="1:7">
      <c r="A1890" s="28">
        <v>1889</v>
      </c>
      <c r="B1890" s="28" t="s">
        <v>1544</v>
      </c>
      <c r="C1890" s="28">
        <v>4143012661</v>
      </c>
      <c r="D1890" s="28" t="s">
        <v>3582</v>
      </c>
      <c r="E1890" s="28" t="s">
        <v>3572</v>
      </c>
      <c r="F1890" s="28" t="s">
        <v>11</v>
      </c>
      <c r="G1890" s="28" t="s">
        <v>1252</v>
      </c>
    </row>
    <row r="1891" spans="1:7">
      <c r="A1891" s="28">
        <v>1890</v>
      </c>
      <c r="B1891" s="28" t="s">
        <v>1545</v>
      </c>
      <c r="C1891" s="28">
        <v>4143012662</v>
      </c>
      <c r="D1891" s="28" t="s">
        <v>3582</v>
      </c>
      <c r="E1891" s="28" t="s">
        <v>3585</v>
      </c>
      <c r="F1891" s="28" t="s">
        <v>11</v>
      </c>
      <c r="G1891" s="28" t="s">
        <v>1252</v>
      </c>
    </row>
    <row r="1892" spans="1:7">
      <c r="A1892" s="28">
        <v>1891</v>
      </c>
      <c r="B1892" s="28" t="s">
        <v>1547</v>
      </c>
      <c r="C1892" s="28">
        <v>4143013635</v>
      </c>
      <c r="D1892" s="28" t="s">
        <v>3582</v>
      </c>
      <c r="E1892" s="28" t="s">
        <v>3572</v>
      </c>
      <c r="F1892" s="28" t="s">
        <v>11</v>
      </c>
      <c r="G1892" s="28" t="s">
        <v>1252</v>
      </c>
    </row>
    <row r="1893" spans="1:7">
      <c r="A1893" s="28">
        <v>1892</v>
      </c>
      <c r="B1893" s="28" t="s">
        <v>841</v>
      </c>
      <c r="C1893" s="28">
        <v>4143013806</v>
      </c>
      <c r="D1893" s="28" t="s">
        <v>3569</v>
      </c>
      <c r="E1893" s="28" t="s">
        <v>3572</v>
      </c>
      <c r="F1893" s="28" t="s">
        <v>11</v>
      </c>
      <c r="G1893" s="28"/>
    </row>
    <row r="1894" spans="1:7">
      <c r="A1894" s="28">
        <v>1893</v>
      </c>
      <c r="B1894" s="28" t="s">
        <v>1548</v>
      </c>
      <c r="C1894" s="28">
        <v>4143013809</v>
      </c>
      <c r="D1894" s="28" t="s">
        <v>3582</v>
      </c>
      <c r="E1894" s="28" t="s">
        <v>3579</v>
      </c>
      <c r="F1894" s="28" t="s">
        <v>11</v>
      </c>
      <c r="G1894" s="28" t="s">
        <v>1252</v>
      </c>
    </row>
    <row r="1895" spans="1:7">
      <c r="A1895" s="28">
        <v>1894</v>
      </c>
      <c r="B1895" s="28" t="s">
        <v>1549</v>
      </c>
      <c r="C1895" s="28">
        <v>4143013836</v>
      </c>
      <c r="D1895" s="28" t="s">
        <v>3582</v>
      </c>
      <c r="E1895" s="28" t="s">
        <v>3572</v>
      </c>
      <c r="F1895" s="28" t="s">
        <v>11</v>
      </c>
      <c r="G1895" s="28" t="s">
        <v>1252</v>
      </c>
    </row>
    <row r="1896" spans="1:7">
      <c r="A1896" s="28">
        <v>1895</v>
      </c>
      <c r="B1896" s="28" t="s">
        <v>1550</v>
      </c>
      <c r="C1896" s="28">
        <v>4143013924</v>
      </c>
      <c r="D1896" s="28" t="s">
        <v>3582</v>
      </c>
      <c r="E1896" s="28" t="s">
        <v>3576</v>
      </c>
      <c r="F1896" s="28" t="s">
        <v>11</v>
      </c>
      <c r="G1896" s="28" t="s">
        <v>1252</v>
      </c>
    </row>
    <row r="1897" spans="1:7">
      <c r="A1897" s="28">
        <v>1896</v>
      </c>
      <c r="B1897" s="28" t="s">
        <v>1551</v>
      </c>
      <c r="C1897" s="28">
        <v>4143013925</v>
      </c>
      <c r="D1897" s="28" t="s">
        <v>3582</v>
      </c>
      <c r="E1897" s="28" t="s">
        <v>3570</v>
      </c>
      <c r="F1897" s="28" t="s">
        <v>11</v>
      </c>
      <c r="G1897" s="28" t="s">
        <v>1252</v>
      </c>
    </row>
    <row r="1898" spans="1:7">
      <c r="A1898" s="28">
        <v>1897</v>
      </c>
      <c r="B1898" s="28" t="s">
        <v>842</v>
      </c>
      <c r="C1898" s="28">
        <v>4143013937</v>
      </c>
      <c r="D1898" s="28" t="s">
        <v>3569</v>
      </c>
      <c r="E1898" s="28" t="s">
        <v>3584</v>
      </c>
      <c r="F1898" s="28" t="s">
        <v>11</v>
      </c>
      <c r="G1898" s="28"/>
    </row>
    <row r="1899" spans="1:7">
      <c r="A1899" s="28">
        <v>1898</v>
      </c>
      <c r="B1899" s="28" t="s">
        <v>1678</v>
      </c>
      <c r="C1899" s="28">
        <v>4143014900</v>
      </c>
      <c r="D1899" s="28" t="s">
        <v>3582</v>
      </c>
      <c r="E1899" s="28" t="s">
        <v>3572</v>
      </c>
      <c r="F1899" s="28" t="s">
        <v>11</v>
      </c>
      <c r="G1899" s="28" t="s">
        <v>1252</v>
      </c>
    </row>
    <row r="1900" spans="1:7">
      <c r="A1900" s="28">
        <v>1899</v>
      </c>
      <c r="B1900" s="28" t="s">
        <v>2381</v>
      </c>
      <c r="C1900" s="28">
        <v>3643000496</v>
      </c>
      <c r="D1900" s="28" t="s">
        <v>3569</v>
      </c>
      <c r="E1900" s="28" t="s">
        <v>3577</v>
      </c>
      <c r="F1900" s="28" t="s">
        <v>1700</v>
      </c>
      <c r="G1900" s="28"/>
    </row>
    <row r="1901" spans="1:7">
      <c r="A1901" s="28">
        <v>1900</v>
      </c>
      <c r="B1901" s="28" t="s">
        <v>2382</v>
      </c>
      <c r="C1901" s="28">
        <v>4143010827</v>
      </c>
      <c r="D1901" s="28" t="s">
        <v>3569</v>
      </c>
      <c r="E1901" s="28" t="s">
        <v>3572</v>
      </c>
      <c r="F1901" s="28" t="s">
        <v>1700</v>
      </c>
      <c r="G1901" s="28"/>
    </row>
    <row r="1902" spans="1:7">
      <c r="A1902" s="28">
        <v>1901</v>
      </c>
      <c r="B1902" s="28" t="s">
        <v>2383</v>
      </c>
      <c r="C1902" s="28">
        <v>4143010830</v>
      </c>
      <c r="D1902" s="28" t="s">
        <v>3569</v>
      </c>
      <c r="E1902" s="28" t="s">
        <v>3572</v>
      </c>
      <c r="F1902" s="28" t="s">
        <v>1700</v>
      </c>
      <c r="G1902" s="28"/>
    </row>
    <row r="1903" spans="1:7">
      <c r="A1903" s="28">
        <v>1902</v>
      </c>
      <c r="B1903" s="28" t="s">
        <v>2384</v>
      </c>
      <c r="C1903" s="28">
        <v>4143010836</v>
      </c>
      <c r="D1903" s="28" t="s">
        <v>3569</v>
      </c>
      <c r="E1903" s="28" t="s">
        <v>3584</v>
      </c>
      <c r="F1903" s="28" t="s">
        <v>1700</v>
      </c>
      <c r="G1903" s="28"/>
    </row>
    <row r="1904" spans="1:7">
      <c r="A1904" s="28">
        <v>1903</v>
      </c>
      <c r="B1904" s="28" t="s">
        <v>2385</v>
      </c>
      <c r="C1904" s="28">
        <v>4143010865</v>
      </c>
      <c r="D1904" s="28" t="s">
        <v>3569</v>
      </c>
      <c r="E1904" s="28" t="s">
        <v>3572</v>
      </c>
      <c r="F1904" s="28" t="s">
        <v>1700</v>
      </c>
      <c r="G1904" s="28"/>
    </row>
    <row r="1905" spans="1:7">
      <c r="A1905" s="28">
        <v>1904</v>
      </c>
      <c r="B1905" s="28" t="s">
        <v>2386</v>
      </c>
      <c r="C1905" s="28">
        <v>4143011601</v>
      </c>
      <c r="D1905" s="28" t="s">
        <v>3569</v>
      </c>
      <c r="E1905" s="28" t="s">
        <v>3572</v>
      </c>
      <c r="F1905" s="28" t="s">
        <v>1700</v>
      </c>
      <c r="G1905" s="28"/>
    </row>
    <row r="1906" spans="1:7">
      <c r="A1906" s="28">
        <v>1905</v>
      </c>
      <c r="B1906" s="28" t="s">
        <v>2387</v>
      </c>
      <c r="C1906" s="28">
        <v>4143011604</v>
      </c>
      <c r="D1906" s="28" t="s">
        <v>3569</v>
      </c>
      <c r="E1906" s="28" t="s">
        <v>3584</v>
      </c>
      <c r="F1906" s="28" t="s">
        <v>1700</v>
      </c>
      <c r="G1906" s="28"/>
    </row>
    <row r="1907" spans="1:7">
      <c r="A1907" s="28">
        <v>1906</v>
      </c>
      <c r="B1907" s="28" t="s">
        <v>2388</v>
      </c>
      <c r="C1907" s="28">
        <v>4143012055</v>
      </c>
      <c r="D1907" s="28" t="s">
        <v>3586</v>
      </c>
      <c r="E1907" s="28" t="s">
        <v>3572</v>
      </c>
      <c r="F1907" s="28" t="s">
        <v>1700</v>
      </c>
      <c r="G1907" s="28"/>
    </row>
    <row r="1908" spans="1:7">
      <c r="A1908" s="28">
        <v>1907</v>
      </c>
      <c r="B1908" s="28" t="s">
        <v>2389</v>
      </c>
      <c r="C1908" s="28">
        <v>4143012300</v>
      </c>
      <c r="D1908" s="28" t="s">
        <v>3569</v>
      </c>
      <c r="E1908" s="28" t="s">
        <v>3572</v>
      </c>
      <c r="F1908" s="28" t="s">
        <v>1700</v>
      </c>
      <c r="G1908" s="28"/>
    </row>
    <row r="1909" spans="1:7">
      <c r="A1909" s="28">
        <v>1908</v>
      </c>
      <c r="B1909" s="28" t="s">
        <v>2390</v>
      </c>
      <c r="C1909" s="28">
        <v>4143012301</v>
      </c>
      <c r="D1909" s="28" t="s">
        <v>3569</v>
      </c>
      <c r="E1909" s="28" t="s">
        <v>3580</v>
      </c>
      <c r="F1909" s="28" t="s">
        <v>1700</v>
      </c>
      <c r="G1909" s="28"/>
    </row>
    <row r="1910" spans="1:7">
      <c r="A1910" s="28">
        <v>1909</v>
      </c>
      <c r="B1910" s="28" t="s">
        <v>2391</v>
      </c>
      <c r="C1910" s="28">
        <v>4143012302</v>
      </c>
      <c r="D1910" s="28" t="s">
        <v>3569</v>
      </c>
      <c r="E1910" s="28" t="s">
        <v>3584</v>
      </c>
      <c r="F1910" s="28" t="s">
        <v>1700</v>
      </c>
      <c r="G1910" s="28"/>
    </row>
    <row r="1911" spans="1:7">
      <c r="A1911" s="28">
        <v>1910</v>
      </c>
      <c r="B1911" s="28" t="s">
        <v>2392</v>
      </c>
      <c r="C1911" s="28">
        <v>4143012304</v>
      </c>
      <c r="D1911" s="28" t="s">
        <v>3569</v>
      </c>
      <c r="E1911" s="28" t="s">
        <v>3572</v>
      </c>
      <c r="F1911" s="28" t="s">
        <v>1700</v>
      </c>
      <c r="G1911" s="28"/>
    </row>
    <row r="1912" spans="1:7">
      <c r="A1912" s="28">
        <v>1911</v>
      </c>
      <c r="B1912" s="28" t="s">
        <v>2393</v>
      </c>
      <c r="C1912" s="28">
        <v>4143012343</v>
      </c>
      <c r="D1912" s="28" t="s">
        <v>3569</v>
      </c>
      <c r="E1912" s="28" t="s">
        <v>3572</v>
      </c>
      <c r="F1912" s="28" t="s">
        <v>1700</v>
      </c>
      <c r="G1912" s="28"/>
    </row>
    <row r="1913" spans="1:7">
      <c r="A1913" s="28">
        <v>1912</v>
      </c>
      <c r="B1913" s="28" t="s">
        <v>2394</v>
      </c>
      <c r="C1913" s="28">
        <v>4143012397</v>
      </c>
      <c r="D1913" s="28" t="s">
        <v>3569</v>
      </c>
      <c r="E1913" s="28" t="s">
        <v>3572</v>
      </c>
      <c r="F1913" s="28" t="s">
        <v>1700</v>
      </c>
      <c r="G1913" s="28"/>
    </row>
    <row r="1914" spans="1:7">
      <c r="A1914" s="28">
        <v>1913</v>
      </c>
      <c r="B1914" s="28" t="s">
        <v>2395</v>
      </c>
      <c r="C1914" s="28">
        <v>4143012401</v>
      </c>
      <c r="D1914" s="28" t="s">
        <v>3569</v>
      </c>
      <c r="E1914" s="28" t="s">
        <v>3572</v>
      </c>
      <c r="F1914" s="28" t="s">
        <v>1700</v>
      </c>
      <c r="G1914" s="28"/>
    </row>
    <row r="1915" spans="1:7">
      <c r="A1915" s="28">
        <v>1914</v>
      </c>
      <c r="B1915" s="28" t="s">
        <v>2396</v>
      </c>
      <c r="C1915" s="28">
        <v>4143012423</v>
      </c>
      <c r="D1915" s="28" t="s">
        <v>3569</v>
      </c>
      <c r="E1915" s="28" t="s">
        <v>3572</v>
      </c>
      <c r="F1915" s="28" t="s">
        <v>1700</v>
      </c>
      <c r="G1915" s="28"/>
    </row>
    <row r="1916" spans="1:7">
      <c r="A1916" s="28">
        <v>1915</v>
      </c>
      <c r="B1916" s="28" t="s">
        <v>2397</v>
      </c>
      <c r="C1916" s="28">
        <v>4143012425</v>
      </c>
      <c r="D1916" s="28" t="s">
        <v>3569</v>
      </c>
      <c r="E1916" s="28" t="s">
        <v>3572</v>
      </c>
      <c r="F1916" s="28" t="s">
        <v>1700</v>
      </c>
      <c r="G1916" s="28"/>
    </row>
    <row r="1917" spans="1:7">
      <c r="A1917" s="28">
        <v>1916</v>
      </c>
      <c r="B1917" s="28" t="s">
        <v>2398</v>
      </c>
      <c r="C1917" s="28">
        <v>4143012596</v>
      </c>
      <c r="D1917" s="28" t="s">
        <v>3569</v>
      </c>
      <c r="E1917" s="28" t="s">
        <v>3572</v>
      </c>
      <c r="F1917" s="28" t="s">
        <v>1700</v>
      </c>
      <c r="G1917" s="28"/>
    </row>
    <row r="1918" spans="1:7">
      <c r="A1918" s="28">
        <v>1917</v>
      </c>
      <c r="B1918" s="28" t="s">
        <v>2399</v>
      </c>
      <c r="C1918" s="28">
        <v>4143012597</v>
      </c>
      <c r="D1918" s="28" t="s">
        <v>3569</v>
      </c>
      <c r="E1918" s="28" t="s">
        <v>3572</v>
      </c>
      <c r="F1918" s="28" t="s">
        <v>1700</v>
      </c>
      <c r="G1918" s="28"/>
    </row>
    <row r="1919" spans="1:7">
      <c r="A1919" s="28">
        <v>1918</v>
      </c>
      <c r="B1919" s="28" t="s">
        <v>2400</v>
      </c>
      <c r="C1919" s="28">
        <v>4143012598</v>
      </c>
      <c r="D1919" s="28" t="s">
        <v>3569</v>
      </c>
      <c r="E1919" s="28" t="s">
        <v>3572</v>
      </c>
      <c r="F1919" s="28" t="s">
        <v>1700</v>
      </c>
      <c r="G1919" s="28"/>
    </row>
    <row r="1920" spans="1:7">
      <c r="A1920" s="28">
        <v>1919</v>
      </c>
      <c r="B1920" s="28" t="s">
        <v>2401</v>
      </c>
      <c r="C1920" s="28">
        <v>4143012600</v>
      </c>
      <c r="D1920" s="28" t="s">
        <v>3569</v>
      </c>
      <c r="E1920" s="28" t="s">
        <v>3577</v>
      </c>
      <c r="F1920" s="28" t="s">
        <v>1700</v>
      </c>
      <c r="G1920" s="28"/>
    </row>
    <row r="1921" spans="1:7">
      <c r="A1921" s="28">
        <v>1920</v>
      </c>
      <c r="B1921" s="28" t="s">
        <v>2402</v>
      </c>
      <c r="C1921" s="28">
        <v>4143012601</v>
      </c>
      <c r="D1921" s="28" t="s">
        <v>3569</v>
      </c>
      <c r="E1921" s="28" t="s">
        <v>3572</v>
      </c>
      <c r="F1921" s="28" t="s">
        <v>1700</v>
      </c>
      <c r="G1921" s="28"/>
    </row>
    <row r="1922" spans="1:7">
      <c r="A1922" s="28">
        <v>1921</v>
      </c>
      <c r="B1922" s="28" t="s">
        <v>2403</v>
      </c>
      <c r="C1922" s="28">
        <v>4143012603</v>
      </c>
      <c r="D1922" s="28" t="s">
        <v>3569</v>
      </c>
      <c r="E1922" s="28" t="s">
        <v>3572</v>
      </c>
      <c r="F1922" s="28" t="s">
        <v>1700</v>
      </c>
      <c r="G1922" s="28"/>
    </row>
    <row r="1923" spans="1:7">
      <c r="A1923" s="28">
        <v>1922</v>
      </c>
      <c r="B1923" s="28" t="s">
        <v>2404</v>
      </c>
      <c r="C1923" s="28">
        <v>4143012739</v>
      </c>
      <c r="D1923" s="28" t="s">
        <v>3569</v>
      </c>
      <c r="E1923" s="28" t="s">
        <v>3576</v>
      </c>
      <c r="F1923" s="28" t="s">
        <v>1700</v>
      </c>
      <c r="G1923" s="28"/>
    </row>
    <row r="1924" spans="1:7">
      <c r="A1924" s="28">
        <v>1923</v>
      </c>
      <c r="B1924" s="28" t="s">
        <v>2405</v>
      </c>
      <c r="C1924" s="28">
        <v>4143012845</v>
      </c>
      <c r="D1924" s="28" t="s">
        <v>3569</v>
      </c>
      <c r="E1924" s="28" t="s">
        <v>3572</v>
      </c>
      <c r="F1924" s="28" t="s">
        <v>1700</v>
      </c>
      <c r="G1924" s="28"/>
    </row>
    <row r="1925" spans="1:7">
      <c r="A1925" s="28">
        <v>1924</v>
      </c>
      <c r="B1925" s="28" t="s">
        <v>2406</v>
      </c>
      <c r="C1925" s="28">
        <v>4143012846</v>
      </c>
      <c r="D1925" s="28" t="s">
        <v>3569</v>
      </c>
      <c r="E1925" s="28" t="s">
        <v>3570</v>
      </c>
      <c r="F1925" s="28" t="s">
        <v>1700</v>
      </c>
      <c r="G1925" s="28"/>
    </row>
    <row r="1926" spans="1:7">
      <c r="A1926" s="28">
        <v>1925</v>
      </c>
      <c r="B1926" s="28" t="s">
        <v>2407</v>
      </c>
      <c r="C1926" s="28">
        <v>4143012847</v>
      </c>
      <c r="D1926" s="28" t="s">
        <v>3569</v>
      </c>
      <c r="E1926" s="28" t="s">
        <v>3575</v>
      </c>
      <c r="F1926" s="28" t="s">
        <v>1700</v>
      </c>
      <c r="G1926" s="28"/>
    </row>
    <row r="1927" spans="1:7">
      <c r="A1927" s="28">
        <v>1926</v>
      </c>
      <c r="B1927" s="28" t="s">
        <v>2408</v>
      </c>
      <c r="C1927" s="28">
        <v>4143012848</v>
      </c>
      <c r="D1927" s="28" t="s">
        <v>3569</v>
      </c>
      <c r="E1927" s="28" t="s">
        <v>3581</v>
      </c>
      <c r="F1927" s="28" t="s">
        <v>1700</v>
      </c>
      <c r="G1927" s="28"/>
    </row>
    <row r="1928" spans="1:7">
      <c r="A1928" s="28">
        <v>1927</v>
      </c>
      <c r="B1928" s="28" t="s">
        <v>2409</v>
      </c>
      <c r="C1928" s="28">
        <v>4143012849</v>
      </c>
      <c r="D1928" s="28" t="s">
        <v>3569</v>
      </c>
      <c r="E1928" s="28" t="s">
        <v>3585</v>
      </c>
      <c r="F1928" s="28" t="s">
        <v>1700</v>
      </c>
      <c r="G1928" s="28"/>
    </row>
    <row r="1929" spans="1:7">
      <c r="A1929" s="28">
        <v>1928</v>
      </c>
      <c r="B1929" s="28" t="s">
        <v>2410</v>
      </c>
      <c r="C1929" s="28">
        <v>4143013031</v>
      </c>
      <c r="D1929" s="28" t="s">
        <v>3569</v>
      </c>
      <c r="E1929" s="28" t="s">
        <v>3572</v>
      </c>
      <c r="F1929" s="28" t="s">
        <v>1700</v>
      </c>
      <c r="G1929" s="28"/>
    </row>
    <row r="1930" spans="1:7">
      <c r="A1930" s="28">
        <v>1929</v>
      </c>
      <c r="B1930" s="28" t="s">
        <v>2411</v>
      </c>
      <c r="C1930" s="28">
        <v>4143013032</v>
      </c>
      <c r="D1930" s="28" t="s">
        <v>3569</v>
      </c>
      <c r="E1930" s="28" t="s">
        <v>3572</v>
      </c>
      <c r="F1930" s="28" t="s">
        <v>1700</v>
      </c>
      <c r="G1930" s="28"/>
    </row>
    <row r="1931" spans="1:7">
      <c r="A1931" s="28">
        <v>1930</v>
      </c>
      <c r="B1931" s="28" t="s">
        <v>2412</v>
      </c>
      <c r="C1931" s="28">
        <v>4143013033</v>
      </c>
      <c r="D1931" s="28" t="s">
        <v>3569</v>
      </c>
      <c r="E1931" s="28" t="s">
        <v>3572</v>
      </c>
      <c r="F1931" s="28" t="s">
        <v>1700</v>
      </c>
      <c r="G1931" s="28"/>
    </row>
    <row r="1932" spans="1:7">
      <c r="A1932" s="28">
        <v>1931</v>
      </c>
      <c r="B1932" s="28" t="s">
        <v>2413</v>
      </c>
      <c r="C1932" s="28">
        <v>4143013036</v>
      </c>
      <c r="D1932" s="28" t="s">
        <v>3569</v>
      </c>
      <c r="E1932" s="28" t="s">
        <v>3572</v>
      </c>
      <c r="F1932" s="28" t="s">
        <v>1700</v>
      </c>
      <c r="G1932" s="28"/>
    </row>
    <row r="1933" spans="1:7">
      <c r="A1933" s="28">
        <v>1932</v>
      </c>
      <c r="B1933" s="28" t="s">
        <v>2414</v>
      </c>
      <c r="C1933" s="28">
        <v>4143013037</v>
      </c>
      <c r="D1933" s="28" t="s">
        <v>3569</v>
      </c>
      <c r="E1933" s="28" t="s">
        <v>3578</v>
      </c>
      <c r="F1933" s="28" t="s">
        <v>1700</v>
      </c>
      <c r="G1933" s="28"/>
    </row>
    <row r="1934" spans="1:7">
      <c r="A1934" s="28">
        <v>1933</v>
      </c>
      <c r="B1934" s="28" t="s">
        <v>2415</v>
      </c>
      <c r="C1934" s="28">
        <v>4143013038</v>
      </c>
      <c r="D1934" s="28" t="s">
        <v>3569</v>
      </c>
      <c r="E1934" s="28" t="s">
        <v>3574</v>
      </c>
      <c r="F1934" s="28" t="s">
        <v>1700</v>
      </c>
      <c r="G1934" s="28"/>
    </row>
    <row r="1935" spans="1:7">
      <c r="A1935" s="28">
        <v>1934</v>
      </c>
      <c r="B1935" s="28" t="s">
        <v>2416</v>
      </c>
      <c r="C1935" s="28">
        <v>4143013039</v>
      </c>
      <c r="D1935" s="28" t="s">
        <v>3569</v>
      </c>
      <c r="E1935" s="28" t="s">
        <v>3579</v>
      </c>
      <c r="F1935" s="28" t="s">
        <v>1700</v>
      </c>
      <c r="G1935" s="28"/>
    </row>
    <row r="1936" spans="1:7">
      <c r="A1936" s="28">
        <v>1935</v>
      </c>
      <c r="B1936" s="28" t="s">
        <v>3087</v>
      </c>
      <c r="C1936" s="28">
        <v>4143013041</v>
      </c>
      <c r="D1936" s="28" t="s">
        <v>3582</v>
      </c>
      <c r="E1936" s="28" t="s">
        <v>3572</v>
      </c>
      <c r="F1936" s="28" t="s">
        <v>1700</v>
      </c>
      <c r="G1936" s="28" t="s">
        <v>1252</v>
      </c>
    </row>
    <row r="1937" spans="1:7">
      <c r="A1937" s="28">
        <v>1936</v>
      </c>
      <c r="B1937" s="28" t="s">
        <v>3088</v>
      </c>
      <c r="C1937" s="28">
        <v>4143013042</v>
      </c>
      <c r="D1937" s="28" t="s">
        <v>3582</v>
      </c>
      <c r="E1937" s="28" t="s">
        <v>3581</v>
      </c>
      <c r="F1937" s="28" t="s">
        <v>1700</v>
      </c>
      <c r="G1937" s="28" t="s">
        <v>1252</v>
      </c>
    </row>
    <row r="1938" spans="1:7">
      <c r="A1938" s="28">
        <v>1937</v>
      </c>
      <c r="B1938" s="28" t="s">
        <v>2417</v>
      </c>
      <c r="C1938" s="28">
        <v>4143013043</v>
      </c>
      <c r="D1938" s="28" t="s">
        <v>3569</v>
      </c>
      <c r="E1938" s="28" t="s">
        <v>3584</v>
      </c>
      <c r="F1938" s="28" t="s">
        <v>1700</v>
      </c>
      <c r="G1938" s="28"/>
    </row>
    <row r="1939" spans="1:7">
      <c r="A1939" s="28">
        <v>1938</v>
      </c>
      <c r="B1939" s="28" t="s">
        <v>2418</v>
      </c>
      <c r="C1939" s="28">
        <v>4143013044</v>
      </c>
      <c r="D1939" s="28" t="s">
        <v>3569</v>
      </c>
      <c r="E1939" s="28" t="s">
        <v>3570</v>
      </c>
      <c r="F1939" s="28" t="s">
        <v>1700</v>
      </c>
      <c r="G1939" s="28"/>
    </row>
    <row r="1940" spans="1:7">
      <c r="A1940" s="28">
        <v>1939</v>
      </c>
      <c r="B1940" s="28" t="s">
        <v>2419</v>
      </c>
      <c r="C1940" s="28">
        <v>4143013045</v>
      </c>
      <c r="D1940" s="28" t="s">
        <v>3569</v>
      </c>
      <c r="E1940" s="28" t="s">
        <v>3574</v>
      </c>
      <c r="F1940" s="28" t="s">
        <v>1700</v>
      </c>
      <c r="G1940" s="28"/>
    </row>
    <row r="1941" spans="1:7">
      <c r="A1941" s="28">
        <v>1940</v>
      </c>
      <c r="B1941" s="28" t="s">
        <v>2420</v>
      </c>
      <c r="C1941" s="28">
        <v>4143013802</v>
      </c>
      <c r="D1941" s="28" t="s">
        <v>3569</v>
      </c>
      <c r="E1941" s="28" t="s">
        <v>3584</v>
      </c>
      <c r="F1941" s="28" t="s">
        <v>1700</v>
      </c>
      <c r="G1941" s="28"/>
    </row>
    <row r="1942" spans="1:7">
      <c r="A1942" s="28">
        <v>1941</v>
      </c>
      <c r="B1942" s="28" t="s">
        <v>2421</v>
      </c>
      <c r="C1942" s="28">
        <v>4143013804</v>
      </c>
      <c r="D1942" s="28" t="s">
        <v>3569</v>
      </c>
      <c r="E1942" s="28" t="s">
        <v>3574</v>
      </c>
      <c r="F1942" s="28" t="s">
        <v>1700</v>
      </c>
      <c r="G1942" s="28"/>
    </row>
    <row r="1943" spans="1:7">
      <c r="A1943" s="28">
        <v>1942</v>
      </c>
      <c r="B1943" s="28" t="s">
        <v>2422</v>
      </c>
      <c r="C1943" s="28">
        <v>4143013805</v>
      </c>
      <c r="D1943" s="28" t="s">
        <v>3569</v>
      </c>
      <c r="E1943" s="28" t="s">
        <v>3571</v>
      </c>
      <c r="F1943" s="28" t="s">
        <v>1700</v>
      </c>
      <c r="G1943" s="28"/>
    </row>
    <row r="1944" spans="1:7">
      <c r="A1944" s="28">
        <v>1943</v>
      </c>
      <c r="B1944" s="28" t="s">
        <v>2423</v>
      </c>
      <c r="C1944" s="28">
        <v>4143013807</v>
      </c>
      <c r="D1944" s="28" t="s">
        <v>3569</v>
      </c>
      <c r="E1944" s="28" t="s">
        <v>3576</v>
      </c>
      <c r="F1944" s="28" t="s">
        <v>1700</v>
      </c>
      <c r="G1944" s="28"/>
    </row>
    <row r="1945" spans="1:7">
      <c r="A1945" s="28">
        <v>1944</v>
      </c>
      <c r="B1945" s="28" t="s">
        <v>2424</v>
      </c>
      <c r="C1945" s="28">
        <v>4143013808</v>
      </c>
      <c r="D1945" s="28" t="s">
        <v>3569</v>
      </c>
      <c r="E1945" s="28" t="s">
        <v>3583</v>
      </c>
      <c r="F1945" s="28" t="s">
        <v>1700</v>
      </c>
      <c r="G1945" s="28"/>
    </row>
    <row r="1946" spans="1:7">
      <c r="A1946" s="28">
        <v>1945</v>
      </c>
      <c r="B1946" s="28" t="s">
        <v>2425</v>
      </c>
      <c r="C1946" s="28">
        <v>4143013921</v>
      </c>
      <c r="D1946" s="28" t="s">
        <v>3569</v>
      </c>
      <c r="E1946" s="28" t="s">
        <v>3583</v>
      </c>
      <c r="F1946" s="28" t="s">
        <v>1700</v>
      </c>
      <c r="G1946" s="28"/>
    </row>
    <row r="1947" spans="1:7">
      <c r="A1947" s="28">
        <v>1946</v>
      </c>
      <c r="B1947" s="28" t="s">
        <v>2426</v>
      </c>
      <c r="C1947" s="28">
        <v>4143013922</v>
      </c>
      <c r="D1947" s="28" t="s">
        <v>3569</v>
      </c>
      <c r="E1947" s="28" t="s">
        <v>3580</v>
      </c>
      <c r="F1947" s="28" t="s">
        <v>1700</v>
      </c>
      <c r="G1947" s="28"/>
    </row>
    <row r="1948" spans="1:7">
      <c r="A1948" s="28">
        <v>1947</v>
      </c>
      <c r="B1948" s="28" t="s">
        <v>2427</v>
      </c>
      <c r="C1948" s="28">
        <v>4143013923</v>
      </c>
      <c r="D1948" s="28" t="s">
        <v>3569</v>
      </c>
      <c r="E1948" s="28" t="s">
        <v>3570</v>
      </c>
      <c r="F1948" s="28" t="s">
        <v>1700</v>
      </c>
      <c r="G1948" s="28"/>
    </row>
    <row r="1949" spans="1:7">
      <c r="A1949" s="28">
        <v>1948</v>
      </c>
      <c r="B1949" s="28" t="s">
        <v>2428</v>
      </c>
      <c r="C1949" s="28">
        <v>4143013938</v>
      </c>
      <c r="D1949" s="28" t="s">
        <v>3569</v>
      </c>
      <c r="E1949" s="28" t="s">
        <v>3572</v>
      </c>
      <c r="F1949" s="28" t="s">
        <v>1700</v>
      </c>
      <c r="G1949" s="28"/>
    </row>
    <row r="1950" spans="1:7">
      <c r="A1950" s="28">
        <v>1949</v>
      </c>
      <c r="B1950" s="28" t="s">
        <v>2429</v>
      </c>
      <c r="C1950" s="28">
        <v>4143013939</v>
      </c>
      <c r="D1950" s="28" t="s">
        <v>3569</v>
      </c>
      <c r="E1950" s="28" t="s">
        <v>3572</v>
      </c>
      <c r="F1950" s="28" t="s">
        <v>1700</v>
      </c>
      <c r="G1950" s="28"/>
    </row>
    <row r="1951" spans="1:7">
      <c r="A1951" s="28">
        <v>1950</v>
      </c>
      <c r="B1951" s="28" t="s">
        <v>2430</v>
      </c>
      <c r="C1951" s="28">
        <v>4143013940</v>
      </c>
      <c r="D1951" s="28" t="s">
        <v>3569</v>
      </c>
      <c r="E1951" s="28" t="s">
        <v>3572</v>
      </c>
      <c r="F1951" s="28" t="s">
        <v>1700</v>
      </c>
      <c r="G1951" s="28"/>
    </row>
    <row r="1952" spans="1:7">
      <c r="A1952" s="28">
        <v>1951</v>
      </c>
      <c r="B1952" s="28" t="s">
        <v>2431</v>
      </c>
      <c r="C1952" s="28">
        <v>4143013941</v>
      </c>
      <c r="D1952" s="28" t="s">
        <v>3569</v>
      </c>
      <c r="E1952" s="28" t="s">
        <v>3576</v>
      </c>
      <c r="F1952" s="28" t="s">
        <v>1700</v>
      </c>
      <c r="G1952" s="28"/>
    </row>
    <row r="1953" spans="1:7">
      <c r="A1953" s="28">
        <v>1952</v>
      </c>
      <c r="B1953" s="28" t="s">
        <v>2432</v>
      </c>
      <c r="C1953" s="28">
        <v>4143013942</v>
      </c>
      <c r="D1953" s="28" t="s">
        <v>3569</v>
      </c>
      <c r="E1953" s="28" t="s">
        <v>3584</v>
      </c>
      <c r="F1953" s="28" t="s">
        <v>1700</v>
      </c>
      <c r="G1953" s="28"/>
    </row>
    <row r="1954" spans="1:7">
      <c r="A1954" s="28">
        <v>1953</v>
      </c>
      <c r="B1954" s="28" t="s">
        <v>2433</v>
      </c>
      <c r="C1954" s="28">
        <v>4143014025</v>
      </c>
      <c r="D1954" s="28" t="s">
        <v>3569</v>
      </c>
      <c r="E1954" s="28" t="s">
        <v>3572</v>
      </c>
      <c r="F1954" s="28" t="s">
        <v>1700</v>
      </c>
      <c r="G1954" s="28"/>
    </row>
    <row r="1955" spans="1:7">
      <c r="A1955" s="28">
        <v>1954</v>
      </c>
      <c r="B1955" s="28" t="s">
        <v>2434</v>
      </c>
      <c r="C1955" s="28">
        <v>4143014071</v>
      </c>
      <c r="D1955" s="28" t="s">
        <v>3569</v>
      </c>
      <c r="E1955" s="28" t="s">
        <v>3570</v>
      </c>
      <c r="F1955" s="28" t="s">
        <v>1700</v>
      </c>
      <c r="G1955" s="28"/>
    </row>
    <row r="1956" spans="1:7">
      <c r="A1956" s="28">
        <v>1955</v>
      </c>
      <c r="B1956" s="28" t="s">
        <v>3089</v>
      </c>
      <c r="C1956" s="28">
        <v>4143014072</v>
      </c>
      <c r="D1956" s="28" t="s">
        <v>3582</v>
      </c>
      <c r="E1956" s="28" t="s">
        <v>3572</v>
      </c>
      <c r="F1956" s="28" t="s">
        <v>1700</v>
      </c>
      <c r="G1956" s="28" t="s">
        <v>1252</v>
      </c>
    </row>
    <row r="1957" spans="1:7">
      <c r="A1957" s="28">
        <v>1956</v>
      </c>
      <c r="B1957" s="28" t="s">
        <v>2435</v>
      </c>
      <c r="C1957" s="28">
        <v>4143014097</v>
      </c>
      <c r="D1957" s="28" t="s">
        <v>3569</v>
      </c>
      <c r="E1957" s="28" t="s">
        <v>3583</v>
      </c>
      <c r="F1957" s="28" t="s">
        <v>1700</v>
      </c>
      <c r="G1957" s="28"/>
    </row>
    <row r="1958" spans="1:7">
      <c r="A1958" s="28">
        <v>1957</v>
      </c>
      <c r="B1958" s="28" t="s">
        <v>3090</v>
      </c>
      <c r="C1958" s="28">
        <v>4143014121</v>
      </c>
      <c r="D1958" s="28" t="s">
        <v>3582</v>
      </c>
      <c r="E1958" s="28" t="s">
        <v>3572</v>
      </c>
      <c r="F1958" s="28" t="s">
        <v>1700</v>
      </c>
      <c r="G1958" s="28" t="s">
        <v>1252</v>
      </c>
    </row>
    <row r="1959" spans="1:7">
      <c r="A1959" s="28">
        <v>1958</v>
      </c>
      <c r="B1959" s="28" t="s">
        <v>3091</v>
      </c>
      <c r="C1959" s="28">
        <v>4143014122</v>
      </c>
      <c r="D1959" s="28" t="s">
        <v>3582</v>
      </c>
      <c r="E1959" s="28" t="s">
        <v>3572</v>
      </c>
      <c r="F1959" s="28" t="s">
        <v>1700</v>
      </c>
      <c r="G1959" s="28" t="s">
        <v>1252</v>
      </c>
    </row>
    <row r="1960" spans="1:7">
      <c r="A1960" s="28">
        <v>1959</v>
      </c>
      <c r="B1960" s="28" t="s">
        <v>2436</v>
      </c>
      <c r="C1960" s="28">
        <v>4143014182</v>
      </c>
      <c r="D1960" s="28" t="s">
        <v>3569</v>
      </c>
      <c r="E1960" s="28" t="s">
        <v>3570</v>
      </c>
      <c r="F1960" s="28" t="s">
        <v>1700</v>
      </c>
      <c r="G1960" s="28"/>
    </row>
    <row r="1961" spans="1:7">
      <c r="A1961" s="28">
        <v>1960</v>
      </c>
      <c r="B1961" s="28" t="s">
        <v>3092</v>
      </c>
      <c r="C1961" s="28">
        <v>4143014309</v>
      </c>
      <c r="D1961" s="28" t="s">
        <v>3582</v>
      </c>
      <c r="E1961" s="28" t="s">
        <v>3579</v>
      </c>
      <c r="F1961" s="28" t="s">
        <v>1700</v>
      </c>
      <c r="G1961" s="28" t="s">
        <v>1252</v>
      </c>
    </row>
    <row r="1962" spans="1:7">
      <c r="A1962" s="28">
        <v>1961</v>
      </c>
      <c r="B1962" s="28" t="s">
        <v>3093</v>
      </c>
      <c r="C1962" s="28">
        <v>4143014310</v>
      </c>
      <c r="D1962" s="28" t="s">
        <v>3582</v>
      </c>
      <c r="E1962" s="28" t="s">
        <v>3576</v>
      </c>
      <c r="F1962" s="28" t="s">
        <v>1700</v>
      </c>
      <c r="G1962" s="28" t="s">
        <v>1252</v>
      </c>
    </row>
    <row r="1963" spans="1:7">
      <c r="A1963" s="28">
        <v>1962</v>
      </c>
      <c r="B1963" s="28" t="s">
        <v>3094</v>
      </c>
      <c r="C1963" s="28">
        <v>4143014322</v>
      </c>
      <c r="D1963" s="28" t="s">
        <v>3582</v>
      </c>
      <c r="E1963" s="28" t="s">
        <v>3572</v>
      </c>
      <c r="F1963" s="28" t="s">
        <v>1700</v>
      </c>
      <c r="G1963" s="28" t="s">
        <v>1252</v>
      </c>
    </row>
    <row r="1964" spans="1:7">
      <c r="A1964" s="28">
        <v>1963</v>
      </c>
      <c r="B1964" s="28" t="s">
        <v>2437</v>
      </c>
      <c r="C1964" s="28">
        <v>4143014358</v>
      </c>
      <c r="D1964" s="28" t="s">
        <v>3569</v>
      </c>
      <c r="E1964" s="28" t="s">
        <v>3572</v>
      </c>
      <c r="F1964" s="28" t="s">
        <v>1700</v>
      </c>
      <c r="G1964" s="28"/>
    </row>
    <row r="1965" spans="1:7">
      <c r="A1965" s="28">
        <v>1964</v>
      </c>
      <c r="B1965" s="28" t="s">
        <v>2438</v>
      </c>
      <c r="C1965" s="28">
        <v>4143014359</v>
      </c>
      <c r="D1965" s="28" t="s">
        <v>3569</v>
      </c>
      <c r="E1965" s="28" t="s">
        <v>3572</v>
      </c>
      <c r="F1965" s="28" t="s">
        <v>1700</v>
      </c>
      <c r="G1965" s="28"/>
    </row>
    <row r="1966" spans="1:7">
      <c r="A1966" s="28">
        <v>1965</v>
      </c>
      <c r="B1966" s="28" t="s">
        <v>2439</v>
      </c>
      <c r="C1966" s="28">
        <v>4143014360</v>
      </c>
      <c r="D1966" s="28" t="s">
        <v>3569</v>
      </c>
      <c r="E1966" s="28" t="s">
        <v>3584</v>
      </c>
      <c r="F1966" s="28" t="s">
        <v>1700</v>
      </c>
      <c r="G1966" s="28"/>
    </row>
    <row r="1967" spans="1:7">
      <c r="A1967" s="28">
        <v>1966</v>
      </c>
      <c r="B1967" s="28" t="s">
        <v>3095</v>
      </c>
      <c r="C1967" s="28">
        <v>4143014406</v>
      </c>
      <c r="D1967" s="28" t="s">
        <v>3582</v>
      </c>
      <c r="E1967" s="28" t="s">
        <v>3570</v>
      </c>
      <c r="F1967" s="28" t="s">
        <v>1700</v>
      </c>
      <c r="G1967" s="28" t="s">
        <v>1252</v>
      </c>
    </row>
    <row r="1968" spans="1:7">
      <c r="A1968" s="28">
        <v>1967</v>
      </c>
      <c r="B1968" s="28" t="s">
        <v>2440</v>
      </c>
      <c r="C1968" s="28">
        <v>4143014468</v>
      </c>
      <c r="D1968" s="28" t="s">
        <v>3569</v>
      </c>
      <c r="E1968" s="28" t="s">
        <v>3579</v>
      </c>
      <c r="F1968" s="28" t="s">
        <v>1700</v>
      </c>
      <c r="G1968" s="28"/>
    </row>
    <row r="1969" spans="1:7">
      <c r="A1969" s="28">
        <v>1968</v>
      </c>
      <c r="B1969" s="28" t="s">
        <v>2441</v>
      </c>
      <c r="C1969" s="28">
        <v>4143014495</v>
      </c>
      <c r="D1969" s="28" t="s">
        <v>3569</v>
      </c>
      <c r="E1969" s="28" t="s">
        <v>3575</v>
      </c>
      <c r="F1969" s="28" t="s">
        <v>1700</v>
      </c>
      <c r="G1969" s="28"/>
    </row>
    <row r="1970" spans="1:7">
      <c r="A1970" s="28">
        <v>1969</v>
      </c>
      <c r="B1970" s="28" t="s">
        <v>2442</v>
      </c>
      <c r="C1970" s="28">
        <v>4143014508</v>
      </c>
      <c r="D1970" s="28" t="s">
        <v>3569</v>
      </c>
      <c r="E1970" s="28" t="s">
        <v>3572</v>
      </c>
      <c r="F1970" s="28" t="s">
        <v>1700</v>
      </c>
      <c r="G1970" s="28"/>
    </row>
    <row r="1971" spans="1:7">
      <c r="A1971" s="28">
        <v>1970</v>
      </c>
      <c r="B1971" s="28" t="s">
        <v>2443</v>
      </c>
      <c r="C1971" s="28">
        <v>4143014663</v>
      </c>
      <c r="D1971" s="28" t="s">
        <v>3569</v>
      </c>
      <c r="E1971" s="28" t="s">
        <v>3578</v>
      </c>
      <c r="F1971" s="28" t="s">
        <v>1700</v>
      </c>
      <c r="G1971" s="28"/>
    </row>
    <row r="1972" spans="1:7">
      <c r="A1972" s="28">
        <v>1971</v>
      </c>
      <c r="B1972" s="28" t="s">
        <v>2444</v>
      </c>
      <c r="C1972" s="28">
        <v>4143014690</v>
      </c>
      <c r="D1972" s="28" t="s">
        <v>3569</v>
      </c>
      <c r="E1972" s="28" t="s">
        <v>3580</v>
      </c>
      <c r="F1972" s="28" t="s">
        <v>1700</v>
      </c>
      <c r="G1972" s="28"/>
    </row>
    <row r="1973" spans="1:7">
      <c r="A1973" s="28">
        <v>1972</v>
      </c>
      <c r="B1973" s="28" t="s">
        <v>2445</v>
      </c>
      <c r="C1973" s="28">
        <v>4143014691</v>
      </c>
      <c r="D1973" s="28" t="s">
        <v>3569</v>
      </c>
      <c r="E1973" s="28" t="s">
        <v>3576</v>
      </c>
      <c r="F1973" s="28" t="s">
        <v>1700</v>
      </c>
      <c r="G1973" s="28"/>
    </row>
    <row r="1974" spans="1:7">
      <c r="A1974" s="28">
        <v>1973</v>
      </c>
      <c r="B1974" s="28" t="s">
        <v>2446</v>
      </c>
      <c r="C1974" s="28">
        <v>4143014692</v>
      </c>
      <c r="D1974" s="28" t="s">
        <v>3569</v>
      </c>
      <c r="E1974" s="28" t="s">
        <v>3572</v>
      </c>
      <c r="F1974" s="28" t="s">
        <v>1700</v>
      </c>
      <c r="G1974" s="28"/>
    </row>
    <row r="1975" spans="1:7">
      <c r="A1975" s="28">
        <v>1974</v>
      </c>
      <c r="B1975" s="28" t="s">
        <v>2803</v>
      </c>
      <c r="C1975" s="28">
        <v>4143014774</v>
      </c>
      <c r="D1975" s="28" t="s">
        <v>3569</v>
      </c>
      <c r="E1975" s="28" t="s">
        <v>3583</v>
      </c>
      <c r="F1975" s="28" t="s">
        <v>1700</v>
      </c>
      <c r="G1975" s="28"/>
    </row>
    <row r="1976" spans="1:7">
      <c r="A1976" s="28">
        <v>1975</v>
      </c>
      <c r="B1976" s="28" t="s">
        <v>2804</v>
      </c>
      <c r="C1976" s="28">
        <v>4143014775</v>
      </c>
      <c r="D1976" s="28" t="s">
        <v>3569</v>
      </c>
      <c r="E1976" s="28" t="s">
        <v>3581</v>
      </c>
      <c r="F1976" s="28" t="s">
        <v>1700</v>
      </c>
      <c r="G1976" s="28"/>
    </row>
    <row r="1977" spans="1:7">
      <c r="A1977" s="28">
        <v>1976</v>
      </c>
      <c r="B1977" s="28" t="s">
        <v>2830</v>
      </c>
      <c r="C1977" s="28">
        <v>4143014814</v>
      </c>
      <c r="D1977" s="28" t="s">
        <v>3569</v>
      </c>
      <c r="E1977" s="28" t="s">
        <v>3579</v>
      </c>
      <c r="F1977" s="28" t="s">
        <v>1700</v>
      </c>
      <c r="G1977" s="28"/>
    </row>
    <row r="1978" spans="1:7">
      <c r="A1978" s="28">
        <v>1977</v>
      </c>
      <c r="B1978" s="28" t="s">
        <v>2831</v>
      </c>
      <c r="C1978" s="28">
        <v>4143014815</v>
      </c>
      <c r="D1978" s="28" t="s">
        <v>3569</v>
      </c>
      <c r="E1978" s="28" t="s">
        <v>3577</v>
      </c>
      <c r="F1978" s="28" t="s">
        <v>1700</v>
      </c>
      <c r="G1978" s="28"/>
    </row>
    <row r="1979" spans="1:7">
      <c r="A1979" s="28">
        <v>1978</v>
      </c>
      <c r="B1979" s="28" t="s">
        <v>3247</v>
      </c>
      <c r="C1979" s="28">
        <v>4143014816</v>
      </c>
      <c r="D1979" s="28" t="s">
        <v>3582</v>
      </c>
      <c r="E1979" s="28" t="s">
        <v>3572</v>
      </c>
      <c r="F1979" s="28" t="s">
        <v>1700</v>
      </c>
      <c r="G1979" s="28" t="s">
        <v>1252</v>
      </c>
    </row>
    <row r="1980" spans="1:7">
      <c r="A1980" s="28">
        <v>1979</v>
      </c>
      <c r="B1980" s="28" t="s">
        <v>3248</v>
      </c>
      <c r="C1980" s="28">
        <v>4143014817</v>
      </c>
      <c r="D1980" s="28" t="s">
        <v>3582</v>
      </c>
      <c r="E1980" s="28" t="s">
        <v>3572</v>
      </c>
      <c r="F1980" s="28" t="s">
        <v>1700</v>
      </c>
      <c r="G1980" s="28" t="s">
        <v>1252</v>
      </c>
    </row>
    <row r="1981" spans="1:7">
      <c r="A1981" s="28">
        <v>1980</v>
      </c>
      <c r="B1981" s="28" t="s">
        <v>3249</v>
      </c>
      <c r="C1981" s="28">
        <v>4143014818</v>
      </c>
      <c r="D1981" s="28" t="s">
        <v>3582</v>
      </c>
      <c r="E1981" s="28" t="s">
        <v>3574</v>
      </c>
      <c r="F1981" s="28" t="s">
        <v>1700</v>
      </c>
      <c r="G1981" s="28" t="s">
        <v>1252</v>
      </c>
    </row>
    <row r="1982" spans="1:7">
      <c r="A1982" s="28">
        <v>1981</v>
      </c>
      <c r="B1982" s="28" t="s">
        <v>3250</v>
      </c>
      <c r="C1982" s="28">
        <v>4143014819</v>
      </c>
      <c r="D1982" s="28" t="s">
        <v>3582</v>
      </c>
      <c r="E1982" s="28" t="s">
        <v>3575</v>
      </c>
      <c r="F1982" s="28" t="s">
        <v>1700</v>
      </c>
      <c r="G1982" s="28" t="s">
        <v>1252</v>
      </c>
    </row>
    <row r="1983" spans="1:7">
      <c r="A1983" s="28">
        <v>1982</v>
      </c>
      <c r="B1983" s="28" t="s">
        <v>3251</v>
      </c>
      <c r="C1983" s="28">
        <v>4143014820</v>
      </c>
      <c r="D1983" s="28" t="s">
        <v>3582</v>
      </c>
      <c r="E1983" s="28" t="s">
        <v>3576</v>
      </c>
      <c r="F1983" s="28" t="s">
        <v>1700</v>
      </c>
      <c r="G1983" s="28" t="s">
        <v>1252</v>
      </c>
    </row>
    <row r="1984" spans="1:7">
      <c r="A1984" s="28">
        <v>1983</v>
      </c>
      <c r="B1984" s="28" t="s">
        <v>2858</v>
      </c>
      <c r="C1984" s="28">
        <v>4143014867</v>
      </c>
      <c r="D1984" s="28" t="s">
        <v>3569</v>
      </c>
      <c r="E1984" s="28" t="s">
        <v>3578</v>
      </c>
      <c r="F1984" s="28" t="s">
        <v>1700</v>
      </c>
      <c r="G1984" s="28"/>
    </row>
    <row r="1985" spans="1:7">
      <c r="A1985" s="28">
        <v>1984</v>
      </c>
      <c r="B1985" s="28" t="s">
        <v>2859</v>
      </c>
      <c r="C1985" s="28">
        <v>4243050812</v>
      </c>
      <c r="D1985" s="28" t="s">
        <v>3569</v>
      </c>
      <c r="E1985" s="28" t="s">
        <v>3570</v>
      </c>
      <c r="F1985" s="28" t="s">
        <v>1700</v>
      </c>
      <c r="G1985" s="28"/>
    </row>
    <row r="1986" spans="1:7">
      <c r="A1986" s="28">
        <v>1985</v>
      </c>
      <c r="B1986" s="28" t="s">
        <v>3274</v>
      </c>
      <c r="C1986" s="28">
        <v>4143014892</v>
      </c>
      <c r="D1986" s="28" t="s">
        <v>3582</v>
      </c>
      <c r="E1986" s="28" t="s">
        <v>3572</v>
      </c>
      <c r="F1986" s="28" t="s">
        <v>1700</v>
      </c>
      <c r="G1986" s="28" t="s">
        <v>1252</v>
      </c>
    </row>
    <row r="1987" spans="1:7">
      <c r="A1987" s="28">
        <v>1986</v>
      </c>
      <c r="B1987" s="28" t="s">
        <v>3277</v>
      </c>
      <c r="C1987" s="28">
        <v>4143014902</v>
      </c>
      <c r="D1987" s="28" t="s">
        <v>3582</v>
      </c>
      <c r="E1987" s="28" t="s">
        <v>3572</v>
      </c>
      <c r="F1987" s="28" t="s">
        <v>1700</v>
      </c>
      <c r="G1987" s="28" t="s">
        <v>1252</v>
      </c>
    </row>
    <row r="1988" spans="1:7">
      <c r="A1988" s="28">
        <v>1987</v>
      </c>
      <c r="B1988" s="28" t="s">
        <v>3278</v>
      </c>
      <c r="C1988" s="28">
        <v>4143014903</v>
      </c>
      <c r="D1988" s="28" t="s">
        <v>3582</v>
      </c>
      <c r="E1988" s="28" t="s">
        <v>3584</v>
      </c>
      <c r="F1988" s="28" t="s">
        <v>1700</v>
      </c>
      <c r="G1988" s="28" t="s">
        <v>1252</v>
      </c>
    </row>
    <row r="1989" spans="1:7">
      <c r="A1989" s="28">
        <v>1988</v>
      </c>
      <c r="B1989" s="28" t="s">
        <v>3279</v>
      </c>
      <c r="C1989" s="28">
        <v>4143014904</v>
      </c>
      <c r="D1989" s="28" t="s">
        <v>3582</v>
      </c>
      <c r="E1989" s="28" t="s">
        <v>3576</v>
      </c>
      <c r="F1989" s="28" t="s">
        <v>1700</v>
      </c>
      <c r="G1989" s="28" t="s">
        <v>1252</v>
      </c>
    </row>
    <row r="1990" spans="1:7">
      <c r="A1990" s="28">
        <v>1989</v>
      </c>
      <c r="B1990" s="28" t="s">
        <v>3280</v>
      </c>
      <c r="C1990" s="28">
        <v>4143014905</v>
      </c>
      <c r="D1990" s="28" t="s">
        <v>3582</v>
      </c>
      <c r="E1990" s="28" t="s">
        <v>3575</v>
      </c>
      <c r="F1990" s="28" t="s">
        <v>1700</v>
      </c>
      <c r="G1990" s="28" t="s">
        <v>1252</v>
      </c>
    </row>
    <row r="1991" spans="1:7">
      <c r="A1991" s="28">
        <v>1990</v>
      </c>
      <c r="B1991" s="28" t="s">
        <v>3298</v>
      </c>
      <c r="C1991" s="28">
        <v>4143014933</v>
      </c>
      <c r="D1991" s="28" t="s">
        <v>3582</v>
      </c>
      <c r="E1991" s="28" t="s">
        <v>3574</v>
      </c>
      <c r="F1991" s="28" t="s">
        <v>1700</v>
      </c>
      <c r="G1991" s="28" t="s">
        <v>1252</v>
      </c>
    </row>
    <row r="1992" spans="1:7">
      <c r="A1992" s="28">
        <v>1991</v>
      </c>
      <c r="B1992" s="28" t="s">
        <v>3299</v>
      </c>
      <c r="C1992" s="28">
        <v>4143014934</v>
      </c>
      <c r="D1992" s="28" t="s">
        <v>3582</v>
      </c>
      <c r="E1992" s="28" t="s">
        <v>3577</v>
      </c>
      <c r="F1992" s="28" t="s">
        <v>1700</v>
      </c>
      <c r="G1992" s="28" t="s">
        <v>1252</v>
      </c>
    </row>
    <row r="1993" spans="1:7">
      <c r="A1993" s="28">
        <v>1992</v>
      </c>
      <c r="B1993" s="28" t="s">
        <v>843</v>
      </c>
      <c r="C1993" s="28">
        <v>4144010558</v>
      </c>
      <c r="D1993" s="28" t="s">
        <v>3309</v>
      </c>
      <c r="E1993" s="28" t="s">
        <v>3587</v>
      </c>
      <c r="F1993" s="28" t="s">
        <v>11</v>
      </c>
      <c r="G1993" s="28"/>
    </row>
    <row r="1994" spans="1:7">
      <c r="A1994" s="28">
        <v>1993</v>
      </c>
      <c r="B1994" s="28" t="s">
        <v>846</v>
      </c>
      <c r="C1994" s="28">
        <v>4144010559</v>
      </c>
      <c r="D1994" s="28" t="s">
        <v>3479</v>
      </c>
      <c r="E1994" s="28" t="s">
        <v>3587</v>
      </c>
      <c r="F1994" s="28" t="s">
        <v>11</v>
      </c>
      <c r="G1994" s="28"/>
    </row>
    <row r="1995" spans="1:7">
      <c r="A1995" s="28">
        <v>1994</v>
      </c>
      <c r="B1995" s="28" t="s">
        <v>847</v>
      </c>
      <c r="C1995" s="28">
        <v>4144010560</v>
      </c>
      <c r="D1995" s="28" t="s">
        <v>3588</v>
      </c>
      <c r="E1995" s="28" t="s">
        <v>3589</v>
      </c>
      <c r="F1995" s="28" t="s">
        <v>11</v>
      </c>
      <c r="G1995" s="28"/>
    </row>
    <row r="1996" spans="1:7">
      <c r="A1996" s="28">
        <v>1995</v>
      </c>
      <c r="B1996" s="28" t="s">
        <v>849</v>
      </c>
      <c r="C1996" s="28">
        <v>4144010561</v>
      </c>
      <c r="D1996" s="28" t="s">
        <v>3309</v>
      </c>
      <c r="E1996" s="28" t="s">
        <v>3587</v>
      </c>
      <c r="F1996" s="28" t="s">
        <v>11</v>
      </c>
      <c r="G1996" s="28"/>
    </row>
    <row r="1997" spans="1:7">
      <c r="A1997" s="28">
        <v>1996</v>
      </c>
      <c r="B1997" s="28" t="s">
        <v>850</v>
      </c>
      <c r="C1997" s="28">
        <v>4144010564</v>
      </c>
      <c r="D1997" s="28" t="s">
        <v>3588</v>
      </c>
      <c r="E1997" s="28" t="s">
        <v>3587</v>
      </c>
      <c r="F1997" s="28" t="s">
        <v>11</v>
      </c>
      <c r="G1997" s="28"/>
    </row>
    <row r="1998" spans="1:7">
      <c r="A1998" s="28">
        <v>1997</v>
      </c>
      <c r="B1998" s="28" t="s">
        <v>851</v>
      </c>
      <c r="C1998" s="28">
        <v>4144010566</v>
      </c>
      <c r="D1998" s="28" t="s">
        <v>3588</v>
      </c>
      <c r="E1998" s="28" t="s">
        <v>3590</v>
      </c>
      <c r="F1998" s="28" t="s">
        <v>11</v>
      </c>
      <c r="G1998" s="28"/>
    </row>
    <row r="1999" spans="1:7">
      <c r="A1999" s="28">
        <v>1998</v>
      </c>
      <c r="B1999" s="28" t="s">
        <v>853</v>
      </c>
      <c r="C1999" s="28">
        <v>4144010570</v>
      </c>
      <c r="D1999" s="28" t="s">
        <v>3588</v>
      </c>
      <c r="E1999" s="28" t="s">
        <v>3587</v>
      </c>
      <c r="F1999" s="28" t="s">
        <v>11</v>
      </c>
      <c r="G1999" s="28"/>
    </row>
    <row r="2000" spans="1:7">
      <c r="A2000" s="28">
        <v>1999</v>
      </c>
      <c r="B2000" s="28" t="s">
        <v>854</v>
      </c>
      <c r="C2000" s="28">
        <v>4144010571</v>
      </c>
      <c r="D2000" s="28" t="s">
        <v>3588</v>
      </c>
      <c r="E2000" s="28" t="s">
        <v>3590</v>
      </c>
      <c r="F2000" s="28" t="s">
        <v>11</v>
      </c>
      <c r="G2000" s="28"/>
    </row>
    <row r="2001" spans="1:7">
      <c r="A2001" s="28">
        <v>2000</v>
      </c>
      <c r="B2001" s="28" t="s">
        <v>855</v>
      </c>
      <c r="C2001" s="28">
        <v>4144010572</v>
      </c>
      <c r="D2001" s="28" t="s">
        <v>3588</v>
      </c>
      <c r="E2001" s="28" t="s">
        <v>3587</v>
      </c>
      <c r="F2001" s="28" t="s">
        <v>11</v>
      </c>
      <c r="G2001" s="28"/>
    </row>
    <row r="2002" spans="1:7">
      <c r="A2002" s="28">
        <v>2001</v>
      </c>
      <c r="B2002" s="28" t="s">
        <v>856</v>
      </c>
      <c r="C2002" s="28">
        <v>4144010573</v>
      </c>
      <c r="D2002" s="28" t="s">
        <v>3588</v>
      </c>
      <c r="E2002" s="28" t="s">
        <v>3587</v>
      </c>
      <c r="F2002" s="28" t="s">
        <v>11</v>
      </c>
      <c r="G2002" s="28"/>
    </row>
    <row r="2003" spans="1:7">
      <c r="A2003" s="28">
        <v>2002</v>
      </c>
      <c r="B2003" s="28" t="s">
        <v>857</v>
      </c>
      <c r="C2003" s="28">
        <v>4144010574</v>
      </c>
      <c r="D2003" s="28" t="s">
        <v>3588</v>
      </c>
      <c r="E2003" s="28" t="s">
        <v>3587</v>
      </c>
      <c r="F2003" s="28" t="s">
        <v>11</v>
      </c>
      <c r="G2003" s="28"/>
    </row>
    <row r="2004" spans="1:7">
      <c r="A2004" s="28">
        <v>2003</v>
      </c>
      <c r="B2004" s="28" t="s">
        <v>858</v>
      </c>
      <c r="C2004" s="28">
        <v>4144010576</v>
      </c>
      <c r="D2004" s="28" t="s">
        <v>3588</v>
      </c>
      <c r="E2004" s="28" t="s">
        <v>3591</v>
      </c>
      <c r="F2004" s="28" t="s">
        <v>11</v>
      </c>
      <c r="G2004" s="28"/>
    </row>
    <row r="2005" spans="1:7">
      <c r="A2005" s="28">
        <v>2004</v>
      </c>
      <c r="B2005" s="28" t="s">
        <v>860</v>
      </c>
      <c r="C2005" s="28">
        <v>4144010577</v>
      </c>
      <c r="D2005" s="28" t="s">
        <v>3588</v>
      </c>
      <c r="E2005" s="28" t="s">
        <v>3592</v>
      </c>
      <c r="F2005" s="28" t="s">
        <v>11</v>
      </c>
      <c r="G2005" s="28"/>
    </row>
    <row r="2006" spans="1:7">
      <c r="A2006" s="28">
        <v>2005</v>
      </c>
      <c r="B2006" s="28" t="s">
        <v>862</v>
      </c>
      <c r="C2006" s="28">
        <v>4144010578</v>
      </c>
      <c r="D2006" s="28" t="s">
        <v>3588</v>
      </c>
      <c r="E2006" s="28" t="s">
        <v>3593</v>
      </c>
      <c r="F2006" s="28" t="s">
        <v>11</v>
      </c>
      <c r="G2006" s="28"/>
    </row>
    <row r="2007" spans="1:7">
      <c r="A2007" s="28">
        <v>2006</v>
      </c>
      <c r="B2007" s="28" t="s">
        <v>864</v>
      </c>
      <c r="C2007" s="28">
        <v>4144010579</v>
      </c>
      <c r="D2007" s="28" t="s">
        <v>3588</v>
      </c>
      <c r="E2007" s="28" t="s">
        <v>3590</v>
      </c>
      <c r="F2007" s="28" t="s">
        <v>11</v>
      </c>
      <c r="G2007" s="28"/>
    </row>
    <row r="2008" spans="1:7">
      <c r="A2008" s="28">
        <v>2007</v>
      </c>
      <c r="B2008" s="28" t="s">
        <v>865</v>
      </c>
      <c r="C2008" s="28">
        <v>4144010580</v>
      </c>
      <c r="D2008" s="28" t="s">
        <v>3588</v>
      </c>
      <c r="E2008" s="28" t="s">
        <v>3594</v>
      </c>
      <c r="F2008" s="28" t="s">
        <v>11</v>
      </c>
      <c r="G2008" s="28"/>
    </row>
    <row r="2009" spans="1:7">
      <c r="A2009" s="28">
        <v>2008</v>
      </c>
      <c r="B2009" s="28" t="s">
        <v>867</v>
      </c>
      <c r="C2009" s="28">
        <v>4144010582</v>
      </c>
      <c r="D2009" s="28" t="s">
        <v>3588</v>
      </c>
      <c r="E2009" s="28" t="s">
        <v>3595</v>
      </c>
      <c r="F2009" s="28" t="s">
        <v>11</v>
      </c>
      <c r="G2009" s="28"/>
    </row>
    <row r="2010" spans="1:7">
      <c r="A2010" s="28">
        <v>2009</v>
      </c>
      <c r="B2010" s="28" t="s">
        <v>869</v>
      </c>
      <c r="C2010" s="28">
        <v>4144010585</v>
      </c>
      <c r="D2010" s="28" t="s">
        <v>3588</v>
      </c>
      <c r="E2010" s="28" t="s">
        <v>3587</v>
      </c>
      <c r="F2010" s="28" t="s">
        <v>11</v>
      </c>
      <c r="G2010" s="28"/>
    </row>
    <row r="2011" spans="1:7">
      <c r="A2011" s="28">
        <v>2010</v>
      </c>
      <c r="B2011" s="28" t="s">
        <v>870</v>
      </c>
      <c r="C2011" s="28">
        <v>4144010586</v>
      </c>
      <c r="D2011" s="28" t="s">
        <v>3588</v>
      </c>
      <c r="E2011" s="28" t="s">
        <v>3587</v>
      </c>
      <c r="F2011" s="28" t="s">
        <v>11</v>
      </c>
      <c r="G2011" s="28"/>
    </row>
    <row r="2012" spans="1:7">
      <c r="A2012" s="28">
        <v>2011</v>
      </c>
      <c r="B2012" s="28" t="s">
        <v>871</v>
      </c>
      <c r="C2012" s="28">
        <v>4144010587</v>
      </c>
      <c r="D2012" s="28" t="s">
        <v>3588</v>
      </c>
      <c r="E2012" s="28" t="s">
        <v>3587</v>
      </c>
      <c r="F2012" s="28" t="s">
        <v>11</v>
      </c>
      <c r="G2012" s="28"/>
    </row>
    <row r="2013" spans="1:7">
      <c r="A2013" s="28">
        <v>2012</v>
      </c>
      <c r="B2013" s="28" t="s">
        <v>872</v>
      </c>
      <c r="C2013" s="28">
        <v>4144010588</v>
      </c>
      <c r="D2013" s="28" t="s">
        <v>3588</v>
      </c>
      <c r="E2013" s="28" t="s">
        <v>3587</v>
      </c>
      <c r="F2013" s="28" t="s">
        <v>11</v>
      </c>
      <c r="G2013" s="28"/>
    </row>
    <row r="2014" spans="1:7">
      <c r="A2014" s="28">
        <v>2013</v>
      </c>
      <c r="B2014" s="28" t="s">
        <v>873</v>
      </c>
      <c r="C2014" s="28">
        <v>4144010590</v>
      </c>
      <c r="D2014" s="28" t="s">
        <v>3588</v>
      </c>
      <c r="E2014" s="28" t="s">
        <v>3596</v>
      </c>
      <c r="F2014" s="28" t="s">
        <v>11</v>
      </c>
      <c r="G2014" s="28"/>
    </row>
    <row r="2015" spans="1:7">
      <c r="A2015" s="28">
        <v>2014</v>
      </c>
      <c r="B2015" s="28" t="s">
        <v>875</v>
      </c>
      <c r="C2015" s="28">
        <v>4144010592</v>
      </c>
      <c r="D2015" s="28" t="s">
        <v>3588</v>
      </c>
      <c r="E2015" s="28" t="s">
        <v>3587</v>
      </c>
      <c r="F2015" s="28" t="s">
        <v>11</v>
      </c>
      <c r="G2015" s="28"/>
    </row>
    <row r="2016" spans="1:7">
      <c r="A2016" s="28">
        <v>2015</v>
      </c>
      <c r="B2016" s="28" t="s">
        <v>1552</v>
      </c>
      <c r="C2016" s="28">
        <v>4144010822</v>
      </c>
      <c r="D2016" s="28" t="s">
        <v>3597</v>
      </c>
      <c r="E2016" s="28" t="s">
        <v>3587</v>
      </c>
      <c r="F2016" s="28" t="s">
        <v>11</v>
      </c>
      <c r="G2016" s="28" t="s">
        <v>1252</v>
      </c>
    </row>
    <row r="2017" spans="1:7">
      <c r="A2017" s="28">
        <v>2016</v>
      </c>
      <c r="B2017" s="28" t="s">
        <v>876</v>
      </c>
      <c r="C2017" s="28">
        <v>4144011078</v>
      </c>
      <c r="D2017" s="28" t="s">
        <v>3588</v>
      </c>
      <c r="E2017" s="28" t="s">
        <v>3587</v>
      </c>
      <c r="F2017" s="28" t="s">
        <v>11</v>
      </c>
      <c r="G2017" s="28"/>
    </row>
    <row r="2018" spans="1:7">
      <c r="A2018" s="28">
        <v>2017</v>
      </c>
      <c r="B2018" s="28" t="s">
        <v>877</v>
      </c>
      <c r="C2018" s="28">
        <v>4144011106</v>
      </c>
      <c r="D2018" s="28" t="s">
        <v>3588</v>
      </c>
      <c r="E2018" s="28" t="s">
        <v>3587</v>
      </c>
      <c r="F2018" s="28" t="s">
        <v>11</v>
      </c>
      <c r="G2018" s="28"/>
    </row>
    <row r="2019" spans="1:7">
      <c r="A2019" s="28">
        <v>2018</v>
      </c>
      <c r="B2019" s="28" t="s">
        <v>878</v>
      </c>
      <c r="C2019" s="28">
        <v>4144011110</v>
      </c>
      <c r="D2019" s="28" t="s">
        <v>3588</v>
      </c>
      <c r="E2019" s="28" t="s">
        <v>3587</v>
      </c>
      <c r="F2019" s="28" t="s">
        <v>11</v>
      </c>
      <c r="G2019" s="28"/>
    </row>
    <row r="2020" spans="1:7">
      <c r="A2020" s="28">
        <v>2019</v>
      </c>
      <c r="B2020" s="28" t="s">
        <v>879</v>
      </c>
      <c r="C2020" s="28">
        <v>4144011347</v>
      </c>
      <c r="D2020" s="28" t="s">
        <v>3588</v>
      </c>
      <c r="E2020" s="28" t="s">
        <v>3587</v>
      </c>
      <c r="F2020" s="28" t="s">
        <v>11</v>
      </c>
      <c r="G2020" s="28"/>
    </row>
    <row r="2021" spans="1:7">
      <c r="A2021" s="28">
        <v>2020</v>
      </c>
      <c r="B2021" s="28" t="s">
        <v>880</v>
      </c>
      <c r="C2021" s="28">
        <v>4144011349</v>
      </c>
      <c r="D2021" s="28" t="s">
        <v>3588</v>
      </c>
      <c r="E2021" s="28" t="s">
        <v>3598</v>
      </c>
      <c r="F2021" s="28" t="s">
        <v>11</v>
      </c>
      <c r="G2021" s="28"/>
    </row>
    <row r="2022" spans="1:7">
      <c r="A2022" s="28">
        <v>2021</v>
      </c>
      <c r="B2022" s="28" t="s">
        <v>882</v>
      </c>
      <c r="C2022" s="28">
        <v>4144011540</v>
      </c>
      <c r="D2022" s="28" t="s">
        <v>3588</v>
      </c>
      <c r="E2022" s="28" t="s">
        <v>3587</v>
      </c>
      <c r="F2022" s="28" t="s">
        <v>11</v>
      </c>
      <c r="G2022" s="28"/>
    </row>
    <row r="2023" spans="1:7">
      <c r="A2023" s="28">
        <v>2022</v>
      </c>
      <c r="B2023" s="28" t="s">
        <v>1553</v>
      </c>
      <c r="C2023" s="28">
        <v>4144011545</v>
      </c>
      <c r="D2023" s="28" t="s">
        <v>3597</v>
      </c>
      <c r="E2023" s="28" t="s">
        <v>3599</v>
      </c>
      <c r="F2023" s="28" t="s">
        <v>11</v>
      </c>
      <c r="G2023" s="28" t="s">
        <v>1252</v>
      </c>
    </row>
    <row r="2024" spans="1:7">
      <c r="A2024" s="28">
        <v>2023</v>
      </c>
      <c r="B2024" s="28" t="s">
        <v>883</v>
      </c>
      <c r="C2024" s="28">
        <v>4144011656</v>
      </c>
      <c r="D2024" s="28" t="s">
        <v>3588</v>
      </c>
      <c r="E2024" s="28" t="s">
        <v>3600</v>
      </c>
      <c r="F2024" s="28" t="s">
        <v>11</v>
      </c>
      <c r="G2024" s="28"/>
    </row>
    <row r="2025" spans="1:7">
      <c r="A2025" s="28">
        <v>2024</v>
      </c>
      <c r="B2025" s="28" t="s">
        <v>885</v>
      </c>
      <c r="C2025" s="28">
        <v>4144011819</v>
      </c>
      <c r="D2025" s="28" t="s">
        <v>3588</v>
      </c>
      <c r="E2025" s="28" t="s">
        <v>3601</v>
      </c>
      <c r="F2025" s="28" t="s">
        <v>11</v>
      </c>
      <c r="G2025" s="28"/>
    </row>
    <row r="2026" spans="1:7">
      <c r="A2026" s="28">
        <v>2025</v>
      </c>
      <c r="B2026" s="28" t="s">
        <v>887</v>
      </c>
      <c r="C2026" s="28">
        <v>4144011845</v>
      </c>
      <c r="D2026" s="28" t="s">
        <v>3588</v>
      </c>
      <c r="E2026" s="28" t="s">
        <v>3587</v>
      </c>
      <c r="F2026" s="28" t="s">
        <v>11</v>
      </c>
      <c r="G2026" s="28"/>
    </row>
    <row r="2027" spans="1:7">
      <c r="A2027" s="28">
        <v>2026</v>
      </c>
      <c r="B2027" s="28" t="s">
        <v>888</v>
      </c>
      <c r="C2027" s="28">
        <v>4144011846</v>
      </c>
      <c r="D2027" s="28" t="s">
        <v>3588</v>
      </c>
      <c r="E2027" s="28" t="s">
        <v>3587</v>
      </c>
      <c r="F2027" s="28" t="s">
        <v>11</v>
      </c>
      <c r="G2027" s="28"/>
    </row>
    <row r="2028" spans="1:7">
      <c r="A2028" s="28">
        <v>2027</v>
      </c>
      <c r="B2028" s="28" t="s">
        <v>889</v>
      </c>
      <c r="C2028" s="28">
        <v>4144011847</v>
      </c>
      <c r="D2028" s="28" t="s">
        <v>3588</v>
      </c>
      <c r="E2028" s="28" t="s">
        <v>3602</v>
      </c>
      <c r="F2028" s="28" t="s">
        <v>11</v>
      </c>
      <c r="G2028" s="28"/>
    </row>
    <row r="2029" spans="1:7">
      <c r="A2029" s="28">
        <v>2028</v>
      </c>
      <c r="B2029" s="28" t="s">
        <v>1555</v>
      </c>
      <c r="C2029" s="28">
        <v>4144012059</v>
      </c>
      <c r="D2029" s="28" t="s">
        <v>3597</v>
      </c>
      <c r="E2029" s="28" t="s">
        <v>3587</v>
      </c>
      <c r="F2029" s="28" t="s">
        <v>11</v>
      </c>
      <c r="G2029" s="28" t="s">
        <v>1252</v>
      </c>
    </row>
    <row r="2030" spans="1:7">
      <c r="A2030" s="28">
        <v>2029</v>
      </c>
      <c r="B2030" s="28" t="s">
        <v>891</v>
      </c>
      <c r="C2030" s="28">
        <v>4144012121</v>
      </c>
      <c r="D2030" s="28" t="s">
        <v>3588</v>
      </c>
      <c r="E2030" s="28" t="s">
        <v>3587</v>
      </c>
      <c r="F2030" s="28" t="s">
        <v>11</v>
      </c>
      <c r="G2030" s="28"/>
    </row>
    <row r="2031" spans="1:7">
      <c r="A2031" s="28">
        <v>2030</v>
      </c>
      <c r="B2031" s="28" t="s">
        <v>1556</v>
      </c>
      <c r="C2031" s="28">
        <v>4144012574</v>
      </c>
      <c r="D2031" s="28" t="s">
        <v>3597</v>
      </c>
      <c r="E2031" s="28" t="s">
        <v>3602</v>
      </c>
      <c r="F2031" s="28" t="s">
        <v>11</v>
      </c>
      <c r="G2031" s="28" t="s">
        <v>1252</v>
      </c>
    </row>
    <row r="2032" spans="1:7">
      <c r="A2032" s="28">
        <v>2031</v>
      </c>
      <c r="B2032" s="28" t="s">
        <v>1557</v>
      </c>
      <c r="C2032" s="28">
        <v>4144012617</v>
      </c>
      <c r="D2032" s="28" t="s">
        <v>3597</v>
      </c>
      <c r="E2032" s="28" t="s">
        <v>3587</v>
      </c>
      <c r="F2032" s="28" t="s">
        <v>11</v>
      </c>
      <c r="G2032" s="28" t="s">
        <v>1252</v>
      </c>
    </row>
    <row r="2033" spans="1:7">
      <c r="A2033" s="28">
        <v>2032</v>
      </c>
      <c r="B2033" s="28" t="s">
        <v>1558</v>
      </c>
      <c r="C2033" s="28">
        <v>4144012618</v>
      </c>
      <c r="D2033" s="28" t="s">
        <v>3597</v>
      </c>
      <c r="E2033" s="28" t="s">
        <v>3587</v>
      </c>
      <c r="F2033" s="28" t="s">
        <v>11</v>
      </c>
      <c r="G2033" s="28" t="s">
        <v>1252</v>
      </c>
    </row>
    <row r="2034" spans="1:7">
      <c r="A2034" s="28">
        <v>2033</v>
      </c>
      <c r="B2034" s="28" t="s">
        <v>1559</v>
      </c>
      <c r="C2034" s="28">
        <v>4144012619</v>
      </c>
      <c r="D2034" s="28" t="s">
        <v>3597</v>
      </c>
      <c r="E2034" s="28" t="s">
        <v>3587</v>
      </c>
      <c r="F2034" s="28" t="s">
        <v>11</v>
      </c>
      <c r="G2034" s="28" t="s">
        <v>1252</v>
      </c>
    </row>
    <row r="2035" spans="1:7">
      <c r="A2035" s="28">
        <v>2034</v>
      </c>
      <c r="B2035" s="28" t="s">
        <v>1560</v>
      </c>
      <c r="C2035" s="28">
        <v>4144012620</v>
      </c>
      <c r="D2035" s="28" t="s">
        <v>3597</v>
      </c>
      <c r="E2035" s="28" t="s">
        <v>3587</v>
      </c>
      <c r="F2035" s="28" t="s">
        <v>11</v>
      </c>
      <c r="G2035" s="28" t="s">
        <v>1252</v>
      </c>
    </row>
    <row r="2036" spans="1:7">
      <c r="A2036" s="28">
        <v>2035</v>
      </c>
      <c r="B2036" s="28" t="s">
        <v>1561</v>
      </c>
      <c r="C2036" s="28">
        <v>4144012621</v>
      </c>
      <c r="D2036" s="28" t="s">
        <v>3597</v>
      </c>
      <c r="E2036" s="28" t="s">
        <v>3587</v>
      </c>
      <c r="F2036" s="28" t="s">
        <v>11</v>
      </c>
      <c r="G2036" s="28" t="s">
        <v>1252</v>
      </c>
    </row>
    <row r="2037" spans="1:7">
      <c r="A2037" s="28">
        <v>2036</v>
      </c>
      <c r="B2037" s="28" t="s">
        <v>1562</v>
      </c>
      <c r="C2037" s="28">
        <v>4144012622</v>
      </c>
      <c r="D2037" s="28" t="s">
        <v>3597</v>
      </c>
      <c r="E2037" s="28" t="s">
        <v>3590</v>
      </c>
      <c r="F2037" s="28" t="s">
        <v>11</v>
      </c>
      <c r="G2037" s="28" t="s">
        <v>1252</v>
      </c>
    </row>
    <row r="2038" spans="1:7">
      <c r="A2038" s="28">
        <v>2037</v>
      </c>
      <c r="B2038" s="28" t="s">
        <v>1563</v>
      </c>
      <c r="C2038" s="28">
        <v>4144012623</v>
      </c>
      <c r="D2038" s="28" t="s">
        <v>3597</v>
      </c>
      <c r="E2038" s="28" t="s">
        <v>3587</v>
      </c>
      <c r="F2038" s="28" t="s">
        <v>11</v>
      </c>
      <c r="G2038" s="28" t="s">
        <v>1252</v>
      </c>
    </row>
    <row r="2039" spans="1:7">
      <c r="A2039" s="28">
        <v>2038</v>
      </c>
      <c r="B2039" s="28" t="s">
        <v>1564</v>
      </c>
      <c r="C2039" s="28">
        <v>4144012668</v>
      </c>
      <c r="D2039" s="28" t="s">
        <v>3597</v>
      </c>
      <c r="E2039" s="28" t="s">
        <v>3587</v>
      </c>
      <c r="F2039" s="28" t="s">
        <v>11</v>
      </c>
      <c r="G2039" s="28" t="s">
        <v>1252</v>
      </c>
    </row>
    <row r="2040" spans="1:7">
      <c r="A2040" s="28">
        <v>2039</v>
      </c>
      <c r="B2040" s="28" t="s">
        <v>3603</v>
      </c>
      <c r="C2040" s="28">
        <v>4144013177</v>
      </c>
      <c r="D2040" s="28" t="s">
        <v>3597</v>
      </c>
      <c r="E2040" s="28" t="s">
        <v>3604</v>
      </c>
      <c r="F2040" s="28" t="s">
        <v>11</v>
      </c>
      <c r="G2040" s="28" t="s">
        <v>1252</v>
      </c>
    </row>
    <row r="2041" spans="1:7">
      <c r="A2041" s="28">
        <v>2040</v>
      </c>
      <c r="B2041" s="28" t="s">
        <v>1565</v>
      </c>
      <c r="C2041" s="28">
        <v>4144013656</v>
      </c>
      <c r="D2041" s="28" t="s">
        <v>3597</v>
      </c>
      <c r="E2041" s="28" t="s">
        <v>3587</v>
      </c>
      <c r="F2041" s="28" t="s">
        <v>11</v>
      </c>
      <c r="G2041" s="28" t="s">
        <v>1252</v>
      </c>
    </row>
    <row r="2042" spans="1:7">
      <c r="A2042" s="28">
        <v>2041</v>
      </c>
      <c r="B2042" s="28" t="s">
        <v>1566</v>
      </c>
      <c r="C2042" s="28">
        <v>4144013657</v>
      </c>
      <c r="D2042" s="28" t="s">
        <v>3597</v>
      </c>
      <c r="E2042" s="28" t="s">
        <v>3587</v>
      </c>
      <c r="F2042" s="28" t="s">
        <v>11</v>
      </c>
      <c r="G2042" s="28" t="s">
        <v>1252</v>
      </c>
    </row>
    <row r="2043" spans="1:7">
      <c r="A2043" s="28">
        <v>2042</v>
      </c>
      <c r="B2043" s="28" t="s">
        <v>1567</v>
      </c>
      <c r="C2043" s="28">
        <v>4144013667</v>
      </c>
      <c r="D2043" s="28" t="s">
        <v>3597</v>
      </c>
      <c r="E2043" s="28" t="s">
        <v>3587</v>
      </c>
      <c r="F2043" s="28" t="s">
        <v>11</v>
      </c>
      <c r="G2043" s="28" t="s">
        <v>1252</v>
      </c>
    </row>
    <row r="2044" spans="1:7">
      <c r="A2044" s="28">
        <v>2043</v>
      </c>
      <c r="B2044" s="28" t="s">
        <v>1568</v>
      </c>
      <c r="C2044" s="28">
        <v>4144013675</v>
      </c>
      <c r="D2044" s="28" t="s">
        <v>3597</v>
      </c>
      <c r="E2044" s="28" t="s">
        <v>3604</v>
      </c>
      <c r="F2044" s="28" t="s">
        <v>11</v>
      </c>
      <c r="G2044" s="28" t="s">
        <v>1252</v>
      </c>
    </row>
    <row r="2045" spans="1:7">
      <c r="A2045" s="28">
        <v>2044</v>
      </c>
      <c r="B2045" s="28" t="s">
        <v>1570</v>
      </c>
      <c r="C2045" s="28">
        <v>4144013684</v>
      </c>
      <c r="D2045" s="28" t="s">
        <v>3597</v>
      </c>
      <c r="E2045" s="28" t="s">
        <v>3604</v>
      </c>
      <c r="F2045" s="28" t="s">
        <v>11</v>
      </c>
      <c r="G2045" s="28" t="s">
        <v>1252</v>
      </c>
    </row>
    <row r="2046" spans="1:7">
      <c r="A2046" s="28">
        <v>2045</v>
      </c>
      <c r="B2046" s="28" t="s">
        <v>1571</v>
      </c>
      <c r="C2046" s="28">
        <v>4144013714</v>
      </c>
      <c r="D2046" s="28" t="s">
        <v>3597</v>
      </c>
      <c r="E2046" s="28" t="s">
        <v>3587</v>
      </c>
      <c r="F2046" s="28" t="s">
        <v>11</v>
      </c>
      <c r="G2046" s="28" t="s">
        <v>1252</v>
      </c>
    </row>
    <row r="2047" spans="1:7">
      <c r="A2047" s="28">
        <v>2046</v>
      </c>
      <c r="B2047" s="28" t="s">
        <v>1572</v>
      </c>
      <c r="C2047" s="28">
        <v>4144013717</v>
      </c>
      <c r="D2047" s="28" t="s">
        <v>3597</v>
      </c>
      <c r="E2047" s="28" t="s">
        <v>3587</v>
      </c>
      <c r="F2047" s="28" t="s">
        <v>11</v>
      </c>
      <c r="G2047" s="28" t="s">
        <v>1252</v>
      </c>
    </row>
    <row r="2048" spans="1:7">
      <c r="A2048" s="28">
        <v>2047</v>
      </c>
      <c r="B2048" s="28" t="s">
        <v>1573</v>
      </c>
      <c r="C2048" s="28">
        <v>4144013719</v>
      </c>
      <c r="D2048" s="28" t="s">
        <v>3597</v>
      </c>
      <c r="E2048" s="28" t="s">
        <v>3601</v>
      </c>
      <c r="F2048" s="28" t="s">
        <v>11</v>
      </c>
      <c r="G2048" s="28" t="s">
        <v>1252</v>
      </c>
    </row>
    <row r="2049" spans="1:7">
      <c r="A2049" s="28">
        <v>2048</v>
      </c>
      <c r="B2049" s="28" t="s">
        <v>1574</v>
      </c>
      <c r="C2049" s="28">
        <v>4144013720</v>
      </c>
      <c r="D2049" s="28" t="s">
        <v>3597</v>
      </c>
      <c r="E2049" s="28" t="s">
        <v>3594</v>
      </c>
      <c r="F2049" s="28" t="s">
        <v>11</v>
      </c>
      <c r="G2049" s="28" t="s">
        <v>1252</v>
      </c>
    </row>
    <row r="2050" spans="1:7">
      <c r="A2050" s="28">
        <v>2049</v>
      </c>
      <c r="B2050" s="28" t="s">
        <v>1575</v>
      </c>
      <c r="C2050" s="28">
        <v>4144013721</v>
      </c>
      <c r="D2050" s="28" t="s">
        <v>3597</v>
      </c>
      <c r="E2050" s="28" t="s">
        <v>3594</v>
      </c>
      <c r="F2050" s="28" t="s">
        <v>11</v>
      </c>
      <c r="G2050" s="28" t="s">
        <v>1252</v>
      </c>
    </row>
    <row r="2051" spans="1:7">
      <c r="A2051" s="28">
        <v>2050</v>
      </c>
      <c r="B2051" s="28" t="s">
        <v>1576</v>
      </c>
      <c r="C2051" s="28">
        <v>4144013844</v>
      </c>
      <c r="D2051" s="28" t="s">
        <v>3597</v>
      </c>
      <c r="E2051" s="28" t="s">
        <v>3601</v>
      </c>
      <c r="F2051" s="28" t="s">
        <v>11</v>
      </c>
      <c r="G2051" s="28" t="s">
        <v>1252</v>
      </c>
    </row>
    <row r="2052" spans="1:7">
      <c r="A2052" s="28">
        <v>2051</v>
      </c>
      <c r="B2052" s="28" t="s">
        <v>1577</v>
      </c>
      <c r="C2052" s="28">
        <v>4144013902</v>
      </c>
      <c r="D2052" s="28" t="s">
        <v>3597</v>
      </c>
      <c r="E2052" s="28" t="s">
        <v>3587</v>
      </c>
      <c r="F2052" s="28" t="s">
        <v>11</v>
      </c>
      <c r="G2052" s="28" t="s">
        <v>1252</v>
      </c>
    </row>
    <row r="2053" spans="1:7">
      <c r="A2053" s="28">
        <v>2052</v>
      </c>
      <c r="B2053" s="28" t="s">
        <v>892</v>
      </c>
      <c r="C2053" s="28">
        <v>4144014278</v>
      </c>
      <c r="D2053" s="28" t="s">
        <v>3588</v>
      </c>
      <c r="E2053" s="28" t="s">
        <v>3587</v>
      </c>
      <c r="F2053" s="28" t="s">
        <v>11</v>
      </c>
      <c r="G2053" s="28"/>
    </row>
    <row r="2054" spans="1:7">
      <c r="A2054" s="28">
        <v>2053</v>
      </c>
      <c r="B2054" s="28" t="s">
        <v>893</v>
      </c>
      <c r="C2054" s="28">
        <v>4144014325</v>
      </c>
      <c r="D2054" s="28" t="s">
        <v>3588</v>
      </c>
      <c r="E2054" s="28" t="s">
        <v>3596</v>
      </c>
      <c r="F2054" s="28" t="s">
        <v>11</v>
      </c>
      <c r="G2054" s="28"/>
    </row>
    <row r="2055" spans="1:7">
      <c r="A2055" s="28">
        <v>2054</v>
      </c>
      <c r="B2055" s="28" t="s">
        <v>894</v>
      </c>
      <c r="C2055" s="28">
        <v>4144014655</v>
      </c>
      <c r="D2055" s="28" t="s">
        <v>3588</v>
      </c>
      <c r="E2055" s="28" t="s">
        <v>3596</v>
      </c>
      <c r="F2055" s="28" t="s">
        <v>11</v>
      </c>
      <c r="G2055" s="28"/>
    </row>
    <row r="2056" spans="1:7">
      <c r="A2056" s="28">
        <v>2055</v>
      </c>
      <c r="B2056" s="28" t="s">
        <v>3605</v>
      </c>
      <c r="C2056" s="28">
        <v>4144016401</v>
      </c>
      <c r="D2056" s="28" t="s">
        <v>3597</v>
      </c>
      <c r="E2056" s="28" t="s">
        <v>3604</v>
      </c>
      <c r="F2056" s="28" t="s">
        <v>11</v>
      </c>
      <c r="G2056" s="28" t="s">
        <v>3424</v>
      </c>
    </row>
    <row r="2057" spans="1:7">
      <c r="A2057" s="28">
        <v>2056</v>
      </c>
      <c r="B2057" s="28" t="s">
        <v>1684</v>
      </c>
      <c r="C2057" s="28">
        <v>4144016412</v>
      </c>
      <c r="D2057" s="28" t="s">
        <v>3597</v>
      </c>
      <c r="E2057" s="28" t="s">
        <v>3587</v>
      </c>
      <c r="F2057" s="28" t="s">
        <v>11</v>
      </c>
      <c r="G2057" s="28" t="s">
        <v>3424</v>
      </c>
    </row>
    <row r="2058" spans="1:7">
      <c r="A2058" s="28">
        <v>2057</v>
      </c>
      <c r="B2058" s="28" t="s">
        <v>1683</v>
      </c>
      <c r="C2058" s="28">
        <v>4144016407</v>
      </c>
      <c r="D2058" s="28" t="s">
        <v>3597</v>
      </c>
      <c r="E2058" s="28" t="s">
        <v>3596</v>
      </c>
      <c r="F2058" s="28" t="s">
        <v>11</v>
      </c>
      <c r="G2058" s="28" t="s">
        <v>3424</v>
      </c>
    </row>
    <row r="2059" spans="1:7">
      <c r="A2059" s="28">
        <v>2058</v>
      </c>
      <c r="B2059" s="28" t="s">
        <v>1693</v>
      </c>
      <c r="C2059" s="28">
        <v>4144016409</v>
      </c>
      <c r="D2059" s="28" t="s">
        <v>3597</v>
      </c>
      <c r="E2059" s="28" t="s">
        <v>3596</v>
      </c>
      <c r="F2059" s="28" t="s">
        <v>11</v>
      </c>
      <c r="G2059" s="28" t="s">
        <v>3424</v>
      </c>
    </row>
    <row r="2060" spans="1:7">
      <c r="A2060" s="28">
        <v>2059</v>
      </c>
      <c r="B2060" s="28" t="s">
        <v>1694</v>
      </c>
      <c r="C2060" s="28">
        <v>4144016410</v>
      </c>
      <c r="D2060" s="28" t="s">
        <v>3597</v>
      </c>
      <c r="E2060" s="28" t="s">
        <v>3589</v>
      </c>
      <c r="F2060" s="28" t="s">
        <v>11</v>
      </c>
      <c r="G2060" s="28" t="s">
        <v>3424</v>
      </c>
    </row>
    <row r="2061" spans="1:7">
      <c r="A2061" s="28">
        <v>2060</v>
      </c>
      <c r="B2061" s="28" t="s">
        <v>1685</v>
      </c>
      <c r="C2061" s="28">
        <v>4144014851</v>
      </c>
      <c r="D2061" s="28" t="s">
        <v>3597</v>
      </c>
      <c r="E2061" s="28" t="s">
        <v>3601</v>
      </c>
      <c r="F2061" s="28" t="s">
        <v>11</v>
      </c>
      <c r="G2061" s="28" t="s">
        <v>3424</v>
      </c>
    </row>
    <row r="2062" spans="1:7">
      <c r="A2062" s="28">
        <v>2061</v>
      </c>
      <c r="B2062" s="28" t="s">
        <v>897</v>
      </c>
      <c r="C2062" s="28">
        <v>4144011113</v>
      </c>
      <c r="D2062" s="28" t="s">
        <v>3588</v>
      </c>
      <c r="E2062" s="28" t="s">
        <v>3596</v>
      </c>
      <c r="F2062" s="28" t="s">
        <v>11</v>
      </c>
      <c r="G2062" s="28"/>
    </row>
    <row r="2063" spans="1:7">
      <c r="A2063" s="28">
        <v>2062</v>
      </c>
      <c r="B2063" s="28" t="s">
        <v>1243</v>
      </c>
      <c r="C2063" s="28">
        <v>4144014880</v>
      </c>
      <c r="D2063" s="28" t="s">
        <v>3588</v>
      </c>
      <c r="E2063" s="28" t="s">
        <v>3596</v>
      </c>
      <c r="F2063" s="28" t="s">
        <v>11</v>
      </c>
      <c r="G2063" s="28"/>
    </row>
    <row r="2064" spans="1:7">
      <c r="A2064" s="28">
        <v>2063</v>
      </c>
      <c r="B2064" s="28" t="s">
        <v>900</v>
      </c>
      <c r="C2064" s="28">
        <v>4144013810</v>
      </c>
      <c r="D2064" s="28" t="s">
        <v>3588</v>
      </c>
      <c r="E2064" s="28" t="s">
        <v>3594</v>
      </c>
      <c r="F2064" s="28" t="s">
        <v>11</v>
      </c>
      <c r="G2064" s="28"/>
    </row>
    <row r="2065" spans="1:7">
      <c r="A2065" s="28">
        <v>2064</v>
      </c>
      <c r="B2065" s="28" t="s">
        <v>896</v>
      </c>
      <c r="C2065" s="28">
        <v>4144010833</v>
      </c>
      <c r="D2065" s="28" t="s">
        <v>3588</v>
      </c>
      <c r="E2065" s="28" t="s">
        <v>3587</v>
      </c>
      <c r="F2065" s="28" t="s">
        <v>11</v>
      </c>
      <c r="G2065" s="28"/>
    </row>
    <row r="2066" spans="1:7">
      <c r="A2066" s="28">
        <v>2065</v>
      </c>
      <c r="B2066" s="28" t="s">
        <v>895</v>
      </c>
      <c r="C2066" s="28">
        <v>4144010831</v>
      </c>
      <c r="D2066" s="28" t="s">
        <v>3588</v>
      </c>
      <c r="E2066" s="28" t="s">
        <v>3602</v>
      </c>
      <c r="F2066" s="28" t="s">
        <v>11</v>
      </c>
      <c r="G2066" s="28"/>
    </row>
    <row r="2067" spans="1:7">
      <c r="A2067" s="28">
        <v>2066</v>
      </c>
      <c r="B2067" s="28" t="s">
        <v>898</v>
      </c>
      <c r="C2067" s="28">
        <v>4144012046</v>
      </c>
      <c r="D2067" s="28" t="s">
        <v>3588</v>
      </c>
      <c r="E2067" s="28" t="s">
        <v>3587</v>
      </c>
      <c r="F2067" s="28" t="s">
        <v>11</v>
      </c>
      <c r="G2067" s="28"/>
    </row>
    <row r="2068" spans="1:7">
      <c r="A2068" s="28">
        <v>2067</v>
      </c>
      <c r="B2068" s="28" t="s">
        <v>899</v>
      </c>
      <c r="C2068" s="28">
        <v>4144012957</v>
      </c>
      <c r="D2068" s="28" t="s">
        <v>3588</v>
      </c>
      <c r="E2068" s="28" t="s">
        <v>3596</v>
      </c>
      <c r="F2068" s="28" t="s">
        <v>11</v>
      </c>
      <c r="G2068" s="28"/>
    </row>
    <row r="2069" spans="1:7">
      <c r="A2069" s="28">
        <v>2068</v>
      </c>
      <c r="B2069" s="28" t="s">
        <v>1247</v>
      </c>
      <c r="C2069" s="28">
        <v>4144014942</v>
      </c>
      <c r="D2069" s="28" t="s">
        <v>3588</v>
      </c>
      <c r="E2069" s="28" t="s">
        <v>3601</v>
      </c>
      <c r="F2069" s="28" t="s">
        <v>11</v>
      </c>
      <c r="G2069" s="28"/>
    </row>
    <row r="2070" spans="1:7">
      <c r="A2070" s="28">
        <v>2069</v>
      </c>
      <c r="B2070" s="28" t="s">
        <v>2447</v>
      </c>
      <c r="C2070" s="28">
        <v>4144010861</v>
      </c>
      <c r="D2070" s="28" t="s">
        <v>3588</v>
      </c>
      <c r="E2070" s="28" t="s">
        <v>3587</v>
      </c>
      <c r="F2070" s="28" t="s">
        <v>1700</v>
      </c>
      <c r="G2070" s="28"/>
    </row>
    <row r="2071" spans="1:7">
      <c r="A2071" s="28">
        <v>2070</v>
      </c>
      <c r="B2071" s="28" t="s">
        <v>2448</v>
      </c>
      <c r="C2071" s="28">
        <v>4144010862</v>
      </c>
      <c r="D2071" s="28" t="s">
        <v>3588</v>
      </c>
      <c r="E2071" s="28" t="s">
        <v>3587</v>
      </c>
      <c r="F2071" s="28" t="s">
        <v>1700</v>
      </c>
      <c r="G2071" s="28"/>
    </row>
    <row r="2072" spans="1:7">
      <c r="A2072" s="28">
        <v>2071</v>
      </c>
      <c r="B2072" s="28" t="s">
        <v>3096</v>
      </c>
      <c r="C2072" s="28">
        <v>4144010965</v>
      </c>
      <c r="D2072" s="28" t="s">
        <v>3597</v>
      </c>
      <c r="E2072" s="28" t="s">
        <v>3606</v>
      </c>
      <c r="F2072" s="28" t="s">
        <v>1700</v>
      </c>
      <c r="G2072" s="28" t="s">
        <v>1252</v>
      </c>
    </row>
    <row r="2073" spans="1:7">
      <c r="A2073" s="28">
        <v>2072</v>
      </c>
      <c r="B2073" s="28" t="s">
        <v>2449</v>
      </c>
      <c r="C2073" s="28">
        <v>4144011114</v>
      </c>
      <c r="D2073" s="28" t="s">
        <v>3588</v>
      </c>
      <c r="E2073" s="28" t="s">
        <v>3587</v>
      </c>
      <c r="F2073" s="28" t="s">
        <v>1700</v>
      </c>
      <c r="G2073" s="28"/>
    </row>
    <row r="2074" spans="1:7">
      <c r="A2074" s="28">
        <v>2073</v>
      </c>
      <c r="B2074" s="28" t="s">
        <v>3097</v>
      </c>
      <c r="C2074" s="28">
        <v>4144011121</v>
      </c>
      <c r="D2074" s="28" t="s">
        <v>3597</v>
      </c>
      <c r="E2074" s="28" t="s">
        <v>3587</v>
      </c>
      <c r="F2074" s="28" t="s">
        <v>1700</v>
      </c>
      <c r="G2074" s="28" t="s">
        <v>1252</v>
      </c>
    </row>
    <row r="2075" spans="1:7">
      <c r="A2075" s="28">
        <v>2074</v>
      </c>
      <c r="B2075" s="28" t="s">
        <v>2450</v>
      </c>
      <c r="C2075" s="28">
        <v>4144012040</v>
      </c>
      <c r="D2075" s="28" t="s">
        <v>3327</v>
      </c>
      <c r="E2075" s="28" t="s">
        <v>3587</v>
      </c>
      <c r="F2075" s="28" t="s">
        <v>1700</v>
      </c>
      <c r="G2075" s="28"/>
    </row>
    <row r="2076" spans="1:7">
      <c r="A2076" s="28">
        <v>2075</v>
      </c>
      <c r="B2076" s="28" t="s">
        <v>2451</v>
      </c>
      <c r="C2076" s="28">
        <v>4144012060</v>
      </c>
      <c r="D2076" s="28" t="s">
        <v>3588</v>
      </c>
      <c r="E2076" s="28" t="s">
        <v>3591</v>
      </c>
      <c r="F2076" s="28" t="s">
        <v>1700</v>
      </c>
      <c r="G2076" s="28"/>
    </row>
    <row r="2077" spans="1:7">
      <c r="A2077" s="28">
        <v>2076</v>
      </c>
      <c r="B2077" s="28" t="s">
        <v>2452</v>
      </c>
      <c r="C2077" s="28">
        <v>4144012322</v>
      </c>
      <c r="D2077" s="28" t="s">
        <v>3588</v>
      </c>
      <c r="E2077" s="28" t="s">
        <v>3587</v>
      </c>
      <c r="F2077" s="28" t="s">
        <v>1700</v>
      </c>
      <c r="G2077" s="28"/>
    </row>
    <row r="2078" spans="1:7">
      <c r="A2078" s="28">
        <v>2077</v>
      </c>
      <c r="B2078" s="28" t="s">
        <v>3098</v>
      </c>
      <c r="C2078" s="28">
        <v>4144012325</v>
      </c>
      <c r="D2078" s="28" t="s">
        <v>3597</v>
      </c>
      <c r="E2078" s="28" t="s">
        <v>3596</v>
      </c>
      <c r="F2078" s="28" t="s">
        <v>1700</v>
      </c>
      <c r="G2078" s="28" t="s">
        <v>1252</v>
      </c>
    </row>
    <row r="2079" spans="1:7">
      <c r="A2079" s="28">
        <v>2078</v>
      </c>
      <c r="B2079" s="28" t="s">
        <v>2453</v>
      </c>
      <c r="C2079" s="28">
        <v>4144012327</v>
      </c>
      <c r="D2079" s="28" t="s">
        <v>3588</v>
      </c>
      <c r="E2079" s="28" t="s">
        <v>3602</v>
      </c>
      <c r="F2079" s="28" t="s">
        <v>1700</v>
      </c>
      <c r="G2079" s="28"/>
    </row>
    <row r="2080" spans="1:7">
      <c r="A2080" s="28">
        <v>2079</v>
      </c>
      <c r="B2080" s="28" t="s">
        <v>2454</v>
      </c>
      <c r="C2080" s="28">
        <v>4144012572</v>
      </c>
      <c r="D2080" s="28" t="s">
        <v>3588</v>
      </c>
      <c r="E2080" s="28" t="s">
        <v>3587</v>
      </c>
      <c r="F2080" s="28" t="s">
        <v>1700</v>
      </c>
      <c r="G2080" s="28"/>
    </row>
    <row r="2081" spans="1:7">
      <c r="A2081" s="28">
        <v>2080</v>
      </c>
      <c r="B2081" s="28" t="s">
        <v>2455</v>
      </c>
      <c r="C2081" s="28">
        <v>4144012573</v>
      </c>
      <c r="D2081" s="28" t="s">
        <v>3588</v>
      </c>
      <c r="E2081" s="28" t="s">
        <v>3587</v>
      </c>
      <c r="F2081" s="28" t="s">
        <v>1700</v>
      </c>
      <c r="G2081" s="28"/>
    </row>
    <row r="2082" spans="1:7">
      <c r="A2082" s="28">
        <v>2081</v>
      </c>
      <c r="B2082" s="28" t="s">
        <v>3099</v>
      </c>
      <c r="C2082" s="28">
        <v>4144012575</v>
      </c>
      <c r="D2082" s="28" t="s">
        <v>3597</v>
      </c>
      <c r="E2082" s="28" t="s">
        <v>3587</v>
      </c>
      <c r="F2082" s="28" t="s">
        <v>1700</v>
      </c>
      <c r="G2082" s="28" t="s">
        <v>1252</v>
      </c>
    </row>
    <row r="2083" spans="1:7">
      <c r="A2083" s="28">
        <v>2082</v>
      </c>
      <c r="B2083" s="28" t="s">
        <v>3100</v>
      </c>
      <c r="C2083" s="28">
        <v>4144012576</v>
      </c>
      <c r="D2083" s="28" t="s">
        <v>3597</v>
      </c>
      <c r="E2083" s="28" t="s">
        <v>3604</v>
      </c>
      <c r="F2083" s="28" t="s">
        <v>1700</v>
      </c>
      <c r="G2083" s="28" t="s">
        <v>1252</v>
      </c>
    </row>
    <row r="2084" spans="1:7">
      <c r="A2084" s="28">
        <v>2083</v>
      </c>
      <c r="B2084" s="28" t="s">
        <v>2456</v>
      </c>
      <c r="C2084" s="28">
        <v>4144012577</v>
      </c>
      <c r="D2084" s="28" t="s">
        <v>3588</v>
      </c>
      <c r="E2084" s="28" t="s">
        <v>3587</v>
      </c>
      <c r="F2084" s="28" t="s">
        <v>1700</v>
      </c>
      <c r="G2084" s="28"/>
    </row>
    <row r="2085" spans="1:7">
      <c r="A2085" s="28">
        <v>2084</v>
      </c>
      <c r="B2085" s="28" t="s">
        <v>2457</v>
      </c>
      <c r="C2085" s="28">
        <v>4144012578</v>
      </c>
      <c r="D2085" s="28" t="s">
        <v>3588</v>
      </c>
      <c r="E2085" s="28" t="s">
        <v>3587</v>
      </c>
      <c r="F2085" s="28" t="s">
        <v>1700</v>
      </c>
      <c r="G2085" s="28"/>
    </row>
    <row r="2086" spans="1:7">
      <c r="A2086" s="28">
        <v>2085</v>
      </c>
      <c r="B2086" s="28" t="s">
        <v>2458</v>
      </c>
      <c r="C2086" s="28">
        <v>4144012736</v>
      </c>
      <c r="D2086" s="28" t="s">
        <v>3588</v>
      </c>
      <c r="E2086" s="28" t="s">
        <v>3602</v>
      </c>
      <c r="F2086" s="28" t="s">
        <v>1700</v>
      </c>
      <c r="G2086" s="28"/>
    </row>
    <row r="2087" spans="1:7">
      <c r="A2087" s="28">
        <v>2086</v>
      </c>
      <c r="B2087" s="28" t="s">
        <v>2459</v>
      </c>
      <c r="C2087" s="28">
        <v>4144012741</v>
      </c>
      <c r="D2087" s="28" t="s">
        <v>3588</v>
      </c>
      <c r="E2087" s="28" t="s">
        <v>3587</v>
      </c>
      <c r="F2087" s="28" t="s">
        <v>1700</v>
      </c>
      <c r="G2087" s="28"/>
    </row>
    <row r="2088" spans="1:7">
      <c r="A2088" s="28">
        <v>2087</v>
      </c>
      <c r="B2088" s="28" t="s">
        <v>2460</v>
      </c>
      <c r="C2088" s="28">
        <v>4144012742</v>
      </c>
      <c r="D2088" s="28" t="s">
        <v>3588</v>
      </c>
      <c r="E2088" s="28" t="s">
        <v>3587</v>
      </c>
      <c r="F2088" s="28" t="s">
        <v>1700</v>
      </c>
      <c r="G2088" s="28"/>
    </row>
    <row r="2089" spans="1:7">
      <c r="A2089" s="28">
        <v>2088</v>
      </c>
      <c r="B2089" s="28" t="s">
        <v>2461</v>
      </c>
      <c r="C2089" s="28">
        <v>4144012743</v>
      </c>
      <c r="D2089" s="28" t="s">
        <v>3588</v>
      </c>
      <c r="E2089" s="28" t="s">
        <v>3587</v>
      </c>
      <c r="F2089" s="28" t="s">
        <v>1700</v>
      </c>
      <c r="G2089" s="28"/>
    </row>
    <row r="2090" spans="1:7">
      <c r="A2090" s="28">
        <v>2089</v>
      </c>
      <c r="B2090" s="28" t="s">
        <v>3101</v>
      </c>
      <c r="C2090" s="28">
        <v>4144012749</v>
      </c>
      <c r="D2090" s="28" t="s">
        <v>3597</v>
      </c>
      <c r="E2090" s="28" t="s">
        <v>3587</v>
      </c>
      <c r="F2090" s="28" t="s">
        <v>1700</v>
      </c>
      <c r="G2090" s="28" t="s">
        <v>1252</v>
      </c>
    </row>
    <row r="2091" spans="1:7">
      <c r="A2091" s="28">
        <v>2090</v>
      </c>
      <c r="B2091" s="28" t="s">
        <v>2462</v>
      </c>
      <c r="C2091" s="28">
        <v>4144012765</v>
      </c>
      <c r="D2091" s="28" t="s">
        <v>3588</v>
      </c>
      <c r="E2091" s="28" t="s">
        <v>3607</v>
      </c>
      <c r="F2091" s="28" t="s">
        <v>1700</v>
      </c>
      <c r="G2091" s="28"/>
    </row>
    <row r="2092" spans="1:7">
      <c r="A2092" s="28">
        <v>2091</v>
      </c>
      <c r="B2092" s="28" t="s">
        <v>2464</v>
      </c>
      <c r="C2092" s="28">
        <v>4144012770</v>
      </c>
      <c r="D2092" s="28" t="s">
        <v>3588</v>
      </c>
      <c r="E2092" s="28" t="s">
        <v>3608</v>
      </c>
      <c r="F2092" s="28" t="s">
        <v>1700</v>
      </c>
      <c r="G2092" s="28"/>
    </row>
    <row r="2093" spans="1:7">
      <c r="A2093" s="28">
        <v>2092</v>
      </c>
      <c r="B2093" s="28" t="s">
        <v>2466</v>
      </c>
      <c r="C2093" s="28">
        <v>4144012771</v>
      </c>
      <c r="D2093" s="28" t="s">
        <v>3588</v>
      </c>
      <c r="E2093" s="28" t="s">
        <v>3609</v>
      </c>
      <c r="F2093" s="28" t="s">
        <v>1700</v>
      </c>
      <c r="G2093" s="28"/>
    </row>
    <row r="2094" spans="1:7">
      <c r="A2094" s="28">
        <v>2093</v>
      </c>
      <c r="B2094" s="28" t="s">
        <v>2468</v>
      </c>
      <c r="C2094" s="28">
        <v>4144012772</v>
      </c>
      <c r="D2094" s="28" t="s">
        <v>3588</v>
      </c>
      <c r="E2094" s="28" t="s">
        <v>3610</v>
      </c>
      <c r="F2094" s="28" t="s">
        <v>1700</v>
      </c>
      <c r="G2094" s="28"/>
    </row>
    <row r="2095" spans="1:7">
      <c r="A2095" s="28">
        <v>2094</v>
      </c>
      <c r="B2095" s="28" t="s">
        <v>2470</v>
      </c>
      <c r="C2095" s="28">
        <v>4144012953</v>
      </c>
      <c r="D2095" s="28" t="s">
        <v>3588</v>
      </c>
      <c r="E2095" s="28" t="s">
        <v>3587</v>
      </c>
      <c r="F2095" s="28" t="s">
        <v>1700</v>
      </c>
      <c r="G2095" s="28"/>
    </row>
    <row r="2096" spans="1:7">
      <c r="A2096" s="28">
        <v>2095</v>
      </c>
      <c r="B2096" s="28" t="s">
        <v>2471</v>
      </c>
      <c r="C2096" s="28">
        <v>4144012954</v>
      </c>
      <c r="D2096" s="28" t="s">
        <v>3588</v>
      </c>
      <c r="E2096" s="28" t="s">
        <v>3589</v>
      </c>
      <c r="F2096" s="28" t="s">
        <v>1700</v>
      </c>
      <c r="G2096" s="28"/>
    </row>
    <row r="2097" spans="1:7">
      <c r="A2097" s="28">
        <v>2096</v>
      </c>
      <c r="B2097" s="28" t="s">
        <v>2472</v>
      </c>
      <c r="C2097" s="28">
        <v>4144012956</v>
      </c>
      <c r="D2097" s="28" t="s">
        <v>3588</v>
      </c>
      <c r="E2097" s="28" t="s">
        <v>3606</v>
      </c>
      <c r="F2097" s="28" t="s">
        <v>1700</v>
      </c>
      <c r="G2097" s="28"/>
    </row>
    <row r="2098" spans="1:7">
      <c r="A2098" s="28">
        <v>2097</v>
      </c>
      <c r="B2098" s="28" t="s">
        <v>2474</v>
      </c>
      <c r="C2098" s="28">
        <v>4144012958</v>
      </c>
      <c r="D2098" s="28" t="s">
        <v>3588</v>
      </c>
      <c r="E2098" s="28" t="s">
        <v>3611</v>
      </c>
      <c r="F2098" s="28" t="s">
        <v>1700</v>
      </c>
      <c r="G2098" s="28"/>
    </row>
    <row r="2099" spans="1:7">
      <c r="A2099" s="28">
        <v>2098</v>
      </c>
      <c r="B2099" s="28" t="s">
        <v>2476</v>
      </c>
      <c r="C2099" s="28">
        <v>4144012959</v>
      </c>
      <c r="D2099" s="28" t="s">
        <v>3588</v>
      </c>
      <c r="E2099" s="28" t="s">
        <v>3587</v>
      </c>
      <c r="F2099" s="28" t="s">
        <v>1700</v>
      </c>
      <c r="G2099" s="28"/>
    </row>
    <row r="2100" spans="1:7">
      <c r="A2100" s="28">
        <v>2099</v>
      </c>
      <c r="B2100" s="28" t="s">
        <v>2477</v>
      </c>
      <c r="C2100" s="28">
        <v>4144012960</v>
      </c>
      <c r="D2100" s="28" t="s">
        <v>3588</v>
      </c>
      <c r="E2100" s="28" t="s">
        <v>3587</v>
      </c>
      <c r="F2100" s="28" t="s">
        <v>1700</v>
      </c>
      <c r="G2100" s="28"/>
    </row>
    <row r="2101" spans="1:7">
      <c r="A2101" s="28">
        <v>2100</v>
      </c>
      <c r="B2101" s="28" t="s">
        <v>3102</v>
      </c>
      <c r="C2101" s="28">
        <v>4144012961</v>
      </c>
      <c r="D2101" s="28" t="s">
        <v>3597</v>
      </c>
      <c r="E2101" s="28" t="s">
        <v>3594</v>
      </c>
      <c r="F2101" s="28" t="s">
        <v>1700</v>
      </c>
      <c r="G2101" s="28" t="s">
        <v>1252</v>
      </c>
    </row>
    <row r="2102" spans="1:7">
      <c r="A2102" s="28">
        <v>2101</v>
      </c>
      <c r="B2102" s="28" t="s">
        <v>2478</v>
      </c>
      <c r="C2102" s="28">
        <v>4144012962</v>
      </c>
      <c r="D2102" s="28" t="s">
        <v>3588</v>
      </c>
      <c r="E2102" s="28" t="s">
        <v>3587</v>
      </c>
      <c r="F2102" s="28" t="s">
        <v>1700</v>
      </c>
      <c r="G2102" s="28"/>
    </row>
    <row r="2103" spans="1:7">
      <c r="A2103" s="28">
        <v>2102</v>
      </c>
      <c r="B2103" s="28" t="s">
        <v>2479</v>
      </c>
      <c r="C2103" s="28">
        <v>4144013707</v>
      </c>
      <c r="D2103" s="28" t="s">
        <v>3588</v>
      </c>
      <c r="E2103" s="28" t="s">
        <v>3587</v>
      </c>
      <c r="F2103" s="28" t="s">
        <v>1700</v>
      </c>
      <c r="G2103" s="28"/>
    </row>
    <row r="2104" spans="1:7">
      <c r="A2104" s="28">
        <v>2103</v>
      </c>
      <c r="B2104" s="28" t="s">
        <v>2480</v>
      </c>
      <c r="C2104" s="28">
        <v>4144013708</v>
      </c>
      <c r="D2104" s="28" t="s">
        <v>3588</v>
      </c>
      <c r="E2104" s="28" t="s">
        <v>3587</v>
      </c>
      <c r="F2104" s="28" t="s">
        <v>1700</v>
      </c>
      <c r="G2104" s="28"/>
    </row>
    <row r="2105" spans="1:7">
      <c r="A2105" s="28">
        <v>2104</v>
      </c>
      <c r="B2105" s="28" t="s">
        <v>2481</v>
      </c>
      <c r="C2105" s="28">
        <v>4144013709</v>
      </c>
      <c r="D2105" s="28" t="s">
        <v>3588</v>
      </c>
      <c r="E2105" s="28" t="s">
        <v>3587</v>
      </c>
      <c r="F2105" s="28" t="s">
        <v>1700</v>
      </c>
      <c r="G2105" s="28"/>
    </row>
    <row r="2106" spans="1:7">
      <c r="A2106" s="28">
        <v>2105</v>
      </c>
      <c r="B2106" s="28" t="s">
        <v>2482</v>
      </c>
      <c r="C2106" s="28">
        <v>4144013710</v>
      </c>
      <c r="D2106" s="28" t="s">
        <v>3588</v>
      </c>
      <c r="E2106" s="28" t="s">
        <v>3599</v>
      </c>
      <c r="F2106" s="28" t="s">
        <v>1700</v>
      </c>
      <c r="G2106" s="28"/>
    </row>
    <row r="2107" spans="1:7">
      <c r="A2107" s="28">
        <v>2106</v>
      </c>
      <c r="B2107" s="28" t="s">
        <v>2483</v>
      </c>
      <c r="C2107" s="28">
        <v>4144013711</v>
      </c>
      <c r="D2107" s="28" t="s">
        <v>3588</v>
      </c>
      <c r="E2107" s="28" t="s">
        <v>3598</v>
      </c>
      <c r="F2107" s="28" t="s">
        <v>1700</v>
      </c>
      <c r="G2107" s="28"/>
    </row>
    <row r="2108" spans="1:7">
      <c r="A2108" s="28">
        <v>2107</v>
      </c>
      <c r="B2108" s="28" t="s">
        <v>2484</v>
      </c>
      <c r="C2108" s="28">
        <v>4144013712</v>
      </c>
      <c r="D2108" s="28" t="s">
        <v>3588</v>
      </c>
      <c r="E2108" s="28" t="s">
        <v>3600</v>
      </c>
      <c r="F2108" s="28" t="s">
        <v>1700</v>
      </c>
      <c r="G2108" s="28"/>
    </row>
    <row r="2109" spans="1:7">
      <c r="A2109" s="28">
        <v>2108</v>
      </c>
      <c r="B2109" s="28" t="s">
        <v>2485</v>
      </c>
      <c r="C2109" s="28">
        <v>4144013713</v>
      </c>
      <c r="D2109" s="28" t="s">
        <v>3588</v>
      </c>
      <c r="E2109" s="28" t="s">
        <v>3604</v>
      </c>
      <c r="F2109" s="28" t="s">
        <v>1700</v>
      </c>
      <c r="G2109" s="28"/>
    </row>
    <row r="2110" spans="1:7">
      <c r="A2110" s="28">
        <v>2109</v>
      </c>
      <c r="B2110" s="28" t="s">
        <v>3103</v>
      </c>
      <c r="C2110" s="28">
        <v>4144013715</v>
      </c>
      <c r="D2110" s="28" t="s">
        <v>3597</v>
      </c>
      <c r="E2110" s="28" t="s">
        <v>3587</v>
      </c>
      <c r="F2110" s="28" t="s">
        <v>1700</v>
      </c>
      <c r="G2110" s="28" t="s">
        <v>1252</v>
      </c>
    </row>
    <row r="2111" spans="1:7">
      <c r="A2111" s="28">
        <v>2110</v>
      </c>
      <c r="B2111" s="28" t="s">
        <v>3104</v>
      </c>
      <c r="C2111" s="28">
        <v>4144013716</v>
      </c>
      <c r="D2111" s="28" t="s">
        <v>3597</v>
      </c>
      <c r="E2111" s="28" t="s">
        <v>3587</v>
      </c>
      <c r="F2111" s="28" t="s">
        <v>1700</v>
      </c>
      <c r="G2111" s="28" t="s">
        <v>1252</v>
      </c>
    </row>
    <row r="2112" spans="1:7">
      <c r="A2112" s="28">
        <v>2111</v>
      </c>
      <c r="B2112" s="28" t="s">
        <v>3105</v>
      </c>
      <c r="C2112" s="28">
        <v>4144013718</v>
      </c>
      <c r="D2112" s="28" t="s">
        <v>3597</v>
      </c>
      <c r="E2112" s="28" t="s">
        <v>3592</v>
      </c>
      <c r="F2112" s="28" t="s">
        <v>1700</v>
      </c>
      <c r="G2112" s="28" t="s">
        <v>1252</v>
      </c>
    </row>
    <row r="2113" spans="1:7">
      <c r="A2113" s="28">
        <v>2112</v>
      </c>
      <c r="B2113" s="28" t="s">
        <v>3106</v>
      </c>
      <c r="C2113" s="28">
        <v>4144013912</v>
      </c>
      <c r="D2113" s="28" t="s">
        <v>3597</v>
      </c>
      <c r="E2113" s="28" t="s">
        <v>3587</v>
      </c>
      <c r="F2113" s="28" t="s">
        <v>1700</v>
      </c>
      <c r="G2113" s="28" t="s">
        <v>1252</v>
      </c>
    </row>
    <row r="2114" spans="1:7">
      <c r="A2114" s="28">
        <v>2113</v>
      </c>
      <c r="B2114" s="28" t="s">
        <v>2486</v>
      </c>
      <c r="C2114" s="28">
        <v>4144013919</v>
      </c>
      <c r="D2114" s="28" t="s">
        <v>3588</v>
      </c>
      <c r="E2114" s="28" t="s">
        <v>3587</v>
      </c>
      <c r="F2114" s="28" t="s">
        <v>1700</v>
      </c>
      <c r="G2114" s="28"/>
    </row>
    <row r="2115" spans="1:7">
      <c r="A2115" s="28">
        <v>2114</v>
      </c>
      <c r="B2115" s="28" t="s">
        <v>3107</v>
      </c>
      <c r="C2115" s="28">
        <v>4144013927</v>
      </c>
      <c r="D2115" s="28" t="s">
        <v>3597</v>
      </c>
      <c r="E2115" s="28" t="s">
        <v>3587</v>
      </c>
      <c r="F2115" s="28" t="s">
        <v>1700</v>
      </c>
      <c r="G2115" s="28" t="s">
        <v>1252</v>
      </c>
    </row>
    <row r="2116" spans="1:7">
      <c r="A2116" s="28">
        <v>2115</v>
      </c>
      <c r="B2116" s="28" t="s">
        <v>3108</v>
      </c>
      <c r="C2116" s="28">
        <v>4144013928</v>
      </c>
      <c r="D2116" s="28" t="s">
        <v>3597</v>
      </c>
      <c r="E2116" s="28" t="s">
        <v>3587</v>
      </c>
      <c r="F2116" s="28" t="s">
        <v>1700</v>
      </c>
      <c r="G2116" s="28" t="s">
        <v>1252</v>
      </c>
    </row>
    <row r="2117" spans="1:7">
      <c r="A2117" s="28">
        <v>2116</v>
      </c>
      <c r="B2117" s="28" t="s">
        <v>2487</v>
      </c>
      <c r="C2117" s="28">
        <v>4144013929</v>
      </c>
      <c r="D2117" s="28" t="s">
        <v>3588</v>
      </c>
      <c r="E2117" s="28" t="s">
        <v>3587</v>
      </c>
      <c r="F2117" s="28" t="s">
        <v>1700</v>
      </c>
      <c r="G2117" s="28"/>
    </row>
    <row r="2118" spans="1:7">
      <c r="A2118" s="28">
        <v>2117</v>
      </c>
      <c r="B2118" s="28" t="s">
        <v>2488</v>
      </c>
      <c r="C2118" s="28">
        <v>4144013930</v>
      </c>
      <c r="D2118" s="28" t="s">
        <v>3588</v>
      </c>
      <c r="E2118" s="28" t="s">
        <v>3587</v>
      </c>
      <c r="F2118" s="28" t="s">
        <v>1700</v>
      </c>
      <c r="G2118" s="28"/>
    </row>
    <row r="2119" spans="1:7">
      <c r="A2119" s="28">
        <v>2118</v>
      </c>
      <c r="B2119" s="28" t="s">
        <v>2489</v>
      </c>
      <c r="C2119" s="28">
        <v>4144013943</v>
      </c>
      <c r="D2119" s="28" t="s">
        <v>3588</v>
      </c>
      <c r="E2119" s="28" t="s">
        <v>3587</v>
      </c>
      <c r="F2119" s="28" t="s">
        <v>1700</v>
      </c>
      <c r="G2119" s="28"/>
    </row>
    <row r="2120" spans="1:7">
      <c r="A2120" s="28">
        <v>2119</v>
      </c>
      <c r="B2120" s="28" t="s">
        <v>2490</v>
      </c>
      <c r="C2120" s="28">
        <v>4144014063</v>
      </c>
      <c r="D2120" s="28" t="s">
        <v>3588</v>
      </c>
      <c r="E2120" s="28" t="s">
        <v>3587</v>
      </c>
      <c r="F2120" s="28" t="s">
        <v>1700</v>
      </c>
      <c r="G2120" s="28"/>
    </row>
    <row r="2121" spans="1:7">
      <c r="A2121" s="28">
        <v>2120</v>
      </c>
      <c r="B2121" s="28" t="s">
        <v>2491</v>
      </c>
      <c r="C2121" s="28">
        <v>4144014065</v>
      </c>
      <c r="D2121" s="28" t="s">
        <v>3588</v>
      </c>
      <c r="E2121" s="28" t="s">
        <v>3587</v>
      </c>
      <c r="F2121" s="28" t="s">
        <v>1700</v>
      </c>
      <c r="G2121" s="28"/>
    </row>
    <row r="2122" spans="1:7">
      <c r="A2122" s="28">
        <v>2121</v>
      </c>
      <c r="B2122" s="28" t="s">
        <v>2492</v>
      </c>
      <c r="C2122" s="28">
        <v>4144014066</v>
      </c>
      <c r="D2122" s="28" t="s">
        <v>3588</v>
      </c>
      <c r="E2122" s="28" t="s">
        <v>3599</v>
      </c>
      <c r="F2122" s="28" t="s">
        <v>1700</v>
      </c>
      <c r="G2122" s="28"/>
    </row>
    <row r="2123" spans="1:7">
      <c r="A2123" s="28">
        <v>2122</v>
      </c>
      <c r="B2123" s="28" t="s">
        <v>3109</v>
      </c>
      <c r="C2123" s="28">
        <v>4144014123</v>
      </c>
      <c r="D2123" s="28" t="s">
        <v>3597</v>
      </c>
      <c r="E2123" s="28" t="s">
        <v>3587</v>
      </c>
      <c r="F2123" s="28" t="s">
        <v>1700</v>
      </c>
      <c r="G2123" s="28" t="s">
        <v>1252</v>
      </c>
    </row>
    <row r="2124" spans="1:7">
      <c r="A2124" s="28">
        <v>2123</v>
      </c>
      <c r="B2124" s="28" t="s">
        <v>3110</v>
      </c>
      <c r="C2124" s="28">
        <v>4144014125</v>
      </c>
      <c r="D2124" s="28" t="s">
        <v>3597</v>
      </c>
      <c r="E2124" s="28" t="s">
        <v>3587</v>
      </c>
      <c r="F2124" s="28" t="s">
        <v>1700</v>
      </c>
      <c r="G2124" s="28" t="s">
        <v>1252</v>
      </c>
    </row>
    <row r="2125" spans="1:7">
      <c r="A2125" s="28">
        <v>2124</v>
      </c>
      <c r="B2125" s="28" t="s">
        <v>3111</v>
      </c>
      <c r="C2125" s="28">
        <v>4144014126</v>
      </c>
      <c r="D2125" s="28" t="s">
        <v>3597</v>
      </c>
      <c r="E2125" s="28" t="s">
        <v>3590</v>
      </c>
      <c r="F2125" s="28" t="s">
        <v>1700</v>
      </c>
      <c r="G2125" s="28" t="s">
        <v>1252</v>
      </c>
    </row>
    <row r="2126" spans="1:7">
      <c r="A2126" s="28">
        <v>2125</v>
      </c>
      <c r="B2126" s="28" t="s">
        <v>3112</v>
      </c>
      <c r="C2126" s="28">
        <v>4144014136</v>
      </c>
      <c r="D2126" s="28" t="s">
        <v>3597</v>
      </c>
      <c r="E2126" s="28" t="s">
        <v>3587</v>
      </c>
      <c r="F2126" s="28" t="s">
        <v>1700</v>
      </c>
      <c r="G2126" s="28" t="s">
        <v>1252</v>
      </c>
    </row>
    <row r="2127" spans="1:7">
      <c r="A2127" s="28">
        <v>2126</v>
      </c>
      <c r="B2127" s="28" t="s">
        <v>2493</v>
      </c>
      <c r="C2127" s="28">
        <v>4144014263</v>
      </c>
      <c r="D2127" s="28" t="s">
        <v>3588</v>
      </c>
      <c r="E2127" s="28" t="s">
        <v>3601</v>
      </c>
      <c r="F2127" s="28" t="s">
        <v>1700</v>
      </c>
      <c r="G2127" s="28"/>
    </row>
    <row r="2128" spans="1:7">
      <c r="A2128" s="28">
        <v>2127</v>
      </c>
      <c r="B2128" s="28" t="s">
        <v>3113</v>
      </c>
      <c r="C2128" s="28">
        <v>4144014265</v>
      </c>
      <c r="D2128" s="28" t="s">
        <v>3597</v>
      </c>
      <c r="E2128" s="28" t="s">
        <v>3598</v>
      </c>
      <c r="F2128" s="28" t="s">
        <v>1700</v>
      </c>
      <c r="G2128" s="28" t="s">
        <v>1252</v>
      </c>
    </row>
    <row r="2129" spans="1:7">
      <c r="A2129" s="28">
        <v>2128</v>
      </c>
      <c r="B2129" s="28" t="s">
        <v>3114</v>
      </c>
      <c r="C2129" s="28">
        <v>4144014266</v>
      </c>
      <c r="D2129" s="28" t="s">
        <v>3597</v>
      </c>
      <c r="E2129" s="28" t="s">
        <v>3587</v>
      </c>
      <c r="F2129" s="28" t="s">
        <v>1700</v>
      </c>
      <c r="G2129" s="28" t="s">
        <v>1252</v>
      </c>
    </row>
    <row r="2130" spans="1:7">
      <c r="A2130" s="28">
        <v>2129</v>
      </c>
      <c r="B2130" s="28" t="s">
        <v>3115</v>
      </c>
      <c r="C2130" s="28">
        <v>4144014268</v>
      </c>
      <c r="D2130" s="28" t="s">
        <v>3597</v>
      </c>
      <c r="E2130" s="28" t="s">
        <v>3587</v>
      </c>
      <c r="F2130" s="28" t="s">
        <v>1700</v>
      </c>
      <c r="G2130" s="28" t="s">
        <v>1252</v>
      </c>
    </row>
    <row r="2131" spans="1:7">
      <c r="A2131" s="28">
        <v>2130</v>
      </c>
      <c r="B2131" s="28" t="s">
        <v>2494</v>
      </c>
      <c r="C2131" s="28">
        <v>4144014311</v>
      </c>
      <c r="D2131" s="28" t="s">
        <v>3588</v>
      </c>
      <c r="E2131" s="28" t="s">
        <v>3602</v>
      </c>
      <c r="F2131" s="28" t="s">
        <v>1700</v>
      </c>
      <c r="G2131" s="28"/>
    </row>
    <row r="2132" spans="1:7">
      <c r="A2132" s="28">
        <v>2131</v>
      </c>
      <c r="B2132" s="28" t="s">
        <v>2495</v>
      </c>
      <c r="C2132" s="28">
        <v>4144014361</v>
      </c>
      <c r="D2132" s="28" t="s">
        <v>3588</v>
      </c>
      <c r="E2132" s="28" t="s">
        <v>3587</v>
      </c>
      <c r="F2132" s="28" t="s">
        <v>1700</v>
      </c>
      <c r="G2132" s="28"/>
    </row>
    <row r="2133" spans="1:7">
      <c r="A2133" s="28">
        <v>2132</v>
      </c>
      <c r="B2133" s="28" t="s">
        <v>3116</v>
      </c>
      <c r="C2133" s="28">
        <v>4144014362</v>
      </c>
      <c r="D2133" s="28" t="s">
        <v>3597</v>
      </c>
      <c r="E2133" s="28" t="s">
        <v>3587</v>
      </c>
      <c r="F2133" s="28" t="s">
        <v>1700</v>
      </c>
      <c r="G2133" s="28" t="s">
        <v>1252</v>
      </c>
    </row>
    <row r="2134" spans="1:7">
      <c r="A2134" s="28">
        <v>2133</v>
      </c>
      <c r="B2134" s="28" t="s">
        <v>3117</v>
      </c>
      <c r="C2134" s="28">
        <v>4144014363</v>
      </c>
      <c r="D2134" s="28" t="s">
        <v>3597</v>
      </c>
      <c r="E2134" s="28" t="s">
        <v>3601</v>
      </c>
      <c r="F2134" s="28" t="s">
        <v>1700</v>
      </c>
      <c r="G2134" s="28" t="s">
        <v>1252</v>
      </c>
    </row>
    <row r="2135" spans="1:7">
      <c r="A2135" s="28">
        <v>2134</v>
      </c>
      <c r="B2135" s="28" t="s">
        <v>2496</v>
      </c>
      <c r="C2135" s="28">
        <v>4144014407</v>
      </c>
      <c r="D2135" s="28" t="s">
        <v>3588</v>
      </c>
      <c r="E2135" s="28" t="s">
        <v>3587</v>
      </c>
      <c r="F2135" s="28" t="s">
        <v>1700</v>
      </c>
      <c r="G2135" s="28"/>
    </row>
    <row r="2136" spans="1:7">
      <c r="A2136" s="28">
        <v>2135</v>
      </c>
      <c r="B2136" s="28" t="s">
        <v>2497</v>
      </c>
      <c r="C2136" s="28">
        <v>4144014408</v>
      </c>
      <c r="D2136" s="28" t="s">
        <v>3588</v>
      </c>
      <c r="E2136" s="28" t="s">
        <v>3592</v>
      </c>
      <c r="F2136" s="28" t="s">
        <v>1700</v>
      </c>
      <c r="G2136" s="28"/>
    </row>
    <row r="2137" spans="1:7">
      <c r="A2137" s="28">
        <v>2136</v>
      </c>
      <c r="B2137" s="28" t="s">
        <v>3118</v>
      </c>
      <c r="C2137" s="28">
        <v>4144014427</v>
      </c>
      <c r="D2137" s="28" t="s">
        <v>3597</v>
      </c>
      <c r="E2137" s="28" t="s">
        <v>3594</v>
      </c>
      <c r="F2137" s="28" t="s">
        <v>1700</v>
      </c>
      <c r="G2137" s="28" t="s">
        <v>1252</v>
      </c>
    </row>
    <row r="2138" spans="1:7">
      <c r="A2138" s="28">
        <v>2137</v>
      </c>
      <c r="B2138" s="28" t="s">
        <v>2498</v>
      </c>
      <c r="C2138" s="28">
        <v>4144014509</v>
      </c>
      <c r="D2138" s="28" t="s">
        <v>3588</v>
      </c>
      <c r="E2138" s="28" t="s">
        <v>3587</v>
      </c>
      <c r="F2138" s="28" t="s">
        <v>1700</v>
      </c>
      <c r="G2138" s="28"/>
    </row>
    <row r="2139" spans="1:7">
      <c r="A2139" s="28">
        <v>2138</v>
      </c>
      <c r="B2139" s="28" t="s">
        <v>2499</v>
      </c>
      <c r="C2139" s="28">
        <v>4144014510</v>
      </c>
      <c r="D2139" s="28" t="s">
        <v>3588</v>
      </c>
      <c r="E2139" s="28" t="s">
        <v>3592</v>
      </c>
      <c r="F2139" s="28" t="s">
        <v>1700</v>
      </c>
      <c r="G2139" s="28"/>
    </row>
    <row r="2140" spans="1:7">
      <c r="A2140" s="28">
        <v>2139</v>
      </c>
      <c r="B2140" s="28" t="s">
        <v>3119</v>
      </c>
      <c r="C2140" s="28">
        <v>4144014511</v>
      </c>
      <c r="D2140" s="28" t="s">
        <v>3597</v>
      </c>
      <c r="E2140" s="28" t="s">
        <v>3611</v>
      </c>
      <c r="F2140" s="28" t="s">
        <v>1700</v>
      </c>
      <c r="G2140" s="28" t="s">
        <v>1252</v>
      </c>
    </row>
    <row r="2141" spans="1:7">
      <c r="A2141" s="28">
        <v>2140</v>
      </c>
      <c r="B2141" s="28" t="s">
        <v>2500</v>
      </c>
      <c r="C2141" s="28">
        <v>4144014556</v>
      </c>
      <c r="D2141" s="28" t="s">
        <v>3588</v>
      </c>
      <c r="E2141" s="28" t="s">
        <v>3600</v>
      </c>
      <c r="F2141" s="28" t="s">
        <v>1700</v>
      </c>
      <c r="G2141" s="28"/>
    </row>
    <row r="2142" spans="1:7">
      <c r="A2142" s="28">
        <v>2141</v>
      </c>
      <c r="B2142" s="28" t="s">
        <v>3120</v>
      </c>
      <c r="C2142" s="28">
        <v>4144014572</v>
      </c>
      <c r="D2142" s="28" t="s">
        <v>3597</v>
      </c>
      <c r="E2142" s="28" t="s">
        <v>3601</v>
      </c>
      <c r="F2142" s="28" t="s">
        <v>1700</v>
      </c>
      <c r="G2142" s="28" t="s">
        <v>1252</v>
      </c>
    </row>
    <row r="2143" spans="1:7">
      <c r="A2143" s="28">
        <v>2142</v>
      </c>
      <c r="B2143" s="28" t="s">
        <v>2501</v>
      </c>
      <c r="C2143" s="28">
        <v>4144014587</v>
      </c>
      <c r="D2143" s="28" t="s">
        <v>3588</v>
      </c>
      <c r="E2143" s="28" t="s">
        <v>3600</v>
      </c>
      <c r="F2143" s="28" t="s">
        <v>1700</v>
      </c>
      <c r="G2143" s="28"/>
    </row>
    <row r="2144" spans="1:7">
      <c r="A2144" s="28">
        <v>2143</v>
      </c>
      <c r="B2144" s="28" t="s">
        <v>2502</v>
      </c>
      <c r="C2144" s="28">
        <v>4144014592</v>
      </c>
      <c r="D2144" s="28" t="s">
        <v>3588</v>
      </c>
      <c r="E2144" s="28" t="s">
        <v>3587</v>
      </c>
      <c r="F2144" s="28" t="s">
        <v>1700</v>
      </c>
      <c r="G2144" s="28"/>
    </row>
    <row r="2145" spans="1:7">
      <c r="A2145" s="28">
        <v>2144</v>
      </c>
      <c r="B2145" s="28" t="s">
        <v>2503</v>
      </c>
      <c r="C2145" s="28">
        <v>4144014609</v>
      </c>
      <c r="D2145" s="28" t="s">
        <v>3588</v>
      </c>
      <c r="E2145" s="28" t="s">
        <v>3592</v>
      </c>
      <c r="F2145" s="28" t="s">
        <v>1700</v>
      </c>
      <c r="G2145" s="28"/>
    </row>
    <row r="2146" spans="1:7">
      <c r="A2146" s="28">
        <v>2145</v>
      </c>
      <c r="B2146" s="28" t="s">
        <v>2504</v>
      </c>
      <c r="C2146" s="28">
        <v>4144014610</v>
      </c>
      <c r="D2146" s="28" t="s">
        <v>3588</v>
      </c>
      <c r="E2146" s="28" t="s">
        <v>3598</v>
      </c>
      <c r="F2146" s="28" t="s">
        <v>1700</v>
      </c>
      <c r="G2146" s="28"/>
    </row>
    <row r="2147" spans="1:7">
      <c r="A2147" s="28">
        <v>2146</v>
      </c>
      <c r="B2147" s="28" t="s">
        <v>2505</v>
      </c>
      <c r="C2147" s="28">
        <v>4144014638</v>
      </c>
      <c r="D2147" s="28" t="s">
        <v>3588</v>
      </c>
      <c r="E2147" s="28" t="s">
        <v>3600</v>
      </c>
      <c r="F2147" s="28" t="s">
        <v>1700</v>
      </c>
      <c r="G2147" s="28"/>
    </row>
    <row r="2148" spans="1:7">
      <c r="A2148" s="28">
        <v>2147</v>
      </c>
      <c r="B2148" s="28" t="s">
        <v>2506</v>
      </c>
      <c r="C2148" s="28">
        <v>4144014664</v>
      </c>
      <c r="D2148" s="28" t="s">
        <v>3588</v>
      </c>
      <c r="E2148" s="28" t="s">
        <v>3598</v>
      </c>
      <c r="F2148" s="28" t="s">
        <v>1700</v>
      </c>
      <c r="G2148" s="28"/>
    </row>
    <row r="2149" spans="1:7">
      <c r="A2149" s="28">
        <v>2148</v>
      </c>
      <c r="B2149" s="28" t="s">
        <v>2507</v>
      </c>
      <c r="C2149" s="28">
        <v>4144014667</v>
      </c>
      <c r="D2149" s="28" t="s">
        <v>3588</v>
      </c>
      <c r="E2149" s="28" t="s">
        <v>3611</v>
      </c>
      <c r="F2149" s="28" t="s">
        <v>1700</v>
      </c>
      <c r="G2149" s="28"/>
    </row>
    <row r="2150" spans="1:7">
      <c r="A2150" s="28">
        <v>2149</v>
      </c>
      <c r="B2150" s="28" t="s">
        <v>2508</v>
      </c>
      <c r="C2150" s="28">
        <v>4144014756</v>
      </c>
      <c r="D2150" s="28" t="s">
        <v>3588</v>
      </c>
      <c r="E2150" s="28" t="s">
        <v>3587</v>
      </c>
      <c r="F2150" s="28" t="s">
        <v>1700</v>
      </c>
      <c r="G2150" s="28"/>
    </row>
    <row r="2151" spans="1:7">
      <c r="A2151" s="28">
        <v>2150</v>
      </c>
      <c r="B2151" s="28" t="s">
        <v>2509</v>
      </c>
      <c r="C2151" s="28">
        <v>4144014757</v>
      </c>
      <c r="D2151" s="28" t="s">
        <v>3588</v>
      </c>
      <c r="E2151" s="28" t="s">
        <v>3589</v>
      </c>
      <c r="F2151" s="28" t="s">
        <v>1700</v>
      </c>
      <c r="G2151" s="28"/>
    </row>
    <row r="2152" spans="1:7">
      <c r="A2152" s="28">
        <v>2151</v>
      </c>
      <c r="B2152" s="28" t="s">
        <v>2510</v>
      </c>
      <c r="C2152" s="28">
        <v>4144014758</v>
      </c>
      <c r="D2152" s="28" t="s">
        <v>3588</v>
      </c>
      <c r="E2152" s="28" t="s">
        <v>3595</v>
      </c>
      <c r="F2152" s="28" t="s">
        <v>1700</v>
      </c>
      <c r="G2152" s="28"/>
    </row>
    <row r="2153" spans="1:7">
      <c r="A2153" s="28">
        <v>2152</v>
      </c>
      <c r="B2153" s="28" t="s">
        <v>2511</v>
      </c>
      <c r="C2153" s="28">
        <v>4144014759</v>
      </c>
      <c r="D2153" s="28" t="s">
        <v>3588</v>
      </c>
      <c r="E2153" s="28" t="s">
        <v>3593</v>
      </c>
      <c r="F2153" s="28" t="s">
        <v>1700</v>
      </c>
      <c r="G2153" s="28"/>
    </row>
    <row r="2154" spans="1:7">
      <c r="A2154" s="28">
        <v>2153</v>
      </c>
      <c r="B2154" s="28" t="s">
        <v>2512</v>
      </c>
      <c r="C2154" s="28">
        <v>4144014760</v>
      </c>
      <c r="D2154" s="28" t="s">
        <v>3588</v>
      </c>
      <c r="E2154" s="28" t="s">
        <v>3608</v>
      </c>
      <c r="F2154" s="28" t="s">
        <v>1700</v>
      </c>
      <c r="G2154" s="28"/>
    </row>
    <row r="2155" spans="1:7">
      <c r="A2155" s="28">
        <v>2154</v>
      </c>
      <c r="B2155" s="28" t="s">
        <v>3121</v>
      </c>
      <c r="C2155" s="28">
        <v>4144014761</v>
      </c>
      <c r="D2155" s="28" t="s">
        <v>3597</v>
      </c>
      <c r="E2155" s="28" t="s">
        <v>3594</v>
      </c>
      <c r="F2155" s="28" t="s">
        <v>1700</v>
      </c>
      <c r="G2155" s="28" t="s">
        <v>1252</v>
      </c>
    </row>
    <row r="2156" spans="1:7">
      <c r="A2156" s="28">
        <v>2155</v>
      </c>
      <c r="B2156" s="28" t="s">
        <v>2513</v>
      </c>
      <c r="C2156" s="28">
        <v>4244050853</v>
      </c>
      <c r="D2156" s="28" t="s">
        <v>3588</v>
      </c>
      <c r="E2156" s="28" t="s">
        <v>3590</v>
      </c>
      <c r="F2156" s="28" t="s">
        <v>1700</v>
      </c>
      <c r="G2156" s="28"/>
    </row>
    <row r="2157" spans="1:7">
      <c r="A2157" s="28">
        <v>2156</v>
      </c>
      <c r="B2157" s="28" t="s">
        <v>3241</v>
      </c>
      <c r="C2157" s="28">
        <v>4144014798</v>
      </c>
      <c r="D2157" s="28" t="s">
        <v>3597</v>
      </c>
      <c r="E2157" s="28" t="s">
        <v>3604</v>
      </c>
      <c r="F2157" s="28" t="s">
        <v>1700</v>
      </c>
      <c r="G2157" s="28" t="s">
        <v>1252</v>
      </c>
    </row>
    <row r="2158" spans="1:7">
      <c r="A2158" s="28">
        <v>2157</v>
      </c>
      <c r="B2158" s="28" t="s">
        <v>2846</v>
      </c>
      <c r="C2158" s="28">
        <v>4144014845</v>
      </c>
      <c r="D2158" s="28" t="s">
        <v>3588</v>
      </c>
      <c r="E2158" s="28" t="s">
        <v>3596</v>
      </c>
      <c r="F2158" s="28" t="s">
        <v>1700</v>
      </c>
      <c r="G2158" s="28"/>
    </row>
    <row r="2159" spans="1:7">
      <c r="A2159" s="28">
        <v>2158</v>
      </c>
      <c r="B2159" s="28" t="s">
        <v>901</v>
      </c>
      <c r="C2159" s="28">
        <v>4145010593</v>
      </c>
      <c r="D2159" s="28" t="s">
        <v>3612</v>
      </c>
      <c r="E2159" s="28" t="s">
        <v>3613</v>
      </c>
      <c r="F2159" s="28" t="s">
        <v>11</v>
      </c>
      <c r="G2159" s="28"/>
    </row>
    <row r="2160" spans="1:7">
      <c r="A2160" s="28">
        <v>2159</v>
      </c>
      <c r="B2160" s="28" t="s">
        <v>904</v>
      </c>
      <c r="C2160" s="28">
        <v>4145010594</v>
      </c>
      <c r="D2160" s="28" t="s">
        <v>3612</v>
      </c>
      <c r="E2160" s="28" t="s">
        <v>3614</v>
      </c>
      <c r="F2160" s="28" t="s">
        <v>11</v>
      </c>
      <c r="G2160" s="28"/>
    </row>
    <row r="2161" spans="1:7">
      <c r="A2161" s="28">
        <v>2160</v>
      </c>
      <c r="B2161" s="28" t="s">
        <v>906</v>
      </c>
      <c r="C2161" s="28">
        <v>4145010595</v>
      </c>
      <c r="D2161" s="28" t="s">
        <v>3612</v>
      </c>
      <c r="E2161" s="28" t="s">
        <v>3615</v>
      </c>
      <c r="F2161" s="28" t="s">
        <v>11</v>
      </c>
      <c r="G2161" s="28"/>
    </row>
    <row r="2162" spans="1:7">
      <c r="A2162" s="28">
        <v>2161</v>
      </c>
      <c r="B2162" s="28" t="s">
        <v>908</v>
      </c>
      <c r="C2162" s="28">
        <v>4145010596</v>
      </c>
      <c r="D2162" s="28" t="s">
        <v>3612</v>
      </c>
      <c r="E2162" s="28" t="s">
        <v>3615</v>
      </c>
      <c r="F2162" s="28" t="s">
        <v>11</v>
      </c>
      <c r="G2162" s="28"/>
    </row>
    <row r="2163" spans="1:7">
      <c r="A2163" s="28">
        <v>2162</v>
      </c>
      <c r="B2163" s="28" t="s">
        <v>909</v>
      </c>
      <c r="C2163" s="28">
        <v>4145010598</v>
      </c>
      <c r="D2163" s="28" t="s">
        <v>3612</v>
      </c>
      <c r="E2163" s="28" t="s">
        <v>3613</v>
      </c>
      <c r="F2163" s="28" t="s">
        <v>11</v>
      </c>
      <c r="G2163" s="28"/>
    </row>
    <row r="2164" spans="1:7">
      <c r="A2164" s="28">
        <v>2163</v>
      </c>
      <c r="B2164" s="28" t="s">
        <v>910</v>
      </c>
      <c r="C2164" s="28">
        <v>4145010599</v>
      </c>
      <c r="D2164" s="28" t="s">
        <v>3612</v>
      </c>
      <c r="E2164" s="28" t="s">
        <v>3616</v>
      </c>
      <c r="F2164" s="28" t="s">
        <v>11</v>
      </c>
      <c r="G2164" s="28"/>
    </row>
    <row r="2165" spans="1:7">
      <c r="A2165" s="28">
        <v>2164</v>
      </c>
      <c r="B2165" s="28" t="s">
        <v>912</v>
      </c>
      <c r="C2165" s="28">
        <v>4145010600</v>
      </c>
      <c r="D2165" s="28" t="s">
        <v>3612</v>
      </c>
      <c r="E2165" s="28" t="s">
        <v>3613</v>
      </c>
      <c r="F2165" s="28" t="s">
        <v>11</v>
      </c>
      <c r="G2165" s="28"/>
    </row>
    <row r="2166" spans="1:7">
      <c r="A2166" s="28">
        <v>2165</v>
      </c>
      <c r="B2166" s="28" t="s">
        <v>913</v>
      </c>
      <c r="C2166" s="28">
        <v>4145010601</v>
      </c>
      <c r="D2166" s="28" t="s">
        <v>3612</v>
      </c>
      <c r="E2166" s="28" t="s">
        <v>3615</v>
      </c>
      <c r="F2166" s="28" t="s">
        <v>11</v>
      </c>
      <c r="G2166" s="28"/>
    </row>
    <row r="2167" spans="1:7">
      <c r="A2167" s="28">
        <v>2166</v>
      </c>
      <c r="B2167" s="28" t="s">
        <v>914</v>
      </c>
      <c r="C2167" s="28">
        <v>4145010602</v>
      </c>
      <c r="D2167" s="28" t="s">
        <v>3612</v>
      </c>
      <c r="E2167" s="28" t="s">
        <v>3615</v>
      </c>
      <c r="F2167" s="28" t="s">
        <v>11</v>
      </c>
      <c r="G2167" s="28"/>
    </row>
    <row r="2168" spans="1:7">
      <c r="A2168" s="28">
        <v>2167</v>
      </c>
      <c r="B2168" s="28" t="s">
        <v>915</v>
      </c>
      <c r="C2168" s="28">
        <v>4145010603</v>
      </c>
      <c r="D2168" s="28" t="s">
        <v>3612</v>
      </c>
      <c r="E2168" s="28" t="s">
        <v>3613</v>
      </c>
      <c r="F2168" s="28" t="s">
        <v>11</v>
      </c>
      <c r="G2168" s="28"/>
    </row>
    <row r="2169" spans="1:7">
      <c r="A2169" s="28">
        <v>2168</v>
      </c>
      <c r="B2169" s="28" t="s">
        <v>916</v>
      </c>
      <c r="C2169" s="28">
        <v>4145010604</v>
      </c>
      <c r="D2169" s="28" t="s">
        <v>3612</v>
      </c>
      <c r="E2169" s="28" t="s">
        <v>3617</v>
      </c>
      <c r="F2169" s="28" t="s">
        <v>11</v>
      </c>
      <c r="G2169" s="28"/>
    </row>
    <row r="2170" spans="1:7">
      <c r="A2170" s="28">
        <v>2169</v>
      </c>
      <c r="B2170" s="28" t="s">
        <v>918</v>
      </c>
      <c r="C2170" s="28">
        <v>4145010605</v>
      </c>
      <c r="D2170" s="28" t="s">
        <v>3612</v>
      </c>
      <c r="E2170" s="28" t="s">
        <v>3618</v>
      </c>
      <c r="F2170" s="28" t="s">
        <v>11</v>
      </c>
      <c r="G2170" s="28"/>
    </row>
    <row r="2171" spans="1:7">
      <c r="A2171" s="28">
        <v>2170</v>
      </c>
      <c r="B2171" s="28" t="s">
        <v>920</v>
      </c>
      <c r="C2171" s="28">
        <v>4145010606</v>
      </c>
      <c r="D2171" s="28" t="s">
        <v>3612</v>
      </c>
      <c r="E2171" s="28" t="s">
        <v>3619</v>
      </c>
      <c r="F2171" s="28" t="s">
        <v>11</v>
      </c>
      <c r="G2171" s="28"/>
    </row>
    <row r="2172" spans="1:7">
      <c r="A2172" s="28">
        <v>2171</v>
      </c>
      <c r="B2172" s="28" t="s">
        <v>922</v>
      </c>
      <c r="C2172" s="28">
        <v>4145010607</v>
      </c>
      <c r="D2172" s="28" t="s">
        <v>3612</v>
      </c>
      <c r="E2172" s="28" t="s">
        <v>3613</v>
      </c>
      <c r="F2172" s="28" t="s">
        <v>11</v>
      </c>
      <c r="G2172" s="28"/>
    </row>
    <row r="2173" spans="1:7">
      <c r="A2173" s="28">
        <v>2172</v>
      </c>
      <c r="B2173" s="28" t="s">
        <v>923</v>
      </c>
      <c r="C2173" s="28">
        <v>4145010608</v>
      </c>
      <c r="D2173" s="28" t="s">
        <v>3612</v>
      </c>
      <c r="E2173" s="28" t="s">
        <v>3613</v>
      </c>
      <c r="F2173" s="28" t="s">
        <v>11</v>
      </c>
      <c r="G2173" s="28"/>
    </row>
    <row r="2174" spans="1:7">
      <c r="A2174" s="28">
        <v>2173</v>
      </c>
      <c r="B2174" s="28" t="s">
        <v>924</v>
      </c>
      <c r="C2174" s="28">
        <v>4145010609</v>
      </c>
      <c r="D2174" s="28" t="s">
        <v>3612</v>
      </c>
      <c r="E2174" s="28" t="s">
        <v>3616</v>
      </c>
      <c r="F2174" s="28" t="s">
        <v>11</v>
      </c>
      <c r="G2174" s="28"/>
    </row>
    <row r="2175" spans="1:7">
      <c r="A2175" s="28">
        <v>2174</v>
      </c>
      <c r="B2175" s="28" t="s">
        <v>925</v>
      </c>
      <c r="C2175" s="28">
        <v>4145011354</v>
      </c>
      <c r="D2175" s="28" t="s">
        <v>3612</v>
      </c>
      <c r="E2175" s="28" t="s">
        <v>3620</v>
      </c>
      <c r="F2175" s="28" t="s">
        <v>11</v>
      </c>
      <c r="G2175" s="28"/>
    </row>
    <row r="2176" spans="1:7">
      <c r="A2176" s="28">
        <v>2175</v>
      </c>
      <c r="B2176" s="28" t="s">
        <v>927</v>
      </c>
      <c r="C2176" s="28">
        <v>4145011546</v>
      </c>
      <c r="D2176" s="28" t="s">
        <v>3612</v>
      </c>
      <c r="E2176" s="28" t="s">
        <v>3621</v>
      </c>
      <c r="F2176" s="28" t="s">
        <v>11</v>
      </c>
      <c r="G2176" s="28"/>
    </row>
    <row r="2177" spans="1:7">
      <c r="A2177" s="28">
        <v>2176</v>
      </c>
      <c r="B2177" s="28" t="s">
        <v>929</v>
      </c>
      <c r="C2177" s="28">
        <v>4145011548</v>
      </c>
      <c r="D2177" s="28" t="s">
        <v>3612</v>
      </c>
      <c r="E2177" s="28" t="s">
        <v>3613</v>
      </c>
      <c r="F2177" s="28" t="s">
        <v>11</v>
      </c>
      <c r="G2177" s="28"/>
    </row>
    <row r="2178" spans="1:7">
      <c r="A2178" s="28">
        <v>2177</v>
      </c>
      <c r="B2178" s="28" t="s">
        <v>1578</v>
      </c>
      <c r="C2178" s="28">
        <v>4145011549</v>
      </c>
      <c r="D2178" s="28" t="s">
        <v>3622</v>
      </c>
      <c r="E2178" s="28" t="s">
        <v>3613</v>
      </c>
      <c r="F2178" s="28" t="s">
        <v>11</v>
      </c>
      <c r="G2178" s="28" t="s">
        <v>1252</v>
      </c>
    </row>
    <row r="2179" spans="1:7">
      <c r="A2179" s="28">
        <v>2178</v>
      </c>
      <c r="B2179" s="28" t="s">
        <v>930</v>
      </c>
      <c r="C2179" s="28">
        <v>4145011607</v>
      </c>
      <c r="D2179" s="28" t="s">
        <v>3612</v>
      </c>
      <c r="E2179" s="28" t="s">
        <v>3623</v>
      </c>
      <c r="F2179" s="28" t="s">
        <v>11</v>
      </c>
      <c r="G2179" s="28"/>
    </row>
    <row r="2180" spans="1:7">
      <c r="A2180" s="28">
        <v>2179</v>
      </c>
      <c r="B2180" s="28" t="s">
        <v>932</v>
      </c>
      <c r="C2180" s="28">
        <v>4145011825</v>
      </c>
      <c r="D2180" s="28" t="s">
        <v>3612</v>
      </c>
      <c r="E2180" s="28" t="s">
        <v>3615</v>
      </c>
      <c r="F2180" s="28" t="s">
        <v>11</v>
      </c>
      <c r="G2180" s="28"/>
    </row>
    <row r="2181" spans="1:7">
      <c r="A2181" s="28">
        <v>2180</v>
      </c>
      <c r="B2181" s="28" t="s">
        <v>933</v>
      </c>
      <c r="C2181" s="28">
        <v>4145011837</v>
      </c>
      <c r="D2181" s="28" t="s">
        <v>3612</v>
      </c>
      <c r="E2181" s="28" t="s">
        <v>3615</v>
      </c>
      <c r="F2181" s="28" t="s">
        <v>11</v>
      </c>
      <c r="G2181" s="28"/>
    </row>
    <row r="2182" spans="1:7">
      <c r="A2182" s="28">
        <v>2181</v>
      </c>
      <c r="B2182" s="28" t="s">
        <v>934</v>
      </c>
      <c r="C2182" s="28">
        <v>4145011838</v>
      </c>
      <c r="D2182" s="28" t="s">
        <v>3612</v>
      </c>
      <c r="E2182" s="28" t="s">
        <v>3624</v>
      </c>
      <c r="F2182" s="28" t="s">
        <v>11</v>
      </c>
      <c r="G2182" s="28"/>
    </row>
    <row r="2183" spans="1:7">
      <c r="A2183" s="28">
        <v>2182</v>
      </c>
      <c r="B2183" s="28" t="s">
        <v>936</v>
      </c>
      <c r="C2183" s="28">
        <v>4145013520</v>
      </c>
      <c r="D2183" s="28" t="s">
        <v>3612</v>
      </c>
      <c r="E2183" s="28" t="s">
        <v>3613</v>
      </c>
      <c r="F2183" s="28" t="s">
        <v>11</v>
      </c>
      <c r="G2183" s="28"/>
    </row>
    <row r="2184" spans="1:7">
      <c r="A2184" s="28">
        <v>2183</v>
      </c>
      <c r="B2184" s="28" t="s">
        <v>1579</v>
      </c>
      <c r="C2184" s="28">
        <v>4145013524</v>
      </c>
      <c r="D2184" s="28" t="s">
        <v>3622</v>
      </c>
      <c r="E2184" s="28" t="s">
        <v>3625</v>
      </c>
      <c r="F2184" s="28" t="s">
        <v>11</v>
      </c>
      <c r="G2184" s="28" t="s">
        <v>1252</v>
      </c>
    </row>
    <row r="2185" spans="1:7">
      <c r="A2185" s="28">
        <v>2184</v>
      </c>
      <c r="B2185" s="28" t="s">
        <v>937</v>
      </c>
      <c r="C2185" s="28">
        <v>4145016205</v>
      </c>
      <c r="D2185" s="28" t="s">
        <v>3612</v>
      </c>
      <c r="E2185" s="28" t="s">
        <v>3613</v>
      </c>
      <c r="F2185" s="28" t="s">
        <v>11</v>
      </c>
      <c r="G2185" s="28"/>
    </row>
    <row r="2186" spans="1:7">
      <c r="A2186" s="28">
        <v>2185</v>
      </c>
      <c r="B2186" s="28" t="s">
        <v>1581</v>
      </c>
      <c r="C2186" s="28">
        <v>4145013639</v>
      </c>
      <c r="D2186" s="28" t="s">
        <v>3622</v>
      </c>
      <c r="E2186" s="28" t="s">
        <v>3614</v>
      </c>
      <c r="F2186" s="28" t="s">
        <v>11</v>
      </c>
      <c r="G2186" s="28" t="s">
        <v>1252</v>
      </c>
    </row>
    <row r="2187" spans="1:7">
      <c r="A2187" s="28">
        <v>2186</v>
      </c>
      <c r="B2187" s="28" t="s">
        <v>1582</v>
      </c>
      <c r="C2187" s="28">
        <v>4145013640</v>
      </c>
      <c r="D2187" s="28" t="s">
        <v>3622</v>
      </c>
      <c r="E2187" s="28" t="s">
        <v>3613</v>
      </c>
      <c r="F2187" s="28" t="s">
        <v>11</v>
      </c>
      <c r="G2187" s="28" t="s">
        <v>1252</v>
      </c>
    </row>
    <row r="2188" spans="1:7">
      <c r="A2188" s="28">
        <v>2187</v>
      </c>
      <c r="B2188" s="28" t="s">
        <v>1583</v>
      </c>
      <c r="C2188" s="28">
        <v>4145013641</v>
      </c>
      <c r="D2188" s="28" t="s">
        <v>3622</v>
      </c>
      <c r="E2188" s="28" t="s">
        <v>3615</v>
      </c>
      <c r="F2188" s="28" t="s">
        <v>11</v>
      </c>
      <c r="G2188" s="28" t="s">
        <v>1252</v>
      </c>
    </row>
    <row r="2189" spans="1:7">
      <c r="A2189" s="28">
        <v>2188</v>
      </c>
      <c r="B2189" s="28" t="s">
        <v>1584</v>
      </c>
      <c r="C2189" s="28">
        <v>4145013642</v>
      </c>
      <c r="D2189" s="28" t="s">
        <v>3622</v>
      </c>
      <c r="E2189" s="28" t="s">
        <v>3613</v>
      </c>
      <c r="F2189" s="28" t="s">
        <v>11</v>
      </c>
      <c r="G2189" s="28" t="s">
        <v>1252</v>
      </c>
    </row>
    <row r="2190" spans="1:7">
      <c r="A2190" s="28">
        <v>2189</v>
      </c>
      <c r="B2190" s="28" t="s">
        <v>1585</v>
      </c>
      <c r="C2190" s="28">
        <v>4145013643</v>
      </c>
      <c r="D2190" s="28" t="s">
        <v>3622</v>
      </c>
      <c r="E2190" s="28" t="s">
        <v>3613</v>
      </c>
      <c r="F2190" s="28" t="s">
        <v>11</v>
      </c>
      <c r="G2190" s="28" t="s">
        <v>1252</v>
      </c>
    </row>
    <row r="2191" spans="1:7">
      <c r="A2191" s="28">
        <v>2190</v>
      </c>
      <c r="B2191" s="28" t="s">
        <v>1586</v>
      </c>
      <c r="C2191" s="28">
        <v>4145013644</v>
      </c>
      <c r="D2191" s="28" t="s">
        <v>3622</v>
      </c>
      <c r="E2191" s="28" t="s">
        <v>3615</v>
      </c>
      <c r="F2191" s="28" t="s">
        <v>11</v>
      </c>
      <c r="G2191" s="28" t="s">
        <v>1252</v>
      </c>
    </row>
    <row r="2192" spans="1:7">
      <c r="A2192" s="28">
        <v>2191</v>
      </c>
      <c r="B2192" s="28" t="s">
        <v>1587</v>
      </c>
      <c r="C2192" s="28">
        <v>4145013645</v>
      </c>
      <c r="D2192" s="28" t="s">
        <v>3622</v>
      </c>
      <c r="E2192" s="28" t="s">
        <v>3615</v>
      </c>
      <c r="F2192" s="28" t="s">
        <v>11</v>
      </c>
      <c r="G2192" s="28" t="s">
        <v>1252</v>
      </c>
    </row>
    <row r="2193" spans="1:7">
      <c r="A2193" s="28">
        <v>2192</v>
      </c>
      <c r="B2193" s="28" t="s">
        <v>1588</v>
      </c>
      <c r="C2193" s="28">
        <v>4145013830</v>
      </c>
      <c r="D2193" s="28" t="s">
        <v>3622</v>
      </c>
      <c r="E2193" s="28" t="s">
        <v>3613</v>
      </c>
      <c r="F2193" s="28" t="s">
        <v>11</v>
      </c>
      <c r="G2193" s="28" t="s">
        <v>1252</v>
      </c>
    </row>
    <row r="2194" spans="1:7">
      <c r="A2194" s="28">
        <v>2193</v>
      </c>
      <c r="B2194" s="28" t="s">
        <v>1589</v>
      </c>
      <c r="C2194" s="28">
        <v>4145013890</v>
      </c>
      <c r="D2194" s="28" t="s">
        <v>3622</v>
      </c>
      <c r="E2194" s="28" t="s">
        <v>3625</v>
      </c>
      <c r="F2194" s="28" t="s">
        <v>11</v>
      </c>
      <c r="G2194" s="28" t="s">
        <v>1252</v>
      </c>
    </row>
    <row r="2195" spans="1:7">
      <c r="A2195" s="28">
        <v>2194</v>
      </c>
      <c r="B2195" s="28" t="s">
        <v>1590</v>
      </c>
      <c r="C2195" s="28">
        <v>4145013920</v>
      </c>
      <c r="D2195" s="28" t="s">
        <v>3622</v>
      </c>
      <c r="E2195" s="28" t="s">
        <v>3617</v>
      </c>
      <c r="F2195" s="28" t="s">
        <v>11</v>
      </c>
      <c r="G2195" s="28" t="s">
        <v>1252</v>
      </c>
    </row>
    <row r="2196" spans="1:7">
      <c r="A2196" s="28">
        <v>2195</v>
      </c>
      <c r="B2196" s="28" t="s">
        <v>938</v>
      </c>
      <c r="C2196" s="28">
        <v>4145014684</v>
      </c>
      <c r="D2196" s="28" t="s">
        <v>3612</v>
      </c>
      <c r="E2196" s="28" t="s">
        <v>3613</v>
      </c>
      <c r="F2196" s="28" t="s">
        <v>11</v>
      </c>
      <c r="G2196" s="28"/>
    </row>
    <row r="2197" spans="1:7">
      <c r="A2197" s="28">
        <v>2196</v>
      </c>
      <c r="B2197" s="28" t="s">
        <v>939</v>
      </c>
      <c r="C2197" s="28">
        <v>4145011355</v>
      </c>
      <c r="D2197" s="28" t="s">
        <v>3612</v>
      </c>
      <c r="E2197" s="28" t="s">
        <v>3613</v>
      </c>
      <c r="F2197" s="28" t="s">
        <v>11</v>
      </c>
      <c r="G2197" s="28"/>
    </row>
    <row r="2198" spans="1:7">
      <c r="A2198" s="28">
        <v>2197</v>
      </c>
      <c r="B2198" s="28" t="s">
        <v>941</v>
      </c>
      <c r="C2198" s="28">
        <v>4145012104</v>
      </c>
      <c r="D2198" s="28" t="s">
        <v>3612</v>
      </c>
      <c r="E2198" s="28" t="s">
        <v>3614</v>
      </c>
      <c r="F2198" s="28" t="s">
        <v>11</v>
      </c>
      <c r="G2198" s="28"/>
    </row>
    <row r="2199" spans="1:7">
      <c r="A2199" s="28">
        <v>2198</v>
      </c>
      <c r="B2199" s="28" t="s">
        <v>940</v>
      </c>
      <c r="C2199" s="28">
        <v>4145011671</v>
      </c>
      <c r="D2199" s="28" t="s">
        <v>3612</v>
      </c>
      <c r="E2199" s="28" t="s">
        <v>3615</v>
      </c>
      <c r="F2199" s="28" t="s">
        <v>11</v>
      </c>
      <c r="G2199" s="28"/>
    </row>
    <row r="2200" spans="1:7">
      <c r="A2200" s="28">
        <v>2199</v>
      </c>
      <c r="B2200" s="28" t="s">
        <v>3122</v>
      </c>
      <c r="C2200" s="28">
        <v>4145010035</v>
      </c>
      <c r="D2200" s="28" t="s">
        <v>3622</v>
      </c>
      <c r="E2200" s="28" t="s">
        <v>3615</v>
      </c>
      <c r="F2200" s="28" t="s">
        <v>1700</v>
      </c>
      <c r="G2200" s="28" t="s">
        <v>1252</v>
      </c>
    </row>
    <row r="2201" spans="1:7">
      <c r="A2201" s="28">
        <v>2200</v>
      </c>
      <c r="B2201" s="28" t="s">
        <v>2514</v>
      </c>
      <c r="C2201" s="28">
        <v>4145010867</v>
      </c>
      <c r="D2201" s="28" t="s">
        <v>3612</v>
      </c>
      <c r="E2201" s="28" t="s">
        <v>3613</v>
      </c>
      <c r="F2201" s="28" t="s">
        <v>1700</v>
      </c>
      <c r="G2201" s="28"/>
    </row>
    <row r="2202" spans="1:7">
      <c r="A2202" s="28">
        <v>2201</v>
      </c>
      <c r="B2202" s="28" t="s">
        <v>2515</v>
      </c>
      <c r="C2202" s="28">
        <v>4145011350</v>
      </c>
      <c r="D2202" s="28" t="s">
        <v>3612</v>
      </c>
      <c r="E2202" s="28" t="s">
        <v>3613</v>
      </c>
      <c r="F2202" s="28" t="s">
        <v>1700</v>
      </c>
      <c r="G2202" s="28"/>
    </row>
    <row r="2203" spans="1:7">
      <c r="A2203" s="28">
        <v>2202</v>
      </c>
      <c r="B2203" s="28" t="s">
        <v>2516</v>
      </c>
      <c r="C2203" s="28">
        <v>4145011608</v>
      </c>
      <c r="D2203" s="28" t="s">
        <v>3612</v>
      </c>
      <c r="E2203" s="28" t="s">
        <v>3613</v>
      </c>
      <c r="F2203" s="28" t="s">
        <v>1700</v>
      </c>
      <c r="G2203" s="28"/>
    </row>
    <row r="2204" spans="1:7">
      <c r="A2204" s="28">
        <v>2203</v>
      </c>
      <c r="B2204" s="28" t="s">
        <v>2517</v>
      </c>
      <c r="C2204" s="28">
        <v>4145011773</v>
      </c>
      <c r="D2204" s="28" t="s">
        <v>3612</v>
      </c>
      <c r="E2204" s="28" t="s">
        <v>3613</v>
      </c>
      <c r="F2204" s="28" t="s">
        <v>1700</v>
      </c>
      <c r="G2204" s="28"/>
    </row>
    <row r="2205" spans="1:7">
      <c r="A2205" s="28">
        <v>2204</v>
      </c>
      <c r="B2205" s="28" t="s">
        <v>2518</v>
      </c>
      <c r="C2205" s="28">
        <v>4145012344</v>
      </c>
      <c r="D2205" s="28" t="s">
        <v>3612</v>
      </c>
      <c r="E2205" s="28" t="s">
        <v>3614</v>
      </c>
      <c r="F2205" s="28" t="s">
        <v>1700</v>
      </c>
      <c r="G2205" s="28"/>
    </row>
    <row r="2206" spans="1:7">
      <c r="A2206" s="28">
        <v>2205</v>
      </c>
      <c r="B2206" s="28" t="s">
        <v>2519</v>
      </c>
      <c r="C2206" s="28">
        <v>4145012356</v>
      </c>
      <c r="D2206" s="28" t="s">
        <v>3612</v>
      </c>
      <c r="E2206" s="28" t="s">
        <v>3613</v>
      </c>
      <c r="F2206" s="28" t="s">
        <v>1700</v>
      </c>
      <c r="G2206" s="28"/>
    </row>
    <row r="2207" spans="1:7">
      <c r="A2207" s="28">
        <v>2206</v>
      </c>
      <c r="B2207" s="28" t="s">
        <v>2520</v>
      </c>
      <c r="C2207" s="28">
        <v>4145012364</v>
      </c>
      <c r="D2207" s="28" t="s">
        <v>3612</v>
      </c>
      <c r="E2207" s="28" t="s">
        <v>3613</v>
      </c>
      <c r="F2207" s="28" t="s">
        <v>1700</v>
      </c>
      <c r="G2207" s="28"/>
    </row>
    <row r="2208" spans="1:7">
      <c r="A2208" s="28">
        <v>2207</v>
      </c>
      <c r="B2208" s="28" t="s">
        <v>2521</v>
      </c>
      <c r="C2208" s="28">
        <v>4145012379</v>
      </c>
      <c r="D2208" s="28" t="s">
        <v>3612</v>
      </c>
      <c r="E2208" s="28" t="s">
        <v>3613</v>
      </c>
      <c r="F2208" s="28" t="s">
        <v>1700</v>
      </c>
      <c r="G2208" s="28"/>
    </row>
    <row r="2209" spans="1:7">
      <c r="A2209" s="28">
        <v>2208</v>
      </c>
      <c r="B2209" s="28" t="s">
        <v>2522</v>
      </c>
      <c r="C2209" s="28">
        <v>4145012392</v>
      </c>
      <c r="D2209" s="28" t="s">
        <v>3612</v>
      </c>
      <c r="E2209" s="28" t="s">
        <v>3614</v>
      </c>
      <c r="F2209" s="28" t="s">
        <v>1700</v>
      </c>
      <c r="G2209" s="28"/>
    </row>
    <row r="2210" spans="1:7">
      <c r="A2210" s="28">
        <v>2209</v>
      </c>
      <c r="B2210" s="28" t="s">
        <v>2523</v>
      </c>
      <c r="C2210" s="28">
        <v>4145013138</v>
      </c>
      <c r="D2210" s="28" t="s">
        <v>3612</v>
      </c>
      <c r="E2210" s="28" t="s">
        <v>3613</v>
      </c>
      <c r="F2210" s="28" t="s">
        <v>1700</v>
      </c>
      <c r="G2210" s="28"/>
    </row>
    <row r="2211" spans="1:7">
      <c r="A2211" s="28">
        <v>2210</v>
      </c>
      <c r="B2211" s="28" t="s">
        <v>2524</v>
      </c>
      <c r="C2211" s="28">
        <v>4145013522</v>
      </c>
      <c r="D2211" s="28" t="s">
        <v>3612</v>
      </c>
      <c r="E2211" s="28" t="s">
        <v>3618</v>
      </c>
      <c r="F2211" s="28" t="s">
        <v>1700</v>
      </c>
      <c r="G2211" s="28"/>
    </row>
    <row r="2212" spans="1:7">
      <c r="A2212" s="28">
        <v>2211</v>
      </c>
      <c r="B2212" s="28" t="s">
        <v>2525</v>
      </c>
      <c r="C2212" s="28">
        <v>4145013523</v>
      </c>
      <c r="D2212" s="28" t="s">
        <v>3612</v>
      </c>
      <c r="E2212" s="28" t="s">
        <v>3625</v>
      </c>
      <c r="F2212" s="28" t="s">
        <v>1700</v>
      </c>
      <c r="G2212" s="28"/>
    </row>
    <row r="2213" spans="1:7">
      <c r="A2213" s="28">
        <v>2212</v>
      </c>
      <c r="B2213" s="28" t="s">
        <v>3123</v>
      </c>
      <c r="C2213" s="28">
        <v>4145013526</v>
      </c>
      <c r="D2213" s="28" t="s">
        <v>3622</v>
      </c>
      <c r="E2213" s="28" t="s">
        <v>3615</v>
      </c>
      <c r="F2213" s="28" t="s">
        <v>1700</v>
      </c>
      <c r="G2213" s="28" t="s">
        <v>1252</v>
      </c>
    </row>
    <row r="2214" spans="1:7">
      <c r="A2214" s="28">
        <v>2213</v>
      </c>
      <c r="B2214" s="28" t="s">
        <v>2526</v>
      </c>
      <c r="C2214" s="28">
        <v>4145013827</v>
      </c>
      <c r="D2214" s="28" t="s">
        <v>3612</v>
      </c>
      <c r="E2214" s="28" t="s">
        <v>3613</v>
      </c>
      <c r="F2214" s="28" t="s">
        <v>1700</v>
      </c>
      <c r="G2214" s="28"/>
    </row>
    <row r="2215" spans="1:7">
      <c r="A2215" s="28">
        <v>2214</v>
      </c>
      <c r="B2215" s="28" t="s">
        <v>2527</v>
      </c>
      <c r="C2215" s="28">
        <v>4145013828</v>
      </c>
      <c r="D2215" s="28" t="s">
        <v>3612</v>
      </c>
      <c r="E2215" s="28" t="s">
        <v>3613</v>
      </c>
      <c r="F2215" s="28" t="s">
        <v>1700</v>
      </c>
      <c r="G2215" s="28"/>
    </row>
    <row r="2216" spans="1:7">
      <c r="A2216" s="28">
        <v>2215</v>
      </c>
      <c r="B2216" s="28" t="s">
        <v>3124</v>
      </c>
      <c r="C2216" s="28">
        <v>4145013829</v>
      </c>
      <c r="D2216" s="28" t="s">
        <v>3622</v>
      </c>
      <c r="E2216" s="28" t="s">
        <v>3613</v>
      </c>
      <c r="F2216" s="28" t="s">
        <v>1700</v>
      </c>
      <c r="G2216" s="28" t="s">
        <v>1252</v>
      </c>
    </row>
    <row r="2217" spans="1:7">
      <c r="A2217" s="28">
        <v>2216</v>
      </c>
      <c r="B2217" s="28" t="s">
        <v>2528</v>
      </c>
      <c r="C2217" s="28">
        <v>4145013831</v>
      </c>
      <c r="D2217" s="28" t="s">
        <v>3612</v>
      </c>
      <c r="E2217" s="28" t="s">
        <v>3613</v>
      </c>
      <c r="F2217" s="28" t="s">
        <v>1700</v>
      </c>
      <c r="G2217" s="28"/>
    </row>
    <row r="2218" spans="1:7">
      <c r="A2218" s="28">
        <v>2217</v>
      </c>
      <c r="B2218" s="28" t="s">
        <v>3125</v>
      </c>
      <c r="C2218" s="28">
        <v>4145014026</v>
      </c>
      <c r="D2218" s="28" t="s">
        <v>3622</v>
      </c>
      <c r="E2218" s="28" t="s">
        <v>3623</v>
      </c>
      <c r="F2218" s="28" t="s">
        <v>1700</v>
      </c>
      <c r="G2218" s="28" t="s">
        <v>1252</v>
      </c>
    </row>
    <row r="2219" spans="1:7">
      <c r="A2219" s="28">
        <v>2218</v>
      </c>
      <c r="B2219" s="28" t="s">
        <v>2529</v>
      </c>
      <c r="C2219" s="28">
        <v>4145014067</v>
      </c>
      <c r="D2219" s="28" t="s">
        <v>3612</v>
      </c>
      <c r="E2219" s="28" t="s">
        <v>3614</v>
      </c>
      <c r="F2219" s="28" t="s">
        <v>1700</v>
      </c>
      <c r="G2219" s="28"/>
    </row>
    <row r="2220" spans="1:7">
      <c r="A2220" s="28">
        <v>2219</v>
      </c>
      <c r="B2220" s="28" t="s">
        <v>2530</v>
      </c>
      <c r="C2220" s="28">
        <v>4145014068</v>
      </c>
      <c r="D2220" s="28" t="s">
        <v>3612</v>
      </c>
      <c r="E2220" s="28" t="s">
        <v>3616</v>
      </c>
      <c r="F2220" s="28" t="s">
        <v>1700</v>
      </c>
      <c r="G2220" s="28"/>
    </row>
    <row r="2221" spans="1:7">
      <c r="A2221" s="28">
        <v>2220</v>
      </c>
      <c r="B2221" s="28" t="s">
        <v>3126</v>
      </c>
      <c r="C2221" s="28">
        <v>4145014127</v>
      </c>
      <c r="D2221" s="28" t="s">
        <v>3622</v>
      </c>
      <c r="E2221" s="28" t="s">
        <v>3616</v>
      </c>
      <c r="F2221" s="28" t="s">
        <v>1700</v>
      </c>
      <c r="G2221" s="28" t="s">
        <v>1252</v>
      </c>
    </row>
    <row r="2222" spans="1:7">
      <c r="A2222" s="28">
        <v>2221</v>
      </c>
      <c r="B2222" s="28" t="s">
        <v>3127</v>
      </c>
      <c r="C2222" s="28">
        <v>4145014170</v>
      </c>
      <c r="D2222" s="28" t="s">
        <v>3622</v>
      </c>
      <c r="E2222" s="28" t="s">
        <v>3617</v>
      </c>
      <c r="F2222" s="28" t="s">
        <v>1700</v>
      </c>
      <c r="G2222" s="28" t="s">
        <v>1252</v>
      </c>
    </row>
    <row r="2223" spans="1:7">
      <c r="A2223" s="28">
        <v>2222</v>
      </c>
      <c r="B2223" s="28" t="s">
        <v>2531</v>
      </c>
      <c r="C2223" s="28">
        <v>4145014171</v>
      </c>
      <c r="D2223" s="28" t="s">
        <v>3612</v>
      </c>
      <c r="E2223" s="28" t="s">
        <v>3620</v>
      </c>
      <c r="F2223" s="28" t="s">
        <v>1700</v>
      </c>
      <c r="G2223" s="28"/>
    </row>
    <row r="2224" spans="1:7">
      <c r="A2224" s="28">
        <v>2223</v>
      </c>
      <c r="B2224" s="28" t="s">
        <v>3128</v>
      </c>
      <c r="C2224" s="28">
        <v>4145014211</v>
      </c>
      <c r="D2224" s="28" t="s">
        <v>3622</v>
      </c>
      <c r="E2224" s="28" t="s">
        <v>3613</v>
      </c>
      <c r="F2224" s="28" t="s">
        <v>1700</v>
      </c>
      <c r="G2224" s="28" t="s">
        <v>1252</v>
      </c>
    </row>
    <row r="2225" spans="1:7">
      <c r="A2225" s="28">
        <v>2224</v>
      </c>
      <c r="B2225" s="28" t="s">
        <v>2532</v>
      </c>
      <c r="C2225" s="28">
        <v>4145014220</v>
      </c>
      <c r="D2225" s="28" t="s">
        <v>3612</v>
      </c>
      <c r="E2225" s="28" t="s">
        <v>3613</v>
      </c>
      <c r="F2225" s="28" t="s">
        <v>1700</v>
      </c>
      <c r="G2225" s="28"/>
    </row>
    <row r="2226" spans="1:7">
      <c r="A2226" s="28">
        <v>2225</v>
      </c>
      <c r="B2226" s="28" t="s">
        <v>3129</v>
      </c>
      <c r="C2226" s="28">
        <v>4145014312</v>
      </c>
      <c r="D2226" s="28" t="s">
        <v>3622</v>
      </c>
      <c r="E2226" s="28" t="s">
        <v>3617</v>
      </c>
      <c r="F2226" s="28" t="s">
        <v>1700</v>
      </c>
      <c r="G2226" s="28" t="s">
        <v>1252</v>
      </c>
    </row>
    <row r="2227" spans="1:7">
      <c r="A2227" s="28">
        <v>2226</v>
      </c>
      <c r="B2227" s="28" t="s">
        <v>2533</v>
      </c>
      <c r="C2227" s="28">
        <v>4145014313</v>
      </c>
      <c r="D2227" s="28" t="s">
        <v>3612</v>
      </c>
      <c r="E2227" s="28" t="s">
        <v>3613</v>
      </c>
      <c r="F2227" s="28" t="s">
        <v>1700</v>
      </c>
      <c r="G2227" s="28"/>
    </row>
    <row r="2228" spans="1:7">
      <c r="A2228" s="28">
        <v>2227</v>
      </c>
      <c r="B2228" s="28" t="s">
        <v>3130</v>
      </c>
      <c r="C2228" s="28">
        <v>4145014481</v>
      </c>
      <c r="D2228" s="28" t="s">
        <v>3622</v>
      </c>
      <c r="E2228" s="28" t="s">
        <v>3616</v>
      </c>
      <c r="F2228" s="28" t="s">
        <v>1700</v>
      </c>
      <c r="G2228" s="28" t="s">
        <v>1252</v>
      </c>
    </row>
    <row r="2229" spans="1:7">
      <c r="A2229" s="28">
        <v>2228</v>
      </c>
      <c r="B2229" s="28" t="s">
        <v>2534</v>
      </c>
      <c r="C2229" s="28">
        <v>4145014512</v>
      </c>
      <c r="D2229" s="28" t="s">
        <v>3612</v>
      </c>
      <c r="E2229" s="28" t="s">
        <v>3613</v>
      </c>
      <c r="F2229" s="28" t="s">
        <v>1700</v>
      </c>
      <c r="G2229" s="28"/>
    </row>
    <row r="2230" spans="1:7">
      <c r="A2230" s="28">
        <v>2229</v>
      </c>
      <c r="B2230" s="28" t="s">
        <v>3131</v>
      </c>
      <c r="C2230" s="28">
        <v>4145014546</v>
      </c>
      <c r="D2230" s="28" t="s">
        <v>3622</v>
      </c>
      <c r="E2230" s="28" t="s">
        <v>3617</v>
      </c>
      <c r="F2230" s="28" t="s">
        <v>1700</v>
      </c>
      <c r="G2230" s="28" t="s">
        <v>1252</v>
      </c>
    </row>
    <row r="2231" spans="1:7">
      <c r="A2231" s="28">
        <v>2230</v>
      </c>
      <c r="B2231" s="28" t="s">
        <v>3132</v>
      </c>
      <c r="C2231" s="28">
        <v>4145014573</v>
      </c>
      <c r="D2231" s="28" t="s">
        <v>3622</v>
      </c>
      <c r="E2231" s="28" t="s">
        <v>3619</v>
      </c>
      <c r="F2231" s="28" t="s">
        <v>1700</v>
      </c>
      <c r="G2231" s="28" t="s">
        <v>1252</v>
      </c>
    </row>
    <row r="2232" spans="1:7">
      <c r="A2232" s="28">
        <v>2231</v>
      </c>
      <c r="B2232" s="28" t="s">
        <v>3133</v>
      </c>
      <c r="C2232" s="28">
        <v>4145014574</v>
      </c>
      <c r="D2232" s="28" t="s">
        <v>3622</v>
      </c>
      <c r="E2232" s="28" t="s">
        <v>3621</v>
      </c>
      <c r="F2232" s="28" t="s">
        <v>1700</v>
      </c>
      <c r="G2232" s="28" t="s">
        <v>1252</v>
      </c>
    </row>
    <row r="2233" spans="1:7">
      <c r="A2233" s="28">
        <v>2232</v>
      </c>
      <c r="B2233" s="28" t="s">
        <v>2535</v>
      </c>
      <c r="C2233" s="28">
        <v>4145014611</v>
      </c>
      <c r="D2233" s="28" t="s">
        <v>3612</v>
      </c>
      <c r="E2233" s="28" t="s">
        <v>3613</v>
      </c>
      <c r="F2233" s="28" t="s">
        <v>1700</v>
      </c>
      <c r="G2233" s="28"/>
    </row>
    <row r="2234" spans="1:7">
      <c r="A2234" s="28">
        <v>2233</v>
      </c>
      <c r="B2234" s="28" t="s">
        <v>2536</v>
      </c>
      <c r="C2234" s="28">
        <v>4145014668</v>
      </c>
      <c r="D2234" s="28" t="s">
        <v>3612</v>
      </c>
      <c r="E2234" s="28" t="s">
        <v>3617</v>
      </c>
      <c r="F2234" s="28" t="s">
        <v>1700</v>
      </c>
      <c r="G2234" s="28"/>
    </row>
    <row r="2235" spans="1:7">
      <c r="A2235" s="28">
        <v>2234</v>
      </c>
      <c r="B2235" s="28" t="s">
        <v>2537</v>
      </c>
      <c r="C2235" s="28">
        <v>4145014693</v>
      </c>
      <c r="D2235" s="28" t="s">
        <v>3612</v>
      </c>
      <c r="E2235" s="28" t="s">
        <v>3623</v>
      </c>
      <c r="F2235" s="28" t="s">
        <v>1700</v>
      </c>
      <c r="G2235" s="28"/>
    </row>
    <row r="2236" spans="1:7">
      <c r="A2236" s="28">
        <v>2235</v>
      </c>
      <c r="B2236" s="28" t="s">
        <v>3134</v>
      </c>
      <c r="C2236" s="28">
        <v>4145014694</v>
      </c>
      <c r="D2236" s="28" t="s">
        <v>3622</v>
      </c>
      <c r="E2236" s="28" t="s">
        <v>3620</v>
      </c>
      <c r="F2236" s="28" t="s">
        <v>1700</v>
      </c>
      <c r="G2236" s="28" t="s">
        <v>1252</v>
      </c>
    </row>
    <row r="2237" spans="1:7">
      <c r="A2237" s="28">
        <v>2236</v>
      </c>
      <c r="B2237" s="28" t="s">
        <v>2538</v>
      </c>
      <c r="C2237" s="28">
        <v>4145014722</v>
      </c>
      <c r="D2237" s="28" t="s">
        <v>3612</v>
      </c>
      <c r="E2237" s="28" t="s">
        <v>3613</v>
      </c>
      <c r="F2237" s="28" t="s">
        <v>1700</v>
      </c>
      <c r="G2237" s="28"/>
    </row>
    <row r="2238" spans="1:7">
      <c r="A2238" s="28">
        <v>2237</v>
      </c>
      <c r="B2238" s="28" t="s">
        <v>2539</v>
      </c>
      <c r="C2238" s="28">
        <v>4145014723</v>
      </c>
      <c r="D2238" s="28" t="s">
        <v>3612</v>
      </c>
      <c r="E2238" s="28" t="s">
        <v>3626</v>
      </c>
      <c r="F2238" s="28" t="s">
        <v>1700</v>
      </c>
      <c r="G2238" s="28"/>
    </row>
    <row r="2239" spans="1:7">
      <c r="A2239" s="28">
        <v>2238</v>
      </c>
      <c r="B2239" s="28" t="s">
        <v>2541</v>
      </c>
      <c r="C2239" s="28">
        <v>4145014762</v>
      </c>
      <c r="D2239" s="28" t="s">
        <v>3612</v>
      </c>
      <c r="E2239" s="28" t="s">
        <v>3627</v>
      </c>
      <c r="F2239" s="28" t="s">
        <v>1700</v>
      </c>
      <c r="G2239" s="28"/>
    </row>
    <row r="2240" spans="1:7">
      <c r="A2240" s="28">
        <v>2239</v>
      </c>
      <c r="B2240" s="28" t="s">
        <v>2543</v>
      </c>
      <c r="C2240" s="28">
        <v>4145014763</v>
      </c>
      <c r="D2240" s="28" t="s">
        <v>3612</v>
      </c>
      <c r="E2240" s="28" t="s">
        <v>3613</v>
      </c>
      <c r="F2240" s="28" t="s">
        <v>1700</v>
      </c>
      <c r="G2240" s="28"/>
    </row>
    <row r="2241" spans="1:7">
      <c r="A2241" s="28">
        <v>2240</v>
      </c>
      <c r="B2241" s="28" t="s">
        <v>2544</v>
      </c>
      <c r="C2241" s="28">
        <v>4145014764</v>
      </c>
      <c r="D2241" s="28" t="s">
        <v>3612</v>
      </c>
      <c r="E2241" s="28" t="s">
        <v>3617</v>
      </c>
      <c r="F2241" s="28" t="s">
        <v>1700</v>
      </c>
      <c r="G2241" s="28"/>
    </row>
    <row r="2242" spans="1:7">
      <c r="A2242" s="28">
        <v>2241</v>
      </c>
      <c r="B2242" s="28" t="s">
        <v>3135</v>
      </c>
      <c r="C2242" s="28">
        <v>4145014765</v>
      </c>
      <c r="D2242" s="28" t="s">
        <v>3622</v>
      </c>
      <c r="E2242" s="28" t="s">
        <v>3625</v>
      </c>
      <c r="F2242" s="28" t="s">
        <v>1700</v>
      </c>
      <c r="G2242" s="28" t="s">
        <v>1252</v>
      </c>
    </row>
    <row r="2243" spans="1:7">
      <c r="A2243" s="28">
        <v>2242</v>
      </c>
      <c r="B2243" s="28" t="s">
        <v>2545</v>
      </c>
      <c r="C2243" s="28">
        <v>4245051675</v>
      </c>
      <c r="D2243" s="28" t="s">
        <v>3612</v>
      </c>
      <c r="E2243" s="28" t="s">
        <v>3617</v>
      </c>
      <c r="F2243" s="28" t="s">
        <v>1700</v>
      </c>
      <c r="G2243" s="28"/>
    </row>
    <row r="2244" spans="1:7">
      <c r="A2244" s="28">
        <v>2243</v>
      </c>
      <c r="B2244" s="28" t="s">
        <v>2832</v>
      </c>
      <c r="C2244" s="28">
        <v>4145014821</v>
      </c>
      <c r="D2244" s="28" t="s">
        <v>3612</v>
      </c>
      <c r="E2244" s="28" t="s">
        <v>3613</v>
      </c>
      <c r="F2244" s="28" t="s">
        <v>1700</v>
      </c>
      <c r="G2244" s="28"/>
    </row>
    <row r="2245" spans="1:7">
      <c r="A2245" s="28">
        <v>2244</v>
      </c>
      <c r="B2245" s="28" t="s">
        <v>3252</v>
      </c>
      <c r="C2245" s="28">
        <v>4145014822</v>
      </c>
      <c r="D2245" s="28" t="s">
        <v>3622</v>
      </c>
      <c r="E2245" s="28" t="s">
        <v>3615</v>
      </c>
      <c r="F2245" s="28" t="s">
        <v>1700</v>
      </c>
      <c r="G2245" s="28" t="s">
        <v>1252</v>
      </c>
    </row>
    <row r="2246" spans="1:7">
      <c r="A2246" s="28">
        <v>2245</v>
      </c>
      <c r="B2246" s="28" t="s">
        <v>2860</v>
      </c>
      <c r="C2246" s="28">
        <v>4145014868</v>
      </c>
      <c r="D2246" s="28" t="s">
        <v>3612</v>
      </c>
      <c r="E2246" s="28" t="s">
        <v>3619</v>
      </c>
      <c r="F2246" s="28" t="s">
        <v>1700</v>
      </c>
      <c r="G2246" s="28"/>
    </row>
    <row r="2247" spans="1:7">
      <c r="A2247" s="28">
        <v>2246</v>
      </c>
      <c r="B2247" s="28" t="s">
        <v>2861</v>
      </c>
      <c r="C2247" s="28">
        <v>4145014869</v>
      </c>
      <c r="D2247" s="28" t="s">
        <v>3612</v>
      </c>
      <c r="E2247" s="28" t="s">
        <v>3614</v>
      </c>
      <c r="F2247" s="28" t="s">
        <v>1700</v>
      </c>
      <c r="G2247" s="28"/>
    </row>
    <row r="2248" spans="1:7">
      <c r="A2248" s="28">
        <v>2247</v>
      </c>
      <c r="B2248" s="28" t="s">
        <v>942</v>
      </c>
      <c r="C2248" s="28">
        <v>4146010589</v>
      </c>
      <c r="D2248" s="28" t="s">
        <v>3628</v>
      </c>
      <c r="E2248" s="28" t="s">
        <v>3629</v>
      </c>
      <c r="F2248" s="28" t="s">
        <v>11</v>
      </c>
      <c r="G2248" s="28"/>
    </row>
    <row r="2249" spans="1:7">
      <c r="A2249" s="28">
        <v>2248</v>
      </c>
      <c r="B2249" s="28" t="s">
        <v>945</v>
      </c>
      <c r="C2249" s="28">
        <v>4146011100</v>
      </c>
      <c r="D2249" s="28" t="s">
        <v>3628</v>
      </c>
      <c r="E2249" s="28" t="s">
        <v>3630</v>
      </c>
      <c r="F2249" s="28" t="s">
        <v>11</v>
      </c>
      <c r="G2249" s="28"/>
    </row>
    <row r="2250" spans="1:7">
      <c r="A2250" s="28">
        <v>2249</v>
      </c>
      <c r="B2250" s="28" t="s">
        <v>947</v>
      </c>
      <c r="C2250" s="28">
        <v>4146011658</v>
      </c>
      <c r="D2250" s="28" t="s">
        <v>3628</v>
      </c>
      <c r="E2250" s="28" t="s">
        <v>3629</v>
      </c>
      <c r="F2250" s="28" t="s">
        <v>11</v>
      </c>
      <c r="G2250" s="28"/>
    </row>
    <row r="2251" spans="1:7">
      <c r="A2251" s="28">
        <v>2250</v>
      </c>
      <c r="B2251" s="28" t="s">
        <v>948</v>
      </c>
      <c r="C2251" s="28">
        <v>4146011810</v>
      </c>
      <c r="D2251" s="28" t="s">
        <v>3628</v>
      </c>
      <c r="E2251" s="28" t="s">
        <v>3629</v>
      </c>
      <c r="F2251" s="28" t="s">
        <v>11</v>
      </c>
      <c r="G2251" s="28"/>
    </row>
    <row r="2252" spans="1:7">
      <c r="A2252" s="28">
        <v>2251</v>
      </c>
      <c r="B2252" s="28" t="s">
        <v>1591</v>
      </c>
      <c r="C2252" s="28">
        <v>4146012308</v>
      </c>
      <c r="D2252" s="28" t="s">
        <v>3631</v>
      </c>
      <c r="E2252" s="28" t="s">
        <v>3629</v>
      </c>
      <c r="F2252" s="28" t="s">
        <v>11</v>
      </c>
      <c r="G2252" s="28" t="s">
        <v>1252</v>
      </c>
    </row>
    <row r="2253" spans="1:7">
      <c r="A2253" s="28">
        <v>2252</v>
      </c>
      <c r="B2253" s="28" t="s">
        <v>949</v>
      </c>
      <c r="C2253" s="28">
        <v>4146013811</v>
      </c>
      <c r="D2253" s="28" t="s">
        <v>3628</v>
      </c>
      <c r="E2253" s="28" t="s">
        <v>3629</v>
      </c>
      <c r="F2253" s="28" t="s">
        <v>11</v>
      </c>
      <c r="G2253" s="28"/>
    </row>
    <row r="2254" spans="1:7">
      <c r="A2254" s="28">
        <v>2253</v>
      </c>
      <c r="B2254" s="28" t="s">
        <v>1592</v>
      </c>
      <c r="C2254" s="28">
        <v>4146013892</v>
      </c>
      <c r="D2254" s="28" t="s">
        <v>3631</v>
      </c>
      <c r="E2254" s="28" t="s">
        <v>3630</v>
      </c>
      <c r="F2254" s="28" t="s">
        <v>11</v>
      </c>
      <c r="G2254" s="28" t="s">
        <v>1252</v>
      </c>
    </row>
    <row r="2255" spans="1:7">
      <c r="A2255" s="28">
        <v>2254</v>
      </c>
      <c r="B2255" s="28" t="s">
        <v>1593</v>
      </c>
      <c r="C2255" s="28">
        <v>4146014172</v>
      </c>
      <c r="D2255" s="28" t="s">
        <v>3631</v>
      </c>
      <c r="E2255" s="28" t="s">
        <v>3629</v>
      </c>
      <c r="F2255" s="28" t="s">
        <v>11</v>
      </c>
      <c r="G2255" s="28" t="s">
        <v>1252</v>
      </c>
    </row>
    <row r="2256" spans="1:7">
      <c r="A2256" s="28">
        <v>2255</v>
      </c>
      <c r="B2256" s="28" t="s">
        <v>1695</v>
      </c>
      <c r="C2256" s="28">
        <v>4146014829</v>
      </c>
      <c r="D2256" s="28" t="s">
        <v>3631</v>
      </c>
      <c r="E2256" s="28" t="s">
        <v>3632</v>
      </c>
      <c r="F2256" s="28" t="s">
        <v>11</v>
      </c>
      <c r="G2256" s="28" t="s">
        <v>1697</v>
      </c>
    </row>
    <row r="2257" spans="1:7">
      <c r="A2257" s="28">
        <v>2256</v>
      </c>
      <c r="B2257" s="28" t="s">
        <v>1248</v>
      </c>
      <c r="C2257" s="28">
        <v>4146014944</v>
      </c>
      <c r="D2257" s="28" t="s">
        <v>3628</v>
      </c>
      <c r="E2257" s="28" t="s">
        <v>3629</v>
      </c>
      <c r="F2257" s="28" t="s">
        <v>11</v>
      </c>
      <c r="G2257" s="28"/>
    </row>
    <row r="2258" spans="1:7">
      <c r="A2258" s="28">
        <v>2257</v>
      </c>
      <c r="B2258" s="28" t="s">
        <v>1698</v>
      </c>
      <c r="C2258" s="28">
        <v>4146014948</v>
      </c>
      <c r="D2258" s="28" t="s">
        <v>3628</v>
      </c>
      <c r="E2258" s="28" t="s">
        <v>3630</v>
      </c>
      <c r="F2258" s="28" t="s">
        <v>11</v>
      </c>
      <c r="G2258" s="28" t="s">
        <v>1697</v>
      </c>
    </row>
    <row r="2259" spans="1:7">
      <c r="A2259" s="28">
        <v>2258</v>
      </c>
      <c r="B2259" s="28" t="s">
        <v>2546</v>
      </c>
      <c r="C2259" s="28">
        <v>4146011999</v>
      </c>
      <c r="D2259" s="28" t="s">
        <v>3628</v>
      </c>
      <c r="E2259" s="28" t="s">
        <v>3629</v>
      </c>
      <c r="F2259" s="28" t="s">
        <v>1700</v>
      </c>
      <c r="G2259" s="28"/>
    </row>
    <row r="2260" spans="1:7">
      <c r="A2260" s="28">
        <v>2259</v>
      </c>
      <c r="B2260" s="28" t="s">
        <v>3136</v>
      </c>
      <c r="C2260" s="28">
        <v>4146012717</v>
      </c>
      <c r="D2260" s="28" t="s">
        <v>3631</v>
      </c>
      <c r="E2260" s="28" t="s">
        <v>3630</v>
      </c>
      <c r="F2260" s="28" t="s">
        <v>1700</v>
      </c>
      <c r="G2260" s="28" t="s">
        <v>1252</v>
      </c>
    </row>
    <row r="2261" spans="1:7">
      <c r="A2261" s="28">
        <v>2260</v>
      </c>
      <c r="B2261" s="28" t="s">
        <v>2547</v>
      </c>
      <c r="C2261" s="28">
        <v>4146013575</v>
      </c>
      <c r="D2261" s="28" t="s">
        <v>3628</v>
      </c>
      <c r="E2261" s="28" t="s">
        <v>3633</v>
      </c>
      <c r="F2261" s="28" t="s">
        <v>1700</v>
      </c>
      <c r="G2261" s="28"/>
    </row>
    <row r="2262" spans="1:7">
      <c r="A2262" s="28">
        <v>2261</v>
      </c>
      <c r="B2262" s="28" t="s">
        <v>2549</v>
      </c>
      <c r="C2262" s="28">
        <v>4146013576</v>
      </c>
      <c r="D2262" s="28" t="s">
        <v>3628</v>
      </c>
      <c r="E2262" s="28" t="s">
        <v>3629</v>
      </c>
      <c r="F2262" s="28" t="s">
        <v>1700</v>
      </c>
      <c r="G2262" s="28"/>
    </row>
    <row r="2263" spans="1:7">
      <c r="A2263" s="28">
        <v>2262</v>
      </c>
      <c r="B2263" s="28" t="s">
        <v>2550</v>
      </c>
      <c r="C2263" s="28">
        <v>4146013577</v>
      </c>
      <c r="D2263" s="28" t="s">
        <v>3628</v>
      </c>
      <c r="E2263" s="28" t="s">
        <v>3634</v>
      </c>
      <c r="F2263" s="28" t="s">
        <v>1700</v>
      </c>
      <c r="G2263" s="28"/>
    </row>
    <row r="2264" spans="1:7">
      <c r="A2264" s="28">
        <v>2263</v>
      </c>
      <c r="B2264" s="28" t="s">
        <v>2552</v>
      </c>
      <c r="C2264" s="28">
        <v>4146013875</v>
      </c>
      <c r="D2264" s="28" t="s">
        <v>3628</v>
      </c>
      <c r="E2264" s="28" t="s">
        <v>3629</v>
      </c>
      <c r="F2264" s="28" t="s">
        <v>1700</v>
      </c>
      <c r="G2264" s="28"/>
    </row>
    <row r="2265" spans="1:7">
      <c r="A2265" s="28">
        <v>2264</v>
      </c>
      <c r="B2265" s="28" t="s">
        <v>3137</v>
      </c>
      <c r="C2265" s="28">
        <v>4146013876</v>
      </c>
      <c r="D2265" s="28" t="s">
        <v>3631</v>
      </c>
      <c r="E2265" s="28" t="s">
        <v>3629</v>
      </c>
      <c r="F2265" s="28" t="s">
        <v>1700</v>
      </c>
      <c r="G2265" s="28" t="s">
        <v>1252</v>
      </c>
    </row>
    <row r="2266" spans="1:7">
      <c r="A2266" s="28">
        <v>2265</v>
      </c>
      <c r="B2266" s="28" t="s">
        <v>3138</v>
      </c>
      <c r="C2266" s="28">
        <v>4146013931</v>
      </c>
      <c r="D2266" s="28" t="s">
        <v>3631</v>
      </c>
      <c r="E2266" s="28" t="s">
        <v>3630</v>
      </c>
      <c r="F2266" s="28" t="s">
        <v>1700</v>
      </c>
      <c r="G2266" s="28" t="s">
        <v>1252</v>
      </c>
    </row>
    <row r="2267" spans="1:7">
      <c r="A2267" s="28">
        <v>2266</v>
      </c>
      <c r="B2267" s="28" t="s">
        <v>3139</v>
      </c>
      <c r="C2267" s="28">
        <v>4146014236</v>
      </c>
      <c r="D2267" s="28" t="s">
        <v>3631</v>
      </c>
      <c r="E2267" s="28" t="s">
        <v>3630</v>
      </c>
      <c r="F2267" s="28" t="s">
        <v>1700</v>
      </c>
      <c r="G2267" s="28" t="s">
        <v>1252</v>
      </c>
    </row>
    <row r="2268" spans="1:7">
      <c r="A2268" s="28">
        <v>2267</v>
      </c>
      <c r="B2268" s="28" t="s">
        <v>2553</v>
      </c>
      <c r="C2268" s="28">
        <v>4146014575</v>
      </c>
      <c r="D2268" s="28" t="s">
        <v>3628</v>
      </c>
      <c r="E2268" s="28" t="s">
        <v>3629</v>
      </c>
      <c r="F2268" s="28" t="s">
        <v>1700</v>
      </c>
      <c r="G2268" s="28"/>
    </row>
    <row r="2269" spans="1:7">
      <c r="A2269" s="28">
        <v>2268</v>
      </c>
      <c r="B2269" s="28" t="s">
        <v>3140</v>
      </c>
      <c r="C2269" s="28">
        <v>4146014612</v>
      </c>
      <c r="D2269" s="28" t="s">
        <v>3631</v>
      </c>
      <c r="E2269" s="28" t="s">
        <v>3630</v>
      </c>
      <c r="F2269" s="28" t="s">
        <v>1700</v>
      </c>
      <c r="G2269" s="28" t="s">
        <v>1252</v>
      </c>
    </row>
    <row r="2270" spans="1:7">
      <c r="A2270" s="28">
        <v>2269</v>
      </c>
      <c r="B2270" s="28" t="s">
        <v>3141</v>
      </c>
      <c r="C2270" s="28">
        <v>4146014639</v>
      </c>
      <c r="D2270" s="28" t="s">
        <v>3631</v>
      </c>
      <c r="E2270" s="28" t="s">
        <v>3635</v>
      </c>
      <c r="F2270" s="28" t="s">
        <v>1700</v>
      </c>
      <c r="G2270" s="28" t="s">
        <v>1252</v>
      </c>
    </row>
    <row r="2271" spans="1:7">
      <c r="A2271" s="28">
        <v>2270</v>
      </c>
      <c r="B2271" s="28" t="s">
        <v>2554</v>
      </c>
      <c r="C2271" s="28">
        <v>4146014724</v>
      </c>
      <c r="D2271" s="28" t="s">
        <v>3628</v>
      </c>
      <c r="E2271" s="28" t="s">
        <v>3629</v>
      </c>
      <c r="F2271" s="28" t="s">
        <v>1700</v>
      </c>
      <c r="G2271" s="28"/>
    </row>
    <row r="2272" spans="1:7">
      <c r="A2272" s="28">
        <v>2271</v>
      </c>
      <c r="B2272" s="28" t="s">
        <v>3260</v>
      </c>
      <c r="C2272" s="28">
        <v>4146014846</v>
      </c>
      <c r="D2272" s="28" t="s">
        <v>3631</v>
      </c>
      <c r="E2272" s="28" t="s">
        <v>3636</v>
      </c>
      <c r="F2272" s="28" t="s">
        <v>1700</v>
      </c>
      <c r="G2272" s="28" t="s">
        <v>1252</v>
      </c>
    </row>
    <row r="2273" spans="1:7">
      <c r="A2273" s="28">
        <v>2272</v>
      </c>
      <c r="B2273" s="28" t="s">
        <v>2862</v>
      </c>
      <c r="C2273" s="28">
        <v>4146014890</v>
      </c>
      <c r="D2273" s="28" t="s">
        <v>3628</v>
      </c>
      <c r="E2273" s="28" t="s">
        <v>3629</v>
      </c>
      <c r="F2273" s="28" t="s">
        <v>1700</v>
      </c>
      <c r="G2273" s="28"/>
    </row>
    <row r="2274" spans="1:7">
      <c r="A2274" s="28">
        <v>2273</v>
      </c>
      <c r="B2274" s="28" t="s">
        <v>2863</v>
      </c>
      <c r="C2274" s="28">
        <v>4146014891</v>
      </c>
      <c r="D2274" s="28" t="s">
        <v>3628</v>
      </c>
      <c r="E2274" s="28" t="s">
        <v>3629</v>
      </c>
      <c r="F2274" s="28" t="s">
        <v>1700</v>
      </c>
      <c r="G2274" s="28"/>
    </row>
    <row r="2275" spans="1:7">
      <c r="A2275" s="28">
        <v>2274</v>
      </c>
      <c r="B2275" s="28" t="s">
        <v>3275</v>
      </c>
      <c r="C2275" s="28">
        <v>4146014893</v>
      </c>
      <c r="D2275" s="28" t="s">
        <v>3631</v>
      </c>
      <c r="E2275" s="28" t="s">
        <v>3630</v>
      </c>
      <c r="F2275" s="28" t="s">
        <v>1700</v>
      </c>
      <c r="G2275" s="28" t="s">
        <v>1252</v>
      </c>
    </row>
    <row r="2276" spans="1:7">
      <c r="A2276" s="28">
        <v>2275</v>
      </c>
      <c r="B2276" s="28" t="s">
        <v>950</v>
      </c>
      <c r="C2276" s="28">
        <v>4150010611</v>
      </c>
      <c r="D2276" s="28" t="s">
        <v>3309</v>
      </c>
      <c r="E2276" s="28" t="s">
        <v>3637</v>
      </c>
      <c r="F2276" s="28" t="s">
        <v>11</v>
      </c>
      <c r="G2276" s="28"/>
    </row>
    <row r="2277" spans="1:7">
      <c r="A2277" s="28">
        <v>2276</v>
      </c>
      <c r="B2277" s="28" t="s">
        <v>952</v>
      </c>
      <c r="C2277" s="28">
        <v>4150010617</v>
      </c>
      <c r="D2277" s="28" t="s">
        <v>3637</v>
      </c>
      <c r="E2277" s="28" t="s">
        <v>3637</v>
      </c>
      <c r="F2277" s="28" t="s">
        <v>11</v>
      </c>
      <c r="G2277" s="28"/>
    </row>
    <row r="2278" spans="1:7">
      <c r="A2278" s="28">
        <v>2277</v>
      </c>
      <c r="B2278" s="28" t="s">
        <v>953</v>
      </c>
      <c r="C2278" s="28">
        <v>4150010618</v>
      </c>
      <c r="D2278" s="28" t="s">
        <v>3637</v>
      </c>
      <c r="E2278" s="28" t="s">
        <v>3637</v>
      </c>
      <c r="F2278" s="28" t="s">
        <v>11</v>
      </c>
      <c r="G2278" s="28"/>
    </row>
    <row r="2279" spans="1:7">
      <c r="A2279" s="28">
        <v>2278</v>
      </c>
      <c r="B2279" s="28" t="s">
        <v>954</v>
      </c>
      <c r="C2279" s="28">
        <v>4150010631</v>
      </c>
      <c r="D2279" s="28" t="s">
        <v>3637</v>
      </c>
      <c r="E2279" s="28" t="s">
        <v>3637</v>
      </c>
      <c r="F2279" s="28" t="s">
        <v>11</v>
      </c>
      <c r="G2279" s="28"/>
    </row>
    <row r="2280" spans="1:7">
      <c r="A2280" s="28">
        <v>2279</v>
      </c>
      <c r="B2280" s="28" t="s">
        <v>955</v>
      </c>
      <c r="C2280" s="28">
        <v>4150010635</v>
      </c>
      <c r="D2280" s="28" t="s">
        <v>3309</v>
      </c>
      <c r="E2280" s="28" t="s">
        <v>3637</v>
      </c>
      <c r="F2280" s="28" t="s">
        <v>11</v>
      </c>
      <c r="G2280" s="28"/>
    </row>
    <row r="2281" spans="1:7">
      <c r="A2281" s="28">
        <v>2280</v>
      </c>
      <c r="B2281" s="28" t="s">
        <v>956</v>
      </c>
      <c r="C2281" s="28">
        <v>4150010637</v>
      </c>
      <c r="D2281" s="28" t="s">
        <v>3637</v>
      </c>
      <c r="E2281" s="28" t="s">
        <v>3637</v>
      </c>
      <c r="F2281" s="28" t="s">
        <v>11</v>
      </c>
      <c r="G2281" s="28"/>
    </row>
    <row r="2282" spans="1:7">
      <c r="A2282" s="28">
        <v>2281</v>
      </c>
      <c r="B2282" s="28" t="s">
        <v>957</v>
      </c>
      <c r="C2282" s="28">
        <v>4150010642</v>
      </c>
      <c r="D2282" s="28" t="s">
        <v>3637</v>
      </c>
      <c r="E2282" s="28" t="s">
        <v>3637</v>
      </c>
      <c r="F2282" s="28" t="s">
        <v>11</v>
      </c>
      <c r="G2282" s="28"/>
    </row>
    <row r="2283" spans="1:7">
      <c r="A2283" s="28">
        <v>2282</v>
      </c>
      <c r="B2283" s="28" t="s">
        <v>3638</v>
      </c>
      <c r="C2283" s="28">
        <v>4150010643</v>
      </c>
      <c r="D2283" s="28" t="s">
        <v>3637</v>
      </c>
      <c r="E2283" s="28" t="s">
        <v>3637</v>
      </c>
      <c r="F2283" s="28" t="s">
        <v>11</v>
      </c>
      <c r="G2283" s="28"/>
    </row>
    <row r="2284" spans="1:7">
      <c r="A2284" s="28">
        <v>2283</v>
      </c>
      <c r="B2284" s="28" t="s">
        <v>959</v>
      </c>
      <c r="C2284" s="28">
        <v>4150010647</v>
      </c>
      <c r="D2284" s="28" t="s">
        <v>3637</v>
      </c>
      <c r="E2284" s="28" t="s">
        <v>3637</v>
      </c>
      <c r="F2284" s="28" t="s">
        <v>11</v>
      </c>
      <c r="G2284" s="28"/>
    </row>
    <row r="2285" spans="1:7">
      <c r="A2285" s="28">
        <v>2284</v>
      </c>
      <c r="B2285" s="28" t="s">
        <v>960</v>
      </c>
      <c r="C2285" s="28">
        <v>4150010650</v>
      </c>
      <c r="D2285" s="28" t="s">
        <v>3637</v>
      </c>
      <c r="E2285" s="28" t="s">
        <v>3637</v>
      </c>
      <c r="F2285" s="28" t="s">
        <v>11</v>
      </c>
      <c r="G2285" s="28"/>
    </row>
    <row r="2286" spans="1:7">
      <c r="A2286" s="28">
        <v>2285</v>
      </c>
      <c r="B2286" s="28" t="s">
        <v>961</v>
      </c>
      <c r="C2286" s="28">
        <v>4150010652</v>
      </c>
      <c r="D2286" s="28" t="s">
        <v>3637</v>
      </c>
      <c r="E2286" s="28" t="s">
        <v>3637</v>
      </c>
      <c r="F2286" s="28" t="s">
        <v>11</v>
      </c>
      <c r="G2286" s="28"/>
    </row>
    <row r="2287" spans="1:7">
      <c r="A2287" s="28">
        <v>2286</v>
      </c>
      <c r="B2287" s="28" t="s">
        <v>962</v>
      </c>
      <c r="C2287" s="28">
        <v>4150010655</v>
      </c>
      <c r="D2287" s="28" t="s">
        <v>3637</v>
      </c>
      <c r="E2287" s="28" t="s">
        <v>3637</v>
      </c>
      <c r="F2287" s="28" t="s">
        <v>11</v>
      </c>
      <c r="G2287" s="28"/>
    </row>
    <row r="2288" spans="1:7">
      <c r="A2288" s="28">
        <v>2287</v>
      </c>
      <c r="B2288" s="28" t="s">
        <v>963</v>
      </c>
      <c r="C2288" s="28">
        <v>4150011551</v>
      </c>
      <c r="D2288" s="28" t="s">
        <v>3637</v>
      </c>
      <c r="E2288" s="28" t="s">
        <v>3637</v>
      </c>
      <c r="F2288" s="28" t="s">
        <v>11</v>
      </c>
      <c r="G2288" s="28"/>
    </row>
    <row r="2289" spans="1:7">
      <c r="A2289" s="28">
        <v>2288</v>
      </c>
      <c r="B2289" s="28" t="s">
        <v>964</v>
      </c>
      <c r="C2289" s="28">
        <v>4150011660</v>
      </c>
      <c r="D2289" s="28" t="s">
        <v>3637</v>
      </c>
      <c r="E2289" s="28" t="s">
        <v>3637</v>
      </c>
      <c r="F2289" s="28" t="s">
        <v>11</v>
      </c>
      <c r="G2289" s="28"/>
    </row>
    <row r="2290" spans="1:7">
      <c r="A2290" s="28">
        <v>2289</v>
      </c>
      <c r="B2290" s="28" t="s">
        <v>965</v>
      </c>
      <c r="C2290" s="28">
        <v>4150011799</v>
      </c>
      <c r="D2290" s="28" t="s">
        <v>3637</v>
      </c>
      <c r="E2290" s="28" t="s">
        <v>3637</v>
      </c>
      <c r="F2290" s="28" t="s">
        <v>11</v>
      </c>
      <c r="G2290" s="28"/>
    </row>
    <row r="2291" spans="1:7">
      <c r="A2291" s="28">
        <v>2290</v>
      </c>
      <c r="B2291" s="28" t="s">
        <v>1594</v>
      </c>
      <c r="C2291" s="28">
        <v>4150012607</v>
      </c>
      <c r="D2291" s="28" t="s">
        <v>3639</v>
      </c>
      <c r="E2291" s="28" t="s">
        <v>3637</v>
      </c>
      <c r="F2291" s="28" t="s">
        <v>11</v>
      </c>
      <c r="G2291" s="28" t="s">
        <v>1252</v>
      </c>
    </row>
    <row r="2292" spans="1:7">
      <c r="A2292" s="28">
        <v>2291</v>
      </c>
      <c r="B2292" s="28" t="s">
        <v>1595</v>
      </c>
      <c r="C2292" s="28">
        <v>4150012608</v>
      </c>
      <c r="D2292" s="28" t="s">
        <v>3639</v>
      </c>
      <c r="E2292" s="28" t="s">
        <v>3637</v>
      </c>
      <c r="F2292" s="28" t="s">
        <v>11</v>
      </c>
      <c r="G2292" s="28" t="s">
        <v>1252</v>
      </c>
    </row>
    <row r="2293" spans="1:7">
      <c r="A2293" s="28">
        <v>2292</v>
      </c>
      <c r="B2293" s="28" t="s">
        <v>1596</v>
      </c>
      <c r="C2293" s="28">
        <v>4150012616</v>
      </c>
      <c r="D2293" s="28" t="s">
        <v>3639</v>
      </c>
      <c r="E2293" s="28" t="s">
        <v>3637</v>
      </c>
      <c r="F2293" s="28" t="s">
        <v>11</v>
      </c>
      <c r="G2293" s="28" t="s">
        <v>1252</v>
      </c>
    </row>
    <row r="2294" spans="1:7">
      <c r="A2294" s="28">
        <v>2293</v>
      </c>
      <c r="B2294" s="28" t="s">
        <v>966</v>
      </c>
      <c r="C2294" s="28">
        <v>4150012757</v>
      </c>
      <c r="D2294" s="28" t="s">
        <v>3637</v>
      </c>
      <c r="E2294" s="28" t="s">
        <v>3637</v>
      </c>
      <c r="F2294" s="28" t="s">
        <v>11</v>
      </c>
      <c r="G2294" s="28"/>
    </row>
    <row r="2295" spans="1:7">
      <c r="A2295" s="28">
        <v>2294</v>
      </c>
      <c r="B2295" s="28" t="s">
        <v>1597</v>
      </c>
      <c r="C2295" s="28">
        <v>4150013548</v>
      </c>
      <c r="D2295" s="28" t="s">
        <v>3639</v>
      </c>
      <c r="E2295" s="28" t="s">
        <v>3637</v>
      </c>
      <c r="F2295" s="28" t="s">
        <v>11</v>
      </c>
      <c r="G2295" s="28" t="s">
        <v>1252</v>
      </c>
    </row>
    <row r="2296" spans="1:7">
      <c r="A2296" s="28">
        <v>2295</v>
      </c>
      <c r="B2296" s="28" t="s">
        <v>1598</v>
      </c>
      <c r="C2296" s="28">
        <v>4150013588</v>
      </c>
      <c r="D2296" s="28" t="s">
        <v>3639</v>
      </c>
      <c r="E2296" s="28" t="s">
        <v>3637</v>
      </c>
      <c r="F2296" s="28" t="s">
        <v>11</v>
      </c>
      <c r="G2296" s="28" t="s">
        <v>1252</v>
      </c>
    </row>
    <row r="2297" spans="1:7">
      <c r="A2297" s="28">
        <v>2296</v>
      </c>
      <c r="B2297" s="28" t="s">
        <v>1599</v>
      </c>
      <c r="C2297" s="28">
        <v>4150013589</v>
      </c>
      <c r="D2297" s="28" t="s">
        <v>3639</v>
      </c>
      <c r="E2297" s="28" t="s">
        <v>3637</v>
      </c>
      <c r="F2297" s="28" t="s">
        <v>11</v>
      </c>
      <c r="G2297" s="28" t="s">
        <v>1252</v>
      </c>
    </row>
    <row r="2298" spans="1:7">
      <c r="A2298" s="28">
        <v>2297</v>
      </c>
      <c r="B2298" s="28" t="s">
        <v>1600</v>
      </c>
      <c r="C2298" s="28">
        <v>4150013590</v>
      </c>
      <c r="D2298" s="28" t="s">
        <v>3639</v>
      </c>
      <c r="E2298" s="28" t="s">
        <v>3637</v>
      </c>
      <c r="F2298" s="28" t="s">
        <v>11</v>
      </c>
      <c r="G2298" s="28" t="s">
        <v>1252</v>
      </c>
    </row>
    <row r="2299" spans="1:7">
      <c r="A2299" s="28">
        <v>2298</v>
      </c>
      <c r="B2299" s="28" t="s">
        <v>1601</v>
      </c>
      <c r="C2299" s="28">
        <v>4150013591</v>
      </c>
      <c r="D2299" s="28" t="s">
        <v>3639</v>
      </c>
      <c r="E2299" s="28" t="s">
        <v>3637</v>
      </c>
      <c r="F2299" s="28" t="s">
        <v>11</v>
      </c>
      <c r="G2299" s="28" t="s">
        <v>1252</v>
      </c>
    </row>
    <row r="2300" spans="1:7">
      <c r="A2300" s="28">
        <v>2299</v>
      </c>
      <c r="B2300" s="28" t="s">
        <v>1602</v>
      </c>
      <c r="C2300" s="28">
        <v>4150013627</v>
      </c>
      <c r="D2300" s="28" t="s">
        <v>3639</v>
      </c>
      <c r="E2300" s="28" t="s">
        <v>3637</v>
      </c>
      <c r="F2300" s="28" t="s">
        <v>11</v>
      </c>
      <c r="G2300" s="28" t="s">
        <v>1252</v>
      </c>
    </row>
    <row r="2301" spans="1:7">
      <c r="A2301" s="28">
        <v>2300</v>
      </c>
      <c r="B2301" s="28" t="s">
        <v>967</v>
      </c>
      <c r="C2301" s="28">
        <v>4150014388</v>
      </c>
      <c r="D2301" s="28" t="s">
        <v>3637</v>
      </c>
      <c r="E2301" s="28" t="s">
        <v>3637</v>
      </c>
      <c r="F2301" s="28" t="s">
        <v>11</v>
      </c>
      <c r="G2301" s="28"/>
    </row>
    <row r="2302" spans="1:7">
      <c r="A2302" s="28">
        <v>2301</v>
      </c>
      <c r="B2302" s="28" t="s">
        <v>1239</v>
      </c>
      <c r="C2302" s="28">
        <v>4150014830</v>
      </c>
      <c r="D2302" s="28" t="s">
        <v>3637</v>
      </c>
      <c r="E2302" s="28" t="s">
        <v>3637</v>
      </c>
      <c r="F2302" s="28" t="s">
        <v>11</v>
      </c>
      <c r="G2302" s="28"/>
    </row>
    <row r="2303" spans="1:7">
      <c r="A2303" s="28">
        <v>2302</v>
      </c>
      <c r="B2303" s="28" t="s">
        <v>969</v>
      </c>
      <c r="C2303" s="28">
        <v>4150012609</v>
      </c>
      <c r="D2303" s="28" t="s">
        <v>3637</v>
      </c>
      <c r="E2303" s="28" t="s">
        <v>3637</v>
      </c>
      <c r="F2303" s="28" t="s">
        <v>11</v>
      </c>
      <c r="G2303" s="28"/>
    </row>
    <row r="2304" spans="1:7">
      <c r="A2304" s="28">
        <v>2303</v>
      </c>
      <c r="B2304" s="28" t="s">
        <v>968</v>
      </c>
      <c r="C2304" s="28">
        <v>4150012215</v>
      </c>
      <c r="D2304" s="28" t="s">
        <v>3637</v>
      </c>
      <c r="E2304" s="28" t="s">
        <v>3637</v>
      </c>
      <c r="F2304" s="28" t="s">
        <v>11</v>
      </c>
      <c r="G2304" s="28"/>
    </row>
    <row r="2305" spans="1:7">
      <c r="A2305" s="28">
        <v>2304</v>
      </c>
      <c r="B2305" s="28" t="s">
        <v>2555</v>
      </c>
      <c r="C2305" s="28">
        <v>4150010870</v>
      </c>
      <c r="D2305" s="28" t="s">
        <v>3637</v>
      </c>
      <c r="E2305" s="28" t="s">
        <v>3637</v>
      </c>
      <c r="F2305" s="28" t="s">
        <v>1700</v>
      </c>
      <c r="G2305" s="28"/>
    </row>
    <row r="2306" spans="1:7">
      <c r="A2306" s="28">
        <v>2305</v>
      </c>
      <c r="B2306" s="28" t="s">
        <v>2556</v>
      </c>
      <c r="C2306" s="28">
        <v>4150011848</v>
      </c>
      <c r="D2306" s="28" t="s">
        <v>3637</v>
      </c>
      <c r="E2306" s="28" t="s">
        <v>3637</v>
      </c>
      <c r="F2306" s="28" t="s">
        <v>1700</v>
      </c>
      <c r="G2306" s="28"/>
    </row>
    <row r="2307" spans="1:7">
      <c r="A2307" s="28">
        <v>2306</v>
      </c>
      <c r="B2307" s="28" t="s">
        <v>2557</v>
      </c>
      <c r="C2307" s="28">
        <v>4150012605</v>
      </c>
      <c r="D2307" s="28" t="s">
        <v>3637</v>
      </c>
      <c r="E2307" s="28" t="s">
        <v>3637</v>
      </c>
      <c r="F2307" s="28" t="s">
        <v>1700</v>
      </c>
      <c r="G2307" s="28"/>
    </row>
    <row r="2308" spans="1:7">
      <c r="A2308" s="28">
        <v>2307</v>
      </c>
      <c r="B2308" s="28" t="s">
        <v>2558</v>
      </c>
      <c r="C2308" s="28">
        <v>4150012606</v>
      </c>
      <c r="D2308" s="28" t="s">
        <v>3637</v>
      </c>
      <c r="E2308" s="28" t="s">
        <v>3637</v>
      </c>
      <c r="F2308" s="28" t="s">
        <v>1700</v>
      </c>
      <c r="G2308" s="28"/>
    </row>
    <row r="2309" spans="1:7">
      <c r="A2309" s="28">
        <v>2308</v>
      </c>
      <c r="B2309" s="28" t="s">
        <v>3143</v>
      </c>
      <c r="C2309" s="28">
        <v>4150012754</v>
      </c>
      <c r="D2309" s="28" t="s">
        <v>3639</v>
      </c>
      <c r="E2309" s="28" t="s">
        <v>3637</v>
      </c>
      <c r="F2309" s="28" t="s">
        <v>1700</v>
      </c>
      <c r="G2309" s="28" t="s">
        <v>1252</v>
      </c>
    </row>
    <row r="2310" spans="1:7">
      <c r="A2310" s="28">
        <v>2309</v>
      </c>
      <c r="B2310" s="28" t="s">
        <v>3144</v>
      </c>
      <c r="C2310" s="28">
        <v>4150012755</v>
      </c>
      <c r="D2310" s="28" t="s">
        <v>3639</v>
      </c>
      <c r="E2310" s="28" t="s">
        <v>3637</v>
      </c>
      <c r="F2310" s="28" t="s">
        <v>1700</v>
      </c>
      <c r="G2310" s="28" t="s">
        <v>1252</v>
      </c>
    </row>
    <row r="2311" spans="1:7">
      <c r="A2311" s="28">
        <v>2310</v>
      </c>
      <c r="B2311" s="28" t="s">
        <v>3145</v>
      </c>
      <c r="C2311" s="28">
        <v>4150012756</v>
      </c>
      <c r="D2311" s="28" t="s">
        <v>3639</v>
      </c>
      <c r="E2311" s="28" t="s">
        <v>3637</v>
      </c>
      <c r="F2311" s="28" t="s">
        <v>1700</v>
      </c>
      <c r="G2311" s="28" t="s">
        <v>1252</v>
      </c>
    </row>
    <row r="2312" spans="1:7">
      <c r="A2312" s="28">
        <v>2311</v>
      </c>
      <c r="B2312" s="28" t="s">
        <v>2559</v>
      </c>
      <c r="C2312" s="28">
        <v>4150012758</v>
      </c>
      <c r="D2312" s="28" t="s">
        <v>3637</v>
      </c>
      <c r="E2312" s="28" t="s">
        <v>3637</v>
      </c>
      <c r="F2312" s="28" t="s">
        <v>1700</v>
      </c>
      <c r="G2312" s="28"/>
    </row>
    <row r="2313" spans="1:7">
      <c r="A2313" s="28">
        <v>2312</v>
      </c>
      <c r="B2313" s="28" t="s">
        <v>2560</v>
      </c>
      <c r="C2313" s="28">
        <v>4150012759</v>
      </c>
      <c r="D2313" s="28" t="s">
        <v>3637</v>
      </c>
      <c r="E2313" s="28" t="s">
        <v>3637</v>
      </c>
      <c r="F2313" s="28" t="s">
        <v>1700</v>
      </c>
      <c r="G2313" s="28"/>
    </row>
    <row r="2314" spans="1:7">
      <c r="A2314" s="28">
        <v>2313</v>
      </c>
      <c r="B2314" s="28" t="s">
        <v>3146</v>
      </c>
      <c r="C2314" s="28">
        <v>4150012820</v>
      </c>
      <c r="D2314" s="28" t="s">
        <v>3639</v>
      </c>
      <c r="E2314" s="28" t="s">
        <v>3637</v>
      </c>
      <c r="F2314" s="28" t="s">
        <v>1700</v>
      </c>
      <c r="G2314" s="28" t="s">
        <v>1252</v>
      </c>
    </row>
    <row r="2315" spans="1:7">
      <c r="A2315" s="28">
        <v>2314</v>
      </c>
      <c r="B2315" s="28" t="s">
        <v>2561</v>
      </c>
      <c r="C2315" s="28">
        <v>4150013734</v>
      </c>
      <c r="D2315" s="28" t="s">
        <v>3637</v>
      </c>
      <c r="E2315" s="28" t="s">
        <v>3637</v>
      </c>
      <c r="F2315" s="28" t="s">
        <v>1700</v>
      </c>
      <c r="G2315" s="28"/>
    </row>
    <row r="2316" spans="1:7">
      <c r="A2316" s="28">
        <v>2315</v>
      </c>
      <c r="B2316" s="28" t="s">
        <v>2562</v>
      </c>
      <c r="C2316" s="28">
        <v>4150013735</v>
      </c>
      <c r="D2316" s="28" t="s">
        <v>3637</v>
      </c>
      <c r="E2316" s="28" t="s">
        <v>3637</v>
      </c>
      <c r="F2316" s="28" t="s">
        <v>1700</v>
      </c>
      <c r="G2316" s="28"/>
    </row>
    <row r="2317" spans="1:7">
      <c r="A2317" s="28">
        <v>2316</v>
      </c>
      <c r="B2317" s="28" t="s">
        <v>2563</v>
      </c>
      <c r="C2317" s="28">
        <v>4150013967</v>
      </c>
      <c r="D2317" s="28" t="s">
        <v>3637</v>
      </c>
      <c r="E2317" s="28" t="s">
        <v>3637</v>
      </c>
      <c r="F2317" s="28" t="s">
        <v>1700</v>
      </c>
      <c r="G2317" s="28"/>
    </row>
    <row r="2318" spans="1:7">
      <c r="A2318" s="28">
        <v>2317</v>
      </c>
      <c r="B2318" s="28" t="s">
        <v>3147</v>
      </c>
      <c r="C2318" s="28">
        <v>4150013968</v>
      </c>
      <c r="D2318" s="28" t="s">
        <v>3639</v>
      </c>
      <c r="E2318" s="28" t="s">
        <v>3637</v>
      </c>
      <c r="F2318" s="28" t="s">
        <v>1700</v>
      </c>
      <c r="G2318" s="28" t="s">
        <v>1252</v>
      </c>
    </row>
    <row r="2319" spans="1:7">
      <c r="A2319" s="28">
        <v>2318</v>
      </c>
      <c r="B2319" s="28" t="s">
        <v>2564</v>
      </c>
      <c r="C2319" s="28">
        <v>4150014008</v>
      </c>
      <c r="D2319" s="28" t="s">
        <v>3637</v>
      </c>
      <c r="E2319" s="28" t="s">
        <v>3637</v>
      </c>
      <c r="F2319" s="28" t="s">
        <v>1700</v>
      </c>
      <c r="G2319" s="28"/>
    </row>
    <row r="2320" spans="1:7">
      <c r="A2320" s="28">
        <v>2319</v>
      </c>
      <c r="B2320" s="28" t="s">
        <v>2565</v>
      </c>
      <c r="C2320" s="28">
        <v>4150014009</v>
      </c>
      <c r="D2320" s="28" t="s">
        <v>3637</v>
      </c>
      <c r="E2320" s="28" t="s">
        <v>3637</v>
      </c>
      <c r="F2320" s="28" t="s">
        <v>1700</v>
      </c>
      <c r="G2320" s="28"/>
    </row>
    <row r="2321" spans="1:7">
      <c r="A2321" s="28">
        <v>2320</v>
      </c>
      <c r="B2321" s="28" t="s">
        <v>2566</v>
      </c>
      <c r="C2321" s="28">
        <v>4150014069</v>
      </c>
      <c r="D2321" s="28" t="s">
        <v>3637</v>
      </c>
      <c r="E2321" s="28" t="s">
        <v>3637</v>
      </c>
      <c r="F2321" s="28" t="s">
        <v>1700</v>
      </c>
      <c r="G2321" s="28"/>
    </row>
    <row r="2322" spans="1:7">
      <c r="A2322" s="28">
        <v>2321</v>
      </c>
      <c r="B2322" s="28" t="s">
        <v>2567</v>
      </c>
      <c r="C2322" s="28">
        <v>4150014128</v>
      </c>
      <c r="D2322" s="28" t="s">
        <v>3637</v>
      </c>
      <c r="E2322" s="28" t="s">
        <v>3637</v>
      </c>
      <c r="F2322" s="28" t="s">
        <v>1700</v>
      </c>
      <c r="G2322" s="28"/>
    </row>
    <row r="2323" spans="1:7">
      <c r="A2323" s="28">
        <v>2322</v>
      </c>
      <c r="B2323" s="28" t="s">
        <v>3148</v>
      </c>
      <c r="C2323" s="28">
        <v>4150014173</v>
      </c>
      <c r="D2323" s="28" t="s">
        <v>3639</v>
      </c>
      <c r="E2323" s="28" t="s">
        <v>3637</v>
      </c>
      <c r="F2323" s="28" t="s">
        <v>1700</v>
      </c>
      <c r="G2323" s="28" t="s">
        <v>1252</v>
      </c>
    </row>
    <row r="2324" spans="1:7">
      <c r="A2324" s="28">
        <v>2323</v>
      </c>
      <c r="B2324" s="28" t="s">
        <v>2568</v>
      </c>
      <c r="C2324" s="28">
        <v>4150014183</v>
      </c>
      <c r="D2324" s="28" t="s">
        <v>3637</v>
      </c>
      <c r="E2324" s="28" t="s">
        <v>3637</v>
      </c>
      <c r="F2324" s="28" t="s">
        <v>1700</v>
      </c>
      <c r="G2324" s="28"/>
    </row>
    <row r="2325" spans="1:7">
      <c r="A2325" s="28">
        <v>2324</v>
      </c>
      <c r="B2325" s="28" t="s">
        <v>3149</v>
      </c>
      <c r="C2325" s="28">
        <v>4150014237</v>
      </c>
      <c r="D2325" s="28" t="s">
        <v>3639</v>
      </c>
      <c r="E2325" s="28" t="s">
        <v>3637</v>
      </c>
      <c r="F2325" s="28" t="s">
        <v>1700</v>
      </c>
      <c r="G2325" s="28" t="s">
        <v>1252</v>
      </c>
    </row>
    <row r="2326" spans="1:7">
      <c r="A2326" s="28">
        <v>2325</v>
      </c>
      <c r="B2326" s="28" t="s">
        <v>3150</v>
      </c>
      <c r="C2326" s="28">
        <v>4150014238</v>
      </c>
      <c r="D2326" s="28" t="s">
        <v>3639</v>
      </c>
      <c r="E2326" s="28" t="s">
        <v>3637</v>
      </c>
      <c r="F2326" s="28" t="s">
        <v>1700</v>
      </c>
      <c r="G2326" s="28" t="s">
        <v>1252</v>
      </c>
    </row>
    <row r="2327" spans="1:7">
      <c r="A2327" s="28">
        <v>2326</v>
      </c>
      <c r="B2327" s="28" t="s">
        <v>2569</v>
      </c>
      <c r="C2327" s="28">
        <v>4150014246</v>
      </c>
      <c r="D2327" s="28" t="s">
        <v>3637</v>
      </c>
      <c r="E2327" s="28" t="s">
        <v>3637</v>
      </c>
      <c r="F2327" s="28" t="s">
        <v>1700</v>
      </c>
      <c r="G2327" s="28"/>
    </row>
    <row r="2328" spans="1:7">
      <c r="A2328" s="28">
        <v>2327</v>
      </c>
      <c r="B2328" s="28" t="s">
        <v>3151</v>
      </c>
      <c r="C2328" s="28">
        <v>4150014267</v>
      </c>
      <c r="D2328" s="28" t="s">
        <v>3639</v>
      </c>
      <c r="E2328" s="28" t="s">
        <v>3637</v>
      </c>
      <c r="F2328" s="28" t="s">
        <v>1700</v>
      </c>
      <c r="G2328" s="28" t="s">
        <v>1252</v>
      </c>
    </row>
    <row r="2329" spans="1:7">
      <c r="A2329" s="28">
        <v>2328</v>
      </c>
      <c r="B2329" s="28" t="s">
        <v>2570</v>
      </c>
      <c r="C2329" s="28">
        <v>4150014315</v>
      </c>
      <c r="D2329" s="28" t="s">
        <v>3637</v>
      </c>
      <c r="E2329" s="28" t="s">
        <v>3637</v>
      </c>
      <c r="F2329" s="28" t="s">
        <v>1700</v>
      </c>
      <c r="G2329" s="28"/>
    </row>
    <row r="2330" spans="1:7">
      <c r="A2330" s="28">
        <v>2329</v>
      </c>
      <c r="B2330" s="28" t="s">
        <v>2571</v>
      </c>
      <c r="C2330" s="28">
        <v>4150014316</v>
      </c>
      <c r="D2330" s="28" t="s">
        <v>3637</v>
      </c>
      <c r="E2330" s="28" t="s">
        <v>3637</v>
      </c>
      <c r="F2330" s="28" t="s">
        <v>1700</v>
      </c>
      <c r="G2330" s="28"/>
    </row>
    <row r="2331" spans="1:7">
      <c r="A2331" s="28">
        <v>2330</v>
      </c>
      <c r="B2331" s="28" t="s">
        <v>2572</v>
      </c>
      <c r="C2331" s="28">
        <v>4150014365</v>
      </c>
      <c r="D2331" s="28" t="s">
        <v>3637</v>
      </c>
      <c r="E2331" s="28" t="s">
        <v>3637</v>
      </c>
      <c r="F2331" s="28" t="s">
        <v>1700</v>
      </c>
      <c r="G2331" s="28"/>
    </row>
    <row r="2332" spans="1:7">
      <c r="A2332" s="28">
        <v>2331</v>
      </c>
      <c r="B2332" s="28" t="s">
        <v>3152</v>
      </c>
      <c r="C2332" s="28">
        <v>4150014366</v>
      </c>
      <c r="D2332" s="28" t="s">
        <v>3639</v>
      </c>
      <c r="E2332" s="28" t="s">
        <v>3637</v>
      </c>
      <c r="F2332" s="28" t="s">
        <v>1700</v>
      </c>
      <c r="G2332" s="28" t="s">
        <v>1252</v>
      </c>
    </row>
    <row r="2333" spans="1:7">
      <c r="A2333" s="28">
        <v>2332</v>
      </c>
      <c r="B2333" s="28" t="s">
        <v>3153</v>
      </c>
      <c r="C2333" s="28">
        <v>4150014367</v>
      </c>
      <c r="D2333" s="28" t="s">
        <v>3639</v>
      </c>
      <c r="E2333" s="28" t="s">
        <v>3637</v>
      </c>
      <c r="F2333" s="28" t="s">
        <v>1700</v>
      </c>
      <c r="G2333" s="28" t="s">
        <v>1252</v>
      </c>
    </row>
    <row r="2334" spans="1:7">
      <c r="A2334" s="28">
        <v>2333</v>
      </c>
      <c r="B2334" s="28" t="s">
        <v>3154</v>
      </c>
      <c r="C2334" s="28">
        <v>4150014368</v>
      </c>
      <c r="D2334" s="28" t="s">
        <v>3639</v>
      </c>
      <c r="E2334" s="28" t="s">
        <v>3637</v>
      </c>
      <c r="F2334" s="28" t="s">
        <v>1700</v>
      </c>
      <c r="G2334" s="28" t="s">
        <v>1252</v>
      </c>
    </row>
    <row r="2335" spans="1:7">
      <c r="A2335" s="28">
        <v>2334</v>
      </c>
      <c r="B2335" s="28" t="s">
        <v>3155</v>
      </c>
      <c r="C2335" s="28">
        <v>4150014369</v>
      </c>
      <c r="D2335" s="28" t="s">
        <v>3639</v>
      </c>
      <c r="E2335" s="28" t="s">
        <v>3637</v>
      </c>
      <c r="F2335" s="28" t="s">
        <v>1700</v>
      </c>
      <c r="G2335" s="28" t="s">
        <v>1252</v>
      </c>
    </row>
    <row r="2336" spans="1:7">
      <c r="A2336" s="28">
        <v>2335</v>
      </c>
      <c r="B2336" s="28" t="s">
        <v>3156</v>
      </c>
      <c r="C2336" s="28">
        <v>4150014370</v>
      </c>
      <c r="D2336" s="28" t="s">
        <v>3639</v>
      </c>
      <c r="E2336" s="28" t="s">
        <v>3637</v>
      </c>
      <c r="F2336" s="28" t="s">
        <v>1700</v>
      </c>
      <c r="G2336" s="28" t="s">
        <v>1252</v>
      </c>
    </row>
    <row r="2337" spans="1:7">
      <c r="A2337" s="28">
        <v>2336</v>
      </c>
      <c r="B2337" s="28" t="s">
        <v>2573</v>
      </c>
      <c r="C2337" s="28">
        <v>4150014428</v>
      </c>
      <c r="D2337" s="28" t="s">
        <v>3637</v>
      </c>
      <c r="E2337" s="28" t="s">
        <v>3637</v>
      </c>
      <c r="F2337" s="28" t="s">
        <v>1700</v>
      </c>
      <c r="G2337" s="28"/>
    </row>
    <row r="2338" spans="1:7">
      <c r="A2338" s="28">
        <v>2337</v>
      </c>
      <c r="B2338" s="28" t="s">
        <v>2574</v>
      </c>
      <c r="C2338" s="28">
        <v>4150014482</v>
      </c>
      <c r="D2338" s="28" t="s">
        <v>3637</v>
      </c>
      <c r="E2338" s="28" t="s">
        <v>3637</v>
      </c>
      <c r="F2338" s="28" t="s">
        <v>1700</v>
      </c>
      <c r="G2338" s="28"/>
    </row>
    <row r="2339" spans="1:7">
      <c r="A2339" s="28">
        <v>2338</v>
      </c>
      <c r="B2339" s="28" t="s">
        <v>3157</v>
      </c>
      <c r="C2339" s="28">
        <v>4150014491</v>
      </c>
      <c r="D2339" s="28" t="s">
        <v>3639</v>
      </c>
      <c r="E2339" s="28" t="s">
        <v>3637</v>
      </c>
      <c r="F2339" s="28" t="s">
        <v>1700</v>
      </c>
      <c r="G2339" s="28" t="s">
        <v>1252</v>
      </c>
    </row>
    <row r="2340" spans="1:7">
      <c r="A2340" s="28">
        <v>2339</v>
      </c>
      <c r="B2340" s="28" t="s">
        <v>3158</v>
      </c>
      <c r="C2340" s="28">
        <v>4150014557</v>
      </c>
      <c r="D2340" s="28" t="s">
        <v>3639</v>
      </c>
      <c r="E2340" s="28" t="s">
        <v>3637</v>
      </c>
      <c r="F2340" s="28" t="s">
        <v>1700</v>
      </c>
      <c r="G2340" s="28" t="s">
        <v>1252</v>
      </c>
    </row>
    <row r="2341" spans="1:7">
      <c r="A2341" s="28">
        <v>2340</v>
      </c>
      <c r="B2341" s="28" t="s">
        <v>3159</v>
      </c>
      <c r="C2341" s="28">
        <v>4150014576</v>
      </c>
      <c r="D2341" s="28" t="s">
        <v>3639</v>
      </c>
      <c r="E2341" s="28" t="s">
        <v>3637</v>
      </c>
      <c r="F2341" s="28" t="s">
        <v>1700</v>
      </c>
      <c r="G2341" s="28" t="s">
        <v>1252</v>
      </c>
    </row>
    <row r="2342" spans="1:7">
      <c r="A2342" s="28">
        <v>2341</v>
      </c>
      <c r="B2342" s="28" t="s">
        <v>3160</v>
      </c>
      <c r="C2342" s="28">
        <v>4150014725</v>
      </c>
      <c r="D2342" s="28" t="s">
        <v>3639</v>
      </c>
      <c r="E2342" s="28" t="s">
        <v>3637</v>
      </c>
      <c r="F2342" s="28" t="s">
        <v>1700</v>
      </c>
      <c r="G2342" s="28" t="s">
        <v>1252</v>
      </c>
    </row>
    <row r="2343" spans="1:7">
      <c r="A2343" s="28">
        <v>2342</v>
      </c>
      <c r="B2343" s="28" t="s">
        <v>3161</v>
      </c>
      <c r="C2343" s="28">
        <v>4150014726</v>
      </c>
      <c r="D2343" s="28" t="s">
        <v>3639</v>
      </c>
      <c r="E2343" s="28" t="s">
        <v>3637</v>
      </c>
      <c r="F2343" s="28" t="s">
        <v>1700</v>
      </c>
      <c r="G2343" s="28" t="s">
        <v>1252</v>
      </c>
    </row>
    <row r="2344" spans="1:7">
      <c r="A2344" s="28">
        <v>2343</v>
      </c>
      <c r="B2344" s="28" t="s">
        <v>3162</v>
      </c>
      <c r="C2344" s="28">
        <v>4150014727</v>
      </c>
      <c r="D2344" s="28" t="s">
        <v>3639</v>
      </c>
      <c r="E2344" s="28" t="s">
        <v>3637</v>
      </c>
      <c r="F2344" s="28" t="s">
        <v>1700</v>
      </c>
      <c r="G2344" s="28" t="s">
        <v>1252</v>
      </c>
    </row>
    <row r="2345" spans="1:7">
      <c r="A2345" s="28">
        <v>2344</v>
      </c>
      <c r="B2345" s="28" t="s">
        <v>2575</v>
      </c>
      <c r="C2345" s="28">
        <v>4150014766</v>
      </c>
      <c r="D2345" s="28" t="s">
        <v>3637</v>
      </c>
      <c r="E2345" s="28" t="s">
        <v>3637</v>
      </c>
      <c r="F2345" s="28" t="s">
        <v>1700</v>
      </c>
      <c r="G2345" s="28"/>
    </row>
    <row r="2346" spans="1:7">
      <c r="A2346" s="28">
        <v>2345</v>
      </c>
      <c r="B2346" s="28" t="s">
        <v>2800</v>
      </c>
      <c r="C2346" s="28">
        <v>4150014776</v>
      </c>
      <c r="D2346" s="28" t="s">
        <v>3637</v>
      </c>
      <c r="E2346" s="28" t="s">
        <v>3637</v>
      </c>
      <c r="F2346" s="28" t="s">
        <v>1700</v>
      </c>
      <c r="G2346" s="28"/>
    </row>
    <row r="2347" spans="1:7">
      <c r="A2347" s="28">
        <v>2346</v>
      </c>
      <c r="B2347" s="28" t="s">
        <v>3271</v>
      </c>
      <c r="C2347" s="28">
        <v>4150014838</v>
      </c>
      <c r="D2347" s="28" t="s">
        <v>3639</v>
      </c>
      <c r="E2347" s="28" t="s">
        <v>3637</v>
      </c>
      <c r="F2347" s="28" t="s">
        <v>1700</v>
      </c>
      <c r="G2347" s="28" t="s">
        <v>1252</v>
      </c>
    </row>
    <row r="2348" spans="1:7">
      <c r="A2348" s="28">
        <v>2347</v>
      </c>
      <c r="B2348" s="28" t="s">
        <v>3272</v>
      </c>
      <c r="C2348" s="28">
        <v>4150014870</v>
      </c>
      <c r="D2348" s="28" t="s">
        <v>3639</v>
      </c>
      <c r="E2348" s="28" t="s">
        <v>3637</v>
      </c>
      <c r="F2348" s="28" t="s">
        <v>1700</v>
      </c>
      <c r="G2348" s="28" t="s">
        <v>1252</v>
      </c>
    </row>
    <row r="2349" spans="1:7">
      <c r="A2349" s="28">
        <v>2348</v>
      </c>
      <c r="B2349" s="28" t="s">
        <v>2882</v>
      </c>
      <c r="C2349" s="28">
        <v>4150014935</v>
      </c>
      <c r="D2349" s="28" t="s">
        <v>3637</v>
      </c>
      <c r="E2349" s="28" t="s">
        <v>3637</v>
      </c>
      <c r="F2349" s="28" t="s">
        <v>1700</v>
      </c>
      <c r="G2349" s="28"/>
    </row>
    <row r="2350" spans="1:7">
      <c r="A2350" s="28">
        <v>2349</v>
      </c>
      <c r="B2350" s="28" t="s">
        <v>3300</v>
      </c>
      <c r="C2350" s="28">
        <v>4150014936</v>
      </c>
      <c r="D2350" s="28" t="s">
        <v>3639</v>
      </c>
      <c r="E2350" s="28" t="s">
        <v>3637</v>
      </c>
      <c r="F2350" s="28" t="s">
        <v>1700</v>
      </c>
      <c r="G2350" s="28" t="s">
        <v>1252</v>
      </c>
    </row>
    <row r="2351" spans="1:7">
      <c r="A2351" s="28">
        <v>2350</v>
      </c>
      <c r="B2351" s="28" t="s">
        <v>970</v>
      </c>
      <c r="C2351" s="28">
        <v>4151010610</v>
      </c>
      <c r="D2351" s="28" t="s">
        <v>3309</v>
      </c>
      <c r="E2351" s="28" t="s">
        <v>3640</v>
      </c>
      <c r="F2351" s="28" t="s">
        <v>11</v>
      </c>
      <c r="G2351" s="28"/>
    </row>
    <row r="2352" spans="1:7">
      <c r="A2352" s="28">
        <v>2351</v>
      </c>
      <c r="B2352" s="28" t="s">
        <v>973</v>
      </c>
      <c r="C2352" s="28">
        <v>4151010613</v>
      </c>
      <c r="D2352" s="28" t="s">
        <v>3309</v>
      </c>
      <c r="E2352" s="28" t="s">
        <v>3640</v>
      </c>
      <c r="F2352" s="28" t="s">
        <v>11</v>
      </c>
      <c r="G2352" s="28"/>
    </row>
    <row r="2353" spans="1:7">
      <c r="A2353" s="28">
        <v>2352</v>
      </c>
      <c r="B2353" s="28" t="s">
        <v>974</v>
      </c>
      <c r="C2353" s="28">
        <v>4151010614</v>
      </c>
      <c r="D2353" s="28" t="s">
        <v>3309</v>
      </c>
      <c r="E2353" s="28" t="s">
        <v>3640</v>
      </c>
      <c r="F2353" s="28" t="s">
        <v>11</v>
      </c>
      <c r="G2353" s="28"/>
    </row>
    <row r="2354" spans="1:7">
      <c r="A2354" s="28">
        <v>2353</v>
      </c>
      <c r="B2354" s="28" t="s">
        <v>975</v>
      </c>
      <c r="C2354" s="28">
        <v>4151010615</v>
      </c>
      <c r="D2354" s="28" t="s">
        <v>3641</v>
      </c>
      <c r="E2354" s="28" t="s">
        <v>3640</v>
      </c>
      <c r="F2354" s="28" t="s">
        <v>11</v>
      </c>
      <c r="G2354" s="28"/>
    </row>
    <row r="2355" spans="1:7">
      <c r="A2355" s="28">
        <v>2354</v>
      </c>
      <c r="B2355" s="28" t="s">
        <v>976</v>
      </c>
      <c r="C2355" s="28">
        <v>4151010616</v>
      </c>
      <c r="D2355" s="28" t="s">
        <v>3641</v>
      </c>
      <c r="E2355" s="28" t="s">
        <v>3640</v>
      </c>
      <c r="F2355" s="28" t="s">
        <v>11</v>
      </c>
      <c r="G2355" s="28"/>
    </row>
    <row r="2356" spans="1:7">
      <c r="A2356" s="28">
        <v>2355</v>
      </c>
      <c r="B2356" s="28" t="s">
        <v>977</v>
      </c>
      <c r="C2356" s="28">
        <v>4151010619</v>
      </c>
      <c r="D2356" s="28" t="s">
        <v>3641</v>
      </c>
      <c r="E2356" s="28" t="s">
        <v>3642</v>
      </c>
      <c r="F2356" s="28" t="s">
        <v>11</v>
      </c>
      <c r="G2356" s="28"/>
    </row>
    <row r="2357" spans="1:7">
      <c r="A2357" s="28">
        <v>2356</v>
      </c>
      <c r="B2357" s="28" t="s">
        <v>979</v>
      </c>
      <c r="C2357" s="28">
        <v>4151010621</v>
      </c>
      <c r="D2357" s="28" t="s">
        <v>3641</v>
      </c>
      <c r="E2357" s="28" t="s">
        <v>3640</v>
      </c>
      <c r="F2357" s="28" t="s">
        <v>11</v>
      </c>
      <c r="G2357" s="28"/>
    </row>
    <row r="2358" spans="1:7">
      <c r="A2358" s="28">
        <v>2357</v>
      </c>
      <c r="B2358" s="28" t="s">
        <v>980</v>
      </c>
      <c r="C2358" s="28">
        <v>4151010622</v>
      </c>
      <c r="D2358" s="28" t="s">
        <v>3641</v>
      </c>
      <c r="E2358" s="28" t="s">
        <v>3643</v>
      </c>
      <c r="F2358" s="28" t="s">
        <v>11</v>
      </c>
      <c r="G2358" s="28"/>
    </row>
    <row r="2359" spans="1:7">
      <c r="A2359" s="28">
        <v>2358</v>
      </c>
      <c r="B2359" s="28" t="s">
        <v>982</v>
      </c>
      <c r="C2359" s="28">
        <v>4151010623</v>
      </c>
      <c r="D2359" s="28" t="s">
        <v>3641</v>
      </c>
      <c r="E2359" s="28" t="s">
        <v>3640</v>
      </c>
      <c r="F2359" s="28" t="s">
        <v>11</v>
      </c>
      <c r="G2359" s="28"/>
    </row>
    <row r="2360" spans="1:7">
      <c r="A2360" s="28">
        <v>2359</v>
      </c>
      <c r="B2360" s="28" t="s">
        <v>983</v>
      </c>
      <c r="C2360" s="28">
        <v>4151010624</v>
      </c>
      <c r="D2360" s="28" t="s">
        <v>3327</v>
      </c>
      <c r="E2360" s="28" t="s">
        <v>3644</v>
      </c>
      <c r="F2360" s="28" t="s">
        <v>11</v>
      </c>
      <c r="G2360" s="28"/>
    </row>
    <row r="2361" spans="1:7">
      <c r="A2361" s="28">
        <v>2360</v>
      </c>
      <c r="B2361" s="28" t="s">
        <v>985</v>
      </c>
      <c r="C2361" s="28">
        <v>4151010626</v>
      </c>
      <c r="D2361" s="28" t="s">
        <v>3641</v>
      </c>
      <c r="E2361" s="28" t="s">
        <v>3645</v>
      </c>
      <c r="F2361" s="28" t="s">
        <v>11</v>
      </c>
      <c r="G2361" s="28"/>
    </row>
    <row r="2362" spans="1:7">
      <c r="A2362" s="28">
        <v>2361</v>
      </c>
      <c r="B2362" s="28" t="s">
        <v>987</v>
      </c>
      <c r="C2362" s="28">
        <v>4151010628</v>
      </c>
      <c r="D2362" s="28" t="s">
        <v>3641</v>
      </c>
      <c r="E2362" s="28" t="s">
        <v>3646</v>
      </c>
      <c r="F2362" s="28" t="s">
        <v>11</v>
      </c>
      <c r="G2362" s="28"/>
    </row>
    <row r="2363" spans="1:7">
      <c r="A2363" s="28">
        <v>2362</v>
      </c>
      <c r="B2363" s="28" t="s">
        <v>989</v>
      </c>
      <c r="C2363" s="28">
        <v>4151010632</v>
      </c>
      <c r="D2363" s="28" t="s">
        <v>3641</v>
      </c>
      <c r="E2363" s="28" t="s">
        <v>3647</v>
      </c>
      <c r="F2363" s="28" t="s">
        <v>11</v>
      </c>
      <c r="G2363" s="28"/>
    </row>
    <row r="2364" spans="1:7">
      <c r="A2364" s="28">
        <v>2363</v>
      </c>
      <c r="B2364" s="28" t="s">
        <v>991</v>
      </c>
      <c r="C2364" s="28">
        <v>4151010633</v>
      </c>
      <c r="D2364" s="28" t="s">
        <v>3641</v>
      </c>
      <c r="E2364" s="28" t="s">
        <v>3640</v>
      </c>
      <c r="F2364" s="28" t="s">
        <v>11</v>
      </c>
      <c r="G2364" s="28"/>
    </row>
    <row r="2365" spans="1:7">
      <c r="A2365" s="28">
        <v>2364</v>
      </c>
      <c r="B2365" s="28" t="s">
        <v>992</v>
      </c>
      <c r="C2365" s="28">
        <v>4151010634</v>
      </c>
      <c r="D2365" s="28" t="s">
        <v>3641</v>
      </c>
      <c r="E2365" s="28" t="s">
        <v>3648</v>
      </c>
      <c r="F2365" s="28" t="s">
        <v>11</v>
      </c>
      <c r="G2365" s="28"/>
    </row>
    <row r="2366" spans="1:7">
      <c r="A2366" s="28">
        <v>2365</v>
      </c>
      <c r="B2366" s="28" t="s">
        <v>994</v>
      </c>
      <c r="C2366" s="28">
        <v>4151010636</v>
      </c>
      <c r="D2366" s="28" t="s">
        <v>3641</v>
      </c>
      <c r="E2366" s="28" t="s">
        <v>3640</v>
      </c>
      <c r="F2366" s="28" t="s">
        <v>11</v>
      </c>
      <c r="G2366" s="28"/>
    </row>
    <row r="2367" spans="1:7">
      <c r="A2367" s="28">
        <v>2366</v>
      </c>
      <c r="B2367" s="28" t="s">
        <v>995</v>
      </c>
      <c r="C2367" s="28">
        <v>4151010638</v>
      </c>
      <c r="D2367" s="28" t="s">
        <v>3641</v>
      </c>
      <c r="E2367" s="28" t="s">
        <v>3648</v>
      </c>
      <c r="F2367" s="28" t="s">
        <v>11</v>
      </c>
      <c r="G2367" s="28"/>
    </row>
    <row r="2368" spans="1:7">
      <c r="A2368" s="28">
        <v>2367</v>
      </c>
      <c r="B2368" s="28" t="s">
        <v>996</v>
      </c>
      <c r="C2368" s="28">
        <v>4151010639</v>
      </c>
      <c r="D2368" s="28" t="s">
        <v>3641</v>
      </c>
      <c r="E2368" s="28" t="s">
        <v>3642</v>
      </c>
      <c r="F2368" s="28" t="s">
        <v>11</v>
      </c>
      <c r="G2368" s="28"/>
    </row>
    <row r="2369" spans="1:7">
      <c r="A2369" s="28">
        <v>2368</v>
      </c>
      <c r="B2369" s="28" t="s">
        <v>997</v>
      </c>
      <c r="C2369" s="28">
        <v>4151010640</v>
      </c>
      <c r="D2369" s="28" t="s">
        <v>3641</v>
      </c>
      <c r="E2369" s="28" t="s">
        <v>3649</v>
      </c>
      <c r="F2369" s="28" t="s">
        <v>11</v>
      </c>
      <c r="G2369" s="28"/>
    </row>
    <row r="2370" spans="1:7">
      <c r="A2370" s="28">
        <v>2369</v>
      </c>
      <c r="B2370" s="28" t="s">
        <v>999</v>
      </c>
      <c r="C2370" s="28">
        <v>4151010641</v>
      </c>
      <c r="D2370" s="28" t="s">
        <v>3641</v>
      </c>
      <c r="E2370" s="28" t="s">
        <v>3650</v>
      </c>
      <c r="F2370" s="28" t="s">
        <v>11</v>
      </c>
      <c r="G2370" s="28"/>
    </row>
    <row r="2371" spans="1:7">
      <c r="A2371" s="28">
        <v>2370</v>
      </c>
      <c r="B2371" s="28" t="s">
        <v>1001</v>
      </c>
      <c r="C2371" s="28">
        <v>4151010644</v>
      </c>
      <c r="D2371" s="28" t="s">
        <v>3641</v>
      </c>
      <c r="E2371" s="28" t="s">
        <v>3651</v>
      </c>
      <c r="F2371" s="28" t="s">
        <v>11</v>
      </c>
      <c r="G2371" s="28"/>
    </row>
    <row r="2372" spans="1:7">
      <c r="A2372" s="28">
        <v>2371</v>
      </c>
      <c r="B2372" s="28" t="s">
        <v>1003</v>
      </c>
      <c r="C2372" s="28">
        <v>4151010646</v>
      </c>
      <c r="D2372" s="28" t="s">
        <v>3641</v>
      </c>
      <c r="E2372" s="28" t="s">
        <v>3652</v>
      </c>
      <c r="F2372" s="28" t="s">
        <v>11</v>
      </c>
      <c r="G2372" s="28"/>
    </row>
    <row r="2373" spans="1:7">
      <c r="A2373" s="28">
        <v>2372</v>
      </c>
      <c r="B2373" s="28" t="s">
        <v>1005</v>
      </c>
      <c r="C2373" s="28">
        <v>4151010649</v>
      </c>
      <c r="D2373" s="28" t="s">
        <v>3641</v>
      </c>
      <c r="E2373" s="28" t="s">
        <v>3653</v>
      </c>
      <c r="F2373" s="28" t="s">
        <v>11</v>
      </c>
      <c r="G2373" s="28"/>
    </row>
    <row r="2374" spans="1:7">
      <c r="A2374" s="28">
        <v>2373</v>
      </c>
      <c r="B2374" s="28" t="s">
        <v>1007</v>
      </c>
      <c r="C2374" s="28">
        <v>4151010651</v>
      </c>
      <c r="D2374" s="28" t="s">
        <v>3309</v>
      </c>
      <c r="E2374" s="28" t="s">
        <v>3640</v>
      </c>
      <c r="F2374" s="28" t="s">
        <v>11</v>
      </c>
      <c r="G2374" s="28"/>
    </row>
    <row r="2375" spans="1:7">
      <c r="A2375" s="28">
        <v>2374</v>
      </c>
      <c r="B2375" s="28" t="s">
        <v>1008</v>
      </c>
      <c r="C2375" s="28">
        <v>4151010653</v>
      </c>
      <c r="D2375" s="28" t="s">
        <v>3641</v>
      </c>
      <c r="E2375" s="28" t="s">
        <v>3640</v>
      </c>
      <c r="F2375" s="28" t="s">
        <v>11</v>
      </c>
      <c r="G2375" s="28"/>
    </row>
    <row r="2376" spans="1:7">
      <c r="A2376" s="28">
        <v>2375</v>
      </c>
      <c r="B2376" s="28" t="s">
        <v>1009</v>
      </c>
      <c r="C2376" s="28">
        <v>4151010654</v>
      </c>
      <c r="D2376" s="28" t="s">
        <v>3641</v>
      </c>
      <c r="E2376" s="28" t="s">
        <v>3640</v>
      </c>
      <c r="F2376" s="28" t="s">
        <v>11</v>
      </c>
      <c r="G2376" s="28"/>
    </row>
    <row r="2377" spans="1:7">
      <c r="A2377" s="28">
        <v>2376</v>
      </c>
      <c r="B2377" s="28" t="s">
        <v>1010</v>
      </c>
      <c r="C2377" s="28">
        <v>4151010656</v>
      </c>
      <c r="D2377" s="28" t="s">
        <v>3318</v>
      </c>
      <c r="E2377" s="28" t="s">
        <v>3640</v>
      </c>
      <c r="F2377" s="28" t="s">
        <v>11</v>
      </c>
      <c r="G2377" s="28"/>
    </row>
    <row r="2378" spans="1:7">
      <c r="A2378" s="28">
        <v>2377</v>
      </c>
      <c r="B2378" s="28" t="s">
        <v>1011</v>
      </c>
      <c r="C2378" s="28">
        <v>4151011079</v>
      </c>
      <c r="D2378" s="28" t="s">
        <v>3641</v>
      </c>
      <c r="E2378" s="28" t="s">
        <v>3640</v>
      </c>
      <c r="F2378" s="28" t="s">
        <v>11</v>
      </c>
      <c r="G2378" s="28"/>
    </row>
    <row r="2379" spans="1:7">
      <c r="A2379" s="28">
        <v>2378</v>
      </c>
      <c r="B2379" s="28" t="s">
        <v>1012</v>
      </c>
      <c r="C2379" s="28">
        <v>4151011116</v>
      </c>
      <c r="D2379" s="28" t="s">
        <v>3641</v>
      </c>
      <c r="E2379" s="28" t="s">
        <v>3640</v>
      </c>
      <c r="F2379" s="28" t="s">
        <v>11</v>
      </c>
      <c r="G2379" s="28"/>
    </row>
    <row r="2380" spans="1:7">
      <c r="A2380" s="28">
        <v>2379</v>
      </c>
      <c r="B2380" s="28" t="s">
        <v>1013</v>
      </c>
      <c r="C2380" s="28">
        <v>4151011360</v>
      </c>
      <c r="D2380" s="28" t="s">
        <v>3641</v>
      </c>
      <c r="E2380" s="28" t="s">
        <v>3654</v>
      </c>
      <c r="F2380" s="28" t="s">
        <v>11</v>
      </c>
      <c r="G2380" s="28"/>
    </row>
    <row r="2381" spans="1:7">
      <c r="A2381" s="28">
        <v>2380</v>
      </c>
      <c r="B2381" s="28" t="s">
        <v>1015</v>
      </c>
      <c r="C2381" s="28">
        <v>4151011552</v>
      </c>
      <c r="D2381" s="28" t="s">
        <v>3641</v>
      </c>
      <c r="E2381" s="28" t="s">
        <v>3640</v>
      </c>
      <c r="F2381" s="28" t="s">
        <v>11</v>
      </c>
      <c r="G2381" s="28"/>
    </row>
    <row r="2382" spans="1:7">
      <c r="A2382" s="28">
        <v>2381</v>
      </c>
      <c r="B2382" s="28" t="s">
        <v>1016</v>
      </c>
      <c r="C2382" s="28">
        <v>4151011661</v>
      </c>
      <c r="D2382" s="28" t="s">
        <v>3641</v>
      </c>
      <c r="E2382" s="28" t="s">
        <v>3655</v>
      </c>
      <c r="F2382" s="28" t="s">
        <v>11</v>
      </c>
      <c r="G2382" s="28"/>
    </row>
    <row r="2383" spans="1:7">
      <c r="A2383" s="28">
        <v>2382</v>
      </c>
      <c r="B2383" s="28" t="s">
        <v>1018</v>
      </c>
      <c r="C2383" s="28">
        <v>4151012212</v>
      </c>
      <c r="D2383" s="28" t="s">
        <v>3641</v>
      </c>
      <c r="E2383" s="28" t="s">
        <v>3647</v>
      </c>
      <c r="F2383" s="28" t="s">
        <v>11</v>
      </c>
      <c r="G2383" s="28"/>
    </row>
    <row r="2384" spans="1:7">
      <c r="A2384" s="28">
        <v>2383</v>
      </c>
      <c r="B2384" s="28" t="s">
        <v>1603</v>
      </c>
      <c r="C2384" s="28">
        <v>4151012636</v>
      </c>
      <c r="D2384" s="28" t="s">
        <v>3656</v>
      </c>
      <c r="E2384" s="28" t="s">
        <v>3640</v>
      </c>
      <c r="F2384" s="28" t="s">
        <v>11</v>
      </c>
      <c r="G2384" s="28" t="s">
        <v>1252</v>
      </c>
    </row>
    <row r="2385" spans="1:7">
      <c r="A2385" s="28">
        <v>2384</v>
      </c>
      <c r="B2385" s="28" t="s">
        <v>1604</v>
      </c>
      <c r="C2385" s="28">
        <v>4151012969</v>
      </c>
      <c r="D2385" s="28" t="s">
        <v>3656</v>
      </c>
      <c r="E2385" s="28" t="s">
        <v>3640</v>
      </c>
      <c r="F2385" s="28" t="s">
        <v>11</v>
      </c>
      <c r="G2385" s="28" t="s">
        <v>1252</v>
      </c>
    </row>
    <row r="2386" spans="1:7">
      <c r="A2386" s="28">
        <v>2385</v>
      </c>
      <c r="B2386" s="28" t="s">
        <v>1605</v>
      </c>
      <c r="C2386" s="28">
        <v>4151013665</v>
      </c>
      <c r="D2386" s="28" t="s">
        <v>3656</v>
      </c>
      <c r="E2386" s="28" t="s">
        <v>3640</v>
      </c>
      <c r="F2386" s="28" t="s">
        <v>11</v>
      </c>
      <c r="G2386" s="28" t="s">
        <v>1252</v>
      </c>
    </row>
    <row r="2387" spans="1:7">
      <c r="A2387" s="28">
        <v>2386</v>
      </c>
      <c r="B2387" s="28" t="s">
        <v>1606</v>
      </c>
      <c r="C2387" s="28">
        <v>4151013668</v>
      </c>
      <c r="D2387" s="28" t="s">
        <v>3656</v>
      </c>
      <c r="E2387" s="28" t="s">
        <v>3653</v>
      </c>
      <c r="F2387" s="28" t="s">
        <v>11</v>
      </c>
      <c r="G2387" s="28" t="s">
        <v>1252</v>
      </c>
    </row>
    <row r="2388" spans="1:7">
      <c r="A2388" s="28">
        <v>2387</v>
      </c>
      <c r="B2388" s="28" t="s">
        <v>1607</v>
      </c>
      <c r="C2388" s="28">
        <v>4151013669</v>
      </c>
      <c r="D2388" s="28" t="s">
        <v>3656</v>
      </c>
      <c r="E2388" s="28" t="s">
        <v>3640</v>
      </c>
      <c r="F2388" s="28" t="s">
        <v>11</v>
      </c>
      <c r="G2388" s="28" t="s">
        <v>1252</v>
      </c>
    </row>
    <row r="2389" spans="1:7">
      <c r="A2389" s="28">
        <v>2388</v>
      </c>
      <c r="B2389" s="28" t="s">
        <v>1608</v>
      </c>
      <c r="C2389" s="28">
        <v>4151013670</v>
      </c>
      <c r="D2389" s="28" t="s">
        <v>3656</v>
      </c>
      <c r="E2389" s="28" t="s">
        <v>3640</v>
      </c>
      <c r="F2389" s="28" t="s">
        <v>11</v>
      </c>
      <c r="G2389" s="28" t="s">
        <v>1252</v>
      </c>
    </row>
    <row r="2390" spans="1:7">
      <c r="A2390" s="28">
        <v>2389</v>
      </c>
      <c r="B2390" s="28" t="s">
        <v>1609</v>
      </c>
      <c r="C2390" s="28">
        <v>4151013671</v>
      </c>
      <c r="D2390" s="28" t="s">
        <v>3656</v>
      </c>
      <c r="E2390" s="28" t="s">
        <v>3640</v>
      </c>
      <c r="F2390" s="28" t="s">
        <v>11</v>
      </c>
      <c r="G2390" s="28" t="s">
        <v>1252</v>
      </c>
    </row>
    <row r="2391" spans="1:7">
      <c r="A2391" s="28">
        <v>2390</v>
      </c>
      <c r="B2391" s="28" t="s">
        <v>1610</v>
      </c>
      <c r="C2391" s="28">
        <v>4151013672</v>
      </c>
      <c r="D2391" s="28" t="s">
        <v>3656</v>
      </c>
      <c r="E2391" s="28" t="s">
        <v>3640</v>
      </c>
      <c r="F2391" s="28" t="s">
        <v>11</v>
      </c>
      <c r="G2391" s="28" t="s">
        <v>1252</v>
      </c>
    </row>
    <row r="2392" spans="1:7">
      <c r="A2392" s="28">
        <v>2391</v>
      </c>
      <c r="B2392" s="28" t="s">
        <v>1611</v>
      </c>
      <c r="C2392" s="28">
        <v>4151013673</v>
      </c>
      <c r="D2392" s="28" t="s">
        <v>3656</v>
      </c>
      <c r="E2392" s="28" t="s">
        <v>3640</v>
      </c>
      <c r="F2392" s="28" t="s">
        <v>11</v>
      </c>
      <c r="G2392" s="28" t="s">
        <v>1252</v>
      </c>
    </row>
    <row r="2393" spans="1:7">
      <c r="A2393" s="28">
        <v>2392</v>
      </c>
      <c r="B2393" s="28" t="s">
        <v>1019</v>
      </c>
      <c r="C2393" s="28">
        <v>4151013705</v>
      </c>
      <c r="D2393" s="28" t="s">
        <v>3641</v>
      </c>
      <c r="E2393" s="28" t="s">
        <v>3640</v>
      </c>
      <c r="F2393" s="28" t="s">
        <v>11</v>
      </c>
      <c r="G2393" s="28"/>
    </row>
    <row r="2394" spans="1:7">
      <c r="A2394" s="28">
        <v>2393</v>
      </c>
      <c r="B2394" s="28" t="s">
        <v>1612</v>
      </c>
      <c r="C2394" s="28">
        <v>4151013816</v>
      </c>
      <c r="D2394" s="28" t="s">
        <v>3656</v>
      </c>
      <c r="E2394" s="28" t="s">
        <v>3644</v>
      </c>
      <c r="F2394" s="28" t="s">
        <v>11</v>
      </c>
      <c r="G2394" s="28" t="s">
        <v>1252</v>
      </c>
    </row>
    <row r="2395" spans="1:7">
      <c r="A2395" s="28">
        <v>2394</v>
      </c>
      <c r="B2395" s="28" t="s">
        <v>1613</v>
      </c>
      <c r="C2395" s="28">
        <v>4151013903</v>
      </c>
      <c r="D2395" s="28" t="s">
        <v>3656</v>
      </c>
      <c r="E2395" s="28" t="s">
        <v>3640</v>
      </c>
      <c r="F2395" s="28" t="s">
        <v>11</v>
      </c>
      <c r="G2395" s="28" t="s">
        <v>1252</v>
      </c>
    </row>
    <row r="2396" spans="1:7">
      <c r="A2396" s="28">
        <v>2395</v>
      </c>
      <c r="B2396" s="28" t="s">
        <v>1614</v>
      </c>
      <c r="C2396" s="28">
        <v>4151014037</v>
      </c>
      <c r="D2396" s="28" t="s">
        <v>3656</v>
      </c>
      <c r="E2396" s="28" t="s">
        <v>3642</v>
      </c>
      <c r="F2396" s="28" t="s">
        <v>11</v>
      </c>
      <c r="G2396" s="28" t="s">
        <v>1252</v>
      </c>
    </row>
    <row r="2397" spans="1:7">
      <c r="A2397" s="28">
        <v>2396</v>
      </c>
      <c r="B2397" s="28" t="s">
        <v>1615</v>
      </c>
      <c r="C2397" s="28">
        <v>4151014039</v>
      </c>
      <c r="D2397" s="28" t="s">
        <v>3656</v>
      </c>
      <c r="E2397" s="28" t="s">
        <v>3657</v>
      </c>
      <c r="F2397" s="28" t="s">
        <v>11</v>
      </c>
      <c r="G2397" s="28" t="s">
        <v>1252</v>
      </c>
    </row>
    <row r="2398" spans="1:7">
      <c r="A2398" s="28">
        <v>2397</v>
      </c>
      <c r="B2398" s="28" t="s">
        <v>1617</v>
      </c>
      <c r="C2398" s="28">
        <v>4151014043</v>
      </c>
      <c r="D2398" s="28" t="s">
        <v>3656</v>
      </c>
      <c r="E2398" s="28" t="s">
        <v>3642</v>
      </c>
      <c r="F2398" s="28" t="s">
        <v>11</v>
      </c>
      <c r="G2398" s="28" t="s">
        <v>1252</v>
      </c>
    </row>
    <row r="2399" spans="1:7">
      <c r="A2399" s="28">
        <v>2398</v>
      </c>
      <c r="B2399" s="28" t="s">
        <v>1618</v>
      </c>
      <c r="C2399" s="28">
        <v>4151014045</v>
      </c>
      <c r="D2399" s="28" t="s">
        <v>3656</v>
      </c>
      <c r="E2399" s="28" t="s">
        <v>3642</v>
      </c>
      <c r="F2399" s="28" t="s">
        <v>11</v>
      </c>
      <c r="G2399" s="28" t="s">
        <v>1252</v>
      </c>
    </row>
    <row r="2400" spans="1:7">
      <c r="A2400" s="28">
        <v>2399</v>
      </c>
      <c r="B2400" s="28" t="s">
        <v>1619</v>
      </c>
      <c r="C2400" s="28">
        <v>4151014262</v>
      </c>
      <c r="D2400" s="28" t="s">
        <v>3656</v>
      </c>
      <c r="E2400" s="28" t="s">
        <v>3648</v>
      </c>
      <c r="F2400" s="28" t="s">
        <v>11</v>
      </c>
      <c r="G2400" s="28" t="s">
        <v>1252</v>
      </c>
    </row>
    <row r="2401" spans="1:7">
      <c r="A2401" s="28">
        <v>2400</v>
      </c>
      <c r="B2401" s="28" t="s">
        <v>1020</v>
      </c>
      <c r="C2401" s="28">
        <v>4151014389</v>
      </c>
      <c r="D2401" s="28" t="s">
        <v>3641</v>
      </c>
      <c r="E2401" s="28" t="s">
        <v>3640</v>
      </c>
      <c r="F2401" s="28" t="s">
        <v>11</v>
      </c>
      <c r="G2401" s="28"/>
    </row>
    <row r="2402" spans="1:7">
      <c r="A2402" s="28">
        <v>2401</v>
      </c>
      <c r="B2402" s="28" t="s">
        <v>1620</v>
      </c>
      <c r="C2402" s="28">
        <v>4151014410</v>
      </c>
      <c r="D2402" s="28" t="s">
        <v>3656</v>
      </c>
      <c r="E2402" s="28" t="s">
        <v>3640</v>
      </c>
      <c r="F2402" s="28" t="s">
        <v>11</v>
      </c>
      <c r="G2402" s="28" t="s">
        <v>1252</v>
      </c>
    </row>
    <row r="2403" spans="1:7">
      <c r="A2403" s="28">
        <v>2402</v>
      </c>
      <c r="B2403" s="28" t="s">
        <v>1621</v>
      </c>
      <c r="C2403" s="28">
        <v>4111012802</v>
      </c>
      <c r="D2403" s="28" t="s">
        <v>3656</v>
      </c>
      <c r="E2403" s="28" t="s">
        <v>3640</v>
      </c>
      <c r="F2403" s="28" t="s">
        <v>11</v>
      </c>
      <c r="G2403" s="28" t="s">
        <v>1252</v>
      </c>
    </row>
    <row r="2404" spans="1:7">
      <c r="A2404" s="28">
        <v>2403</v>
      </c>
      <c r="B2404" s="28" t="s">
        <v>1023</v>
      </c>
      <c r="C2404" s="28">
        <v>4151012763</v>
      </c>
      <c r="D2404" s="28" t="s">
        <v>3641</v>
      </c>
      <c r="E2404" s="28" t="s">
        <v>3644</v>
      </c>
      <c r="F2404" s="28" t="s">
        <v>11</v>
      </c>
      <c r="G2404" s="28"/>
    </row>
    <row r="2405" spans="1:7">
      <c r="A2405" s="28">
        <v>2404</v>
      </c>
      <c r="B2405" s="28" t="s">
        <v>1022</v>
      </c>
      <c r="C2405" s="28">
        <v>4151012064</v>
      </c>
      <c r="D2405" s="28" t="s">
        <v>3641</v>
      </c>
      <c r="E2405" s="28" t="s">
        <v>3640</v>
      </c>
      <c r="F2405" s="28" t="s">
        <v>11</v>
      </c>
      <c r="G2405" s="28"/>
    </row>
    <row r="2406" spans="1:7">
      <c r="A2406" s="28">
        <v>2405</v>
      </c>
      <c r="B2406" s="28" t="s">
        <v>3658</v>
      </c>
      <c r="C2406" s="28">
        <v>4151011553</v>
      </c>
      <c r="D2406" s="28" t="s">
        <v>3641</v>
      </c>
      <c r="E2406" s="28" t="s">
        <v>3640</v>
      </c>
      <c r="F2406" s="28" t="s">
        <v>1700</v>
      </c>
      <c r="G2406" s="28"/>
    </row>
    <row r="2407" spans="1:7">
      <c r="A2407" s="28">
        <v>2406</v>
      </c>
      <c r="B2407" s="28" t="s">
        <v>3163</v>
      </c>
      <c r="C2407" s="28">
        <v>4151011841</v>
      </c>
      <c r="D2407" s="28" t="s">
        <v>3656</v>
      </c>
      <c r="E2407" s="28" t="s">
        <v>3640</v>
      </c>
      <c r="F2407" s="28" t="s">
        <v>1700</v>
      </c>
      <c r="G2407" s="28" t="s">
        <v>1252</v>
      </c>
    </row>
    <row r="2408" spans="1:7">
      <c r="A2408" s="28">
        <v>2407</v>
      </c>
      <c r="B2408" s="28" t="s">
        <v>2576</v>
      </c>
      <c r="C2408" s="28">
        <v>4151012065</v>
      </c>
      <c r="D2408" s="28" t="s">
        <v>3641</v>
      </c>
      <c r="E2408" s="28" t="s">
        <v>3640</v>
      </c>
      <c r="F2408" s="28" t="s">
        <v>1700</v>
      </c>
      <c r="G2408" s="28"/>
    </row>
    <row r="2409" spans="1:7">
      <c r="A2409" s="28">
        <v>2408</v>
      </c>
      <c r="B2409" s="28" t="s">
        <v>2577</v>
      </c>
      <c r="C2409" s="28">
        <v>4151012635</v>
      </c>
      <c r="D2409" s="28" t="s">
        <v>3641</v>
      </c>
      <c r="E2409" s="28" t="s">
        <v>3640</v>
      </c>
      <c r="F2409" s="28" t="s">
        <v>1700</v>
      </c>
      <c r="G2409" s="28"/>
    </row>
    <row r="2410" spans="1:7">
      <c r="A2410" s="28">
        <v>2409</v>
      </c>
      <c r="B2410" s="28" t="s">
        <v>2578</v>
      </c>
      <c r="C2410" s="28">
        <v>4151012637</v>
      </c>
      <c r="D2410" s="28" t="s">
        <v>3641</v>
      </c>
      <c r="E2410" s="28" t="s">
        <v>3647</v>
      </c>
      <c r="F2410" s="28" t="s">
        <v>1700</v>
      </c>
      <c r="G2410" s="28"/>
    </row>
    <row r="2411" spans="1:7">
      <c r="A2411" s="28">
        <v>2410</v>
      </c>
      <c r="B2411" s="28" t="s">
        <v>2579</v>
      </c>
      <c r="C2411" s="28">
        <v>4151012638</v>
      </c>
      <c r="D2411" s="28" t="s">
        <v>3641</v>
      </c>
      <c r="E2411" s="28" t="s">
        <v>3640</v>
      </c>
      <c r="F2411" s="28" t="s">
        <v>1700</v>
      </c>
      <c r="G2411" s="28"/>
    </row>
    <row r="2412" spans="1:7">
      <c r="A2412" s="28">
        <v>2411</v>
      </c>
      <c r="B2412" s="28" t="s">
        <v>2580</v>
      </c>
      <c r="C2412" s="28">
        <v>4151012639</v>
      </c>
      <c r="D2412" s="28" t="s">
        <v>3641</v>
      </c>
      <c r="E2412" s="28" t="s">
        <v>3648</v>
      </c>
      <c r="F2412" s="28" t="s">
        <v>1700</v>
      </c>
      <c r="G2412" s="28"/>
    </row>
    <row r="2413" spans="1:7">
      <c r="A2413" s="28">
        <v>2412</v>
      </c>
      <c r="B2413" s="28" t="s">
        <v>2581</v>
      </c>
      <c r="C2413" s="28">
        <v>4151012640</v>
      </c>
      <c r="D2413" s="28" t="s">
        <v>3641</v>
      </c>
      <c r="E2413" s="28" t="s">
        <v>3649</v>
      </c>
      <c r="F2413" s="28" t="s">
        <v>1700</v>
      </c>
      <c r="G2413" s="28"/>
    </row>
    <row r="2414" spans="1:7">
      <c r="A2414" s="28">
        <v>2413</v>
      </c>
      <c r="B2414" s="28" t="s">
        <v>2582</v>
      </c>
      <c r="C2414" s="28">
        <v>4151012641</v>
      </c>
      <c r="D2414" s="28" t="s">
        <v>3641</v>
      </c>
      <c r="E2414" s="28" t="s">
        <v>3640</v>
      </c>
      <c r="F2414" s="28" t="s">
        <v>1700</v>
      </c>
      <c r="G2414" s="28"/>
    </row>
    <row r="2415" spans="1:7">
      <c r="A2415" s="28">
        <v>2414</v>
      </c>
      <c r="B2415" s="28" t="s">
        <v>2583</v>
      </c>
      <c r="C2415" s="28">
        <v>4151012642</v>
      </c>
      <c r="D2415" s="28" t="s">
        <v>3641</v>
      </c>
      <c r="E2415" s="28" t="s">
        <v>3640</v>
      </c>
      <c r="F2415" s="28" t="s">
        <v>1700</v>
      </c>
      <c r="G2415" s="28"/>
    </row>
    <row r="2416" spans="1:7">
      <c r="A2416" s="28">
        <v>2415</v>
      </c>
      <c r="B2416" s="28" t="s">
        <v>2584</v>
      </c>
      <c r="C2416" s="28">
        <v>4151012751</v>
      </c>
      <c r="D2416" s="28" t="s">
        <v>3641</v>
      </c>
      <c r="E2416" s="28" t="s">
        <v>3654</v>
      </c>
      <c r="F2416" s="28" t="s">
        <v>1700</v>
      </c>
      <c r="G2416" s="28"/>
    </row>
    <row r="2417" spans="1:7">
      <c r="A2417" s="28">
        <v>2416</v>
      </c>
      <c r="B2417" s="28" t="s">
        <v>2585</v>
      </c>
      <c r="C2417" s="28">
        <v>4151012753</v>
      </c>
      <c r="D2417" s="28" t="s">
        <v>3641</v>
      </c>
      <c r="E2417" s="28" t="s">
        <v>3642</v>
      </c>
      <c r="F2417" s="28" t="s">
        <v>1700</v>
      </c>
      <c r="G2417" s="28"/>
    </row>
    <row r="2418" spans="1:7">
      <c r="A2418" s="28">
        <v>2417</v>
      </c>
      <c r="B2418" s="28" t="s">
        <v>2586</v>
      </c>
      <c r="C2418" s="28">
        <v>4151012761</v>
      </c>
      <c r="D2418" s="28" t="s">
        <v>3641</v>
      </c>
      <c r="E2418" s="28" t="s">
        <v>3640</v>
      </c>
      <c r="F2418" s="28" t="s">
        <v>1700</v>
      </c>
      <c r="G2418" s="28"/>
    </row>
    <row r="2419" spans="1:7">
      <c r="A2419" s="28">
        <v>2418</v>
      </c>
      <c r="B2419" s="28" t="s">
        <v>2587</v>
      </c>
      <c r="C2419" s="28">
        <v>4151012762</v>
      </c>
      <c r="D2419" s="28" t="s">
        <v>3641</v>
      </c>
      <c r="E2419" s="28" t="s">
        <v>3640</v>
      </c>
      <c r="F2419" s="28" t="s">
        <v>1700</v>
      </c>
      <c r="G2419" s="28"/>
    </row>
    <row r="2420" spans="1:7">
      <c r="A2420" s="28">
        <v>2419</v>
      </c>
      <c r="B2420" s="28" t="s">
        <v>3659</v>
      </c>
      <c r="C2420" s="28">
        <v>4151012764</v>
      </c>
      <c r="D2420" s="28" t="s">
        <v>3641</v>
      </c>
      <c r="E2420" s="28" t="s">
        <v>3644</v>
      </c>
      <c r="F2420" s="28" t="s">
        <v>1700</v>
      </c>
      <c r="G2420" s="28"/>
    </row>
    <row r="2421" spans="1:7">
      <c r="A2421" s="28">
        <v>2420</v>
      </c>
      <c r="B2421" s="28" t="s">
        <v>2588</v>
      </c>
      <c r="C2421" s="28">
        <v>4151012767</v>
      </c>
      <c r="D2421" s="28" t="s">
        <v>3641</v>
      </c>
      <c r="E2421" s="28" t="s">
        <v>3651</v>
      </c>
      <c r="F2421" s="28" t="s">
        <v>1700</v>
      </c>
      <c r="G2421" s="28"/>
    </row>
    <row r="2422" spans="1:7">
      <c r="A2422" s="28">
        <v>2421</v>
      </c>
      <c r="B2422" s="28" t="s">
        <v>3164</v>
      </c>
      <c r="C2422" s="28">
        <v>4151012963</v>
      </c>
      <c r="D2422" s="28" t="s">
        <v>3656</v>
      </c>
      <c r="E2422" s="28" t="s">
        <v>3640</v>
      </c>
      <c r="F2422" s="28" t="s">
        <v>1700</v>
      </c>
      <c r="G2422" s="28" t="s">
        <v>1252</v>
      </c>
    </row>
    <row r="2423" spans="1:7">
      <c r="A2423" s="28">
        <v>2422</v>
      </c>
      <c r="B2423" s="28" t="s">
        <v>3165</v>
      </c>
      <c r="C2423" s="28">
        <v>4151012964</v>
      </c>
      <c r="D2423" s="28" t="s">
        <v>3656</v>
      </c>
      <c r="E2423" s="28" t="s">
        <v>3640</v>
      </c>
      <c r="F2423" s="28" t="s">
        <v>1700</v>
      </c>
      <c r="G2423" s="28" t="s">
        <v>1252</v>
      </c>
    </row>
    <row r="2424" spans="1:7">
      <c r="A2424" s="28">
        <v>2423</v>
      </c>
      <c r="B2424" s="28" t="s">
        <v>2589</v>
      </c>
      <c r="C2424" s="28">
        <v>4151012965</v>
      </c>
      <c r="D2424" s="28" t="s">
        <v>3641</v>
      </c>
      <c r="E2424" s="28" t="s">
        <v>3640</v>
      </c>
      <c r="F2424" s="28" t="s">
        <v>1700</v>
      </c>
      <c r="G2424" s="28"/>
    </row>
    <row r="2425" spans="1:7">
      <c r="A2425" s="28">
        <v>2424</v>
      </c>
      <c r="B2425" s="28" t="s">
        <v>2590</v>
      </c>
      <c r="C2425" s="28">
        <v>4151012966</v>
      </c>
      <c r="D2425" s="28" t="s">
        <v>3641</v>
      </c>
      <c r="E2425" s="28" t="s">
        <v>3650</v>
      </c>
      <c r="F2425" s="28" t="s">
        <v>1700</v>
      </c>
      <c r="G2425" s="28"/>
    </row>
    <row r="2426" spans="1:7">
      <c r="A2426" s="28">
        <v>2425</v>
      </c>
      <c r="B2426" s="28" t="s">
        <v>2591</v>
      </c>
      <c r="C2426" s="28">
        <v>4151012967</v>
      </c>
      <c r="D2426" s="28" t="s">
        <v>3641</v>
      </c>
      <c r="E2426" s="28" t="s">
        <v>3647</v>
      </c>
      <c r="F2426" s="28" t="s">
        <v>1700</v>
      </c>
      <c r="G2426" s="28"/>
    </row>
    <row r="2427" spans="1:7">
      <c r="A2427" s="28">
        <v>2426</v>
      </c>
      <c r="B2427" s="28" t="s">
        <v>2592</v>
      </c>
      <c r="C2427" s="28">
        <v>4151012968</v>
      </c>
      <c r="D2427" s="28" t="s">
        <v>3641</v>
      </c>
      <c r="E2427" s="28" t="s">
        <v>3657</v>
      </c>
      <c r="F2427" s="28" t="s">
        <v>1700</v>
      </c>
      <c r="G2427" s="28"/>
    </row>
    <row r="2428" spans="1:7">
      <c r="A2428" s="28">
        <v>2427</v>
      </c>
      <c r="B2428" s="28" t="s">
        <v>2593</v>
      </c>
      <c r="C2428" s="28">
        <v>4151012970</v>
      </c>
      <c r="D2428" s="28" t="s">
        <v>3641</v>
      </c>
      <c r="E2428" s="28" t="s">
        <v>3660</v>
      </c>
      <c r="F2428" s="28" t="s">
        <v>1700</v>
      </c>
      <c r="G2428" s="28"/>
    </row>
    <row r="2429" spans="1:7">
      <c r="A2429" s="28">
        <v>2428</v>
      </c>
      <c r="B2429" s="28" t="s">
        <v>2595</v>
      </c>
      <c r="C2429" s="28">
        <v>4151013048</v>
      </c>
      <c r="D2429" s="28" t="s">
        <v>3641</v>
      </c>
      <c r="E2429" s="28" t="s">
        <v>3653</v>
      </c>
      <c r="F2429" s="28" t="s">
        <v>1700</v>
      </c>
      <c r="G2429" s="28"/>
    </row>
    <row r="2430" spans="1:7">
      <c r="A2430" s="28">
        <v>2429</v>
      </c>
      <c r="B2430" s="28" t="s">
        <v>2596</v>
      </c>
      <c r="C2430" s="28">
        <v>4151013049</v>
      </c>
      <c r="D2430" s="28" t="s">
        <v>3641</v>
      </c>
      <c r="E2430" s="28" t="s">
        <v>3645</v>
      </c>
      <c r="F2430" s="28" t="s">
        <v>1700</v>
      </c>
      <c r="G2430" s="28"/>
    </row>
    <row r="2431" spans="1:7">
      <c r="A2431" s="28">
        <v>2430</v>
      </c>
      <c r="B2431" s="28" t="s">
        <v>2597</v>
      </c>
      <c r="C2431" s="28">
        <v>4151013812</v>
      </c>
      <c r="D2431" s="28" t="s">
        <v>3641</v>
      </c>
      <c r="E2431" s="28" t="s">
        <v>3640</v>
      </c>
      <c r="F2431" s="28" t="s">
        <v>1700</v>
      </c>
      <c r="G2431" s="28"/>
    </row>
    <row r="2432" spans="1:7">
      <c r="A2432" s="28">
        <v>2431</v>
      </c>
      <c r="B2432" s="28" t="s">
        <v>2598</v>
      </c>
      <c r="C2432" s="28">
        <v>4151013813</v>
      </c>
      <c r="D2432" s="28" t="s">
        <v>3641</v>
      </c>
      <c r="E2432" s="28" t="s">
        <v>3644</v>
      </c>
      <c r="F2432" s="28" t="s">
        <v>1700</v>
      </c>
      <c r="G2432" s="28"/>
    </row>
    <row r="2433" spans="1:7">
      <c r="A2433" s="28">
        <v>2432</v>
      </c>
      <c r="B2433" s="28" t="s">
        <v>2599</v>
      </c>
      <c r="C2433" s="28">
        <v>4151013814</v>
      </c>
      <c r="D2433" s="28" t="s">
        <v>3641</v>
      </c>
      <c r="E2433" s="28" t="s">
        <v>3661</v>
      </c>
      <c r="F2433" s="28" t="s">
        <v>1700</v>
      </c>
      <c r="G2433" s="28"/>
    </row>
    <row r="2434" spans="1:7">
      <c r="A2434" s="28">
        <v>2433</v>
      </c>
      <c r="B2434" s="28" t="s">
        <v>2601</v>
      </c>
      <c r="C2434" s="28">
        <v>4151013815</v>
      </c>
      <c r="D2434" s="28" t="s">
        <v>3641</v>
      </c>
      <c r="E2434" s="28" t="s">
        <v>3662</v>
      </c>
      <c r="F2434" s="28" t="s">
        <v>1700</v>
      </c>
      <c r="G2434" s="28"/>
    </row>
    <row r="2435" spans="1:7">
      <c r="A2435" s="28">
        <v>2434</v>
      </c>
      <c r="B2435" s="28" t="s">
        <v>3166</v>
      </c>
      <c r="C2435" s="28">
        <v>4151014004</v>
      </c>
      <c r="D2435" s="28" t="s">
        <v>3656</v>
      </c>
      <c r="E2435" s="28" t="s">
        <v>3640</v>
      </c>
      <c r="F2435" s="28" t="s">
        <v>1700</v>
      </c>
      <c r="G2435" s="28" t="s">
        <v>1252</v>
      </c>
    </row>
    <row r="2436" spans="1:7">
      <c r="A2436" s="28">
        <v>2435</v>
      </c>
      <c r="B2436" s="28" t="s">
        <v>3167</v>
      </c>
      <c r="C2436" s="28">
        <v>4151014005</v>
      </c>
      <c r="D2436" s="28" t="s">
        <v>3656</v>
      </c>
      <c r="E2436" s="28" t="s">
        <v>3640</v>
      </c>
      <c r="F2436" s="28" t="s">
        <v>1700</v>
      </c>
      <c r="G2436" s="28" t="s">
        <v>1252</v>
      </c>
    </row>
    <row r="2437" spans="1:7">
      <c r="A2437" s="28">
        <v>2436</v>
      </c>
      <c r="B2437" s="28" t="s">
        <v>2603</v>
      </c>
      <c r="C2437" s="28">
        <v>4151014006</v>
      </c>
      <c r="D2437" s="28" t="s">
        <v>3641</v>
      </c>
      <c r="E2437" s="28" t="s">
        <v>3640</v>
      </c>
      <c r="F2437" s="28" t="s">
        <v>1700</v>
      </c>
      <c r="G2437" s="28"/>
    </row>
    <row r="2438" spans="1:7">
      <c r="A2438" s="28">
        <v>2437</v>
      </c>
      <c r="B2438" s="28" t="s">
        <v>2604</v>
      </c>
      <c r="C2438" s="28">
        <v>4151014007</v>
      </c>
      <c r="D2438" s="28" t="s">
        <v>3641</v>
      </c>
      <c r="E2438" s="28" t="s">
        <v>3640</v>
      </c>
      <c r="F2438" s="28" t="s">
        <v>1700</v>
      </c>
      <c r="G2438" s="28"/>
    </row>
    <row r="2439" spans="1:7">
      <c r="A2439" s="28">
        <v>2438</v>
      </c>
      <c r="B2439" s="28" t="s">
        <v>2605</v>
      </c>
      <c r="C2439" s="28">
        <v>4151014010</v>
      </c>
      <c r="D2439" s="28" t="s">
        <v>3641</v>
      </c>
      <c r="E2439" s="28" t="s">
        <v>3642</v>
      </c>
      <c r="F2439" s="28" t="s">
        <v>1700</v>
      </c>
      <c r="G2439" s="28"/>
    </row>
    <row r="2440" spans="1:7">
      <c r="A2440" s="28">
        <v>2439</v>
      </c>
      <c r="B2440" s="28" t="s">
        <v>3168</v>
      </c>
      <c r="C2440" s="28">
        <v>4151014070</v>
      </c>
      <c r="D2440" s="28" t="s">
        <v>3656</v>
      </c>
      <c r="E2440" s="28" t="s">
        <v>3640</v>
      </c>
      <c r="F2440" s="28" t="s">
        <v>1700</v>
      </c>
      <c r="G2440" s="28" t="s">
        <v>1252</v>
      </c>
    </row>
    <row r="2441" spans="1:7">
      <c r="A2441" s="28">
        <v>2440</v>
      </c>
      <c r="B2441" s="28" t="s">
        <v>2606</v>
      </c>
      <c r="C2441" s="28">
        <v>4151014086</v>
      </c>
      <c r="D2441" s="28" t="s">
        <v>3641</v>
      </c>
      <c r="E2441" s="28" t="s">
        <v>3640</v>
      </c>
      <c r="F2441" s="28" t="s">
        <v>1700</v>
      </c>
      <c r="G2441" s="28"/>
    </row>
    <row r="2442" spans="1:7">
      <c r="A2442" s="28">
        <v>2441</v>
      </c>
      <c r="B2442" s="28" t="s">
        <v>2607</v>
      </c>
      <c r="C2442" s="28">
        <v>4151014091</v>
      </c>
      <c r="D2442" s="28" t="s">
        <v>3641</v>
      </c>
      <c r="E2442" s="28" t="s">
        <v>3640</v>
      </c>
      <c r="F2442" s="28" t="s">
        <v>1700</v>
      </c>
      <c r="G2442" s="28"/>
    </row>
    <row r="2443" spans="1:7">
      <c r="A2443" s="28">
        <v>2442</v>
      </c>
      <c r="B2443" s="28" t="s">
        <v>3169</v>
      </c>
      <c r="C2443" s="28">
        <v>4151014175</v>
      </c>
      <c r="D2443" s="28" t="s">
        <v>3656</v>
      </c>
      <c r="E2443" s="28" t="s">
        <v>3640</v>
      </c>
      <c r="F2443" s="28" t="s">
        <v>1700</v>
      </c>
      <c r="G2443" s="28" t="s">
        <v>1252</v>
      </c>
    </row>
    <row r="2444" spans="1:7">
      <c r="A2444" s="28">
        <v>2443</v>
      </c>
      <c r="B2444" s="28" t="s">
        <v>3170</v>
      </c>
      <c r="C2444" s="28">
        <v>4151014176</v>
      </c>
      <c r="D2444" s="28" t="s">
        <v>3656</v>
      </c>
      <c r="E2444" s="28" t="s">
        <v>3640</v>
      </c>
      <c r="F2444" s="28" t="s">
        <v>1700</v>
      </c>
      <c r="G2444" s="28" t="s">
        <v>1252</v>
      </c>
    </row>
    <row r="2445" spans="1:7">
      <c r="A2445" s="28">
        <v>2444</v>
      </c>
      <c r="B2445" s="28" t="s">
        <v>2608</v>
      </c>
      <c r="C2445" s="28">
        <v>4151014221</v>
      </c>
      <c r="D2445" s="28" t="s">
        <v>3641</v>
      </c>
      <c r="E2445" s="28" t="s">
        <v>3642</v>
      </c>
      <c r="F2445" s="28" t="s">
        <v>1700</v>
      </c>
      <c r="G2445" s="28"/>
    </row>
    <row r="2446" spans="1:7">
      <c r="A2446" s="28">
        <v>2445</v>
      </c>
      <c r="B2446" s="28" t="s">
        <v>3171</v>
      </c>
      <c r="C2446" s="28">
        <v>4151014323</v>
      </c>
      <c r="D2446" s="28" t="s">
        <v>3656</v>
      </c>
      <c r="E2446" s="28" t="s">
        <v>3640</v>
      </c>
      <c r="F2446" s="28" t="s">
        <v>1700</v>
      </c>
      <c r="G2446" s="28" t="s">
        <v>1252</v>
      </c>
    </row>
    <row r="2447" spans="1:7">
      <c r="A2447" s="28">
        <v>2446</v>
      </c>
      <c r="B2447" s="28" t="s">
        <v>3172</v>
      </c>
      <c r="C2447" s="28">
        <v>4151014386</v>
      </c>
      <c r="D2447" s="28" t="s">
        <v>3656</v>
      </c>
      <c r="E2447" s="28" t="s">
        <v>3647</v>
      </c>
      <c r="F2447" s="28" t="s">
        <v>1700</v>
      </c>
      <c r="G2447" s="28" t="s">
        <v>1252</v>
      </c>
    </row>
    <row r="2448" spans="1:7">
      <c r="A2448" s="28">
        <v>2447</v>
      </c>
      <c r="B2448" s="28" t="s">
        <v>2609</v>
      </c>
      <c r="C2448" s="28">
        <v>4151014393</v>
      </c>
      <c r="D2448" s="28" t="s">
        <v>3641</v>
      </c>
      <c r="E2448" s="28" t="s">
        <v>3662</v>
      </c>
      <c r="F2448" s="28" t="s">
        <v>1700</v>
      </c>
      <c r="G2448" s="28"/>
    </row>
    <row r="2449" spans="1:7">
      <c r="A2449" s="28">
        <v>2448</v>
      </c>
      <c r="B2449" s="28" t="s">
        <v>2610</v>
      </c>
      <c r="C2449" s="28">
        <v>4151014409</v>
      </c>
      <c r="D2449" s="28" t="s">
        <v>3641</v>
      </c>
      <c r="E2449" s="28" t="s">
        <v>3643</v>
      </c>
      <c r="F2449" s="28" t="s">
        <v>1700</v>
      </c>
      <c r="G2449" s="28"/>
    </row>
    <row r="2450" spans="1:7">
      <c r="A2450" s="28">
        <v>2449</v>
      </c>
      <c r="B2450" s="28" t="s">
        <v>3173</v>
      </c>
      <c r="C2450" s="28">
        <v>4151014411</v>
      </c>
      <c r="D2450" s="28" t="s">
        <v>3656</v>
      </c>
      <c r="E2450" s="28" t="s">
        <v>3642</v>
      </c>
      <c r="F2450" s="28" t="s">
        <v>1700</v>
      </c>
      <c r="G2450" s="28" t="s">
        <v>1252</v>
      </c>
    </row>
    <row r="2451" spans="1:7">
      <c r="A2451" s="28">
        <v>2450</v>
      </c>
      <c r="B2451" s="28" t="s">
        <v>3174</v>
      </c>
      <c r="C2451" s="28">
        <v>4151014483</v>
      </c>
      <c r="D2451" s="28" t="s">
        <v>3656</v>
      </c>
      <c r="E2451" s="28" t="s">
        <v>3663</v>
      </c>
      <c r="F2451" s="28" t="s">
        <v>1700</v>
      </c>
      <c r="G2451" s="28" t="s">
        <v>1252</v>
      </c>
    </row>
    <row r="2452" spans="1:7">
      <c r="A2452" s="28">
        <v>2451</v>
      </c>
      <c r="B2452" s="28" t="s">
        <v>3176</v>
      </c>
      <c r="C2452" s="28">
        <v>4151014484</v>
      </c>
      <c r="D2452" s="28" t="s">
        <v>3656</v>
      </c>
      <c r="E2452" s="28" t="s">
        <v>3664</v>
      </c>
      <c r="F2452" s="28" t="s">
        <v>1700</v>
      </c>
      <c r="G2452" s="28" t="s">
        <v>1252</v>
      </c>
    </row>
    <row r="2453" spans="1:7">
      <c r="A2453" s="28">
        <v>2452</v>
      </c>
      <c r="B2453" s="28" t="s">
        <v>3178</v>
      </c>
      <c r="C2453" s="28">
        <v>4151014485</v>
      </c>
      <c r="D2453" s="28" t="s">
        <v>3656</v>
      </c>
      <c r="E2453" s="28" t="s">
        <v>3642</v>
      </c>
      <c r="F2453" s="28" t="s">
        <v>1700</v>
      </c>
      <c r="G2453" s="28" t="s">
        <v>1252</v>
      </c>
    </row>
    <row r="2454" spans="1:7">
      <c r="A2454" s="28">
        <v>2453</v>
      </c>
      <c r="B2454" s="28" t="s">
        <v>3179</v>
      </c>
      <c r="C2454" s="28">
        <v>4151014486</v>
      </c>
      <c r="D2454" s="28" t="s">
        <v>3656</v>
      </c>
      <c r="E2454" s="28" t="s">
        <v>3640</v>
      </c>
      <c r="F2454" s="28" t="s">
        <v>1700</v>
      </c>
      <c r="G2454" s="28" t="s">
        <v>1252</v>
      </c>
    </row>
    <row r="2455" spans="1:7">
      <c r="A2455" s="28">
        <v>2454</v>
      </c>
      <c r="B2455" s="28" t="s">
        <v>2611</v>
      </c>
      <c r="C2455" s="28">
        <v>4151014496</v>
      </c>
      <c r="D2455" s="28" t="s">
        <v>3641</v>
      </c>
      <c r="E2455" s="28" t="s">
        <v>3649</v>
      </c>
      <c r="F2455" s="28" t="s">
        <v>1700</v>
      </c>
      <c r="G2455" s="28"/>
    </row>
    <row r="2456" spans="1:7">
      <c r="A2456" s="28">
        <v>2455</v>
      </c>
      <c r="B2456" s="28" t="s">
        <v>2612</v>
      </c>
      <c r="C2456" s="28">
        <v>4151014513</v>
      </c>
      <c r="D2456" s="28" t="s">
        <v>3641</v>
      </c>
      <c r="E2456" s="28" t="s">
        <v>3644</v>
      </c>
      <c r="F2456" s="28" t="s">
        <v>1700</v>
      </c>
      <c r="G2456" s="28"/>
    </row>
    <row r="2457" spans="1:7">
      <c r="A2457" s="28">
        <v>2456</v>
      </c>
      <c r="B2457" s="28" t="s">
        <v>2613</v>
      </c>
      <c r="C2457" s="28">
        <v>4151014514</v>
      </c>
      <c r="D2457" s="28" t="s">
        <v>3641</v>
      </c>
      <c r="E2457" s="28" t="s">
        <v>3640</v>
      </c>
      <c r="F2457" s="28" t="s">
        <v>1700</v>
      </c>
      <c r="G2457" s="28"/>
    </row>
    <row r="2458" spans="1:7">
      <c r="A2458" s="28">
        <v>2457</v>
      </c>
      <c r="B2458" s="28" t="s">
        <v>3180</v>
      </c>
      <c r="C2458" s="28">
        <v>4151014515</v>
      </c>
      <c r="D2458" s="28" t="s">
        <v>3656</v>
      </c>
      <c r="E2458" s="28" t="s">
        <v>3640</v>
      </c>
      <c r="F2458" s="28" t="s">
        <v>1700</v>
      </c>
      <c r="G2458" s="28" t="s">
        <v>1252</v>
      </c>
    </row>
    <row r="2459" spans="1:7">
      <c r="A2459" s="28">
        <v>2458</v>
      </c>
      <c r="B2459" s="28" t="s">
        <v>2614</v>
      </c>
      <c r="C2459" s="28">
        <v>4151014547</v>
      </c>
      <c r="D2459" s="28" t="s">
        <v>3641</v>
      </c>
      <c r="E2459" s="28" t="s">
        <v>3640</v>
      </c>
      <c r="F2459" s="28" t="s">
        <v>1700</v>
      </c>
      <c r="G2459" s="28"/>
    </row>
    <row r="2460" spans="1:7">
      <c r="A2460" s="28">
        <v>2459</v>
      </c>
      <c r="B2460" s="28" t="s">
        <v>3181</v>
      </c>
      <c r="C2460" s="28">
        <v>4151014548</v>
      </c>
      <c r="D2460" s="28" t="s">
        <v>3656</v>
      </c>
      <c r="E2460" s="28" t="s">
        <v>3646</v>
      </c>
      <c r="F2460" s="28" t="s">
        <v>1700</v>
      </c>
      <c r="G2460" s="28" t="s">
        <v>1252</v>
      </c>
    </row>
    <row r="2461" spans="1:7">
      <c r="A2461" s="28">
        <v>2460</v>
      </c>
      <c r="B2461" s="28" t="s">
        <v>2615</v>
      </c>
      <c r="C2461" s="28">
        <v>4151014629</v>
      </c>
      <c r="D2461" s="28" t="s">
        <v>3641</v>
      </c>
      <c r="E2461" s="28" t="s">
        <v>3646</v>
      </c>
      <c r="F2461" s="28" t="s">
        <v>1700</v>
      </c>
      <c r="G2461" s="28"/>
    </row>
    <row r="2462" spans="1:7">
      <c r="A2462" s="28">
        <v>2461</v>
      </c>
      <c r="B2462" s="28" t="s">
        <v>3182</v>
      </c>
      <c r="C2462" s="28">
        <v>4151014640</v>
      </c>
      <c r="D2462" s="28" t="s">
        <v>3656</v>
      </c>
      <c r="E2462" s="28" t="s">
        <v>3657</v>
      </c>
      <c r="F2462" s="28" t="s">
        <v>1700</v>
      </c>
      <c r="G2462" s="28" t="s">
        <v>1252</v>
      </c>
    </row>
    <row r="2463" spans="1:7">
      <c r="A2463" s="28">
        <v>2462</v>
      </c>
      <c r="B2463" s="28" t="s">
        <v>3183</v>
      </c>
      <c r="C2463" s="28">
        <v>4151014641</v>
      </c>
      <c r="D2463" s="28" t="s">
        <v>3656</v>
      </c>
      <c r="E2463" s="28" t="s">
        <v>3657</v>
      </c>
      <c r="F2463" s="28" t="s">
        <v>1700</v>
      </c>
      <c r="G2463" s="28" t="s">
        <v>1252</v>
      </c>
    </row>
    <row r="2464" spans="1:7">
      <c r="A2464" s="28">
        <v>2463</v>
      </c>
      <c r="B2464" s="28" t="s">
        <v>3184</v>
      </c>
      <c r="C2464" s="28">
        <v>4151014642</v>
      </c>
      <c r="D2464" s="28" t="s">
        <v>3656</v>
      </c>
      <c r="E2464" s="28" t="s">
        <v>3644</v>
      </c>
      <c r="F2464" s="28" t="s">
        <v>1700</v>
      </c>
      <c r="G2464" s="28" t="s">
        <v>1252</v>
      </c>
    </row>
    <row r="2465" spans="1:7">
      <c r="A2465" s="28">
        <v>2464</v>
      </c>
      <c r="B2465" s="28" t="s">
        <v>3185</v>
      </c>
      <c r="C2465" s="28">
        <v>4151014643</v>
      </c>
      <c r="D2465" s="28" t="s">
        <v>3656</v>
      </c>
      <c r="E2465" s="28" t="s">
        <v>3644</v>
      </c>
      <c r="F2465" s="28" t="s">
        <v>1700</v>
      </c>
      <c r="G2465" s="28" t="s">
        <v>1252</v>
      </c>
    </row>
    <row r="2466" spans="1:7">
      <c r="A2466" s="28">
        <v>2465</v>
      </c>
      <c r="B2466" s="28" t="s">
        <v>3186</v>
      </c>
      <c r="C2466" s="28">
        <v>4151014644</v>
      </c>
      <c r="D2466" s="28" t="s">
        <v>3656</v>
      </c>
      <c r="E2466" s="28" t="s">
        <v>3647</v>
      </c>
      <c r="F2466" s="28" t="s">
        <v>1700</v>
      </c>
      <c r="G2466" s="28" t="s">
        <v>1252</v>
      </c>
    </row>
    <row r="2467" spans="1:7">
      <c r="A2467" s="28">
        <v>2466</v>
      </c>
      <c r="B2467" s="28" t="s">
        <v>3187</v>
      </c>
      <c r="C2467" s="28">
        <v>4151014645</v>
      </c>
      <c r="D2467" s="28" t="s">
        <v>3656</v>
      </c>
      <c r="E2467" s="28" t="s">
        <v>3657</v>
      </c>
      <c r="F2467" s="28" t="s">
        <v>1700</v>
      </c>
      <c r="G2467" s="28" t="s">
        <v>1252</v>
      </c>
    </row>
    <row r="2468" spans="1:7">
      <c r="A2468" s="28">
        <v>2467</v>
      </c>
      <c r="B2468" s="28" t="s">
        <v>3188</v>
      </c>
      <c r="C2468" s="28">
        <v>4151014646</v>
      </c>
      <c r="D2468" s="28" t="s">
        <v>3656</v>
      </c>
      <c r="E2468" s="28" t="s">
        <v>3657</v>
      </c>
      <c r="F2468" s="28" t="s">
        <v>1700</v>
      </c>
      <c r="G2468" s="28" t="s">
        <v>1252</v>
      </c>
    </row>
    <row r="2469" spans="1:7">
      <c r="A2469" s="28">
        <v>2468</v>
      </c>
      <c r="B2469" s="28" t="s">
        <v>2616</v>
      </c>
      <c r="C2469" s="28">
        <v>4151014647</v>
      </c>
      <c r="D2469" s="28" t="s">
        <v>3641</v>
      </c>
      <c r="E2469" s="28" t="s">
        <v>3652</v>
      </c>
      <c r="F2469" s="28" t="s">
        <v>1700</v>
      </c>
      <c r="G2469" s="28"/>
    </row>
    <row r="2470" spans="1:7">
      <c r="A2470" s="28">
        <v>2469</v>
      </c>
      <c r="B2470" s="28" t="s">
        <v>2617</v>
      </c>
      <c r="C2470" s="28">
        <v>4151014669</v>
      </c>
      <c r="D2470" s="28" t="s">
        <v>3641</v>
      </c>
      <c r="E2470" s="28" t="s">
        <v>3651</v>
      </c>
      <c r="F2470" s="28" t="s">
        <v>1700</v>
      </c>
      <c r="G2470" s="28"/>
    </row>
    <row r="2471" spans="1:7">
      <c r="A2471" s="28">
        <v>2470</v>
      </c>
      <c r="B2471" s="28" t="s">
        <v>2618</v>
      </c>
      <c r="C2471" s="28">
        <v>4151014670</v>
      </c>
      <c r="D2471" s="28" t="s">
        <v>3641</v>
      </c>
      <c r="E2471" s="28" t="s">
        <v>3649</v>
      </c>
      <c r="F2471" s="28" t="s">
        <v>1700</v>
      </c>
      <c r="G2471" s="28"/>
    </row>
    <row r="2472" spans="1:7">
      <c r="A2472" s="28">
        <v>2471</v>
      </c>
      <c r="B2472" s="28" t="s">
        <v>3189</v>
      </c>
      <c r="C2472" s="28">
        <v>4151014671</v>
      </c>
      <c r="D2472" s="28" t="s">
        <v>3656</v>
      </c>
      <c r="E2472" s="28" t="s">
        <v>3648</v>
      </c>
      <c r="F2472" s="28" t="s">
        <v>1700</v>
      </c>
      <c r="G2472" s="28" t="s">
        <v>1252</v>
      </c>
    </row>
    <row r="2473" spans="1:7">
      <c r="A2473" s="28">
        <v>2472</v>
      </c>
      <c r="B2473" s="28" t="s">
        <v>3190</v>
      </c>
      <c r="C2473" s="28">
        <v>4151014672</v>
      </c>
      <c r="D2473" s="28" t="s">
        <v>3656</v>
      </c>
      <c r="E2473" s="28" t="s">
        <v>3654</v>
      </c>
      <c r="F2473" s="28" t="s">
        <v>1700</v>
      </c>
      <c r="G2473" s="28" t="s">
        <v>1252</v>
      </c>
    </row>
    <row r="2474" spans="1:7">
      <c r="A2474" s="28">
        <v>2473</v>
      </c>
      <c r="B2474" s="28" t="s">
        <v>3191</v>
      </c>
      <c r="C2474" s="28">
        <v>4151014673</v>
      </c>
      <c r="D2474" s="28" t="s">
        <v>3656</v>
      </c>
      <c r="E2474" s="28" t="s">
        <v>3664</v>
      </c>
      <c r="F2474" s="28" t="s">
        <v>1700</v>
      </c>
      <c r="G2474" s="28" t="s">
        <v>1252</v>
      </c>
    </row>
    <row r="2475" spans="1:7">
      <c r="A2475" s="28">
        <v>2474</v>
      </c>
      <c r="B2475" s="28" t="s">
        <v>3192</v>
      </c>
      <c r="C2475" s="28">
        <v>4151014674</v>
      </c>
      <c r="D2475" s="28" t="s">
        <v>3656</v>
      </c>
      <c r="E2475" s="28" t="s">
        <v>3664</v>
      </c>
      <c r="F2475" s="28" t="s">
        <v>1700</v>
      </c>
      <c r="G2475" s="28" t="s">
        <v>1252</v>
      </c>
    </row>
    <row r="2476" spans="1:7">
      <c r="A2476" s="28">
        <v>2475</v>
      </c>
      <c r="B2476" s="28" t="s">
        <v>2619</v>
      </c>
      <c r="C2476" s="28">
        <v>4151014728</v>
      </c>
      <c r="D2476" s="28" t="s">
        <v>3641</v>
      </c>
      <c r="E2476" s="28" t="s">
        <v>3648</v>
      </c>
      <c r="F2476" s="28" t="s">
        <v>1700</v>
      </c>
      <c r="G2476" s="28"/>
    </row>
    <row r="2477" spans="1:7">
      <c r="A2477" s="28">
        <v>2476</v>
      </c>
      <c r="B2477" s="28" t="s">
        <v>3193</v>
      </c>
      <c r="C2477" s="28">
        <v>4151014729</v>
      </c>
      <c r="D2477" s="28" t="s">
        <v>3656</v>
      </c>
      <c r="E2477" s="28" t="s">
        <v>3648</v>
      </c>
      <c r="F2477" s="28" t="s">
        <v>1700</v>
      </c>
      <c r="G2477" s="28" t="s">
        <v>1252</v>
      </c>
    </row>
    <row r="2478" spans="1:7">
      <c r="A2478" s="28">
        <v>2477</v>
      </c>
      <c r="B2478" s="28" t="s">
        <v>3194</v>
      </c>
      <c r="C2478" s="28">
        <v>4151014730</v>
      </c>
      <c r="D2478" s="28" t="s">
        <v>3656</v>
      </c>
      <c r="E2478" s="28" t="s">
        <v>3642</v>
      </c>
      <c r="F2478" s="28" t="s">
        <v>1700</v>
      </c>
      <c r="G2478" s="28" t="s">
        <v>1252</v>
      </c>
    </row>
    <row r="2479" spans="1:7">
      <c r="A2479" s="28">
        <v>2478</v>
      </c>
      <c r="B2479" s="28" t="s">
        <v>3195</v>
      </c>
      <c r="C2479" s="28">
        <v>4151014731</v>
      </c>
      <c r="D2479" s="28" t="s">
        <v>3656</v>
      </c>
      <c r="E2479" s="28" t="s">
        <v>3644</v>
      </c>
      <c r="F2479" s="28" t="s">
        <v>1700</v>
      </c>
      <c r="G2479" s="28" t="s">
        <v>1252</v>
      </c>
    </row>
    <row r="2480" spans="1:7">
      <c r="A2480" s="28">
        <v>2479</v>
      </c>
      <c r="B2480" s="28" t="s">
        <v>3196</v>
      </c>
      <c r="C2480" s="28">
        <v>4151014732</v>
      </c>
      <c r="D2480" s="28" t="s">
        <v>3656</v>
      </c>
      <c r="E2480" s="28" t="s">
        <v>3647</v>
      </c>
      <c r="F2480" s="28" t="s">
        <v>1700</v>
      </c>
      <c r="G2480" s="28" t="s">
        <v>1252</v>
      </c>
    </row>
    <row r="2481" spans="1:7">
      <c r="A2481" s="28">
        <v>2480</v>
      </c>
      <c r="B2481" s="28" t="s">
        <v>2620</v>
      </c>
      <c r="C2481" s="28">
        <v>4151014767</v>
      </c>
      <c r="D2481" s="28" t="s">
        <v>3641</v>
      </c>
      <c r="E2481" s="28" t="s">
        <v>3655</v>
      </c>
      <c r="F2481" s="28" t="s">
        <v>1700</v>
      </c>
      <c r="G2481" s="28"/>
    </row>
    <row r="2482" spans="1:7">
      <c r="A2482" s="28">
        <v>2481</v>
      </c>
      <c r="B2482" s="28" t="s">
        <v>3197</v>
      </c>
      <c r="C2482" s="28">
        <v>4151014768</v>
      </c>
      <c r="D2482" s="28" t="s">
        <v>3656</v>
      </c>
      <c r="E2482" s="28" t="s">
        <v>3643</v>
      </c>
      <c r="F2482" s="28" t="s">
        <v>1700</v>
      </c>
      <c r="G2482" s="28" t="s">
        <v>1252</v>
      </c>
    </row>
    <row r="2483" spans="1:7">
      <c r="A2483" s="28">
        <v>2482</v>
      </c>
      <c r="B2483" s="28" t="s">
        <v>3198</v>
      </c>
      <c r="C2483" s="28">
        <v>4251050881</v>
      </c>
      <c r="D2483" s="28" t="s">
        <v>3656</v>
      </c>
      <c r="E2483" s="28" t="s">
        <v>3662</v>
      </c>
      <c r="F2483" s="28" t="s">
        <v>1700</v>
      </c>
      <c r="G2483" s="28" t="s">
        <v>1252</v>
      </c>
    </row>
    <row r="2484" spans="1:7">
      <c r="A2484" s="28">
        <v>2483</v>
      </c>
      <c r="B2484" s="28" t="s">
        <v>2621</v>
      </c>
      <c r="C2484" s="28">
        <v>4251051351</v>
      </c>
      <c r="D2484" s="28" t="s">
        <v>3641</v>
      </c>
      <c r="E2484" s="28" t="s">
        <v>3640</v>
      </c>
      <c r="F2484" s="28" t="s">
        <v>1700</v>
      </c>
      <c r="G2484" s="28"/>
    </row>
    <row r="2485" spans="1:7">
      <c r="A2485" s="28">
        <v>2484</v>
      </c>
      <c r="B2485" s="28" t="s">
        <v>3253</v>
      </c>
      <c r="C2485" s="28">
        <v>4151014834</v>
      </c>
      <c r="D2485" s="28" t="s">
        <v>3656</v>
      </c>
      <c r="E2485" s="28" t="s">
        <v>3660</v>
      </c>
      <c r="F2485" s="28" t="s">
        <v>1700</v>
      </c>
      <c r="G2485" s="28" t="s">
        <v>1252</v>
      </c>
    </row>
    <row r="2486" spans="1:7">
      <c r="A2486" s="28">
        <v>2485</v>
      </c>
      <c r="B2486" s="28" t="s">
        <v>3254</v>
      </c>
      <c r="C2486" s="28">
        <v>4151014835</v>
      </c>
      <c r="D2486" s="28" t="s">
        <v>3656</v>
      </c>
      <c r="E2486" s="28" t="s">
        <v>3660</v>
      </c>
      <c r="F2486" s="28" t="s">
        <v>1700</v>
      </c>
      <c r="G2486" s="28" t="s">
        <v>1252</v>
      </c>
    </row>
    <row r="2487" spans="1:7">
      <c r="A2487" s="28">
        <v>2486</v>
      </c>
      <c r="B2487" s="28" t="s">
        <v>3255</v>
      </c>
      <c r="C2487" s="28">
        <v>4151014836</v>
      </c>
      <c r="D2487" s="28" t="s">
        <v>3656</v>
      </c>
      <c r="E2487" s="28" t="s">
        <v>3660</v>
      </c>
      <c r="F2487" s="28" t="s">
        <v>1700</v>
      </c>
      <c r="G2487" s="28" t="s">
        <v>1252</v>
      </c>
    </row>
    <row r="2488" spans="1:7">
      <c r="A2488" s="28">
        <v>2487</v>
      </c>
      <c r="B2488" s="28" t="s">
        <v>2864</v>
      </c>
      <c r="C2488" s="28">
        <v>4151014871</v>
      </c>
      <c r="D2488" s="28" t="s">
        <v>3641</v>
      </c>
      <c r="E2488" s="28" t="s">
        <v>3665</v>
      </c>
      <c r="F2488" s="28" t="s">
        <v>1700</v>
      </c>
      <c r="G2488" s="28"/>
    </row>
    <row r="2489" spans="1:7">
      <c r="A2489" s="28">
        <v>2488</v>
      </c>
      <c r="B2489" s="28" t="s">
        <v>3273</v>
      </c>
      <c r="C2489" s="28">
        <v>4151014872</v>
      </c>
      <c r="D2489" s="28" t="s">
        <v>3656</v>
      </c>
      <c r="E2489" s="28" t="s">
        <v>3640</v>
      </c>
      <c r="F2489" s="28" t="s">
        <v>1700</v>
      </c>
      <c r="G2489" s="28" t="s">
        <v>1252</v>
      </c>
    </row>
    <row r="2490" spans="1:7">
      <c r="A2490" s="28">
        <v>2489</v>
      </c>
      <c r="B2490" s="28" t="s">
        <v>2883</v>
      </c>
      <c r="C2490" s="28">
        <v>4151014937</v>
      </c>
      <c r="D2490" s="28" t="s">
        <v>3641</v>
      </c>
      <c r="E2490" s="28" t="s">
        <v>3650</v>
      </c>
      <c r="F2490" s="28" t="s">
        <v>1700</v>
      </c>
      <c r="G2490" s="28"/>
    </row>
    <row r="2491" spans="1:7">
      <c r="A2491" s="28">
        <v>2490</v>
      </c>
      <c r="B2491" s="28" t="s">
        <v>2884</v>
      </c>
      <c r="C2491" s="28">
        <v>4151014938</v>
      </c>
      <c r="D2491" s="28" t="s">
        <v>3641</v>
      </c>
      <c r="E2491" s="28" t="s">
        <v>3650</v>
      </c>
      <c r="F2491" s="28" t="s">
        <v>1700</v>
      </c>
      <c r="G2491" s="28"/>
    </row>
    <row r="2492" spans="1:7">
      <c r="A2492" s="28">
        <v>2491</v>
      </c>
      <c r="B2492" s="28" t="s">
        <v>1025</v>
      </c>
      <c r="C2492" s="28">
        <v>4152010657</v>
      </c>
      <c r="D2492" s="28" t="s">
        <v>3666</v>
      </c>
      <c r="E2492" s="28" t="s">
        <v>3667</v>
      </c>
      <c r="F2492" s="28" t="s">
        <v>11</v>
      </c>
      <c r="G2492" s="28"/>
    </row>
    <row r="2493" spans="1:7">
      <c r="A2493" s="28">
        <v>2492</v>
      </c>
      <c r="B2493" s="28" t="s">
        <v>1028</v>
      </c>
      <c r="C2493" s="28">
        <v>4152010660</v>
      </c>
      <c r="D2493" s="28" t="s">
        <v>3666</v>
      </c>
      <c r="E2493" s="28" t="s">
        <v>3667</v>
      </c>
      <c r="F2493" s="28" t="s">
        <v>11</v>
      </c>
      <c r="G2493" s="28"/>
    </row>
    <row r="2494" spans="1:7">
      <c r="A2494" s="28">
        <v>2493</v>
      </c>
      <c r="B2494" s="28" t="s">
        <v>1029</v>
      </c>
      <c r="C2494" s="28">
        <v>4152010661</v>
      </c>
      <c r="D2494" s="28" t="s">
        <v>3666</v>
      </c>
      <c r="E2494" s="28" t="s">
        <v>3668</v>
      </c>
      <c r="F2494" s="28" t="s">
        <v>11</v>
      </c>
      <c r="G2494" s="28"/>
    </row>
    <row r="2495" spans="1:7">
      <c r="A2495" s="28">
        <v>2494</v>
      </c>
      <c r="B2495" s="28" t="s">
        <v>1031</v>
      </c>
      <c r="C2495" s="28">
        <v>4152010662</v>
      </c>
      <c r="D2495" s="28" t="s">
        <v>3666</v>
      </c>
      <c r="E2495" s="28" t="s">
        <v>3667</v>
      </c>
      <c r="F2495" s="28" t="s">
        <v>11</v>
      </c>
      <c r="G2495" s="28"/>
    </row>
    <row r="2496" spans="1:7">
      <c r="A2496" s="28">
        <v>2495</v>
      </c>
      <c r="B2496" s="28" t="s">
        <v>1032</v>
      </c>
      <c r="C2496" s="28">
        <v>4152010663</v>
      </c>
      <c r="D2496" s="28" t="s">
        <v>3666</v>
      </c>
      <c r="E2496" s="28" t="s">
        <v>3667</v>
      </c>
      <c r="F2496" s="28" t="s">
        <v>11</v>
      </c>
      <c r="G2496" s="28"/>
    </row>
    <row r="2497" spans="1:7">
      <c r="A2497" s="28">
        <v>2496</v>
      </c>
      <c r="B2497" s="28" t="s">
        <v>1033</v>
      </c>
      <c r="C2497" s="28">
        <v>4152010664</v>
      </c>
      <c r="D2497" s="28" t="s">
        <v>3666</v>
      </c>
      <c r="E2497" s="28" t="s">
        <v>3668</v>
      </c>
      <c r="F2497" s="28" t="s">
        <v>11</v>
      </c>
      <c r="G2497" s="28"/>
    </row>
    <row r="2498" spans="1:7">
      <c r="A2498" s="28">
        <v>2497</v>
      </c>
      <c r="B2498" s="28" t="s">
        <v>1034</v>
      </c>
      <c r="C2498" s="28">
        <v>4152010665</v>
      </c>
      <c r="D2498" s="28" t="s">
        <v>3666</v>
      </c>
      <c r="E2498" s="28" t="s">
        <v>3669</v>
      </c>
      <c r="F2498" s="28" t="s">
        <v>11</v>
      </c>
      <c r="G2498" s="28"/>
    </row>
    <row r="2499" spans="1:7">
      <c r="A2499" s="28">
        <v>2498</v>
      </c>
      <c r="B2499" s="28" t="s">
        <v>1036</v>
      </c>
      <c r="C2499" s="28">
        <v>4152010666</v>
      </c>
      <c r="D2499" s="28" t="s">
        <v>3666</v>
      </c>
      <c r="E2499" s="28" t="s">
        <v>3670</v>
      </c>
      <c r="F2499" s="28" t="s">
        <v>11</v>
      </c>
      <c r="G2499" s="28"/>
    </row>
    <row r="2500" spans="1:7">
      <c r="A2500" s="28">
        <v>2499</v>
      </c>
      <c r="B2500" s="28" t="s">
        <v>1038</v>
      </c>
      <c r="C2500" s="28">
        <v>4152010667</v>
      </c>
      <c r="D2500" s="28" t="s">
        <v>3666</v>
      </c>
      <c r="E2500" s="28" t="s">
        <v>3671</v>
      </c>
      <c r="F2500" s="28" t="s">
        <v>11</v>
      </c>
      <c r="G2500" s="28"/>
    </row>
    <row r="2501" spans="1:7">
      <c r="A2501" s="28">
        <v>2500</v>
      </c>
      <c r="B2501" s="28" t="s">
        <v>1040</v>
      </c>
      <c r="C2501" s="28">
        <v>4152010668</v>
      </c>
      <c r="D2501" s="28" t="s">
        <v>3666</v>
      </c>
      <c r="E2501" s="28" t="s">
        <v>3672</v>
      </c>
      <c r="F2501" s="28" t="s">
        <v>11</v>
      </c>
      <c r="G2501" s="28"/>
    </row>
    <row r="2502" spans="1:7">
      <c r="A2502" s="28">
        <v>2501</v>
      </c>
      <c r="B2502" s="28" t="s">
        <v>1042</v>
      </c>
      <c r="C2502" s="28">
        <v>4152010669</v>
      </c>
      <c r="D2502" s="28" t="s">
        <v>3666</v>
      </c>
      <c r="E2502" s="28" t="s">
        <v>3673</v>
      </c>
      <c r="F2502" s="28" t="s">
        <v>11</v>
      </c>
      <c r="G2502" s="28"/>
    </row>
    <row r="2503" spans="1:7">
      <c r="A2503" s="28">
        <v>2502</v>
      </c>
      <c r="B2503" s="28" t="s">
        <v>1044</v>
      </c>
      <c r="C2503" s="28">
        <v>4152010670</v>
      </c>
      <c r="D2503" s="28" t="s">
        <v>3666</v>
      </c>
      <c r="E2503" s="28" t="s">
        <v>3674</v>
      </c>
      <c r="F2503" s="28" t="s">
        <v>11</v>
      </c>
      <c r="G2503" s="28"/>
    </row>
    <row r="2504" spans="1:7">
      <c r="A2504" s="28">
        <v>2503</v>
      </c>
      <c r="B2504" s="28" t="s">
        <v>1046</v>
      </c>
      <c r="C2504" s="28">
        <v>4152010671</v>
      </c>
      <c r="D2504" s="28" t="s">
        <v>3666</v>
      </c>
      <c r="E2504" s="28" t="s">
        <v>3667</v>
      </c>
      <c r="F2504" s="28" t="s">
        <v>11</v>
      </c>
      <c r="G2504" s="28"/>
    </row>
    <row r="2505" spans="1:7">
      <c r="A2505" s="28">
        <v>2504</v>
      </c>
      <c r="B2505" s="28" t="s">
        <v>1047</v>
      </c>
      <c r="C2505" s="28">
        <v>4152010672</v>
      </c>
      <c r="D2505" s="28" t="s">
        <v>3666</v>
      </c>
      <c r="E2505" s="28" t="s">
        <v>3667</v>
      </c>
      <c r="F2505" s="28" t="s">
        <v>11</v>
      </c>
      <c r="G2505" s="28"/>
    </row>
    <row r="2506" spans="1:7">
      <c r="A2506" s="28">
        <v>2505</v>
      </c>
      <c r="B2506" s="28" t="s">
        <v>1048</v>
      </c>
      <c r="C2506" s="28">
        <v>4152010976</v>
      </c>
      <c r="D2506" s="28" t="s">
        <v>3666</v>
      </c>
      <c r="E2506" s="28" t="s">
        <v>3667</v>
      </c>
      <c r="F2506" s="28" t="s">
        <v>11</v>
      </c>
      <c r="G2506" s="28"/>
    </row>
    <row r="2507" spans="1:7">
      <c r="A2507" s="28">
        <v>2506</v>
      </c>
      <c r="B2507" s="28" t="s">
        <v>1049</v>
      </c>
      <c r="C2507" s="28">
        <v>4152010977</v>
      </c>
      <c r="D2507" s="28" t="s">
        <v>3666</v>
      </c>
      <c r="E2507" s="28" t="s">
        <v>3675</v>
      </c>
      <c r="F2507" s="28" t="s">
        <v>11</v>
      </c>
      <c r="G2507" s="28"/>
    </row>
    <row r="2508" spans="1:7">
      <c r="A2508" s="28">
        <v>2507</v>
      </c>
      <c r="B2508" s="28" t="s">
        <v>1051</v>
      </c>
      <c r="C2508" s="28">
        <v>4152011731</v>
      </c>
      <c r="D2508" s="28" t="s">
        <v>3666</v>
      </c>
      <c r="E2508" s="28" t="s">
        <v>3667</v>
      </c>
      <c r="F2508" s="28" t="s">
        <v>11</v>
      </c>
      <c r="G2508" s="28"/>
    </row>
    <row r="2509" spans="1:7">
      <c r="A2509" s="28">
        <v>2508</v>
      </c>
      <c r="B2509" s="28" t="s">
        <v>1052</v>
      </c>
      <c r="C2509" s="28">
        <v>4152012107</v>
      </c>
      <c r="D2509" s="28" t="s">
        <v>3666</v>
      </c>
      <c r="E2509" s="28" t="s">
        <v>3667</v>
      </c>
      <c r="F2509" s="28" t="s">
        <v>11</v>
      </c>
      <c r="G2509" s="28"/>
    </row>
    <row r="2510" spans="1:7">
      <c r="A2510" s="28">
        <v>2509</v>
      </c>
      <c r="B2510" s="28" t="s">
        <v>1622</v>
      </c>
      <c r="C2510" s="28">
        <v>4152013647</v>
      </c>
      <c r="D2510" s="28" t="s">
        <v>3676</v>
      </c>
      <c r="E2510" s="28" t="s">
        <v>3667</v>
      </c>
      <c r="F2510" s="28" t="s">
        <v>11</v>
      </c>
      <c r="G2510" s="28" t="s">
        <v>1252</v>
      </c>
    </row>
    <row r="2511" spans="1:7">
      <c r="A2511" s="28">
        <v>2510</v>
      </c>
      <c r="B2511" s="28" t="s">
        <v>1623</v>
      </c>
      <c r="C2511" s="28">
        <v>4152013648</v>
      </c>
      <c r="D2511" s="28" t="s">
        <v>3676</v>
      </c>
      <c r="E2511" s="28" t="s">
        <v>3674</v>
      </c>
      <c r="F2511" s="28" t="s">
        <v>11</v>
      </c>
      <c r="G2511" s="28" t="s">
        <v>1252</v>
      </c>
    </row>
    <row r="2512" spans="1:7">
      <c r="A2512" s="28">
        <v>2511</v>
      </c>
      <c r="B2512" s="28" t="s">
        <v>1624</v>
      </c>
      <c r="C2512" s="28">
        <v>4152013649</v>
      </c>
      <c r="D2512" s="28" t="s">
        <v>3676</v>
      </c>
      <c r="E2512" s="28" t="s">
        <v>3674</v>
      </c>
      <c r="F2512" s="28" t="s">
        <v>11</v>
      </c>
      <c r="G2512" s="28" t="s">
        <v>1252</v>
      </c>
    </row>
    <row r="2513" spans="1:7">
      <c r="A2513" s="28">
        <v>2512</v>
      </c>
      <c r="B2513" s="28" t="s">
        <v>1625</v>
      </c>
      <c r="C2513" s="28">
        <v>4152013650</v>
      </c>
      <c r="D2513" s="28" t="s">
        <v>3676</v>
      </c>
      <c r="E2513" s="28" t="s">
        <v>3667</v>
      </c>
      <c r="F2513" s="28" t="s">
        <v>11</v>
      </c>
      <c r="G2513" s="28" t="s">
        <v>1252</v>
      </c>
    </row>
    <row r="2514" spans="1:7">
      <c r="A2514" s="28">
        <v>2513</v>
      </c>
      <c r="B2514" s="28" t="s">
        <v>1626</v>
      </c>
      <c r="C2514" s="28">
        <v>4152013651</v>
      </c>
      <c r="D2514" s="28" t="s">
        <v>3676</v>
      </c>
      <c r="E2514" s="28" t="s">
        <v>3667</v>
      </c>
      <c r="F2514" s="28" t="s">
        <v>11</v>
      </c>
      <c r="G2514" s="28" t="s">
        <v>1252</v>
      </c>
    </row>
    <row r="2515" spans="1:7">
      <c r="A2515" s="28">
        <v>2514</v>
      </c>
      <c r="B2515" s="28" t="s">
        <v>1053</v>
      </c>
      <c r="C2515" s="28">
        <v>4152016206</v>
      </c>
      <c r="D2515" s="28" t="s">
        <v>3666</v>
      </c>
      <c r="E2515" s="28" t="s">
        <v>3667</v>
      </c>
      <c r="F2515" s="28" t="s">
        <v>11</v>
      </c>
      <c r="G2515" s="28"/>
    </row>
    <row r="2516" spans="1:7">
      <c r="A2516" s="28">
        <v>2515</v>
      </c>
      <c r="B2516" s="28" t="s">
        <v>1627</v>
      </c>
      <c r="C2516" s="28">
        <v>4152013653</v>
      </c>
      <c r="D2516" s="28" t="s">
        <v>3676</v>
      </c>
      <c r="E2516" s="28" t="s">
        <v>3668</v>
      </c>
      <c r="F2516" s="28" t="s">
        <v>11</v>
      </c>
      <c r="G2516" s="28" t="s">
        <v>1252</v>
      </c>
    </row>
    <row r="2517" spans="1:7">
      <c r="A2517" s="28">
        <v>2516</v>
      </c>
      <c r="B2517" s="28" t="s">
        <v>1628</v>
      </c>
      <c r="C2517" s="28">
        <v>4152013676</v>
      </c>
      <c r="D2517" s="28" t="s">
        <v>3676</v>
      </c>
      <c r="E2517" s="28" t="s">
        <v>3667</v>
      </c>
      <c r="F2517" s="28" t="s">
        <v>11</v>
      </c>
      <c r="G2517" s="28" t="s">
        <v>1252</v>
      </c>
    </row>
    <row r="2518" spans="1:7">
      <c r="A2518" s="28">
        <v>2517</v>
      </c>
      <c r="B2518" s="28" t="s">
        <v>1054</v>
      </c>
      <c r="C2518" s="28">
        <v>4152014223</v>
      </c>
      <c r="D2518" s="28" t="s">
        <v>3666</v>
      </c>
      <c r="E2518" s="28" t="s">
        <v>3667</v>
      </c>
      <c r="F2518" s="28" t="s">
        <v>11</v>
      </c>
      <c r="G2518" s="28"/>
    </row>
    <row r="2519" spans="1:7">
      <c r="A2519" s="28">
        <v>2518</v>
      </c>
      <c r="B2519" s="28" t="s">
        <v>1055</v>
      </c>
      <c r="C2519" s="28">
        <v>4152014440</v>
      </c>
      <c r="D2519" s="28" t="s">
        <v>3666</v>
      </c>
      <c r="E2519" s="28" t="s">
        <v>3667</v>
      </c>
      <c r="F2519" s="28" t="s">
        <v>11</v>
      </c>
      <c r="G2519" s="28"/>
    </row>
    <row r="2520" spans="1:7">
      <c r="A2520" s="28">
        <v>2519</v>
      </c>
      <c r="B2520" s="28" t="s">
        <v>1629</v>
      </c>
      <c r="C2520" s="28">
        <v>4152014625</v>
      </c>
      <c r="D2520" s="28" t="s">
        <v>3676</v>
      </c>
      <c r="E2520" s="28" t="s">
        <v>3668</v>
      </c>
      <c r="F2520" s="28" t="s">
        <v>11</v>
      </c>
      <c r="G2520" s="28" t="s">
        <v>1252</v>
      </c>
    </row>
    <row r="2521" spans="1:7">
      <c r="A2521" s="28">
        <v>2520</v>
      </c>
      <c r="B2521" s="28" t="s">
        <v>1056</v>
      </c>
      <c r="C2521" s="28">
        <v>4152012222</v>
      </c>
      <c r="D2521" s="28" t="s">
        <v>3666</v>
      </c>
      <c r="E2521" s="28" t="s">
        <v>3667</v>
      </c>
      <c r="F2521" s="28" t="s">
        <v>11</v>
      </c>
      <c r="G2521" s="28"/>
    </row>
    <row r="2522" spans="1:7">
      <c r="A2522" s="28">
        <v>2521</v>
      </c>
      <c r="B2522" s="28" t="s">
        <v>1057</v>
      </c>
      <c r="C2522" s="28">
        <v>4152013055</v>
      </c>
      <c r="D2522" s="28" t="s">
        <v>3666</v>
      </c>
      <c r="E2522" s="28" t="s">
        <v>3669</v>
      </c>
      <c r="F2522" s="28" t="s">
        <v>11</v>
      </c>
      <c r="G2522" s="28"/>
    </row>
    <row r="2523" spans="1:7">
      <c r="A2523" s="28">
        <v>2522</v>
      </c>
      <c r="B2523" s="28" t="s">
        <v>1058</v>
      </c>
      <c r="C2523" s="28">
        <v>4152013818</v>
      </c>
      <c r="D2523" s="28" t="s">
        <v>3666</v>
      </c>
      <c r="E2523" s="28" t="s">
        <v>3667</v>
      </c>
      <c r="F2523" s="28" t="s">
        <v>11</v>
      </c>
      <c r="G2523" s="28"/>
    </row>
    <row r="2524" spans="1:7">
      <c r="A2524" s="28">
        <v>2523</v>
      </c>
      <c r="B2524" s="28" t="s">
        <v>2622</v>
      </c>
      <c r="C2524" s="28">
        <v>4152011663</v>
      </c>
      <c r="D2524" s="28" t="s">
        <v>3666</v>
      </c>
      <c r="E2524" s="28" t="s">
        <v>3674</v>
      </c>
      <c r="F2524" s="28" t="s">
        <v>1700</v>
      </c>
      <c r="G2524" s="28"/>
    </row>
    <row r="2525" spans="1:7">
      <c r="A2525" s="28">
        <v>2524</v>
      </c>
      <c r="B2525" s="28" t="s">
        <v>2623</v>
      </c>
      <c r="C2525" s="28">
        <v>4152012223</v>
      </c>
      <c r="D2525" s="28" t="s">
        <v>3666</v>
      </c>
      <c r="E2525" s="28" t="s">
        <v>3668</v>
      </c>
      <c r="F2525" s="28" t="s">
        <v>1700</v>
      </c>
      <c r="G2525" s="28"/>
    </row>
    <row r="2526" spans="1:7">
      <c r="A2526" s="28">
        <v>2525</v>
      </c>
      <c r="B2526" s="28" t="s">
        <v>2624</v>
      </c>
      <c r="C2526" s="28">
        <v>4152012336</v>
      </c>
      <c r="D2526" s="28" t="s">
        <v>3666</v>
      </c>
      <c r="E2526" s="28" t="s">
        <v>3673</v>
      </c>
      <c r="F2526" s="28" t="s">
        <v>1700</v>
      </c>
      <c r="G2526" s="28"/>
    </row>
    <row r="2527" spans="1:7">
      <c r="A2527" s="28">
        <v>2526</v>
      </c>
      <c r="B2527" s="28" t="s">
        <v>2625</v>
      </c>
      <c r="C2527" s="28">
        <v>4152012821</v>
      </c>
      <c r="D2527" s="28" t="s">
        <v>3666</v>
      </c>
      <c r="E2527" s="28" t="s">
        <v>3671</v>
      </c>
      <c r="F2527" s="28" t="s">
        <v>1700</v>
      </c>
      <c r="G2527" s="28"/>
    </row>
    <row r="2528" spans="1:7">
      <c r="A2528" s="28">
        <v>2527</v>
      </c>
      <c r="B2528" s="28" t="s">
        <v>2626</v>
      </c>
      <c r="C2528" s="28">
        <v>4152012822</v>
      </c>
      <c r="D2528" s="28" t="s">
        <v>3666</v>
      </c>
      <c r="E2528" s="28" t="s">
        <v>3673</v>
      </c>
      <c r="F2528" s="28" t="s">
        <v>1700</v>
      </c>
      <c r="G2528" s="28"/>
    </row>
    <row r="2529" spans="1:7">
      <c r="A2529" s="28">
        <v>2528</v>
      </c>
      <c r="B2529" s="28" t="s">
        <v>2627</v>
      </c>
      <c r="C2529" s="28">
        <v>4152012823</v>
      </c>
      <c r="D2529" s="28" t="s">
        <v>3666</v>
      </c>
      <c r="E2529" s="28" t="s">
        <v>3674</v>
      </c>
      <c r="F2529" s="28" t="s">
        <v>1700</v>
      </c>
      <c r="G2529" s="28"/>
    </row>
    <row r="2530" spans="1:7">
      <c r="A2530" s="28">
        <v>2529</v>
      </c>
      <c r="B2530" s="28" t="s">
        <v>2628</v>
      </c>
      <c r="C2530" s="28">
        <v>4152012824</v>
      </c>
      <c r="D2530" s="28" t="s">
        <v>3666</v>
      </c>
      <c r="E2530" s="28" t="s">
        <v>3668</v>
      </c>
      <c r="F2530" s="28" t="s">
        <v>1700</v>
      </c>
      <c r="G2530" s="28"/>
    </row>
    <row r="2531" spans="1:7">
      <c r="A2531" s="28">
        <v>2530</v>
      </c>
      <c r="B2531" s="28" t="s">
        <v>3199</v>
      </c>
      <c r="C2531" s="28">
        <v>4152012850</v>
      </c>
      <c r="D2531" s="28" t="s">
        <v>3676</v>
      </c>
      <c r="E2531" s="28" t="s">
        <v>3667</v>
      </c>
      <c r="F2531" s="28" t="s">
        <v>1700</v>
      </c>
      <c r="G2531" s="28" t="s">
        <v>1252</v>
      </c>
    </row>
    <row r="2532" spans="1:7">
      <c r="A2532" s="28">
        <v>2531</v>
      </c>
      <c r="B2532" s="28" t="s">
        <v>2629</v>
      </c>
      <c r="C2532" s="28">
        <v>4152013052</v>
      </c>
      <c r="D2532" s="28" t="s">
        <v>3666</v>
      </c>
      <c r="E2532" s="28" t="s">
        <v>3667</v>
      </c>
      <c r="F2532" s="28" t="s">
        <v>1700</v>
      </c>
      <c r="G2532" s="28"/>
    </row>
    <row r="2533" spans="1:7">
      <c r="A2533" s="28">
        <v>2532</v>
      </c>
      <c r="B2533" s="28" t="s">
        <v>2630</v>
      </c>
      <c r="C2533" s="28">
        <v>4152013053</v>
      </c>
      <c r="D2533" s="28" t="s">
        <v>3666</v>
      </c>
      <c r="E2533" s="28" t="s">
        <v>3667</v>
      </c>
      <c r="F2533" s="28" t="s">
        <v>1700</v>
      </c>
      <c r="G2533" s="28"/>
    </row>
    <row r="2534" spans="1:7">
      <c r="A2534" s="28">
        <v>2533</v>
      </c>
      <c r="B2534" s="28" t="s">
        <v>2631</v>
      </c>
      <c r="C2534" s="28">
        <v>4152013054</v>
      </c>
      <c r="D2534" s="28" t="s">
        <v>3666</v>
      </c>
      <c r="E2534" s="28" t="s">
        <v>3675</v>
      </c>
      <c r="F2534" s="28" t="s">
        <v>1700</v>
      </c>
      <c r="G2534" s="28"/>
    </row>
    <row r="2535" spans="1:7">
      <c r="A2535" s="28">
        <v>2534</v>
      </c>
      <c r="B2535" s="28" t="s">
        <v>2632</v>
      </c>
      <c r="C2535" s="28">
        <v>4152013817</v>
      </c>
      <c r="D2535" s="28" t="s">
        <v>3666</v>
      </c>
      <c r="E2535" s="28" t="s">
        <v>3670</v>
      </c>
      <c r="F2535" s="28" t="s">
        <v>1700</v>
      </c>
      <c r="G2535" s="28"/>
    </row>
    <row r="2536" spans="1:7">
      <c r="A2536" s="28">
        <v>2535</v>
      </c>
      <c r="B2536" s="28" t="s">
        <v>2633</v>
      </c>
      <c r="C2536" s="28">
        <v>4152014011</v>
      </c>
      <c r="D2536" s="28" t="s">
        <v>3666</v>
      </c>
      <c r="E2536" s="28" t="s">
        <v>3668</v>
      </c>
      <c r="F2536" s="28" t="s">
        <v>1700</v>
      </c>
      <c r="G2536" s="28"/>
    </row>
    <row r="2537" spans="1:7">
      <c r="A2537" s="28">
        <v>2536</v>
      </c>
      <c r="B2537" s="28" t="s">
        <v>2634</v>
      </c>
      <c r="C2537" s="28">
        <v>4152014129</v>
      </c>
      <c r="D2537" s="28" t="s">
        <v>3666</v>
      </c>
      <c r="E2537" s="28" t="s">
        <v>3667</v>
      </c>
      <c r="F2537" s="28" t="s">
        <v>1700</v>
      </c>
      <c r="G2537" s="28"/>
    </row>
    <row r="2538" spans="1:7">
      <c r="A2538" s="28">
        <v>2537</v>
      </c>
      <c r="B2538" s="28" t="s">
        <v>2635</v>
      </c>
      <c r="C2538" s="28">
        <v>4152014198</v>
      </c>
      <c r="D2538" s="28" t="s">
        <v>3666</v>
      </c>
      <c r="E2538" s="28" t="s">
        <v>3672</v>
      </c>
      <c r="F2538" s="28" t="s">
        <v>1700</v>
      </c>
      <c r="G2538" s="28"/>
    </row>
    <row r="2539" spans="1:7">
      <c r="A2539" s="28">
        <v>2538</v>
      </c>
      <c r="B2539" s="28" t="s">
        <v>2636</v>
      </c>
      <c r="C2539" s="28">
        <v>4152014252</v>
      </c>
      <c r="D2539" s="28" t="s">
        <v>3666</v>
      </c>
      <c r="E2539" s="28" t="s">
        <v>3667</v>
      </c>
      <c r="F2539" s="28" t="s">
        <v>1700</v>
      </c>
      <c r="G2539" s="28"/>
    </row>
    <row r="2540" spans="1:7">
      <c r="A2540" s="28">
        <v>2539</v>
      </c>
      <c r="B2540" s="28" t="s">
        <v>3200</v>
      </c>
      <c r="C2540" s="28">
        <v>4152014371</v>
      </c>
      <c r="D2540" s="28" t="s">
        <v>3676</v>
      </c>
      <c r="E2540" s="28" t="s">
        <v>3674</v>
      </c>
      <c r="F2540" s="28" t="s">
        <v>1700</v>
      </c>
      <c r="G2540" s="28" t="s">
        <v>1252</v>
      </c>
    </row>
    <row r="2541" spans="1:7">
      <c r="A2541" s="28">
        <v>2540</v>
      </c>
      <c r="B2541" s="28" t="s">
        <v>3677</v>
      </c>
      <c r="C2541" s="28">
        <v>4152014412</v>
      </c>
      <c r="D2541" s="28" t="s">
        <v>3676</v>
      </c>
      <c r="E2541" s="28" t="s">
        <v>3667</v>
      </c>
      <c r="F2541" s="28" t="s">
        <v>1700</v>
      </c>
      <c r="G2541" s="28" t="s">
        <v>1252</v>
      </c>
    </row>
    <row r="2542" spans="1:7">
      <c r="A2542" s="28">
        <v>2541</v>
      </c>
      <c r="B2542" s="28" t="s">
        <v>2637</v>
      </c>
      <c r="C2542" s="28">
        <v>4152014469</v>
      </c>
      <c r="D2542" s="28" t="s">
        <v>3666</v>
      </c>
      <c r="E2542" s="28" t="s">
        <v>3667</v>
      </c>
      <c r="F2542" s="28" t="s">
        <v>1700</v>
      </c>
      <c r="G2542" s="28"/>
    </row>
    <row r="2543" spans="1:7">
      <c r="A2543" s="28">
        <v>2542</v>
      </c>
      <c r="B2543" s="28" t="s">
        <v>2638</v>
      </c>
      <c r="C2543" s="28">
        <v>4152014470</v>
      </c>
      <c r="D2543" s="28" t="s">
        <v>3666</v>
      </c>
      <c r="E2543" s="28" t="s">
        <v>3669</v>
      </c>
      <c r="F2543" s="28" t="s">
        <v>1700</v>
      </c>
      <c r="G2543" s="28"/>
    </row>
    <row r="2544" spans="1:7">
      <c r="A2544" s="28">
        <v>2543</v>
      </c>
      <c r="B2544" s="28" t="s">
        <v>2639</v>
      </c>
      <c r="C2544" s="28">
        <v>4152014497</v>
      </c>
      <c r="D2544" s="28" t="s">
        <v>3666</v>
      </c>
      <c r="E2544" s="28" t="s">
        <v>3674</v>
      </c>
      <c r="F2544" s="28" t="s">
        <v>1700</v>
      </c>
      <c r="G2544" s="28"/>
    </row>
    <row r="2545" spans="1:7">
      <c r="A2545" s="28">
        <v>2544</v>
      </c>
      <c r="B2545" s="28" t="s">
        <v>2640</v>
      </c>
      <c r="C2545" s="28">
        <v>4152014499</v>
      </c>
      <c r="D2545" s="28" t="s">
        <v>3666</v>
      </c>
      <c r="E2545" s="28" t="s">
        <v>3672</v>
      </c>
      <c r="F2545" s="28" t="s">
        <v>1700</v>
      </c>
      <c r="G2545" s="28"/>
    </row>
    <row r="2546" spans="1:7">
      <c r="A2546" s="28">
        <v>2545</v>
      </c>
      <c r="B2546" s="28" t="s">
        <v>2641</v>
      </c>
      <c r="C2546" s="28">
        <v>4152014516</v>
      </c>
      <c r="D2546" s="28" t="s">
        <v>3666</v>
      </c>
      <c r="E2546" s="28" t="s">
        <v>3667</v>
      </c>
      <c r="F2546" s="28" t="s">
        <v>1700</v>
      </c>
      <c r="G2546" s="28"/>
    </row>
    <row r="2547" spans="1:7">
      <c r="A2547" s="28">
        <v>2546</v>
      </c>
      <c r="B2547" s="28" t="s">
        <v>2642</v>
      </c>
      <c r="C2547" s="28">
        <v>4152014538</v>
      </c>
      <c r="D2547" s="28" t="s">
        <v>3666</v>
      </c>
      <c r="E2547" s="28" t="s">
        <v>3672</v>
      </c>
      <c r="F2547" s="28" t="s">
        <v>1700</v>
      </c>
      <c r="G2547" s="28"/>
    </row>
    <row r="2548" spans="1:7">
      <c r="A2548" s="28">
        <v>2547</v>
      </c>
      <c r="B2548" s="28" t="s">
        <v>2643</v>
      </c>
      <c r="C2548" s="28">
        <v>4152014549</v>
      </c>
      <c r="D2548" s="28" t="s">
        <v>3666</v>
      </c>
      <c r="E2548" s="28" t="s">
        <v>3667</v>
      </c>
      <c r="F2548" s="28" t="s">
        <v>1700</v>
      </c>
      <c r="G2548" s="28"/>
    </row>
    <row r="2549" spans="1:7">
      <c r="A2549" s="28">
        <v>2548</v>
      </c>
      <c r="B2549" s="28" t="s">
        <v>3201</v>
      </c>
      <c r="C2549" s="28">
        <v>4152014558</v>
      </c>
      <c r="D2549" s="28" t="s">
        <v>3676</v>
      </c>
      <c r="E2549" s="28" t="s">
        <v>3669</v>
      </c>
      <c r="F2549" s="28" t="s">
        <v>1700</v>
      </c>
      <c r="G2549" s="28" t="s">
        <v>1252</v>
      </c>
    </row>
    <row r="2550" spans="1:7">
      <c r="A2550" s="28">
        <v>2549</v>
      </c>
      <c r="B2550" s="28" t="s">
        <v>3202</v>
      </c>
      <c r="C2550" s="28">
        <v>4152014559</v>
      </c>
      <c r="D2550" s="28" t="s">
        <v>3676</v>
      </c>
      <c r="E2550" s="28" t="s">
        <v>3672</v>
      </c>
      <c r="F2550" s="28" t="s">
        <v>1700</v>
      </c>
      <c r="G2550" s="28" t="s">
        <v>1252</v>
      </c>
    </row>
    <row r="2551" spans="1:7">
      <c r="A2551" s="28">
        <v>2550</v>
      </c>
      <c r="B2551" s="28" t="s">
        <v>2644</v>
      </c>
      <c r="C2551" s="28">
        <v>4152014577</v>
      </c>
      <c r="D2551" s="28" t="s">
        <v>3666</v>
      </c>
      <c r="E2551" s="28" t="s">
        <v>3667</v>
      </c>
      <c r="F2551" s="28" t="s">
        <v>1700</v>
      </c>
      <c r="G2551" s="28"/>
    </row>
    <row r="2552" spans="1:7">
      <c r="A2552" s="28">
        <v>2551</v>
      </c>
      <c r="B2552" s="28" t="s">
        <v>2645</v>
      </c>
      <c r="C2552" s="28">
        <v>4152014578</v>
      </c>
      <c r="D2552" s="28" t="s">
        <v>3666</v>
      </c>
      <c r="E2552" s="28" t="s">
        <v>3667</v>
      </c>
      <c r="F2552" s="28" t="s">
        <v>1700</v>
      </c>
      <c r="G2552" s="28"/>
    </row>
    <row r="2553" spans="1:7">
      <c r="A2553" s="28">
        <v>2552</v>
      </c>
      <c r="B2553" s="28" t="s">
        <v>3203</v>
      </c>
      <c r="C2553" s="28">
        <v>4152014579</v>
      </c>
      <c r="D2553" s="28" t="s">
        <v>3676</v>
      </c>
      <c r="E2553" s="28" t="s">
        <v>3674</v>
      </c>
      <c r="F2553" s="28" t="s">
        <v>1700</v>
      </c>
      <c r="G2553" s="28" t="s">
        <v>1252</v>
      </c>
    </row>
    <row r="2554" spans="1:7">
      <c r="A2554" s="28">
        <v>2553</v>
      </c>
      <c r="B2554" s="28" t="s">
        <v>2646</v>
      </c>
      <c r="C2554" s="28">
        <v>4152014580</v>
      </c>
      <c r="D2554" s="28" t="s">
        <v>3666</v>
      </c>
      <c r="E2554" s="28" t="s">
        <v>3667</v>
      </c>
      <c r="F2554" s="28" t="s">
        <v>1700</v>
      </c>
      <c r="G2554" s="28"/>
    </row>
    <row r="2555" spans="1:7">
      <c r="A2555" s="28">
        <v>2554</v>
      </c>
      <c r="B2555" s="28" t="s">
        <v>2647</v>
      </c>
      <c r="C2555" s="28">
        <v>4152014613</v>
      </c>
      <c r="D2555" s="28" t="s">
        <v>3666</v>
      </c>
      <c r="E2555" s="28" t="s">
        <v>3667</v>
      </c>
      <c r="F2555" s="28" t="s">
        <v>1700</v>
      </c>
      <c r="G2555" s="28"/>
    </row>
    <row r="2556" spans="1:7">
      <c r="A2556" s="28">
        <v>2555</v>
      </c>
      <c r="B2556" s="28" t="s">
        <v>2648</v>
      </c>
      <c r="C2556" s="28">
        <v>4152014614</v>
      </c>
      <c r="D2556" s="28" t="s">
        <v>3666</v>
      </c>
      <c r="E2556" s="28" t="s">
        <v>3669</v>
      </c>
      <c r="F2556" s="28" t="s">
        <v>1700</v>
      </c>
      <c r="G2556" s="28"/>
    </row>
    <row r="2557" spans="1:7">
      <c r="A2557" s="28">
        <v>2556</v>
      </c>
      <c r="B2557" s="28" t="s">
        <v>2649</v>
      </c>
      <c r="C2557" s="28">
        <v>4152014615</v>
      </c>
      <c r="D2557" s="28" t="s">
        <v>3666</v>
      </c>
      <c r="E2557" s="28" t="s">
        <v>3667</v>
      </c>
      <c r="F2557" s="28" t="s">
        <v>1700</v>
      </c>
      <c r="G2557" s="28"/>
    </row>
    <row r="2558" spans="1:7">
      <c r="A2558" s="28">
        <v>2557</v>
      </c>
      <c r="B2558" s="28" t="s">
        <v>2650</v>
      </c>
      <c r="C2558" s="28">
        <v>4152014616</v>
      </c>
      <c r="D2558" s="28" t="s">
        <v>3666</v>
      </c>
      <c r="E2558" s="28" t="s">
        <v>3674</v>
      </c>
      <c r="F2558" s="28" t="s">
        <v>1700</v>
      </c>
      <c r="G2558" s="28"/>
    </row>
    <row r="2559" spans="1:7">
      <c r="A2559" s="28">
        <v>2558</v>
      </c>
      <c r="B2559" s="28" t="s">
        <v>2651</v>
      </c>
      <c r="C2559" s="28">
        <v>4152014617</v>
      </c>
      <c r="D2559" s="28" t="s">
        <v>3666</v>
      </c>
      <c r="E2559" s="28" t="s">
        <v>3674</v>
      </c>
      <c r="F2559" s="28" t="s">
        <v>1700</v>
      </c>
      <c r="G2559" s="28"/>
    </row>
    <row r="2560" spans="1:7">
      <c r="A2560" s="28">
        <v>2559</v>
      </c>
      <c r="B2560" s="28" t="s">
        <v>2652</v>
      </c>
      <c r="C2560" s="28">
        <v>4152014630</v>
      </c>
      <c r="D2560" s="28" t="s">
        <v>3666</v>
      </c>
      <c r="E2560" s="28" t="s">
        <v>3675</v>
      </c>
      <c r="F2560" s="28" t="s">
        <v>1700</v>
      </c>
      <c r="G2560" s="28"/>
    </row>
    <row r="2561" spans="1:7">
      <c r="A2561" s="28">
        <v>2560</v>
      </c>
      <c r="B2561" s="28" t="s">
        <v>2653</v>
      </c>
      <c r="C2561" s="28">
        <v>4152014648</v>
      </c>
      <c r="D2561" s="28" t="s">
        <v>3666</v>
      </c>
      <c r="E2561" s="28" t="s">
        <v>3672</v>
      </c>
      <c r="F2561" s="28" t="s">
        <v>1700</v>
      </c>
      <c r="G2561" s="28"/>
    </row>
    <row r="2562" spans="1:7">
      <c r="A2562" s="28">
        <v>2561</v>
      </c>
      <c r="B2562" s="28" t="s">
        <v>2654</v>
      </c>
      <c r="C2562" s="28">
        <v>4152014733</v>
      </c>
      <c r="D2562" s="28" t="s">
        <v>3666</v>
      </c>
      <c r="E2562" s="28" t="s">
        <v>3674</v>
      </c>
      <c r="F2562" s="28" t="s">
        <v>1700</v>
      </c>
      <c r="G2562" s="28"/>
    </row>
    <row r="2563" spans="1:7">
      <c r="A2563" s="28">
        <v>2562</v>
      </c>
      <c r="B2563" s="28" t="s">
        <v>2655</v>
      </c>
      <c r="C2563" s="28">
        <v>4152014734</v>
      </c>
      <c r="D2563" s="28" t="s">
        <v>3666</v>
      </c>
      <c r="E2563" s="28" t="s">
        <v>3667</v>
      </c>
      <c r="F2563" s="28" t="s">
        <v>1700</v>
      </c>
      <c r="G2563" s="28"/>
    </row>
    <row r="2564" spans="1:7">
      <c r="A2564" s="28">
        <v>2563</v>
      </c>
      <c r="B2564" s="28" t="s">
        <v>3204</v>
      </c>
      <c r="C2564" s="28">
        <v>4152014735</v>
      </c>
      <c r="D2564" s="28" t="s">
        <v>3676</v>
      </c>
      <c r="E2564" s="28" t="s">
        <v>3671</v>
      </c>
      <c r="F2564" s="28" t="s">
        <v>1700</v>
      </c>
      <c r="G2564" s="28" t="s">
        <v>1252</v>
      </c>
    </row>
    <row r="2565" spans="1:7">
      <c r="A2565" s="28">
        <v>2564</v>
      </c>
      <c r="B2565" s="28" t="s">
        <v>2656</v>
      </c>
      <c r="C2565" s="28">
        <v>4152014769</v>
      </c>
      <c r="D2565" s="28" t="s">
        <v>3666</v>
      </c>
      <c r="E2565" s="28" t="s">
        <v>3667</v>
      </c>
      <c r="F2565" s="28" t="s">
        <v>1700</v>
      </c>
      <c r="G2565" s="28"/>
    </row>
    <row r="2566" spans="1:7">
      <c r="A2566" s="28">
        <v>2565</v>
      </c>
      <c r="B2566" s="28" t="s">
        <v>2657</v>
      </c>
      <c r="C2566" s="28">
        <v>4252050963</v>
      </c>
      <c r="D2566" s="28" t="s">
        <v>3666</v>
      </c>
      <c r="E2566" s="28" t="s">
        <v>3667</v>
      </c>
      <c r="F2566" s="28" t="s">
        <v>1700</v>
      </c>
      <c r="G2566" s="28"/>
    </row>
    <row r="2567" spans="1:7">
      <c r="A2567" s="28">
        <v>2566</v>
      </c>
      <c r="B2567" s="28" t="s">
        <v>2819</v>
      </c>
      <c r="C2567" s="28">
        <v>4152014799</v>
      </c>
      <c r="D2567" s="28" t="s">
        <v>3666</v>
      </c>
      <c r="E2567" s="28" t="s">
        <v>3667</v>
      </c>
      <c r="F2567" s="28" t="s">
        <v>1700</v>
      </c>
      <c r="G2567" s="28"/>
    </row>
    <row r="2568" spans="1:7">
      <c r="A2568" s="28">
        <v>2567</v>
      </c>
      <c r="B2568" s="28" t="s">
        <v>3242</v>
      </c>
      <c r="C2568" s="28">
        <v>4152014800</v>
      </c>
      <c r="D2568" s="28" t="s">
        <v>3676</v>
      </c>
      <c r="E2568" s="28" t="s">
        <v>3669</v>
      </c>
      <c r="F2568" s="28" t="s">
        <v>1700</v>
      </c>
      <c r="G2568" s="28" t="s">
        <v>1252</v>
      </c>
    </row>
    <row r="2569" spans="1:7">
      <c r="A2569" s="28">
        <v>2568</v>
      </c>
      <c r="B2569" s="28" t="s">
        <v>2848</v>
      </c>
      <c r="C2569" s="28">
        <v>4152014848</v>
      </c>
      <c r="D2569" s="28" t="s">
        <v>3666</v>
      </c>
      <c r="E2569" s="28" t="s">
        <v>3667</v>
      </c>
      <c r="F2569" s="28" t="s">
        <v>1700</v>
      </c>
      <c r="G2569" s="28"/>
    </row>
    <row r="2570" spans="1:7">
      <c r="A2570" s="28">
        <v>2569</v>
      </c>
      <c r="B2570" s="28" t="s">
        <v>2849</v>
      </c>
      <c r="C2570" s="28">
        <v>4152014849</v>
      </c>
      <c r="D2570" s="28" t="s">
        <v>3666</v>
      </c>
      <c r="E2570" s="28" t="s">
        <v>3667</v>
      </c>
      <c r="F2570" s="28" t="s">
        <v>1700</v>
      </c>
      <c r="G2570" s="28"/>
    </row>
    <row r="2571" spans="1:7">
      <c r="A2571" s="28">
        <v>2570</v>
      </c>
      <c r="B2571" s="28" t="s">
        <v>2850</v>
      </c>
      <c r="C2571" s="28">
        <v>4152014850</v>
      </c>
      <c r="D2571" s="28" t="s">
        <v>3666</v>
      </c>
      <c r="E2571" s="28" t="s">
        <v>3673</v>
      </c>
      <c r="F2571" s="28" t="s">
        <v>1700</v>
      </c>
      <c r="G2571" s="28"/>
    </row>
    <row r="2572" spans="1:7">
      <c r="A2572" s="28">
        <v>2571</v>
      </c>
      <c r="B2572" s="28" t="s">
        <v>1059</v>
      </c>
      <c r="C2572" s="28">
        <v>4153010673</v>
      </c>
      <c r="D2572" s="28" t="s">
        <v>3678</v>
      </c>
      <c r="E2572" s="28" t="s">
        <v>3679</v>
      </c>
      <c r="F2572" s="28" t="s">
        <v>11</v>
      </c>
      <c r="G2572" s="28"/>
    </row>
    <row r="2573" spans="1:7">
      <c r="A2573" s="28">
        <v>2572</v>
      </c>
      <c r="B2573" s="28" t="s">
        <v>1062</v>
      </c>
      <c r="C2573" s="28">
        <v>4153010674</v>
      </c>
      <c r="D2573" s="28" t="s">
        <v>3678</v>
      </c>
      <c r="E2573" s="28" t="s">
        <v>3679</v>
      </c>
      <c r="F2573" s="28" t="s">
        <v>11</v>
      </c>
      <c r="G2573" s="28"/>
    </row>
    <row r="2574" spans="1:7">
      <c r="A2574" s="28">
        <v>2573</v>
      </c>
      <c r="B2574" s="28" t="s">
        <v>1063</v>
      </c>
      <c r="C2574" s="28">
        <v>4153010676</v>
      </c>
      <c r="D2574" s="28" t="s">
        <v>3678</v>
      </c>
      <c r="E2574" s="28" t="s">
        <v>3679</v>
      </c>
      <c r="F2574" s="28" t="s">
        <v>11</v>
      </c>
      <c r="G2574" s="28"/>
    </row>
    <row r="2575" spans="1:7">
      <c r="A2575" s="28">
        <v>2574</v>
      </c>
      <c r="B2575" s="28" t="s">
        <v>1064</v>
      </c>
      <c r="C2575" s="28">
        <v>4153010677</v>
      </c>
      <c r="D2575" s="28" t="s">
        <v>3678</v>
      </c>
      <c r="E2575" s="28" t="s">
        <v>3679</v>
      </c>
      <c r="F2575" s="28" t="s">
        <v>11</v>
      </c>
      <c r="G2575" s="28"/>
    </row>
    <row r="2576" spans="1:7">
      <c r="A2576" s="28">
        <v>2575</v>
      </c>
      <c r="B2576" s="28" t="s">
        <v>1065</v>
      </c>
      <c r="C2576" s="28">
        <v>4153010678</v>
      </c>
      <c r="D2576" s="28" t="s">
        <v>3678</v>
      </c>
      <c r="E2576" s="28" t="s">
        <v>3679</v>
      </c>
      <c r="F2576" s="28" t="s">
        <v>11</v>
      </c>
      <c r="G2576" s="28"/>
    </row>
    <row r="2577" spans="1:7">
      <c r="A2577" s="28">
        <v>2576</v>
      </c>
      <c r="B2577" s="28" t="s">
        <v>1066</v>
      </c>
      <c r="C2577" s="28">
        <v>4153010679</v>
      </c>
      <c r="D2577" s="28" t="s">
        <v>3678</v>
      </c>
      <c r="E2577" s="28" t="s">
        <v>3680</v>
      </c>
      <c r="F2577" s="28" t="s">
        <v>11</v>
      </c>
      <c r="G2577" s="28"/>
    </row>
    <row r="2578" spans="1:7">
      <c r="A2578" s="28">
        <v>2577</v>
      </c>
      <c r="B2578" s="28" t="s">
        <v>1068</v>
      </c>
      <c r="C2578" s="28">
        <v>4153010680</v>
      </c>
      <c r="D2578" s="28" t="s">
        <v>3678</v>
      </c>
      <c r="E2578" s="28" t="s">
        <v>3679</v>
      </c>
      <c r="F2578" s="28" t="s">
        <v>11</v>
      </c>
      <c r="G2578" s="28"/>
    </row>
    <row r="2579" spans="1:7">
      <c r="A2579" s="28">
        <v>2578</v>
      </c>
      <c r="B2579" s="28" t="s">
        <v>1069</v>
      </c>
      <c r="C2579" s="28">
        <v>4153010681</v>
      </c>
      <c r="D2579" s="28" t="s">
        <v>3678</v>
      </c>
      <c r="E2579" s="28" t="s">
        <v>3679</v>
      </c>
      <c r="F2579" s="28" t="s">
        <v>11</v>
      </c>
      <c r="G2579" s="28"/>
    </row>
    <row r="2580" spans="1:7">
      <c r="A2580" s="28">
        <v>2579</v>
      </c>
      <c r="B2580" s="28" t="s">
        <v>1070</v>
      </c>
      <c r="C2580" s="28">
        <v>4153010683</v>
      </c>
      <c r="D2580" s="28" t="s">
        <v>3678</v>
      </c>
      <c r="E2580" s="28" t="s">
        <v>3681</v>
      </c>
      <c r="F2580" s="28" t="s">
        <v>11</v>
      </c>
      <c r="G2580" s="28"/>
    </row>
    <row r="2581" spans="1:7">
      <c r="A2581" s="28">
        <v>2580</v>
      </c>
      <c r="B2581" s="28" t="s">
        <v>1072</v>
      </c>
      <c r="C2581" s="28">
        <v>4153010684</v>
      </c>
      <c r="D2581" s="28" t="s">
        <v>3678</v>
      </c>
      <c r="E2581" s="28" t="s">
        <v>3682</v>
      </c>
      <c r="F2581" s="28" t="s">
        <v>11</v>
      </c>
      <c r="G2581" s="28"/>
    </row>
    <row r="2582" spans="1:7">
      <c r="A2582" s="28">
        <v>2581</v>
      </c>
      <c r="B2582" s="28" t="s">
        <v>1074</v>
      </c>
      <c r="C2582" s="28">
        <v>4153010685</v>
      </c>
      <c r="D2582" s="28" t="s">
        <v>3678</v>
      </c>
      <c r="E2582" s="28" t="s">
        <v>3683</v>
      </c>
      <c r="F2582" s="28" t="s">
        <v>11</v>
      </c>
      <c r="G2582" s="28"/>
    </row>
    <row r="2583" spans="1:7">
      <c r="A2583" s="28">
        <v>2582</v>
      </c>
      <c r="B2583" s="28" t="s">
        <v>1076</v>
      </c>
      <c r="C2583" s="28">
        <v>4153010686</v>
      </c>
      <c r="D2583" s="28" t="s">
        <v>3678</v>
      </c>
      <c r="E2583" s="28" t="s">
        <v>3684</v>
      </c>
      <c r="F2583" s="28" t="s">
        <v>11</v>
      </c>
      <c r="G2583" s="28"/>
    </row>
    <row r="2584" spans="1:7">
      <c r="A2584" s="28">
        <v>2583</v>
      </c>
      <c r="B2584" s="28" t="s">
        <v>1078</v>
      </c>
      <c r="C2584" s="28">
        <v>4153010687</v>
      </c>
      <c r="D2584" s="28" t="s">
        <v>3678</v>
      </c>
      <c r="E2584" s="28" t="s">
        <v>3685</v>
      </c>
      <c r="F2584" s="28" t="s">
        <v>11</v>
      </c>
      <c r="G2584" s="28"/>
    </row>
    <row r="2585" spans="1:7">
      <c r="A2585" s="28">
        <v>2584</v>
      </c>
      <c r="B2585" s="28" t="s">
        <v>1080</v>
      </c>
      <c r="C2585" s="28">
        <v>4153010689</v>
      </c>
      <c r="D2585" s="28" t="s">
        <v>3678</v>
      </c>
      <c r="E2585" s="28" t="s">
        <v>3679</v>
      </c>
      <c r="F2585" s="28" t="s">
        <v>11</v>
      </c>
      <c r="G2585" s="28"/>
    </row>
    <row r="2586" spans="1:7">
      <c r="A2586" s="28">
        <v>2585</v>
      </c>
      <c r="B2586" s="28" t="s">
        <v>1081</v>
      </c>
      <c r="C2586" s="28">
        <v>4153010690</v>
      </c>
      <c r="D2586" s="28" t="s">
        <v>3678</v>
      </c>
      <c r="E2586" s="28" t="s">
        <v>3679</v>
      </c>
      <c r="F2586" s="28" t="s">
        <v>11</v>
      </c>
      <c r="G2586" s="28"/>
    </row>
    <row r="2587" spans="1:7">
      <c r="A2587" s="28">
        <v>2586</v>
      </c>
      <c r="B2587" s="28" t="s">
        <v>1082</v>
      </c>
      <c r="C2587" s="28">
        <v>4153010691</v>
      </c>
      <c r="D2587" s="28" t="s">
        <v>3678</v>
      </c>
      <c r="E2587" s="28" t="s">
        <v>3679</v>
      </c>
      <c r="F2587" s="28" t="s">
        <v>11</v>
      </c>
      <c r="G2587" s="28"/>
    </row>
    <row r="2588" spans="1:7">
      <c r="A2588" s="28">
        <v>2587</v>
      </c>
      <c r="B2588" s="28" t="s">
        <v>1083</v>
      </c>
      <c r="C2588" s="28">
        <v>4153011390</v>
      </c>
      <c r="D2588" s="28" t="s">
        <v>3678</v>
      </c>
      <c r="E2588" s="28" t="s">
        <v>3686</v>
      </c>
      <c r="F2588" s="28" t="s">
        <v>11</v>
      </c>
      <c r="G2588" s="28"/>
    </row>
    <row r="2589" spans="1:7">
      <c r="A2589" s="28">
        <v>2588</v>
      </c>
      <c r="B2589" s="28" t="s">
        <v>1085</v>
      </c>
      <c r="C2589" s="28">
        <v>4153011391</v>
      </c>
      <c r="D2589" s="28" t="s">
        <v>3678</v>
      </c>
      <c r="E2589" s="28" t="s">
        <v>3687</v>
      </c>
      <c r="F2589" s="28" t="s">
        <v>11</v>
      </c>
      <c r="G2589" s="28"/>
    </row>
    <row r="2590" spans="1:7">
      <c r="A2590" s="28">
        <v>2589</v>
      </c>
      <c r="B2590" s="28" t="s">
        <v>1087</v>
      </c>
      <c r="C2590" s="28">
        <v>4153011392</v>
      </c>
      <c r="D2590" s="28" t="s">
        <v>3678</v>
      </c>
      <c r="E2590" s="28" t="s">
        <v>3679</v>
      </c>
      <c r="F2590" s="28" t="s">
        <v>11</v>
      </c>
      <c r="G2590" s="28"/>
    </row>
    <row r="2591" spans="1:7">
      <c r="A2591" s="28">
        <v>2590</v>
      </c>
      <c r="B2591" s="28" t="s">
        <v>1088</v>
      </c>
      <c r="C2591" s="28">
        <v>4153011393</v>
      </c>
      <c r="D2591" s="28" t="s">
        <v>3678</v>
      </c>
      <c r="E2591" s="28" t="s">
        <v>3679</v>
      </c>
      <c r="F2591" s="28" t="s">
        <v>11</v>
      </c>
      <c r="G2591" s="28"/>
    </row>
    <row r="2592" spans="1:7">
      <c r="A2592" s="28">
        <v>2591</v>
      </c>
      <c r="B2592" s="28" t="s">
        <v>1089</v>
      </c>
      <c r="C2592" s="28">
        <v>4153011556</v>
      </c>
      <c r="D2592" s="28" t="s">
        <v>3678</v>
      </c>
      <c r="E2592" s="28" t="s">
        <v>3688</v>
      </c>
      <c r="F2592" s="28" t="s">
        <v>11</v>
      </c>
      <c r="G2592" s="28"/>
    </row>
    <row r="2593" spans="1:7">
      <c r="A2593" s="28">
        <v>2592</v>
      </c>
      <c r="B2593" s="28" t="s">
        <v>1631</v>
      </c>
      <c r="C2593" s="28">
        <v>4153012560</v>
      </c>
      <c r="D2593" s="28" t="s">
        <v>3689</v>
      </c>
      <c r="E2593" s="28" t="s">
        <v>3679</v>
      </c>
      <c r="F2593" s="28" t="s">
        <v>11</v>
      </c>
      <c r="G2593" s="28" t="s">
        <v>1252</v>
      </c>
    </row>
    <row r="2594" spans="1:7">
      <c r="A2594" s="28">
        <v>2593</v>
      </c>
      <c r="B2594" s="28" t="s">
        <v>1632</v>
      </c>
      <c r="C2594" s="28">
        <v>4153013326</v>
      </c>
      <c r="D2594" s="28" t="s">
        <v>3689</v>
      </c>
      <c r="E2594" s="28" t="s">
        <v>3679</v>
      </c>
      <c r="F2594" s="28" t="s">
        <v>11</v>
      </c>
      <c r="G2594" s="28" t="s">
        <v>1252</v>
      </c>
    </row>
    <row r="2595" spans="1:7">
      <c r="A2595" s="28">
        <v>2594</v>
      </c>
      <c r="B2595" s="28" t="s">
        <v>1633</v>
      </c>
      <c r="C2595" s="28">
        <v>4153013328</v>
      </c>
      <c r="D2595" s="28" t="s">
        <v>3689</v>
      </c>
      <c r="E2595" s="28" t="s">
        <v>3690</v>
      </c>
      <c r="F2595" s="28" t="s">
        <v>11</v>
      </c>
      <c r="G2595" s="28" t="s">
        <v>1252</v>
      </c>
    </row>
    <row r="2596" spans="1:7">
      <c r="A2596" s="28">
        <v>2595</v>
      </c>
      <c r="B2596" s="28" t="s">
        <v>1634</v>
      </c>
      <c r="C2596" s="28">
        <v>4153013329</v>
      </c>
      <c r="D2596" s="28" t="s">
        <v>3689</v>
      </c>
      <c r="E2596" s="28" t="s">
        <v>3679</v>
      </c>
      <c r="F2596" s="28" t="s">
        <v>11</v>
      </c>
      <c r="G2596" s="28" t="s">
        <v>1252</v>
      </c>
    </row>
    <row r="2597" spans="1:7">
      <c r="A2597" s="28">
        <v>2596</v>
      </c>
      <c r="B2597" s="28" t="s">
        <v>1635</v>
      </c>
      <c r="C2597" s="28">
        <v>4153013330</v>
      </c>
      <c r="D2597" s="28" t="s">
        <v>3689</v>
      </c>
      <c r="E2597" s="28" t="s">
        <v>3679</v>
      </c>
      <c r="F2597" s="28" t="s">
        <v>11</v>
      </c>
      <c r="G2597" s="28" t="s">
        <v>1252</v>
      </c>
    </row>
    <row r="2598" spans="1:7">
      <c r="A2598" s="28">
        <v>2597</v>
      </c>
      <c r="B2598" s="28" t="s">
        <v>1636</v>
      </c>
      <c r="C2598" s="28">
        <v>4153013331</v>
      </c>
      <c r="D2598" s="28" t="s">
        <v>3689</v>
      </c>
      <c r="E2598" s="28" t="s">
        <v>3679</v>
      </c>
      <c r="F2598" s="28" t="s">
        <v>11</v>
      </c>
      <c r="G2598" s="28" t="s">
        <v>1252</v>
      </c>
    </row>
    <row r="2599" spans="1:7">
      <c r="A2599" s="28">
        <v>2598</v>
      </c>
      <c r="B2599" s="28" t="s">
        <v>1637</v>
      </c>
      <c r="C2599" s="28">
        <v>4153013332</v>
      </c>
      <c r="D2599" s="28" t="s">
        <v>3689</v>
      </c>
      <c r="E2599" s="28" t="s">
        <v>3679</v>
      </c>
      <c r="F2599" s="28" t="s">
        <v>11</v>
      </c>
      <c r="G2599" s="28" t="s">
        <v>1252</v>
      </c>
    </row>
    <row r="2600" spans="1:7">
      <c r="A2600" s="28">
        <v>2599</v>
      </c>
      <c r="B2600" s="28" t="s">
        <v>1638</v>
      </c>
      <c r="C2600" s="28">
        <v>4153013333</v>
      </c>
      <c r="D2600" s="28" t="s">
        <v>3689</v>
      </c>
      <c r="E2600" s="28" t="s">
        <v>3679</v>
      </c>
      <c r="F2600" s="28" t="s">
        <v>11</v>
      </c>
      <c r="G2600" s="28" t="s">
        <v>1252</v>
      </c>
    </row>
    <row r="2601" spans="1:7">
      <c r="A2601" s="28">
        <v>2600</v>
      </c>
      <c r="B2601" s="28" t="s">
        <v>1639</v>
      </c>
      <c r="C2601" s="28">
        <v>4153013909</v>
      </c>
      <c r="D2601" s="28" t="s">
        <v>3689</v>
      </c>
      <c r="E2601" s="28" t="s">
        <v>3679</v>
      </c>
      <c r="F2601" s="28" t="s">
        <v>11</v>
      </c>
      <c r="G2601" s="28" t="s">
        <v>1252</v>
      </c>
    </row>
    <row r="2602" spans="1:7">
      <c r="A2602" s="28">
        <v>2601</v>
      </c>
      <c r="B2602" s="28" t="s">
        <v>1091</v>
      </c>
      <c r="C2602" s="28">
        <v>4153014092</v>
      </c>
      <c r="D2602" s="28" t="s">
        <v>3678</v>
      </c>
      <c r="E2602" s="28" t="s">
        <v>3691</v>
      </c>
      <c r="F2602" s="28" t="s">
        <v>11</v>
      </c>
      <c r="G2602" s="28"/>
    </row>
    <row r="2603" spans="1:7">
      <c r="A2603" s="28">
        <v>2602</v>
      </c>
      <c r="B2603" s="28" t="s">
        <v>1093</v>
      </c>
      <c r="C2603" s="28">
        <v>4153014623</v>
      </c>
      <c r="D2603" s="28" t="s">
        <v>3678</v>
      </c>
      <c r="E2603" s="28" t="s">
        <v>3680</v>
      </c>
      <c r="F2603" s="28" t="s">
        <v>11</v>
      </c>
      <c r="G2603" s="28"/>
    </row>
    <row r="2604" spans="1:7">
      <c r="A2604" s="28">
        <v>2603</v>
      </c>
      <c r="B2604" s="28" t="s">
        <v>1096</v>
      </c>
      <c r="C2604" s="28">
        <v>4153014015</v>
      </c>
      <c r="D2604" s="28" t="s">
        <v>3678</v>
      </c>
      <c r="E2604" s="28" t="s">
        <v>3690</v>
      </c>
      <c r="F2604" s="28" t="s">
        <v>11</v>
      </c>
      <c r="G2604" s="28"/>
    </row>
    <row r="2605" spans="1:7">
      <c r="A2605" s="28">
        <v>2604</v>
      </c>
      <c r="B2605" s="28" t="s">
        <v>1098</v>
      </c>
      <c r="C2605" s="28">
        <v>4153014016</v>
      </c>
      <c r="D2605" s="28" t="s">
        <v>3678</v>
      </c>
      <c r="E2605" s="28" t="s">
        <v>3692</v>
      </c>
      <c r="F2605" s="28" t="s">
        <v>11</v>
      </c>
      <c r="G2605" s="28"/>
    </row>
    <row r="2606" spans="1:7">
      <c r="A2606" s="28">
        <v>2605</v>
      </c>
      <c r="B2606" s="28" t="s">
        <v>1095</v>
      </c>
      <c r="C2606" s="28">
        <v>4153014012</v>
      </c>
      <c r="D2606" s="28" t="s">
        <v>3678</v>
      </c>
      <c r="E2606" s="28" t="s">
        <v>3682</v>
      </c>
      <c r="F2606" s="28" t="s">
        <v>11</v>
      </c>
      <c r="G2606" s="28"/>
    </row>
    <row r="2607" spans="1:7">
      <c r="A2607" s="28">
        <v>2606</v>
      </c>
      <c r="B2607" s="28" t="s">
        <v>3693</v>
      </c>
      <c r="C2607" s="28">
        <v>4153011557</v>
      </c>
      <c r="D2607" s="28" t="s">
        <v>3678</v>
      </c>
      <c r="E2607" s="28" t="s">
        <v>3679</v>
      </c>
      <c r="F2607" s="28" t="s">
        <v>1700</v>
      </c>
      <c r="G2607" s="28"/>
    </row>
    <row r="2608" spans="1:7">
      <c r="A2608" s="28">
        <v>2607</v>
      </c>
      <c r="B2608" s="28" t="s">
        <v>2658</v>
      </c>
      <c r="C2608" s="28">
        <v>4153012349</v>
      </c>
      <c r="D2608" s="28" t="s">
        <v>3678</v>
      </c>
      <c r="E2608" s="28" t="s">
        <v>3679</v>
      </c>
      <c r="F2608" s="28" t="s">
        <v>1700</v>
      </c>
      <c r="G2608" s="28"/>
    </row>
    <row r="2609" spans="1:7">
      <c r="A2609" s="28">
        <v>2608</v>
      </c>
      <c r="B2609" s="28" t="s">
        <v>2659</v>
      </c>
      <c r="C2609" s="28">
        <v>4153012357</v>
      </c>
      <c r="D2609" s="28" t="s">
        <v>3678</v>
      </c>
      <c r="E2609" s="28" t="s">
        <v>3679</v>
      </c>
      <c r="F2609" s="28" t="s">
        <v>1700</v>
      </c>
      <c r="G2609" s="28"/>
    </row>
    <row r="2610" spans="1:7">
      <c r="A2610" s="28">
        <v>2609</v>
      </c>
      <c r="B2610" s="28" t="s">
        <v>2660</v>
      </c>
      <c r="C2610" s="28">
        <v>4153012393</v>
      </c>
      <c r="D2610" s="28" t="s">
        <v>3678</v>
      </c>
      <c r="E2610" s="28" t="s">
        <v>3679</v>
      </c>
      <c r="F2610" s="28" t="s">
        <v>1700</v>
      </c>
      <c r="G2610" s="28"/>
    </row>
    <row r="2611" spans="1:7">
      <c r="A2611" s="28">
        <v>2610</v>
      </c>
      <c r="B2611" s="28" t="s">
        <v>2661</v>
      </c>
      <c r="C2611" s="28">
        <v>4153012555</v>
      </c>
      <c r="D2611" s="28" t="s">
        <v>3678</v>
      </c>
      <c r="E2611" s="28" t="s">
        <v>3679</v>
      </c>
      <c r="F2611" s="28" t="s">
        <v>1700</v>
      </c>
      <c r="G2611" s="28"/>
    </row>
    <row r="2612" spans="1:7">
      <c r="A2612" s="28">
        <v>2611</v>
      </c>
      <c r="B2612" s="28" t="s">
        <v>2662</v>
      </c>
      <c r="C2612" s="28">
        <v>4153012556</v>
      </c>
      <c r="D2612" s="28" t="s">
        <v>3678</v>
      </c>
      <c r="E2612" s="28" t="s">
        <v>3679</v>
      </c>
      <c r="F2612" s="28" t="s">
        <v>1700</v>
      </c>
      <c r="G2612" s="28"/>
    </row>
    <row r="2613" spans="1:7">
      <c r="A2613" s="28">
        <v>2612</v>
      </c>
      <c r="B2613" s="28" t="s">
        <v>2663</v>
      </c>
      <c r="C2613" s="28">
        <v>4153012558</v>
      </c>
      <c r="D2613" s="28" t="s">
        <v>3678</v>
      </c>
      <c r="E2613" s="28" t="s">
        <v>3679</v>
      </c>
      <c r="F2613" s="28" t="s">
        <v>1700</v>
      </c>
      <c r="G2613" s="28"/>
    </row>
    <row r="2614" spans="1:7">
      <c r="A2614" s="28">
        <v>2613</v>
      </c>
      <c r="B2614" s="28" t="s">
        <v>2664</v>
      </c>
      <c r="C2614" s="28">
        <v>4153012559</v>
      </c>
      <c r="D2614" s="28" t="s">
        <v>3678</v>
      </c>
      <c r="E2614" s="28" t="s">
        <v>3679</v>
      </c>
      <c r="F2614" s="28" t="s">
        <v>1700</v>
      </c>
      <c r="G2614" s="28"/>
    </row>
    <row r="2615" spans="1:7">
      <c r="A2615" s="28">
        <v>2614</v>
      </c>
      <c r="B2615" s="28" t="s">
        <v>3205</v>
      </c>
      <c r="C2615" s="28">
        <v>4153012825</v>
      </c>
      <c r="D2615" s="28" t="s">
        <v>3689</v>
      </c>
      <c r="E2615" s="28" t="s">
        <v>3679</v>
      </c>
      <c r="F2615" s="28" t="s">
        <v>1700</v>
      </c>
      <c r="G2615" s="28" t="s">
        <v>1252</v>
      </c>
    </row>
    <row r="2616" spans="1:7">
      <c r="A2616" s="28">
        <v>2615</v>
      </c>
      <c r="B2616" s="28" t="s">
        <v>2665</v>
      </c>
      <c r="C2616" s="28">
        <v>4153012826</v>
      </c>
      <c r="D2616" s="28" t="s">
        <v>3678</v>
      </c>
      <c r="E2616" s="28" t="s">
        <v>3694</v>
      </c>
      <c r="F2616" s="28" t="s">
        <v>1700</v>
      </c>
      <c r="G2616" s="28"/>
    </row>
    <row r="2617" spans="1:7">
      <c r="A2617" s="28">
        <v>2616</v>
      </c>
      <c r="B2617" s="28" t="s">
        <v>3206</v>
      </c>
      <c r="C2617" s="28">
        <v>4153012851</v>
      </c>
      <c r="D2617" s="28" t="s">
        <v>3689</v>
      </c>
      <c r="E2617" s="28" t="s">
        <v>3679</v>
      </c>
      <c r="F2617" s="28" t="s">
        <v>1700</v>
      </c>
      <c r="G2617" s="28" t="s">
        <v>1252</v>
      </c>
    </row>
    <row r="2618" spans="1:7">
      <c r="A2618" s="28">
        <v>2617</v>
      </c>
      <c r="B2618" s="28" t="s">
        <v>2667</v>
      </c>
      <c r="C2618" s="28">
        <v>4153012971</v>
      </c>
      <c r="D2618" s="28" t="s">
        <v>3678</v>
      </c>
      <c r="E2618" s="28" t="s">
        <v>3686</v>
      </c>
      <c r="F2618" s="28" t="s">
        <v>1700</v>
      </c>
      <c r="G2618" s="28"/>
    </row>
    <row r="2619" spans="1:7">
      <c r="A2619" s="28">
        <v>2618</v>
      </c>
      <c r="B2619" s="28" t="s">
        <v>2668</v>
      </c>
      <c r="C2619" s="28">
        <v>4153013136</v>
      </c>
      <c r="D2619" s="28" t="s">
        <v>3678</v>
      </c>
      <c r="E2619" s="28" t="s">
        <v>3682</v>
      </c>
      <c r="F2619" s="28" t="s">
        <v>1700</v>
      </c>
      <c r="G2619" s="28"/>
    </row>
    <row r="2620" spans="1:7">
      <c r="A2620" s="28">
        <v>2619</v>
      </c>
      <c r="B2620" s="28" t="s">
        <v>2669</v>
      </c>
      <c r="C2620" s="28">
        <v>4153013756</v>
      </c>
      <c r="D2620" s="28" t="s">
        <v>3678</v>
      </c>
      <c r="E2620" s="28" t="s">
        <v>3679</v>
      </c>
      <c r="F2620" s="28" t="s">
        <v>1700</v>
      </c>
      <c r="G2620" s="28"/>
    </row>
    <row r="2621" spans="1:7">
      <c r="A2621" s="28">
        <v>2620</v>
      </c>
      <c r="B2621" s="28" t="s">
        <v>2670</v>
      </c>
      <c r="C2621" s="28">
        <v>4153013757</v>
      </c>
      <c r="D2621" s="28" t="s">
        <v>3678</v>
      </c>
      <c r="E2621" s="28" t="s">
        <v>3679</v>
      </c>
      <c r="F2621" s="28" t="s">
        <v>1700</v>
      </c>
      <c r="G2621" s="28"/>
    </row>
    <row r="2622" spans="1:7">
      <c r="A2622" s="28">
        <v>2621</v>
      </c>
      <c r="B2622" s="28" t="s">
        <v>2671</v>
      </c>
      <c r="C2622" s="28">
        <v>4153013758</v>
      </c>
      <c r="D2622" s="28" t="s">
        <v>3678</v>
      </c>
      <c r="E2622" s="28" t="s">
        <v>3679</v>
      </c>
      <c r="F2622" s="28" t="s">
        <v>1700</v>
      </c>
      <c r="G2622" s="28"/>
    </row>
    <row r="2623" spans="1:7">
      <c r="A2623" s="28">
        <v>2622</v>
      </c>
      <c r="B2623" s="28" t="s">
        <v>3207</v>
      </c>
      <c r="C2623" s="28">
        <v>4153013759</v>
      </c>
      <c r="D2623" s="28" t="s">
        <v>3689</v>
      </c>
      <c r="E2623" s="28" t="s">
        <v>3679</v>
      </c>
      <c r="F2623" s="28" t="s">
        <v>1700</v>
      </c>
      <c r="G2623" s="28" t="s">
        <v>1252</v>
      </c>
    </row>
    <row r="2624" spans="1:7">
      <c r="A2624" s="28">
        <v>2623</v>
      </c>
      <c r="B2624" s="28" t="s">
        <v>3208</v>
      </c>
      <c r="C2624" s="28">
        <v>4153013761</v>
      </c>
      <c r="D2624" s="28" t="s">
        <v>3689</v>
      </c>
      <c r="E2624" s="28" t="s">
        <v>3679</v>
      </c>
      <c r="F2624" s="28" t="s">
        <v>1700</v>
      </c>
      <c r="G2624" s="28" t="s">
        <v>1252</v>
      </c>
    </row>
    <row r="2625" spans="1:7">
      <c r="A2625" s="28">
        <v>2624</v>
      </c>
      <c r="B2625" s="28" t="s">
        <v>2672</v>
      </c>
      <c r="C2625" s="28">
        <v>4153014013</v>
      </c>
      <c r="D2625" s="28" t="s">
        <v>3678</v>
      </c>
      <c r="E2625" s="28" t="s">
        <v>3687</v>
      </c>
      <c r="F2625" s="28" t="s">
        <v>1700</v>
      </c>
      <c r="G2625" s="28"/>
    </row>
    <row r="2626" spans="1:7">
      <c r="A2626" s="28">
        <v>2625</v>
      </c>
      <c r="B2626" s="28" t="s">
        <v>2673</v>
      </c>
      <c r="C2626" s="28">
        <v>4153014014</v>
      </c>
      <c r="D2626" s="28" t="s">
        <v>3678</v>
      </c>
      <c r="E2626" s="28" t="s">
        <v>3684</v>
      </c>
      <c r="F2626" s="28" t="s">
        <v>1700</v>
      </c>
      <c r="G2626" s="28"/>
    </row>
    <row r="2627" spans="1:7">
      <c r="A2627" s="28">
        <v>2626</v>
      </c>
      <c r="B2627" s="28" t="s">
        <v>3209</v>
      </c>
      <c r="C2627" s="28">
        <v>4153014032</v>
      </c>
      <c r="D2627" s="28" t="s">
        <v>3689</v>
      </c>
      <c r="E2627" s="28" t="s">
        <v>3679</v>
      </c>
      <c r="F2627" s="28" t="s">
        <v>1700</v>
      </c>
      <c r="G2627" s="28" t="s">
        <v>1252</v>
      </c>
    </row>
    <row r="2628" spans="1:7">
      <c r="A2628" s="28">
        <v>2627</v>
      </c>
      <c r="B2628" s="28" t="s">
        <v>2674</v>
      </c>
      <c r="C2628" s="28">
        <v>4153014130</v>
      </c>
      <c r="D2628" s="28" t="s">
        <v>3678</v>
      </c>
      <c r="E2628" s="28" t="s">
        <v>3685</v>
      </c>
      <c r="F2628" s="28" t="s">
        <v>1700</v>
      </c>
      <c r="G2628" s="28"/>
    </row>
    <row r="2629" spans="1:7">
      <c r="A2629" s="28">
        <v>2628</v>
      </c>
      <c r="B2629" s="28" t="s">
        <v>3695</v>
      </c>
      <c r="C2629" s="28">
        <v>4153014212</v>
      </c>
      <c r="D2629" s="28" t="s">
        <v>3689</v>
      </c>
      <c r="E2629" s="28" t="s">
        <v>3679</v>
      </c>
      <c r="F2629" s="28" t="s">
        <v>1700</v>
      </c>
      <c r="G2629" s="28" t="s">
        <v>1252</v>
      </c>
    </row>
    <row r="2630" spans="1:7">
      <c r="A2630" s="28">
        <v>2629</v>
      </c>
      <c r="B2630" s="28" t="s">
        <v>3210</v>
      </c>
      <c r="C2630" s="28">
        <v>4153014239</v>
      </c>
      <c r="D2630" s="28" t="s">
        <v>3689</v>
      </c>
      <c r="E2630" s="28" t="s">
        <v>3688</v>
      </c>
      <c r="F2630" s="28" t="s">
        <v>1700</v>
      </c>
      <c r="G2630" s="28" t="s">
        <v>1252</v>
      </c>
    </row>
    <row r="2631" spans="1:7">
      <c r="A2631" s="28">
        <v>2630</v>
      </c>
      <c r="B2631" s="28" t="s">
        <v>2675</v>
      </c>
      <c r="C2631" s="28">
        <v>4153014253</v>
      </c>
      <c r="D2631" s="28" t="s">
        <v>3678</v>
      </c>
      <c r="E2631" s="28" t="s">
        <v>3692</v>
      </c>
      <c r="F2631" s="28" t="s">
        <v>1700</v>
      </c>
      <c r="G2631" s="28"/>
    </row>
    <row r="2632" spans="1:7">
      <c r="A2632" s="28">
        <v>2631</v>
      </c>
      <c r="B2632" s="28" t="s">
        <v>3211</v>
      </c>
      <c r="C2632" s="28">
        <v>4153014317</v>
      </c>
      <c r="D2632" s="28" t="s">
        <v>3689</v>
      </c>
      <c r="E2632" s="28" t="s">
        <v>3679</v>
      </c>
      <c r="F2632" s="28" t="s">
        <v>1700</v>
      </c>
      <c r="G2632" s="28" t="s">
        <v>1252</v>
      </c>
    </row>
    <row r="2633" spans="1:7">
      <c r="A2633" s="28">
        <v>2632</v>
      </c>
      <c r="B2633" s="28" t="s">
        <v>3212</v>
      </c>
      <c r="C2633" s="28">
        <v>4153014372</v>
      </c>
      <c r="D2633" s="28" t="s">
        <v>3689</v>
      </c>
      <c r="E2633" s="28" t="s">
        <v>3679</v>
      </c>
      <c r="F2633" s="28" t="s">
        <v>1700</v>
      </c>
      <c r="G2633" s="28" t="s">
        <v>1252</v>
      </c>
    </row>
    <row r="2634" spans="1:7">
      <c r="A2634" s="28">
        <v>2633</v>
      </c>
      <c r="B2634" s="28" t="s">
        <v>2676</v>
      </c>
      <c r="C2634" s="28">
        <v>4153014373</v>
      </c>
      <c r="D2634" s="28" t="s">
        <v>3678</v>
      </c>
      <c r="E2634" s="28" t="s">
        <v>3687</v>
      </c>
      <c r="F2634" s="28" t="s">
        <v>1700</v>
      </c>
      <c r="G2634" s="28"/>
    </row>
    <row r="2635" spans="1:7">
      <c r="A2635" s="28">
        <v>2634</v>
      </c>
      <c r="B2635" s="28" t="s">
        <v>2677</v>
      </c>
      <c r="C2635" s="28">
        <v>4153014381</v>
      </c>
      <c r="D2635" s="28" t="s">
        <v>3678</v>
      </c>
      <c r="E2635" s="28" t="s">
        <v>3679</v>
      </c>
      <c r="F2635" s="28" t="s">
        <v>1700</v>
      </c>
      <c r="G2635" s="28"/>
    </row>
    <row r="2636" spans="1:7">
      <c r="A2636" s="28">
        <v>2635</v>
      </c>
      <c r="B2636" s="28" t="s">
        <v>2678</v>
      </c>
      <c r="C2636" s="28">
        <v>4153014413</v>
      </c>
      <c r="D2636" s="28" t="s">
        <v>3678</v>
      </c>
      <c r="E2636" s="28" t="s">
        <v>3685</v>
      </c>
      <c r="F2636" s="28" t="s">
        <v>1700</v>
      </c>
      <c r="G2636" s="28"/>
    </row>
    <row r="2637" spans="1:7">
      <c r="A2637" s="28">
        <v>2636</v>
      </c>
      <c r="B2637" s="28" t="s">
        <v>3213</v>
      </c>
      <c r="C2637" s="28">
        <v>4153014415</v>
      </c>
      <c r="D2637" s="28" t="s">
        <v>3689</v>
      </c>
      <c r="E2637" s="28" t="s">
        <v>3679</v>
      </c>
      <c r="F2637" s="28" t="s">
        <v>1700</v>
      </c>
      <c r="G2637" s="28" t="s">
        <v>1252</v>
      </c>
    </row>
    <row r="2638" spans="1:7">
      <c r="A2638" s="28">
        <v>2637</v>
      </c>
      <c r="B2638" s="28" t="s">
        <v>2679</v>
      </c>
      <c r="C2638" s="28">
        <v>4153014487</v>
      </c>
      <c r="D2638" s="28" t="s">
        <v>3678</v>
      </c>
      <c r="E2638" s="28" t="s">
        <v>3680</v>
      </c>
      <c r="F2638" s="28" t="s">
        <v>1700</v>
      </c>
      <c r="G2638" s="28"/>
    </row>
    <row r="2639" spans="1:7">
      <c r="A2639" s="28">
        <v>2638</v>
      </c>
      <c r="B2639" s="28" t="s">
        <v>2680</v>
      </c>
      <c r="C2639" s="28">
        <v>4153014534</v>
      </c>
      <c r="D2639" s="28" t="s">
        <v>3314</v>
      </c>
      <c r="E2639" s="28" t="s">
        <v>3679</v>
      </c>
      <c r="F2639" s="28" t="s">
        <v>1700</v>
      </c>
      <c r="G2639" s="28"/>
    </row>
    <row r="2640" spans="1:7">
      <c r="A2640" s="28">
        <v>2639</v>
      </c>
      <c r="B2640" s="28" t="s">
        <v>2681</v>
      </c>
      <c r="C2640" s="28">
        <v>4153014550</v>
      </c>
      <c r="D2640" s="28" t="s">
        <v>3678</v>
      </c>
      <c r="E2640" s="28" t="s">
        <v>3679</v>
      </c>
      <c r="F2640" s="28" t="s">
        <v>1700</v>
      </c>
      <c r="G2640" s="28"/>
    </row>
    <row r="2641" spans="1:7">
      <c r="A2641" s="28">
        <v>2640</v>
      </c>
      <c r="B2641" s="28" t="s">
        <v>2682</v>
      </c>
      <c r="C2641" s="28">
        <v>4153014581</v>
      </c>
      <c r="D2641" s="28" t="s">
        <v>3678</v>
      </c>
      <c r="E2641" s="28" t="s">
        <v>3679</v>
      </c>
      <c r="F2641" s="28" t="s">
        <v>1700</v>
      </c>
      <c r="G2641" s="28"/>
    </row>
    <row r="2642" spans="1:7">
      <c r="A2642" s="28">
        <v>2641</v>
      </c>
      <c r="B2642" s="28" t="s">
        <v>2683</v>
      </c>
      <c r="C2642" s="28">
        <v>4153014582</v>
      </c>
      <c r="D2642" s="28" t="s">
        <v>3678</v>
      </c>
      <c r="E2642" s="28" t="s">
        <v>3681</v>
      </c>
      <c r="F2642" s="28" t="s">
        <v>1700</v>
      </c>
      <c r="G2642" s="28"/>
    </row>
    <row r="2643" spans="1:7">
      <c r="A2643" s="28">
        <v>2642</v>
      </c>
      <c r="B2643" s="28" t="s">
        <v>2684</v>
      </c>
      <c r="C2643" s="28">
        <v>4153014583</v>
      </c>
      <c r="D2643" s="28" t="s">
        <v>3678</v>
      </c>
      <c r="E2643" s="28" t="s">
        <v>3680</v>
      </c>
      <c r="F2643" s="28" t="s">
        <v>1700</v>
      </c>
      <c r="G2643" s="28"/>
    </row>
    <row r="2644" spans="1:7">
      <c r="A2644" s="28">
        <v>2643</v>
      </c>
      <c r="B2644" s="28" t="s">
        <v>2685</v>
      </c>
      <c r="C2644" s="28">
        <v>4153014584</v>
      </c>
      <c r="D2644" s="28" t="s">
        <v>3678</v>
      </c>
      <c r="E2644" s="28" t="s">
        <v>3679</v>
      </c>
      <c r="F2644" s="28" t="s">
        <v>1700</v>
      </c>
      <c r="G2644" s="28"/>
    </row>
    <row r="2645" spans="1:7">
      <c r="A2645" s="28">
        <v>2644</v>
      </c>
      <c r="B2645" s="28" t="s">
        <v>2686</v>
      </c>
      <c r="C2645" s="28">
        <v>4153014618</v>
      </c>
      <c r="D2645" s="28" t="s">
        <v>3678</v>
      </c>
      <c r="E2645" s="28" t="s">
        <v>3679</v>
      </c>
      <c r="F2645" s="28" t="s">
        <v>1700</v>
      </c>
      <c r="G2645" s="28"/>
    </row>
    <row r="2646" spans="1:7">
      <c r="A2646" s="28">
        <v>2645</v>
      </c>
      <c r="B2646" s="28" t="s">
        <v>2687</v>
      </c>
      <c r="C2646" s="28">
        <v>4153014619</v>
      </c>
      <c r="D2646" s="28" t="s">
        <v>3678</v>
      </c>
      <c r="E2646" s="28" t="s">
        <v>3679</v>
      </c>
      <c r="F2646" s="28" t="s">
        <v>1700</v>
      </c>
      <c r="G2646" s="28"/>
    </row>
    <row r="2647" spans="1:7">
      <c r="A2647" s="28">
        <v>2646</v>
      </c>
      <c r="B2647" s="28" t="s">
        <v>2688</v>
      </c>
      <c r="C2647" s="28">
        <v>4153014620</v>
      </c>
      <c r="D2647" s="28" t="s">
        <v>3678</v>
      </c>
      <c r="E2647" s="28" t="s">
        <v>3679</v>
      </c>
      <c r="F2647" s="28" t="s">
        <v>1700</v>
      </c>
      <c r="G2647" s="28"/>
    </row>
    <row r="2648" spans="1:7">
      <c r="A2648" s="28">
        <v>2647</v>
      </c>
      <c r="B2648" s="28" t="s">
        <v>2689</v>
      </c>
      <c r="C2648" s="28">
        <v>4153014621</v>
      </c>
      <c r="D2648" s="28" t="s">
        <v>3678</v>
      </c>
      <c r="E2648" s="28" t="s">
        <v>3679</v>
      </c>
      <c r="F2648" s="28" t="s">
        <v>1700</v>
      </c>
      <c r="G2648" s="28"/>
    </row>
    <row r="2649" spans="1:7">
      <c r="A2649" s="28">
        <v>2648</v>
      </c>
      <c r="B2649" s="28" t="s">
        <v>2690</v>
      </c>
      <c r="C2649" s="28">
        <v>4153014631</v>
      </c>
      <c r="D2649" s="28" t="s">
        <v>3678</v>
      </c>
      <c r="E2649" s="28" t="s">
        <v>3679</v>
      </c>
      <c r="F2649" s="28" t="s">
        <v>1700</v>
      </c>
      <c r="G2649" s="28"/>
    </row>
    <row r="2650" spans="1:7">
      <c r="A2650" s="28">
        <v>2649</v>
      </c>
      <c r="B2650" s="28" t="s">
        <v>3214</v>
      </c>
      <c r="C2650" s="28">
        <v>4153014649</v>
      </c>
      <c r="D2650" s="28" t="s">
        <v>3689</v>
      </c>
      <c r="E2650" s="28" t="s">
        <v>3679</v>
      </c>
      <c r="F2650" s="28" t="s">
        <v>1700</v>
      </c>
      <c r="G2650" s="28" t="s">
        <v>1252</v>
      </c>
    </row>
    <row r="2651" spans="1:7">
      <c r="A2651" s="28">
        <v>2650</v>
      </c>
      <c r="B2651" s="28" t="s">
        <v>3215</v>
      </c>
      <c r="C2651" s="28">
        <v>4153014675</v>
      </c>
      <c r="D2651" s="28" t="s">
        <v>3689</v>
      </c>
      <c r="E2651" s="28" t="s">
        <v>3679</v>
      </c>
      <c r="F2651" s="28" t="s">
        <v>1700</v>
      </c>
      <c r="G2651" s="28" t="s">
        <v>1252</v>
      </c>
    </row>
    <row r="2652" spans="1:7">
      <c r="A2652" s="28">
        <v>2651</v>
      </c>
      <c r="B2652" s="28" t="s">
        <v>2691</v>
      </c>
      <c r="C2652" s="28">
        <v>4153014676</v>
      </c>
      <c r="D2652" s="28" t="s">
        <v>3678</v>
      </c>
      <c r="E2652" s="28" t="s">
        <v>3682</v>
      </c>
      <c r="F2652" s="28" t="s">
        <v>1700</v>
      </c>
      <c r="G2652" s="28"/>
    </row>
    <row r="2653" spans="1:7">
      <c r="A2653" s="28">
        <v>2652</v>
      </c>
      <c r="B2653" s="28" t="s">
        <v>2692</v>
      </c>
      <c r="C2653" s="28">
        <v>4153014736</v>
      </c>
      <c r="D2653" s="28" t="s">
        <v>3678</v>
      </c>
      <c r="E2653" s="28" t="s">
        <v>3685</v>
      </c>
      <c r="F2653" s="28" t="s">
        <v>1700</v>
      </c>
      <c r="G2653" s="28"/>
    </row>
    <row r="2654" spans="1:7">
      <c r="A2654" s="28">
        <v>2653</v>
      </c>
      <c r="B2654" s="28" t="s">
        <v>2814</v>
      </c>
      <c r="C2654" s="28">
        <v>4153014782</v>
      </c>
      <c r="D2654" s="28" t="s">
        <v>3678</v>
      </c>
      <c r="E2654" s="28" t="s">
        <v>3686</v>
      </c>
      <c r="F2654" s="28" t="s">
        <v>1700</v>
      </c>
      <c r="G2654" s="28"/>
    </row>
    <row r="2655" spans="1:7">
      <c r="A2655" s="28">
        <v>2654</v>
      </c>
      <c r="B2655" s="28" t="s">
        <v>2815</v>
      </c>
      <c r="C2655" s="28">
        <v>4153014783</v>
      </c>
      <c r="D2655" s="28" t="s">
        <v>3678</v>
      </c>
      <c r="E2655" s="28" t="s">
        <v>3684</v>
      </c>
      <c r="F2655" s="28" t="s">
        <v>1700</v>
      </c>
      <c r="G2655" s="28"/>
    </row>
    <row r="2656" spans="1:7">
      <c r="A2656" s="28">
        <v>2655</v>
      </c>
      <c r="B2656" s="28" t="s">
        <v>2816</v>
      </c>
      <c r="C2656" s="28">
        <v>4153014784</v>
      </c>
      <c r="D2656" s="28" t="s">
        <v>3678</v>
      </c>
      <c r="E2656" s="28" t="s">
        <v>3681</v>
      </c>
      <c r="F2656" s="28" t="s">
        <v>1700</v>
      </c>
      <c r="G2656" s="28"/>
    </row>
    <row r="2657" spans="1:7">
      <c r="A2657" s="28">
        <v>2656</v>
      </c>
      <c r="B2657" s="28" t="s">
        <v>2820</v>
      </c>
      <c r="C2657" s="28">
        <v>4153014801</v>
      </c>
      <c r="D2657" s="28" t="s">
        <v>3678</v>
      </c>
      <c r="E2657" s="28" t="s">
        <v>3688</v>
      </c>
      <c r="F2657" s="28" t="s">
        <v>1700</v>
      </c>
      <c r="G2657" s="28"/>
    </row>
    <row r="2658" spans="1:7">
      <c r="A2658" s="28">
        <v>2657</v>
      </c>
      <c r="B2658" s="28" t="s">
        <v>2821</v>
      </c>
      <c r="C2658" s="28">
        <v>4153014802</v>
      </c>
      <c r="D2658" s="28" t="s">
        <v>3678</v>
      </c>
      <c r="E2658" s="28" t="s">
        <v>3690</v>
      </c>
      <c r="F2658" s="28" t="s">
        <v>1700</v>
      </c>
      <c r="G2658" s="28"/>
    </row>
    <row r="2659" spans="1:7">
      <c r="A2659" s="28">
        <v>2658</v>
      </c>
      <c r="B2659" s="28" t="s">
        <v>2822</v>
      </c>
      <c r="C2659" s="28">
        <v>4153014803</v>
      </c>
      <c r="D2659" s="28" t="s">
        <v>3678</v>
      </c>
      <c r="E2659" s="28" t="s">
        <v>3696</v>
      </c>
      <c r="F2659" s="28" t="s">
        <v>1700</v>
      </c>
      <c r="G2659" s="28"/>
    </row>
    <row r="2660" spans="1:7">
      <c r="A2660" s="28">
        <v>2659</v>
      </c>
      <c r="B2660" s="28" t="s">
        <v>2866</v>
      </c>
      <c r="C2660" s="28">
        <v>4153014873</v>
      </c>
      <c r="D2660" s="28" t="s">
        <v>3678</v>
      </c>
      <c r="E2660" s="28" t="s">
        <v>3697</v>
      </c>
      <c r="F2660" s="28" t="s">
        <v>1700</v>
      </c>
      <c r="G2660" s="28"/>
    </row>
    <row r="2661" spans="1:7">
      <c r="A2661" s="28">
        <v>2660</v>
      </c>
      <c r="B2661" s="28" t="s">
        <v>2868</v>
      </c>
      <c r="C2661" s="28">
        <v>4153014874</v>
      </c>
      <c r="D2661" s="28" t="s">
        <v>3678</v>
      </c>
      <c r="E2661" s="28" t="s">
        <v>3691</v>
      </c>
      <c r="F2661" s="28" t="s">
        <v>1700</v>
      </c>
      <c r="G2661" s="28"/>
    </row>
    <row r="2662" spans="1:7">
      <c r="A2662" s="28">
        <v>2661</v>
      </c>
      <c r="B2662" s="28" t="s">
        <v>2869</v>
      </c>
      <c r="C2662" s="28">
        <v>4153014875</v>
      </c>
      <c r="D2662" s="28" t="s">
        <v>3678</v>
      </c>
      <c r="E2662" s="28" t="s">
        <v>3682</v>
      </c>
      <c r="F2662" s="28" t="s">
        <v>1700</v>
      </c>
      <c r="G2662" s="28"/>
    </row>
    <row r="2663" spans="1:7">
      <c r="A2663" s="28">
        <v>2662</v>
      </c>
      <c r="B2663" s="28" t="s">
        <v>3301</v>
      </c>
      <c r="C2663" s="28">
        <v>4153014939</v>
      </c>
      <c r="D2663" s="28" t="s">
        <v>3689</v>
      </c>
      <c r="E2663" s="28" t="s">
        <v>3679</v>
      </c>
      <c r="F2663" s="28" t="s">
        <v>1700</v>
      </c>
      <c r="G2663" s="28" t="s">
        <v>1252</v>
      </c>
    </row>
    <row r="2664" spans="1:7">
      <c r="A2664" s="28">
        <v>2663</v>
      </c>
      <c r="B2664" s="28" t="s">
        <v>1100</v>
      </c>
      <c r="C2664" s="28">
        <v>4154010693</v>
      </c>
      <c r="D2664" s="28" t="s">
        <v>3698</v>
      </c>
      <c r="E2664" s="28" t="s">
        <v>3699</v>
      </c>
      <c r="F2664" s="28" t="s">
        <v>11</v>
      </c>
      <c r="G2664" s="28"/>
    </row>
    <row r="2665" spans="1:7">
      <c r="A2665" s="28">
        <v>2664</v>
      </c>
      <c r="B2665" s="28" t="s">
        <v>1103</v>
      </c>
      <c r="C2665" s="28">
        <v>4154010694</v>
      </c>
      <c r="D2665" s="28" t="s">
        <v>3698</v>
      </c>
      <c r="E2665" s="28" t="s">
        <v>3700</v>
      </c>
      <c r="F2665" s="28" t="s">
        <v>11</v>
      </c>
      <c r="G2665" s="28"/>
    </row>
    <row r="2666" spans="1:7">
      <c r="A2666" s="28">
        <v>2665</v>
      </c>
      <c r="B2666" s="28" t="s">
        <v>1105</v>
      </c>
      <c r="C2666" s="28">
        <v>4154010695</v>
      </c>
      <c r="D2666" s="28" t="s">
        <v>3698</v>
      </c>
      <c r="E2666" s="28" t="s">
        <v>3701</v>
      </c>
      <c r="F2666" s="28" t="s">
        <v>11</v>
      </c>
      <c r="G2666" s="28"/>
    </row>
    <row r="2667" spans="1:7">
      <c r="A2667" s="28">
        <v>2666</v>
      </c>
      <c r="B2667" s="28" t="s">
        <v>1108</v>
      </c>
      <c r="C2667" s="28">
        <v>4154010696</v>
      </c>
      <c r="D2667" s="28" t="s">
        <v>3698</v>
      </c>
      <c r="E2667" s="28" t="s">
        <v>3700</v>
      </c>
      <c r="F2667" s="28" t="s">
        <v>11</v>
      </c>
      <c r="G2667" s="28"/>
    </row>
    <row r="2668" spans="1:7">
      <c r="A2668" s="28">
        <v>2667</v>
      </c>
      <c r="B2668" s="28" t="s">
        <v>2693</v>
      </c>
      <c r="C2668" s="28">
        <v>4154010692</v>
      </c>
      <c r="D2668" s="28" t="s">
        <v>3698</v>
      </c>
      <c r="E2668" s="28" t="s">
        <v>3700</v>
      </c>
      <c r="F2668" s="28" t="s">
        <v>1700</v>
      </c>
      <c r="G2668" s="28"/>
    </row>
    <row r="2669" spans="1:7">
      <c r="A2669" s="28">
        <v>2668</v>
      </c>
      <c r="B2669" s="28" t="s">
        <v>1109</v>
      </c>
      <c r="C2669" s="28">
        <v>4154012481</v>
      </c>
      <c r="D2669" s="28" t="s">
        <v>3698</v>
      </c>
      <c r="E2669" s="28" t="s">
        <v>3700</v>
      </c>
      <c r="F2669" s="28" t="s">
        <v>11</v>
      </c>
      <c r="G2669" s="28"/>
    </row>
    <row r="2670" spans="1:7">
      <c r="A2670" s="28">
        <v>2669</v>
      </c>
      <c r="B2670" s="28" t="s">
        <v>2694</v>
      </c>
      <c r="C2670" s="28">
        <v>4154014085</v>
      </c>
      <c r="D2670" s="28" t="s">
        <v>3698</v>
      </c>
      <c r="E2670" s="28" t="s">
        <v>3700</v>
      </c>
      <c r="F2670" s="28" t="s">
        <v>1700</v>
      </c>
      <c r="G2670" s="28"/>
    </row>
    <row r="2671" spans="1:7">
      <c r="A2671" s="28">
        <v>2670</v>
      </c>
      <c r="B2671" s="28" t="s">
        <v>2885</v>
      </c>
      <c r="C2671" s="28">
        <v>4154014940</v>
      </c>
      <c r="D2671" s="28" t="s">
        <v>3698</v>
      </c>
      <c r="E2671" s="28" t="s">
        <v>3702</v>
      </c>
      <c r="F2671" s="28" t="s">
        <v>1700</v>
      </c>
      <c r="G2671" s="28"/>
    </row>
    <row r="2672" spans="1:7">
      <c r="A2672" s="28">
        <v>2671</v>
      </c>
      <c r="B2672" s="28" t="s">
        <v>1110</v>
      </c>
      <c r="C2672" s="28">
        <v>4161010697</v>
      </c>
      <c r="D2672" s="28" t="s">
        <v>3703</v>
      </c>
      <c r="E2672" s="28" t="s">
        <v>3704</v>
      </c>
      <c r="F2672" s="28" t="s">
        <v>11</v>
      </c>
      <c r="G2672" s="28"/>
    </row>
    <row r="2673" spans="1:7">
      <c r="A2673" s="28">
        <v>2672</v>
      </c>
      <c r="B2673" s="28" t="s">
        <v>1112</v>
      </c>
      <c r="C2673" s="28">
        <v>4161010698</v>
      </c>
      <c r="D2673" s="28" t="s">
        <v>3309</v>
      </c>
      <c r="E2673" s="28" t="s">
        <v>3704</v>
      </c>
      <c r="F2673" s="28" t="s">
        <v>11</v>
      </c>
      <c r="G2673" s="28"/>
    </row>
    <row r="2674" spans="1:7">
      <c r="A2674" s="28">
        <v>2673</v>
      </c>
      <c r="B2674" s="28" t="s">
        <v>1113</v>
      </c>
      <c r="C2674" s="28">
        <v>4161010699</v>
      </c>
      <c r="D2674" s="28" t="s">
        <v>3311</v>
      </c>
      <c r="E2674" s="28" t="s">
        <v>3704</v>
      </c>
      <c r="F2674" s="28" t="s">
        <v>11</v>
      </c>
      <c r="G2674" s="28"/>
    </row>
    <row r="2675" spans="1:7">
      <c r="A2675" s="28">
        <v>2674</v>
      </c>
      <c r="B2675" s="28" t="s">
        <v>1114</v>
      </c>
      <c r="C2675" s="28">
        <v>4161010700</v>
      </c>
      <c r="D2675" s="28" t="s">
        <v>3703</v>
      </c>
      <c r="E2675" s="28" t="s">
        <v>3704</v>
      </c>
      <c r="F2675" s="28" t="s">
        <v>11</v>
      </c>
      <c r="G2675" s="28"/>
    </row>
    <row r="2676" spans="1:7">
      <c r="A2676" s="28">
        <v>2675</v>
      </c>
      <c r="B2676" s="28" t="s">
        <v>1115</v>
      </c>
      <c r="C2676" s="28">
        <v>4161010701</v>
      </c>
      <c r="D2676" s="28" t="s">
        <v>3309</v>
      </c>
      <c r="E2676" s="28" t="s">
        <v>3704</v>
      </c>
      <c r="F2676" s="28" t="s">
        <v>11</v>
      </c>
      <c r="G2676" s="28"/>
    </row>
    <row r="2677" spans="1:7">
      <c r="A2677" s="28">
        <v>2676</v>
      </c>
      <c r="B2677" s="28" t="s">
        <v>1116</v>
      </c>
      <c r="C2677" s="28">
        <v>4161010702</v>
      </c>
      <c r="D2677" s="28" t="s">
        <v>3703</v>
      </c>
      <c r="E2677" s="28" t="s">
        <v>3704</v>
      </c>
      <c r="F2677" s="28" t="s">
        <v>11</v>
      </c>
      <c r="G2677" s="28"/>
    </row>
    <row r="2678" spans="1:7">
      <c r="A2678" s="28">
        <v>2677</v>
      </c>
      <c r="B2678" s="28" t="s">
        <v>1117</v>
      </c>
      <c r="C2678" s="28">
        <v>4161010703</v>
      </c>
      <c r="D2678" s="28" t="s">
        <v>3703</v>
      </c>
      <c r="E2678" s="28" t="s">
        <v>3704</v>
      </c>
      <c r="F2678" s="28" t="s">
        <v>11</v>
      </c>
      <c r="G2678" s="28"/>
    </row>
    <row r="2679" spans="1:7">
      <c r="A2679" s="28">
        <v>2678</v>
      </c>
      <c r="B2679" s="28" t="s">
        <v>1118</v>
      </c>
      <c r="C2679" s="28">
        <v>4161010704</v>
      </c>
      <c r="D2679" s="28" t="s">
        <v>3703</v>
      </c>
      <c r="E2679" s="28" t="s">
        <v>3704</v>
      </c>
      <c r="F2679" s="28" t="s">
        <v>11</v>
      </c>
      <c r="G2679" s="28"/>
    </row>
    <row r="2680" spans="1:7">
      <c r="A2680" s="28">
        <v>2679</v>
      </c>
      <c r="B2680" s="28" t="s">
        <v>1119</v>
      </c>
      <c r="C2680" s="28">
        <v>4161010705</v>
      </c>
      <c r="D2680" s="28" t="s">
        <v>3703</v>
      </c>
      <c r="E2680" s="28" t="s">
        <v>3704</v>
      </c>
      <c r="F2680" s="28" t="s">
        <v>11</v>
      </c>
      <c r="G2680" s="28"/>
    </row>
    <row r="2681" spans="1:7">
      <c r="A2681" s="28">
        <v>2680</v>
      </c>
      <c r="B2681" s="28" t="s">
        <v>1120</v>
      </c>
      <c r="C2681" s="28">
        <v>4161010708</v>
      </c>
      <c r="D2681" s="28" t="s">
        <v>3703</v>
      </c>
      <c r="E2681" s="28" t="s">
        <v>3704</v>
      </c>
      <c r="F2681" s="28" t="s">
        <v>11</v>
      </c>
      <c r="G2681" s="28"/>
    </row>
    <row r="2682" spans="1:7">
      <c r="A2682" s="28">
        <v>2681</v>
      </c>
      <c r="B2682" s="28" t="s">
        <v>1121</v>
      </c>
      <c r="C2682" s="28">
        <v>4161010709</v>
      </c>
      <c r="D2682" s="28" t="s">
        <v>3703</v>
      </c>
      <c r="E2682" s="28" t="s">
        <v>3704</v>
      </c>
      <c r="F2682" s="28" t="s">
        <v>11</v>
      </c>
      <c r="G2682" s="28"/>
    </row>
    <row r="2683" spans="1:7">
      <c r="A2683" s="28">
        <v>2682</v>
      </c>
      <c r="B2683" s="28" t="s">
        <v>1122</v>
      </c>
      <c r="C2683" s="28">
        <v>4161010710</v>
      </c>
      <c r="D2683" s="28" t="s">
        <v>3309</v>
      </c>
      <c r="E2683" s="28" t="s">
        <v>3704</v>
      </c>
      <c r="F2683" s="28" t="s">
        <v>11</v>
      </c>
      <c r="G2683" s="28"/>
    </row>
    <row r="2684" spans="1:7">
      <c r="A2684" s="28">
        <v>2683</v>
      </c>
      <c r="B2684" s="28" t="s">
        <v>1123</v>
      </c>
      <c r="C2684" s="28">
        <v>4161010712</v>
      </c>
      <c r="D2684" s="28" t="s">
        <v>3309</v>
      </c>
      <c r="E2684" s="28" t="s">
        <v>3701</v>
      </c>
      <c r="F2684" s="28" t="s">
        <v>11</v>
      </c>
      <c r="G2684" s="28"/>
    </row>
    <row r="2685" spans="1:7">
      <c r="A2685" s="28">
        <v>2684</v>
      </c>
      <c r="B2685" s="28" t="s">
        <v>1124</v>
      </c>
      <c r="C2685" s="28">
        <v>4161010716</v>
      </c>
      <c r="D2685" s="28" t="s">
        <v>3703</v>
      </c>
      <c r="E2685" s="28" t="s">
        <v>3701</v>
      </c>
      <c r="F2685" s="28" t="s">
        <v>11</v>
      </c>
      <c r="G2685" s="28"/>
    </row>
    <row r="2686" spans="1:7">
      <c r="A2686" s="28">
        <v>2685</v>
      </c>
      <c r="B2686" s="28" t="s">
        <v>1125</v>
      </c>
      <c r="C2686" s="28">
        <v>4161010718</v>
      </c>
      <c r="D2686" s="28" t="s">
        <v>3309</v>
      </c>
      <c r="E2686" s="28" t="s">
        <v>3704</v>
      </c>
      <c r="F2686" s="28" t="s">
        <v>11</v>
      </c>
      <c r="G2686" s="28"/>
    </row>
    <row r="2687" spans="1:7">
      <c r="A2687" s="28">
        <v>2686</v>
      </c>
      <c r="B2687" s="28" t="s">
        <v>1126</v>
      </c>
      <c r="C2687" s="28">
        <v>4161010719</v>
      </c>
      <c r="D2687" s="28" t="s">
        <v>3703</v>
      </c>
      <c r="E2687" s="28" t="s">
        <v>3705</v>
      </c>
      <c r="F2687" s="28" t="s">
        <v>11</v>
      </c>
      <c r="G2687" s="28"/>
    </row>
    <row r="2688" spans="1:7">
      <c r="A2688" s="28">
        <v>2687</v>
      </c>
      <c r="B2688" s="28" t="s">
        <v>1128</v>
      </c>
      <c r="C2688" s="28">
        <v>4161010720</v>
      </c>
      <c r="D2688" s="28" t="s">
        <v>3703</v>
      </c>
      <c r="E2688" s="28" t="s">
        <v>3706</v>
      </c>
      <c r="F2688" s="28" t="s">
        <v>11</v>
      </c>
      <c r="G2688" s="28"/>
    </row>
    <row r="2689" spans="1:7">
      <c r="A2689" s="28">
        <v>2688</v>
      </c>
      <c r="B2689" s="28" t="s">
        <v>1130</v>
      </c>
      <c r="C2689" s="28">
        <v>4161010721</v>
      </c>
      <c r="D2689" s="28" t="s">
        <v>3703</v>
      </c>
      <c r="E2689" s="28" t="s">
        <v>3707</v>
      </c>
      <c r="F2689" s="28" t="s">
        <v>11</v>
      </c>
      <c r="G2689" s="28"/>
    </row>
    <row r="2690" spans="1:7">
      <c r="A2690" s="28">
        <v>2689</v>
      </c>
      <c r="B2690" s="28" t="s">
        <v>1132</v>
      </c>
      <c r="C2690" s="28">
        <v>4161010722</v>
      </c>
      <c r="D2690" s="28" t="s">
        <v>3703</v>
      </c>
      <c r="E2690" s="28" t="s">
        <v>3701</v>
      </c>
      <c r="F2690" s="28" t="s">
        <v>11</v>
      </c>
      <c r="G2690" s="28"/>
    </row>
    <row r="2691" spans="1:7">
      <c r="A2691" s="28">
        <v>2690</v>
      </c>
      <c r="B2691" s="28" t="s">
        <v>1133</v>
      </c>
      <c r="C2691" s="28">
        <v>4161010723</v>
      </c>
      <c r="D2691" s="28" t="s">
        <v>3703</v>
      </c>
      <c r="E2691" s="28" t="s">
        <v>3708</v>
      </c>
      <c r="F2691" s="28" t="s">
        <v>11</v>
      </c>
      <c r="G2691" s="28"/>
    </row>
    <row r="2692" spans="1:7">
      <c r="A2692" s="28">
        <v>2691</v>
      </c>
      <c r="B2692" s="28" t="s">
        <v>1135</v>
      </c>
      <c r="C2692" s="28">
        <v>4161010724</v>
      </c>
      <c r="D2692" s="28" t="s">
        <v>3703</v>
      </c>
      <c r="E2692" s="28" t="s">
        <v>3704</v>
      </c>
      <c r="F2692" s="28" t="s">
        <v>11</v>
      </c>
      <c r="G2692" s="28"/>
    </row>
    <row r="2693" spans="1:7">
      <c r="A2693" s="28">
        <v>2692</v>
      </c>
      <c r="B2693" s="28" t="s">
        <v>1136</v>
      </c>
      <c r="C2693" s="28">
        <v>4161010726</v>
      </c>
      <c r="D2693" s="28" t="s">
        <v>3703</v>
      </c>
      <c r="E2693" s="28" t="s">
        <v>3704</v>
      </c>
      <c r="F2693" s="28" t="s">
        <v>11</v>
      </c>
      <c r="G2693" s="28"/>
    </row>
    <row r="2694" spans="1:7">
      <c r="A2694" s="28">
        <v>2693</v>
      </c>
      <c r="B2694" s="28" t="s">
        <v>1137</v>
      </c>
      <c r="C2694" s="28">
        <v>4161010727</v>
      </c>
      <c r="D2694" s="28" t="s">
        <v>3703</v>
      </c>
      <c r="E2694" s="28" t="s">
        <v>3704</v>
      </c>
      <c r="F2694" s="28" t="s">
        <v>11</v>
      </c>
      <c r="G2694" s="28"/>
    </row>
    <row r="2695" spans="1:7">
      <c r="A2695" s="28">
        <v>2694</v>
      </c>
      <c r="B2695" s="28" t="s">
        <v>1138</v>
      </c>
      <c r="C2695" s="28">
        <v>4161010728</v>
      </c>
      <c r="D2695" s="28" t="s">
        <v>3703</v>
      </c>
      <c r="E2695" s="28" t="s">
        <v>3704</v>
      </c>
      <c r="F2695" s="28" t="s">
        <v>11</v>
      </c>
      <c r="G2695" s="28"/>
    </row>
    <row r="2696" spans="1:7">
      <c r="A2696" s="28">
        <v>2695</v>
      </c>
      <c r="B2696" s="28" t="s">
        <v>1139</v>
      </c>
      <c r="C2696" s="28">
        <v>4161010729</v>
      </c>
      <c r="D2696" s="28" t="s">
        <v>3703</v>
      </c>
      <c r="E2696" s="28" t="s">
        <v>3704</v>
      </c>
      <c r="F2696" s="28" t="s">
        <v>11</v>
      </c>
      <c r="G2696" s="28"/>
    </row>
    <row r="2697" spans="1:7">
      <c r="A2697" s="28">
        <v>2696</v>
      </c>
      <c r="B2697" s="28" t="s">
        <v>1140</v>
      </c>
      <c r="C2697" s="28">
        <v>4161011080</v>
      </c>
      <c r="D2697" s="28" t="s">
        <v>3703</v>
      </c>
      <c r="E2697" s="28" t="s">
        <v>3704</v>
      </c>
      <c r="F2697" s="28" t="s">
        <v>11</v>
      </c>
      <c r="G2697" s="28"/>
    </row>
    <row r="2698" spans="1:7">
      <c r="A2698" s="28">
        <v>2697</v>
      </c>
      <c r="B2698" s="28" t="s">
        <v>3709</v>
      </c>
      <c r="C2698" s="28">
        <v>4161011395</v>
      </c>
      <c r="D2698" s="28" t="s">
        <v>3703</v>
      </c>
      <c r="E2698" s="28" t="s">
        <v>3710</v>
      </c>
      <c r="F2698" s="28" t="s">
        <v>11</v>
      </c>
      <c r="G2698" s="28"/>
    </row>
    <row r="2699" spans="1:7">
      <c r="A2699" s="28">
        <v>2698</v>
      </c>
      <c r="B2699" s="28" t="s">
        <v>1143</v>
      </c>
      <c r="C2699" s="28">
        <v>4161011396</v>
      </c>
      <c r="D2699" s="28" t="s">
        <v>3703</v>
      </c>
      <c r="E2699" s="28" t="s">
        <v>3711</v>
      </c>
      <c r="F2699" s="28" t="s">
        <v>11</v>
      </c>
      <c r="G2699" s="28"/>
    </row>
    <row r="2700" spans="1:7">
      <c r="A2700" s="28">
        <v>2699</v>
      </c>
      <c r="B2700" s="28" t="s">
        <v>1145</v>
      </c>
      <c r="C2700" s="28">
        <v>4161011397</v>
      </c>
      <c r="D2700" s="28" t="s">
        <v>3703</v>
      </c>
      <c r="E2700" s="28" t="s">
        <v>3712</v>
      </c>
      <c r="F2700" s="28" t="s">
        <v>11</v>
      </c>
      <c r="G2700" s="28"/>
    </row>
    <row r="2701" spans="1:7">
      <c r="A2701" s="28">
        <v>2700</v>
      </c>
      <c r="B2701" s="28" t="s">
        <v>1641</v>
      </c>
      <c r="C2701" s="28">
        <v>4161011400</v>
      </c>
      <c r="D2701" s="28" t="s">
        <v>3713</v>
      </c>
      <c r="E2701" s="28" t="s">
        <v>3704</v>
      </c>
      <c r="F2701" s="28" t="s">
        <v>11</v>
      </c>
      <c r="G2701" s="28" t="s">
        <v>1252</v>
      </c>
    </row>
    <row r="2702" spans="1:7">
      <c r="A2702" s="28">
        <v>2701</v>
      </c>
      <c r="B2702" s="28" t="s">
        <v>1147</v>
      </c>
      <c r="C2702" s="28">
        <v>4161011560</v>
      </c>
      <c r="D2702" s="28" t="s">
        <v>3703</v>
      </c>
      <c r="E2702" s="28" t="s">
        <v>3704</v>
      </c>
      <c r="F2702" s="28" t="s">
        <v>11</v>
      </c>
      <c r="G2702" s="28"/>
    </row>
    <row r="2703" spans="1:7">
      <c r="A2703" s="28">
        <v>2702</v>
      </c>
      <c r="B2703" s="28" t="s">
        <v>1148</v>
      </c>
      <c r="C2703" s="28">
        <v>4161011664</v>
      </c>
      <c r="D2703" s="28" t="s">
        <v>3703</v>
      </c>
      <c r="E2703" s="28" t="s">
        <v>3704</v>
      </c>
      <c r="F2703" s="28" t="s">
        <v>11</v>
      </c>
      <c r="G2703" s="28"/>
    </row>
    <row r="2704" spans="1:7">
      <c r="A2704" s="28">
        <v>2703</v>
      </c>
      <c r="B2704" s="28" t="s">
        <v>1149</v>
      </c>
      <c r="C2704" s="28">
        <v>4161011736</v>
      </c>
      <c r="D2704" s="28" t="s">
        <v>3703</v>
      </c>
      <c r="E2704" s="28" t="s">
        <v>3704</v>
      </c>
      <c r="F2704" s="28" t="s">
        <v>11</v>
      </c>
      <c r="G2704" s="28"/>
    </row>
    <row r="2705" spans="1:7">
      <c r="A2705" s="28">
        <v>2704</v>
      </c>
      <c r="B2705" s="28" t="s">
        <v>1150</v>
      </c>
      <c r="C2705" s="28">
        <v>4161011840</v>
      </c>
      <c r="D2705" s="28" t="s">
        <v>3703</v>
      </c>
      <c r="E2705" s="28" t="s">
        <v>3704</v>
      </c>
      <c r="F2705" s="28" t="s">
        <v>11</v>
      </c>
      <c r="G2705" s="28"/>
    </row>
    <row r="2706" spans="1:7">
      <c r="A2706" s="28">
        <v>2705</v>
      </c>
      <c r="B2706" s="28" t="s">
        <v>1642</v>
      </c>
      <c r="C2706" s="28">
        <v>4161012712</v>
      </c>
      <c r="D2706" s="28" t="s">
        <v>3713</v>
      </c>
      <c r="E2706" s="28" t="s">
        <v>3704</v>
      </c>
      <c r="F2706" s="28" t="s">
        <v>11</v>
      </c>
      <c r="G2706" s="28" t="s">
        <v>1252</v>
      </c>
    </row>
    <row r="2707" spans="1:7">
      <c r="A2707" s="28">
        <v>2706</v>
      </c>
      <c r="B2707" s="28" t="s">
        <v>1643</v>
      </c>
      <c r="C2707" s="28">
        <v>4161012713</v>
      </c>
      <c r="D2707" s="28" t="s">
        <v>3713</v>
      </c>
      <c r="E2707" s="28" t="s">
        <v>3704</v>
      </c>
      <c r="F2707" s="28" t="s">
        <v>11</v>
      </c>
      <c r="G2707" s="28" t="s">
        <v>1252</v>
      </c>
    </row>
    <row r="2708" spans="1:7">
      <c r="A2708" s="28">
        <v>2707</v>
      </c>
      <c r="B2708" s="28" t="s">
        <v>1644</v>
      </c>
      <c r="C2708" s="28">
        <v>4161012714</v>
      </c>
      <c r="D2708" s="28" t="s">
        <v>3713</v>
      </c>
      <c r="E2708" s="28" t="s">
        <v>3704</v>
      </c>
      <c r="F2708" s="28" t="s">
        <v>11</v>
      </c>
      <c r="G2708" s="28" t="s">
        <v>1252</v>
      </c>
    </row>
    <row r="2709" spans="1:7">
      <c r="A2709" s="28">
        <v>2708</v>
      </c>
      <c r="B2709" s="28" t="s">
        <v>1645</v>
      </c>
      <c r="C2709" s="28">
        <v>4161012715</v>
      </c>
      <c r="D2709" s="28" t="s">
        <v>3713</v>
      </c>
      <c r="E2709" s="28" t="s">
        <v>3704</v>
      </c>
      <c r="F2709" s="28" t="s">
        <v>11</v>
      </c>
      <c r="G2709" s="28" t="s">
        <v>1252</v>
      </c>
    </row>
    <row r="2710" spans="1:7">
      <c r="A2710" s="28">
        <v>2709</v>
      </c>
      <c r="B2710" s="28" t="s">
        <v>1646</v>
      </c>
      <c r="C2710" s="28">
        <v>4161013121</v>
      </c>
      <c r="D2710" s="28" t="s">
        <v>3713</v>
      </c>
      <c r="E2710" s="28" t="s">
        <v>3704</v>
      </c>
      <c r="F2710" s="28" t="s">
        <v>11</v>
      </c>
      <c r="G2710" s="28" t="s">
        <v>1252</v>
      </c>
    </row>
    <row r="2711" spans="1:7">
      <c r="A2711" s="28">
        <v>2710</v>
      </c>
      <c r="B2711" s="28" t="s">
        <v>1647</v>
      </c>
      <c r="C2711" s="28">
        <v>4161013123</v>
      </c>
      <c r="D2711" s="28" t="s">
        <v>3713</v>
      </c>
      <c r="E2711" s="28" t="s">
        <v>3701</v>
      </c>
      <c r="F2711" s="28" t="s">
        <v>11</v>
      </c>
      <c r="G2711" s="28" t="s">
        <v>1252</v>
      </c>
    </row>
    <row r="2712" spans="1:7">
      <c r="A2712" s="28">
        <v>2711</v>
      </c>
      <c r="B2712" s="28" t="s">
        <v>1648</v>
      </c>
      <c r="C2712" s="28">
        <v>4161013125</v>
      </c>
      <c r="D2712" s="28" t="s">
        <v>3713</v>
      </c>
      <c r="E2712" s="28" t="s">
        <v>3701</v>
      </c>
      <c r="F2712" s="28" t="s">
        <v>11</v>
      </c>
      <c r="G2712" s="28" t="s">
        <v>1252</v>
      </c>
    </row>
    <row r="2713" spans="1:7">
      <c r="A2713" s="28">
        <v>2712</v>
      </c>
      <c r="B2713" s="28" t="s">
        <v>1649</v>
      </c>
      <c r="C2713" s="28">
        <v>4161013569</v>
      </c>
      <c r="D2713" s="28" t="s">
        <v>3713</v>
      </c>
      <c r="E2713" s="28" t="s">
        <v>3704</v>
      </c>
      <c r="F2713" s="28" t="s">
        <v>11</v>
      </c>
      <c r="G2713" s="28" t="s">
        <v>1252</v>
      </c>
    </row>
    <row r="2714" spans="1:7">
      <c r="A2714" s="28">
        <v>2713</v>
      </c>
      <c r="B2714" s="28" t="s">
        <v>1650</v>
      </c>
      <c r="C2714" s="28">
        <v>4161013677</v>
      </c>
      <c r="D2714" s="28" t="s">
        <v>3713</v>
      </c>
      <c r="E2714" s="28" t="s">
        <v>3704</v>
      </c>
      <c r="F2714" s="28" t="s">
        <v>11</v>
      </c>
      <c r="G2714" s="28" t="s">
        <v>1252</v>
      </c>
    </row>
    <row r="2715" spans="1:7">
      <c r="A2715" s="28">
        <v>2714</v>
      </c>
      <c r="B2715" s="28" t="s">
        <v>1651</v>
      </c>
      <c r="C2715" s="28">
        <v>4161013678</v>
      </c>
      <c r="D2715" s="28" t="s">
        <v>3713</v>
      </c>
      <c r="E2715" s="28" t="s">
        <v>3704</v>
      </c>
      <c r="F2715" s="28" t="s">
        <v>11</v>
      </c>
      <c r="G2715" s="28" t="s">
        <v>1252</v>
      </c>
    </row>
    <row r="2716" spans="1:7">
      <c r="A2716" s="28">
        <v>2715</v>
      </c>
      <c r="B2716" s="28" t="s">
        <v>1652</v>
      </c>
      <c r="C2716" s="28">
        <v>4161013679</v>
      </c>
      <c r="D2716" s="28" t="s">
        <v>3713</v>
      </c>
      <c r="E2716" s="28" t="s">
        <v>3704</v>
      </c>
      <c r="F2716" s="28" t="s">
        <v>11</v>
      </c>
      <c r="G2716" s="28" t="s">
        <v>1252</v>
      </c>
    </row>
    <row r="2717" spans="1:7">
      <c r="A2717" s="28">
        <v>2716</v>
      </c>
      <c r="B2717" s="28" t="s">
        <v>1653</v>
      </c>
      <c r="C2717" s="28">
        <v>4161013680</v>
      </c>
      <c r="D2717" s="28" t="s">
        <v>3713</v>
      </c>
      <c r="E2717" s="28" t="s">
        <v>3704</v>
      </c>
      <c r="F2717" s="28" t="s">
        <v>11</v>
      </c>
      <c r="G2717" s="28" t="s">
        <v>1252</v>
      </c>
    </row>
    <row r="2718" spans="1:7">
      <c r="A2718" s="28">
        <v>2717</v>
      </c>
      <c r="B2718" s="28" t="s">
        <v>1654</v>
      </c>
      <c r="C2718" s="28">
        <v>4161013681</v>
      </c>
      <c r="D2718" s="28" t="s">
        <v>3713</v>
      </c>
      <c r="E2718" s="28" t="s">
        <v>3701</v>
      </c>
      <c r="F2718" s="28" t="s">
        <v>11</v>
      </c>
      <c r="G2718" s="28" t="s">
        <v>1252</v>
      </c>
    </row>
    <row r="2719" spans="1:7">
      <c r="A2719" s="28">
        <v>2718</v>
      </c>
      <c r="B2719" s="28" t="s">
        <v>1655</v>
      </c>
      <c r="C2719" s="28">
        <v>4161013682</v>
      </c>
      <c r="D2719" s="28" t="s">
        <v>3713</v>
      </c>
      <c r="E2719" s="28" t="s">
        <v>3704</v>
      </c>
      <c r="F2719" s="28" t="s">
        <v>11</v>
      </c>
      <c r="G2719" s="28" t="s">
        <v>1252</v>
      </c>
    </row>
    <row r="2720" spans="1:7">
      <c r="A2720" s="28">
        <v>2719</v>
      </c>
      <c r="B2720" s="28" t="s">
        <v>1656</v>
      </c>
      <c r="C2720" s="28">
        <v>4161013683</v>
      </c>
      <c r="D2720" s="28" t="s">
        <v>3713</v>
      </c>
      <c r="E2720" s="28" t="s">
        <v>3704</v>
      </c>
      <c r="F2720" s="28" t="s">
        <v>11</v>
      </c>
      <c r="G2720" s="28" t="s">
        <v>1252</v>
      </c>
    </row>
    <row r="2721" spans="1:7">
      <c r="A2721" s="28">
        <v>2720</v>
      </c>
      <c r="B2721" s="28" t="s">
        <v>1657</v>
      </c>
      <c r="C2721" s="28">
        <v>4161013685</v>
      </c>
      <c r="D2721" s="28" t="s">
        <v>3713</v>
      </c>
      <c r="E2721" s="28" t="s">
        <v>3704</v>
      </c>
      <c r="F2721" s="28" t="s">
        <v>11</v>
      </c>
      <c r="G2721" s="28" t="s">
        <v>1252</v>
      </c>
    </row>
    <row r="2722" spans="1:7">
      <c r="A2722" s="28">
        <v>2721</v>
      </c>
      <c r="B2722" s="28" t="s">
        <v>1658</v>
      </c>
      <c r="C2722" s="28">
        <v>4161013738</v>
      </c>
      <c r="D2722" s="28" t="s">
        <v>3713</v>
      </c>
      <c r="E2722" s="28" t="s">
        <v>3704</v>
      </c>
      <c r="F2722" s="28" t="s">
        <v>11</v>
      </c>
      <c r="G2722" s="28" t="s">
        <v>1252</v>
      </c>
    </row>
    <row r="2723" spans="1:7">
      <c r="A2723" s="28">
        <v>2722</v>
      </c>
      <c r="B2723" s="28" t="s">
        <v>1659</v>
      </c>
      <c r="C2723" s="28">
        <v>4161013894</v>
      </c>
      <c r="D2723" s="28" t="s">
        <v>3713</v>
      </c>
      <c r="E2723" s="28" t="s">
        <v>3704</v>
      </c>
      <c r="F2723" s="28" t="s">
        <v>11</v>
      </c>
      <c r="G2723" s="28" t="s">
        <v>1252</v>
      </c>
    </row>
    <row r="2724" spans="1:7">
      <c r="A2724" s="28">
        <v>2723</v>
      </c>
      <c r="B2724" s="28" t="s">
        <v>1660</v>
      </c>
      <c r="C2724" s="28">
        <v>4161014030</v>
      </c>
      <c r="D2724" s="28" t="s">
        <v>3713</v>
      </c>
      <c r="E2724" s="28" t="s">
        <v>3704</v>
      </c>
      <c r="F2724" s="28" t="s">
        <v>11</v>
      </c>
      <c r="G2724" s="28" t="s">
        <v>1252</v>
      </c>
    </row>
    <row r="2725" spans="1:7">
      <c r="A2725" s="28">
        <v>2724</v>
      </c>
      <c r="B2725" s="28" t="s">
        <v>1661</v>
      </c>
      <c r="C2725" s="28">
        <v>4161014034</v>
      </c>
      <c r="D2725" s="28" t="s">
        <v>3713</v>
      </c>
      <c r="E2725" s="28" t="s">
        <v>3704</v>
      </c>
      <c r="F2725" s="28" t="s">
        <v>11</v>
      </c>
      <c r="G2725" s="28" t="s">
        <v>1252</v>
      </c>
    </row>
    <row r="2726" spans="1:7">
      <c r="A2726" s="28">
        <v>2725</v>
      </c>
      <c r="B2726" s="28" t="s">
        <v>1662</v>
      </c>
      <c r="C2726" s="28">
        <v>4161014041</v>
      </c>
      <c r="D2726" s="28" t="s">
        <v>3713</v>
      </c>
      <c r="E2726" s="28" t="s">
        <v>3704</v>
      </c>
      <c r="F2726" s="28" t="s">
        <v>11</v>
      </c>
      <c r="G2726" s="28" t="s">
        <v>1252</v>
      </c>
    </row>
    <row r="2727" spans="1:7">
      <c r="A2727" s="28">
        <v>2726</v>
      </c>
      <c r="B2727" s="28" t="s">
        <v>1663</v>
      </c>
      <c r="C2727" s="28">
        <v>4161014042</v>
      </c>
      <c r="D2727" s="28" t="s">
        <v>3713</v>
      </c>
      <c r="E2727" s="28" t="s">
        <v>3704</v>
      </c>
      <c r="F2727" s="28" t="s">
        <v>11</v>
      </c>
      <c r="G2727" s="28" t="s">
        <v>1252</v>
      </c>
    </row>
    <row r="2728" spans="1:7">
      <c r="A2728" s="28">
        <v>2727</v>
      </c>
      <c r="B2728" s="28" t="s">
        <v>1151</v>
      </c>
      <c r="C2728" s="28">
        <v>4161014390</v>
      </c>
      <c r="D2728" s="28" t="s">
        <v>3703</v>
      </c>
      <c r="E2728" s="28" t="s">
        <v>3704</v>
      </c>
      <c r="F2728" s="28" t="s">
        <v>11</v>
      </c>
      <c r="G2728" s="28"/>
    </row>
    <row r="2729" spans="1:7">
      <c r="A2729" s="28">
        <v>2728</v>
      </c>
      <c r="B2729" s="28" t="s">
        <v>1154</v>
      </c>
      <c r="C2729" s="28">
        <v>4161013819</v>
      </c>
      <c r="D2729" s="28" t="s">
        <v>3703</v>
      </c>
      <c r="E2729" s="28" t="s">
        <v>3704</v>
      </c>
      <c r="F2729" s="28" t="s">
        <v>11</v>
      </c>
      <c r="G2729" s="28"/>
    </row>
    <row r="2730" spans="1:7">
      <c r="A2730" s="28">
        <v>2729</v>
      </c>
      <c r="B2730" s="28" t="s">
        <v>1153</v>
      </c>
      <c r="C2730" s="28">
        <v>4161010966</v>
      </c>
      <c r="D2730" s="28" t="s">
        <v>3703</v>
      </c>
      <c r="E2730" s="28" t="s">
        <v>3701</v>
      </c>
      <c r="F2730" s="28" t="s">
        <v>11</v>
      </c>
      <c r="G2730" s="28"/>
    </row>
    <row r="2731" spans="1:7">
      <c r="A2731" s="28">
        <v>2730</v>
      </c>
      <c r="B2731" s="28" t="s">
        <v>1152</v>
      </c>
      <c r="C2731" s="28">
        <v>4161010828</v>
      </c>
      <c r="D2731" s="28" t="s">
        <v>3703</v>
      </c>
      <c r="E2731" s="28" t="s">
        <v>3701</v>
      </c>
      <c r="F2731" s="28" t="s">
        <v>11</v>
      </c>
      <c r="G2731" s="28"/>
    </row>
    <row r="2732" spans="1:7">
      <c r="A2732" s="28">
        <v>2731</v>
      </c>
      <c r="B2732" s="28" t="s">
        <v>1249</v>
      </c>
      <c r="C2732" s="28">
        <v>4161014945</v>
      </c>
      <c r="D2732" s="28" t="s">
        <v>3703</v>
      </c>
      <c r="E2732" s="28" t="s">
        <v>3704</v>
      </c>
      <c r="F2732" s="28" t="s">
        <v>11</v>
      </c>
      <c r="G2732" s="28"/>
    </row>
    <row r="2733" spans="1:7">
      <c r="A2733" s="28">
        <v>2732</v>
      </c>
      <c r="B2733" s="28" t="s">
        <v>2695</v>
      </c>
      <c r="C2733" s="28">
        <v>4161011826</v>
      </c>
      <c r="D2733" s="28" t="s">
        <v>3703</v>
      </c>
      <c r="E2733" s="28" t="s">
        <v>3704</v>
      </c>
      <c r="F2733" s="28" t="s">
        <v>1700</v>
      </c>
      <c r="G2733" s="28"/>
    </row>
    <row r="2734" spans="1:7">
      <c r="A2734" s="28">
        <v>2733</v>
      </c>
      <c r="B2734" s="28" t="s">
        <v>2696</v>
      </c>
      <c r="C2734" s="28">
        <v>4161012510</v>
      </c>
      <c r="D2734" s="28" t="s">
        <v>3703</v>
      </c>
      <c r="E2734" s="28" t="s">
        <v>3701</v>
      </c>
      <c r="F2734" s="28" t="s">
        <v>1700</v>
      </c>
      <c r="G2734" s="28"/>
    </row>
    <row r="2735" spans="1:7">
      <c r="A2735" s="28">
        <v>2734</v>
      </c>
      <c r="B2735" s="28" t="s">
        <v>2697</v>
      </c>
      <c r="C2735" s="28">
        <v>4161012827</v>
      </c>
      <c r="D2735" s="28" t="s">
        <v>3703</v>
      </c>
      <c r="E2735" s="28" t="s">
        <v>3704</v>
      </c>
      <c r="F2735" s="28" t="s">
        <v>1700</v>
      </c>
      <c r="G2735" s="28"/>
    </row>
    <row r="2736" spans="1:7">
      <c r="A2736" s="28">
        <v>2735</v>
      </c>
      <c r="B2736" s="28" t="s">
        <v>2698</v>
      </c>
      <c r="C2736" s="28">
        <v>4161012828</v>
      </c>
      <c r="D2736" s="28" t="s">
        <v>3703</v>
      </c>
      <c r="E2736" s="28" t="s">
        <v>3704</v>
      </c>
      <c r="F2736" s="28" t="s">
        <v>1700</v>
      </c>
      <c r="G2736" s="28"/>
    </row>
    <row r="2737" spans="1:7">
      <c r="A2737" s="28">
        <v>2736</v>
      </c>
      <c r="B2737" s="28" t="s">
        <v>2699</v>
      </c>
      <c r="C2737" s="28">
        <v>4161012829</v>
      </c>
      <c r="D2737" s="28" t="s">
        <v>3703</v>
      </c>
      <c r="E2737" s="28" t="s">
        <v>3701</v>
      </c>
      <c r="F2737" s="28" t="s">
        <v>1700</v>
      </c>
      <c r="G2737" s="28"/>
    </row>
    <row r="2738" spans="1:7">
      <c r="A2738" s="28">
        <v>2737</v>
      </c>
      <c r="B2738" s="28" t="s">
        <v>2700</v>
      </c>
      <c r="C2738" s="28">
        <v>4161012830</v>
      </c>
      <c r="D2738" s="28" t="s">
        <v>3703</v>
      </c>
      <c r="E2738" s="28" t="s">
        <v>3704</v>
      </c>
      <c r="F2738" s="28" t="s">
        <v>1700</v>
      </c>
      <c r="G2738" s="28"/>
    </row>
    <row r="2739" spans="1:7">
      <c r="A2739" s="28">
        <v>2738</v>
      </c>
      <c r="B2739" s="28" t="s">
        <v>2701</v>
      </c>
      <c r="C2739" s="28">
        <v>4161012831</v>
      </c>
      <c r="D2739" s="28" t="s">
        <v>3703</v>
      </c>
      <c r="E2739" s="28" t="s">
        <v>3704</v>
      </c>
      <c r="F2739" s="28" t="s">
        <v>1700</v>
      </c>
      <c r="G2739" s="28"/>
    </row>
    <row r="2740" spans="1:7">
      <c r="A2740" s="28">
        <v>2739</v>
      </c>
      <c r="B2740" s="28" t="s">
        <v>3216</v>
      </c>
      <c r="C2740" s="28">
        <v>4161013122</v>
      </c>
      <c r="D2740" s="28" t="s">
        <v>3713</v>
      </c>
      <c r="E2740" s="28" t="s">
        <v>3704</v>
      </c>
      <c r="F2740" s="28" t="s">
        <v>1700</v>
      </c>
      <c r="G2740" s="28" t="s">
        <v>1252</v>
      </c>
    </row>
    <row r="2741" spans="1:7">
      <c r="A2741" s="28">
        <v>2740</v>
      </c>
      <c r="B2741" s="28" t="s">
        <v>3217</v>
      </c>
      <c r="C2741" s="28">
        <v>4161013124</v>
      </c>
      <c r="D2741" s="28" t="s">
        <v>3713</v>
      </c>
      <c r="E2741" s="28" t="s">
        <v>3704</v>
      </c>
      <c r="F2741" s="28" t="s">
        <v>1700</v>
      </c>
      <c r="G2741" s="28" t="s">
        <v>1252</v>
      </c>
    </row>
    <row r="2742" spans="1:7">
      <c r="A2742" s="28">
        <v>2741</v>
      </c>
      <c r="B2742" s="28" t="s">
        <v>2702</v>
      </c>
      <c r="C2742" s="28">
        <v>4161013566</v>
      </c>
      <c r="D2742" s="28" t="s">
        <v>3703</v>
      </c>
      <c r="E2742" s="28" t="s">
        <v>3708</v>
      </c>
      <c r="F2742" s="28" t="s">
        <v>1700</v>
      </c>
      <c r="G2742" s="28"/>
    </row>
    <row r="2743" spans="1:7">
      <c r="A2743" s="28">
        <v>2742</v>
      </c>
      <c r="B2743" s="28" t="s">
        <v>2703</v>
      </c>
      <c r="C2743" s="28">
        <v>4161013567</v>
      </c>
      <c r="D2743" s="28" t="s">
        <v>3703</v>
      </c>
      <c r="E2743" s="28" t="s">
        <v>3707</v>
      </c>
      <c r="F2743" s="28" t="s">
        <v>1700</v>
      </c>
      <c r="G2743" s="28"/>
    </row>
    <row r="2744" spans="1:7">
      <c r="A2744" s="28">
        <v>2743</v>
      </c>
      <c r="B2744" s="28" t="s">
        <v>2704</v>
      </c>
      <c r="C2744" s="28">
        <v>4161013568</v>
      </c>
      <c r="D2744" s="28" t="s">
        <v>3703</v>
      </c>
      <c r="E2744" s="28" t="s">
        <v>3706</v>
      </c>
      <c r="F2744" s="28" t="s">
        <v>1700</v>
      </c>
      <c r="G2744" s="28"/>
    </row>
    <row r="2745" spans="1:7">
      <c r="A2745" s="28">
        <v>2744</v>
      </c>
      <c r="B2745" s="28" t="s">
        <v>3218</v>
      </c>
      <c r="C2745" s="28">
        <v>4161013570</v>
      </c>
      <c r="D2745" s="28" t="s">
        <v>3713</v>
      </c>
      <c r="E2745" s="28" t="s">
        <v>3704</v>
      </c>
      <c r="F2745" s="28" t="s">
        <v>1700</v>
      </c>
      <c r="G2745" s="28" t="s">
        <v>1252</v>
      </c>
    </row>
    <row r="2746" spans="1:7">
      <c r="A2746" s="28">
        <v>2745</v>
      </c>
      <c r="B2746" s="28" t="s">
        <v>2705</v>
      </c>
      <c r="C2746" s="28">
        <v>4161013736</v>
      </c>
      <c r="D2746" s="28" t="s">
        <v>3703</v>
      </c>
      <c r="E2746" s="28" t="s">
        <v>3701</v>
      </c>
      <c r="F2746" s="28" t="s">
        <v>1700</v>
      </c>
      <c r="G2746" s="28"/>
    </row>
    <row r="2747" spans="1:7">
      <c r="A2747" s="28">
        <v>2746</v>
      </c>
      <c r="B2747" s="28" t="s">
        <v>3219</v>
      </c>
      <c r="C2747" s="28">
        <v>4161013737</v>
      </c>
      <c r="D2747" s="28" t="s">
        <v>3713</v>
      </c>
      <c r="E2747" s="28" t="s">
        <v>3704</v>
      </c>
      <c r="F2747" s="28" t="s">
        <v>1700</v>
      </c>
      <c r="G2747" s="28" t="s">
        <v>1252</v>
      </c>
    </row>
    <row r="2748" spans="1:7">
      <c r="A2748" s="28">
        <v>2747</v>
      </c>
      <c r="B2748" s="28" t="s">
        <v>3220</v>
      </c>
      <c r="C2748" s="28">
        <v>4161013739</v>
      </c>
      <c r="D2748" s="28" t="s">
        <v>3713</v>
      </c>
      <c r="E2748" s="28" t="s">
        <v>3704</v>
      </c>
      <c r="F2748" s="28" t="s">
        <v>1700</v>
      </c>
      <c r="G2748" s="28" t="s">
        <v>1252</v>
      </c>
    </row>
    <row r="2749" spans="1:7">
      <c r="A2749" s="28">
        <v>2748</v>
      </c>
      <c r="B2749" s="28" t="s">
        <v>2706</v>
      </c>
      <c r="C2749" s="28">
        <v>4161013932</v>
      </c>
      <c r="D2749" s="28" t="s">
        <v>3703</v>
      </c>
      <c r="E2749" s="28" t="s">
        <v>3704</v>
      </c>
      <c r="F2749" s="28" t="s">
        <v>1700</v>
      </c>
      <c r="G2749" s="28"/>
    </row>
    <row r="2750" spans="1:7">
      <c r="A2750" s="28">
        <v>2749</v>
      </c>
      <c r="B2750" s="28" t="s">
        <v>2707</v>
      </c>
      <c r="C2750" s="28">
        <v>4161013945</v>
      </c>
      <c r="D2750" s="28" t="s">
        <v>3703</v>
      </c>
      <c r="E2750" s="28" t="s">
        <v>3704</v>
      </c>
      <c r="F2750" s="28" t="s">
        <v>1700</v>
      </c>
      <c r="G2750" s="28"/>
    </row>
    <row r="2751" spans="1:7">
      <c r="A2751" s="28">
        <v>2750</v>
      </c>
      <c r="B2751" s="28" t="s">
        <v>2708</v>
      </c>
      <c r="C2751" s="28">
        <v>4161013946</v>
      </c>
      <c r="D2751" s="28" t="s">
        <v>3703</v>
      </c>
      <c r="E2751" s="28" t="s">
        <v>3701</v>
      </c>
      <c r="F2751" s="28" t="s">
        <v>1700</v>
      </c>
      <c r="G2751" s="28"/>
    </row>
    <row r="2752" spans="1:7">
      <c r="A2752" s="28">
        <v>2751</v>
      </c>
      <c r="B2752" s="28" t="s">
        <v>2709</v>
      </c>
      <c r="C2752" s="28">
        <v>4161013947</v>
      </c>
      <c r="D2752" s="28" t="s">
        <v>3703</v>
      </c>
      <c r="E2752" s="28" t="s">
        <v>3704</v>
      </c>
      <c r="F2752" s="28" t="s">
        <v>1700</v>
      </c>
      <c r="G2752" s="28"/>
    </row>
    <row r="2753" spans="1:7">
      <c r="A2753" s="28">
        <v>2752</v>
      </c>
      <c r="B2753" s="28" t="s">
        <v>2710</v>
      </c>
      <c r="C2753" s="28">
        <v>4161013948</v>
      </c>
      <c r="D2753" s="28" t="s">
        <v>3703</v>
      </c>
      <c r="E2753" s="28" t="s">
        <v>3711</v>
      </c>
      <c r="F2753" s="28" t="s">
        <v>1700</v>
      </c>
      <c r="G2753" s="28"/>
    </row>
    <row r="2754" spans="1:7">
      <c r="A2754" s="28">
        <v>2753</v>
      </c>
      <c r="B2754" s="28" t="s">
        <v>2711</v>
      </c>
      <c r="C2754" s="28">
        <v>4161013949</v>
      </c>
      <c r="D2754" s="28" t="s">
        <v>3703</v>
      </c>
      <c r="E2754" s="28" t="s">
        <v>3706</v>
      </c>
      <c r="F2754" s="28" t="s">
        <v>1700</v>
      </c>
      <c r="G2754" s="28"/>
    </row>
    <row r="2755" spans="1:7">
      <c r="A2755" s="28">
        <v>2754</v>
      </c>
      <c r="B2755" s="28" t="s">
        <v>2712</v>
      </c>
      <c r="C2755" s="28">
        <v>4161013950</v>
      </c>
      <c r="D2755" s="28" t="s">
        <v>3703</v>
      </c>
      <c r="E2755" s="28" t="s">
        <v>3705</v>
      </c>
      <c r="F2755" s="28" t="s">
        <v>1700</v>
      </c>
      <c r="G2755" s="28"/>
    </row>
    <row r="2756" spans="1:7">
      <c r="A2756" s="28">
        <v>2755</v>
      </c>
      <c r="B2756" s="28" t="s">
        <v>2713</v>
      </c>
      <c r="C2756" s="28">
        <v>4161013951</v>
      </c>
      <c r="D2756" s="28" t="s">
        <v>3703</v>
      </c>
      <c r="E2756" s="28" t="s">
        <v>3708</v>
      </c>
      <c r="F2756" s="28" t="s">
        <v>1700</v>
      </c>
      <c r="G2756" s="28"/>
    </row>
    <row r="2757" spans="1:7">
      <c r="A2757" s="28">
        <v>2756</v>
      </c>
      <c r="B2757" s="28" t="s">
        <v>2714</v>
      </c>
      <c r="C2757" s="28">
        <v>4161013952</v>
      </c>
      <c r="D2757" s="28" t="s">
        <v>3703</v>
      </c>
      <c r="E2757" s="28" t="s">
        <v>3712</v>
      </c>
      <c r="F2757" s="28" t="s">
        <v>1700</v>
      </c>
      <c r="G2757" s="28"/>
    </row>
    <row r="2758" spans="1:7">
      <c r="A2758" s="28">
        <v>2757</v>
      </c>
      <c r="B2758" s="28" t="s">
        <v>2715</v>
      </c>
      <c r="C2758" s="28">
        <v>4161013953</v>
      </c>
      <c r="D2758" s="28" t="s">
        <v>3703</v>
      </c>
      <c r="E2758" s="28" t="s">
        <v>3714</v>
      </c>
      <c r="F2758" s="28" t="s">
        <v>1700</v>
      </c>
      <c r="G2758" s="28"/>
    </row>
    <row r="2759" spans="1:7">
      <c r="A2759" s="28">
        <v>2758</v>
      </c>
      <c r="B2759" s="28" t="s">
        <v>2717</v>
      </c>
      <c r="C2759" s="28">
        <v>4161014028</v>
      </c>
      <c r="D2759" s="28" t="s">
        <v>3703</v>
      </c>
      <c r="E2759" s="28" t="s">
        <v>3704</v>
      </c>
      <c r="F2759" s="28" t="s">
        <v>1700</v>
      </c>
      <c r="G2759" s="28"/>
    </row>
    <row r="2760" spans="1:7">
      <c r="A2760" s="28">
        <v>2759</v>
      </c>
      <c r="B2760" s="28" t="s">
        <v>2718</v>
      </c>
      <c r="C2760" s="28">
        <v>4161014029</v>
      </c>
      <c r="D2760" s="28" t="s">
        <v>3703</v>
      </c>
      <c r="E2760" s="28" t="s">
        <v>3704</v>
      </c>
      <c r="F2760" s="28" t="s">
        <v>1700</v>
      </c>
      <c r="G2760" s="28"/>
    </row>
    <row r="2761" spans="1:7">
      <c r="A2761" s="28">
        <v>2760</v>
      </c>
      <c r="B2761" s="28" t="s">
        <v>3221</v>
      </c>
      <c r="C2761" s="28">
        <v>4161014031</v>
      </c>
      <c r="D2761" s="28" t="s">
        <v>3713</v>
      </c>
      <c r="E2761" s="28" t="s">
        <v>3704</v>
      </c>
      <c r="F2761" s="28" t="s">
        <v>1700</v>
      </c>
      <c r="G2761" s="28" t="s">
        <v>1252</v>
      </c>
    </row>
    <row r="2762" spans="1:7">
      <c r="A2762" s="28">
        <v>2761</v>
      </c>
      <c r="B2762" s="28" t="s">
        <v>3222</v>
      </c>
      <c r="C2762" s="28">
        <v>4161014222</v>
      </c>
      <c r="D2762" s="28" t="s">
        <v>3713</v>
      </c>
      <c r="E2762" s="28" t="s">
        <v>3704</v>
      </c>
      <c r="F2762" s="28" t="s">
        <v>1700</v>
      </c>
      <c r="G2762" s="28" t="s">
        <v>1252</v>
      </c>
    </row>
    <row r="2763" spans="1:7">
      <c r="A2763" s="28">
        <v>2762</v>
      </c>
      <c r="B2763" s="28" t="s">
        <v>2719</v>
      </c>
      <c r="C2763" s="28">
        <v>4161014318</v>
      </c>
      <c r="D2763" s="28" t="s">
        <v>3703</v>
      </c>
      <c r="E2763" s="28" t="s">
        <v>3710</v>
      </c>
      <c r="F2763" s="28" t="s">
        <v>1700</v>
      </c>
      <c r="G2763" s="28"/>
    </row>
    <row r="2764" spans="1:7">
      <c r="A2764" s="28">
        <v>2763</v>
      </c>
      <c r="B2764" s="28" t="s">
        <v>2720</v>
      </c>
      <c r="C2764" s="28">
        <v>4161014488</v>
      </c>
      <c r="D2764" s="28" t="s">
        <v>3703</v>
      </c>
      <c r="E2764" s="28" t="s">
        <v>3704</v>
      </c>
      <c r="F2764" s="28" t="s">
        <v>1700</v>
      </c>
      <c r="G2764" s="28"/>
    </row>
    <row r="2765" spans="1:7">
      <c r="A2765" s="28">
        <v>2764</v>
      </c>
      <c r="B2765" s="28" t="s">
        <v>2721</v>
      </c>
      <c r="C2765" s="28">
        <v>4161014650</v>
      </c>
      <c r="D2765" s="28" t="s">
        <v>3703</v>
      </c>
      <c r="E2765" s="28" t="s">
        <v>3710</v>
      </c>
      <c r="F2765" s="28" t="s">
        <v>1700</v>
      </c>
      <c r="G2765" s="28"/>
    </row>
    <row r="2766" spans="1:7">
      <c r="A2766" s="28">
        <v>2765</v>
      </c>
      <c r="B2766" s="28" t="s">
        <v>3223</v>
      </c>
      <c r="C2766" s="28">
        <v>4161014651</v>
      </c>
      <c r="D2766" s="28" t="s">
        <v>3713</v>
      </c>
      <c r="E2766" s="28" t="s">
        <v>3707</v>
      </c>
      <c r="F2766" s="28" t="s">
        <v>1700</v>
      </c>
      <c r="G2766" s="28" t="s">
        <v>1252</v>
      </c>
    </row>
    <row r="2767" spans="1:7">
      <c r="A2767" s="28">
        <v>2766</v>
      </c>
      <c r="B2767" s="28" t="s">
        <v>3224</v>
      </c>
      <c r="C2767" s="28">
        <v>4161014737</v>
      </c>
      <c r="D2767" s="28" t="s">
        <v>3713</v>
      </c>
      <c r="E2767" s="28" t="s">
        <v>3710</v>
      </c>
      <c r="F2767" s="28" t="s">
        <v>1700</v>
      </c>
      <c r="G2767" s="28" t="s">
        <v>1252</v>
      </c>
    </row>
    <row r="2768" spans="1:7">
      <c r="A2768" s="28">
        <v>2767</v>
      </c>
      <c r="B2768" s="28" t="s">
        <v>3225</v>
      </c>
      <c r="C2768" s="28">
        <v>4161014770</v>
      </c>
      <c r="D2768" s="28" t="s">
        <v>3713</v>
      </c>
      <c r="E2768" s="28" t="s">
        <v>3707</v>
      </c>
      <c r="F2768" s="28" t="s">
        <v>1700</v>
      </c>
      <c r="G2768" s="28" t="s">
        <v>1252</v>
      </c>
    </row>
    <row r="2769" spans="1:7">
      <c r="A2769" s="28">
        <v>2768</v>
      </c>
      <c r="B2769" s="28" t="s">
        <v>2722</v>
      </c>
      <c r="C2769" s="28">
        <v>4261050084</v>
      </c>
      <c r="D2769" s="28" t="s">
        <v>3703</v>
      </c>
      <c r="E2769" s="28" t="s">
        <v>3707</v>
      </c>
      <c r="F2769" s="28" t="s">
        <v>1700</v>
      </c>
      <c r="G2769" s="28"/>
    </row>
    <row r="2770" spans="1:7">
      <c r="A2770" s="28">
        <v>2769</v>
      </c>
      <c r="B2770" s="28" t="s">
        <v>1155</v>
      </c>
      <c r="C2770" s="28">
        <v>4162010730</v>
      </c>
      <c r="D2770" s="28" t="s">
        <v>3309</v>
      </c>
      <c r="E2770" s="28" t="s">
        <v>3715</v>
      </c>
      <c r="F2770" s="28" t="s">
        <v>11</v>
      </c>
      <c r="G2770" s="28"/>
    </row>
    <row r="2771" spans="1:7">
      <c r="A2771" s="28">
        <v>2770</v>
      </c>
      <c r="B2771" s="28" t="s">
        <v>1158</v>
      </c>
      <c r="C2771" s="28">
        <v>4162010731</v>
      </c>
      <c r="D2771" s="28" t="s">
        <v>3716</v>
      </c>
      <c r="E2771" s="28" t="s">
        <v>3715</v>
      </c>
      <c r="F2771" s="28" t="s">
        <v>11</v>
      </c>
      <c r="G2771" s="28"/>
    </row>
    <row r="2772" spans="1:7">
      <c r="A2772" s="28">
        <v>2771</v>
      </c>
      <c r="B2772" s="28" t="s">
        <v>1159</v>
      </c>
      <c r="C2772" s="28">
        <v>4162010732</v>
      </c>
      <c r="D2772" s="28" t="s">
        <v>3716</v>
      </c>
      <c r="E2772" s="28" t="s">
        <v>3715</v>
      </c>
      <c r="F2772" s="28" t="s">
        <v>11</v>
      </c>
      <c r="G2772" s="28"/>
    </row>
    <row r="2773" spans="1:7">
      <c r="A2773" s="28">
        <v>2772</v>
      </c>
      <c r="B2773" s="28" t="s">
        <v>1160</v>
      </c>
      <c r="C2773" s="28">
        <v>4162010733</v>
      </c>
      <c r="D2773" s="28" t="s">
        <v>3716</v>
      </c>
      <c r="E2773" s="28" t="s">
        <v>3715</v>
      </c>
      <c r="F2773" s="28" t="s">
        <v>11</v>
      </c>
      <c r="G2773" s="28"/>
    </row>
    <row r="2774" spans="1:7">
      <c r="A2774" s="28">
        <v>2773</v>
      </c>
      <c r="B2774" s="28" t="s">
        <v>1161</v>
      </c>
      <c r="C2774" s="28">
        <v>4162010735</v>
      </c>
      <c r="D2774" s="28" t="s">
        <v>3716</v>
      </c>
      <c r="E2774" s="28" t="s">
        <v>3715</v>
      </c>
      <c r="F2774" s="28" t="s">
        <v>11</v>
      </c>
      <c r="G2774" s="28"/>
    </row>
    <row r="2775" spans="1:7">
      <c r="A2775" s="28">
        <v>2774</v>
      </c>
      <c r="B2775" s="28" t="s">
        <v>1162</v>
      </c>
      <c r="C2775" s="28">
        <v>4162010736</v>
      </c>
      <c r="D2775" s="28" t="s">
        <v>3716</v>
      </c>
      <c r="E2775" s="28" t="s">
        <v>3715</v>
      </c>
      <c r="F2775" s="28" t="s">
        <v>11</v>
      </c>
      <c r="G2775" s="28"/>
    </row>
    <row r="2776" spans="1:7">
      <c r="A2776" s="28">
        <v>2775</v>
      </c>
      <c r="B2776" s="28" t="s">
        <v>1163</v>
      </c>
      <c r="C2776" s="28">
        <v>4162010737</v>
      </c>
      <c r="D2776" s="28" t="s">
        <v>3716</v>
      </c>
      <c r="E2776" s="28" t="s">
        <v>3715</v>
      </c>
      <c r="F2776" s="28" t="s">
        <v>11</v>
      </c>
      <c r="G2776" s="28"/>
    </row>
    <row r="2777" spans="1:7">
      <c r="A2777" s="28">
        <v>2776</v>
      </c>
      <c r="B2777" s="28" t="s">
        <v>1164</v>
      </c>
      <c r="C2777" s="28">
        <v>4162010738</v>
      </c>
      <c r="D2777" s="28" t="s">
        <v>3716</v>
      </c>
      <c r="E2777" s="28" t="s">
        <v>3717</v>
      </c>
      <c r="F2777" s="28" t="s">
        <v>11</v>
      </c>
      <c r="G2777" s="28"/>
    </row>
    <row r="2778" spans="1:7">
      <c r="A2778" s="28">
        <v>2777</v>
      </c>
      <c r="B2778" s="28" t="s">
        <v>1166</v>
      </c>
      <c r="C2778" s="28">
        <v>4162010739</v>
      </c>
      <c r="D2778" s="28" t="s">
        <v>3716</v>
      </c>
      <c r="E2778" s="28" t="s">
        <v>3718</v>
      </c>
      <c r="F2778" s="28" t="s">
        <v>11</v>
      </c>
      <c r="G2778" s="28"/>
    </row>
    <row r="2779" spans="1:7">
      <c r="A2779" s="28">
        <v>2778</v>
      </c>
      <c r="B2779" s="28" t="s">
        <v>1168</v>
      </c>
      <c r="C2779" s="28">
        <v>4162010740</v>
      </c>
      <c r="D2779" s="28" t="s">
        <v>3716</v>
      </c>
      <c r="E2779" s="28" t="s">
        <v>3719</v>
      </c>
      <c r="F2779" s="28" t="s">
        <v>11</v>
      </c>
      <c r="G2779" s="28"/>
    </row>
    <row r="2780" spans="1:7">
      <c r="A2780" s="28">
        <v>2779</v>
      </c>
      <c r="B2780" s="28" t="s">
        <v>1170</v>
      </c>
      <c r="C2780" s="28">
        <v>4162010741</v>
      </c>
      <c r="D2780" s="28" t="s">
        <v>3716</v>
      </c>
      <c r="E2780" s="28" t="s">
        <v>3715</v>
      </c>
      <c r="F2780" s="28" t="s">
        <v>11</v>
      </c>
      <c r="G2780" s="28"/>
    </row>
    <row r="2781" spans="1:7">
      <c r="A2781" s="28">
        <v>2780</v>
      </c>
      <c r="B2781" s="28" t="s">
        <v>1171</v>
      </c>
      <c r="C2781" s="28">
        <v>4162010742</v>
      </c>
      <c r="D2781" s="28" t="s">
        <v>3318</v>
      </c>
      <c r="E2781" s="28" t="s">
        <v>3715</v>
      </c>
      <c r="F2781" s="28" t="s">
        <v>11</v>
      </c>
      <c r="G2781" s="28"/>
    </row>
    <row r="2782" spans="1:7">
      <c r="A2782" s="28">
        <v>2781</v>
      </c>
      <c r="B2782" s="28" t="s">
        <v>1172</v>
      </c>
      <c r="C2782" s="28">
        <v>4162011406</v>
      </c>
      <c r="D2782" s="28" t="s">
        <v>3716</v>
      </c>
      <c r="E2782" s="28" t="s">
        <v>3715</v>
      </c>
      <c r="F2782" s="28" t="s">
        <v>11</v>
      </c>
      <c r="G2782" s="28"/>
    </row>
    <row r="2783" spans="1:7">
      <c r="A2783" s="28">
        <v>2782</v>
      </c>
      <c r="B2783" s="28" t="s">
        <v>1173</v>
      </c>
      <c r="C2783" s="28">
        <v>4162011561</v>
      </c>
      <c r="D2783" s="28" t="s">
        <v>3716</v>
      </c>
      <c r="E2783" s="28" t="s">
        <v>3720</v>
      </c>
      <c r="F2783" s="28" t="s">
        <v>11</v>
      </c>
      <c r="G2783" s="28"/>
    </row>
    <row r="2784" spans="1:7">
      <c r="A2784" s="28">
        <v>2783</v>
      </c>
      <c r="B2784" s="28" t="s">
        <v>1175</v>
      </c>
      <c r="C2784" s="28">
        <v>4162011562</v>
      </c>
      <c r="D2784" s="28" t="s">
        <v>3716</v>
      </c>
      <c r="E2784" s="28" t="s">
        <v>3715</v>
      </c>
      <c r="F2784" s="28" t="s">
        <v>11</v>
      </c>
      <c r="G2784" s="28"/>
    </row>
    <row r="2785" spans="1:7">
      <c r="A2785" s="28">
        <v>2784</v>
      </c>
      <c r="B2785" s="28" t="s">
        <v>1176</v>
      </c>
      <c r="C2785" s="28">
        <v>4162011805</v>
      </c>
      <c r="D2785" s="28" t="s">
        <v>3716</v>
      </c>
      <c r="E2785" s="28" t="s">
        <v>3721</v>
      </c>
      <c r="F2785" s="28" t="s">
        <v>11</v>
      </c>
      <c r="G2785" s="28"/>
    </row>
    <row r="2786" spans="1:7">
      <c r="A2786" s="28">
        <v>2785</v>
      </c>
      <c r="B2786" s="28" t="s">
        <v>1178</v>
      </c>
      <c r="C2786" s="28">
        <v>4162011807</v>
      </c>
      <c r="D2786" s="28" t="s">
        <v>3716</v>
      </c>
      <c r="E2786" s="28" t="s">
        <v>3715</v>
      </c>
      <c r="F2786" s="28" t="s">
        <v>11</v>
      </c>
      <c r="G2786" s="28"/>
    </row>
    <row r="2787" spans="1:7">
      <c r="A2787" s="28">
        <v>2786</v>
      </c>
      <c r="B2787" s="28" t="s">
        <v>1179</v>
      </c>
      <c r="C2787" s="28">
        <v>4162016209</v>
      </c>
      <c r="D2787" s="28" t="s">
        <v>3716</v>
      </c>
      <c r="E2787" s="28" t="s">
        <v>3715</v>
      </c>
      <c r="F2787" s="28" t="s">
        <v>11</v>
      </c>
      <c r="G2787" s="28"/>
    </row>
    <row r="2788" spans="1:7">
      <c r="A2788" s="28">
        <v>2787</v>
      </c>
      <c r="B2788" s="28" t="s">
        <v>1664</v>
      </c>
      <c r="C2788" s="28">
        <v>4162013511</v>
      </c>
      <c r="D2788" s="28" t="s">
        <v>3722</v>
      </c>
      <c r="E2788" s="28" t="s">
        <v>3715</v>
      </c>
      <c r="F2788" s="28" t="s">
        <v>11</v>
      </c>
      <c r="G2788" s="28" t="s">
        <v>1252</v>
      </c>
    </row>
    <row r="2789" spans="1:7">
      <c r="A2789" s="28">
        <v>2788</v>
      </c>
      <c r="B2789" s="28" t="s">
        <v>1180</v>
      </c>
      <c r="C2789" s="28">
        <v>4162016208</v>
      </c>
      <c r="D2789" s="28" t="s">
        <v>3716</v>
      </c>
      <c r="E2789" s="28" t="s">
        <v>3715</v>
      </c>
      <c r="F2789" s="28" t="s">
        <v>11</v>
      </c>
      <c r="G2789" s="28"/>
    </row>
    <row r="2790" spans="1:7">
      <c r="A2790" s="28">
        <v>2789</v>
      </c>
      <c r="B2790" s="28" t="s">
        <v>1665</v>
      </c>
      <c r="C2790" s="28">
        <v>4162013514</v>
      </c>
      <c r="D2790" s="28" t="s">
        <v>3722</v>
      </c>
      <c r="E2790" s="28" t="s">
        <v>3715</v>
      </c>
      <c r="F2790" s="28" t="s">
        <v>11</v>
      </c>
      <c r="G2790" s="28" t="s">
        <v>1252</v>
      </c>
    </row>
    <row r="2791" spans="1:7">
      <c r="A2791" s="28">
        <v>2790</v>
      </c>
      <c r="B2791" s="28" t="s">
        <v>1666</v>
      </c>
      <c r="C2791" s="28">
        <v>4162013515</v>
      </c>
      <c r="D2791" s="28" t="s">
        <v>3722</v>
      </c>
      <c r="E2791" s="28" t="s">
        <v>3715</v>
      </c>
      <c r="F2791" s="28" t="s">
        <v>11</v>
      </c>
      <c r="G2791" s="28" t="s">
        <v>1252</v>
      </c>
    </row>
    <row r="2792" spans="1:7">
      <c r="A2792" s="28">
        <v>2791</v>
      </c>
      <c r="B2792" s="28" t="s">
        <v>1181</v>
      </c>
      <c r="C2792" s="28">
        <v>4162011806</v>
      </c>
      <c r="D2792" s="28" t="s">
        <v>3716</v>
      </c>
      <c r="E2792" s="28" t="s">
        <v>3723</v>
      </c>
      <c r="F2792" s="28" t="s">
        <v>11</v>
      </c>
      <c r="G2792" s="28"/>
    </row>
    <row r="2793" spans="1:7">
      <c r="A2793" s="28">
        <v>2792</v>
      </c>
      <c r="B2793" s="28" t="s">
        <v>1185</v>
      </c>
      <c r="C2793" s="28">
        <v>4162012834</v>
      </c>
      <c r="D2793" s="28" t="s">
        <v>3716</v>
      </c>
      <c r="E2793" s="28" t="s">
        <v>3715</v>
      </c>
      <c r="F2793" s="28" t="s">
        <v>11</v>
      </c>
      <c r="G2793" s="28"/>
    </row>
    <row r="2794" spans="1:7">
      <c r="A2794" s="28">
        <v>2793</v>
      </c>
      <c r="B2794" s="28" t="s">
        <v>1186</v>
      </c>
      <c r="C2794" s="28">
        <v>4162012835</v>
      </c>
      <c r="D2794" s="28" t="s">
        <v>3716</v>
      </c>
      <c r="E2794" s="28" t="s">
        <v>3718</v>
      </c>
      <c r="F2794" s="28" t="s">
        <v>11</v>
      </c>
      <c r="G2794" s="28"/>
    </row>
    <row r="2795" spans="1:7">
      <c r="A2795" s="28">
        <v>2794</v>
      </c>
      <c r="B2795" s="28" t="s">
        <v>1183</v>
      </c>
      <c r="C2795" s="28">
        <v>4162012539</v>
      </c>
      <c r="D2795" s="28" t="s">
        <v>3716</v>
      </c>
      <c r="E2795" s="28" t="s">
        <v>3724</v>
      </c>
      <c r="F2795" s="28" t="s">
        <v>11</v>
      </c>
      <c r="G2795" s="28"/>
    </row>
    <row r="2796" spans="1:7">
      <c r="A2796" s="28">
        <v>2795</v>
      </c>
      <c r="B2796" s="28" t="s">
        <v>1187</v>
      </c>
      <c r="C2796" s="28">
        <v>4162012836</v>
      </c>
      <c r="D2796" s="28" t="s">
        <v>3716</v>
      </c>
      <c r="E2796" s="28" t="s">
        <v>3718</v>
      </c>
      <c r="F2796" s="28" t="s">
        <v>11</v>
      </c>
      <c r="G2796" s="28"/>
    </row>
    <row r="2797" spans="1:7">
      <c r="A2797" s="28">
        <v>2796</v>
      </c>
      <c r="B2797" s="28" t="s">
        <v>1188</v>
      </c>
      <c r="C2797" s="28">
        <v>4162013518</v>
      </c>
      <c r="D2797" s="28" t="s">
        <v>3716</v>
      </c>
      <c r="E2797" s="28" t="s">
        <v>3725</v>
      </c>
      <c r="F2797" s="28" t="s">
        <v>11</v>
      </c>
      <c r="G2797" s="28"/>
    </row>
    <row r="2798" spans="1:7">
      <c r="A2798" s="28">
        <v>2797</v>
      </c>
      <c r="B2798" s="28" t="s">
        <v>2723</v>
      </c>
      <c r="C2798" s="28">
        <v>4162011808</v>
      </c>
      <c r="D2798" s="28" t="s">
        <v>3716</v>
      </c>
      <c r="E2798" s="28" t="s">
        <v>3726</v>
      </c>
      <c r="F2798" s="28" t="s">
        <v>1700</v>
      </c>
      <c r="G2798" s="28"/>
    </row>
    <row r="2799" spans="1:7">
      <c r="A2799" s="28">
        <v>2798</v>
      </c>
      <c r="B2799" s="28" t="s">
        <v>2725</v>
      </c>
      <c r="C2799" s="28">
        <v>4162012511</v>
      </c>
      <c r="D2799" s="28" t="s">
        <v>3716</v>
      </c>
      <c r="E2799" s="28" t="s">
        <v>3715</v>
      </c>
      <c r="F2799" s="28" t="s">
        <v>1700</v>
      </c>
      <c r="G2799" s="28"/>
    </row>
    <row r="2800" spans="1:7">
      <c r="A2800" s="28">
        <v>2799</v>
      </c>
      <c r="B2800" s="28" t="s">
        <v>3226</v>
      </c>
      <c r="C2800" s="28">
        <v>4162012832</v>
      </c>
      <c r="D2800" s="28" t="s">
        <v>3722</v>
      </c>
      <c r="E2800" s="28" t="s">
        <v>3715</v>
      </c>
      <c r="F2800" s="28" t="s">
        <v>1700</v>
      </c>
      <c r="G2800" s="28" t="s">
        <v>1252</v>
      </c>
    </row>
    <row r="2801" spans="1:7">
      <c r="A2801" s="28">
        <v>2800</v>
      </c>
      <c r="B2801" s="28" t="s">
        <v>2726</v>
      </c>
      <c r="C2801" s="28">
        <v>4162012833</v>
      </c>
      <c r="D2801" s="28" t="s">
        <v>3716</v>
      </c>
      <c r="E2801" s="28" t="s">
        <v>3715</v>
      </c>
      <c r="F2801" s="28" t="s">
        <v>1700</v>
      </c>
      <c r="G2801" s="28"/>
    </row>
    <row r="2802" spans="1:7">
      <c r="A2802" s="28">
        <v>2801</v>
      </c>
      <c r="B2802" s="28" t="s">
        <v>2727</v>
      </c>
      <c r="C2802" s="28">
        <v>4162013519</v>
      </c>
      <c r="D2802" s="28" t="s">
        <v>3716</v>
      </c>
      <c r="E2802" s="28" t="s">
        <v>3715</v>
      </c>
      <c r="F2802" s="28" t="s">
        <v>1700</v>
      </c>
      <c r="G2802" s="28"/>
    </row>
    <row r="2803" spans="1:7">
      <c r="A2803" s="28">
        <v>2802</v>
      </c>
      <c r="B2803" s="28" t="s">
        <v>2728</v>
      </c>
      <c r="C2803" s="28">
        <v>4162013954</v>
      </c>
      <c r="D2803" s="28" t="s">
        <v>3716</v>
      </c>
      <c r="E2803" s="28" t="s">
        <v>3715</v>
      </c>
      <c r="F2803" s="28" t="s">
        <v>1700</v>
      </c>
      <c r="G2803" s="28"/>
    </row>
    <row r="2804" spans="1:7">
      <c r="A2804" s="28">
        <v>2803</v>
      </c>
      <c r="B2804" s="28" t="s">
        <v>2729</v>
      </c>
      <c r="C2804" s="28">
        <v>4162013955</v>
      </c>
      <c r="D2804" s="28" t="s">
        <v>3716</v>
      </c>
      <c r="E2804" s="28" t="s">
        <v>3725</v>
      </c>
      <c r="F2804" s="28" t="s">
        <v>1700</v>
      </c>
      <c r="G2804" s="28"/>
    </row>
    <row r="2805" spans="1:7">
      <c r="A2805" s="28">
        <v>2804</v>
      </c>
      <c r="B2805" s="28" t="s">
        <v>2730</v>
      </c>
      <c r="C2805" s="28">
        <v>4162014131</v>
      </c>
      <c r="D2805" s="28" t="s">
        <v>3716</v>
      </c>
      <c r="E2805" s="28" t="s">
        <v>3727</v>
      </c>
      <c r="F2805" s="28" t="s">
        <v>1700</v>
      </c>
      <c r="G2805" s="28"/>
    </row>
    <row r="2806" spans="1:7">
      <c r="A2806" s="28">
        <v>2805</v>
      </c>
      <c r="B2806" s="28" t="s">
        <v>2732</v>
      </c>
      <c r="C2806" s="28">
        <v>4162014375</v>
      </c>
      <c r="D2806" s="28" t="s">
        <v>3716</v>
      </c>
      <c r="E2806" s="28" t="s">
        <v>3728</v>
      </c>
      <c r="F2806" s="28" t="s">
        <v>1700</v>
      </c>
      <c r="G2806" s="28"/>
    </row>
    <row r="2807" spans="1:7">
      <c r="A2807" s="28">
        <v>2806</v>
      </c>
      <c r="B2807" s="28" t="s">
        <v>2734</v>
      </c>
      <c r="C2807" s="28">
        <v>4162014376</v>
      </c>
      <c r="D2807" s="28" t="s">
        <v>3716</v>
      </c>
      <c r="E2807" s="28" t="s">
        <v>3729</v>
      </c>
      <c r="F2807" s="28" t="s">
        <v>1700</v>
      </c>
      <c r="G2807" s="28"/>
    </row>
    <row r="2808" spans="1:7">
      <c r="A2808" s="28">
        <v>2807</v>
      </c>
      <c r="B2808" s="28" t="s">
        <v>2736</v>
      </c>
      <c r="C2808" s="28">
        <v>4162014517</v>
      </c>
      <c r="D2808" s="28" t="s">
        <v>3716</v>
      </c>
      <c r="E2808" s="28" t="s">
        <v>3715</v>
      </c>
      <c r="F2808" s="28" t="s">
        <v>1700</v>
      </c>
      <c r="G2808" s="28"/>
    </row>
    <row r="2809" spans="1:7">
      <c r="A2809" s="28">
        <v>2808</v>
      </c>
      <c r="B2809" s="28" t="s">
        <v>3227</v>
      </c>
      <c r="C2809" s="28">
        <v>4162014518</v>
      </c>
      <c r="D2809" s="28" t="s">
        <v>3722</v>
      </c>
      <c r="E2809" s="28" t="s">
        <v>3715</v>
      </c>
      <c r="F2809" s="28" t="s">
        <v>1700</v>
      </c>
      <c r="G2809" s="28" t="s">
        <v>1252</v>
      </c>
    </row>
    <row r="2810" spans="1:7">
      <c r="A2810" s="28">
        <v>2809</v>
      </c>
      <c r="B2810" s="28" t="s">
        <v>2737</v>
      </c>
      <c r="C2810" s="28">
        <v>4162014551</v>
      </c>
      <c r="D2810" s="28" t="s">
        <v>3716</v>
      </c>
      <c r="E2810" s="28" t="s">
        <v>3717</v>
      </c>
      <c r="F2810" s="28" t="s">
        <v>1700</v>
      </c>
      <c r="G2810" s="28"/>
    </row>
    <row r="2811" spans="1:7">
      <c r="A2811" s="28">
        <v>2810</v>
      </c>
      <c r="B2811" s="28" t="s">
        <v>2738</v>
      </c>
      <c r="C2811" s="28">
        <v>4162014552</v>
      </c>
      <c r="D2811" s="28" t="s">
        <v>3716</v>
      </c>
      <c r="E2811" s="28" t="s">
        <v>3730</v>
      </c>
      <c r="F2811" s="28" t="s">
        <v>1700</v>
      </c>
      <c r="G2811" s="28"/>
    </row>
    <row r="2812" spans="1:7">
      <c r="A2812" s="28">
        <v>2811</v>
      </c>
      <c r="B2812" s="28" t="s">
        <v>2740</v>
      </c>
      <c r="C2812" s="28">
        <v>4162014594</v>
      </c>
      <c r="D2812" s="28" t="s">
        <v>3716</v>
      </c>
      <c r="E2812" s="28" t="s">
        <v>3715</v>
      </c>
      <c r="F2812" s="28" t="s">
        <v>1700</v>
      </c>
      <c r="G2812" s="28"/>
    </row>
    <row r="2813" spans="1:7">
      <c r="A2813" s="28">
        <v>2812</v>
      </c>
      <c r="B2813" s="28" t="s">
        <v>2741</v>
      </c>
      <c r="C2813" s="28">
        <v>4162014595</v>
      </c>
      <c r="D2813" s="28" t="s">
        <v>3716</v>
      </c>
      <c r="E2813" s="28" t="s">
        <v>3721</v>
      </c>
      <c r="F2813" s="28" t="s">
        <v>1700</v>
      </c>
      <c r="G2813" s="28"/>
    </row>
    <row r="2814" spans="1:7">
      <c r="A2814" s="28">
        <v>2813</v>
      </c>
      <c r="B2814" s="28" t="s">
        <v>2742</v>
      </c>
      <c r="C2814" s="28">
        <v>4162014738</v>
      </c>
      <c r="D2814" s="28" t="s">
        <v>3716</v>
      </c>
      <c r="E2814" s="28" t="s">
        <v>3719</v>
      </c>
      <c r="F2814" s="28" t="s">
        <v>1700</v>
      </c>
      <c r="G2814" s="28"/>
    </row>
    <row r="2815" spans="1:7">
      <c r="A2815" s="28">
        <v>2814</v>
      </c>
      <c r="B2815" s="28" t="s">
        <v>2743</v>
      </c>
      <c r="C2815" s="28">
        <v>4162014771</v>
      </c>
      <c r="D2815" s="28" t="s">
        <v>3716</v>
      </c>
      <c r="E2815" s="28" t="s">
        <v>3715</v>
      </c>
      <c r="F2815" s="28" t="s">
        <v>1700</v>
      </c>
      <c r="G2815" s="28"/>
    </row>
    <row r="2816" spans="1:7">
      <c r="A2816" s="28">
        <v>2815</v>
      </c>
      <c r="B2816" s="28" t="s">
        <v>3228</v>
      </c>
      <c r="C2816" s="28">
        <v>4162014772</v>
      </c>
      <c r="D2816" s="28" t="s">
        <v>3722</v>
      </c>
      <c r="E2816" s="28" t="s">
        <v>3729</v>
      </c>
      <c r="F2816" s="28" t="s">
        <v>1700</v>
      </c>
      <c r="G2816" s="28" t="s">
        <v>1252</v>
      </c>
    </row>
    <row r="2817" spans="1:7">
      <c r="A2817" s="28">
        <v>2816</v>
      </c>
      <c r="B2817" s="28" t="s">
        <v>2744</v>
      </c>
      <c r="C2817" s="28">
        <v>4262051378</v>
      </c>
      <c r="D2817" s="28" t="s">
        <v>3716</v>
      </c>
      <c r="E2817" s="28" t="s">
        <v>3715</v>
      </c>
      <c r="F2817" s="28" t="s">
        <v>1700</v>
      </c>
      <c r="G2817" s="28"/>
    </row>
    <row r="2818" spans="1:7">
      <c r="A2818" s="28">
        <v>2817</v>
      </c>
      <c r="B2818" s="28" t="s">
        <v>2833</v>
      </c>
      <c r="C2818" s="28">
        <v>4162014823</v>
      </c>
      <c r="D2818" s="28" t="s">
        <v>3716</v>
      </c>
      <c r="E2818" s="28" t="s">
        <v>3726</v>
      </c>
      <c r="F2818" s="28" t="s">
        <v>1700</v>
      </c>
      <c r="G2818" s="28"/>
    </row>
    <row r="2819" spans="1:7">
      <c r="A2819" s="28">
        <v>2818</v>
      </c>
      <c r="B2819" s="28" t="s">
        <v>1190</v>
      </c>
      <c r="C2819" s="28">
        <v>4163010743</v>
      </c>
      <c r="D2819" s="28" t="s">
        <v>3731</v>
      </c>
      <c r="E2819" s="28" t="s">
        <v>3732</v>
      </c>
      <c r="F2819" s="28" t="s">
        <v>11</v>
      </c>
      <c r="G2819" s="28"/>
    </row>
    <row r="2820" spans="1:7">
      <c r="A2820" s="28">
        <v>2819</v>
      </c>
      <c r="B2820" s="28" t="s">
        <v>1193</v>
      </c>
      <c r="C2820" s="28">
        <v>4163010746</v>
      </c>
      <c r="D2820" s="28" t="s">
        <v>3731</v>
      </c>
      <c r="E2820" s="28" t="s">
        <v>3732</v>
      </c>
      <c r="F2820" s="28" t="s">
        <v>11</v>
      </c>
      <c r="G2820" s="28"/>
    </row>
    <row r="2821" spans="1:7">
      <c r="A2821" s="28">
        <v>2820</v>
      </c>
      <c r="B2821" s="28" t="s">
        <v>1194</v>
      </c>
      <c r="C2821" s="28">
        <v>4163010748</v>
      </c>
      <c r="D2821" s="28" t="s">
        <v>3731</v>
      </c>
      <c r="E2821" s="28" t="s">
        <v>3732</v>
      </c>
      <c r="F2821" s="28" t="s">
        <v>11</v>
      </c>
      <c r="G2821" s="28"/>
    </row>
    <row r="2822" spans="1:7">
      <c r="A2822" s="28">
        <v>2821</v>
      </c>
      <c r="B2822" s="28" t="s">
        <v>1667</v>
      </c>
      <c r="C2822" s="28">
        <v>4163013674</v>
      </c>
      <c r="D2822" s="28" t="s">
        <v>3733</v>
      </c>
      <c r="E2822" s="28" t="s">
        <v>3732</v>
      </c>
      <c r="F2822" s="28" t="s">
        <v>11</v>
      </c>
      <c r="G2822" s="28" t="s">
        <v>1252</v>
      </c>
    </row>
    <row r="2823" spans="1:7">
      <c r="A2823" s="28">
        <v>2822</v>
      </c>
      <c r="B2823" s="28" t="s">
        <v>1244</v>
      </c>
      <c r="C2823" s="28">
        <v>4163014881</v>
      </c>
      <c r="D2823" s="28" t="s">
        <v>3731</v>
      </c>
      <c r="E2823" s="28" t="s">
        <v>3732</v>
      </c>
      <c r="F2823" s="28" t="s">
        <v>11</v>
      </c>
      <c r="G2823" s="28"/>
    </row>
    <row r="2824" spans="1:7">
      <c r="A2824" s="28">
        <v>2823</v>
      </c>
      <c r="B2824" s="28" t="s">
        <v>1195</v>
      </c>
      <c r="C2824" s="28">
        <v>4163012973</v>
      </c>
      <c r="D2824" s="28" t="s">
        <v>3731</v>
      </c>
      <c r="E2824" s="28" t="s">
        <v>3732</v>
      </c>
      <c r="F2824" s="28" t="s">
        <v>11</v>
      </c>
      <c r="G2824" s="28"/>
    </row>
    <row r="2825" spans="1:7">
      <c r="A2825" s="28">
        <v>2824</v>
      </c>
      <c r="B2825" s="28" t="s">
        <v>2745</v>
      </c>
      <c r="C2825" s="28">
        <v>4163012562</v>
      </c>
      <c r="D2825" s="28" t="s">
        <v>3731</v>
      </c>
      <c r="E2825" s="28" t="s">
        <v>3732</v>
      </c>
      <c r="F2825" s="28" t="s">
        <v>1700</v>
      </c>
      <c r="G2825" s="28"/>
    </row>
    <row r="2826" spans="1:7">
      <c r="A2826" s="28">
        <v>2825</v>
      </c>
      <c r="B2826" s="28" t="s">
        <v>2746</v>
      </c>
      <c r="C2826" s="28">
        <v>4163012852</v>
      </c>
      <c r="D2826" s="28" t="s">
        <v>3731</v>
      </c>
      <c r="E2826" s="28" t="s">
        <v>3732</v>
      </c>
      <c r="F2826" s="28" t="s">
        <v>1700</v>
      </c>
      <c r="G2826" s="28"/>
    </row>
    <row r="2827" spans="1:7">
      <c r="A2827" s="28">
        <v>2826</v>
      </c>
      <c r="B2827" s="28" t="s">
        <v>2747</v>
      </c>
      <c r="C2827" s="28">
        <v>4163012972</v>
      </c>
      <c r="D2827" s="28" t="s">
        <v>3731</v>
      </c>
      <c r="E2827" s="28" t="s">
        <v>3732</v>
      </c>
      <c r="F2827" s="28" t="s">
        <v>1700</v>
      </c>
      <c r="G2827" s="28"/>
    </row>
    <row r="2828" spans="1:7">
      <c r="A2828" s="28">
        <v>2827</v>
      </c>
      <c r="B2828" s="28" t="s">
        <v>2748</v>
      </c>
      <c r="C2828" s="28">
        <v>4163012974</v>
      </c>
      <c r="D2828" s="28" t="s">
        <v>3731</v>
      </c>
      <c r="E2828" s="28" t="s">
        <v>3732</v>
      </c>
      <c r="F2828" s="28" t="s">
        <v>1700</v>
      </c>
      <c r="G2828" s="28"/>
    </row>
    <row r="2829" spans="1:7">
      <c r="A2829" s="28">
        <v>2828</v>
      </c>
      <c r="B2829" s="28" t="s">
        <v>2749</v>
      </c>
      <c r="C2829" s="28">
        <v>4163014519</v>
      </c>
      <c r="D2829" s="28" t="s">
        <v>3731</v>
      </c>
      <c r="E2829" s="28" t="s">
        <v>3732</v>
      </c>
      <c r="F2829" s="28" t="s">
        <v>1700</v>
      </c>
      <c r="G2829" s="28"/>
    </row>
    <row r="2830" spans="1:7">
      <c r="A2830" s="28">
        <v>2829</v>
      </c>
      <c r="B2830" s="28" t="s">
        <v>2750</v>
      </c>
      <c r="C2830" s="28">
        <v>4163014520</v>
      </c>
      <c r="D2830" s="28" t="s">
        <v>3731</v>
      </c>
      <c r="E2830" s="28" t="s">
        <v>3734</v>
      </c>
      <c r="F2830" s="28" t="s">
        <v>1700</v>
      </c>
      <c r="G2830" s="28"/>
    </row>
    <row r="2831" spans="1:7">
      <c r="A2831" s="28">
        <v>2830</v>
      </c>
      <c r="B2831" s="28" t="s">
        <v>2752</v>
      </c>
      <c r="C2831" s="28">
        <v>4163014521</v>
      </c>
      <c r="D2831" s="28" t="s">
        <v>3731</v>
      </c>
      <c r="E2831" s="28" t="s">
        <v>3735</v>
      </c>
      <c r="F2831" s="28" t="s">
        <v>1700</v>
      </c>
      <c r="G2831" s="28"/>
    </row>
    <row r="2832" spans="1:7">
      <c r="A2832" s="28">
        <v>2831</v>
      </c>
      <c r="B2832" s="28" t="s">
        <v>1196</v>
      </c>
      <c r="C2832" s="28">
        <v>4164010749</v>
      </c>
      <c r="D2832" s="28" t="s">
        <v>3736</v>
      </c>
      <c r="E2832" s="28" t="s">
        <v>3737</v>
      </c>
      <c r="F2832" s="28" t="s">
        <v>11</v>
      </c>
      <c r="G2832" s="28"/>
    </row>
    <row r="2833" spans="1:7">
      <c r="A2833" s="28">
        <v>2832</v>
      </c>
      <c r="B2833" s="28" t="s">
        <v>1199</v>
      </c>
      <c r="C2833" s="28">
        <v>4164010752</v>
      </c>
      <c r="D2833" s="28" t="s">
        <v>3736</v>
      </c>
      <c r="E2833" s="28" t="s">
        <v>3737</v>
      </c>
      <c r="F2833" s="28" t="s">
        <v>11</v>
      </c>
      <c r="G2833" s="28"/>
    </row>
    <row r="2834" spans="1:7">
      <c r="A2834" s="28">
        <v>2833</v>
      </c>
      <c r="B2834" s="28" t="s">
        <v>1200</v>
      </c>
      <c r="C2834" s="28">
        <v>4164010753</v>
      </c>
      <c r="D2834" s="28" t="s">
        <v>3736</v>
      </c>
      <c r="E2834" s="28" t="s">
        <v>3738</v>
      </c>
      <c r="F2834" s="28" t="s">
        <v>11</v>
      </c>
      <c r="G2834" s="28"/>
    </row>
    <row r="2835" spans="1:7">
      <c r="A2835" s="28">
        <v>2834</v>
      </c>
      <c r="B2835" s="28" t="s">
        <v>1202</v>
      </c>
      <c r="C2835" s="28">
        <v>4164011407</v>
      </c>
      <c r="D2835" s="28" t="s">
        <v>3318</v>
      </c>
      <c r="E2835" s="28" t="s">
        <v>3737</v>
      </c>
      <c r="F2835" s="28" t="s">
        <v>11</v>
      </c>
      <c r="G2835" s="28"/>
    </row>
    <row r="2836" spans="1:7">
      <c r="A2836" s="28">
        <v>2835</v>
      </c>
      <c r="B2836" s="28" t="s">
        <v>1668</v>
      </c>
      <c r="C2836" s="28">
        <v>4164012544</v>
      </c>
      <c r="D2836" s="28" t="s">
        <v>3739</v>
      </c>
      <c r="E2836" s="28" t="s">
        <v>3740</v>
      </c>
      <c r="F2836" s="28" t="s">
        <v>11</v>
      </c>
      <c r="G2836" s="28" t="s">
        <v>1252</v>
      </c>
    </row>
    <row r="2837" spans="1:7">
      <c r="A2837" s="28">
        <v>2836</v>
      </c>
      <c r="B2837" s="28" t="s">
        <v>1670</v>
      </c>
      <c r="C2837" s="28">
        <v>4164013325</v>
      </c>
      <c r="D2837" s="28" t="s">
        <v>3739</v>
      </c>
      <c r="E2837" s="28" t="s">
        <v>3737</v>
      </c>
      <c r="F2837" s="28" t="s">
        <v>11</v>
      </c>
      <c r="G2837" s="28" t="s">
        <v>1252</v>
      </c>
    </row>
    <row r="2838" spans="1:7">
      <c r="A2838" s="28">
        <v>2837</v>
      </c>
      <c r="B2838" s="28" t="s">
        <v>1671</v>
      </c>
      <c r="C2838" s="28">
        <v>4164013820</v>
      </c>
      <c r="D2838" s="28" t="s">
        <v>3739</v>
      </c>
      <c r="E2838" s="28" t="s">
        <v>3737</v>
      </c>
      <c r="F2838" s="28" t="s">
        <v>11</v>
      </c>
      <c r="G2838" s="28" t="s">
        <v>1252</v>
      </c>
    </row>
    <row r="2839" spans="1:7">
      <c r="A2839" s="28">
        <v>2838</v>
      </c>
      <c r="B2839" s="28" t="s">
        <v>1672</v>
      </c>
      <c r="C2839" s="28">
        <v>4164014200</v>
      </c>
      <c r="D2839" s="28" t="s">
        <v>3739</v>
      </c>
      <c r="E2839" s="28" t="s">
        <v>3737</v>
      </c>
      <c r="F2839" s="28" t="s">
        <v>11</v>
      </c>
      <c r="G2839" s="28" t="s">
        <v>1252</v>
      </c>
    </row>
    <row r="2840" spans="1:7">
      <c r="A2840" s="28">
        <v>2839</v>
      </c>
      <c r="B2840" s="28" t="s">
        <v>1203</v>
      </c>
      <c r="C2840" s="28">
        <v>4164013086</v>
      </c>
      <c r="D2840" s="28" t="s">
        <v>3736</v>
      </c>
      <c r="E2840" s="28" t="s">
        <v>3737</v>
      </c>
      <c r="F2840" s="28" t="s">
        <v>11</v>
      </c>
      <c r="G2840" s="28"/>
    </row>
    <row r="2841" spans="1:7">
      <c r="A2841" s="28">
        <v>2840</v>
      </c>
      <c r="B2841" s="28" t="s">
        <v>1204</v>
      </c>
      <c r="C2841" s="28">
        <v>4164013087</v>
      </c>
      <c r="D2841" s="28" t="s">
        <v>3736</v>
      </c>
      <c r="E2841" s="28" t="s">
        <v>3737</v>
      </c>
      <c r="F2841" s="28" t="s">
        <v>11</v>
      </c>
      <c r="G2841" s="28"/>
    </row>
    <row r="2842" spans="1:7">
      <c r="A2842" s="28">
        <v>2841</v>
      </c>
      <c r="B2842" s="28" t="s">
        <v>2754</v>
      </c>
      <c r="C2842" s="28">
        <v>4164012716</v>
      </c>
      <c r="D2842" s="28" t="s">
        <v>3736</v>
      </c>
      <c r="E2842" s="28" t="s">
        <v>3741</v>
      </c>
      <c r="F2842" s="28" t="s">
        <v>1700</v>
      </c>
      <c r="G2842" s="28"/>
    </row>
    <row r="2843" spans="1:7">
      <c r="A2843" s="28">
        <v>2842</v>
      </c>
      <c r="B2843" s="28" t="s">
        <v>2756</v>
      </c>
      <c r="C2843" s="28">
        <v>4164012837</v>
      </c>
      <c r="D2843" s="28" t="s">
        <v>3736</v>
      </c>
      <c r="E2843" s="28" t="s">
        <v>3737</v>
      </c>
      <c r="F2843" s="28" t="s">
        <v>1700</v>
      </c>
      <c r="G2843" s="28"/>
    </row>
    <row r="2844" spans="1:7">
      <c r="A2844" s="28">
        <v>2843</v>
      </c>
      <c r="B2844" s="28" t="s">
        <v>2757</v>
      </c>
      <c r="C2844" s="28">
        <v>4164013088</v>
      </c>
      <c r="D2844" s="28" t="s">
        <v>3736</v>
      </c>
      <c r="E2844" s="28" t="s">
        <v>3737</v>
      </c>
      <c r="F2844" s="28" t="s">
        <v>1700</v>
      </c>
      <c r="G2844" s="28"/>
    </row>
    <row r="2845" spans="1:7">
      <c r="A2845" s="28">
        <v>2844</v>
      </c>
      <c r="B2845" s="28" t="s">
        <v>2758</v>
      </c>
      <c r="C2845" s="28">
        <v>4164013089</v>
      </c>
      <c r="D2845" s="28" t="s">
        <v>3736</v>
      </c>
      <c r="E2845" s="28" t="s">
        <v>3737</v>
      </c>
      <c r="F2845" s="28" t="s">
        <v>1700</v>
      </c>
      <c r="G2845" s="28"/>
    </row>
    <row r="2846" spans="1:7">
      <c r="A2846" s="28">
        <v>2845</v>
      </c>
      <c r="B2846" s="28" t="s">
        <v>2759</v>
      </c>
      <c r="C2846" s="28">
        <v>4164013151</v>
      </c>
      <c r="D2846" s="28" t="s">
        <v>3736</v>
      </c>
      <c r="E2846" s="28" t="s">
        <v>3737</v>
      </c>
      <c r="F2846" s="28" t="s">
        <v>1700</v>
      </c>
      <c r="G2846" s="28"/>
    </row>
    <row r="2847" spans="1:7">
      <c r="A2847" s="28">
        <v>2846</v>
      </c>
      <c r="B2847" s="28" t="s">
        <v>2760</v>
      </c>
      <c r="C2847" s="28">
        <v>4164014377</v>
      </c>
      <c r="D2847" s="28" t="s">
        <v>3736</v>
      </c>
      <c r="E2847" s="28" t="s">
        <v>3737</v>
      </c>
      <c r="F2847" s="28" t="s">
        <v>1700</v>
      </c>
      <c r="G2847" s="28"/>
    </row>
    <row r="2848" spans="1:7">
      <c r="A2848" s="28">
        <v>2847</v>
      </c>
      <c r="B2848" s="28" t="s">
        <v>2761</v>
      </c>
      <c r="C2848" s="28">
        <v>4164014498</v>
      </c>
      <c r="D2848" s="28" t="s">
        <v>3736</v>
      </c>
      <c r="E2848" s="28" t="s">
        <v>3737</v>
      </c>
      <c r="F2848" s="28" t="s">
        <v>1700</v>
      </c>
      <c r="G2848" s="28"/>
    </row>
    <row r="2849" spans="1:7">
      <c r="A2849" s="28">
        <v>2848</v>
      </c>
      <c r="B2849" s="28" t="s">
        <v>2762</v>
      </c>
      <c r="C2849" s="28">
        <v>4164014522</v>
      </c>
      <c r="D2849" s="28" t="s">
        <v>3736</v>
      </c>
      <c r="E2849" s="28" t="s">
        <v>3737</v>
      </c>
      <c r="F2849" s="28" t="s">
        <v>1700</v>
      </c>
      <c r="G2849" s="28"/>
    </row>
    <row r="2850" spans="1:7">
      <c r="A2850" s="28">
        <v>2849</v>
      </c>
      <c r="B2850" s="28" t="s">
        <v>2763</v>
      </c>
      <c r="C2850" s="28">
        <v>4164014624</v>
      </c>
      <c r="D2850" s="28" t="s">
        <v>3736</v>
      </c>
      <c r="E2850" s="28" t="s">
        <v>3737</v>
      </c>
      <c r="F2850" s="28" t="s">
        <v>1700</v>
      </c>
      <c r="G2850" s="28"/>
    </row>
    <row r="2851" spans="1:7">
      <c r="A2851" s="28">
        <v>2850</v>
      </c>
      <c r="B2851" s="28" t="s">
        <v>2764</v>
      </c>
      <c r="C2851" s="28">
        <v>4164014739</v>
      </c>
      <c r="D2851" s="28" t="s">
        <v>3736</v>
      </c>
      <c r="E2851" s="28" t="s">
        <v>3740</v>
      </c>
      <c r="F2851" s="28" t="s">
        <v>1700</v>
      </c>
      <c r="G2851" s="28"/>
    </row>
    <row r="2852" spans="1:7">
      <c r="A2852" s="28">
        <v>2851</v>
      </c>
      <c r="B2852" s="28" t="s">
        <v>2824</v>
      </c>
      <c r="C2852" s="28">
        <v>4164014804</v>
      </c>
      <c r="D2852" s="28" t="s">
        <v>3736</v>
      </c>
      <c r="E2852" s="28" t="s">
        <v>3740</v>
      </c>
      <c r="F2852" s="28" t="s">
        <v>1700</v>
      </c>
      <c r="G2852" s="28"/>
    </row>
    <row r="2853" spans="1:7">
      <c r="A2853" s="28">
        <v>2852</v>
      </c>
      <c r="B2853" s="28" t="s">
        <v>2847</v>
      </c>
      <c r="C2853" s="28">
        <v>4164014847</v>
      </c>
      <c r="D2853" s="28" t="s">
        <v>3736</v>
      </c>
      <c r="E2853" s="28" t="s">
        <v>3737</v>
      </c>
      <c r="F2853" s="28" t="s">
        <v>1700</v>
      </c>
      <c r="G2853" s="28"/>
    </row>
    <row r="2854" spans="1:7">
      <c r="A2854" s="28">
        <v>2853</v>
      </c>
      <c r="B2854" s="28" t="s">
        <v>1205</v>
      </c>
      <c r="C2854" s="28">
        <v>4165010755</v>
      </c>
      <c r="D2854" s="28" t="s">
        <v>3742</v>
      </c>
      <c r="E2854" s="28" t="s">
        <v>3743</v>
      </c>
      <c r="F2854" s="28" t="s">
        <v>11</v>
      </c>
      <c r="G2854" s="28"/>
    </row>
    <row r="2855" spans="1:7">
      <c r="A2855" s="28">
        <v>2854</v>
      </c>
      <c r="B2855" s="28" t="s">
        <v>1208</v>
      </c>
      <c r="C2855" s="28">
        <v>4165010757</v>
      </c>
      <c r="D2855" s="28" t="s">
        <v>3744</v>
      </c>
      <c r="E2855" s="28" t="s">
        <v>3745</v>
      </c>
      <c r="F2855" s="28" t="s">
        <v>11</v>
      </c>
      <c r="G2855" s="28"/>
    </row>
    <row r="2856" spans="1:7">
      <c r="A2856" s="28">
        <v>2855</v>
      </c>
      <c r="B2856" s="28" t="s">
        <v>1210</v>
      </c>
      <c r="C2856" s="28">
        <v>4165010758</v>
      </c>
      <c r="D2856" s="28" t="s">
        <v>3742</v>
      </c>
      <c r="E2856" s="28" t="s">
        <v>3743</v>
      </c>
      <c r="F2856" s="28" t="s">
        <v>11</v>
      </c>
      <c r="G2856" s="28"/>
    </row>
    <row r="2857" spans="1:7">
      <c r="A2857" s="28">
        <v>2856</v>
      </c>
      <c r="B2857" s="28" t="s">
        <v>1211</v>
      </c>
      <c r="C2857" s="28">
        <v>4165010759</v>
      </c>
      <c r="D2857" s="28" t="s">
        <v>3744</v>
      </c>
      <c r="E2857" s="28" t="s">
        <v>3746</v>
      </c>
      <c r="F2857" s="28" t="s">
        <v>11</v>
      </c>
      <c r="G2857" s="28"/>
    </row>
    <row r="2858" spans="1:7">
      <c r="A2858" s="28">
        <v>2857</v>
      </c>
      <c r="B2858" s="28" t="s">
        <v>1213</v>
      </c>
      <c r="C2858" s="28">
        <v>4165010760</v>
      </c>
      <c r="D2858" s="28" t="s">
        <v>3742</v>
      </c>
      <c r="E2858" s="28" t="s">
        <v>3743</v>
      </c>
      <c r="F2858" s="28" t="s">
        <v>11</v>
      </c>
      <c r="G2858" s="28"/>
    </row>
    <row r="2859" spans="1:7">
      <c r="A2859" s="28">
        <v>2858</v>
      </c>
      <c r="B2859" s="28" t="s">
        <v>1214</v>
      </c>
      <c r="C2859" s="28">
        <v>4165010762</v>
      </c>
      <c r="D2859" s="28" t="s">
        <v>3742</v>
      </c>
      <c r="E2859" s="28" t="s">
        <v>3743</v>
      </c>
      <c r="F2859" s="28" t="s">
        <v>11</v>
      </c>
      <c r="G2859" s="28"/>
    </row>
    <row r="2860" spans="1:7">
      <c r="A2860" s="28">
        <v>2859</v>
      </c>
      <c r="B2860" s="28" t="s">
        <v>1215</v>
      </c>
      <c r="C2860" s="28">
        <v>4165010763</v>
      </c>
      <c r="D2860" s="28" t="s">
        <v>3742</v>
      </c>
      <c r="E2860" s="28" t="s">
        <v>3747</v>
      </c>
      <c r="F2860" s="28" t="s">
        <v>11</v>
      </c>
      <c r="G2860" s="28"/>
    </row>
    <row r="2861" spans="1:7">
      <c r="A2861" s="28">
        <v>2860</v>
      </c>
      <c r="B2861" s="28" t="s">
        <v>1217</v>
      </c>
      <c r="C2861" s="28">
        <v>4165010764</v>
      </c>
      <c r="D2861" s="28" t="s">
        <v>3742</v>
      </c>
      <c r="E2861" s="28" t="s">
        <v>3748</v>
      </c>
      <c r="F2861" s="28" t="s">
        <v>11</v>
      </c>
      <c r="G2861" s="28"/>
    </row>
    <row r="2862" spans="1:7">
      <c r="A2862" s="28">
        <v>2861</v>
      </c>
      <c r="B2862" s="28" t="s">
        <v>1219</v>
      </c>
      <c r="C2862" s="28">
        <v>4165010766</v>
      </c>
      <c r="D2862" s="28" t="s">
        <v>3742</v>
      </c>
      <c r="E2862" s="28" t="s">
        <v>3743</v>
      </c>
      <c r="F2862" s="28" t="s">
        <v>11</v>
      </c>
      <c r="G2862" s="28"/>
    </row>
    <row r="2863" spans="1:7">
      <c r="A2863" s="28">
        <v>2862</v>
      </c>
      <c r="B2863" s="28" t="s">
        <v>1220</v>
      </c>
      <c r="C2863" s="28">
        <v>4165010768</v>
      </c>
      <c r="D2863" s="28" t="s">
        <v>3742</v>
      </c>
      <c r="E2863" s="28" t="s">
        <v>3743</v>
      </c>
      <c r="F2863" s="28" t="s">
        <v>11</v>
      </c>
      <c r="G2863" s="28"/>
    </row>
    <row r="2864" spans="1:7">
      <c r="A2864" s="28">
        <v>2863</v>
      </c>
      <c r="B2864" s="28" t="s">
        <v>1221</v>
      </c>
      <c r="C2864" s="28">
        <v>4165010994</v>
      </c>
      <c r="D2864" s="28" t="s">
        <v>3742</v>
      </c>
      <c r="E2864" s="28" t="s">
        <v>3743</v>
      </c>
      <c r="F2864" s="28" t="s">
        <v>11</v>
      </c>
      <c r="G2864" s="28"/>
    </row>
    <row r="2865" spans="1:7">
      <c r="A2865" s="28">
        <v>2864</v>
      </c>
      <c r="B2865" s="28" t="s">
        <v>1222</v>
      </c>
      <c r="C2865" s="28">
        <v>4165010997</v>
      </c>
      <c r="D2865" s="28" t="s">
        <v>3742</v>
      </c>
      <c r="E2865" s="28" t="s">
        <v>3749</v>
      </c>
      <c r="F2865" s="28" t="s">
        <v>11</v>
      </c>
      <c r="G2865" s="28"/>
    </row>
    <row r="2866" spans="1:7">
      <c r="A2866" s="28">
        <v>2865</v>
      </c>
      <c r="B2866" s="28" t="s">
        <v>1224</v>
      </c>
      <c r="C2866" s="28">
        <v>4165012734</v>
      </c>
      <c r="D2866" s="28" t="s">
        <v>3742</v>
      </c>
      <c r="E2866" s="28" t="s">
        <v>3743</v>
      </c>
      <c r="F2866" s="28" t="s">
        <v>11</v>
      </c>
      <c r="G2866" s="28"/>
    </row>
    <row r="2867" spans="1:7">
      <c r="A2867" s="28">
        <v>2866</v>
      </c>
      <c r="B2867" s="28" t="s">
        <v>1225</v>
      </c>
      <c r="C2867" s="28">
        <v>4165013558</v>
      </c>
      <c r="D2867" s="28" t="s">
        <v>3742</v>
      </c>
      <c r="E2867" s="28" t="s">
        <v>3750</v>
      </c>
      <c r="F2867" s="28" t="s">
        <v>11</v>
      </c>
      <c r="G2867" s="28"/>
    </row>
    <row r="2868" spans="1:7">
      <c r="A2868" s="28">
        <v>2867</v>
      </c>
      <c r="B2868" s="28" t="s">
        <v>1673</v>
      </c>
      <c r="C2868" s="28">
        <v>4165013559</v>
      </c>
      <c r="D2868" s="28" t="s">
        <v>3751</v>
      </c>
      <c r="E2868" s="28" t="s">
        <v>3743</v>
      </c>
      <c r="F2868" s="28" t="s">
        <v>11</v>
      </c>
      <c r="G2868" s="28" t="s">
        <v>1252</v>
      </c>
    </row>
    <row r="2869" spans="1:7">
      <c r="A2869" s="28">
        <v>2868</v>
      </c>
      <c r="B2869" s="28" t="s">
        <v>1227</v>
      </c>
      <c r="C2869" s="28">
        <v>4165013560</v>
      </c>
      <c r="D2869" s="28" t="s">
        <v>3742</v>
      </c>
      <c r="E2869" s="28" t="s">
        <v>3752</v>
      </c>
      <c r="F2869" s="28" t="s">
        <v>11</v>
      </c>
      <c r="G2869" s="28"/>
    </row>
    <row r="2870" spans="1:7">
      <c r="A2870" s="28">
        <v>2869</v>
      </c>
      <c r="B2870" s="28" t="s">
        <v>1229</v>
      </c>
      <c r="C2870" s="28">
        <v>4165013561</v>
      </c>
      <c r="D2870" s="28" t="s">
        <v>3742</v>
      </c>
      <c r="E2870" s="28" t="s">
        <v>3753</v>
      </c>
      <c r="F2870" s="28" t="s">
        <v>11</v>
      </c>
      <c r="G2870" s="28"/>
    </row>
    <row r="2871" spans="1:7">
      <c r="A2871" s="28">
        <v>2870</v>
      </c>
      <c r="B2871" s="28" t="s">
        <v>1231</v>
      </c>
      <c r="C2871" s="28">
        <v>4165013628</v>
      </c>
      <c r="D2871" s="28" t="s">
        <v>3744</v>
      </c>
      <c r="E2871" s="28" t="s">
        <v>3754</v>
      </c>
      <c r="F2871" s="28" t="s">
        <v>11</v>
      </c>
      <c r="G2871" s="28"/>
    </row>
    <row r="2872" spans="1:7">
      <c r="A2872" s="28">
        <v>2871</v>
      </c>
      <c r="B2872" s="28" t="s">
        <v>1674</v>
      </c>
      <c r="C2872" s="28">
        <v>4165013727</v>
      </c>
      <c r="D2872" s="28" t="s">
        <v>3751</v>
      </c>
      <c r="E2872" s="28" t="s">
        <v>3743</v>
      </c>
      <c r="F2872" s="28" t="s">
        <v>11</v>
      </c>
      <c r="G2872" s="28" t="s">
        <v>1252</v>
      </c>
    </row>
    <row r="2873" spans="1:7">
      <c r="A2873" s="28">
        <v>2872</v>
      </c>
      <c r="B2873" s="28" t="s">
        <v>1233</v>
      </c>
      <c r="C2873" s="28">
        <v>4165010765</v>
      </c>
      <c r="D2873" s="28" t="s">
        <v>3742</v>
      </c>
      <c r="E2873" s="28" t="s">
        <v>3755</v>
      </c>
      <c r="F2873" s="28" t="s">
        <v>11</v>
      </c>
      <c r="G2873" s="28"/>
    </row>
    <row r="2874" spans="1:7">
      <c r="A2874" s="28">
        <v>2873</v>
      </c>
      <c r="B2874" s="28" t="s">
        <v>1235</v>
      </c>
      <c r="C2874" s="28">
        <v>4165010995</v>
      </c>
      <c r="D2874" s="28" t="s">
        <v>3742</v>
      </c>
      <c r="E2874" s="28" t="s">
        <v>3749</v>
      </c>
      <c r="F2874" s="28" t="s">
        <v>11</v>
      </c>
      <c r="G2874" s="28"/>
    </row>
    <row r="2875" spans="1:7">
      <c r="A2875" s="28">
        <v>2874</v>
      </c>
      <c r="B2875" s="28" t="s">
        <v>1245</v>
      </c>
      <c r="C2875" s="28">
        <v>4165014897</v>
      </c>
      <c r="D2875" s="28" t="s">
        <v>3744</v>
      </c>
      <c r="E2875" s="28" t="s">
        <v>3755</v>
      </c>
      <c r="F2875" s="28" t="s">
        <v>11</v>
      </c>
      <c r="G2875" s="28"/>
    </row>
    <row r="2876" spans="1:7">
      <c r="A2876" s="28">
        <v>2875</v>
      </c>
      <c r="B2876" s="28" t="s">
        <v>1236</v>
      </c>
      <c r="C2876" s="28">
        <v>4165011565</v>
      </c>
      <c r="D2876" s="28" t="s">
        <v>3742</v>
      </c>
      <c r="E2876" s="28" t="s">
        <v>3743</v>
      </c>
      <c r="F2876" s="28" t="s">
        <v>11</v>
      </c>
      <c r="G2876" s="28"/>
    </row>
    <row r="2877" spans="1:7">
      <c r="A2877" s="28">
        <v>2876</v>
      </c>
      <c r="B2877" s="28" t="s">
        <v>1237</v>
      </c>
      <c r="C2877" s="28">
        <v>4165013926</v>
      </c>
      <c r="D2877" s="28" t="s">
        <v>3742</v>
      </c>
      <c r="E2877" s="28" t="s">
        <v>3743</v>
      </c>
      <c r="F2877" s="28" t="s">
        <v>11</v>
      </c>
      <c r="G2877" s="28"/>
    </row>
    <row r="2878" spans="1:7">
      <c r="A2878" s="28">
        <v>2877</v>
      </c>
      <c r="B2878" s="28" t="s">
        <v>1679</v>
      </c>
      <c r="C2878" s="28">
        <v>4165014946</v>
      </c>
      <c r="D2878" s="28" t="s">
        <v>3756</v>
      </c>
      <c r="E2878" s="28" t="s">
        <v>3745</v>
      </c>
      <c r="F2878" s="28" t="s">
        <v>11</v>
      </c>
      <c r="G2878" s="28" t="s">
        <v>1252</v>
      </c>
    </row>
    <row r="2879" spans="1:7">
      <c r="A2879" s="28">
        <v>2878</v>
      </c>
      <c r="B2879" s="28" t="s">
        <v>1250</v>
      </c>
      <c r="C2879" s="28">
        <v>4165014947</v>
      </c>
      <c r="D2879" s="28" t="s">
        <v>3744</v>
      </c>
      <c r="E2879" s="28" t="s">
        <v>3747</v>
      </c>
      <c r="F2879" s="28" t="s">
        <v>11</v>
      </c>
      <c r="G2879" s="28"/>
    </row>
    <row r="2880" spans="1:7">
      <c r="A2880" s="28">
        <v>2879</v>
      </c>
      <c r="B2880" s="28" t="s">
        <v>2766</v>
      </c>
      <c r="C2880" s="28">
        <v>4165012482</v>
      </c>
      <c r="D2880" s="28" t="s">
        <v>3742</v>
      </c>
      <c r="E2880" s="28" t="s">
        <v>3752</v>
      </c>
      <c r="F2880" s="28" t="s">
        <v>1700</v>
      </c>
      <c r="G2880" s="28"/>
    </row>
    <row r="2881" spans="1:7">
      <c r="A2881" s="28">
        <v>2880</v>
      </c>
      <c r="B2881" s="28" t="s">
        <v>2767</v>
      </c>
      <c r="C2881" s="28">
        <v>4165012513</v>
      </c>
      <c r="D2881" s="28" t="s">
        <v>3742</v>
      </c>
      <c r="E2881" s="28" t="s">
        <v>3743</v>
      </c>
      <c r="F2881" s="28" t="s">
        <v>1700</v>
      </c>
      <c r="G2881" s="28"/>
    </row>
    <row r="2882" spans="1:7">
      <c r="A2882" s="28">
        <v>2881</v>
      </c>
      <c r="B2882" s="28" t="s">
        <v>2768</v>
      </c>
      <c r="C2882" s="28">
        <v>4165012514</v>
      </c>
      <c r="D2882" s="28" t="s">
        <v>3742</v>
      </c>
      <c r="E2882" s="28" t="s">
        <v>3743</v>
      </c>
      <c r="F2882" s="28" t="s">
        <v>1700</v>
      </c>
      <c r="G2882" s="28"/>
    </row>
    <row r="2883" spans="1:7">
      <c r="A2883" s="28">
        <v>2882</v>
      </c>
      <c r="B2883" s="28" t="s">
        <v>3229</v>
      </c>
      <c r="C2883" s="28">
        <v>4165012570</v>
      </c>
      <c r="D2883" s="28" t="s">
        <v>3751</v>
      </c>
      <c r="E2883" s="28" t="s">
        <v>3743</v>
      </c>
      <c r="F2883" s="28" t="s">
        <v>1700</v>
      </c>
      <c r="G2883" s="28" t="s">
        <v>1252</v>
      </c>
    </row>
    <row r="2884" spans="1:7">
      <c r="A2884" s="28">
        <v>2883</v>
      </c>
      <c r="B2884" s="28" t="s">
        <v>2769</v>
      </c>
      <c r="C2884" s="28">
        <v>4165012838</v>
      </c>
      <c r="D2884" s="28" t="s">
        <v>3742</v>
      </c>
      <c r="E2884" s="28" t="s">
        <v>3749</v>
      </c>
      <c r="F2884" s="28" t="s">
        <v>1700</v>
      </c>
      <c r="G2884" s="28"/>
    </row>
    <row r="2885" spans="1:7">
      <c r="A2885" s="28">
        <v>2884</v>
      </c>
      <c r="B2885" s="28" t="s">
        <v>2770</v>
      </c>
      <c r="C2885" s="28">
        <v>4165012975</v>
      </c>
      <c r="D2885" s="28" t="s">
        <v>3742</v>
      </c>
      <c r="E2885" s="28" t="s">
        <v>3748</v>
      </c>
      <c r="F2885" s="28" t="s">
        <v>1700</v>
      </c>
      <c r="G2885" s="28"/>
    </row>
    <row r="2886" spans="1:7">
      <c r="A2886" s="28">
        <v>2885</v>
      </c>
      <c r="B2886" s="28" t="s">
        <v>2771</v>
      </c>
      <c r="C2886" s="28">
        <v>4165013093</v>
      </c>
      <c r="D2886" s="28" t="s">
        <v>3742</v>
      </c>
      <c r="E2886" s="28" t="s">
        <v>3750</v>
      </c>
      <c r="F2886" s="28" t="s">
        <v>1700</v>
      </c>
      <c r="G2886" s="28"/>
    </row>
    <row r="2887" spans="1:7">
      <c r="A2887" s="28">
        <v>2886</v>
      </c>
      <c r="B2887" s="28" t="s">
        <v>2772</v>
      </c>
      <c r="C2887" s="28">
        <v>4165013094</v>
      </c>
      <c r="D2887" s="28" t="s">
        <v>3742</v>
      </c>
      <c r="E2887" s="28" t="s">
        <v>3753</v>
      </c>
      <c r="F2887" s="28" t="s">
        <v>1700</v>
      </c>
      <c r="G2887" s="28"/>
    </row>
    <row r="2888" spans="1:7">
      <c r="A2888" s="28">
        <v>2887</v>
      </c>
      <c r="B2888" s="28" t="s">
        <v>2773</v>
      </c>
      <c r="C2888" s="28">
        <v>4165013562</v>
      </c>
      <c r="D2888" s="28" t="s">
        <v>3742</v>
      </c>
      <c r="E2888" s="28" t="s">
        <v>3743</v>
      </c>
      <c r="F2888" s="28" t="s">
        <v>1700</v>
      </c>
      <c r="G2888" s="28"/>
    </row>
    <row r="2889" spans="1:7">
      <c r="A2889" s="28">
        <v>2888</v>
      </c>
      <c r="B2889" s="28" t="s">
        <v>3230</v>
      </c>
      <c r="C2889" s="28">
        <v>4165013726</v>
      </c>
      <c r="D2889" s="28" t="s">
        <v>3751</v>
      </c>
      <c r="E2889" s="28" t="s">
        <v>3743</v>
      </c>
      <c r="F2889" s="28" t="s">
        <v>1700</v>
      </c>
      <c r="G2889" s="28" t="s">
        <v>1252</v>
      </c>
    </row>
    <row r="2890" spans="1:7">
      <c r="A2890" s="28">
        <v>2889</v>
      </c>
      <c r="B2890" s="28" t="s">
        <v>2774</v>
      </c>
      <c r="C2890" s="28">
        <v>4165013956</v>
      </c>
      <c r="D2890" s="28" t="s">
        <v>3744</v>
      </c>
      <c r="E2890" s="28" t="s">
        <v>3746</v>
      </c>
      <c r="F2890" s="28" t="s">
        <v>1700</v>
      </c>
      <c r="G2890" s="28"/>
    </row>
    <row r="2891" spans="1:7">
      <c r="A2891" s="28">
        <v>2890</v>
      </c>
      <c r="B2891" s="28" t="s">
        <v>2775</v>
      </c>
      <c r="C2891" s="28">
        <v>4165014138</v>
      </c>
      <c r="D2891" s="28" t="s">
        <v>3742</v>
      </c>
      <c r="E2891" s="28" t="s">
        <v>3743</v>
      </c>
      <c r="F2891" s="28" t="s">
        <v>1700</v>
      </c>
      <c r="G2891" s="28"/>
    </row>
    <row r="2892" spans="1:7">
      <c r="A2892" s="28">
        <v>2891</v>
      </c>
      <c r="B2892" s="28" t="s">
        <v>2776</v>
      </c>
      <c r="C2892" s="28">
        <v>4165014416</v>
      </c>
      <c r="D2892" s="28" t="s">
        <v>3742</v>
      </c>
      <c r="E2892" s="28" t="s">
        <v>3743</v>
      </c>
      <c r="F2892" s="28" t="s">
        <v>1700</v>
      </c>
      <c r="G2892" s="28"/>
    </row>
    <row r="2893" spans="1:7">
      <c r="A2893" s="28">
        <v>2892</v>
      </c>
      <c r="B2893" s="28" t="s">
        <v>2777</v>
      </c>
      <c r="C2893" s="28">
        <v>4165014417</v>
      </c>
      <c r="D2893" s="28" t="s">
        <v>3742</v>
      </c>
      <c r="E2893" s="28" t="s">
        <v>3748</v>
      </c>
      <c r="F2893" s="28" t="s">
        <v>1700</v>
      </c>
      <c r="G2893" s="28"/>
    </row>
    <row r="2894" spans="1:7">
      <c r="A2894" s="28">
        <v>2893</v>
      </c>
      <c r="B2894" s="28" t="s">
        <v>2778</v>
      </c>
      <c r="C2894" s="28">
        <v>4165014421</v>
      </c>
      <c r="D2894" s="28" t="s">
        <v>3742</v>
      </c>
      <c r="E2894" s="28" t="s">
        <v>3743</v>
      </c>
      <c r="F2894" s="28" t="s">
        <v>1700</v>
      </c>
      <c r="G2894" s="28"/>
    </row>
    <row r="2895" spans="1:7">
      <c r="A2895" s="28">
        <v>2894</v>
      </c>
      <c r="B2895" s="28" t="s">
        <v>2779</v>
      </c>
      <c r="C2895" s="28">
        <v>4165014489</v>
      </c>
      <c r="D2895" s="28" t="s">
        <v>3742</v>
      </c>
      <c r="E2895" s="28" t="s">
        <v>3743</v>
      </c>
      <c r="F2895" s="28" t="s">
        <v>1700</v>
      </c>
      <c r="G2895" s="28"/>
    </row>
    <row r="2896" spans="1:7">
      <c r="A2896" s="28">
        <v>2895</v>
      </c>
      <c r="B2896" s="28" t="s">
        <v>2780</v>
      </c>
      <c r="C2896" s="28">
        <v>4165014523</v>
      </c>
      <c r="D2896" s="28" t="s">
        <v>3744</v>
      </c>
      <c r="E2896" s="28" t="s">
        <v>3743</v>
      </c>
      <c r="F2896" s="28" t="s">
        <v>1700</v>
      </c>
      <c r="G2896" s="28"/>
    </row>
    <row r="2897" spans="1:7">
      <c r="A2897" s="28">
        <v>2896</v>
      </c>
      <c r="B2897" s="28" t="s">
        <v>2781</v>
      </c>
      <c r="C2897" s="28">
        <v>4165014524</v>
      </c>
      <c r="D2897" s="28" t="s">
        <v>3742</v>
      </c>
      <c r="E2897" s="28" t="s">
        <v>3757</v>
      </c>
      <c r="F2897" s="28" t="s">
        <v>1700</v>
      </c>
      <c r="G2897" s="28"/>
    </row>
    <row r="2898" spans="1:7">
      <c r="A2898" s="28">
        <v>2897</v>
      </c>
      <c r="B2898" s="28" t="s">
        <v>3231</v>
      </c>
      <c r="C2898" s="28">
        <v>4165014525</v>
      </c>
      <c r="D2898" s="28" t="s">
        <v>3751</v>
      </c>
      <c r="E2898" s="28" t="s">
        <v>3758</v>
      </c>
      <c r="F2898" s="28" t="s">
        <v>1700</v>
      </c>
      <c r="G2898" s="28" t="s">
        <v>1252</v>
      </c>
    </row>
    <row r="2899" spans="1:7">
      <c r="A2899" s="28">
        <v>2898</v>
      </c>
      <c r="B2899" s="28" t="s">
        <v>2783</v>
      </c>
      <c r="C2899" s="28">
        <v>4165014585</v>
      </c>
      <c r="D2899" s="28" t="s">
        <v>3742</v>
      </c>
      <c r="E2899" s="28" t="s">
        <v>3759</v>
      </c>
      <c r="F2899" s="28" t="s">
        <v>1700</v>
      </c>
      <c r="G2899" s="28"/>
    </row>
    <row r="2900" spans="1:7">
      <c r="A2900" s="28">
        <v>2899</v>
      </c>
      <c r="B2900" s="28" t="s">
        <v>2785</v>
      </c>
      <c r="C2900" s="28">
        <v>4165014622</v>
      </c>
      <c r="D2900" s="28" t="s">
        <v>3742</v>
      </c>
      <c r="E2900" s="28" t="s">
        <v>3760</v>
      </c>
      <c r="F2900" s="28" t="s">
        <v>1700</v>
      </c>
      <c r="G2900" s="28"/>
    </row>
    <row r="2901" spans="1:7">
      <c r="A2901" s="28">
        <v>2900</v>
      </c>
      <c r="B2901" s="28" t="s">
        <v>2787</v>
      </c>
      <c r="C2901" s="28">
        <v>4165014652</v>
      </c>
      <c r="D2901" s="28" t="s">
        <v>3742</v>
      </c>
      <c r="E2901" s="28" t="s">
        <v>3755</v>
      </c>
      <c r="F2901" s="28" t="s">
        <v>1700</v>
      </c>
      <c r="G2901" s="28"/>
    </row>
    <row r="2902" spans="1:7">
      <c r="A2902" s="28">
        <v>2901</v>
      </c>
      <c r="B2902" s="28" t="s">
        <v>2788</v>
      </c>
      <c r="C2902" s="28">
        <v>4165014661</v>
      </c>
      <c r="D2902" s="28" t="s">
        <v>3744</v>
      </c>
      <c r="E2902" s="28" t="s">
        <v>3746</v>
      </c>
      <c r="F2902" s="28" t="s">
        <v>1700</v>
      </c>
      <c r="G2902" s="28"/>
    </row>
    <row r="2903" spans="1:7">
      <c r="A2903" s="28">
        <v>2902</v>
      </c>
      <c r="B2903" s="28" t="s">
        <v>2789</v>
      </c>
      <c r="C2903" s="28">
        <v>4165014677</v>
      </c>
      <c r="D2903" s="28" t="s">
        <v>3742</v>
      </c>
      <c r="E2903" s="28" t="s">
        <v>3747</v>
      </c>
      <c r="F2903" s="28" t="s">
        <v>1700</v>
      </c>
      <c r="G2903" s="28"/>
    </row>
    <row r="2904" spans="1:7">
      <c r="A2904" s="28">
        <v>2903</v>
      </c>
      <c r="B2904" s="28" t="s">
        <v>2790</v>
      </c>
      <c r="C2904" s="28">
        <v>4165014678</v>
      </c>
      <c r="D2904" s="28" t="s">
        <v>3742</v>
      </c>
      <c r="E2904" s="28" t="s">
        <v>3761</v>
      </c>
      <c r="F2904" s="28" t="s">
        <v>1700</v>
      </c>
      <c r="G2904" s="28"/>
    </row>
    <row r="2905" spans="1:7">
      <c r="A2905" s="28">
        <v>2904</v>
      </c>
      <c r="B2905" s="28" t="s">
        <v>3233</v>
      </c>
      <c r="C2905" s="28">
        <v>4165014679</v>
      </c>
      <c r="D2905" s="28" t="s">
        <v>3751</v>
      </c>
      <c r="E2905" s="28" t="s">
        <v>3743</v>
      </c>
      <c r="F2905" s="28" t="s">
        <v>1700</v>
      </c>
      <c r="G2905" s="28" t="s">
        <v>1252</v>
      </c>
    </row>
    <row r="2906" spans="1:7">
      <c r="A2906" s="28">
        <v>2905</v>
      </c>
      <c r="B2906" s="28" t="s">
        <v>2792</v>
      </c>
      <c r="C2906" s="28">
        <v>4165014680</v>
      </c>
      <c r="D2906" s="28" t="s">
        <v>3742</v>
      </c>
      <c r="E2906" s="28" t="s">
        <v>3762</v>
      </c>
      <c r="F2906" s="28" t="s">
        <v>1700</v>
      </c>
      <c r="G2906" s="28"/>
    </row>
    <row r="2907" spans="1:7">
      <c r="A2907" s="28">
        <v>2906</v>
      </c>
      <c r="B2907" s="28" t="s">
        <v>2794</v>
      </c>
      <c r="C2907" s="28">
        <v>4165014740</v>
      </c>
      <c r="D2907" s="28" t="s">
        <v>3742</v>
      </c>
      <c r="E2907" s="28" t="s">
        <v>3763</v>
      </c>
      <c r="F2907" s="28" t="s">
        <v>1700</v>
      </c>
      <c r="G2907" s="28"/>
    </row>
    <row r="2908" spans="1:7">
      <c r="A2908" s="28">
        <v>2907</v>
      </c>
      <c r="B2908" s="28" t="s">
        <v>2796</v>
      </c>
      <c r="C2908" s="28">
        <v>4165014741</v>
      </c>
      <c r="D2908" s="28" t="s">
        <v>3744</v>
      </c>
      <c r="E2908" s="28" t="s">
        <v>3745</v>
      </c>
      <c r="F2908" s="28" t="s">
        <v>1700</v>
      </c>
      <c r="G2908" s="28"/>
    </row>
    <row r="2909" spans="1:7">
      <c r="A2909" s="28">
        <v>2908</v>
      </c>
      <c r="B2909" s="28" t="s">
        <v>2797</v>
      </c>
      <c r="C2909" s="28">
        <v>4265051060</v>
      </c>
      <c r="D2909" s="28" t="s">
        <v>3742</v>
      </c>
      <c r="E2909" s="28" t="s">
        <v>3743</v>
      </c>
      <c r="F2909" s="28" t="s">
        <v>1700</v>
      </c>
      <c r="G2909" s="28"/>
    </row>
    <row r="2910" spans="1:7">
      <c r="A2910" s="28">
        <v>2909</v>
      </c>
      <c r="B2910" s="28" t="s">
        <v>2798</v>
      </c>
      <c r="C2910" s="28">
        <v>4165014660</v>
      </c>
      <c r="D2910" s="28" t="s">
        <v>3744</v>
      </c>
      <c r="E2910" s="28" t="s">
        <v>3764</v>
      </c>
      <c r="F2910" s="28" t="s">
        <v>1700</v>
      </c>
      <c r="G2910" s="28"/>
    </row>
    <row r="2911" spans="1:7">
      <c r="A2911" s="28">
        <v>2910</v>
      </c>
      <c r="B2911" s="28" t="s">
        <v>2825</v>
      </c>
      <c r="C2911" s="28">
        <v>4165014805</v>
      </c>
      <c r="D2911" s="28" t="s">
        <v>3742</v>
      </c>
      <c r="E2911" s="28" t="s">
        <v>3743</v>
      </c>
      <c r="F2911" s="28" t="s">
        <v>1700</v>
      </c>
      <c r="G2911" s="28"/>
    </row>
    <row r="2912" spans="1:7">
      <c r="A2912" s="28">
        <v>2911</v>
      </c>
      <c r="B2912" s="28" t="s">
        <v>2826</v>
      </c>
      <c r="C2912" s="28">
        <v>4165014806</v>
      </c>
      <c r="D2912" s="28" t="s">
        <v>3742</v>
      </c>
      <c r="E2912" s="28" t="s">
        <v>3750</v>
      </c>
      <c r="F2912" s="28" t="s">
        <v>1700</v>
      </c>
      <c r="G2912" s="28"/>
    </row>
    <row r="2913" spans="1:7">
      <c r="A2913" s="28">
        <v>2912</v>
      </c>
      <c r="B2913" s="28" t="s">
        <v>2834</v>
      </c>
      <c r="C2913" s="28">
        <v>4165014824</v>
      </c>
      <c r="D2913" s="28" t="s">
        <v>3742</v>
      </c>
      <c r="E2913" s="28" t="s">
        <v>3747</v>
      </c>
      <c r="F2913" s="28" t="s">
        <v>1700</v>
      </c>
      <c r="G2913" s="28"/>
    </row>
    <row r="2914" spans="1:7">
      <c r="A2914" s="28">
        <v>2913</v>
      </c>
      <c r="B2914" s="28" t="s">
        <v>2835</v>
      </c>
      <c r="C2914" s="28">
        <v>4165014825</v>
      </c>
      <c r="D2914" s="28" t="s">
        <v>3744</v>
      </c>
      <c r="E2914" s="28" t="s">
        <v>3754</v>
      </c>
      <c r="F2914" s="28" t="s">
        <v>1700</v>
      </c>
      <c r="G2914" s="28"/>
    </row>
    <row r="2915" spans="1:7">
      <c r="A2915" s="28">
        <v>2914</v>
      </c>
      <c r="B2915" s="28" t="s">
        <v>2836</v>
      </c>
      <c r="C2915" s="28">
        <v>4165014826</v>
      </c>
      <c r="D2915" s="28" t="s">
        <v>3744</v>
      </c>
      <c r="E2915" s="28" t="s">
        <v>3765</v>
      </c>
      <c r="F2915" s="28" t="s">
        <v>1700</v>
      </c>
      <c r="G2915" s="28"/>
    </row>
    <row r="2916" spans="1:7">
      <c r="A2916" s="28">
        <v>2915</v>
      </c>
      <c r="B2916" s="28" t="s">
        <v>2838</v>
      </c>
      <c r="C2916" s="28">
        <v>4165014827</v>
      </c>
      <c r="D2916" s="28" t="s">
        <v>3744</v>
      </c>
      <c r="E2916" s="28" t="s">
        <v>3766</v>
      </c>
      <c r="F2916" s="28" t="s">
        <v>1700</v>
      </c>
      <c r="G2916" s="28"/>
    </row>
    <row r="2917" spans="1:7">
      <c r="A2917" s="28">
        <v>2916</v>
      </c>
      <c r="B2917" s="28" t="s">
        <v>2840</v>
      </c>
      <c r="C2917" s="28">
        <v>4165014828</v>
      </c>
      <c r="D2917" s="28" t="s">
        <v>3744</v>
      </c>
      <c r="E2917" s="28" t="s">
        <v>3767</v>
      </c>
      <c r="F2917" s="28" t="s">
        <v>1700</v>
      </c>
      <c r="G2917" s="28"/>
    </row>
    <row r="2918" spans="1:7">
      <c r="A2918" s="28">
        <v>2917</v>
      </c>
      <c r="B2918" s="28" t="s">
        <v>2765</v>
      </c>
      <c r="C2918" s="28">
        <v>4165014876</v>
      </c>
      <c r="D2918" s="28" t="s">
        <v>3742</v>
      </c>
      <c r="E2918" s="28" t="s">
        <v>3743</v>
      </c>
      <c r="F2918" s="28" t="s">
        <v>1700</v>
      </c>
      <c r="G2918" s="28"/>
    </row>
    <row r="2919" spans="1:7">
      <c r="A2919" s="28">
        <v>2918</v>
      </c>
      <c r="B2919" s="28" t="s">
        <v>2870</v>
      </c>
      <c r="C2919" s="28">
        <v>4165014877</v>
      </c>
      <c r="D2919" s="28" t="s">
        <v>3744</v>
      </c>
      <c r="E2919" s="28" t="s">
        <v>3768</v>
      </c>
      <c r="F2919" s="28" t="s">
        <v>1700</v>
      </c>
      <c r="G2919" s="28"/>
    </row>
    <row r="2920" spans="1:7">
      <c r="A2920" s="28">
        <v>2919</v>
      </c>
      <c r="B2920" s="28" t="s">
        <v>2887</v>
      </c>
      <c r="C2920" s="28">
        <v>4165014941</v>
      </c>
      <c r="D2920" s="28" t="s">
        <v>3742</v>
      </c>
      <c r="E2920" s="28" t="s">
        <v>3749</v>
      </c>
      <c r="F2920" s="28" t="s">
        <v>1700</v>
      </c>
      <c r="G2920" s="28"/>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21"/>
  <sheetViews>
    <sheetView topLeftCell="A2894" workbookViewId="0">
      <selection activeCell="L14" sqref="L14"/>
    </sheetView>
  </sheetViews>
  <sheetFormatPr defaultColWidth="9" defaultRowHeight="13.5"/>
  <cols>
    <col min="1" max="1" width="7" customWidth="1"/>
    <col min="2" max="2" width="26" style="26" customWidth="1"/>
    <col min="3" max="3" width="16.5" customWidth="1"/>
    <col min="4" max="4" width="13" customWidth="1"/>
    <col min="5" max="5" width="14.625" customWidth="1"/>
    <col min="6" max="7" width="6" customWidth="1"/>
    <col min="8" max="8" width="8.5" customWidth="1"/>
    <col min="9" max="10" width="6.625" customWidth="1"/>
    <col min="11" max="11" width="6.125" customWidth="1"/>
  </cols>
  <sheetData>
    <row r="1" ht="18.6" customHeight="1" spans="1:11">
      <c r="A1" s="2" t="s">
        <v>0</v>
      </c>
      <c r="B1" s="2" t="s">
        <v>1</v>
      </c>
      <c r="C1" s="2" t="s">
        <v>2</v>
      </c>
      <c r="D1" s="2" t="s">
        <v>3</v>
      </c>
      <c r="E1" s="2" t="s">
        <v>4</v>
      </c>
      <c r="F1" s="2">
        <v>985</v>
      </c>
      <c r="G1" s="2">
        <v>211</v>
      </c>
      <c r="H1" s="2" t="s">
        <v>5</v>
      </c>
      <c r="I1" s="2" t="s">
        <v>6</v>
      </c>
      <c r="J1" s="2" t="s">
        <v>7</v>
      </c>
      <c r="K1" s="2" t="s">
        <v>8</v>
      </c>
    </row>
    <row r="2" ht="18.6" customHeight="1" spans="1:11">
      <c r="A2" s="3">
        <v>1</v>
      </c>
      <c r="B2" s="3" t="s">
        <v>9</v>
      </c>
      <c r="C2" s="3" t="s">
        <v>3309</v>
      </c>
      <c r="D2" s="3" t="s">
        <v>10</v>
      </c>
      <c r="E2" s="3" t="s">
        <v>10</v>
      </c>
      <c r="F2" s="3">
        <v>985</v>
      </c>
      <c r="G2" s="3">
        <v>211</v>
      </c>
      <c r="H2" s="3" t="s">
        <v>5</v>
      </c>
      <c r="I2" s="3" t="s">
        <v>3769</v>
      </c>
      <c r="J2" s="3" t="s">
        <v>11</v>
      </c>
      <c r="K2" s="27" t="s">
        <v>12</v>
      </c>
    </row>
    <row r="3" ht="18.6" customHeight="1" spans="1:11">
      <c r="A3" s="3">
        <v>2</v>
      </c>
      <c r="B3" s="3" t="s">
        <v>13</v>
      </c>
      <c r="C3" s="3" t="s">
        <v>3309</v>
      </c>
      <c r="D3" s="3" t="s">
        <v>10</v>
      </c>
      <c r="E3" s="3" t="s">
        <v>10</v>
      </c>
      <c r="F3" s="3">
        <v>985</v>
      </c>
      <c r="G3" s="3">
        <v>211</v>
      </c>
      <c r="H3" s="3" t="s">
        <v>5</v>
      </c>
      <c r="I3" s="3" t="s">
        <v>3769</v>
      </c>
      <c r="J3" s="3" t="s">
        <v>11</v>
      </c>
      <c r="K3" s="27" t="s">
        <v>12</v>
      </c>
    </row>
    <row r="4" ht="18.6" customHeight="1" spans="1:11">
      <c r="A4" s="3">
        <v>3</v>
      </c>
      <c r="B4" s="3" t="s">
        <v>14</v>
      </c>
      <c r="C4" s="3" t="s">
        <v>3309</v>
      </c>
      <c r="D4" s="3" t="s">
        <v>10</v>
      </c>
      <c r="E4" s="3" t="s">
        <v>10</v>
      </c>
      <c r="F4" s="3">
        <v>985</v>
      </c>
      <c r="G4" s="3">
        <v>211</v>
      </c>
      <c r="H4" s="3" t="s">
        <v>5</v>
      </c>
      <c r="I4" s="3" t="s">
        <v>3769</v>
      </c>
      <c r="J4" s="3" t="s">
        <v>11</v>
      </c>
      <c r="K4" s="27" t="s">
        <v>12</v>
      </c>
    </row>
    <row r="5" ht="18.6" customHeight="1" spans="1:11">
      <c r="A5" s="3">
        <v>4</v>
      </c>
      <c r="B5" s="3" t="s">
        <v>15</v>
      </c>
      <c r="C5" s="3" t="s">
        <v>3309</v>
      </c>
      <c r="D5" s="3" t="s">
        <v>10</v>
      </c>
      <c r="E5" s="3" t="s">
        <v>10</v>
      </c>
      <c r="F5" s="3"/>
      <c r="G5" s="3">
        <v>211</v>
      </c>
      <c r="H5" s="3" t="s">
        <v>5</v>
      </c>
      <c r="I5" s="3" t="s">
        <v>3770</v>
      </c>
      <c r="J5" s="3" t="s">
        <v>11</v>
      </c>
      <c r="K5" s="27" t="s">
        <v>12</v>
      </c>
    </row>
    <row r="6" ht="18.6" customHeight="1" spans="1:11">
      <c r="A6" s="3">
        <v>5</v>
      </c>
      <c r="B6" s="3" t="s">
        <v>16</v>
      </c>
      <c r="C6" s="3" t="s">
        <v>3310</v>
      </c>
      <c r="D6" s="3" t="s">
        <v>10</v>
      </c>
      <c r="E6" s="3" t="s">
        <v>10</v>
      </c>
      <c r="F6" s="3"/>
      <c r="G6" s="3">
        <v>211</v>
      </c>
      <c r="H6" s="3" t="s">
        <v>5</v>
      </c>
      <c r="I6" s="3" t="s">
        <v>3770</v>
      </c>
      <c r="J6" s="3" t="s">
        <v>11</v>
      </c>
      <c r="K6" s="27" t="s">
        <v>12</v>
      </c>
    </row>
    <row r="7" ht="18.6" customHeight="1" spans="1:11">
      <c r="A7" s="3">
        <v>6</v>
      </c>
      <c r="B7" s="3" t="s">
        <v>17</v>
      </c>
      <c r="C7" s="3" t="s">
        <v>3311</v>
      </c>
      <c r="D7" s="3" t="s">
        <v>10</v>
      </c>
      <c r="E7" s="3" t="s">
        <v>10</v>
      </c>
      <c r="F7" s="3">
        <v>985</v>
      </c>
      <c r="G7" s="3">
        <v>211</v>
      </c>
      <c r="H7" s="3" t="s">
        <v>5</v>
      </c>
      <c r="I7" s="3" t="s">
        <v>3770</v>
      </c>
      <c r="J7" s="3" t="s">
        <v>11</v>
      </c>
      <c r="K7" s="27" t="s">
        <v>12</v>
      </c>
    </row>
    <row r="8" ht="18.6" customHeight="1" spans="1:11">
      <c r="A8" s="3">
        <v>7</v>
      </c>
      <c r="B8" s="3" t="s">
        <v>18</v>
      </c>
      <c r="C8" s="3" t="s">
        <v>3311</v>
      </c>
      <c r="D8" s="3" t="s">
        <v>10</v>
      </c>
      <c r="E8" s="3" t="s">
        <v>10</v>
      </c>
      <c r="F8" s="3">
        <v>985</v>
      </c>
      <c r="G8" s="3">
        <v>211</v>
      </c>
      <c r="H8" s="3" t="s">
        <v>5</v>
      </c>
      <c r="I8" s="3" t="s">
        <v>3770</v>
      </c>
      <c r="J8" s="3" t="s">
        <v>11</v>
      </c>
      <c r="K8" s="27" t="s">
        <v>12</v>
      </c>
    </row>
    <row r="9" ht="18.6" customHeight="1" spans="1:11">
      <c r="A9" s="3">
        <v>8</v>
      </c>
      <c r="B9" s="3" t="s">
        <v>19</v>
      </c>
      <c r="C9" s="3" t="s">
        <v>3309</v>
      </c>
      <c r="D9" s="3" t="s">
        <v>10</v>
      </c>
      <c r="E9" s="3" t="s">
        <v>10</v>
      </c>
      <c r="F9" s="3"/>
      <c r="G9" s="3">
        <v>211</v>
      </c>
      <c r="H9" s="3" t="s">
        <v>5</v>
      </c>
      <c r="I9" s="3" t="s">
        <v>3770</v>
      </c>
      <c r="J9" s="3" t="s">
        <v>11</v>
      </c>
      <c r="K9" s="27" t="s">
        <v>12</v>
      </c>
    </row>
    <row r="10" ht="18.6" customHeight="1" spans="1:11">
      <c r="A10" s="3">
        <v>9</v>
      </c>
      <c r="B10" s="3" t="s">
        <v>20</v>
      </c>
      <c r="C10" s="3" t="s">
        <v>3310</v>
      </c>
      <c r="D10" s="3" t="s">
        <v>10</v>
      </c>
      <c r="E10" s="3" t="s">
        <v>10</v>
      </c>
      <c r="F10" s="3"/>
      <c r="G10" s="3"/>
      <c r="H10" s="3"/>
      <c r="I10" s="3" t="s">
        <v>3770</v>
      </c>
      <c r="J10" s="3" t="s">
        <v>11</v>
      </c>
      <c r="K10" s="27" t="s">
        <v>12</v>
      </c>
    </row>
    <row r="11" ht="18.6" customHeight="1" spans="1:11">
      <c r="A11" s="3">
        <v>10</v>
      </c>
      <c r="B11" s="3" t="s">
        <v>21</v>
      </c>
      <c r="C11" s="3" t="s">
        <v>3309</v>
      </c>
      <c r="D11" s="3" t="s">
        <v>10</v>
      </c>
      <c r="E11" s="3" t="s">
        <v>10</v>
      </c>
      <c r="F11" s="3"/>
      <c r="G11" s="3">
        <v>211</v>
      </c>
      <c r="H11" s="3" t="s">
        <v>5</v>
      </c>
      <c r="I11" s="3" t="s">
        <v>3770</v>
      </c>
      <c r="J11" s="3" t="s">
        <v>11</v>
      </c>
      <c r="K11" s="27" t="s">
        <v>12</v>
      </c>
    </row>
    <row r="12" ht="18.6" customHeight="1" spans="1:11">
      <c r="A12" s="3">
        <v>11</v>
      </c>
      <c r="B12" s="3" t="s">
        <v>22</v>
      </c>
      <c r="C12" s="3" t="s">
        <v>3310</v>
      </c>
      <c r="D12" s="3" t="s">
        <v>10</v>
      </c>
      <c r="E12" s="3" t="s">
        <v>10</v>
      </c>
      <c r="F12" s="3"/>
      <c r="G12" s="3"/>
      <c r="H12" s="3"/>
      <c r="I12" s="3" t="s">
        <v>3771</v>
      </c>
      <c r="J12" s="3" t="s">
        <v>11</v>
      </c>
      <c r="K12" s="27" t="s">
        <v>12</v>
      </c>
    </row>
    <row r="13" ht="18.6" customHeight="1" spans="1:11">
      <c r="A13" s="3">
        <v>12</v>
      </c>
      <c r="B13" s="3" t="s">
        <v>23</v>
      </c>
      <c r="C13" s="3" t="s">
        <v>3310</v>
      </c>
      <c r="D13" s="3" t="s">
        <v>10</v>
      </c>
      <c r="E13" s="3" t="s">
        <v>10</v>
      </c>
      <c r="F13" s="3"/>
      <c r="G13" s="3"/>
      <c r="H13" s="3"/>
      <c r="I13" s="3" t="s">
        <v>3772</v>
      </c>
      <c r="J13" s="3" t="s">
        <v>11</v>
      </c>
      <c r="K13" s="27" t="s">
        <v>12</v>
      </c>
    </row>
    <row r="14" ht="18.6" customHeight="1" spans="1:11">
      <c r="A14" s="3">
        <v>13</v>
      </c>
      <c r="B14" s="3" t="s">
        <v>24</v>
      </c>
      <c r="C14" s="3" t="s">
        <v>3309</v>
      </c>
      <c r="D14" s="3" t="s">
        <v>10</v>
      </c>
      <c r="E14" s="3" t="s">
        <v>10</v>
      </c>
      <c r="F14" s="3"/>
      <c r="G14" s="3">
        <v>211</v>
      </c>
      <c r="H14" s="3" t="s">
        <v>5</v>
      </c>
      <c r="I14" s="3" t="s">
        <v>3770</v>
      </c>
      <c r="J14" s="3" t="s">
        <v>11</v>
      </c>
      <c r="K14" s="27" t="s">
        <v>12</v>
      </c>
    </row>
    <row r="15" ht="18.6" customHeight="1" spans="1:11">
      <c r="A15" s="3">
        <v>14</v>
      </c>
      <c r="B15" s="3" t="s">
        <v>25</v>
      </c>
      <c r="C15" s="3" t="s">
        <v>3310</v>
      </c>
      <c r="D15" s="3" t="s">
        <v>10</v>
      </c>
      <c r="E15" s="3" t="s">
        <v>10</v>
      </c>
      <c r="F15" s="3"/>
      <c r="G15" s="3"/>
      <c r="H15" s="3"/>
      <c r="I15" s="3" t="s">
        <v>3770</v>
      </c>
      <c r="J15" s="3" t="s">
        <v>11</v>
      </c>
      <c r="K15" s="27" t="s">
        <v>12</v>
      </c>
    </row>
    <row r="16" ht="18.6" customHeight="1" spans="1:11">
      <c r="A16" s="3">
        <v>15</v>
      </c>
      <c r="B16" s="3" t="s">
        <v>26</v>
      </c>
      <c r="C16" s="3" t="s">
        <v>3310</v>
      </c>
      <c r="D16" s="3" t="s">
        <v>10</v>
      </c>
      <c r="E16" s="3" t="s">
        <v>10</v>
      </c>
      <c r="F16" s="3"/>
      <c r="G16" s="3"/>
      <c r="H16" s="3"/>
      <c r="I16" s="3" t="s">
        <v>3770</v>
      </c>
      <c r="J16" s="3" t="s">
        <v>11</v>
      </c>
      <c r="K16" s="27" t="s">
        <v>12</v>
      </c>
    </row>
    <row r="17" ht="18.6" customHeight="1" spans="1:11">
      <c r="A17" s="3">
        <v>16</v>
      </c>
      <c r="B17" s="3" t="s">
        <v>27</v>
      </c>
      <c r="C17" s="3" t="s">
        <v>3310</v>
      </c>
      <c r="D17" s="3" t="s">
        <v>10</v>
      </c>
      <c r="E17" s="3" t="s">
        <v>10</v>
      </c>
      <c r="F17" s="3"/>
      <c r="G17" s="3"/>
      <c r="H17" s="3"/>
      <c r="I17" s="3"/>
      <c r="J17" s="3" t="s">
        <v>11</v>
      </c>
      <c r="K17" s="27" t="s">
        <v>12</v>
      </c>
    </row>
    <row r="18" ht="18.6" customHeight="1" spans="1:11">
      <c r="A18" s="3">
        <v>17</v>
      </c>
      <c r="B18" s="3" t="s">
        <v>28</v>
      </c>
      <c r="C18" s="3" t="s">
        <v>3312</v>
      </c>
      <c r="D18" s="3" t="s">
        <v>10</v>
      </c>
      <c r="E18" s="3" t="s">
        <v>10</v>
      </c>
      <c r="F18" s="3"/>
      <c r="G18" s="3"/>
      <c r="H18" s="3"/>
      <c r="I18" s="3" t="s">
        <v>3770</v>
      </c>
      <c r="J18" s="3" t="s">
        <v>11</v>
      </c>
      <c r="K18" s="27" t="s">
        <v>12</v>
      </c>
    </row>
    <row r="19" ht="18.6" customHeight="1" spans="1:11">
      <c r="A19" s="3">
        <v>18</v>
      </c>
      <c r="B19" s="3" t="s">
        <v>29</v>
      </c>
      <c r="C19" s="3" t="s">
        <v>3309</v>
      </c>
      <c r="D19" s="3" t="s">
        <v>10</v>
      </c>
      <c r="E19" s="3" t="s">
        <v>10</v>
      </c>
      <c r="F19" s="3">
        <v>985</v>
      </c>
      <c r="G19" s="3">
        <v>211</v>
      </c>
      <c r="H19" s="3" t="s">
        <v>5</v>
      </c>
      <c r="I19" s="3" t="s">
        <v>3773</v>
      </c>
      <c r="J19" s="3" t="s">
        <v>11</v>
      </c>
      <c r="K19" s="27" t="s">
        <v>12</v>
      </c>
    </row>
    <row r="20" ht="18.6" customHeight="1" spans="1:11">
      <c r="A20" s="3">
        <v>19</v>
      </c>
      <c r="B20" s="3" t="s">
        <v>30</v>
      </c>
      <c r="C20" s="3" t="s">
        <v>3310</v>
      </c>
      <c r="D20" s="3" t="s">
        <v>10</v>
      </c>
      <c r="E20" s="3" t="s">
        <v>10</v>
      </c>
      <c r="F20" s="3"/>
      <c r="G20" s="3"/>
      <c r="H20" s="3"/>
      <c r="I20" s="3"/>
      <c r="J20" s="3" t="s">
        <v>11</v>
      </c>
      <c r="K20" s="27" t="s">
        <v>12</v>
      </c>
    </row>
    <row r="21" ht="18.6" customHeight="1" spans="1:11">
      <c r="A21" s="3">
        <v>20</v>
      </c>
      <c r="B21" s="3" t="s">
        <v>31</v>
      </c>
      <c r="C21" s="3" t="s">
        <v>3309</v>
      </c>
      <c r="D21" s="3" t="s">
        <v>10</v>
      </c>
      <c r="E21" s="3" t="s">
        <v>10</v>
      </c>
      <c r="F21" s="3"/>
      <c r="G21" s="3">
        <v>211</v>
      </c>
      <c r="H21" s="3" t="s">
        <v>5</v>
      </c>
      <c r="I21" s="3" t="s">
        <v>3773</v>
      </c>
      <c r="J21" s="3" t="s">
        <v>11</v>
      </c>
      <c r="K21" s="27" t="s">
        <v>12</v>
      </c>
    </row>
    <row r="22" ht="18.6" customHeight="1" spans="1:11">
      <c r="A22" s="3">
        <v>21</v>
      </c>
      <c r="B22" s="3" t="s">
        <v>32</v>
      </c>
      <c r="C22" s="3" t="s">
        <v>3313</v>
      </c>
      <c r="D22" s="3" t="s">
        <v>10</v>
      </c>
      <c r="E22" s="3" t="s">
        <v>10</v>
      </c>
      <c r="F22" s="3"/>
      <c r="G22" s="3"/>
      <c r="H22" s="3" t="s">
        <v>3774</v>
      </c>
      <c r="I22" s="3" t="s">
        <v>3775</v>
      </c>
      <c r="J22" s="3" t="s">
        <v>11</v>
      </c>
      <c r="K22" s="27" t="s">
        <v>12</v>
      </c>
    </row>
    <row r="23" ht="18.6" customHeight="1" spans="1:11">
      <c r="A23" s="3">
        <v>22</v>
      </c>
      <c r="B23" s="3" t="s">
        <v>33</v>
      </c>
      <c r="C23" s="3" t="s">
        <v>3310</v>
      </c>
      <c r="D23" s="3" t="s">
        <v>10</v>
      </c>
      <c r="E23" s="3" t="s">
        <v>10</v>
      </c>
      <c r="F23" s="3"/>
      <c r="G23" s="3"/>
      <c r="H23" s="3"/>
      <c r="I23" s="3" t="s">
        <v>3775</v>
      </c>
      <c r="J23" s="3" t="s">
        <v>11</v>
      </c>
      <c r="K23" s="27" t="s">
        <v>12</v>
      </c>
    </row>
    <row r="24" ht="18.6" customHeight="1" spans="1:11">
      <c r="A24" s="3">
        <v>23</v>
      </c>
      <c r="B24" s="3" t="s">
        <v>34</v>
      </c>
      <c r="C24" s="3" t="s">
        <v>3309</v>
      </c>
      <c r="D24" s="3" t="s">
        <v>10</v>
      </c>
      <c r="E24" s="3" t="s">
        <v>10</v>
      </c>
      <c r="F24" s="3"/>
      <c r="G24" s="3">
        <v>211</v>
      </c>
      <c r="H24" s="3" t="s">
        <v>5</v>
      </c>
      <c r="I24" s="3" t="s">
        <v>3775</v>
      </c>
      <c r="J24" s="3" t="s">
        <v>11</v>
      </c>
      <c r="K24" s="27" t="s">
        <v>12</v>
      </c>
    </row>
    <row r="25" ht="18.6" customHeight="1" spans="1:11">
      <c r="A25" s="3">
        <v>24</v>
      </c>
      <c r="B25" s="3" t="s">
        <v>35</v>
      </c>
      <c r="C25" s="3" t="s">
        <v>3309</v>
      </c>
      <c r="D25" s="3" t="s">
        <v>10</v>
      </c>
      <c r="E25" s="3" t="s">
        <v>10</v>
      </c>
      <c r="F25" s="3">
        <v>985</v>
      </c>
      <c r="G25" s="3">
        <v>211</v>
      </c>
      <c r="H25" s="3" t="s">
        <v>5</v>
      </c>
      <c r="I25" s="3" t="s">
        <v>3776</v>
      </c>
      <c r="J25" s="3" t="s">
        <v>11</v>
      </c>
      <c r="K25" s="27" t="s">
        <v>12</v>
      </c>
    </row>
    <row r="26" ht="18.6" customHeight="1" spans="1:11">
      <c r="A26" s="3">
        <v>25</v>
      </c>
      <c r="B26" s="3" t="s">
        <v>36</v>
      </c>
      <c r="C26" s="3" t="s">
        <v>3310</v>
      </c>
      <c r="D26" s="3" t="s">
        <v>10</v>
      </c>
      <c r="E26" s="3" t="s">
        <v>10</v>
      </c>
      <c r="F26" s="3"/>
      <c r="G26" s="3"/>
      <c r="H26" s="3" t="s">
        <v>3774</v>
      </c>
      <c r="I26" s="3" t="s">
        <v>3776</v>
      </c>
      <c r="J26" s="3" t="s">
        <v>11</v>
      </c>
      <c r="K26" s="27" t="s">
        <v>12</v>
      </c>
    </row>
    <row r="27" ht="18.6" customHeight="1" spans="1:11">
      <c r="A27" s="3">
        <v>26</v>
      </c>
      <c r="B27" s="3" t="s">
        <v>37</v>
      </c>
      <c r="C27" s="3" t="s">
        <v>3310</v>
      </c>
      <c r="D27" s="3" t="s">
        <v>10</v>
      </c>
      <c r="E27" s="3" t="s">
        <v>10</v>
      </c>
      <c r="F27" s="3"/>
      <c r="G27" s="3"/>
      <c r="H27" s="3"/>
      <c r="I27" s="3" t="s">
        <v>3777</v>
      </c>
      <c r="J27" s="3" t="s">
        <v>11</v>
      </c>
      <c r="K27" s="27" t="s">
        <v>12</v>
      </c>
    </row>
    <row r="28" ht="18.6" customHeight="1" spans="1:11">
      <c r="A28" s="3">
        <v>27</v>
      </c>
      <c r="B28" s="3" t="s">
        <v>38</v>
      </c>
      <c r="C28" s="3" t="s">
        <v>3309</v>
      </c>
      <c r="D28" s="3" t="s">
        <v>10</v>
      </c>
      <c r="E28" s="3" t="s">
        <v>10</v>
      </c>
      <c r="F28" s="3"/>
      <c r="G28" s="3">
        <v>211</v>
      </c>
      <c r="H28" s="3" t="s">
        <v>5</v>
      </c>
      <c r="I28" s="3" t="s">
        <v>3778</v>
      </c>
      <c r="J28" s="3" t="s">
        <v>11</v>
      </c>
      <c r="K28" s="27" t="s">
        <v>12</v>
      </c>
    </row>
    <row r="29" ht="18.6" customHeight="1" spans="1:11">
      <c r="A29" s="3">
        <v>28</v>
      </c>
      <c r="B29" s="3" t="s">
        <v>39</v>
      </c>
      <c r="C29" s="3" t="s">
        <v>3310</v>
      </c>
      <c r="D29" s="3" t="s">
        <v>10</v>
      </c>
      <c r="E29" s="3" t="s">
        <v>10</v>
      </c>
      <c r="F29" s="3"/>
      <c r="G29" s="3"/>
      <c r="H29" s="3"/>
      <c r="I29" s="3" t="s">
        <v>3778</v>
      </c>
      <c r="J29" s="3" t="s">
        <v>11</v>
      </c>
      <c r="K29" s="27" t="s">
        <v>12</v>
      </c>
    </row>
    <row r="30" ht="18.6" customHeight="1" spans="1:11">
      <c r="A30" s="3">
        <v>29</v>
      </c>
      <c r="B30" s="3" t="s">
        <v>40</v>
      </c>
      <c r="C30" s="3" t="s">
        <v>3309</v>
      </c>
      <c r="D30" s="3" t="s">
        <v>10</v>
      </c>
      <c r="E30" s="3" t="s">
        <v>10</v>
      </c>
      <c r="F30" s="3"/>
      <c r="G30" s="3"/>
      <c r="H30" s="3"/>
      <c r="I30" s="3" t="s">
        <v>3778</v>
      </c>
      <c r="J30" s="3" t="s">
        <v>11</v>
      </c>
      <c r="K30" s="27" t="s">
        <v>12</v>
      </c>
    </row>
    <row r="31" ht="18.6" customHeight="1" spans="1:11">
      <c r="A31" s="3">
        <v>30</v>
      </c>
      <c r="B31" s="3" t="s">
        <v>41</v>
      </c>
      <c r="C31" s="3" t="s">
        <v>3309</v>
      </c>
      <c r="D31" s="3" t="s">
        <v>10</v>
      </c>
      <c r="E31" s="3" t="s">
        <v>10</v>
      </c>
      <c r="F31" s="3"/>
      <c r="G31" s="3">
        <v>211</v>
      </c>
      <c r="H31" s="3" t="s">
        <v>5</v>
      </c>
      <c r="I31" s="3" t="s">
        <v>3769</v>
      </c>
      <c r="J31" s="3" t="s">
        <v>11</v>
      </c>
      <c r="K31" s="27" t="s">
        <v>12</v>
      </c>
    </row>
    <row r="32" ht="18.6" customHeight="1" spans="1:11">
      <c r="A32" s="3">
        <v>31</v>
      </c>
      <c r="B32" s="3" t="s">
        <v>42</v>
      </c>
      <c r="C32" s="3" t="s">
        <v>3309</v>
      </c>
      <c r="D32" s="3" t="s">
        <v>10</v>
      </c>
      <c r="E32" s="3" t="s">
        <v>10</v>
      </c>
      <c r="F32" s="3"/>
      <c r="G32" s="3">
        <v>211</v>
      </c>
      <c r="H32" s="3" t="s">
        <v>5</v>
      </c>
      <c r="I32" s="3" t="s">
        <v>3771</v>
      </c>
      <c r="J32" s="3" t="s">
        <v>11</v>
      </c>
      <c r="K32" s="27" t="s">
        <v>12</v>
      </c>
    </row>
    <row r="33" ht="18.6" customHeight="1" spans="1:11">
      <c r="A33" s="3">
        <v>32</v>
      </c>
      <c r="B33" s="3" t="s">
        <v>43</v>
      </c>
      <c r="C33" s="3" t="s">
        <v>3309</v>
      </c>
      <c r="D33" s="3" t="s">
        <v>10</v>
      </c>
      <c r="E33" s="3" t="s">
        <v>10</v>
      </c>
      <c r="F33" s="3"/>
      <c r="G33" s="3">
        <v>211</v>
      </c>
      <c r="H33" s="3" t="s">
        <v>5</v>
      </c>
      <c r="I33" s="3" t="s">
        <v>3771</v>
      </c>
      <c r="J33" s="3" t="s">
        <v>11</v>
      </c>
      <c r="K33" s="27" t="s">
        <v>12</v>
      </c>
    </row>
    <row r="34" ht="18.6" customHeight="1" spans="1:11">
      <c r="A34" s="3">
        <v>33</v>
      </c>
      <c r="B34" s="3" t="s">
        <v>44</v>
      </c>
      <c r="C34" s="3" t="s">
        <v>3310</v>
      </c>
      <c r="D34" s="3" t="s">
        <v>10</v>
      </c>
      <c r="E34" s="3" t="s">
        <v>10</v>
      </c>
      <c r="F34" s="3"/>
      <c r="G34" s="3"/>
      <c r="H34" s="3"/>
      <c r="I34" s="3" t="s">
        <v>3771</v>
      </c>
      <c r="J34" s="3" t="s">
        <v>11</v>
      </c>
      <c r="K34" s="27" t="s">
        <v>12</v>
      </c>
    </row>
    <row r="35" ht="18.6" customHeight="1" spans="1:11">
      <c r="A35" s="3">
        <v>34</v>
      </c>
      <c r="B35" s="3" t="s">
        <v>45</v>
      </c>
      <c r="C35" s="3" t="s">
        <v>3310</v>
      </c>
      <c r="D35" s="3" t="s">
        <v>10</v>
      </c>
      <c r="E35" s="3" t="s">
        <v>10</v>
      </c>
      <c r="F35" s="3"/>
      <c r="G35" s="3"/>
      <c r="H35" s="3"/>
      <c r="I35" s="3" t="s">
        <v>3771</v>
      </c>
      <c r="J35" s="3" t="s">
        <v>11</v>
      </c>
      <c r="K35" s="27" t="s">
        <v>12</v>
      </c>
    </row>
    <row r="36" ht="18.6" customHeight="1" spans="1:11">
      <c r="A36" s="3">
        <v>35</v>
      </c>
      <c r="B36" s="3" t="s">
        <v>46</v>
      </c>
      <c r="C36" s="3" t="s">
        <v>3314</v>
      </c>
      <c r="D36" s="3" t="s">
        <v>10</v>
      </c>
      <c r="E36" s="3" t="s">
        <v>10</v>
      </c>
      <c r="F36" s="3"/>
      <c r="G36" s="3"/>
      <c r="H36" s="3"/>
      <c r="I36" s="3"/>
      <c r="J36" s="3" t="s">
        <v>11</v>
      </c>
      <c r="K36" s="27" t="s">
        <v>12</v>
      </c>
    </row>
    <row r="37" ht="18.6" customHeight="1" spans="1:11">
      <c r="A37" s="3">
        <v>36</v>
      </c>
      <c r="B37" s="3" t="s">
        <v>47</v>
      </c>
      <c r="C37" s="3" t="s">
        <v>3315</v>
      </c>
      <c r="D37" s="3" t="s">
        <v>10</v>
      </c>
      <c r="E37" s="3" t="s">
        <v>10</v>
      </c>
      <c r="F37" s="3"/>
      <c r="G37" s="3"/>
      <c r="H37" s="3" t="s">
        <v>3774</v>
      </c>
      <c r="I37" s="3" t="s">
        <v>3778</v>
      </c>
      <c r="J37" s="3" t="s">
        <v>11</v>
      </c>
      <c r="K37" s="27" t="s">
        <v>12</v>
      </c>
    </row>
    <row r="38" ht="18.6" customHeight="1" spans="1:11">
      <c r="A38" s="3">
        <v>37</v>
      </c>
      <c r="B38" s="3" t="s">
        <v>48</v>
      </c>
      <c r="C38" s="3" t="s">
        <v>3316</v>
      </c>
      <c r="D38" s="3" t="s">
        <v>10</v>
      </c>
      <c r="E38" s="3" t="s">
        <v>10</v>
      </c>
      <c r="F38" s="3"/>
      <c r="G38" s="3"/>
      <c r="H38" s="3" t="s">
        <v>3774</v>
      </c>
      <c r="I38" s="3" t="s">
        <v>3779</v>
      </c>
      <c r="J38" s="3" t="s">
        <v>11</v>
      </c>
      <c r="K38" s="27" t="s">
        <v>12</v>
      </c>
    </row>
    <row r="39" ht="18.6" customHeight="1" spans="1:11">
      <c r="A39" s="3">
        <v>38</v>
      </c>
      <c r="B39" s="3" t="s">
        <v>49</v>
      </c>
      <c r="C39" s="3" t="s">
        <v>3309</v>
      </c>
      <c r="D39" s="3" t="s">
        <v>10</v>
      </c>
      <c r="E39" s="3" t="s">
        <v>10</v>
      </c>
      <c r="F39" s="3"/>
      <c r="G39" s="3"/>
      <c r="H39" s="3"/>
      <c r="I39" s="3" t="s">
        <v>3779</v>
      </c>
      <c r="J39" s="3" t="s">
        <v>11</v>
      </c>
      <c r="K39" s="27" t="s">
        <v>12</v>
      </c>
    </row>
    <row r="40" ht="18.6" customHeight="1" spans="1:11">
      <c r="A40" s="3">
        <v>39</v>
      </c>
      <c r="B40" s="3" t="s">
        <v>50</v>
      </c>
      <c r="C40" s="3" t="s">
        <v>3317</v>
      </c>
      <c r="D40" s="3" t="s">
        <v>10</v>
      </c>
      <c r="E40" s="3" t="s">
        <v>10</v>
      </c>
      <c r="F40" s="3"/>
      <c r="G40" s="3">
        <v>211</v>
      </c>
      <c r="H40" s="3" t="s">
        <v>5</v>
      </c>
      <c r="I40" s="3" t="s">
        <v>3777</v>
      </c>
      <c r="J40" s="3" t="s">
        <v>11</v>
      </c>
      <c r="K40" s="27" t="s">
        <v>12</v>
      </c>
    </row>
    <row r="41" ht="18.6" customHeight="1" spans="1:11">
      <c r="A41" s="3">
        <v>40</v>
      </c>
      <c r="B41" s="3" t="s">
        <v>51</v>
      </c>
      <c r="C41" s="3" t="s">
        <v>3309</v>
      </c>
      <c r="D41" s="3" t="s">
        <v>10</v>
      </c>
      <c r="E41" s="3" t="s">
        <v>10</v>
      </c>
      <c r="F41" s="3"/>
      <c r="G41" s="3">
        <v>211</v>
      </c>
      <c r="H41" s="3" t="s">
        <v>5</v>
      </c>
      <c r="I41" s="3" t="s">
        <v>3772</v>
      </c>
      <c r="J41" s="3" t="s">
        <v>11</v>
      </c>
      <c r="K41" s="27" t="s">
        <v>12</v>
      </c>
    </row>
    <row r="42" ht="18.6" customHeight="1" spans="1:11">
      <c r="A42" s="3">
        <v>41</v>
      </c>
      <c r="B42" s="3" t="s">
        <v>52</v>
      </c>
      <c r="C42" s="3" t="s">
        <v>3310</v>
      </c>
      <c r="D42" s="3" t="s">
        <v>10</v>
      </c>
      <c r="E42" s="3" t="s">
        <v>10</v>
      </c>
      <c r="F42" s="3"/>
      <c r="G42" s="3"/>
      <c r="H42" s="3" t="s">
        <v>3774</v>
      </c>
      <c r="I42" s="3" t="s">
        <v>3772</v>
      </c>
      <c r="J42" s="3" t="s">
        <v>11</v>
      </c>
      <c r="K42" s="27" t="s">
        <v>12</v>
      </c>
    </row>
    <row r="43" ht="18.6" customHeight="1" spans="1:11">
      <c r="A43" s="3">
        <v>42</v>
      </c>
      <c r="B43" s="3" t="s">
        <v>53</v>
      </c>
      <c r="C43" s="3" t="s">
        <v>3309</v>
      </c>
      <c r="D43" s="3" t="s">
        <v>10</v>
      </c>
      <c r="E43" s="3" t="s">
        <v>10</v>
      </c>
      <c r="F43" s="3"/>
      <c r="G43" s="3"/>
      <c r="H43" s="3" t="s">
        <v>3774</v>
      </c>
      <c r="I43" s="3" t="s">
        <v>3772</v>
      </c>
      <c r="J43" s="3" t="s">
        <v>11</v>
      </c>
      <c r="K43" s="27" t="s">
        <v>12</v>
      </c>
    </row>
    <row r="44" ht="18.6" customHeight="1" spans="1:11">
      <c r="A44" s="3">
        <v>43</v>
      </c>
      <c r="B44" s="3" t="s">
        <v>54</v>
      </c>
      <c r="C44" s="3" t="s">
        <v>3309</v>
      </c>
      <c r="D44" s="3" t="s">
        <v>10</v>
      </c>
      <c r="E44" s="3" t="s">
        <v>10</v>
      </c>
      <c r="F44" s="3"/>
      <c r="G44" s="3"/>
      <c r="H44" s="3" t="s">
        <v>3774</v>
      </c>
      <c r="I44" s="3" t="s">
        <v>3772</v>
      </c>
      <c r="J44" s="3" t="s">
        <v>11</v>
      </c>
      <c r="K44" s="27" t="s">
        <v>12</v>
      </c>
    </row>
    <row r="45" ht="18.6" customHeight="1" spans="1:11">
      <c r="A45" s="3">
        <v>44</v>
      </c>
      <c r="B45" s="3" t="s">
        <v>55</v>
      </c>
      <c r="C45" s="3" t="s">
        <v>3310</v>
      </c>
      <c r="D45" s="3" t="s">
        <v>10</v>
      </c>
      <c r="E45" s="3" t="s">
        <v>10</v>
      </c>
      <c r="F45" s="3"/>
      <c r="G45" s="3"/>
      <c r="H45" s="3"/>
      <c r="I45" s="3" t="s">
        <v>3772</v>
      </c>
      <c r="J45" s="3" t="s">
        <v>11</v>
      </c>
      <c r="K45" s="27" t="s">
        <v>12</v>
      </c>
    </row>
    <row r="46" ht="18.6" customHeight="1" spans="1:11">
      <c r="A46" s="3">
        <v>45</v>
      </c>
      <c r="B46" s="3" t="s">
        <v>56</v>
      </c>
      <c r="C46" s="3" t="s">
        <v>3310</v>
      </c>
      <c r="D46" s="3" t="s">
        <v>10</v>
      </c>
      <c r="E46" s="3" t="s">
        <v>10</v>
      </c>
      <c r="F46" s="3"/>
      <c r="G46" s="3"/>
      <c r="H46" s="3"/>
      <c r="I46" s="3" t="s">
        <v>3772</v>
      </c>
      <c r="J46" s="3" t="s">
        <v>11</v>
      </c>
      <c r="K46" s="27" t="s">
        <v>12</v>
      </c>
    </row>
    <row r="47" ht="18.6" customHeight="1" spans="1:11">
      <c r="A47" s="3">
        <v>46</v>
      </c>
      <c r="B47" s="3" t="s">
        <v>57</v>
      </c>
      <c r="C47" s="3" t="s">
        <v>3310</v>
      </c>
      <c r="D47" s="3" t="s">
        <v>10</v>
      </c>
      <c r="E47" s="3" t="s">
        <v>10</v>
      </c>
      <c r="F47" s="3"/>
      <c r="G47" s="3"/>
      <c r="H47" s="3"/>
      <c r="I47" s="3"/>
      <c r="J47" s="3" t="s">
        <v>11</v>
      </c>
      <c r="K47" s="27" t="s">
        <v>12</v>
      </c>
    </row>
    <row r="48" ht="18.6" customHeight="1" spans="1:11">
      <c r="A48" s="3">
        <v>47</v>
      </c>
      <c r="B48" s="3" t="s">
        <v>58</v>
      </c>
      <c r="C48" s="3" t="s">
        <v>3318</v>
      </c>
      <c r="D48" s="3" t="s">
        <v>10</v>
      </c>
      <c r="E48" s="3" t="s">
        <v>10</v>
      </c>
      <c r="F48" s="3">
        <v>985</v>
      </c>
      <c r="G48" s="3">
        <v>211</v>
      </c>
      <c r="H48" s="3" t="s">
        <v>5</v>
      </c>
      <c r="I48" s="3" t="s">
        <v>3780</v>
      </c>
      <c r="J48" s="3" t="s">
        <v>11</v>
      </c>
      <c r="K48" s="27" t="s">
        <v>12</v>
      </c>
    </row>
    <row r="49" ht="18.6" customHeight="1" spans="1:11">
      <c r="A49" s="3">
        <v>48</v>
      </c>
      <c r="B49" s="3" t="s">
        <v>59</v>
      </c>
      <c r="C49" s="3" t="s">
        <v>3309</v>
      </c>
      <c r="D49" s="3" t="s">
        <v>10</v>
      </c>
      <c r="E49" s="3" t="s">
        <v>10</v>
      </c>
      <c r="F49" s="3"/>
      <c r="G49" s="3">
        <v>211</v>
      </c>
      <c r="H49" s="3" t="s">
        <v>5</v>
      </c>
      <c r="I49" s="3" t="s">
        <v>3779</v>
      </c>
      <c r="J49" s="3" t="s">
        <v>11</v>
      </c>
      <c r="K49" s="27" t="s">
        <v>12</v>
      </c>
    </row>
    <row r="50" ht="18.6" customHeight="1" spans="1:11">
      <c r="A50" s="3">
        <v>49</v>
      </c>
      <c r="B50" s="3" t="s">
        <v>60</v>
      </c>
      <c r="C50" s="3" t="s">
        <v>3309</v>
      </c>
      <c r="D50" s="3" t="s">
        <v>10</v>
      </c>
      <c r="E50" s="3" t="s">
        <v>10</v>
      </c>
      <c r="F50" s="3"/>
      <c r="G50" s="3">
        <v>211</v>
      </c>
      <c r="H50" s="3" t="s">
        <v>5</v>
      </c>
      <c r="I50" s="3" t="s">
        <v>3770</v>
      </c>
      <c r="J50" s="3" t="s">
        <v>11</v>
      </c>
      <c r="K50" s="27" t="s">
        <v>12</v>
      </c>
    </row>
    <row r="51" ht="18.6" customHeight="1" spans="1:11">
      <c r="A51" s="3">
        <v>50</v>
      </c>
      <c r="B51" s="3" t="s">
        <v>61</v>
      </c>
      <c r="C51" s="3" t="s">
        <v>3319</v>
      </c>
      <c r="D51" s="3" t="s">
        <v>10</v>
      </c>
      <c r="E51" s="3" t="s">
        <v>10</v>
      </c>
      <c r="F51" s="3"/>
      <c r="G51" s="3"/>
      <c r="H51" s="3"/>
      <c r="I51" s="3"/>
      <c r="J51" s="3" t="s">
        <v>11</v>
      </c>
      <c r="K51" s="27" t="s">
        <v>12</v>
      </c>
    </row>
    <row r="52" ht="18.6" customHeight="1" spans="1:11">
      <c r="A52" s="3">
        <v>51</v>
      </c>
      <c r="B52" s="3" t="s">
        <v>62</v>
      </c>
      <c r="C52" s="3" t="s">
        <v>3310</v>
      </c>
      <c r="D52" s="3" t="s">
        <v>10</v>
      </c>
      <c r="E52" s="3" t="s">
        <v>10</v>
      </c>
      <c r="F52" s="3"/>
      <c r="G52" s="3"/>
      <c r="H52" s="3"/>
      <c r="I52" s="3" t="s">
        <v>3770</v>
      </c>
      <c r="J52" s="3" t="s">
        <v>11</v>
      </c>
      <c r="K52" s="27" t="s">
        <v>12</v>
      </c>
    </row>
    <row r="53" ht="18.6" customHeight="1" spans="1:11">
      <c r="A53" s="3">
        <v>52</v>
      </c>
      <c r="B53" s="3" t="s">
        <v>63</v>
      </c>
      <c r="C53" s="3" t="s">
        <v>3309</v>
      </c>
      <c r="D53" s="3" t="s">
        <v>10</v>
      </c>
      <c r="E53" s="3" t="s">
        <v>10</v>
      </c>
      <c r="F53" s="3"/>
      <c r="G53" s="3">
        <v>211</v>
      </c>
      <c r="H53" s="3" t="s">
        <v>5</v>
      </c>
      <c r="I53" s="3" t="s">
        <v>3770</v>
      </c>
      <c r="J53" s="3" t="s">
        <v>11</v>
      </c>
      <c r="K53" s="27" t="s">
        <v>12</v>
      </c>
    </row>
    <row r="54" ht="18.6" customHeight="1" spans="1:11">
      <c r="A54" s="3">
        <v>53</v>
      </c>
      <c r="B54" s="3" t="s">
        <v>64</v>
      </c>
      <c r="C54" s="3" t="s">
        <v>3309</v>
      </c>
      <c r="D54" s="3" t="s">
        <v>10</v>
      </c>
      <c r="E54" s="3" t="s">
        <v>10</v>
      </c>
      <c r="F54" s="3"/>
      <c r="G54" s="3">
        <v>211</v>
      </c>
      <c r="H54" s="3" t="s">
        <v>5</v>
      </c>
      <c r="I54" s="3" t="s">
        <v>3770</v>
      </c>
      <c r="J54" s="3" t="s">
        <v>11</v>
      </c>
      <c r="K54" s="27" t="s">
        <v>12</v>
      </c>
    </row>
    <row r="55" ht="18.6" customHeight="1" spans="1:11">
      <c r="A55" s="3">
        <v>54</v>
      </c>
      <c r="B55" s="3" t="s">
        <v>65</v>
      </c>
      <c r="C55" s="3" t="s">
        <v>3309</v>
      </c>
      <c r="D55" s="3" t="s">
        <v>10</v>
      </c>
      <c r="E55" s="3" t="s">
        <v>10</v>
      </c>
      <c r="F55" s="3"/>
      <c r="G55" s="3">
        <v>211</v>
      </c>
      <c r="H55" s="3" t="s">
        <v>5</v>
      </c>
      <c r="I55" s="3" t="s">
        <v>3770</v>
      </c>
      <c r="J55" s="3" t="s">
        <v>11</v>
      </c>
      <c r="K55" s="27" t="s">
        <v>12</v>
      </c>
    </row>
    <row r="56" ht="18.6" customHeight="1" spans="1:11">
      <c r="A56" s="3">
        <v>55</v>
      </c>
      <c r="B56" s="3" t="s">
        <v>66</v>
      </c>
      <c r="C56" s="3" t="s">
        <v>3310</v>
      </c>
      <c r="D56" s="3" t="s">
        <v>10</v>
      </c>
      <c r="E56" s="3" t="s">
        <v>10</v>
      </c>
      <c r="F56" s="3"/>
      <c r="G56" s="3"/>
      <c r="H56" s="3"/>
      <c r="I56" s="3" t="s">
        <v>3769</v>
      </c>
      <c r="J56" s="3" t="s">
        <v>11</v>
      </c>
      <c r="K56" s="27" t="s">
        <v>12</v>
      </c>
    </row>
    <row r="57" ht="18.6" customHeight="1" spans="1:11">
      <c r="A57" s="3">
        <v>56</v>
      </c>
      <c r="B57" s="3" t="s">
        <v>67</v>
      </c>
      <c r="C57" s="3" t="s">
        <v>3321</v>
      </c>
      <c r="D57" s="3" t="s">
        <v>10</v>
      </c>
      <c r="E57" s="3" t="s">
        <v>10</v>
      </c>
      <c r="F57" s="3"/>
      <c r="G57" s="3"/>
      <c r="H57" s="3"/>
      <c r="I57" s="3"/>
      <c r="J57" s="3" t="s">
        <v>11</v>
      </c>
      <c r="K57" s="27" t="s">
        <v>12</v>
      </c>
    </row>
    <row r="58" ht="18.6" customHeight="1" spans="1:11">
      <c r="A58" s="3">
        <v>57</v>
      </c>
      <c r="B58" s="3" t="s">
        <v>68</v>
      </c>
      <c r="C58" s="3" t="s">
        <v>3310</v>
      </c>
      <c r="D58" s="3" t="s">
        <v>10</v>
      </c>
      <c r="E58" s="3" t="s">
        <v>10</v>
      </c>
      <c r="F58" s="3"/>
      <c r="G58" s="3"/>
      <c r="H58" s="3"/>
      <c r="I58" s="3"/>
      <c r="J58" s="3" t="s">
        <v>11</v>
      </c>
      <c r="K58" s="27" t="s">
        <v>12</v>
      </c>
    </row>
    <row r="59" ht="18.6" customHeight="1" spans="1:11">
      <c r="A59" s="3">
        <v>58</v>
      </c>
      <c r="B59" s="3" t="s">
        <v>69</v>
      </c>
      <c r="C59" s="3" t="s">
        <v>3322</v>
      </c>
      <c r="D59" s="3" t="s">
        <v>10</v>
      </c>
      <c r="E59" s="3" t="s">
        <v>10</v>
      </c>
      <c r="F59" s="3"/>
      <c r="G59" s="3"/>
      <c r="H59" s="3"/>
      <c r="I59" s="3"/>
      <c r="J59" s="3" t="s">
        <v>11</v>
      </c>
      <c r="K59" s="27" t="s">
        <v>12</v>
      </c>
    </row>
    <row r="60" ht="18.6" customHeight="1" spans="1:11">
      <c r="A60" s="3">
        <v>59</v>
      </c>
      <c r="B60" s="3" t="s">
        <v>70</v>
      </c>
      <c r="C60" s="3" t="s">
        <v>3310</v>
      </c>
      <c r="D60" s="3" t="s">
        <v>10</v>
      </c>
      <c r="E60" s="3" t="s">
        <v>10</v>
      </c>
      <c r="F60" s="3"/>
      <c r="G60" s="3"/>
      <c r="H60" s="3"/>
      <c r="I60" s="3"/>
      <c r="J60" s="3" t="s">
        <v>11</v>
      </c>
      <c r="K60" s="27" t="s">
        <v>12</v>
      </c>
    </row>
    <row r="61" ht="18.6" customHeight="1" spans="1:11">
      <c r="A61" s="3">
        <v>60</v>
      </c>
      <c r="B61" s="3" t="s">
        <v>71</v>
      </c>
      <c r="C61" s="3" t="s">
        <v>3323</v>
      </c>
      <c r="D61" s="3" t="s">
        <v>10</v>
      </c>
      <c r="E61" s="3" t="s">
        <v>10</v>
      </c>
      <c r="F61" s="3"/>
      <c r="G61" s="3"/>
      <c r="H61" s="3" t="s">
        <v>3774</v>
      </c>
      <c r="I61" s="3" t="s">
        <v>3770</v>
      </c>
      <c r="J61" s="3" t="s">
        <v>11</v>
      </c>
      <c r="K61" s="27" t="s">
        <v>12</v>
      </c>
    </row>
    <row r="62" ht="18.6" customHeight="1" spans="1:11">
      <c r="A62" s="3">
        <v>61</v>
      </c>
      <c r="B62" s="3" t="s">
        <v>72</v>
      </c>
      <c r="C62" s="3" t="s">
        <v>3324</v>
      </c>
      <c r="D62" s="3" t="s">
        <v>10</v>
      </c>
      <c r="E62" s="3" t="s">
        <v>10</v>
      </c>
      <c r="F62" s="3"/>
      <c r="G62" s="3"/>
      <c r="H62" s="3"/>
      <c r="I62" s="3" t="s">
        <v>3769</v>
      </c>
      <c r="J62" s="3" t="s">
        <v>11</v>
      </c>
      <c r="K62" s="27" t="s">
        <v>12</v>
      </c>
    </row>
    <row r="63" ht="18.6" customHeight="1" spans="1:11">
      <c r="A63" s="3">
        <v>62</v>
      </c>
      <c r="B63" s="3" t="s">
        <v>74</v>
      </c>
      <c r="C63" s="3" t="s">
        <v>3325</v>
      </c>
      <c r="D63" s="3" t="s">
        <v>10</v>
      </c>
      <c r="E63" s="3" t="s">
        <v>10</v>
      </c>
      <c r="F63" s="3"/>
      <c r="G63" s="3"/>
      <c r="H63" s="3"/>
      <c r="I63" s="3"/>
      <c r="J63" s="3" t="s">
        <v>11</v>
      </c>
      <c r="K63" s="27" t="s">
        <v>12</v>
      </c>
    </row>
    <row r="64" ht="18.6" customHeight="1" spans="1:11">
      <c r="A64" s="3">
        <v>63</v>
      </c>
      <c r="B64" s="3" t="s">
        <v>75</v>
      </c>
      <c r="C64" s="3" t="s">
        <v>3309</v>
      </c>
      <c r="D64" s="3" t="s">
        <v>76</v>
      </c>
      <c r="E64" s="3" t="s">
        <v>76</v>
      </c>
      <c r="F64" s="3">
        <v>985</v>
      </c>
      <c r="G64" s="3">
        <v>211</v>
      </c>
      <c r="H64" s="3" t="s">
        <v>5</v>
      </c>
      <c r="I64" s="3" t="s">
        <v>3769</v>
      </c>
      <c r="J64" s="3" t="s">
        <v>11</v>
      </c>
      <c r="K64" s="27" t="s">
        <v>12</v>
      </c>
    </row>
    <row r="65" ht="18.6" customHeight="1" spans="1:11">
      <c r="A65" s="3">
        <v>64</v>
      </c>
      <c r="B65" s="3" t="s">
        <v>77</v>
      </c>
      <c r="C65" s="3" t="s">
        <v>3309</v>
      </c>
      <c r="D65" s="3" t="s">
        <v>76</v>
      </c>
      <c r="E65" s="3" t="s">
        <v>76</v>
      </c>
      <c r="F65" s="3">
        <v>985</v>
      </c>
      <c r="G65" s="3">
        <v>211</v>
      </c>
      <c r="H65" s="3" t="s">
        <v>5</v>
      </c>
      <c r="I65" s="3" t="s">
        <v>3770</v>
      </c>
      <c r="J65" s="3" t="s">
        <v>11</v>
      </c>
      <c r="K65" s="27" t="s">
        <v>12</v>
      </c>
    </row>
    <row r="66" ht="18.6" customHeight="1" spans="1:11">
      <c r="A66" s="3">
        <v>65</v>
      </c>
      <c r="B66" s="3" t="s">
        <v>78</v>
      </c>
      <c r="C66" s="3" t="s">
        <v>3326</v>
      </c>
      <c r="D66" s="3" t="s">
        <v>76</v>
      </c>
      <c r="E66" s="3" t="s">
        <v>76</v>
      </c>
      <c r="F66" s="3"/>
      <c r="G66" s="3"/>
      <c r="H66" s="3"/>
      <c r="I66" s="3" t="s">
        <v>3770</v>
      </c>
      <c r="J66" s="3" t="s">
        <v>11</v>
      </c>
      <c r="K66" s="27" t="s">
        <v>12</v>
      </c>
    </row>
    <row r="67" ht="18.6" customHeight="1" spans="1:11">
      <c r="A67" s="3">
        <v>66</v>
      </c>
      <c r="B67" s="3" t="s">
        <v>79</v>
      </c>
      <c r="C67" s="3" t="s">
        <v>3326</v>
      </c>
      <c r="D67" s="3" t="s">
        <v>76</v>
      </c>
      <c r="E67" s="3" t="s">
        <v>76</v>
      </c>
      <c r="F67" s="3"/>
      <c r="G67" s="3"/>
      <c r="H67" s="3" t="s">
        <v>3774</v>
      </c>
      <c r="I67" s="3" t="s">
        <v>3770</v>
      </c>
      <c r="J67" s="3" t="s">
        <v>11</v>
      </c>
      <c r="K67" s="27" t="s">
        <v>12</v>
      </c>
    </row>
    <row r="68" ht="18.6" customHeight="1" spans="1:11">
      <c r="A68" s="3">
        <v>67</v>
      </c>
      <c r="B68" s="3" t="s">
        <v>80</v>
      </c>
      <c r="C68" s="3" t="s">
        <v>3327</v>
      </c>
      <c r="D68" s="3" t="s">
        <v>76</v>
      </c>
      <c r="E68" s="3" t="s">
        <v>76</v>
      </c>
      <c r="F68" s="3"/>
      <c r="G68" s="3"/>
      <c r="H68" s="3"/>
      <c r="I68" s="3" t="s">
        <v>3770</v>
      </c>
      <c r="J68" s="3" t="s">
        <v>11</v>
      </c>
      <c r="K68" s="27" t="s">
        <v>12</v>
      </c>
    </row>
    <row r="69" ht="18.6" customHeight="1" spans="1:11">
      <c r="A69" s="3">
        <v>68</v>
      </c>
      <c r="B69" s="3" t="s">
        <v>81</v>
      </c>
      <c r="C69" s="3" t="s">
        <v>3326</v>
      </c>
      <c r="D69" s="3" t="s">
        <v>76</v>
      </c>
      <c r="E69" s="3" t="s">
        <v>76</v>
      </c>
      <c r="F69" s="3"/>
      <c r="G69" s="3"/>
      <c r="H69" s="3"/>
      <c r="I69" s="3" t="s">
        <v>3770</v>
      </c>
      <c r="J69" s="3" t="s">
        <v>11</v>
      </c>
      <c r="K69" s="27" t="s">
        <v>12</v>
      </c>
    </row>
    <row r="70" ht="18.6" customHeight="1" spans="1:11">
      <c r="A70" s="3">
        <v>69</v>
      </c>
      <c r="B70" s="3" t="s">
        <v>82</v>
      </c>
      <c r="C70" s="3" t="s">
        <v>3326</v>
      </c>
      <c r="D70" s="3" t="s">
        <v>76</v>
      </c>
      <c r="E70" s="3" t="s">
        <v>76</v>
      </c>
      <c r="F70" s="3"/>
      <c r="G70" s="3"/>
      <c r="H70" s="3"/>
      <c r="I70" s="3"/>
      <c r="J70" s="3" t="s">
        <v>11</v>
      </c>
      <c r="K70" s="27" t="s">
        <v>12</v>
      </c>
    </row>
    <row r="71" ht="18.6" customHeight="1" spans="1:11">
      <c r="A71" s="3">
        <v>70</v>
      </c>
      <c r="B71" s="3" t="s">
        <v>83</v>
      </c>
      <c r="C71" s="3" t="s">
        <v>3326</v>
      </c>
      <c r="D71" s="3" t="s">
        <v>76</v>
      </c>
      <c r="E71" s="3" t="s">
        <v>76</v>
      </c>
      <c r="F71" s="3"/>
      <c r="G71" s="3">
        <v>211</v>
      </c>
      <c r="H71" s="3" t="s">
        <v>5</v>
      </c>
      <c r="I71" s="3" t="s">
        <v>3775</v>
      </c>
      <c r="J71" s="3" t="s">
        <v>11</v>
      </c>
      <c r="K71" s="27" t="s">
        <v>12</v>
      </c>
    </row>
    <row r="72" ht="18.6" customHeight="1" spans="1:11">
      <c r="A72" s="3">
        <v>71</v>
      </c>
      <c r="B72" s="3" t="s">
        <v>84</v>
      </c>
      <c r="C72" s="3" t="s">
        <v>3326</v>
      </c>
      <c r="D72" s="3" t="s">
        <v>76</v>
      </c>
      <c r="E72" s="3" t="s">
        <v>76</v>
      </c>
      <c r="F72" s="3"/>
      <c r="G72" s="3"/>
      <c r="H72" s="3" t="s">
        <v>3774</v>
      </c>
      <c r="I72" s="3" t="s">
        <v>3775</v>
      </c>
      <c r="J72" s="3" t="s">
        <v>11</v>
      </c>
      <c r="K72" s="27" t="s">
        <v>12</v>
      </c>
    </row>
    <row r="73" ht="18.6" customHeight="1" spans="1:11">
      <c r="A73" s="3">
        <v>72</v>
      </c>
      <c r="B73" s="3" t="s">
        <v>85</v>
      </c>
      <c r="C73" s="3" t="s">
        <v>3326</v>
      </c>
      <c r="D73" s="3" t="s">
        <v>76</v>
      </c>
      <c r="E73" s="3" t="s">
        <v>76</v>
      </c>
      <c r="F73" s="3"/>
      <c r="G73" s="3"/>
      <c r="H73" s="3"/>
      <c r="I73" s="3" t="s">
        <v>3776</v>
      </c>
      <c r="J73" s="3" t="s">
        <v>11</v>
      </c>
      <c r="K73" s="27" t="s">
        <v>12</v>
      </c>
    </row>
    <row r="74" ht="18.6" customHeight="1" spans="1:11">
      <c r="A74" s="3">
        <v>73</v>
      </c>
      <c r="B74" s="3" t="s">
        <v>86</v>
      </c>
      <c r="C74" s="3" t="s">
        <v>3326</v>
      </c>
      <c r="D74" s="3" t="s">
        <v>76</v>
      </c>
      <c r="E74" s="3" t="s">
        <v>76</v>
      </c>
      <c r="F74" s="3"/>
      <c r="G74" s="3"/>
      <c r="H74" s="3"/>
      <c r="I74" s="3"/>
      <c r="J74" s="3" t="s">
        <v>11</v>
      </c>
      <c r="K74" s="27" t="s">
        <v>12</v>
      </c>
    </row>
    <row r="75" ht="18.6" customHeight="1" spans="1:11">
      <c r="A75" s="3">
        <v>74</v>
      </c>
      <c r="B75" s="3" t="s">
        <v>87</v>
      </c>
      <c r="C75" s="3" t="s">
        <v>3326</v>
      </c>
      <c r="D75" s="3" t="s">
        <v>76</v>
      </c>
      <c r="E75" s="3" t="s">
        <v>76</v>
      </c>
      <c r="F75" s="3"/>
      <c r="G75" s="3"/>
      <c r="H75" s="3"/>
      <c r="I75" s="3" t="s">
        <v>3778</v>
      </c>
      <c r="J75" s="3" t="s">
        <v>11</v>
      </c>
      <c r="K75" s="27" t="s">
        <v>12</v>
      </c>
    </row>
    <row r="76" ht="18.6" customHeight="1" spans="1:11">
      <c r="A76" s="3">
        <v>75</v>
      </c>
      <c r="B76" s="3" t="s">
        <v>88</v>
      </c>
      <c r="C76" s="3" t="s">
        <v>3326</v>
      </c>
      <c r="D76" s="3" t="s">
        <v>76</v>
      </c>
      <c r="E76" s="3" t="s">
        <v>76</v>
      </c>
      <c r="F76" s="3"/>
      <c r="G76" s="3"/>
      <c r="H76" s="3"/>
      <c r="I76" s="3"/>
      <c r="J76" s="3" t="s">
        <v>11</v>
      </c>
      <c r="K76" s="27" t="s">
        <v>12</v>
      </c>
    </row>
    <row r="77" ht="18.6" customHeight="1" spans="1:11">
      <c r="A77" s="3">
        <v>76</v>
      </c>
      <c r="B77" s="3" t="s">
        <v>89</v>
      </c>
      <c r="C77" s="3" t="s">
        <v>3326</v>
      </c>
      <c r="D77" s="3" t="s">
        <v>76</v>
      </c>
      <c r="E77" s="3" t="s">
        <v>76</v>
      </c>
      <c r="F77" s="3"/>
      <c r="G77" s="3"/>
      <c r="H77" s="3"/>
      <c r="I77" s="3" t="s">
        <v>3771</v>
      </c>
      <c r="J77" s="3" t="s">
        <v>11</v>
      </c>
      <c r="K77" s="27" t="s">
        <v>12</v>
      </c>
    </row>
    <row r="78" ht="18.6" customHeight="1" spans="1:11">
      <c r="A78" s="3">
        <v>77</v>
      </c>
      <c r="B78" s="3" t="s">
        <v>90</v>
      </c>
      <c r="C78" s="3" t="s">
        <v>3326</v>
      </c>
      <c r="D78" s="3" t="s">
        <v>76</v>
      </c>
      <c r="E78" s="3" t="s">
        <v>76</v>
      </c>
      <c r="F78" s="3"/>
      <c r="G78" s="3"/>
      <c r="H78" s="3"/>
      <c r="I78" s="3" t="s">
        <v>3777</v>
      </c>
      <c r="J78" s="3" t="s">
        <v>11</v>
      </c>
      <c r="K78" s="27" t="s">
        <v>12</v>
      </c>
    </row>
    <row r="79" ht="18.6" customHeight="1" spans="1:11">
      <c r="A79" s="3">
        <v>78</v>
      </c>
      <c r="B79" s="3" t="s">
        <v>91</v>
      </c>
      <c r="C79" s="3" t="s">
        <v>3326</v>
      </c>
      <c r="D79" s="3" t="s">
        <v>76</v>
      </c>
      <c r="E79" s="3" t="s">
        <v>76</v>
      </c>
      <c r="F79" s="3"/>
      <c r="G79" s="3"/>
      <c r="H79" s="3"/>
      <c r="I79" s="3"/>
      <c r="J79" s="3" t="s">
        <v>11</v>
      </c>
      <c r="K79" s="27" t="s">
        <v>12</v>
      </c>
    </row>
    <row r="80" ht="18.6" customHeight="1" spans="1:11">
      <c r="A80" s="3">
        <v>79</v>
      </c>
      <c r="B80" s="3" t="s">
        <v>92</v>
      </c>
      <c r="C80" s="3" t="s">
        <v>3326</v>
      </c>
      <c r="D80" s="3" t="s">
        <v>76</v>
      </c>
      <c r="E80" s="3" t="s">
        <v>76</v>
      </c>
      <c r="F80" s="3"/>
      <c r="G80" s="3"/>
      <c r="H80" s="3"/>
      <c r="I80" s="3"/>
      <c r="J80" s="3" t="s">
        <v>11</v>
      </c>
      <c r="K80" s="27" t="s">
        <v>12</v>
      </c>
    </row>
    <row r="81" ht="18.6" customHeight="1" spans="1:11">
      <c r="A81" s="3">
        <v>80</v>
      </c>
      <c r="B81" s="3" t="s">
        <v>93</v>
      </c>
      <c r="C81" s="3" t="s">
        <v>3326</v>
      </c>
      <c r="D81" s="3" t="s">
        <v>76</v>
      </c>
      <c r="E81" s="3" t="s">
        <v>76</v>
      </c>
      <c r="F81" s="3"/>
      <c r="G81" s="3"/>
      <c r="H81" s="3"/>
      <c r="I81" s="3"/>
      <c r="J81" s="3" t="s">
        <v>11</v>
      </c>
      <c r="K81" s="27" t="s">
        <v>12</v>
      </c>
    </row>
    <row r="82" ht="18.6" customHeight="1" spans="1:11">
      <c r="A82" s="3">
        <v>81</v>
      </c>
      <c r="B82" s="3" t="s">
        <v>94</v>
      </c>
      <c r="C82" s="3" t="s">
        <v>3326</v>
      </c>
      <c r="D82" s="3" t="s">
        <v>76</v>
      </c>
      <c r="E82" s="3" t="s">
        <v>76</v>
      </c>
      <c r="F82" s="3"/>
      <c r="G82" s="3"/>
      <c r="H82" s="3"/>
      <c r="I82" s="3"/>
      <c r="J82" s="3" t="s">
        <v>11</v>
      </c>
      <c r="K82" s="27" t="s">
        <v>12</v>
      </c>
    </row>
    <row r="83" ht="18.6" customHeight="1" spans="1:11">
      <c r="A83" s="3">
        <v>82</v>
      </c>
      <c r="B83" s="3" t="s">
        <v>97</v>
      </c>
      <c r="C83" s="3" t="s">
        <v>3330</v>
      </c>
      <c r="D83" s="3" t="s">
        <v>98</v>
      </c>
      <c r="E83" s="3" t="s">
        <v>99</v>
      </c>
      <c r="F83" s="3"/>
      <c r="G83" s="3"/>
      <c r="H83" s="3"/>
      <c r="I83" s="3" t="s">
        <v>3769</v>
      </c>
      <c r="J83" s="3" t="s">
        <v>11</v>
      </c>
      <c r="K83" s="27" t="s">
        <v>12</v>
      </c>
    </row>
    <row r="84" ht="18.6" customHeight="1" spans="1:11">
      <c r="A84" s="3">
        <v>83</v>
      </c>
      <c r="B84" s="3" t="s">
        <v>100</v>
      </c>
      <c r="C84" s="3" t="s">
        <v>3330</v>
      </c>
      <c r="D84" s="3" t="s">
        <v>98</v>
      </c>
      <c r="E84" s="3" t="s">
        <v>101</v>
      </c>
      <c r="F84" s="3"/>
      <c r="G84" s="3"/>
      <c r="H84" s="3"/>
      <c r="I84" s="3" t="s">
        <v>3770</v>
      </c>
      <c r="J84" s="3" t="s">
        <v>11</v>
      </c>
      <c r="K84" s="27" t="s">
        <v>12</v>
      </c>
    </row>
    <row r="85" ht="18.6" customHeight="1" spans="1:11">
      <c r="A85" s="3">
        <v>84</v>
      </c>
      <c r="B85" s="3" t="s">
        <v>102</v>
      </c>
      <c r="C85" s="3" t="s">
        <v>3330</v>
      </c>
      <c r="D85" s="3" t="s">
        <v>98</v>
      </c>
      <c r="E85" s="3" t="s">
        <v>103</v>
      </c>
      <c r="F85" s="3"/>
      <c r="G85" s="3"/>
      <c r="H85" s="3"/>
      <c r="I85" s="3"/>
      <c r="J85" s="3" t="s">
        <v>11</v>
      </c>
      <c r="K85" s="27" t="s">
        <v>12</v>
      </c>
    </row>
    <row r="86" ht="18.6" customHeight="1" spans="1:11">
      <c r="A86" s="3">
        <v>85</v>
      </c>
      <c r="B86" s="3" t="s">
        <v>104</v>
      </c>
      <c r="C86" s="3" t="s">
        <v>3330</v>
      </c>
      <c r="D86" s="3" t="s">
        <v>98</v>
      </c>
      <c r="E86" s="3" t="s">
        <v>76</v>
      </c>
      <c r="F86" s="3"/>
      <c r="G86" s="3">
        <v>211</v>
      </c>
      <c r="H86" s="3" t="s">
        <v>5</v>
      </c>
      <c r="I86" s="3" t="s">
        <v>3770</v>
      </c>
      <c r="J86" s="3" t="s">
        <v>11</v>
      </c>
      <c r="K86" s="27" t="s">
        <v>12</v>
      </c>
    </row>
    <row r="87" ht="18.6" customHeight="1" spans="1:11">
      <c r="A87" s="3">
        <v>86</v>
      </c>
      <c r="B87" s="3" t="s">
        <v>105</v>
      </c>
      <c r="C87" s="3" t="s">
        <v>3330</v>
      </c>
      <c r="D87" s="3" t="s">
        <v>98</v>
      </c>
      <c r="E87" s="3" t="s">
        <v>106</v>
      </c>
      <c r="F87" s="3"/>
      <c r="G87" s="3"/>
      <c r="H87" s="3"/>
      <c r="I87" s="3" t="s">
        <v>3769</v>
      </c>
      <c r="J87" s="3" t="s">
        <v>11</v>
      </c>
      <c r="K87" s="27" t="s">
        <v>12</v>
      </c>
    </row>
    <row r="88" ht="18.6" customHeight="1" spans="1:11">
      <c r="A88" s="3">
        <v>87</v>
      </c>
      <c r="B88" s="3" t="s">
        <v>107</v>
      </c>
      <c r="C88" s="3" t="s">
        <v>3330</v>
      </c>
      <c r="D88" s="3" t="s">
        <v>98</v>
      </c>
      <c r="E88" s="3" t="s">
        <v>103</v>
      </c>
      <c r="F88" s="3"/>
      <c r="G88" s="3"/>
      <c r="H88" s="3"/>
      <c r="I88" s="3" t="s">
        <v>3770</v>
      </c>
      <c r="J88" s="3" t="s">
        <v>11</v>
      </c>
      <c r="K88" s="27" t="s">
        <v>12</v>
      </c>
    </row>
    <row r="89" ht="18.6" customHeight="1" spans="1:11">
      <c r="A89" s="3">
        <v>88</v>
      </c>
      <c r="B89" s="3" t="s">
        <v>108</v>
      </c>
      <c r="C89" s="3" t="s">
        <v>3330</v>
      </c>
      <c r="D89" s="3" t="s">
        <v>98</v>
      </c>
      <c r="E89" s="3" t="s">
        <v>109</v>
      </c>
      <c r="F89" s="3"/>
      <c r="G89" s="3"/>
      <c r="H89" s="3"/>
      <c r="I89" s="3"/>
      <c r="J89" s="3" t="s">
        <v>11</v>
      </c>
      <c r="K89" s="27" t="s">
        <v>12</v>
      </c>
    </row>
    <row r="90" ht="18.6" customHeight="1" spans="1:11">
      <c r="A90" s="3">
        <v>89</v>
      </c>
      <c r="B90" s="3" t="s">
        <v>110</v>
      </c>
      <c r="C90" s="3" t="s">
        <v>3330</v>
      </c>
      <c r="D90" s="3" t="s">
        <v>98</v>
      </c>
      <c r="E90" s="3" t="s">
        <v>111</v>
      </c>
      <c r="F90" s="3"/>
      <c r="G90" s="3"/>
      <c r="H90" s="3"/>
      <c r="I90" s="3"/>
      <c r="J90" s="3" t="s">
        <v>11</v>
      </c>
      <c r="K90" s="27" t="s">
        <v>12</v>
      </c>
    </row>
    <row r="91" ht="18.6" customHeight="1" spans="1:11">
      <c r="A91" s="3">
        <v>90</v>
      </c>
      <c r="B91" s="3" t="s">
        <v>112</v>
      </c>
      <c r="C91" s="3" t="s">
        <v>3330</v>
      </c>
      <c r="D91" s="3" t="s">
        <v>98</v>
      </c>
      <c r="E91" s="3" t="s">
        <v>99</v>
      </c>
      <c r="F91" s="3"/>
      <c r="G91" s="3"/>
      <c r="H91" s="3"/>
      <c r="I91" s="3" t="s">
        <v>3773</v>
      </c>
      <c r="J91" s="3" t="s">
        <v>11</v>
      </c>
      <c r="K91" s="27" t="s">
        <v>12</v>
      </c>
    </row>
    <row r="92" ht="18.6" customHeight="1" spans="1:11">
      <c r="A92" s="3">
        <v>91</v>
      </c>
      <c r="B92" s="3" t="s">
        <v>113</v>
      </c>
      <c r="C92" s="3" t="s">
        <v>3330</v>
      </c>
      <c r="D92" s="3" t="s">
        <v>98</v>
      </c>
      <c r="E92" s="3" t="s">
        <v>103</v>
      </c>
      <c r="F92" s="3"/>
      <c r="G92" s="3"/>
      <c r="H92" s="3"/>
      <c r="I92" s="3" t="s">
        <v>3775</v>
      </c>
      <c r="J92" s="3" t="s">
        <v>11</v>
      </c>
      <c r="K92" s="27" t="s">
        <v>12</v>
      </c>
    </row>
    <row r="93" ht="18.6" customHeight="1" spans="1:11">
      <c r="A93" s="3">
        <v>92</v>
      </c>
      <c r="B93" s="3" t="s">
        <v>114</v>
      </c>
      <c r="C93" s="3" t="s">
        <v>3330</v>
      </c>
      <c r="D93" s="3" t="s">
        <v>98</v>
      </c>
      <c r="E93" s="3" t="s">
        <v>109</v>
      </c>
      <c r="F93" s="3"/>
      <c r="G93" s="3"/>
      <c r="H93" s="3"/>
      <c r="I93" s="3"/>
      <c r="J93" s="3" t="s">
        <v>11</v>
      </c>
      <c r="K93" s="27" t="s">
        <v>12</v>
      </c>
    </row>
    <row r="94" ht="18.6" customHeight="1" spans="1:11">
      <c r="A94" s="3">
        <v>93</v>
      </c>
      <c r="B94" s="3" t="s">
        <v>115</v>
      </c>
      <c r="C94" s="3" t="s">
        <v>3330</v>
      </c>
      <c r="D94" s="3" t="s">
        <v>98</v>
      </c>
      <c r="E94" s="3" t="s">
        <v>116</v>
      </c>
      <c r="F94" s="3"/>
      <c r="G94" s="3"/>
      <c r="H94" s="3"/>
      <c r="I94" s="3"/>
      <c r="J94" s="3" t="s">
        <v>11</v>
      </c>
      <c r="K94" s="27" t="s">
        <v>12</v>
      </c>
    </row>
    <row r="95" ht="18.6" customHeight="1" spans="1:11">
      <c r="A95" s="3">
        <v>94</v>
      </c>
      <c r="B95" s="3" t="s">
        <v>117</v>
      </c>
      <c r="C95" s="3" t="s">
        <v>3330</v>
      </c>
      <c r="D95" s="3" t="s">
        <v>98</v>
      </c>
      <c r="E95" s="3" t="s">
        <v>103</v>
      </c>
      <c r="F95" s="3"/>
      <c r="G95" s="3"/>
      <c r="H95" s="3"/>
      <c r="I95" s="3" t="s">
        <v>3776</v>
      </c>
      <c r="J95" s="3" t="s">
        <v>11</v>
      </c>
      <c r="K95" s="27" t="s">
        <v>12</v>
      </c>
    </row>
    <row r="96" ht="18.6" customHeight="1" spans="1:11">
      <c r="A96" s="3">
        <v>95</v>
      </c>
      <c r="B96" s="3" t="s">
        <v>118</v>
      </c>
      <c r="C96" s="3" t="s">
        <v>3330</v>
      </c>
      <c r="D96" s="3" t="s">
        <v>98</v>
      </c>
      <c r="E96" s="3" t="s">
        <v>99</v>
      </c>
      <c r="F96" s="3"/>
      <c r="G96" s="3"/>
      <c r="H96" s="3"/>
      <c r="I96" s="3"/>
      <c r="J96" s="3" t="s">
        <v>11</v>
      </c>
      <c r="K96" s="27" t="s">
        <v>12</v>
      </c>
    </row>
    <row r="97" ht="18.6" customHeight="1" spans="1:11">
      <c r="A97" s="3">
        <v>96</v>
      </c>
      <c r="B97" s="3" t="s">
        <v>119</v>
      </c>
      <c r="C97" s="3" t="s">
        <v>3330</v>
      </c>
      <c r="D97" s="3" t="s">
        <v>98</v>
      </c>
      <c r="E97" s="3" t="s">
        <v>116</v>
      </c>
      <c r="F97" s="3"/>
      <c r="G97" s="3"/>
      <c r="H97" s="3"/>
      <c r="I97" s="3"/>
      <c r="J97" s="3" t="s">
        <v>11</v>
      </c>
      <c r="K97" s="27" t="s">
        <v>12</v>
      </c>
    </row>
    <row r="98" ht="18.6" customHeight="1" spans="1:11">
      <c r="A98" s="3">
        <v>97</v>
      </c>
      <c r="B98" s="3" t="s">
        <v>120</v>
      </c>
      <c r="C98" s="3" t="s">
        <v>3330</v>
      </c>
      <c r="D98" s="3" t="s">
        <v>98</v>
      </c>
      <c r="E98" s="3" t="s">
        <v>106</v>
      </c>
      <c r="F98" s="3"/>
      <c r="G98" s="3"/>
      <c r="H98" s="3"/>
      <c r="I98" s="3"/>
      <c r="J98" s="3" t="s">
        <v>11</v>
      </c>
      <c r="K98" s="27" t="s">
        <v>12</v>
      </c>
    </row>
    <row r="99" ht="18.6" customHeight="1" spans="1:11">
      <c r="A99" s="3">
        <v>98</v>
      </c>
      <c r="B99" s="3" t="s">
        <v>121</v>
      </c>
      <c r="C99" s="3" t="s">
        <v>3330</v>
      </c>
      <c r="D99" s="3" t="s">
        <v>98</v>
      </c>
      <c r="E99" s="3" t="s">
        <v>122</v>
      </c>
      <c r="F99" s="3"/>
      <c r="G99" s="3"/>
      <c r="H99" s="3"/>
      <c r="I99" s="3"/>
      <c r="J99" s="3" t="s">
        <v>11</v>
      </c>
      <c r="K99" s="27" t="s">
        <v>12</v>
      </c>
    </row>
    <row r="100" ht="18.6" customHeight="1" spans="1:11">
      <c r="A100" s="3">
        <v>99</v>
      </c>
      <c r="B100" s="3" t="s">
        <v>123</v>
      </c>
      <c r="C100" s="3" t="s">
        <v>3330</v>
      </c>
      <c r="D100" s="3" t="s">
        <v>98</v>
      </c>
      <c r="E100" s="3" t="s">
        <v>124</v>
      </c>
      <c r="F100" s="3"/>
      <c r="G100" s="3"/>
      <c r="H100" s="3"/>
      <c r="I100" s="3"/>
      <c r="J100" s="3" t="s">
        <v>11</v>
      </c>
      <c r="K100" s="27" t="s">
        <v>12</v>
      </c>
    </row>
    <row r="101" ht="18.6" customHeight="1" spans="1:11">
      <c r="A101" s="3">
        <v>100</v>
      </c>
      <c r="B101" s="3" t="s">
        <v>125</v>
      </c>
      <c r="C101" s="3" t="s">
        <v>3330</v>
      </c>
      <c r="D101" s="3" t="s">
        <v>98</v>
      </c>
      <c r="E101" s="3" t="s">
        <v>103</v>
      </c>
      <c r="F101" s="3"/>
      <c r="G101" s="3"/>
      <c r="H101" s="3"/>
      <c r="I101" s="3"/>
      <c r="J101" s="3" t="s">
        <v>11</v>
      </c>
      <c r="K101" s="27" t="s">
        <v>12</v>
      </c>
    </row>
    <row r="102" ht="18.6" customHeight="1" spans="1:11">
      <c r="A102" s="3">
        <v>101</v>
      </c>
      <c r="B102" s="3" t="s">
        <v>126</v>
      </c>
      <c r="C102" s="3" t="s">
        <v>3330</v>
      </c>
      <c r="D102" s="3" t="s">
        <v>98</v>
      </c>
      <c r="E102" s="3" t="s">
        <v>101</v>
      </c>
      <c r="F102" s="3"/>
      <c r="G102" s="3"/>
      <c r="H102" s="3"/>
      <c r="I102" s="3"/>
      <c r="J102" s="3" t="s">
        <v>11</v>
      </c>
      <c r="K102" s="27" t="s">
        <v>12</v>
      </c>
    </row>
    <row r="103" ht="18.6" customHeight="1" spans="1:11">
      <c r="A103" s="3">
        <v>102</v>
      </c>
      <c r="B103" s="3" t="s">
        <v>127</v>
      </c>
      <c r="C103" s="3" t="s">
        <v>3330</v>
      </c>
      <c r="D103" s="3" t="s">
        <v>98</v>
      </c>
      <c r="E103" s="3" t="s">
        <v>128</v>
      </c>
      <c r="F103" s="3"/>
      <c r="G103" s="3"/>
      <c r="H103" s="3"/>
      <c r="I103" s="3"/>
      <c r="J103" s="3" t="s">
        <v>11</v>
      </c>
      <c r="K103" s="27" t="s">
        <v>12</v>
      </c>
    </row>
    <row r="104" ht="18.6" customHeight="1" spans="1:11">
      <c r="A104" s="3">
        <v>103</v>
      </c>
      <c r="B104" s="3" t="s">
        <v>129</v>
      </c>
      <c r="C104" s="3" t="s">
        <v>3330</v>
      </c>
      <c r="D104" s="3" t="s">
        <v>98</v>
      </c>
      <c r="E104" s="3" t="s">
        <v>111</v>
      </c>
      <c r="F104" s="3"/>
      <c r="G104" s="3"/>
      <c r="H104" s="3"/>
      <c r="I104" s="3"/>
      <c r="J104" s="3" t="s">
        <v>11</v>
      </c>
      <c r="K104" s="27" t="s">
        <v>12</v>
      </c>
    </row>
    <row r="105" ht="18.6" customHeight="1" spans="1:11">
      <c r="A105" s="3">
        <v>104</v>
      </c>
      <c r="B105" s="3" t="s">
        <v>130</v>
      </c>
      <c r="C105" s="3" t="s">
        <v>3330</v>
      </c>
      <c r="D105" s="3" t="s">
        <v>98</v>
      </c>
      <c r="E105" s="3" t="s">
        <v>103</v>
      </c>
      <c r="F105" s="3"/>
      <c r="G105" s="3"/>
      <c r="H105" s="3"/>
      <c r="I105" s="3" t="s">
        <v>3770</v>
      </c>
      <c r="J105" s="3" t="s">
        <v>11</v>
      </c>
      <c r="K105" s="27" t="s">
        <v>12</v>
      </c>
    </row>
    <row r="106" ht="18.6" customHeight="1" spans="1:11">
      <c r="A106" s="3">
        <v>105</v>
      </c>
      <c r="B106" s="3" t="s">
        <v>131</v>
      </c>
      <c r="C106" s="3" t="s">
        <v>3330</v>
      </c>
      <c r="D106" s="3" t="s">
        <v>98</v>
      </c>
      <c r="E106" s="3" t="s">
        <v>132</v>
      </c>
      <c r="F106" s="3"/>
      <c r="G106" s="3"/>
      <c r="H106" s="3"/>
      <c r="I106" s="3" t="s">
        <v>3770</v>
      </c>
      <c r="J106" s="3" t="s">
        <v>11</v>
      </c>
      <c r="K106" s="27" t="s">
        <v>12</v>
      </c>
    </row>
    <row r="107" ht="18.6" customHeight="1" spans="1:11">
      <c r="A107" s="3">
        <v>106</v>
      </c>
      <c r="B107" s="3" t="s">
        <v>133</v>
      </c>
      <c r="C107" s="3" t="s">
        <v>3330</v>
      </c>
      <c r="D107" s="3" t="s">
        <v>98</v>
      </c>
      <c r="E107" s="3" t="s">
        <v>132</v>
      </c>
      <c r="F107" s="3"/>
      <c r="G107" s="3"/>
      <c r="H107" s="3"/>
      <c r="I107" s="3"/>
      <c r="J107" s="3" t="s">
        <v>11</v>
      </c>
      <c r="K107" s="27" t="s">
        <v>12</v>
      </c>
    </row>
    <row r="108" ht="18.6" customHeight="1" spans="1:11">
      <c r="A108" s="3">
        <v>107</v>
      </c>
      <c r="B108" s="3" t="s">
        <v>134</v>
      </c>
      <c r="C108" s="3" t="s">
        <v>3330</v>
      </c>
      <c r="D108" s="3" t="s">
        <v>98</v>
      </c>
      <c r="E108" s="3" t="s">
        <v>106</v>
      </c>
      <c r="F108" s="3"/>
      <c r="G108" s="3"/>
      <c r="H108" s="3"/>
      <c r="I108" s="3"/>
      <c r="J108" s="3" t="s">
        <v>11</v>
      </c>
      <c r="K108" s="27" t="s">
        <v>12</v>
      </c>
    </row>
    <row r="109" ht="18.6" customHeight="1" spans="1:11">
      <c r="A109" s="3">
        <v>108</v>
      </c>
      <c r="B109" s="3" t="s">
        <v>3342</v>
      </c>
      <c r="C109" s="3" t="s">
        <v>3314</v>
      </c>
      <c r="D109" s="3" t="s">
        <v>98</v>
      </c>
      <c r="E109" s="3" t="s">
        <v>122</v>
      </c>
      <c r="F109" s="3"/>
      <c r="G109" s="3"/>
      <c r="H109" s="3"/>
      <c r="I109" s="3"/>
      <c r="J109" s="3" t="s">
        <v>11</v>
      </c>
      <c r="K109" s="27" t="s">
        <v>12</v>
      </c>
    </row>
    <row r="110" ht="18.6" customHeight="1" spans="1:11">
      <c r="A110" s="3">
        <v>109</v>
      </c>
      <c r="B110" s="3" t="s">
        <v>136</v>
      </c>
      <c r="C110" s="3" t="s">
        <v>3316</v>
      </c>
      <c r="D110" s="3" t="s">
        <v>98</v>
      </c>
      <c r="E110" s="3" t="s">
        <v>122</v>
      </c>
      <c r="F110" s="3"/>
      <c r="G110" s="3"/>
      <c r="H110" s="3"/>
      <c r="I110" s="3" t="s">
        <v>3779</v>
      </c>
      <c r="J110" s="3" t="s">
        <v>11</v>
      </c>
      <c r="K110" s="27" t="s">
        <v>12</v>
      </c>
    </row>
    <row r="111" ht="18.6" customHeight="1" spans="1:11">
      <c r="A111" s="3">
        <v>110</v>
      </c>
      <c r="B111" s="3" t="s">
        <v>137</v>
      </c>
      <c r="C111" s="3" t="s">
        <v>3330</v>
      </c>
      <c r="D111" s="3" t="s">
        <v>98</v>
      </c>
      <c r="E111" s="3" t="s">
        <v>103</v>
      </c>
      <c r="F111" s="3"/>
      <c r="G111" s="3"/>
      <c r="H111" s="3"/>
      <c r="I111" s="3"/>
      <c r="J111" s="3" t="s">
        <v>11</v>
      </c>
      <c r="K111" s="27" t="s">
        <v>12</v>
      </c>
    </row>
    <row r="112" ht="18.6" customHeight="1" spans="1:11">
      <c r="A112" s="3">
        <v>111</v>
      </c>
      <c r="B112" s="3" t="s">
        <v>138</v>
      </c>
      <c r="C112" s="3" t="s">
        <v>3330</v>
      </c>
      <c r="D112" s="3" t="s">
        <v>98</v>
      </c>
      <c r="E112" s="3" t="s">
        <v>99</v>
      </c>
      <c r="F112" s="3"/>
      <c r="G112" s="3"/>
      <c r="H112" s="3"/>
      <c r="I112" s="3"/>
      <c r="J112" s="3" t="s">
        <v>11</v>
      </c>
      <c r="K112" s="27" t="s">
        <v>12</v>
      </c>
    </row>
    <row r="113" ht="18.6" customHeight="1" spans="1:11">
      <c r="A113" s="3">
        <v>112</v>
      </c>
      <c r="B113" s="3" t="s">
        <v>139</v>
      </c>
      <c r="C113" s="3" t="s">
        <v>3330</v>
      </c>
      <c r="D113" s="3" t="s">
        <v>98</v>
      </c>
      <c r="E113" s="3" t="s">
        <v>122</v>
      </c>
      <c r="F113" s="3"/>
      <c r="G113" s="3"/>
      <c r="H113" s="3"/>
      <c r="I113" s="3"/>
      <c r="J113" s="3" t="s">
        <v>11</v>
      </c>
      <c r="K113" s="27" t="s">
        <v>12</v>
      </c>
    </row>
    <row r="114" ht="18.6" customHeight="1" spans="1:11">
      <c r="A114" s="3">
        <v>113</v>
      </c>
      <c r="B114" s="3" t="s">
        <v>3343</v>
      </c>
      <c r="C114" s="3" t="s">
        <v>3344</v>
      </c>
      <c r="D114" s="3" t="s">
        <v>98</v>
      </c>
      <c r="E114" s="3" t="s">
        <v>122</v>
      </c>
      <c r="F114" s="3"/>
      <c r="G114" s="3"/>
      <c r="H114" s="3"/>
      <c r="I114" s="3"/>
      <c r="J114" s="3" t="s">
        <v>11</v>
      </c>
      <c r="K114" s="27" t="s">
        <v>12</v>
      </c>
    </row>
    <row r="115" ht="18.6" customHeight="1" spans="1:11">
      <c r="A115" s="3">
        <v>114</v>
      </c>
      <c r="B115" s="3" t="s">
        <v>140</v>
      </c>
      <c r="C115" s="3" t="s">
        <v>3330</v>
      </c>
      <c r="D115" s="3" t="s">
        <v>98</v>
      </c>
      <c r="E115" s="3" t="s">
        <v>103</v>
      </c>
      <c r="F115" s="3"/>
      <c r="G115" s="3"/>
      <c r="H115" s="3"/>
      <c r="I115" s="3"/>
      <c r="J115" s="3" t="s">
        <v>11</v>
      </c>
      <c r="K115" s="27" t="s">
        <v>12</v>
      </c>
    </row>
    <row r="116" ht="18.6" customHeight="1" spans="1:11">
      <c r="A116" s="3">
        <v>115</v>
      </c>
      <c r="B116" s="3" t="s">
        <v>141</v>
      </c>
      <c r="C116" s="3" t="s">
        <v>3345</v>
      </c>
      <c r="D116" s="3" t="s">
        <v>98</v>
      </c>
      <c r="E116" s="3" t="s">
        <v>99</v>
      </c>
      <c r="F116" s="3"/>
      <c r="G116" s="3"/>
      <c r="H116" s="3"/>
      <c r="I116" s="3"/>
      <c r="J116" s="3" t="s">
        <v>11</v>
      </c>
      <c r="K116" s="27" t="s">
        <v>12</v>
      </c>
    </row>
    <row r="117" ht="18.6" customHeight="1" spans="1:11">
      <c r="A117" s="3">
        <v>116</v>
      </c>
      <c r="B117" s="3" t="s">
        <v>142</v>
      </c>
      <c r="C117" s="3" t="s">
        <v>3330</v>
      </c>
      <c r="D117" s="3" t="s">
        <v>98</v>
      </c>
      <c r="E117" s="3" t="s">
        <v>103</v>
      </c>
      <c r="F117" s="3"/>
      <c r="G117" s="3"/>
      <c r="H117" s="3"/>
      <c r="I117" s="3"/>
      <c r="J117" s="3" t="s">
        <v>11</v>
      </c>
      <c r="K117" s="27" t="s">
        <v>12</v>
      </c>
    </row>
    <row r="118" ht="18.6" customHeight="1" spans="1:11">
      <c r="A118" s="3">
        <v>117</v>
      </c>
      <c r="B118" s="3" t="s">
        <v>143</v>
      </c>
      <c r="C118" s="3" t="s">
        <v>3330</v>
      </c>
      <c r="D118" s="3" t="s">
        <v>98</v>
      </c>
      <c r="E118" s="3" t="s">
        <v>128</v>
      </c>
      <c r="F118" s="3"/>
      <c r="G118" s="3"/>
      <c r="H118" s="3"/>
      <c r="I118" s="3"/>
      <c r="J118" s="3" t="s">
        <v>11</v>
      </c>
      <c r="K118" s="27" t="s">
        <v>12</v>
      </c>
    </row>
    <row r="119" ht="18.6" customHeight="1" spans="1:11">
      <c r="A119" s="3">
        <v>118</v>
      </c>
      <c r="B119" s="3" t="s">
        <v>144</v>
      </c>
      <c r="C119" s="3" t="s">
        <v>3330</v>
      </c>
      <c r="D119" s="3" t="s">
        <v>98</v>
      </c>
      <c r="E119" s="3" t="s">
        <v>116</v>
      </c>
      <c r="F119" s="3"/>
      <c r="G119" s="3"/>
      <c r="H119" s="3"/>
      <c r="I119" s="3"/>
      <c r="J119" s="3" t="s">
        <v>11</v>
      </c>
      <c r="K119" s="27" t="s">
        <v>12</v>
      </c>
    </row>
    <row r="120" ht="18.6" customHeight="1" spans="1:11">
      <c r="A120" s="3">
        <v>119</v>
      </c>
      <c r="B120" s="3" t="s">
        <v>145</v>
      </c>
      <c r="C120" s="3" t="s">
        <v>3330</v>
      </c>
      <c r="D120" s="3" t="s">
        <v>98</v>
      </c>
      <c r="E120" s="3" t="s">
        <v>103</v>
      </c>
      <c r="F120" s="3"/>
      <c r="G120" s="3"/>
      <c r="H120" s="3"/>
      <c r="I120" s="3"/>
      <c r="J120" s="3" t="s">
        <v>11</v>
      </c>
      <c r="K120" s="27" t="s">
        <v>12</v>
      </c>
    </row>
    <row r="121" ht="18.6" customHeight="1" spans="1:11">
      <c r="A121" s="3">
        <v>120</v>
      </c>
      <c r="B121" s="3" t="s">
        <v>146</v>
      </c>
      <c r="C121" s="3" t="s">
        <v>3330</v>
      </c>
      <c r="D121" s="3" t="s">
        <v>98</v>
      </c>
      <c r="E121" s="3" t="s">
        <v>109</v>
      </c>
      <c r="F121" s="3"/>
      <c r="G121" s="3"/>
      <c r="H121" s="3"/>
      <c r="I121" s="3"/>
      <c r="J121" s="3" t="s">
        <v>11</v>
      </c>
      <c r="K121" s="27" t="s">
        <v>12</v>
      </c>
    </row>
    <row r="122" ht="18.6" customHeight="1" spans="1:11">
      <c r="A122" s="3">
        <v>121</v>
      </c>
      <c r="B122" s="3" t="s">
        <v>147</v>
      </c>
      <c r="C122" s="3" t="s">
        <v>3330</v>
      </c>
      <c r="D122" s="3" t="s">
        <v>98</v>
      </c>
      <c r="E122" s="3" t="s">
        <v>132</v>
      </c>
      <c r="F122" s="3"/>
      <c r="G122" s="3"/>
      <c r="H122" s="3"/>
      <c r="I122" s="3"/>
      <c r="J122" s="3" t="s">
        <v>11</v>
      </c>
      <c r="K122" s="27" t="s">
        <v>12</v>
      </c>
    </row>
    <row r="123" ht="18.6" customHeight="1" spans="1:11">
      <c r="A123" s="3">
        <v>122</v>
      </c>
      <c r="B123" s="3" t="s">
        <v>148</v>
      </c>
      <c r="C123" s="3" t="s">
        <v>3330</v>
      </c>
      <c r="D123" s="3" t="s">
        <v>98</v>
      </c>
      <c r="E123" s="3" t="s">
        <v>106</v>
      </c>
      <c r="F123" s="3"/>
      <c r="G123" s="3"/>
      <c r="H123" s="3"/>
      <c r="I123" s="3"/>
      <c r="J123" s="3" t="s">
        <v>11</v>
      </c>
      <c r="K123" s="27" t="s">
        <v>12</v>
      </c>
    </row>
    <row r="124" ht="18.6" customHeight="1" spans="1:11">
      <c r="A124" s="3">
        <v>123</v>
      </c>
      <c r="B124" s="3" t="s">
        <v>149</v>
      </c>
      <c r="C124" s="3" t="s">
        <v>3330</v>
      </c>
      <c r="D124" s="3" t="s">
        <v>98</v>
      </c>
      <c r="E124" s="3" t="s">
        <v>128</v>
      </c>
      <c r="F124" s="3"/>
      <c r="G124" s="3"/>
      <c r="H124" s="3"/>
      <c r="I124" s="3"/>
      <c r="J124" s="3" t="s">
        <v>11</v>
      </c>
      <c r="K124" s="27" t="s">
        <v>12</v>
      </c>
    </row>
    <row r="125" ht="18.6" customHeight="1" spans="1:11">
      <c r="A125" s="3">
        <v>124</v>
      </c>
      <c r="B125" s="3" t="s">
        <v>150</v>
      </c>
      <c r="C125" s="3" t="s">
        <v>3347</v>
      </c>
      <c r="D125" s="3" t="s">
        <v>151</v>
      </c>
      <c r="E125" s="3" t="s">
        <v>152</v>
      </c>
      <c r="F125" s="3"/>
      <c r="G125" s="3"/>
      <c r="H125" s="3" t="s">
        <v>3774</v>
      </c>
      <c r="I125" s="3" t="s">
        <v>3769</v>
      </c>
      <c r="J125" s="3" t="s">
        <v>11</v>
      </c>
      <c r="K125" s="27" t="s">
        <v>12</v>
      </c>
    </row>
    <row r="126" ht="18.6" customHeight="1" spans="1:11">
      <c r="A126" s="3">
        <v>125</v>
      </c>
      <c r="B126" s="3" t="s">
        <v>153</v>
      </c>
      <c r="C126" s="3" t="s">
        <v>3347</v>
      </c>
      <c r="D126" s="3" t="s">
        <v>151</v>
      </c>
      <c r="E126" s="3" t="s">
        <v>152</v>
      </c>
      <c r="F126" s="3"/>
      <c r="G126" s="3"/>
      <c r="H126" s="3"/>
      <c r="I126" s="3" t="s">
        <v>3770</v>
      </c>
      <c r="J126" s="3" t="s">
        <v>11</v>
      </c>
      <c r="K126" s="27" t="s">
        <v>12</v>
      </c>
    </row>
    <row r="127" ht="18.6" customHeight="1" spans="1:11">
      <c r="A127" s="3">
        <v>126</v>
      </c>
      <c r="B127" s="3" t="s">
        <v>154</v>
      </c>
      <c r="C127" s="3" t="s">
        <v>3347</v>
      </c>
      <c r="D127" s="3" t="s">
        <v>151</v>
      </c>
      <c r="E127" s="3" t="s">
        <v>152</v>
      </c>
      <c r="F127" s="3"/>
      <c r="G127" s="3"/>
      <c r="H127" s="3"/>
      <c r="I127" s="3" t="s">
        <v>3770</v>
      </c>
      <c r="J127" s="3" t="s">
        <v>11</v>
      </c>
      <c r="K127" s="27" t="s">
        <v>12</v>
      </c>
    </row>
    <row r="128" ht="18.6" customHeight="1" spans="1:11">
      <c r="A128" s="3">
        <v>127</v>
      </c>
      <c r="B128" s="3" t="s">
        <v>155</v>
      </c>
      <c r="C128" s="3" t="s">
        <v>3347</v>
      </c>
      <c r="D128" s="3" t="s">
        <v>151</v>
      </c>
      <c r="E128" s="3" t="s">
        <v>152</v>
      </c>
      <c r="F128" s="3"/>
      <c r="G128" s="3">
        <v>211</v>
      </c>
      <c r="H128" s="3" t="s">
        <v>5</v>
      </c>
      <c r="I128" s="3" t="s">
        <v>3770</v>
      </c>
      <c r="J128" s="3" t="s">
        <v>11</v>
      </c>
      <c r="K128" s="27" t="s">
        <v>12</v>
      </c>
    </row>
    <row r="129" ht="18.6" customHeight="1" spans="1:11">
      <c r="A129" s="3">
        <v>128</v>
      </c>
      <c r="B129" s="3" t="s">
        <v>156</v>
      </c>
      <c r="C129" s="3" t="s">
        <v>3347</v>
      </c>
      <c r="D129" s="3" t="s">
        <v>151</v>
      </c>
      <c r="E129" s="3" t="s">
        <v>157</v>
      </c>
      <c r="F129" s="3"/>
      <c r="G129" s="3"/>
      <c r="H129" s="3"/>
      <c r="I129" s="3" t="s">
        <v>3773</v>
      </c>
      <c r="J129" s="3" t="s">
        <v>11</v>
      </c>
      <c r="K129" s="27" t="s">
        <v>12</v>
      </c>
    </row>
    <row r="130" ht="18.6" customHeight="1" spans="1:11">
      <c r="A130" s="3">
        <v>129</v>
      </c>
      <c r="B130" s="3" t="s">
        <v>158</v>
      </c>
      <c r="C130" s="3" t="s">
        <v>3347</v>
      </c>
      <c r="D130" s="3" t="s">
        <v>151</v>
      </c>
      <c r="E130" s="3" t="s">
        <v>152</v>
      </c>
      <c r="F130" s="3"/>
      <c r="G130" s="3"/>
      <c r="H130" s="3"/>
      <c r="I130" s="3" t="s">
        <v>3775</v>
      </c>
      <c r="J130" s="3" t="s">
        <v>11</v>
      </c>
      <c r="K130" s="27" t="s">
        <v>12</v>
      </c>
    </row>
    <row r="131" ht="18.6" customHeight="1" spans="1:11">
      <c r="A131" s="3">
        <v>130</v>
      </c>
      <c r="B131" s="3" t="s">
        <v>159</v>
      </c>
      <c r="C131" s="3" t="s">
        <v>3347</v>
      </c>
      <c r="D131" s="3" t="s">
        <v>151</v>
      </c>
      <c r="E131" s="3" t="s">
        <v>160</v>
      </c>
      <c r="F131" s="3"/>
      <c r="G131" s="3"/>
      <c r="H131" s="3"/>
      <c r="I131" s="3"/>
      <c r="J131" s="3" t="s">
        <v>11</v>
      </c>
      <c r="K131" s="27" t="s">
        <v>12</v>
      </c>
    </row>
    <row r="132" ht="18.6" customHeight="1" spans="1:11">
      <c r="A132" s="3">
        <v>131</v>
      </c>
      <c r="B132" s="3" t="s">
        <v>161</v>
      </c>
      <c r="C132" s="3" t="s">
        <v>3347</v>
      </c>
      <c r="D132" s="3" t="s">
        <v>151</v>
      </c>
      <c r="E132" s="3" t="s">
        <v>152</v>
      </c>
      <c r="F132" s="3"/>
      <c r="G132" s="3"/>
      <c r="H132" s="3"/>
      <c r="I132" s="3" t="s">
        <v>3776</v>
      </c>
      <c r="J132" s="3" t="s">
        <v>11</v>
      </c>
      <c r="K132" s="27" t="s">
        <v>12</v>
      </c>
    </row>
    <row r="133" ht="18.6" customHeight="1" spans="1:11">
      <c r="A133" s="3">
        <v>132</v>
      </c>
      <c r="B133" s="3" t="s">
        <v>162</v>
      </c>
      <c r="C133" s="3" t="s">
        <v>3347</v>
      </c>
      <c r="D133" s="3" t="s">
        <v>151</v>
      </c>
      <c r="E133" s="3" t="s">
        <v>152</v>
      </c>
      <c r="F133" s="3"/>
      <c r="G133" s="3"/>
      <c r="H133" s="3"/>
      <c r="I133" s="3"/>
      <c r="J133" s="3" t="s">
        <v>11</v>
      </c>
      <c r="K133" s="27" t="s">
        <v>12</v>
      </c>
    </row>
    <row r="134" ht="18.6" customHeight="1" spans="1:11">
      <c r="A134" s="3">
        <v>133</v>
      </c>
      <c r="B134" s="3" t="s">
        <v>163</v>
      </c>
      <c r="C134" s="3" t="s">
        <v>3347</v>
      </c>
      <c r="D134" s="3" t="s">
        <v>151</v>
      </c>
      <c r="E134" s="3" t="s">
        <v>164</v>
      </c>
      <c r="F134" s="3"/>
      <c r="G134" s="3"/>
      <c r="H134" s="3"/>
      <c r="I134" s="3"/>
      <c r="J134" s="3" t="s">
        <v>11</v>
      </c>
      <c r="K134" s="27" t="s">
        <v>12</v>
      </c>
    </row>
    <row r="135" ht="18.6" customHeight="1" spans="1:11">
      <c r="A135" s="3">
        <v>134</v>
      </c>
      <c r="B135" s="3" t="s">
        <v>165</v>
      </c>
      <c r="C135" s="3" t="s">
        <v>3347</v>
      </c>
      <c r="D135" s="3" t="s">
        <v>151</v>
      </c>
      <c r="E135" s="3" t="s">
        <v>157</v>
      </c>
      <c r="F135" s="3"/>
      <c r="G135" s="3"/>
      <c r="H135" s="3"/>
      <c r="I135" s="3"/>
      <c r="J135" s="3" t="s">
        <v>11</v>
      </c>
      <c r="K135" s="27" t="s">
        <v>12</v>
      </c>
    </row>
    <row r="136" ht="18.6" customHeight="1" spans="1:11">
      <c r="A136" s="3">
        <v>135</v>
      </c>
      <c r="B136" s="3" t="s">
        <v>166</v>
      </c>
      <c r="C136" s="3" t="s">
        <v>3347</v>
      </c>
      <c r="D136" s="3" t="s">
        <v>151</v>
      </c>
      <c r="E136" s="3" t="s">
        <v>160</v>
      </c>
      <c r="F136" s="3"/>
      <c r="G136" s="3"/>
      <c r="H136" s="3"/>
      <c r="I136" s="3"/>
      <c r="J136" s="3" t="s">
        <v>11</v>
      </c>
      <c r="K136" s="27" t="s">
        <v>12</v>
      </c>
    </row>
    <row r="137" ht="18.6" customHeight="1" spans="1:11">
      <c r="A137" s="3">
        <v>136</v>
      </c>
      <c r="B137" s="3" t="s">
        <v>167</v>
      </c>
      <c r="C137" s="3" t="s">
        <v>3347</v>
      </c>
      <c r="D137" s="3" t="s">
        <v>151</v>
      </c>
      <c r="E137" s="3" t="s">
        <v>168</v>
      </c>
      <c r="F137" s="3"/>
      <c r="G137" s="3"/>
      <c r="H137" s="3"/>
      <c r="I137" s="3"/>
      <c r="J137" s="3" t="s">
        <v>11</v>
      </c>
      <c r="K137" s="27" t="s">
        <v>12</v>
      </c>
    </row>
    <row r="138" ht="18.6" customHeight="1" spans="1:11">
      <c r="A138" s="3">
        <v>137</v>
      </c>
      <c r="B138" s="3" t="s">
        <v>169</v>
      </c>
      <c r="C138" s="3" t="s">
        <v>3347</v>
      </c>
      <c r="D138" s="3" t="s">
        <v>151</v>
      </c>
      <c r="E138" s="3" t="s">
        <v>170</v>
      </c>
      <c r="F138" s="3"/>
      <c r="G138" s="3"/>
      <c r="H138" s="3"/>
      <c r="I138" s="3"/>
      <c r="J138" s="3" t="s">
        <v>11</v>
      </c>
      <c r="K138" s="27" t="s">
        <v>12</v>
      </c>
    </row>
    <row r="139" ht="18.6" customHeight="1" spans="1:11">
      <c r="A139" s="3">
        <v>138</v>
      </c>
      <c r="B139" s="3" t="s">
        <v>171</v>
      </c>
      <c r="C139" s="3" t="s">
        <v>3347</v>
      </c>
      <c r="D139" s="3" t="s">
        <v>151</v>
      </c>
      <c r="E139" s="3" t="s">
        <v>152</v>
      </c>
      <c r="F139" s="3"/>
      <c r="G139" s="3"/>
      <c r="H139" s="3"/>
      <c r="I139" s="3" t="s">
        <v>3771</v>
      </c>
      <c r="J139" s="3" t="s">
        <v>11</v>
      </c>
      <c r="K139" s="27" t="s">
        <v>12</v>
      </c>
    </row>
    <row r="140" ht="18.6" customHeight="1" spans="1:11">
      <c r="A140" s="3">
        <v>139</v>
      </c>
      <c r="B140" s="3" t="s">
        <v>172</v>
      </c>
      <c r="C140" s="3" t="s">
        <v>3347</v>
      </c>
      <c r="D140" s="3" t="s">
        <v>151</v>
      </c>
      <c r="E140" s="3" t="s">
        <v>152</v>
      </c>
      <c r="F140" s="3"/>
      <c r="G140" s="3"/>
      <c r="H140" s="3"/>
      <c r="I140" s="3"/>
      <c r="J140" s="3" t="s">
        <v>11</v>
      </c>
      <c r="K140" s="27" t="s">
        <v>12</v>
      </c>
    </row>
    <row r="141" ht="18.6" customHeight="1" spans="1:11">
      <c r="A141" s="3">
        <v>140</v>
      </c>
      <c r="B141" s="3" t="s">
        <v>173</v>
      </c>
      <c r="C141" s="3" t="s">
        <v>3347</v>
      </c>
      <c r="D141" s="3" t="s">
        <v>151</v>
      </c>
      <c r="E141" s="3" t="s">
        <v>174</v>
      </c>
      <c r="F141" s="3"/>
      <c r="G141" s="3"/>
      <c r="H141" s="3"/>
      <c r="I141" s="3"/>
      <c r="J141" s="3" t="s">
        <v>11</v>
      </c>
      <c r="K141" s="27" t="s">
        <v>12</v>
      </c>
    </row>
    <row r="142" ht="18.6" customHeight="1" spans="1:11">
      <c r="A142" s="3">
        <v>141</v>
      </c>
      <c r="B142" s="3" t="s">
        <v>175</v>
      </c>
      <c r="C142" s="3" t="s">
        <v>3347</v>
      </c>
      <c r="D142" s="3" t="s">
        <v>151</v>
      </c>
      <c r="E142" s="3" t="s">
        <v>152</v>
      </c>
      <c r="F142" s="3"/>
      <c r="G142" s="3"/>
      <c r="H142" s="3"/>
      <c r="I142" s="3"/>
      <c r="J142" s="3" t="s">
        <v>11</v>
      </c>
      <c r="K142" s="27" t="s">
        <v>12</v>
      </c>
    </row>
    <row r="143" ht="18.6" customHeight="1" spans="1:11">
      <c r="A143" s="3">
        <v>142</v>
      </c>
      <c r="B143" s="3" t="s">
        <v>176</v>
      </c>
      <c r="C143" s="3" t="s">
        <v>3347</v>
      </c>
      <c r="D143" s="3" t="s">
        <v>151</v>
      </c>
      <c r="E143" s="3" t="s">
        <v>152</v>
      </c>
      <c r="F143" s="3"/>
      <c r="G143" s="3"/>
      <c r="H143" s="3"/>
      <c r="I143" s="3"/>
      <c r="J143" s="3" t="s">
        <v>11</v>
      </c>
      <c r="K143" s="27" t="s">
        <v>12</v>
      </c>
    </row>
    <row r="144" ht="18.6" customHeight="1" spans="1:11">
      <c r="A144" s="3">
        <v>143</v>
      </c>
      <c r="B144" s="3" t="s">
        <v>177</v>
      </c>
      <c r="C144" s="3" t="s">
        <v>3347</v>
      </c>
      <c r="D144" s="3" t="s">
        <v>151</v>
      </c>
      <c r="E144" s="3" t="s">
        <v>152</v>
      </c>
      <c r="F144" s="3"/>
      <c r="G144" s="3"/>
      <c r="H144" s="3"/>
      <c r="I144" s="3"/>
      <c r="J144" s="3" t="s">
        <v>11</v>
      </c>
      <c r="K144" s="27" t="s">
        <v>12</v>
      </c>
    </row>
    <row r="145" ht="18.6" customHeight="1" spans="1:11">
      <c r="A145" s="3">
        <v>144</v>
      </c>
      <c r="B145" s="3" t="s">
        <v>178</v>
      </c>
      <c r="C145" s="3" t="s">
        <v>3347</v>
      </c>
      <c r="D145" s="3" t="s">
        <v>151</v>
      </c>
      <c r="E145" s="3" t="s">
        <v>179</v>
      </c>
      <c r="F145" s="3"/>
      <c r="G145" s="3"/>
      <c r="H145" s="3"/>
      <c r="I145" s="3"/>
      <c r="J145" s="3" t="s">
        <v>11</v>
      </c>
      <c r="K145" s="27" t="s">
        <v>12</v>
      </c>
    </row>
    <row r="146" ht="18.6" customHeight="1" spans="1:11">
      <c r="A146" s="3">
        <v>145</v>
      </c>
      <c r="B146" s="3" t="s">
        <v>180</v>
      </c>
      <c r="C146" s="3" t="s">
        <v>3347</v>
      </c>
      <c r="D146" s="3" t="s">
        <v>151</v>
      </c>
      <c r="E146" s="3" t="s">
        <v>181</v>
      </c>
      <c r="F146" s="3"/>
      <c r="G146" s="3"/>
      <c r="H146" s="3"/>
      <c r="I146" s="3"/>
      <c r="J146" s="3" t="s">
        <v>11</v>
      </c>
      <c r="K146" s="27" t="s">
        <v>12</v>
      </c>
    </row>
    <row r="147" ht="18.6" customHeight="1" spans="1:11">
      <c r="A147" s="3">
        <v>146</v>
      </c>
      <c r="B147" s="3" t="s">
        <v>182</v>
      </c>
      <c r="C147" s="3" t="s">
        <v>3347</v>
      </c>
      <c r="D147" s="3" t="s">
        <v>151</v>
      </c>
      <c r="E147" s="3" t="s">
        <v>183</v>
      </c>
      <c r="F147" s="3"/>
      <c r="G147" s="3"/>
      <c r="H147" s="3"/>
      <c r="I147" s="3"/>
      <c r="J147" s="3" t="s">
        <v>11</v>
      </c>
      <c r="K147" s="27" t="s">
        <v>12</v>
      </c>
    </row>
    <row r="148" ht="18.6" customHeight="1" spans="1:11">
      <c r="A148" s="3">
        <v>147</v>
      </c>
      <c r="B148" s="3" t="s">
        <v>184</v>
      </c>
      <c r="C148" s="3" t="s">
        <v>3347</v>
      </c>
      <c r="D148" s="3" t="s">
        <v>151</v>
      </c>
      <c r="E148" s="3" t="s">
        <v>152</v>
      </c>
      <c r="F148" s="3"/>
      <c r="G148" s="3"/>
      <c r="H148" s="3"/>
      <c r="I148" s="3"/>
      <c r="J148" s="3" t="s">
        <v>11</v>
      </c>
      <c r="K148" s="27" t="s">
        <v>12</v>
      </c>
    </row>
    <row r="149" ht="18.6" customHeight="1" spans="1:11">
      <c r="A149" s="3">
        <v>148</v>
      </c>
      <c r="B149" s="3" t="s">
        <v>185</v>
      </c>
      <c r="C149" s="3" t="s">
        <v>3347</v>
      </c>
      <c r="D149" s="3" t="s">
        <v>151</v>
      </c>
      <c r="E149" s="3" t="s">
        <v>152</v>
      </c>
      <c r="F149" s="3"/>
      <c r="G149" s="3"/>
      <c r="H149" s="3"/>
      <c r="I149" s="3"/>
      <c r="J149" s="3" t="s">
        <v>11</v>
      </c>
      <c r="K149" s="27" t="s">
        <v>12</v>
      </c>
    </row>
    <row r="150" ht="18.6" customHeight="1" spans="1:11">
      <c r="A150" s="3">
        <v>149</v>
      </c>
      <c r="B150" s="3" t="s">
        <v>186</v>
      </c>
      <c r="C150" s="3" t="s">
        <v>3347</v>
      </c>
      <c r="D150" s="3" t="s">
        <v>151</v>
      </c>
      <c r="E150" s="3" t="s">
        <v>187</v>
      </c>
      <c r="F150" s="3"/>
      <c r="G150" s="3"/>
      <c r="H150" s="3"/>
      <c r="I150" s="3"/>
      <c r="J150" s="3" t="s">
        <v>11</v>
      </c>
      <c r="K150" s="27" t="s">
        <v>12</v>
      </c>
    </row>
    <row r="151" ht="18.6" customHeight="1" spans="1:11">
      <c r="A151" s="3">
        <v>150</v>
      </c>
      <c r="B151" s="3" t="s">
        <v>188</v>
      </c>
      <c r="C151" s="3" t="s">
        <v>3347</v>
      </c>
      <c r="D151" s="3" t="s">
        <v>151</v>
      </c>
      <c r="E151" s="3" t="s">
        <v>157</v>
      </c>
      <c r="F151" s="3"/>
      <c r="G151" s="3"/>
      <c r="H151" s="3"/>
      <c r="I151" s="3"/>
      <c r="J151" s="3" t="s">
        <v>11</v>
      </c>
      <c r="K151" s="27" t="s">
        <v>12</v>
      </c>
    </row>
    <row r="152" ht="18.6" customHeight="1" spans="1:11">
      <c r="A152" s="3">
        <v>151</v>
      </c>
      <c r="B152" s="3" t="s">
        <v>190</v>
      </c>
      <c r="C152" s="3" t="s">
        <v>3360</v>
      </c>
      <c r="D152" s="3" t="s">
        <v>191</v>
      </c>
      <c r="E152" s="3" t="s">
        <v>192</v>
      </c>
      <c r="F152" s="3"/>
      <c r="G152" s="3">
        <v>211</v>
      </c>
      <c r="H152" s="3" t="s">
        <v>5</v>
      </c>
      <c r="I152" s="3" t="s">
        <v>3769</v>
      </c>
      <c r="J152" s="3" t="s">
        <v>11</v>
      </c>
      <c r="K152" s="27" t="s">
        <v>12</v>
      </c>
    </row>
    <row r="153" ht="18.6" customHeight="1" spans="1:11">
      <c r="A153" s="3">
        <v>152</v>
      </c>
      <c r="B153" s="3" t="s">
        <v>193</v>
      </c>
      <c r="C153" s="3" t="s">
        <v>3360</v>
      </c>
      <c r="D153" s="3" t="s">
        <v>191</v>
      </c>
      <c r="E153" s="3" t="s">
        <v>194</v>
      </c>
      <c r="F153" s="3"/>
      <c r="G153" s="3"/>
      <c r="H153" s="3"/>
      <c r="I153" s="3" t="s">
        <v>3769</v>
      </c>
      <c r="J153" s="3" t="s">
        <v>11</v>
      </c>
      <c r="K153" s="27" t="s">
        <v>12</v>
      </c>
    </row>
    <row r="154" ht="18.6" customHeight="1" spans="1:11">
      <c r="A154" s="3">
        <v>153</v>
      </c>
      <c r="B154" s="3" t="s">
        <v>195</v>
      </c>
      <c r="C154" s="3" t="s">
        <v>3360</v>
      </c>
      <c r="D154" s="3" t="s">
        <v>191</v>
      </c>
      <c r="E154" s="3" t="s">
        <v>192</v>
      </c>
      <c r="F154" s="3"/>
      <c r="G154" s="3"/>
      <c r="H154" s="3"/>
      <c r="I154" s="3" t="s">
        <v>3770</v>
      </c>
      <c r="J154" s="3" t="s">
        <v>11</v>
      </c>
      <c r="K154" s="27" t="s">
        <v>12</v>
      </c>
    </row>
    <row r="155" ht="18.6" customHeight="1" spans="1:11">
      <c r="A155" s="3">
        <v>154</v>
      </c>
      <c r="B155" s="3" t="s">
        <v>196</v>
      </c>
      <c r="C155" s="3" t="s">
        <v>3360</v>
      </c>
      <c r="D155" s="3" t="s">
        <v>191</v>
      </c>
      <c r="E155" s="3" t="s">
        <v>192</v>
      </c>
      <c r="F155" s="3"/>
      <c r="G155" s="3"/>
      <c r="H155" s="3"/>
      <c r="I155" s="3" t="s">
        <v>3773</v>
      </c>
      <c r="J155" s="3" t="s">
        <v>11</v>
      </c>
      <c r="K155" s="27" t="s">
        <v>12</v>
      </c>
    </row>
    <row r="156" ht="18.6" customHeight="1" spans="1:11">
      <c r="A156" s="3">
        <v>155</v>
      </c>
      <c r="B156" s="3" t="s">
        <v>197</v>
      </c>
      <c r="C156" s="3" t="s">
        <v>3360</v>
      </c>
      <c r="D156" s="3" t="s">
        <v>191</v>
      </c>
      <c r="E156" s="3" t="s">
        <v>192</v>
      </c>
      <c r="F156" s="3"/>
      <c r="G156" s="3"/>
      <c r="H156" s="3"/>
      <c r="I156" s="3"/>
      <c r="J156" s="3" t="s">
        <v>11</v>
      </c>
      <c r="K156" s="27" t="s">
        <v>12</v>
      </c>
    </row>
    <row r="157" ht="18.6" customHeight="1" spans="1:11">
      <c r="A157" s="3">
        <v>156</v>
      </c>
      <c r="B157" s="3" t="s">
        <v>198</v>
      </c>
      <c r="C157" s="3" t="s">
        <v>3360</v>
      </c>
      <c r="D157" s="3" t="s">
        <v>191</v>
      </c>
      <c r="E157" s="3" t="s">
        <v>192</v>
      </c>
      <c r="F157" s="3"/>
      <c r="G157" s="3"/>
      <c r="H157" s="3"/>
      <c r="I157" s="3" t="s">
        <v>3776</v>
      </c>
      <c r="J157" s="3" t="s">
        <v>11</v>
      </c>
      <c r="K157" s="27" t="s">
        <v>12</v>
      </c>
    </row>
    <row r="158" ht="18.6" customHeight="1" spans="1:11">
      <c r="A158" s="3">
        <v>157</v>
      </c>
      <c r="B158" s="3" t="s">
        <v>199</v>
      </c>
      <c r="C158" s="3" t="s">
        <v>3360</v>
      </c>
      <c r="D158" s="3" t="s">
        <v>191</v>
      </c>
      <c r="E158" s="3" t="s">
        <v>200</v>
      </c>
      <c r="F158" s="3"/>
      <c r="G158" s="3"/>
      <c r="H158" s="3"/>
      <c r="I158" s="3"/>
      <c r="J158" s="3" t="s">
        <v>11</v>
      </c>
      <c r="K158" s="27" t="s">
        <v>12</v>
      </c>
    </row>
    <row r="159" ht="18.6" customHeight="1" spans="1:11">
      <c r="A159" s="3">
        <v>158</v>
      </c>
      <c r="B159" s="3" t="s">
        <v>3364</v>
      </c>
      <c r="C159" s="3" t="s">
        <v>3360</v>
      </c>
      <c r="D159" s="3" t="s">
        <v>191</v>
      </c>
      <c r="E159" s="3" t="s">
        <v>202</v>
      </c>
      <c r="F159" s="3"/>
      <c r="G159" s="3"/>
      <c r="H159" s="3"/>
      <c r="I159" s="3"/>
      <c r="J159" s="3" t="s">
        <v>11</v>
      </c>
      <c r="K159" s="27" t="s">
        <v>12</v>
      </c>
    </row>
    <row r="160" ht="18.6" customHeight="1" spans="1:11">
      <c r="A160" s="3">
        <v>159</v>
      </c>
      <c r="B160" s="3" t="s">
        <v>203</v>
      </c>
      <c r="C160" s="3" t="s">
        <v>3360</v>
      </c>
      <c r="D160" s="3" t="s">
        <v>191</v>
      </c>
      <c r="E160" s="3" t="s">
        <v>192</v>
      </c>
      <c r="F160" s="3"/>
      <c r="G160" s="3"/>
      <c r="H160" s="3"/>
      <c r="I160" s="3"/>
      <c r="J160" s="3" t="s">
        <v>11</v>
      </c>
      <c r="K160" s="27" t="s">
        <v>12</v>
      </c>
    </row>
    <row r="161" ht="18.6" customHeight="1" spans="1:11">
      <c r="A161" s="3">
        <v>160</v>
      </c>
      <c r="B161" s="3" t="s">
        <v>204</v>
      </c>
      <c r="C161" s="3" t="s">
        <v>3360</v>
      </c>
      <c r="D161" s="3" t="s">
        <v>191</v>
      </c>
      <c r="E161" s="3" t="s">
        <v>205</v>
      </c>
      <c r="F161" s="3"/>
      <c r="G161" s="3"/>
      <c r="H161" s="3"/>
      <c r="I161" s="3"/>
      <c r="J161" s="3" t="s">
        <v>11</v>
      </c>
      <c r="K161" s="27" t="s">
        <v>12</v>
      </c>
    </row>
    <row r="162" ht="18.6" customHeight="1" spans="1:11">
      <c r="A162" s="3">
        <v>161</v>
      </c>
      <c r="B162" s="3" t="s">
        <v>206</v>
      </c>
      <c r="C162" s="3" t="s">
        <v>3360</v>
      </c>
      <c r="D162" s="3" t="s">
        <v>191</v>
      </c>
      <c r="E162" s="3" t="s">
        <v>207</v>
      </c>
      <c r="F162" s="3"/>
      <c r="G162" s="3"/>
      <c r="H162" s="3"/>
      <c r="I162" s="3"/>
      <c r="J162" s="3" t="s">
        <v>11</v>
      </c>
      <c r="K162" s="27" t="s">
        <v>12</v>
      </c>
    </row>
    <row r="163" ht="18.6" customHeight="1" spans="1:11">
      <c r="A163" s="3">
        <v>162</v>
      </c>
      <c r="B163" s="3" t="s">
        <v>208</v>
      </c>
      <c r="C163" s="3" t="s">
        <v>3360</v>
      </c>
      <c r="D163" s="3" t="s">
        <v>191</v>
      </c>
      <c r="E163" s="3" t="s">
        <v>209</v>
      </c>
      <c r="F163" s="3"/>
      <c r="G163" s="3"/>
      <c r="H163" s="3"/>
      <c r="I163" s="3"/>
      <c r="J163" s="3" t="s">
        <v>11</v>
      </c>
      <c r="K163" s="27" t="s">
        <v>12</v>
      </c>
    </row>
    <row r="164" ht="18.6" customHeight="1" spans="1:11">
      <c r="A164" s="3">
        <v>163</v>
      </c>
      <c r="B164" s="3" t="s">
        <v>210</v>
      </c>
      <c r="C164" s="3" t="s">
        <v>3360</v>
      </c>
      <c r="D164" s="3" t="s">
        <v>191</v>
      </c>
      <c r="E164" s="3" t="s">
        <v>192</v>
      </c>
      <c r="F164" s="3"/>
      <c r="G164" s="3"/>
      <c r="H164" s="3"/>
      <c r="I164" s="3"/>
      <c r="J164" s="3" t="s">
        <v>11</v>
      </c>
      <c r="K164" s="27" t="s">
        <v>12</v>
      </c>
    </row>
    <row r="165" ht="18.6" customHeight="1" spans="1:11">
      <c r="A165" s="3">
        <v>164</v>
      </c>
      <c r="B165" s="3" t="s">
        <v>211</v>
      </c>
      <c r="C165" s="3" t="s">
        <v>3360</v>
      </c>
      <c r="D165" s="3" t="s">
        <v>191</v>
      </c>
      <c r="E165" s="3" t="s">
        <v>192</v>
      </c>
      <c r="F165" s="3"/>
      <c r="G165" s="3"/>
      <c r="H165" s="3"/>
      <c r="I165" s="3"/>
      <c r="J165" s="3" t="s">
        <v>11</v>
      </c>
      <c r="K165" s="27" t="s">
        <v>12</v>
      </c>
    </row>
    <row r="166" ht="18.6" customHeight="1" spans="1:11">
      <c r="A166" s="3">
        <v>165</v>
      </c>
      <c r="B166" s="3" t="s">
        <v>212</v>
      </c>
      <c r="C166" s="3" t="s">
        <v>3360</v>
      </c>
      <c r="D166" s="3" t="s">
        <v>191</v>
      </c>
      <c r="E166" s="3" t="s">
        <v>213</v>
      </c>
      <c r="F166" s="3"/>
      <c r="G166" s="3"/>
      <c r="H166" s="3"/>
      <c r="I166" s="3"/>
      <c r="J166" s="3" t="s">
        <v>11</v>
      </c>
      <c r="K166" s="27" t="s">
        <v>12</v>
      </c>
    </row>
    <row r="167" ht="18.6" customHeight="1" spans="1:11">
      <c r="A167" s="3">
        <v>166</v>
      </c>
      <c r="B167" s="3" t="s">
        <v>219</v>
      </c>
      <c r="C167" s="3" t="s">
        <v>3375</v>
      </c>
      <c r="D167" s="3" t="s">
        <v>220</v>
      </c>
      <c r="E167" s="3" t="s">
        <v>221</v>
      </c>
      <c r="F167" s="3"/>
      <c r="G167" s="3">
        <v>211</v>
      </c>
      <c r="H167" s="3" t="s">
        <v>5</v>
      </c>
      <c r="I167" s="3" t="s">
        <v>3769</v>
      </c>
      <c r="J167" s="3" t="s">
        <v>11</v>
      </c>
      <c r="K167" s="27" t="s">
        <v>12</v>
      </c>
    </row>
    <row r="168" ht="18.6" customHeight="1" spans="1:11">
      <c r="A168" s="3">
        <v>167</v>
      </c>
      <c r="B168" s="3" t="s">
        <v>222</v>
      </c>
      <c r="C168" s="3" t="s">
        <v>3309</v>
      </c>
      <c r="D168" s="3" t="s">
        <v>220</v>
      </c>
      <c r="E168" s="3" t="s">
        <v>223</v>
      </c>
      <c r="F168" s="3">
        <v>985</v>
      </c>
      <c r="G168" s="3">
        <v>211</v>
      </c>
      <c r="H168" s="3" t="s">
        <v>5</v>
      </c>
      <c r="I168" s="3" t="s">
        <v>3770</v>
      </c>
      <c r="J168" s="3" t="s">
        <v>11</v>
      </c>
      <c r="K168" s="27" t="s">
        <v>12</v>
      </c>
    </row>
    <row r="169" ht="18.6" customHeight="1" spans="1:11">
      <c r="A169" s="3">
        <v>168</v>
      </c>
      <c r="B169" s="3" t="s">
        <v>224</v>
      </c>
      <c r="C169" s="3" t="s">
        <v>3375</v>
      </c>
      <c r="D169" s="3" t="s">
        <v>220</v>
      </c>
      <c r="E169" s="3" t="s">
        <v>221</v>
      </c>
      <c r="F169" s="3"/>
      <c r="G169" s="3"/>
      <c r="H169" s="3"/>
      <c r="I169" s="3" t="s">
        <v>3770</v>
      </c>
      <c r="J169" s="3" t="s">
        <v>11</v>
      </c>
      <c r="K169" s="27" t="s">
        <v>12</v>
      </c>
    </row>
    <row r="170" ht="18.6" customHeight="1" spans="1:11">
      <c r="A170" s="3">
        <v>169</v>
      </c>
      <c r="B170" s="3" t="s">
        <v>225</v>
      </c>
      <c r="C170" s="3" t="s">
        <v>3375</v>
      </c>
      <c r="D170" s="3" t="s">
        <v>220</v>
      </c>
      <c r="E170" s="3" t="s">
        <v>221</v>
      </c>
      <c r="F170" s="3"/>
      <c r="G170" s="3"/>
      <c r="H170" s="3"/>
      <c r="I170" s="3" t="s">
        <v>3770</v>
      </c>
      <c r="J170" s="3" t="s">
        <v>11</v>
      </c>
      <c r="K170" s="27" t="s">
        <v>12</v>
      </c>
    </row>
    <row r="171" ht="18.6" customHeight="1" spans="1:11">
      <c r="A171" s="3">
        <v>170</v>
      </c>
      <c r="B171" s="3" t="s">
        <v>226</v>
      </c>
      <c r="C171" s="3" t="s">
        <v>3375</v>
      </c>
      <c r="D171" s="3" t="s">
        <v>220</v>
      </c>
      <c r="E171" s="3" t="s">
        <v>221</v>
      </c>
      <c r="F171" s="3"/>
      <c r="G171" s="3"/>
      <c r="H171" s="3"/>
      <c r="I171" s="3" t="s">
        <v>3770</v>
      </c>
      <c r="J171" s="3" t="s">
        <v>11</v>
      </c>
      <c r="K171" s="27" t="s">
        <v>12</v>
      </c>
    </row>
    <row r="172" ht="18.6" customHeight="1" spans="1:11">
      <c r="A172" s="3">
        <v>171</v>
      </c>
      <c r="B172" s="3" t="s">
        <v>227</v>
      </c>
      <c r="C172" s="3" t="s">
        <v>3309</v>
      </c>
      <c r="D172" s="3" t="s">
        <v>220</v>
      </c>
      <c r="E172" s="3" t="s">
        <v>221</v>
      </c>
      <c r="F172" s="3">
        <v>985</v>
      </c>
      <c r="G172" s="3">
        <v>211</v>
      </c>
      <c r="H172" s="3" t="s">
        <v>5</v>
      </c>
      <c r="I172" s="3" t="s">
        <v>3770</v>
      </c>
      <c r="J172" s="3" t="s">
        <v>11</v>
      </c>
      <c r="K172" s="27" t="s">
        <v>12</v>
      </c>
    </row>
    <row r="173" ht="18.6" customHeight="1" spans="1:11">
      <c r="A173" s="3">
        <v>172</v>
      </c>
      <c r="B173" s="3" t="s">
        <v>228</v>
      </c>
      <c r="C173" s="3" t="s">
        <v>3375</v>
      </c>
      <c r="D173" s="3" t="s">
        <v>220</v>
      </c>
      <c r="E173" s="3" t="s">
        <v>229</v>
      </c>
      <c r="F173" s="3"/>
      <c r="G173" s="3"/>
      <c r="H173" s="3"/>
      <c r="I173" s="3" t="s">
        <v>3770</v>
      </c>
      <c r="J173" s="3" t="s">
        <v>11</v>
      </c>
      <c r="K173" s="27" t="s">
        <v>12</v>
      </c>
    </row>
    <row r="174" ht="18.6" customHeight="1" spans="1:11">
      <c r="A174" s="3">
        <v>173</v>
      </c>
      <c r="B174" s="3" t="s">
        <v>230</v>
      </c>
      <c r="C174" s="3" t="s">
        <v>3375</v>
      </c>
      <c r="D174" s="3" t="s">
        <v>220</v>
      </c>
      <c r="E174" s="3" t="s">
        <v>231</v>
      </c>
      <c r="F174" s="3"/>
      <c r="G174" s="3"/>
      <c r="H174" s="3"/>
      <c r="I174" s="3" t="s">
        <v>3770</v>
      </c>
      <c r="J174" s="3" t="s">
        <v>11</v>
      </c>
      <c r="K174" s="27" t="s">
        <v>12</v>
      </c>
    </row>
    <row r="175" ht="18.6" customHeight="1" spans="1:11">
      <c r="A175" s="3">
        <v>174</v>
      </c>
      <c r="B175" s="3" t="s">
        <v>232</v>
      </c>
      <c r="C175" s="3" t="s">
        <v>3375</v>
      </c>
      <c r="D175" s="3" t="s">
        <v>220</v>
      </c>
      <c r="E175" s="3" t="s">
        <v>233</v>
      </c>
      <c r="F175" s="3"/>
      <c r="G175" s="3"/>
      <c r="H175" s="3"/>
      <c r="I175" s="3" t="s">
        <v>3770</v>
      </c>
      <c r="J175" s="3" t="s">
        <v>11</v>
      </c>
      <c r="K175" s="27" t="s">
        <v>12</v>
      </c>
    </row>
    <row r="176" ht="18.6" customHeight="1" spans="1:11">
      <c r="A176" s="3">
        <v>175</v>
      </c>
      <c r="B176" s="3" t="s">
        <v>234</v>
      </c>
      <c r="C176" s="3" t="s">
        <v>3375</v>
      </c>
      <c r="D176" s="3" t="s">
        <v>220</v>
      </c>
      <c r="E176" s="3" t="s">
        <v>221</v>
      </c>
      <c r="F176" s="3"/>
      <c r="G176" s="3"/>
      <c r="H176" s="3"/>
      <c r="I176" s="3" t="s">
        <v>3770</v>
      </c>
      <c r="J176" s="3" t="s">
        <v>11</v>
      </c>
      <c r="K176" s="27" t="s">
        <v>12</v>
      </c>
    </row>
    <row r="177" ht="18.6" customHeight="1" spans="1:11">
      <c r="A177" s="3">
        <v>176</v>
      </c>
      <c r="B177" s="3" t="s">
        <v>235</v>
      </c>
      <c r="C177" s="3" t="s">
        <v>3375</v>
      </c>
      <c r="D177" s="3" t="s">
        <v>220</v>
      </c>
      <c r="E177" s="3" t="s">
        <v>223</v>
      </c>
      <c r="F177" s="3"/>
      <c r="G177" s="3"/>
      <c r="H177" s="3"/>
      <c r="I177" s="3" t="s">
        <v>3770</v>
      </c>
      <c r="J177" s="3" t="s">
        <v>11</v>
      </c>
      <c r="K177" s="27" t="s">
        <v>12</v>
      </c>
    </row>
    <row r="178" ht="18.6" customHeight="1" spans="1:11">
      <c r="A178" s="3">
        <v>177</v>
      </c>
      <c r="B178" s="3" t="s">
        <v>236</v>
      </c>
      <c r="C178" s="3" t="s">
        <v>3381</v>
      </c>
      <c r="D178" s="3" t="s">
        <v>220</v>
      </c>
      <c r="E178" s="3" t="s">
        <v>223</v>
      </c>
      <c r="F178" s="3"/>
      <c r="G178" s="3">
        <v>211</v>
      </c>
      <c r="H178" s="3" t="s">
        <v>5</v>
      </c>
      <c r="I178" s="3" t="s">
        <v>3770</v>
      </c>
      <c r="J178" s="3" t="s">
        <v>11</v>
      </c>
      <c r="K178" s="27" t="s">
        <v>12</v>
      </c>
    </row>
    <row r="179" ht="18.6" customHeight="1" spans="1:11">
      <c r="A179" s="3">
        <v>178</v>
      </c>
      <c r="B179" s="3" t="s">
        <v>237</v>
      </c>
      <c r="C179" s="3" t="s">
        <v>3375</v>
      </c>
      <c r="D179" s="3" t="s">
        <v>220</v>
      </c>
      <c r="E179" s="3" t="s">
        <v>223</v>
      </c>
      <c r="F179" s="3"/>
      <c r="G179" s="3"/>
      <c r="H179" s="3"/>
      <c r="I179" s="3" t="s">
        <v>3770</v>
      </c>
      <c r="J179" s="3" t="s">
        <v>11</v>
      </c>
      <c r="K179" s="27" t="s">
        <v>12</v>
      </c>
    </row>
    <row r="180" ht="18.6" customHeight="1" spans="1:11">
      <c r="A180" s="3">
        <v>179</v>
      </c>
      <c r="B180" s="3" t="s">
        <v>238</v>
      </c>
      <c r="C180" s="3" t="s">
        <v>3375</v>
      </c>
      <c r="D180" s="3" t="s">
        <v>220</v>
      </c>
      <c r="E180" s="3" t="s">
        <v>221</v>
      </c>
      <c r="F180" s="3"/>
      <c r="G180" s="3"/>
      <c r="H180" s="3"/>
      <c r="I180" s="3" t="s">
        <v>3770</v>
      </c>
      <c r="J180" s="3" t="s">
        <v>11</v>
      </c>
      <c r="K180" s="27" t="s">
        <v>12</v>
      </c>
    </row>
    <row r="181" ht="18.6" customHeight="1" spans="1:11">
      <c r="A181" s="3">
        <v>180</v>
      </c>
      <c r="B181" s="3" t="s">
        <v>239</v>
      </c>
      <c r="C181" s="3" t="s">
        <v>3375</v>
      </c>
      <c r="D181" s="3" t="s">
        <v>220</v>
      </c>
      <c r="E181" s="3" t="s">
        <v>240</v>
      </c>
      <c r="F181" s="3"/>
      <c r="G181" s="3"/>
      <c r="H181" s="3"/>
      <c r="I181" s="3"/>
      <c r="J181" s="3" t="s">
        <v>11</v>
      </c>
      <c r="K181" s="27" t="s">
        <v>12</v>
      </c>
    </row>
    <row r="182" ht="18.6" customHeight="1" spans="1:11">
      <c r="A182" s="3">
        <v>181</v>
      </c>
      <c r="B182" s="3" t="s">
        <v>241</v>
      </c>
      <c r="C182" s="3" t="s">
        <v>3375</v>
      </c>
      <c r="D182" s="3" t="s">
        <v>220</v>
      </c>
      <c r="E182" s="3" t="s">
        <v>221</v>
      </c>
      <c r="F182" s="3"/>
      <c r="G182" s="3"/>
      <c r="H182" s="3"/>
      <c r="I182" s="3" t="s">
        <v>3773</v>
      </c>
      <c r="J182" s="3" t="s">
        <v>11</v>
      </c>
      <c r="K182" s="27" t="s">
        <v>12</v>
      </c>
    </row>
    <row r="183" ht="18.6" customHeight="1" spans="1:11">
      <c r="A183" s="3">
        <v>182</v>
      </c>
      <c r="B183" s="3" t="s">
        <v>242</v>
      </c>
      <c r="C183" s="3" t="s">
        <v>3375</v>
      </c>
      <c r="D183" s="3" t="s">
        <v>220</v>
      </c>
      <c r="E183" s="3" t="s">
        <v>223</v>
      </c>
      <c r="F183" s="3"/>
      <c r="G183" s="3"/>
      <c r="H183" s="3"/>
      <c r="I183" s="3" t="s">
        <v>3773</v>
      </c>
      <c r="J183" s="3" t="s">
        <v>11</v>
      </c>
      <c r="K183" s="27" t="s">
        <v>12</v>
      </c>
    </row>
    <row r="184" ht="18.6" customHeight="1" spans="1:11">
      <c r="A184" s="3">
        <v>183</v>
      </c>
      <c r="B184" s="3" t="s">
        <v>243</v>
      </c>
      <c r="C184" s="3" t="s">
        <v>3375</v>
      </c>
      <c r="D184" s="3" t="s">
        <v>220</v>
      </c>
      <c r="E184" s="3" t="s">
        <v>221</v>
      </c>
      <c r="F184" s="3"/>
      <c r="G184" s="3"/>
      <c r="H184" s="3"/>
      <c r="I184" s="3" t="s">
        <v>3775</v>
      </c>
      <c r="J184" s="3" t="s">
        <v>11</v>
      </c>
      <c r="K184" s="27" t="s">
        <v>12</v>
      </c>
    </row>
    <row r="185" ht="18.6" customHeight="1" spans="1:11">
      <c r="A185" s="3">
        <v>184</v>
      </c>
      <c r="B185" s="3" t="s">
        <v>244</v>
      </c>
      <c r="C185" s="3" t="s">
        <v>3375</v>
      </c>
      <c r="D185" s="3" t="s">
        <v>220</v>
      </c>
      <c r="E185" s="3" t="s">
        <v>240</v>
      </c>
      <c r="F185" s="3"/>
      <c r="G185" s="3"/>
      <c r="H185" s="3"/>
      <c r="I185" s="3"/>
      <c r="J185" s="3" t="s">
        <v>11</v>
      </c>
      <c r="K185" s="27" t="s">
        <v>12</v>
      </c>
    </row>
    <row r="186" ht="18.6" customHeight="1" spans="1:11">
      <c r="A186" s="3">
        <v>185</v>
      </c>
      <c r="B186" s="3" t="s">
        <v>245</v>
      </c>
      <c r="C186" s="3" t="s">
        <v>3375</v>
      </c>
      <c r="D186" s="3" t="s">
        <v>220</v>
      </c>
      <c r="E186" s="3" t="s">
        <v>223</v>
      </c>
      <c r="F186" s="3"/>
      <c r="G186" s="3"/>
      <c r="H186" s="3"/>
      <c r="I186" s="3" t="s">
        <v>3775</v>
      </c>
      <c r="J186" s="3" t="s">
        <v>11</v>
      </c>
      <c r="K186" s="27" t="s">
        <v>12</v>
      </c>
    </row>
    <row r="187" ht="18.6" customHeight="1" spans="1:11">
      <c r="A187" s="3">
        <v>186</v>
      </c>
      <c r="B187" s="3" t="s">
        <v>246</v>
      </c>
      <c r="C187" s="3" t="s">
        <v>3375</v>
      </c>
      <c r="D187" s="3" t="s">
        <v>220</v>
      </c>
      <c r="E187" s="3" t="s">
        <v>221</v>
      </c>
      <c r="F187" s="3"/>
      <c r="G187" s="3"/>
      <c r="H187" s="3"/>
      <c r="I187" s="3" t="s">
        <v>3775</v>
      </c>
      <c r="J187" s="3" t="s">
        <v>11</v>
      </c>
      <c r="K187" s="27" t="s">
        <v>12</v>
      </c>
    </row>
    <row r="188" ht="18.6" customHeight="1" spans="1:11">
      <c r="A188" s="3">
        <v>187</v>
      </c>
      <c r="B188" s="3" t="s">
        <v>247</v>
      </c>
      <c r="C188" s="3" t="s">
        <v>3375</v>
      </c>
      <c r="D188" s="3" t="s">
        <v>220</v>
      </c>
      <c r="E188" s="3" t="s">
        <v>221</v>
      </c>
      <c r="F188" s="3"/>
      <c r="G188" s="3"/>
      <c r="H188" s="3"/>
      <c r="I188" s="3" t="s">
        <v>3775</v>
      </c>
      <c r="J188" s="3" t="s">
        <v>11</v>
      </c>
      <c r="K188" s="27" t="s">
        <v>12</v>
      </c>
    </row>
    <row r="189" ht="18.6" customHeight="1" spans="1:11">
      <c r="A189" s="3">
        <v>188</v>
      </c>
      <c r="B189" s="3" t="s">
        <v>248</v>
      </c>
      <c r="C189" s="3" t="s">
        <v>3375</v>
      </c>
      <c r="D189" s="3" t="s">
        <v>220</v>
      </c>
      <c r="E189" s="3" t="s">
        <v>221</v>
      </c>
      <c r="F189" s="3"/>
      <c r="G189" s="3"/>
      <c r="H189" s="3"/>
      <c r="I189" s="3"/>
      <c r="J189" s="3" t="s">
        <v>11</v>
      </c>
      <c r="K189" s="27" t="s">
        <v>12</v>
      </c>
    </row>
    <row r="190" ht="18.6" customHeight="1" spans="1:11">
      <c r="A190" s="3">
        <v>189</v>
      </c>
      <c r="B190" s="3" t="s">
        <v>249</v>
      </c>
      <c r="C190" s="3" t="s">
        <v>3375</v>
      </c>
      <c r="D190" s="3" t="s">
        <v>220</v>
      </c>
      <c r="E190" s="3" t="s">
        <v>223</v>
      </c>
      <c r="F190" s="3"/>
      <c r="G190" s="3"/>
      <c r="H190" s="3"/>
      <c r="I190" s="3" t="s">
        <v>3776</v>
      </c>
      <c r="J190" s="3" t="s">
        <v>11</v>
      </c>
      <c r="K190" s="27" t="s">
        <v>12</v>
      </c>
    </row>
    <row r="191" ht="18.6" customHeight="1" spans="1:11">
      <c r="A191" s="3">
        <v>190</v>
      </c>
      <c r="B191" s="3" t="s">
        <v>250</v>
      </c>
      <c r="C191" s="3" t="s">
        <v>3375</v>
      </c>
      <c r="D191" s="3" t="s">
        <v>220</v>
      </c>
      <c r="E191" s="3" t="s">
        <v>221</v>
      </c>
      <c r="F191" s="3"/>
      <c r="G191" s="3"/>
      <c r="H191" s="3"/>
      <c r="I191" s="3" t="s">
        <v>3776</v>
      </c>
      <c r="J191" s="3" t="s">
        <v>11</v>
      </c>
      <c r="K191" s="27" t="s">
        <v>12</v>
      </c>
    </row>
    <row r="192" ht="18.6" customHeight="1" spans="1:11">
      <c r="A192" s="3">
        <v>191</v>
      </c>
      <c r="B192" s="3" t="s">
        <v>251</v>
      </c>
      <c r="C192" s="3" t="s">
        <v>3375</v>
      </c>
      <c r="D192" s="3" t="s">
        <v>220</v>
      </c>
      <c r="E192" s="3" t="s">
        <v>240</v>
      </c>
      <c r="F192" s="3"/>
      <c r="G192" s="3"/>
      <c r="H192" s="3"/>
      <c r="I192" s="3" t="s">
        <v>3769</v>
      </c>
      <c r="J192" s="3" t="s">
        <v>11</v>
      </c>
      <c r="K192" s="27" t="s">
        <v>12</v>
      </c>
    </row>
    <row r="193" ht="18.6" customHeight="1" spans="1:11">
      <c r="A193" s="3">
        <v>192</v>
      </c>
      <c r="B193" s="3" t="s">
        <v>252</v>
      </c>
      <c r="C193" s="3" t="s">
        <v>3375</v>
      </c>
      <c r="D193" s="3" t="s">
        <v>220</v>
      </c>
      <c r="E193" s="3" t="s">
        <v>229</v>
      </c>
      <c r="F193" s="3"/>
      <c r="G193" s="3"/>
      <c r="H193" s="3"/>
      <c r="I193" s="3"/>
      <c r="J193" s="3" t="s">
        <v>11</v>
      </c>
      <c r="K193" s="27" t="s">
        <v>12</v>
      </c>
    </row>
    <row r="194" ht="18.6" customHeight="1" spans="1:11">
      <c r="A194" s="3">
        <v>193</v>
      </c>
      <c r="B194" s="3" t="s">
        <v>253</v>
      </c>
      <c r="C194" s="3" t="s">
        <v>3375</v>
      </c>
      <c r="D194" s="3" t="s">
        <v>220</v>
      </c>
      <c r="E194" s="3" t="s">
        <v>223</v>
      </c>
      <c r="F194" s="3"/>
      <c r="G194" s="3"/>
      <c r="H194" s="3"/>
      <c r="I194" s="3" t="s">
        <v>3778</v>
      </c>
      <c r="J194" s="3" t="s">
        <v>11</v>
      </c>
      <c r="K194" s="27" t="s">
        <v>12</v>
      </c>
    </row>
    <row r="195" ht="18.6" customHeight="1" spans="1:11">
      <c r="A195" s="3">
        <v>194</v>
      </c>
      <c r="B195" s="3" t="s">
        <v>254</v>
      </c>
      <c r="C195" s="3" t="s">
        <v>3375</v>
      </c>
      <c r="D195" s="3" t="s">
        <v>220</v>
      </c>
      <c r="E195" s="3" t="s">
        <v>223</v>
      </c>
      <c r="F195" s="3"/>
      <c r="G195" s="3"/>
      <c r="H195" s="3"/>
      <c r="I195" s="3" t="s">
        <v>3771</v>
      </c>
      <c r="J195" s="3" t="s">
        <v>11</v>
      </c>
      <c r="K195" s="27" t="s">
        <v>12</v>
      </c>
    </row>
    <row r="196" ht="18.6" customHeight="1" spans="1:11">
      <c r="A196" s="3">
        <v>195</v>
      </c>
      <c r="B196" s="3" t="s">
        <v>255</v>
      </c>
      <c r="C196" s="3" t="s">
        <v>3316</v>
      </c>
      <c r="D196" s="3" t="s">
        <v>220</v>
      </c>
      <c r="E196" s="3" t="s">
        <v>221</v>
      </c>
      <c r="F196" s="3"/>
      <c r="G196" s="3"/>
      <c r="H196" s="3"/>
      <c r="I196" s="3" t="s">
        <v>3779</v>
      </c>
      <c r="J196" s="3" t="s">
        <v>11</v>
      </c>
      <c r="K196" s="27" t="s">
        <v>12</v>
      </c>
    </row>
    <row r="197" ht="18.6" customHeight="1" spans="1:11">
      <c r="A197" s="3">
        <v>196</v>
      </c>
      <c r="B197" s="3" t="s">
        <v>256</v>
      </c>
      <c r="C197" s="3" t="s">
        <v>3375</v>
      </c>
      <c r="D197" s="3" t="s">
        <v>220</v>
      </c>
      <c r="E197" s="3" t="s">
        <v>221</v>
      </c>
      <c r="F197" s="3"/>
      <c r="G197" s="3"/>
      <c r="H197" s="3"/>
      <c r="I197" s="3"/>
      <c r="J197" s="3" t="s">
        <v>11</v>
      </c>
      <c r="K197" s="27" t="s">
        <v>12</v>
      </c>
    </row>
    <row r="198" ht="18.6" customHeight="1" spans="1:11">
      <c r="A198" s="3">
        <v>197</v>
      </c>
      <c r="B198" s="3" t="s">
        <v>257</v>
      </c>
      <c r="C198" s="3" t="s">
        <v>3375</v>
      </c>
      <c r="D198" s="3" t="s">
        <v>220</v>
      </c>
      <c r="E198" s="3" t="s">
        <v>221</v>
      </c>
      <c r="F198" s="3"/>
      <c r="G198" s="3"/>
      <c r="H198" s="3"/>
      <c r="I198" s="3"/>
      <c r="J198" s="3" t="s">
        <v>11</v>
      </c>
      <c r="K198" s="27" t="s">
        <v>12</v>
      </c>
    </row>
    <row r="199" ht="18.6" customHeight="1" spans="1:11">
      <c r="A199" s="3">
        <v>198</v>
      </c>
      <c r="B199" s="3" t="s">
        <v>258</v>
      </c>
      <c r="C199" s="3" t="s">
        <v>3375</v>
      </c>
      <c r="D199" s="3" t="s">
        <v>220</v>
      </c>
      <c r="E199" s="3" t="s">
        <v>221</v>
      </c>
      <c r="F199" s="3"/>
      <c r="G199" s="3"/>
      <c r="H199" s="3"/>
      <c r="I199" s="3"/>
      <c r="J199" s="3" t="s">
        <v>11</v>
      </c>
      <c r="K199" s="27" t="s">
        <v>12</v>
      </c>
    </row>
    <row r="200" ht="18.6" customHeight="1" spans="1:11">
      <c r="A200" s="3">
        <v>199</v>
      </c>
      <c r="B200" s="3" t="s">
        <v>259</v>
      </c>
      <c r="C200" s="3" t="s">
        <v>3375</v>
      </c>
      <c r="D200" s="3" t="s">
        <v>220</v>
      </c>
      <c r="E200" s="3" t="s">
        <v>221</v>
      </c>
      <c r="F200" s="3"/>
      <c r="G200" s="3"/>
      <c r="H200" s="3"/>
      <c r="I200" s="3"/>
      <c r="J200" s="3" t="s">
        <v>11</v>
      </c>
      <c r="K200" s="27" t="s">
        <v>12</v>
      </c>
    </row>
    <row r="201" ht="18.6" customHeight="1" spans="1:11">
      <c r="A201" s="3">
        <v>200</v>
      </c>
      <c r="B201" s="3" t="s">
        <v>260</v>
      </c>
      <c r="C201" s="3" t="s">
        <v>3375</v>
      </c>
      <c r="D201" s="3" t="s">
        <v>220</v>
      </c>
      <c r="E201" s="3" t="s">
        <v>223</v>
      </c>
      <c r="F201" s="3"/>
      <c r="G201" s="3"/>
      <c r="H201" s="3"/>
      <c r="I201" s="3" t="s">
        <v>3769</v>
      </c>
      <c r="J201" s="3" t="s">
        <v>11</v>
      </c>
      <c r="K201" s="27" t="s">
        <v>12</v>
      </c>
    </row>
    <row r="202" ht="18.6" customHeight="1" spans="1:11">
      <c r="A202" s="3">
        <v>201</v>
      </c>
      <c r="B202" s="3" t="s">
        <v>261</v>
      </c>
      <c r="C202" s="3" t="s">
        <v>3375</v>
      </c>
      <c r="D202" s="3" t="s">
        <v>220</v>
      </c>
      <c r="E202" s="3" t="s">
        <v>262</v>
      </c>
      <c r="F202" s="3"/>
      <c r="G202" s="3"/>
      <c r="H202" s="3"/>
      <c r="I202" s="3"/>
      <c r="J202" s="3" t="s">
        <v>11</v>
      </c>
      <c r="K202" s="27" t="s">
        <v>12</v>
      </c>
    </row>
    <row r="203" ht="18.6" customHeight="1" spans="1:11">
      <c r="A203" s="3">
        <v>202</v>
      </c>
      <c r="B203" s="3" t="s">
        <v>263</v>
      </c>
      <c r="C203" s="3" t="s">
        <v>3375</v>
      </c>
      <c r="D203" s="3" t="s">
        <v>220</v>
      </c>
      <c r="E203" s="3" t="s">
        <v>223</v>
      </c>
      <c r="F203" s="3"/>
      <c r="G203" s="3"/>
      <c r="H203" s="3"/>
      <c r="I203" s="3"/>
      <c r="J203" s="3" t="s">
        <v>11</v>
      </c>
      <c r="K203" s="27" t="s">
        <v>12</v>
      </c>
    </row>
    <row r="204" ht="18.6" customHeight="1" spans="1:11">
      <c r="A204" s="3">
        <v>203</v>
      </c>
      <c r="B204" s="3" t="s">
        <v>264</v>
      </c>
      <c r="C204" s="3" t="s">
        <v>3375</v>
      </c>
      <c r="D204" s="3" t="s">
        <v>220</v>
      </c>
      <c r="E204" s="3" t="s">
        <v>221</v>
      </c>
      <c r="F204" s="3"/>
      <c r="G204" s="3"/>
      <c r="H204" s="3"/>
      <c r="I204" s="3"/>
      <c r="J204" s="3" t="s">
        <v>11</v>
      </c>
      <c r="K204" s="27" t="s">
        <v>12</v>
      </c>
    </row>
    <row r="205" ht="18.6" customHeight="1" spans="1:11">
      <c r="A205" s="3">
        <v>204</v>
      </c>
      <c r="B205" s="3" t="s">
        <v>265</v>
      </c>
      <c r="C205" s="3" t="s">
        <v>3375</v>
      </c>
      <c r="D205" s="3" t="s">
        <v>220</v>
      </c>
      <c r="E205" s="3" t="s">
        <v>266</v>
      </c>
      <c r="F205" s="3"/>
      <c r="G205" s="3"/>
      <c r="H205" s="3"/>
      <c r="I205" s="3"/>
      <c r="J205" s="3" t="s">
        <v>11</v>
      </c>
      <c r="K205" s="27" t="s">
        <v>12</v>
      </c>
    </row>
    <row r="206" ht="18.6" customHeight="1" spans="1:11">
      <c r="A206" s="3">
        <v>205</v>
      </c>
      <c r="B206" s="3" t="s">
        <v>267</v>
      </c>
      <c r="C206" s="3" t="s">
        <v>3318</v>
      </c>
      <c r="D206" s="3" t="s">
        <v>220</v>
      </c>
      <c r="E206" s="3" t="s">
        <v>223</v>
      </c>
      <c r="F206" s="3"/>
      <c r="G206" s="3"/>
      <c r="H206" s="3"/>
      <c r="I206" s="3"/>
      <c r="J206" s="3" t="s">
        <v>11</v>
      </c>
      <c r="K206" s="27" t="s">
        <v>12</v>
      </c>
    </row>
    <row r="207" ht="18.6" customHeight="1" spans="1:11">
      <c r="A207" s="3">
        <v>206</v>
      </c>
      <c r="B207" s="3" t="s">
        <v>268</v>
      </c>
      <c r="C207" s="3" t="s">
        <v>3375</v>
      </c>
      <c r="D207" s="3" t="s">
        <v>220</v>
      </c>
      <c r="E207" s="3" t="s">
        <v>269</v>
      </c>
      <c r="F207" s="3"/>
      <c r="G207" s="3"/>
      <c r="H207" s="3"/>
      <c r="I207" s="3"/>
      <c r="J207" s="3" t="s">
        <v>11</v>
      </c>
      <c r="K207" s="27" t="s">
        <v>12</v>
      </c>
    </row>
    <row r="208" ht="18.6" customHeight="1" spans="1:11">
      <c r="A208" s="3">
        <v>207</v>
      </c>
      <c r="B208" s="3" t="s">
        <v>270</v>
      </c>
      <c r="C208" s="3" t="s">
        <v>3375</v>
      </c>
      <c r="D208" s="3" t="s">
        <v>220</v>
      </c>
      <c r="E208" s="3" t="s">
        <v>271</v>
      </c>
      <c r="F208" s="3"/>
      <c r="G208" s="3"/>
      <c r="H208" s="3"/>
      <c r="I208" s="3"/>
      <c r="J208" s="3" t="s">
        <v>11</v>
      </c>
      <c r="K208" s="27" t="s">
        <v>12</v>
      </c>
    </row>
    <row r="209" ht="18.6" customHeight="1" spans="1:11">
      <c r="A209" s="3">
        <v>208</v>
      </c>
      <c r="B209" s="3" t="s">
        <v>272</v>
      </c>
      <c r="C209" s="3" t="s">
        <v>3309</v>
      </c>
      <c r="D209" s="3" t="s">
        <v>273</v>
      </c>
      <c r="E209" s="3" t="s">
        <v>274</v>
      </c>
      <c r="F209" s="3">
        <v>985</v>
      </c>
      <c r="G209" s="3">
        <v>211</v>
      </c>
      <c r="H209" s="3" t="s">
        <v>5</v>
      </c>
      <c r="I209" s="3" t="s">
        <v>3769</v>
      </c>
      <c r="J209" s="3" t="s">
        <v>11</v>
      </c>
      <c r="K209" s="27" t="s">
        <v>12</v>
      </c>
    </row>
    <row r="210" ht="18.6" customHeight="1" spans="1:11">
      <c r="A210" s="3">
        <v>209</v>
      </c>
      <c r="B210" s="3" t="s">
        <v>275</v>
      </c>
      <c r="C210" s="3" t="s">
        <v>3394</v>
      </c>
      <c r="D210" s="3" t="s">
        <v>273</v>
      </c>
      <c r="E210" s="3" t="s">
        <v>276</v>
      </c>
      <c r="F210" s="3"/>
      <c r="G210" s="3">
        <v>211</v>
      </c>
      <c r="H210" s="3" t="s">
        <v>5</v>
      </c>
      <c r="I210" s="3" t="s">
        <v>3769</v>
      </c>
      <c r="J210" s="3" t="s">
        <v>11</v>
      </c>
      <c r="K210" s="27" t="s">
        <v>12</v>
      </c>
    </row>
    <row r="211" ht="18.6" customHeight="1" spans="1:11">
      <c r="A211" s="3">
        <v>210</v>
      </c>
      <c r="B211" s="3" t="s">
        <v>277</v>
      </c>
      <c r="C211" s="3" t="s">
        <v>3394</v>
      </c>
      <c r="D211" s="3" t="s">
        <v>273</v>
      </c>
      <c r="E211" s="3" t="s">
        <v>274</v>
      </c>
      <c r="F211" s="3"/>
      <c r="G211" s="3"/>
      <c r="H211" s="3"/>
      <c r="I211" s="3" t="s">
        <v>3770</v>
      </c>
      <c r="J211" s="3" t="s">
        <v>11</v>
      </c>
      <c r="K211" s="27" t="s">
        <v>12</v>
      </c>
    </row>
    <row r="212" ht="18.6" customHeight="1" spans="1:11">
      <c r="A212" s="3">
        <v>211</v>
      </c>
      <c r="B212" s="3" t="s">
        <v>278</v>
      </c>
      <c r="C212" s="3" t="s">
        <v>3394</v>
      </c>
      <c r="D212" s="3" t="s">
        <v>273</v>
      </c>
      <c r="E212" s="3" t="s">
        <v>279</v>
      </c>
      <c r="F212" s="3"/>
      <c r="G212" s="3"/>
      <c r="H212" s="3"/>
      <c r="I212" s="3" t="s">
        <v>3770</v>
      </c>
      <c r="J212" s="3" t="s">
        <v>11</v>
      </c>
      <c r="K212" s="27" t="s">
        <v>12</v>
      </c>
    </row>
    <row r="213" ht="18.6" customHeight="1" spans="1:11">
      <c r="A213" s="3">
        <v>212</v>
      </c>
      <c r="B213" s="3" t="s">
        <v>280</v>
      </c>
      <c r="C213" s="3" t="s">
        <v>3394</v>
      </c>
      <c r="D213" s="3" t="s">
        <v>273</v>
      </c>
      <c r="E213" s="3" t="s">
        <v>274</v>
      </c>
      <c r="F213" s="3"/>
      <c r="G213" s="3"/>
      <c r="H213" s="3"/>
      <c r="I213" s="3" t="s">
        <v>3770</v>
      </c>
      <c r="J213" s="3" t="s">
        <v>11</v>
      </c>
      <c r="K213" s="27" t="s">
        <v>12</v>
      </c>
    </row>
    <row r="214" ht="18.6" customHeight="1" spans="1:11">
      <c r="A214" s="3">
        <v>213</v>
      </c>
      <c r="B214" s="3" t="s">
        <v>281</v>
      </c>
      <c r="C214" s="3" t="s">
        <v>3394</v>
      </c>
      <c r="D214" s="3" t="s">
        <v>273</v>
      </c>
      <c r="E214" s="3" t="s">
        <v>274</v>
      </c>
      <c r="F214" s="3"/>
      <c r="G214" s="3"/>
      <c r="H214" s="3"/>
      <c r="I214" s="3"/>
      <c r="J214" s="3" t="s">
        <v>11</v>
      </c>
      <c r="K214" s="27" t="s">
        <v>12</v>
      </c>
    </row>
    <row r="215" ht="18.6" customHeight="1" spans="1:11">
      <c r="A215" s="3">
        <v>214</v>
      </c>
      <c r="B215" s="3" t="s">
        <v>3781</v>
      </c>
      <c r="C215" s="3" t="s">
        <v>3394</v>
      </c>
      <c r="D215" s="3" t="s">
        <v>273</v>
      </c>
      <c r="E215" s="3" t="s">
        <v>279</v>
      </c>
      <c r="F215" s="3"/>
      <c r="G215" s="3"/>
      <c r="H215" s="3"/>
      <c r="I215" s="3"/>
      <c r="J215" s="3" t="s">
        <v>11</v>
      </c>
      <c r="K215" s="27" t="s">
        <v>12</v>
      </c>
    </row>
    <row r="216" ht="18.6" customHeight="1" spans="1:11">
      <c r="A216" s="3">
        <v>215</v>
      </c>
      <c r="B216" s="3" t="s">
        <v>283</v>
      </c>
      <c r="C216" s="3" t="s">
        <v>3394</v>
      </c>
      <c r="D216" s="3" t="s">
        <v>273</v>
      </c>
      <c r="E216" s="3" t="s">
        <v>274</v>
      </c>
      <c r="F216" s="3"/>
      <c r="G216" s="3"/>
      <c r="H216" s="3"/>
      <c r="I216" s="3" t="s">
        <v>3773</v>
      </c>
      <c r="J216" s="3" t="s">
        <v>11</v>
      </c>
      <c r="K216" s="27" t="s">
        <v>12</v>
      </c>
    </row>
    <row r="217" ht="18.6" customHeight="1" spans="1:11">
      <c r="A217" s="3">
        <v>216</v>
      </c>
      <c r="B217" s="3" t="s">
        <v>284</v>
      </c>
      <c r="C217" s="3" t="s">
        <v>3394</v>
      </c>
      <c r="D217" s="3" t="s">
        <v>273</v>
      </c>
      <c r="E217" s="3" t="s">
        <v>274</v>
      </c>
      <c r="F217" s="3"/>
      <c r="G217" s="3"/>
      <c r="H217" s="3"/>
      <c r="I217" s="3" t="s">
        <v>3775</v>
      </c>
      <c r="J217" s="3" t="s">
        <v>11</v>
      </c>
      <c r="K217" s="27" t="s">
        <v>12</v>
      </c>
    </row>
    <row r="218" ht="18.6" customHeight="1" spans="1:11">
      <c r="A218" s="3">
        <v>217</v>
      </c>
      <c r="B218" s="3" t="s">
        <v>285</v>
      </c>
      <c r="C218" s="3" t="s">
        <v>3309</v>
      </c>
      <c r="D218" s="3" t="s">
        <v>273</v>
      </c>
      <c r="E218" s="3" t="s">
        <v>274</v>
      </c>
      <c r="F218" s="3"/>
      <c r="G218" s="3">
        <v>211</v>
      </c>
      <c r="H218" s="3" t="s">
        <v>5</v>
      </c>
      <c r="I218" s="3" t="s">
        <v>3776</v>
      </c>
      <c r="J218" s="3" t="s">
        <v>11</v>
      </c>
      <c r="K218" s="27" t="s">
        <v>12</v>
      </c>
    </row>
    <row r="219" ht="18.6" customHeight="1" spans="1:11">
      <c r="A219" s="3">
        <v>218</v>
      </c>
      <c r="B219" s="3" t="s">
        <v>286</v>
      </c>
      <c r="C219" s="3" t="s">
        <v>3394</v>
      </c>
      <c r="D219" s="3" t="s">
        <v>273</v>
      </c>
      <c r="E219" s="3" t="s">
        <v>279</v>
      </c>
      <c r="F219" s="3"/>
      <c r="G219" s="3"/>
      <c r="H219" s="3"/>
      <c r="I219" s="3" t="s">
        <v>3769</v>
      </c>
      <c r="J219" s="3" t="s">
        <v>11</v>
      </c>
      <c r="K219" s="27" t="s">
        <v>12</v>
      </c>
    </row>
    <row r="220" ht="18.6" customHeight="1" spans="1:11">
      <c r="A220" s="3">
        <v>219</v>
      </c>
      <c r="B220" s="3" t="s">
        <v>287</v>
      </c>
      <c r="C220" s="3" t="s">
        <v>3394</v>
      </c>
      <c r="D220" s="3" t="s">
        <v>273</v>
      </c>
      <c r="E220" s="3" t="s">
        <v>288</v>
      </c>
      <c r="F220" s="3"/>
      <c r="G220" s="3"/>
      <c r="H220" s="3"/>
      <c r="I220" s="3"/>
      <c r="J220" s="3" t="s">
        <v>11</v>
      </c>
      <c r="K220" s="27" t="s">
        <v>12</v>
      </c>
    </row>
    <row r="221" ht="18.6" customHeight="1" spans="1:11">
      <c r="A221" s="3">
        <v>220</v>
      </c>
      <c r="B221" s="3" t="s">
        <v>289</v>
      </c>
      <c r="C221" s="3" t="s">
        <v>3394</v>
      </c>
      <c r="D221" s="3" t="s">
        <v>273</v>
      </c>
      <c r="E221" s="3" t="s">
        <v>290</v>
      </c>
      <c r="F221" s="3"/>
      <c r="G221" s="3"/>
      <c r="H221" s="3"/>
      <c r="I221" s="3" t="s">
        <v>3776</v>
      </c>
      <c r="J221" s="3" t="s">
        <v>11</v>
      </c>
      <c r="K221" s="27" t="s">
        <v>12</v>
      </c>
    </row>
    <row r="222" ht="18.6" customHeight="1" spans="1:11">
      <c r="A222" s="3">
        <v>221</v>
      </c>
      <c r="B222" s="3" t="s">
        <v>291</v>
      </c>
      <c r="C222" s="3" t="s">
        <v>3394</v>
      </c>
      <c r="D222" s="3" t="s">
        <v>273</v>
      </c>
      <c r="E222" s="3" t="s">
        <v>274</v>
      </c>
      <c r="F222" s="3"/>
      <c r="G222" s="3"/>
      <c r="H222" s="3"/>
      <c r="I222" s="3"/>
      <c r="J222" s="3" t="s">
        <v>11</v>
      </c>
      <c r="K222" s="27" t="s">
        <v>12</v>
      </c>
    </row>
    <row r="223" ht="18.6" customHeight="1" spans="1:11">
      <c r="A223" s="3">
        <v>222</v>
      </c>
      <c r="B223" s="3" t="s">
        <v>292</v>
      </c>
      <c r="C223" s="3" t="s">
        <v>3394</v>
      </c>
      <c r="D223" s="3" t="s">
        <v>273</v>
      </c>
      <c r="E223" s="3" t="s">
        <v>274</v>
      </c>
      <c r="F223" s="3"/>
      <c r="G223" s="3"/>
      <c r="H223" s="3"/>
      <c r="I223" s="3"/>
      <c r="J223" s="3" t="s">
        <v>11</v>
      </c>
      <c r="K223" s="27" t="s">
        <v>12</v>
      </c>
    </row>
    <row r="224" ht="18.6" customHeight="1" spans="1:11">
      <c r="A224" s="3">
        <v>223</v>
      </c>
      <c r="B224" s="3" t="s">
        <v>293</v>
      </c>
      <c r="C224" s="3" t="s">
        <v>3394</v>
      </c>
      <c r="D224" s="3" t="s">
        <v>273</v>
      </c>
      <c r="E224" s="3" t="s">
        <v>294</v>
      </c>
      <c r="F224" s="3"/>
      <c r="G224" s="3"/>
      <c r="H224" s="3"/>
      <c r="I224" s="3"/>
      <c r="J224" s="3" t="s">
        <v>11</v>
      </c>
      <c r="K224" s="27" t="s">
        <v>12</v>
      </c>
    </row>
    <row r="225" ht="18.6" customHeight="1" spans="1:11">
      <c r="A225" s="3">
        <v>224</v>
      </c>
      <c r="B225" s="3" t="s">
        <v>295</v>
      </c>
      <c r="C225" s="3" t="s">
        <v>3394</v>
      </c>
      <c r="D225" s="3" t="s">
        <v>273</v>
      </c>
      <c r="E225" s="3" t="s">
        <v>274</v>
      </c>
      <c r="F225" s="3"/>
      <c r="G225" s="3"/>
      <c r="H225" s="3"/>
      <c r="I225" s="3" t="s">
        <v>3771</v>
      </c>
      <c r="J225" s="3" t="s">
        <v>11</v>
      </c>
      <c r="K225" s="27" t="s">
        <v>12</v>
      </c>
    </row>
    <row r="226" ht="18.6" customHeight="1" spans="1:11">
      <c r="A226" s="3">
        <v>225</v>
      </c>
      <c r="B226" s="3" t="s">
        <v>296</v>
      </c>
      <c r="C226" s="3" t="s">
        <v>3394</v>
      </c>
      <c r="D226" s="3" t="s">
        <v>273</v>
      </c>
      <c r="E226" s="3" t="s">
        <v>274</v>
      </c>
      <c r="F226" s="3"/>
      <c r="G226" s="3"/>
      <c r="H226" s="3"/>
      <c r="I226" s="3"/>
      <c r="J226" s="3" t="s">
        <v>11</v>
      </c>
      <c r="K226" s="27" t="s">
        <v>12</v>
      </c>
    </row>
    <row r="227" ht="18.6" customHeight="1" spans="1:11">
      <c r="A227" s="3">
        <v>226</v>
      </c>
      <c r="B227" s="3" t="s">
        <v>297</v>
      </c>
      <c r="C227" s="3" t="s">
        <v>3394</v>
      </c>
      <c r="D227" s="3" t="s">
        <v>273</v>
      </c>
      <c r="E227" s="3" t="s">
        <v>274</v>
      </c>
      <c r="F227" s="3"/>
      <c r="G227" s="3"/>
      <c r="H227" s="3"/>
      <c r="I227" s="3"/>
      <c r="J227" s="3" t="s">
        <v>11</v>
      </c>
      <c r="K227" s="27" t="s">
        <v>12</v>
      </c>
    </row>
    <row r="228" ht="18.6" customHeight="1" spans="1:11">
      <c r="A228" s="3">
        <v>227</v>
      </c>
      <c r="B228" s="3" t="s">
        <v>298</v>
      </c>
      <c r="C228" s="3" t="s">
        <v>3394</v>
      </c>
      <c r="D228" s="3" t="s">
        <v>273</v>
      </c>
      <c r="E228" s="3" t="s">
        <v>274</v>
      </c>
      <c r="F228" s="3"/>
      <c r="G228" s="3"/>
      <c r="H228" s="3"/>
      <c r="I228" s="3"/>
      <c r="J228" s="3" t="s">
        <v>11</v>
      </c>
      <c r="K228" s="27" t="s">
        <v>12</v>
      </c>
    </row>
    <row r="229" ht="18.6" customHeight="1" spans="1:11">
      <c r="A229" s="3">
        <v>228</v>
      </c>
      <c r="B229" s="3" t="s">
        <v>299</v>
      </c>
      <c r="C229" s="3" t="s">
        <v>3394</v>
      </c>
      <c r="D229" s="3" t="s">
        <v>273</v>
      </c>
      <c r="E229" s="3" t="s">
        <v>274</v>
      </c>
      <c r="F229" s="3"/>
      <c r="G229" s="3"/>
      <c r="H229" s="3"/>
      <c r="I229" s="3"/>
      <c r="J229" s="3" t="s">
        <v>11</v>
      </c>
      <c r="K229" s="27" t="s">
        <v>12</v>
      </c>
    </row>
    <row r="230" ht="18.6" customHeight="1" spans="1:11">
      <c r="A230" s="3">
        <v>229</v>
      </c>
      <c r="B230" s="3" t="s">
        <v>300</v>
      </c>
      <c r="C230" s="3" t="s">
        <v>3394</v>
      </c>
      <c r="D230" s="3" t="s">
        <v>273</v>
      </c>
      <c r="E230" s="3" t="s">
        <v>279</v>
      </c>
      <c r="F230" s="3"/>
      <c r="G230" s="3"/>
      <c r="H230" s="3"/>
      <c r="I230" s="3"/>
      <c r="J230" s="3" t="s">
        <v>11</v>
      </c>
      <c r="K230" s="27" t="s">
        <v>12</v>
      </c>
    </row>
    <row r="231" ht="18.6" customHeight="1" spans="1:11">
      <c r="A231" s="3">
        <v>230</v>
      </c>
      <c r="B231" s="3" t="s">
        <v>301</v>
      </c>
      <c r="C231" s="3" t="s">
        <v>3394</v>
      </c>
      <c r="D231" s="3" t="s">
        <v>273</v>
      </c>
      <c r="E231" s="3" t="s">
        <v>274</v>
      </c>
      <c r="F231" s="3"/>
      <c r="G231" s="3"/>
      <c r="H231" s="3"/>
      <c r="I231" s="3"/>
      <c r="J231" s="3" t="s">
        <v>11</v>
      </c>
      <c r="K231" s="27" t="s">
        <v>12</v>
      </c>
    </row>
    <row r="232" ht="18.6" customHeight="1" spans="1:11">
      <c r="A232" s="3">
        <v>231</v>
      </c>
      <c r="B232" s="3" t="s">
        <v>302</v>
      </c>
      <c r="C232" s="3" t="s">
        <v>3394</v>
      </c>
      <c r="D232" s="3" t="s">
        <v>273</v>
      </c>
      <c r="E232" s="3" t="s">
        <v>274</v>
      </c>
      <c r="F232" s="3"/>
      <c r="G232" s="3"/>
      <c r="H232" s="3"/>
      <c r="I232" s="3"/>
      <c r="J232" s="3" t="s">
        <v>11</v>
      </c>
      <c r="K232" s="27" t="s">
        <v>12</v>
      </c>
    </row>
    <row r="233" ht="18.6" customHeight="1" spans="1:11">
      <c r="A233" s="3">
        <v>232</v>
      </c>
      <c r="B233" s="3" t="s">
        <v>303</v>
      </c>
      <c r="C233" s="3" t="s">
        <v>3394</v>
      </c>
      <c r="D233" s="3" t="s">
        <v>273</v>
      </c>
      <c r="E233" s="3" t="s">
        <v>279</v>
      </c>
      <c r="F233" s="3"/>
      <c r="G233" s="3"/>
      <c r="H233" s="3"/>
      <c r="I233" s="3"/>
      <c r="J233" s="3" t="s">
        <v>11</v>
      </c>
      <c r="K233" s="27" t="s">
        <v>12</v>
      </c>
    </row>
    <row r="234" ht="18.6" customHeight="1" spans="1:11">
      <c r="A234" s="3">
        <v>233</v>
      </c>
      <c r="B234" s="3" t="s">
        <v>304</v>
      </c>
      <c r="C234" s="3" t="s">
        <v>3394</v>
      </c>
      <c r="D234" s="3" t="s">
        <v>273</v>
      </c>
      <c r="E234" s="3" t="s">
        <v>274</v>
      </c>
      <c r="F234" s="3"/>
      <c r="G234" s="3"/>
      <c r="H234" s="3"/>
      <c r="I234" s="3"/>
      <c r="J234" s="3" t="s">
        <v>11</v>
      </c>
      <c r="K234" s="27" t="s">
        <v>12</v>
      </c>
    </row>
    <row r="235" ht="18.6" customHeight="1" spans="1:11">
      <c r="A235" s="3">
        <v>234</v>
      </c>
      <c r="B235" s="3" t="s">
        <v>307</v>
      </c>
      <c r="C235" s="3" t="s">
        <v>3403</v>
      </c>
      <c r="D235" s="3" t="s">
        <v>308</v>
      </c>
      <c r="E235" s="3" t="s">
        <v>309</v>
      </c>
      <c r="F235" s="3"/>
      <c r="G235" s="3"/>
      <c r="H235" s="3"/>
      <c r="I235" s="3" t="s">
        <v>3769</v>
      </c>
      <c r="J235" s="3" t="s">
        <v>11</v>
      </c>
      <c r="K235" s="27" t="s">
        <v>12</v>
      </c>
    </row>
    <row r="236" ht="18.6" customHeight="1" spans="1:11">
      <c r="A236" s="3">
        <v>235</v>
      </c>
      <c r="B236" s="3" t="s">
        <v>310</v>
      </c>
      <c r="C236" s="3" t="s">
        <v>3311</v>
      </c>
      <c r="D236" s="3" t="s">
        <v>308</v>
      </c>
      <c r="E236" s="3" t="s">
        <v>309</v>
      </c>
      <c r="F236" s="3">
        <v>985</v>
      </c>
      <c r="G236" s="3">
        <v>211</v>
      </c>
      <c r="H236" s="3" t="s">
        <v>5</v>
      </c>
      <c r="I236" s="3" t="s">
        <v>3770</v>
      </c>
      <c r="J236" s="3" t="s">
        <v>11</v>
      </c>
      <c r="K236" s="27" t="s">
        <v>12</v>
      </c>
    </row>
    <row r="237" ht="18.6" customHeight="1" spans="1:11">
      <c r="A237" s="3">
        <v>236</v>
      </c>
      <c r="B237" s="3" t="s">
        <v>311</v>
      </c>
      <c r="C237" s="3" t="s">
        <v>3403</v>
      </c>
      <c r="D237" s="3" t="s">
        <v>308</v>
      </c>
      <c r="E237" s="3" t="s">
        <v>309</v>
      </c>
      <c r="F237" s="3"/>
      <c r="G237" s="3"/>
      <c r="H237" s="3"/>
      <c r="I237" s="3" t="s">
        <v>3770</v>
      </c>
      <c r="J237" s="3" t="s">
        <v>11</v>
      </c>
      <c r="K237" s="27" t="s">
        <v>12</v>
      </c>
    </row>
    <row r="238" ht="18.6" customHeight="1" spans="1:11">
      <c r="A238" s="3">
        <v>237</v>
      </c>
      <c r="B238" s="3" t="s">
        <v>312</v>
      </c>
      <c r="C238" s="3" t="s">
        <v>3311</v>
      </c>
      <c r="D238" s="3" t="s">
        <v>308</v>
      </c>
      <c r="E238" s="3" t="s">
        <v>309</v>
      </c>
      <c r="F238" s="3"/>
      <c r="G238" s="3">
        <v>211</v>
      </c>
      <c r="H238" s="3" t="s">
        <v>5</v>
      </c>
      <c r="I238" s="3" t="s">
        <v>3770</v>
      </c>
      <c r="J238" s="3" t="s">
        <v>11</v>
      </c>
      <c r="K238" s="27" t="s">
        <v>12</v>
      </c>
    </row>
    <row r="239" ht="18.6" customHeight="1" spans="1:11">
      <c r="A239" s="3">
        <v>238</v>
      </c>
      <c r="B239" s="3" t="s">
        <v>313</v>
      </c>
      <c r="C239" s="3" t="s">
        <v>3403</v>
      </c>
      <c r="D239" s="3" t="s">
        <v>308</v>
      </c>
      <c r="E239" s="3" t="s">
        <v>309</v>
      </c>
      <c r="F239" s="3"/>
      <c r="G239" s="3"/>
      <c r="H239" s="3"/>
      <c r="I239" s="3"/>
      <c r="J239" s="3" t="s">
        <v>11</v>
      </c>
      <c r="K239" s="27" t="s">
        <v>12</v>
      </c>
    </row>
    <row r="240" ht="18.6" customHeight="1" spans="1:11">
      <c r="A240" s="3">
        <v>239</v>
      </c>
      <c r="B240" s="3" t="s">
        <v>314</v>
      </c>
      <c r="C240" s="3" t="s">
        <v>3403</v>
      </c>
      <c r="D240" s="3" t="s">
        <v>308</v>
      </c>
      <c r="E240" s="3" t="s">
        <v>315</v>
      </c>
      <c r="F240" s="3"/>
      <c r="G240" s="3"/>
      <c r="H240" s="3"/>
      <c r="I240" s="3" t="s">
        <v>3770</v>
      </c>
      <c r="J240" s="3" t="s">
        <v>11</v>
      </c>
      <c r="K240" s="27" t="s">
        <v>12</v>
      </c>
    </row>
    <row r="241" ht="18.6" customHeight="1" spans="1:11">
      <c r="A241" s="3">
        <v>240</v>
      </c>
      <c r="B241" s="3" t="s">
        <v>316</v>
      </c>
      <c r="C241" s="3" t="s">
        <v>3403</v>
      </c>
      <c r="D241" s="3" t="s">
        <v>308</v>
      </c>
      <c r="E241" s="3" t="s">
        <v>317</v>
      </c>
      <c r="F241" s="3"/>
      <c r="G241" s="3"/>
      <c r="H241" s="3"/>
      <c r="I241" s="3"/>
      <c r="J241" s="3" t="s">
        <v>11</v>
      </c>
      <c r="K241" s="27" t="s">
        <v>12</v>
      </c>
    </row>
    <row r="242" ht="18.6" customHeight="1" spans="1:11">
      <c r="A242" s="3">
        <v>241</v>
      </c>
      <c r="B242" s="3" t="s">
        <v>318</v>
      </c>
      <c r="C242" s="3" t="s">
        <v>3403</v>
      </c>
      <c r="D242" s="3" t="s">
        <v>308</v>
      </c>
      <c r="E242" s="3" t="s">
        <v>315</v>
      </c>
      <c r="F242" s="3"/>
      <c r="G242" s="3"/>
      <c r="H242" s="3"/>
      <c r="I242" s="3" t="s">
        <v>3773</v>
      </c>
      <c r="J242" s="3" t="s">
        <v>11</v>
      </c>
      <c r="K242" s="27" t="s">
        <v>12</v>
      </c>
    </row>
    <row r="243" ht="18.6" customHeight="1" spans="1:11">
      <c r="A243" s="3">
        <v>242</v>
      </c>
      <c r="B243" s="3" t="s">
        <v>319</v>
      </c>
      <c r="C243" s="3" t="s">
        <v>3403</v>
      </c>
      <c r="D243" s="3" t="s">
        <v>308</v>
      </c>
      <c r="E243" s="3" t="s">
        <v>309</v>
      </c>
      <c r="F243" s="3"/>
      <c r="G243" s="3">
        <v>211</v>
      </c>
      <c r="H243" s="3" t="s">
        <v>5</v>
      </c>
      <c r="I243" s="3" t="s">
        <v>3773</v>
      </c>
      <c r="J243" s="3" t="s">
        <v>11</v>
      </c>
      <c r="K243" s="27" t="s">
        <v>12</v>
      </c>
    </row>
    <row r="244" ht="18.6" customHeight="1" spans="1:11">
      <c r="A244" s="3">
        <v>243</v>
      </c>
      <c r="B244" s="3" t="s">
        <v>320</v>
      </c>
      <c r="C244" s="3" t="s">
        <v>3309</v>
      </c>
      <c r="D244" s="3" t="s">
        <v>308</v>
      </c>
      <c r="E244" s="3" t="s">
        <v>309</v>
      </c>
      <c r="F244" s="3"/>
      <c r="G244" s="3">
        <v>211</v>
      </c>
      <c r="H244" s="3" t="s">
        <v>5</v>
      </c>
      <c r="I244" s="3" t="s">
        <v>3773</v>
      </c>
      <c r="J244" s="3" t="s">
        <v>11</v>
      </c>
      <c r="K244" s="27" t="s">
        <v>12</v>
      </c>
    </row>
    <row r="245" ht="18.6" customHeight="1" spans="1:11">
      <c r="A245" s="3">
        <v>244</v>
      </c>
      <c r="B245" s="3" t="s">
        <v>321</v>
      </c>
      <c r="C245" s="3" t="s">
        <v>3403</v>
      </c>
      <c r="D245" s="3" t="s">
        <v>308</v>
      </c>
      <c r="E245" s="3" t="s">
        <v>309</v>
      </c>
      <c r="F245" s="3"/>
      <c r="G245" s="3"/>
      <c r="H245" s="3"/>
      <c r="I245" s="3" t="s">
        <v>3775</v>
      </c>
      <c r="J245" s="3" t="s">
        <v>11</v>
      </c>
      <c r="K245" s="27" t="s">
        <v>12</v>
      </c>
    </row>
    <row r="246" ht="18.6" customHeight="1" spans="1:11">
      <c r="A246" s="3">
        <v>245</v>
      </c>
      <c r="B246" s="3" t="s">
        <v>322</v>
      </c>
      <c r="C246" s="3" t="s">
        <v>3403</v>
      </c>
      <c r="D246" s="3" t="s">
        <v>308</v>
      </c>
      <c r="E246" s="3" t="s">
        <v>309</v>
      </c>
      <c r="F246" s="3"/>
      <c r="G246" s="3"/>
      <c r="H246" s="3"/>
      <c r="I246" s="3" t="s">
        <v>3775</v>
      </c>
      <c r="J246" s="3" t="s">
        <v>11</v>
      </c>
      <c r="K246" s="27" t="s">
        <v>12</v>
      </c>
    </row>
    <row r="247" ht="18.6" customHeight="1" spans="1:11">
      <c r="A247" s="3">
        <v>246</v>
      </c>
      <c r="B247" s="3" t="s">
        <v>323</v>
      </c>
      <c r="C247" s="3" t="s">
        <v>3403</v>
      </c>
      <c r="D247" s="3" t="s">
        <v>308</v>
      </c>
      <c r="E247" s="3" t="s">
        <v>324</v>
      </c>
      <c r="F247" s="3"/>
      <c r="G247" s="3"/>
      <c r="H247" s="3"/>
      <c r="I247" s="3"/>
      <c r="J247" s="3" t="s">
        <v>11</v>
      </c>
      <c r="K247" s="27" t="s">
        <v>12</v>
      </c>
    </row>
    <row r="248" ht="18.6" customHeight="1" spans="1:11">
      <c r="A248" s="3">
        <v>247</v>
      </c>
      <c r="B248" s="3" t="s">
        <v>325</v>
      </c>
      <c r="C248" s="3" t="s">
        <v>3403</v>
      </c>
      <c r="D248" s="3" t="s">
        <v>308</v>
      </c>
      <c r="E248" s="3" t="s">
        <v>309</v>
      </c>
      <c r="F248" s="3"/>
      <c r="G248" s="3"/>
      <c r="H248" s="3"/>
      <c r="I248" s="3" t="s">
        <v>3776</v>
      </c>
      <c r="J248" s="3" t="s">
        <v>11</v>
      </c>
      <c r="K248" s="27" t="s">
        <v>12</v>
      </c>
    </row>
    <row r="249" ht="18.6" customHeight="1" spans="1:11">
      <c r="A249" s="3">
        <v>248</v>
      </c>
      <c r="B249" s="3" t="s">
        <v>326</v>
      </c>
      <c r="C249" s="3" t="s">
        <v>3403</v>
      </c>
      <c r="D249" s="3" t="s">
        <v>308</v>
      </c>
      <c r="E249" s="3" t="s">
        <v>327</v>
      </c>
      <c r="F249" s="3"/>
      <c r="G249" s="3"/>
      <c r="H249" s="3"/>
      <c r="I249" s="3" t="s">
        <v>3769</v>
      </c>
      <c r="J249" s="3" t="s">
        <v>11</v>
      </c>
      <c r="K249" s="27" t="s">
        <v>12</v>
      </c>
    </row>
    <row r="250" ht="18.6" customHeight="1" spans="1:11">
      <c r="A250" s="3">
        <v>249</v>
      </c>
      <c r="B250" s="3" t="s">
        <v>328</v>
      </c>
      <c r="C250" s="3" t="s">
        <v>3403</v>
      </c>
      <c r="D250" s="3" t="s">
        <v>308</v>
      </c>
      <c r="E250" s="3" t="s">
        <v>324</v>
      </c>
      <c r="F250" s="3"/>
      <c r="G250" s="3"/>
      <c r="H250" s="3"/>
      <c r="I250" s="3"/>
      <c r="J250" s="3" t="s">
        <v>11</v>
      </c>
      <c r="K250" s="27" t="s">
        <v>12</v>
      </c>
    </row>
    <row r="251" ht="18.6" customHeight="1" spans="1:11">
      <c r="A251" s="3">
        <v>250</v>
      </c>
      <c r="B251" s="3" t="s">
        <v>329</v>
      </c>
      <c r="C251" s="3" t="s">
        <v>3403</v>
      </c>
      <c r="D251" s="3" t="s">
        <v>308</v>
      </c>
      <c r="E251" s="3" t="s">
        <v>309</v>
      </c>
      <c r="F251" s="3"/>
      <c r="G251" s="3"/>
      <c r="H251" s="3"/>
      <c r="I251" s="3"/>
      <c r="J251" s="3" t="s">
        <v>11</v>
      </c>
      <c r="K251" s="27" t="s">
        <v>12</v>
      </c>
    </row>
    <row r="252" ht="18.6" customHeight="1" spans="1:11">
      <c r="A252" s="3">
        <v>251</v>
      </c>
      <c r="B252" s="3" t="s">
        <v>330</v>
      </c>
      <c r="C252" s="3" t="s">
        <v>3403</v>
      </c>
      <c r="D252" s="3" t="s">
        <v>308</v>
      </c>
      <c r="E252" s="3" t="s">
        <v>315</v>
      </c>
      <c r="F252" s="3"/>
      <c r="G252" s="3"/>
      <c r="H252" s="3"/>
      <c r="I252" s="3"/>
      <c r="J252" s="3" t="s">
        <v>11</v>
      </c>
      <c r="K252" s="27" t="s">
        <v>12</v>
      </c>
    </row>
    <row r="253" ht="18.6" customHeight="1" spans="1:11">
      <c r="A253" s="3">
        <v>252</v>
      </c>
      <c r="B253" s="3" t="s">
        <v>331</v>
      </c>
      <c r="C253" s="3" t="s">
        <v>3403</v>
      </c>
      <c r="D253" s="3" t="s">
        <v>308</v>
      </c>
      <c r="E253" s="3" t="s">
        <v>332</v>
      </c>
      <c r="F253" s="3"/>
      <c r="G253" s="3"/>
      <c r="H253" s="3"/>
      <c r="I253" s="3"/>
      <c r="J253" s="3" t="s">
        <v>11</v>
      </c>
      <c r="K253" s="27" t="s">
        <v>12</v>
      </c>
    </row>
    <row r="254" ht="18.6" customHeight="1" spans="1:11">
      <c r="A254" s="3">
        <v>253</v>
      </c>
      <c r="B254" s="3" t="s">
        <v>333</v>
      </c>
      <c r="C254" s="3" t="s">
        <v>3403</v>
      </c>
      <c r="D254" s="3" t="s">
        <v>308</v>
      </c>
      <c r="E254" s="3" t="s">
        <v>309</v>
      </c>
      <c r="F254" s="3"/>
      <c r="G254" s="3"/>
      <c r="H254" s="3"/>
      <c r="I254" s="3" t="s">
        <v>3771</v>
      </c>
      <c r="J254" s="3" t="s">
        <v>11</v>
      </c>
      <c r="K254" s="27" t="s">
        <v>12</v>
      </c>
    </row>
    <row r="255" ht="18.6" customHeight="1" spans="1:11">
      <c r="A255" s="3">
        <v>254</v>
      </c>
      <c r="B255" s="3" t="s">
        <v>334</v>
      </c>
      <c r="C255" s="3" t="s">
        <v>3403</v>
      </c>
      <c r="D255" s="3" t="s">
        <v>308</v>
      </c>
      <c r="E255" s="3" t="s">
        <v>309</v>
      </c>
      <c r="F255" s="3"/>
      <c r="G255" s="3"/>
      <c r="H255" s="3"/>
      <c r="I255" s="3"/>
      <c r="J255" s="3" t="s">
        <v>11</v>
      </c>
      <c r="K255" s="27" t="s">
        <v>12</v>
      </c>
    </row>
    <row r="256" ht="18.6" customHeight="1" spans="1:11">
      <c r="A256" s="3">
        <v>255</v>
      </c>
      <c r="B256" s="3" t="s">
        <v>335</v>
      </c>
      <c r="C256" s="3" t="s">
        <v>3403</v>
      </c>
      <c r="D256" s="3" t="s">
        <v>308</v>
      </c>
      <c r="E256" s="3" t="s">
        <v>309</v>
      </c>
      <c r="F256" s="3"/>
      <c r="G256" s="3"/>
      <c r="H256" s="3"/>
      <c r="I256" s="3"/>
      <c r="J256" s="3" t="s">
        <v>11</v>
      </c>
      <c r="K256" s="27" t="s">
        <v>12</v>
      </c>
    </row>
    <row r="257" ht="18.6" customHeight="1" spans="1:11">
      <c r="A257" s="3">
        <v>256</v>
      </c>
      <c r="B257" s="3" t="s">
        <v>336</v>
      </c>
      <c r="C257" s="3" t="s">
        <v>3403</v>
      </c>
      <c r="D257" s="3" t="s">
        <v>308</v>
      </c>
      <c r="E257" s="3" t="s">
        <v>327</v>
      </c>
      <c r="F257" s="3"/>
      <c r="G257" s="3"/>
      <c r="H257" s="3"/>
      <c r="I257" s="3"/>
      <c r="J257" s="3" t="s">
        <v>11</v>
      </c>
      <c r="K257" s="27" t="s">
        <v>12</v>
      </c>
    </row>
    <row r="258" ht="18.6" customHeight="1" spans="1:11">
      <c r="A258" s="3">
        <v>257</v>
      </c>
      <c r="B258" s="3" t="s">
        <v>337</v>
      </c>
      <c r="C258" s="3" t="s">
        <v>3403</v>
      </c>
      <c r="D258" s="3" t="s">
        <v>308</v>
      </c>
      <c r="E258" s="3" t="s">
        <v>338</v>
      </c>
      <c r="F258" s="3"/>
      <c r="G258" s="3"/>
      <c r="H258" s="3"/>
      <c r="I258" s="3"/>
      <c r="J258" s="3" t="s">
        <v>11</v>
      </c>
      <c r="K258" s="27" t="s">
        <v>12</v>
      </c>
    </row>
    <row r="259" ht="18.6" customHeight="1" spans="1:11">
      <c r="A259" s="3">
        <v>258</v>
      </c>
      <c r="B259" s="3" t="s">
        <v>339</v>
      </c>
      <c r="C259" s="3" t="s">
        <v>3403</v>
      </c>
      <c r="D259" s="3" t="s">
        <v>308</v>
      </c>
      <c r="E259" s="3" t="s">
        <v>309</v>
      </c>
      <c r="F259" s="3"/>
      <c r="G259" s="3"/>
      <c r="H259" s="3"/>
      <c r="I259" s="3"/>
      <c r="J259" s="3" t="s">
        <v>11</v>
      </c>
      <c r="K259" s="27" t="s">
        <v>12</v>
      </c>
    </row>
    <row r="260" ht="18.6" customHeight="1" spans="1:11">
      <c r="A260" s="3">
        <v>259</v>
      </c>
      <c r="B260" s="3" t="s">
        <v>340</v>
      </c>
      <c r="C260" s="3" t="s">
        <v>3403</v>
      </c>
      <c r="D260" s="3" t="s">
        <v>308</v>
      </c>
      <c r="E260" s="3" t="s">
        <v>341</v>
      </c>
      <c r="F260" s="3"/>
      <c r="G260" s="3"/>
      <c r="H260" s="3"/>
      <c r="I260" s="3"/>
      <c r="J260" s="3" t="s">
        <v>11</v>
      </c>
      <c r="K260" s="27" t="s">
        <v>12</v>
      </c>
    </row>
    <row r="261" ht="18.6" customHeight="1" spans="1:11">
      <c r="A261" s="3">
        <v>260</v>
      </c>
      <c r="B261" s="3" t="s">
        <v>342</v>
      </c>
      <c r="C261" s="3" t="s">
        <v>3403</v>
      </c>
      <c r="D261" s="3" t="s">
        <v>308</v>
      </c>
      <c r="E261" s="3" t="s">
        <v>309</v>
      </c>
      <c r="F261" s="3"/>
      <c r="G261" s="3"/>
      <c r="H261" s="3"/>
      <c r="I261" s="3"/>
      <c r="J261" s="3" t="s">
        <v>11</v>
      </c>
      <c r="K261" s="27" t="s">
        <v>12</v>
      </c>
    </row>
    <row r="262" ht="18.6" customHeight="1" spans="1:11">
      <c r="A262" s="3">
        <v>261</v>
      </c>
      <c r="B262" s="3" t="s">
        <v>345</v>
      </c>
      <c r="C262" s="3" t="s">
        <v>3403</v>
      </c>
      <c r="D262" s="3" t="s">
        <v>308</v>
      </c>
      <c r="E262" s="3" t="s">
        <v>309</v>
      </c>
      <c r="F262" s="3"/>
      <c r="G262" s="3"/>
      <c r="H262" s="3"/>
      <c r="I262" s="3"/>
      <c r="J262" s="3" t="s">
        <v>11</v>
      </c>
      <c r="K262" s="27" t="s">
        <v>12</v>
      </c>
    </row>
    <row r="263" ht="18.6" customHeight="1" spans="1:11">
      <c r="A263" s="3">
        <v>262</v>
      </c>
      <c r="B263" s="3" t="s">
        <v>346</v>
      </c>
      <c r="C263" s="3" t="s">
        <v>3309</v>
      </c>
      <c r="D263" s="3" t="s">
        <v>347</v>
      </c>
      <c r="E263" s="3" t="s">
        <v>347</v>
      </c>
      <c r="F263" s="3">
        <v>985</v>
      </c>
      <c r="G263" s="3">
        <v>211</v>
      </c>
      <c r="H263" s="3" t="s">
        <v>5</v>
      </c>
      <c r="I263" s="3" t="s">
        <v>3769</v>
      </c>
      <c r="J263" s="3" t="s">
        <v>11</v>
      </c>
      <c r="K263" s="27" t="s">
        <v>12</v>
      </c>
    </row>
    <row r="264" ht="18.6" customHeight="1" spans="1:11">
      <c r="A264" s="3">
        <v>263</v>
      </c>
      <c r="B264" s="3" t="s">
        <v>348</v>
      </c>
      <c r="C264" s="3" t="s">
        <v>3309</v>
      </c>
      <c r="D264" s="3" t="s">
        <v>347</v>
      </c>
      <c r="E264" s="3" t="s">
        <v>347</v>
      </c>
      <c r="F264" s="3">
        <v>985</v>
      </c>
      <c r="G264" s="3">
        <v>211</v>
      </c>
      <c r="H264" s="3" t="s">
        <v>5</v>
      </c>
      <c r="I264" s="3" t="s">
        <v>3770</v>
      </c>
      <c r="J264" s="3" t="s">
        <v>11</v>
      </c>
      <c r="K264" s="27" t="s">
        <v>12</v>
      </c>
    </row>
    <row r="265" ht="18.6" customHeight="1" spans="1:11">
      <c r="A265" s="3">
        <v>264</v>
      </c>
      <c r="B265" s="3" t="s">
        <v>349</v>
      </c>
      <c r="C265" s="3" t="s">
        <v>3309</v>
      </c>
      <c r="D265" s="3" t="s">
        <v>347</v>
      </c>
      <c r="E265" s="3" t="s">
        <v>347</v>
      </c>
      <c r="F265" s="3">
        <v>985</v>
      </c>
      <c r="G265" s="3">
        <v>211</v>
      </c>
      <c r="H265" s="3" t="s">
        <v>5</v>
      </c>
      <c r="I265" s="3" t="s">
        <v>3769</v>
      </c>
      <c r="J265" s="3" t="s">
        <v>11</v>
      </c>
      <c r="K265" s="27" t="s">
        <v>12</v>
      </c>
    </row>
    <row r="266" ht="18.6" customHeight="1" spans="1:11">
      <c r="A266" s="3">
        <v>265</v>
      </c>
      <c r="B266" s="3" t="s">
        <v>350</v>
      </c>
      <c r="C266" s="3" t="s">
        <v>3309</v>
      </c>
      <c r="D266" s="3" t="s">
        <v>347</v>
      </c>
      <c r="E266" s="3" t="s">
        <v>347</v>
      </c>
      <c r="F266" s="3"/>
      <c r="G266" s="3">
        <v>211</v>
      </c>
      <c r="H266" s="3" t="s">
        <v>5</v>
      </c>
      <c r="I266" s="3" t="s">
        <v>3770</v>
      </c>
      <c r="J266" s="3" t="s">
        <v>11</v>
      </c>
      <c r="K266" s="27" t="s">
        <v>12</v>
      </c>
    </row>
    <row r="267" ht="18.6" customHeight="1" spans="1:11">
      <c r="A267" s="3">
        <v>266</v>
      </c>
      <c r="B267" s="3" t="s">
        <v>351</v>
      </c>
      <c r="C267" s="3" t="s">
        <v>3420</v>
      </c>
      <c r="D267" s="3" t="s">
        <v>347</v>
      </c>
      <c r="E267" s="3" t="s">
        <v>347</v>
      </c>
      <c r="F267" s="3"/>
      <c r="G267" s="3"/>
      <c r="H267" s="3"/>
      <c r="I267" s="3" t="s">
        <v>3770</v>
      </c>
      <c r="J267" s="3" t="s">
        <v>11</v>
      </c>
      <c r="K267" s="27" t="s">
        <v>12</v>
      </c>
    </row>
    <row r="268" ht="18.6" customHeight="1" spans="1:11">
      <c r="A268" s="3">
        <v>267</v>
      </c>
      <c r="B268" s="3" t="s">
        <v>352</v>
      </c>
      <c r="C268" s="3" t="s">
        <v>3420</v>
      </c>
      <c r="D268" s="3" t="s">
        <v>347</v>
      </c>
      <c r="E268" s="3" t="s">
        <v>347</v>
      </c>
      <c r="F268" s="3"/>
      <c r="G268" s="3"/>
      <c r="H268" s="3"/>
      <c r="I268" s="3" t="s">
        <v>3770</v>
      </c>
      <c r="J268" s="3" t="s">
        <v>11</v>
      </c>
      <c r="K268" s="27" t="s">
        <v>12</v>
      </c>
    </row>
    <row r="269" ht="18.6" customHeight="1" spans="1:11">
      <c r="A269" s="3">
        <v>268</v>
      </c>
      <c r="B269" s="3" t="s">
        <v>353</v>
      </c>
      <c r="C269" s="3" t="s">
        <v>3309</v>
      </c>
      <c r="D269" s="3" t="s">
        <v>347</v>
      </c>
      <c r="E269" s="3" t="s">
        <v>347</v>
      </c>
      <c r="F269" s="3"/>
      <c r="G269" s="3">
        <v>211</v>
      </c>
      <c r="H269" s="3" t="s">
        <v>5</v>
      </c>
      <c r="I269" s="3" t="s">
        <v>3770</v>
      </c>
      <c r="J269" s="3" t="s">
        <v>11</v>
      </c>
      <c r="K269" s="27" t="s">
        <v>12</v>
      </c>
    </row>
    <row r="270" ht="18.6" customHeight="1" spans="1:11">
      <c r="A270" s="3">
        <v>269</v>
      </c>
      <c r="B270" s="3" t="s">
        <v>354</v>
      </c>
      <c r="C270" s="3" t="s">
        <v>3420</v>
      </c>
      <c r="D270" s="3" t="s">
        <v>347</v>
      </c>
      <c r="E270" s="3" t="s">
        <v>347</v>
      </c>
      <c r="F270" s="3"/>
      <c r="G270" s="3"/>
      <c r="H270" s="3"/>
      <c r="I270" s="3" t="s">
        <v>3770</v>
      </c>
      <c r="J270" s="3" t="s">
        <v>11</v>
      </c>
      <c r="K270" s="27" t="s">
        <v>12</v>
      </c>
    </row>
    <row r="271" ht="18.6" customHeight="1" spans="1:11">
      <c r="A271" s="3">
        <v>270</v>
      </c>
      <c r="B271" s="3" t="s">
        <v>355</v>
      </c>
      <c r="C271" s="3" t="s">
        <v>3420</v>
      </c>
      <c r="D271" s="3" t="s">
        <v>347</v>
      </c>
      <c r="E271" s="3" t="s">
        <v>347</v>
      </c>
      <c r="F271" s="3"/>
      <c r="G271" s="3"/>
      <c r="H271" s="3"/>
      <c r="I271" s="3"/>
      <c r="J271" s="3" t="s">
        <v>11</v>
      </c>
      <c r="K271" s="27" t="s">
        <v>12</v>
      </c>
    </row>
    <row r="272" ht="18.6" customHeight="1" spans="1:11">
      <c r="A272" s="3">
        <v>271</v>
      </c>
      <c r="B272" s="3" t="s">
        <v>356</v>
      </c>
      <c r="C272" s="3" t="s">
        <v>3420</v>
      </c>
      <c r="D272" s="3" t="s">
        <v>347</v>
      </c>
      <c r="E272" s="3" t="s">
        <v>347</v>
      </c>
      <c r="F272" s="3"/>
      <c r="G272" s="3"/>
      <c r="H272" s="3"/>
      <c r="I272" s="3"/>
      <c r="J272" s="3" t="s">
        <v>11</v>
      </c>
      <c r="K272" s="27" t="s">
        <v>12</v>
      </c>
    </row>
    <row r="273" ht="18.6" customHeight="1" spans="1:11">
      <c r="A273" s="3">
        <v>272</v>
      </c>
      <c r="B273" s="3" t="s">
        <v>357</v>
      </c>
      <c r="C273" s="3" t="s">
        <v>3420</v>
      </c>
      <c r="D273" s="3" t="s">
        <v>347</v>
      </c>
      <c r="E273" s="3" t="s">
        <v>347</v>
      </c>
      <c r="F273" s="3"/>
      <c r="G273" s="3"/>
      <c r="H273" s="3" t="s">
        <v>3774</v>
      </c>
      <c r="I273" s="3" t="s">
        <v>3773</v>
      </c>
      <c r="J273" s="3" t="s">
        <v>11</v>
      </c>
      <c r="K273" s="27" t="s">
        <v>12</v>
      </c>
    </row>
    <row r="274" ht="18.6" customHeight="1" spans="1:11">
      <c r="A274" s="3">
        <v>273</v>
      </c>
      <c r="B274" s="3" t="s">
        <v>358</v>
      </c>
      <c r="C274" s="3" t="s">
        <v>3420</v>
      </c>
      <c r="D274" s="3" t="s">
        <v>347</v>
      </c>
      <c r="E274" s="3" t="s">
        <v>347</v>
      </c>
      <c r="F274" s="3"/>
      <c r="G274" s="3"/>
      <c r="H274" s="3" t="s">
        <v>3774</v>
      </c>
      <c r="I274" s="3" t="s">
        <v>3775</v>
      </c>
      <c r="J274" s="3" t="s">
        <v>11</v>
      </c>
      <c r="K274" s="27" t="s">
        <v>12</v>
      </c>
    </row>
    <row r="275" ht="18.6" customHeight="1" spans="1:11">
      <c r="A275" s="3">
        <v>274</v>
      </c>
      <c r="B275" s="3" t="s">
        <v>359</v>
      </c>
      <c r="C275" s="3" t="s">
        <v>3309</v>
      </c>
      <c r="D275" s="3" t="s">
        <v>347</v>
      </c>
      <c r="E275" s="3" t="s">
        <v>347</v>
      </c>
      <c r="F275" s="3">
        <v>985</v>
      </c>
      <c r="G275" s="3">
        <v>211</v>
      </c>
      <c r="H275" s="3" t="s">
        <v>5</v>
      </c>
      <c r="I275" s="3" t="s">
        <v>3776</v>
      </c>
      <c r="J275" s="3" t="s">
        <v>11</v>
      </c>
      <c r="K275" s="27" t="s">
        <v>12</v>
      </c>
    </row>
    <row r="276" ht="18.6" customHeight="1" spans="1:11">
      <c r="A276" s="3">
        <v>275</v>
      </c>
      <c r="B276" s="3" t="s">
        <v>360</v>
      </c>
      <c r="C276" s="3" t="s">
        <v>3420</v>
      </c>
      <c r="D276" s="3" t="s">
        <v>347</v>
      </c>
      <c r="E276" s="3" t="s">
        <v>347</v>
      </c>
      <c r="F276" s="3"/>
      <c r="G276" s="3"/>
      <c r="H276" s="3"/>
      <c r="I276" s="3" t="s">
        <v>3776</v>
      </c>
      <c r="J276" s="3" t="s">
        <v>11</v>
      </c>
      <c r="K276" s="27" t="s">
        <v>12</v>
      </c>
    </row>
    <row r="277" ht="18.6" customHeight="1" spans="1:11">
      <c r="A277" s="3">
        <v>276</v>
      </c>
      <c r="B277" s="3" t="s">
        <v>361</v>
      </c>
      <c r="C277" s="3" t="s">
        <v>3309</v>
      </c>
      <c r="D277" s="3" t="s">
        <v>347</v>
      </c>
      <c r="E277" s="3" t="s">
        <v>347</v>
      </c>
      <c r="F277" s="3"/>
      <c r="G277" s="3">
        <v>211</v>
      </c>
      <c r="H277" s="3" t="s">
        <v>5</v>
      </c>
      <c r="I277" s="3" t="s">
        <v>3778</v>
      </c>
      <c r="J277" s="3" t="s">
        <v>11</v>
      </c>
      <c r="K277" s="27" t="s">
        <v>12</v>
      </c>
    </row>
    <row r="278" ht="18.6" customHeight="1" spans="1:11">
      <c r="A278" s="3">
        <v>277</v>
      </c>
      <c r="B278" s="3" t="s">
        <v>362</v>
      </c>
      <c r="C278" s="3" t="s">
        <v>3309</v>
      </c>
      <c r="D278" s="3" t="s">
        <v>347</v>
      </c>
      <c r="E278" s="3" t="s">
        <v>347</v>
      </c>
      <c r="F278" s="3"/>
      <c r="G278" s="3">
        <v>211</v>
      </c>
      <c r="H278" s="3" t="s">
        <v>5</v>
      </c>
      <c r="I278" s="3" t="s">
        <v>3771</v>
      </c>
      <c r="J278" s="3" t="s">
        <v>11</v>
      </c>
      <c r="K278" s="27" t="s">
        <v>12</v>
      </c>
    </row>
    <row r="279" ht="18.6" customHeight="1" spans="1:11">
      <c r="A279" s="3">
        <v>278</v>
      </c>
      <c r="B279" s="3" t="s">
        <v>363</v>
      </c>
      <c r="C279" s="3" t="s">
        <v>3420</v>
      </c>
      <c r="D279" s="3" t="s">
        <v>347</v>
      </c>
      <c r="E279" s="3" t="s">
        <v>347</v>
      </c>
      <c r="F279" s="3"/>
      <c r="G279" s="3"/>
      <c r="H279" s="3"/>
      <c r="I279" s="3" t="s">
        <v>3771</v>
      </c>
      <c r="J279" s="3" t="s">
        <v>11</v>
      </c>
      <c r="K279" s="27" t="s">
        <v>12</v>
      </c>
    </row>
    <row r="280" ht="18.6" customHeight="1" spans="1:11">
      <c r="A280" s="3">
        <v>279</v>
      </c>
      <c r="B280" s="3" t="s">
        <v>364</v>
      </c>
      <c r="C280" s="3" t="s">
        <v>3421</v>
      </c>
      <c r="D280" s="3" t="s">
        <v>347</v>
      </c>
      <c r="E280" s="3" t="s">
        <v>347</v>
      </c>
      <c r="F280" s="3"/>
      <c r="G280" s="3"/>
      <c r="H280" s="3"/>
      <c r="I280" s="3"/>
      <c r="J280" s="3" t="s">
        <v>11</v>
      </c>
      <c r="K280" s="27" t="s">
        <v>12</v>
      </c>
    </row>
    <row r="281" ht="18.6" customHeight="1" spans="1:11">
      <c r="A281" s="3">
        <v>280</v>
      </c>
      <c r="B281" s="3" t="s">
        <v>365</v>
      </c>
      <c r="C281" s="3" t="s">
        <v>3420</v>
      </c>
      <c r="D281" s="3" t="s">
        <v>347</v>
      </c>
      <c r="E281" s="3" t="s">
        <v>347</v>
      </c>
      <c r="F281" s="3"/>
      <c r="G281" s="3"/>
      <c r="H281" s="3"/>
      <c r="I281" s="3" t="s">
        <v>3779</v>
      </c>
      <c r="J281" s="3" t="s">
        <v>11</v>
      </c>
      <c r="K281" s="27" t="s">
        <v>12</v>
      </c>
    </row>
    <row r="282" ht="18.6" customHeight="1" spans="1:11">
      <c r="A282" s="3">
        <v>281</v>
      </c>
      <c r="B282" s="3" t="s">
        <v>366</v>
      </c>
      <c r="C282" s="3" t="s">
        <v>3420</v>
      </c>
      <c r="D282" s="3" t="s">
        <v>347</v>
      </c>
      <c r="E282" s="3" t="s">
        <v>347</v>
      </c>
      <c r="F282" s="3"/>
      <c r="G282" s="3"/>
      <c r="H282" s="3" t="s">
        <v>3774</v>
      </c>
      <c r="I282" s="3" t="s">
        <v>3777</v>
      </c>
      <c r="J282" s="3" t="s">
        <v>11</v>
      </c>
      <c r="K282" s="27" t="s">
        <v>12</v>
      </c>
    </row>
    <row r="283" ht="18.6" customHeight="1" spans="1:11">
      <c r="A283" s="3">
        <v>282</v>
      </c>
      <c r="B283" s="3" t="s">
        <v>367</v>
      </c>
      <c r="C283" s="3" t="s">
        <v>3420</v>
      </c>
      <c r="D283" s="3" t="s">
        <v>347</v>
      </c>
      <c r="E283" s="3" t="s">
        <v>347</v>
      </c>
      <c r="F283" s="3"/>
      <c r="G283" s="3"/>
      <c r="H283" s="3" t="s">
        <v>3774</v>
      </c>
      <c r="I283" s="3" t="s">
        <v>3772</v>
      </c>
      <c r="J283" s="3" t="s">
        <v>11</v>
      </c>
      <c r="K283" s="27" t="s">
        <v>12</v>
      </c>
    </row>
    <row r="284" ht="18.6" customHeight="1" spans="1:11">
      <c r="A284" s="3">
        <v>283</v>
      </c>
      <c r="B284" s="3" t="s">
        <v>368</v>
      </c>
      <c r="C284" s="3" t="s">
        <v>3420</v>
      </c>
      <c r="D284" s="3" t="s">
        <v>347</v>
      </c>
      <c r="E284" s="3" t="s">
        <v>347</v>
      </c>
      <c r="F284" s="3"/>
      <c r="G284" s="3"/>
      <c r="H284" s="3"/>
      <c r="I284" s="3" t="s">
        <v>3772</v>
      </c>
      <c r="J284" s="3" t="s">
        <v>11</v>
      </c>
      <c r="K284" s="27" t="s">
        <v>12</v>
      </c>
    </row>
    <row r="285" ht="18.6" customHeight="1" spans="1:11">
      <c r="A285" s="3">
        <v>284</v>
      </c>
      <c r="B285" s="3" t="s">
        <v>369</v>
      </c>
      <c r="C285" s="3" t="s">
        <v>3420</v>
      </c>
      <c r="D285" s="3" t="s">
        <v>347</v>
      </c>
      <c r="E285" s="3" t="s">
        <v>347</v>
      </c>
      <c r="F285" s="3"/>
      <c r="G285" s="3">
        <v>211</v>
      </c>
      <c r="H285" s="3" t="s">
        <v>5</v>
      </c>
      <c r="I285" s="3" t="s">
        <v>3769</v>
      </c>
      <c r="J285" s="3" t="s">
        <v>11</v>
      </c>
      <c r="K285" s="27" t="s">
        <v>12</v>
      </c>
    </row>
    <row r="286" ht="18.6" customHeight="1" spans="1:11">
      <c r="A286" s="3">
        <v>285</v>
      </c>
      <c r="B286" s="3" t="s">
        <v>370</v>
      </c>
      <c r="C286" s="3" t="s">
        <v>3420</v>
      </c>
      <c r="D286" s="3" t="s">
        <v>347</v>
      </c>
      <c r="E286" s="3" t="s">
        <v>347</v>
      </c>
      <c r="F286" s="3"/>
      <c r="G286" s="3"/>
      <c r="H286" s="3"/>
      <c r="I286" s="3"/>
      <c r="J286" s="3" t="s">
        <v>11</v>
      </c>
      <c r="K286" s="27" t="s">
        <v>12</v>
      </c>
    </row>
    <row r="287" ht="18.6" customHeight="1" spans="1:11">
      <c r="A287" s="3">
        <v>286</v>
      </c>
      <c r="B287" s="3" t="s">
        <v>371</v>
      </c>
      <c r="C287" s="3" t="s">
        <v>3420</v>
      </c>
      <c r="D287" s="3" t="s">
        <v>347</v>
      </c>
      <c r="E287" s="3" t="s">
        <v>347</v>
      </c>
      <c r="F287" s="3"/>
      <c r="G287" s="3"/>
      <c r="H287" s="3"/>
      <c r="I287" s="3" t="s">
        <v>3770</v>
      </c>
      <c r="J287" s="3" t="s">
        <v>11</v>
      </c>
      <c r="K287" s="27" t="s">
        <v>12</v>
      </c>
    </row>
    <row r="288" ht="18.6" customHeight="1" spans="1:11">
      <c r="A288" s="3">
        <v>287</v>
      </c>
      <c r="B288" s="3" t="s">
        <v>372</v>
      </c>
      <c r="C288" s="3" t="s">
        <v>3420</v>
      </c>
      <c r="D288" s="3" t="s">
        <v>347</v>
      </c>
      <c r="E288" s="3" t="s">
        <v>347</v>
      </c>
      <c r="F288" s="3"/>
      <c r="G288" s="3"/>
      <c r="H288" s="3"/>
      <c r="I288" s="3"/>
      <c r="J288" s="3" t="s">
        <v>11</v>
      </c>
      <c r="K288" s="27" t="s">
        <v>12</v>
      </c>
    </row>
    <row r="289" ht="18.6" customHeight="1" spans="1:11">
      <c r="A289" s="3">
        <v>288</v>
      </c>
      <c r="B289" s="3" t="s">
        <v>373</v>
      </c>
      <c r="C289" s="3" t="s">
        <v>3420</v>
      </c>
      <c r="D289" s="3" t="s">
        <v>347</v>
      </c>
      <c r="E289" s="3" t="s">
        <v>347</v>
      </c>
      <c r="F289" s="3"/>
      <c r="G289" s="3"/>
      <c r="H289" s="3"/>
      <c r="I289" s="3"/>
      <c r="J289" s="3" t="s">
        <v>11</v>
      </c>
      <c r="K289" s="27" t="s">
        <v>12</v>
      </c>
    </row>
    <row r="290" ht="18.6" customHeight="1" spans="1:11">
      <c r="A290" s="3">
        <v>289</v>
      </c>
      <c r="B290" s="3" t="s">
        <v>374</v>
      </c>
      <c r="C290" s="3" t="s">
        <v>3420</v>
      </c>
      <c r="D290" s="3" t="s">
        <v>347</v>
      </c>
      <c r="E290" s="3" t="s">
        <v>347</v>
      </c>
      <c r="F290" s="3"/>
      <c r="G290" s="3"/>
      <c r="H290" s="3"/>
      <c r="I290" s="3"/>
      <c r="J290" s="3" t="s">
        <v>11</v>
      </c>
      <c r="K290" s="27" t="s">
        <v>12</v>
      </c>
    </row>
    <row r="291" ht="18.6" customHeight="1" spans="1:11">
      <c r="A291" s="3">
        <v>290</v>
      </c>
      <c r="B291" s="3" t="s">
        <v>375</v>
      </c>
      <c r="C291" s="3" t="s">
        <v>3420</v>
      </c>
      <c r="D291" s="3" t="s">
        <v>347</v>
      </c>
      <c r="E291" s="3" t="s">
        <v>347</v>
      </c>
      <c r="F291" s="3"/>
      <c r="G291" s="3"/>
      <c r="H291" s="3"/>
      <c r="I291" s="3"/>
      <c r="J291" s="3" t="s">
        <v>11</v>
      </c>
      <c r="K291" s="27" t="s">
        <v>12</v>
      </c>
    </row>
    <row r="292" ht="18.6" customHeight="1" spans="1:11">
      <c r="A292" s="3">
        <v>291</v>
      </c>
      <c r="B292" s="3" t="s">
        <v>376</v>
      </c>
      <c r="C292" s="3" t="s">
        <v>3420</v>
      </c>
      <c r="D292" s="3" t="s">
        <v>347</v>
      </c>
      <c r="E292" s="3" t="s">
        <v>347</v>
      </c>
      <c r="F292" s="3"/>
      <c r="G292" s="3"/>
      <c r="H292" s="3"/>
      <c r="I292" s="3"/>
      <c r="J292" s="3" t="s">
        <v>11</v>
      </c>
      <c r="K292" s="27" t="s">
        <v>12</v>
      </c>
    </row>
    <row r="293" ht="18.6" customHeight="1" spans="1:11">
      <c r="A293" s="3">
        <v>292</v>
      </c>
      <c r="B293" s="3" t="s">
        <v>377</v>
      </c>
      <c r="C293" s="3" t="s">
        <v>3423</v>
      </c>
      <c r="D293" s="3" t="s">
        <v>347</v>
      </c>
      <c r="E293" s="3" t="s">
        <v>347</v>
      </c>
      <c r="F293" s="3"/>
      <c r="G293" s="3"/>
      <c r="H293" s="3" t="s">
        <v>3774</v>
      </c>
      <c r="I293" s="3" t="s">
        <v>3770</v>
      </c>
      <c r="J293" s="3" t="s">
        <v>11</v>
      </c>
      <c r="K293" s="27" t="s">
        <v>12</v>
      </c>
    </row>
    <row r="294" ht="18.6" customHeight="1" spans="1:11">
      <c r="A294" s="3">
        <v>293</v>
      </c>
      <c r="B294" s="3" t="s">
        <v>378</v>
      </c>
      <c r="C294" s="3" t="s">
        <v>3309</v>
      </c>
      <c r="D294" s="3" t="s">
        <v>379</v>
      </c>
      <c r="E294" s="3" t="s">
        <v>380</v>
      </c>
      <c r="F294" s="3">
        <v>985</v>
      </c>
      <c r="G294" s="3">
        <v>211</v>
      </c>
      <c r="H294" s="3" t="s">
        <v>5</v>
      </c>
      <c r="I294" s="3" t="s">
        <v>3769</v>
      </c>
      <c r="J294" s="3" t="s">
        <v>11</v>
      </c>
      <c r="K294" s="27" t="s">
        <v>12</v>
      </c>
    </row>
    <row r="295" ht="18.6" customHeight="1" spans="1:11">
      <c r="A295" s="3">
        <v>294</v>
      </c>
      <c r="B295" s="3" t="s">
        <v>381</v>
      </c>
      <c r="C295" s="3" t="s">
        <v>3426</v>
      </c>
      <c r="D295" s="3" t="s">
        <v>379</v>
      </c>
      <c r="E295" s="3" t="s">
        <v>382</v>
      </c>
      <c r="F295" s="3"/>
      <c r="G295" s="3">
        <v>211</v>
      </c>
      <c r="H295" s="3" t="s">
        <v>5</v>
      </c>
      <c r="I295" s="3" t="s">
        <v>3769</v>
      </c>
      <c r="J295" s="3" t="s">
        <v>11</v>
      </c>
      <c r="K295" s="27" t="s">
        <v>12</v>
      </c>
    </row>
    <row r="296" ht="18.6" customHeight="1" spans="1:11">
      <c r="A296" s="3">
        <v>295</v>
      </c>
      <c r="B296" s="3" t="s">
        <v>383</v>
      </c>
      <c r="C296" s="3" t="s">
        <v>3309</v>
      </c>
      <c r="D296" s="3" t="s">
        <v>379</v>
      </c>
      <c r="E296" s="3" t="s">
        <v>380</v>
      </c>
      <c r="F296" s="3">
        <v>985</v>
      </c>
      <c r="G296" s="3">
        <v>211</v>
      </c>
      <c r="H296" s="3" t="s">
        <v>5</v>
      </c>
      <c r="I296" s="3" t="s">
        <v>3769</v>
      </c>
      <c r="J296" s="3" t="s">
        <v>11</v>
      </c>
      <c r="K296" s="27" t="s">
        <v>12</v>
      </c>
    </row>
    <row r="297" ht="18.6" customHeight="1" spans="1:11">
      <c r="A297" s="3">
        <v>296</v>
      </c>
      <c r="B297" s="3" t="s">
        <v>384</v>
      </c>
      <c r="C297" s="3" t="s">
        <v>3311</v>
      </c>
      <c r="D297" s="3" t="s">
        <v>379</v>
      </c>
      <c r="E297" s="3" t="s">
        <v>380</v>
      </c>
      <c r="F297" s="3"/>
      <c r="G297" s="3">
        <v>211</v>
      </c>
      <c r="H297" s="3" t="s">
        <v>5</v>
      </c>
      <c r="I297" s="3" t="s">
        <v>3770</v>
      </c>
      <c r="J297" s="3" t="s">
        <v>11</v>
      </c>
      <c r="K297" s="27" t="s">
        <v>12</v>
      </c>
    </row>
    <row r="298" ht="18.6" customHeight="1" spans="1:11">
      <c r="A298" s="3">
        <v>297</v>
      </c>
      <c r="B298" s="3" t="s">
        <v>385</v>
      </c>
      <c r="C298" s="3" t="s">
        <v>3311</v>
      </c>
      <c r="D298" s="3" t="s">
        <v>379</v>
      </c>
      <c r="E298" s="3" t="s">
        <v>380</v>
      </c>
      <c r="F298" s="3"/>
      <c r="G298" s="3">
        <v>211</v>
      </c>
      <c r="H298" s="3" t="s">
        <v>5</v>
      </c>
      <c r="I298" s="3" t="s">
        <v>3770</v>
      </c>
      <c r="J298" s="3" t="s">
        <v>11</v>
      </c>
      <c r="K298" s="27" t="s">
        <v>12</v>
      </c>
    </row>
    <row r="299" ht="18.6" customHeight="1" spans="1:11">
      <c r="A299" s="3">
        <v>298</v>
      </c>
      <c r="B299" s="3" t="s">
        <v>386</v>
      </c>
      <c r="C299" s="3" t="s">
        <v>3426</v>
      </c>
      <c r="D299" s="3" t="s">
        <v>379</v>
      </c>
      <c r="E299" s="3" t="s">
        <v>387</v>
      </c>
      <c r="F299" s="3"/>
      <c r="G299" s="3"/>
      <c r="H299" s="3"/>
      <c r="I299" s="3" t="s">
        <v>3770</v>
      </c>
      <c r="J299" s="3" t="s">
        <v>11</v>
      </c>
      <c r="K299" s="27" t="s">
        <v>12</v>
      </c>
    </row>
    <row r="300" ht="18.6" customHeight="1" spans="1:11">
      <c r="A300" s="3">
        <v>299</v>
      </c>
      <c r="B300" s="3" t="s">
        <v>388</v>
      </c>
      <c r="C300" s="3" t="s">
        <v>3309</v>
      </c>
      <c r="D300" s="3" t="s">
        <v>379</v>
      </c>
      <c r="E300" s="3" t="s">
        <v>389</v>
      </c>
      <c r="F300" s="3"/>
      <c r="G300" s="3">
        <v>211</v>
      </c>
      <c r="H300" s="3" t="s">
        <v>5</v>
      </c>
      <c r="I300" s="3" t="s">
        <v>3770</v>
      </c>
      <c r="J300" s="3" t="s">
        <v>11</v>
      </c>
      <c r="K300" s="27" t="s">
        <v>12</v>
      </c>
    </row>
    <row r="301" ht="18.6" customHeight="1" spans="1:11">
      <c r="A301" s="3">
        <v>300</v>
      </c>
      <c r="B301" s="3" t="s">
        <v>390</v>
      </c>
      <c r="C301" s="3" t="s">
        <v>3426</v>
      </c>
      <c r="D301" s="3" t="s">
        <v>379</v>
      </c>
      <c r="E301" s="3" t="s">
        <v>380</v>
      </c>
      <c r="F301" s="3"/>
      <c r="G301" s="3"/>
      <c r="H301" s="3"/>
      <c r="I301" s="3" t="s">
        <v>3770</v>
      </c>
      <c r="J301" s="3" t="s">
        <v>11</v>
      </c>
      <c r="K301" s="27" t="s">
        <v>12</v>
      </c>
    </row>
    <row r="302" ht="18.6" customHeight="1" spans="1:11">
      <c r="A302" s="3">
        <v>301</v>
      </c>
      <c r="B302" s="3" t="s">
        <v>391</v>
      </c>
      <c r="C302" s="3" t="s">
        <v>3426</v>
      </c>
      <c r="D302" s="3" t="s">
        <v>379</v>
      </c>
      <c r="E302" s="3" t="s">
        <v>392</v>
      </c>
      <c r="F302" s="3"/>
      <c r="G302" s="3"/>
      <c r="H302" s="3"/>
      <c r="I302" s="3" t="s">
        <v>3770</v>
      </c>
      <c r="J302" s="3" t="s">
        <v>11</v>
      </c>
      <c r="K302" s="27" t="s">
        <v>12</v>
      </c>
    </row>
    <row r="303" ht="18.6" customHeight="1" spans="1:11">
      <c r="A303" s="3">
        <v>302</v>
      </c>
      <c r="B303" s="3" t="s">
        <v>393</v>
      </c>
      <c r="C303" s="3" t="s">
        <v>3426</v>
      </c>
      <c r="D303" s="3" t="s">
        <v>379</v>
      </c>
      <c r="E303" s="3" t="s">
        <v>380</v>
      </c>
      <c r="F303" s="3"/>
      <c r="G303" s="3"/>
      <c r="H303" s="3" t="s">
        <v>3774</v>
      </c>
      <c r="I303" s="3" t="s">
        <v>3770</v>
      </c>
      <c r="J303" s="3" t="s">
        <v>11</v>
      </c>
      <c r="K303" s="27" t="s">
        <v>12</v>
      </c>
    </row>
    <row r="304" ht="18.6" customHeight="1" spans="1:11">
      <c r="A304" s="3">
        <v>303</v>
      </c>
      <c r="B304" s="3" t="s">
        <v>394</v>
      </c>
      <c r="C304" s="3" t="s">
        <v>3309</v>
      </c>
      <c r="D304" s="3" t="s">
        <v>379</v>
      </c>
      <c r="E304" s="3" t="s">
        <v>380</v>
      </c>
      <c r="F304" s="3"/>
      <c r="G304" s="3">
        <v>211</v>
      </c>
      <c r="H304" s="3" t="s">
        <v>5</v>
      </c>
      <c r="I304" s="3" t="s">
        <v>3770</v>
      </c>
      <c r="J304" s="3" t="s">
        <v>11</v>
      </c>
      <c r="K304" s="27" t="s">
        <v>12</v>
      </c>
    </row>
    <row r="305" ht="18.6" customHeight="1" spans="1:11">
      <c r="A305" s="3">
        <v>304</v>
      </c>
      <c r="B305" s="3" t="s">
        <v>395</v>
      </c>
      <c r="C305" s="3" t="s">
        <v>3309</v>
      </c>
      <c r="D305" s="3" t="s">
        <v>379</v>
      </c>
      <c r="E305" s="3" t="s">
        <v>396</v>
      </c>
      <c r="F305" s="3"/>
      <c r="G305" s="3">
        <v>211</v>
      </c>
      <c r="H305" s="3" t="s">
        <v>5</v>
      </c>
      <c r="I305" s="3" t="s">
        <v>3769</v>
      </c>
      <c r="J305" s="3" t="s">
        <v>11</v>
      </c>
      <c r="K305" s="27" t="s">
        <v>12</v>
      </c>
    </row>
    <row r="306" ht="18.6" customHeight="1" spans="1:11">
      <c r="A306" s="3">
        <v>305</v>
      </c>
      <c r="B306" s="3" t="s">
        <v>397</v>
      </c>
      <c r="C306" s="3" t="s">
        <v>3426</v>
      </c>
      <c r="D306" s="3" t="s">
        <v>379</v>
      </c>
      <c r="E306" s="3" t="s">
        <v>380</v>
      </c>
      <c r="F306" s="3"/>
      <c r="G306" s="3"/>
      <c r="H306" s="3" t="s">
        <v>3774</v>
      </c>
      <c r="I306" s="3" t="s">
        <v>3773</v>
      </c>
      <c r="J306" s="3" t="s">
        <v>11</v>
      </c>
      <c r="K306" s="27" t="s">
        <v>12</v>
      </c>
    </row>
    <row r="307" ht="18.6" customHeight="1" spans="1:11">
      <c r="A307" s="3">
        <v>306</v>
      </c>
      <c r="B307" s="3" t="s">
        <v>398</v>
      </c>
      <c r="C307" s="3" t="s">
        <v>3426</v>
      </c>
      <c r="D307" s="3" t="s">
        <v>379</v>
      </c>
      <c r="E307" s="3" t="s">
        <v>387</v>
      </c>
      <c r="F307" s="3"/>
      <c r="G307" s="3"/>
      <c r="H307" s="3"/>
      <c r="I307" s="3" t="s">
        <v>3769</v>
      </c>
      <c r="J307" s="3" t="s">
        <v>11</v>
      </c>
      <c r="K307" s="27" t="s">
        <v>12</v>
      </c>
    </row>
    <row r="308" ht="18.6" customHeight="1" spans="1:11">
      <c r="A308" s="3">
        <v>307</v>
      </c>
      <c r="B308" s="3" t="s">
        <v>399</v>
      </c>
      <c r="C308" s="3" t="s">
        <v>3426</v>
      </c>
      <c r="D308" s="3" t="s">
        <v>379</v>
      </c>
      <c r="E308" s="3" t="s">
        <v>380</v>
      </c>
      <c r="F308" s="3"/>
      <c r="G308" s="3"/>
      <c r="H308" s="3" t="s">
        <v>3774</v>
      </c>
      <c r="I308" s="3" t="s">
        <v>3769</v>
      </c>
      <c r="J308" s="3" t="s">
        <v>11</v>
      </c>
      <c r="K308" s="27" t="s">
        <v>12</v>
      </c>
    </row>
    <row r="309" ht="18.6" customHeight="1" spans="1:11">
      <c r="A309" s="3">
        <v>308</v>
      </c>
      <c r="B309" s="3" t="s">
        <v>400</v>
      </c>
      <c r="C309" s="3" t="s">
        <v>3426</v>
      </c>
      <c r="D309" s="3" t="s">
        <v>379</v>
      </c>
      <c r="E309" s="3" t="s">
        <v>401</v>
      </c>
      <c r="F309" s="3"/>
      <c r="G309" s="3"/>
      <c r="H309" s="3"/>
      <c r="I309" s="3" t="s">
        <v>3769</v>
      </c>
      <c r="J309" s="3" t="s">
        <v>11</v>
      </c>
      <c r="K309" s="27" t="s">
        <v>12</v>
      </c>
    </row>
    <row r="310" ht="18.6" customHeight="1" spans="1:11">
      <c r="A310" s="3">
        <v>309</v>
      </c>
      <c r="B310" s="3" t="s">
        <v>402</v>
      </c>
      <c r="C310" s="3" t="s">
        <v>3426</v>
      </c>
      <c r="D310" s="3" t="s">
        <v>379</v>
      </c>
      <c r="E310" s="3" t="s">
        <v>403</v>
      </c>
      <c r="F310" s="3"/>
      <c r="G310" s="3"/>
      <c r="H310" s="3"/>
      <c r="I310" s="3"/>
      <c r="J310" s="3" t="s">
        <v>11</v>
      </c>
      <c r="K310" s="27" t="s">
        <v>12</v>
      </c>
    </row>
    <row r="311" ht="18.6" customHeight="1" spans="1:11">
      <c r="A311" s="3">
        <v>310</v>
      </c>
      <c r="B311" s="3" t="s">
        <v>404</v>
      </c>
      <c r="C311" s="3" t="s">
        <v>3309</v>
      </c>
      <c r="D311" s="3" t="s">
        <v>379</v>
      </c>
      <c r="E311" s="3" t="s">
        <v>380</v>
      </c>
      <c r="F311" s="3"/>
      <c r="G311" s="3">
        <v>211</v>
      </c>
      <c r="H311" s="3" t="s">
        <v>5</v>
      </c>
      <c r="I311" s="3" t="s">
        <v>3773</v>
      </c>
      <c r="J311" s="3" t="s">
        <v>11</v>
      </c>
      <c r="K311" s="27" t="s">
        <v>12</v>
      </c>
    </row>
    <row r="312" ht="18.6" customHeight="1" spans="1:11">
      <c r="A312" s="3">
        <v>311</v>
      </c>
      <c r="B312" s="3" t="s">
        <v>405</v>
      </c>
      <c r="C312" s="3" t="s">
        <v>3426</v>
      </c>
      <c r="D312" s="3" t="s">
        <v>379</v>
      </c>
      <c r="E312" s="3" t="s">
        <v>380</v>
      </c>
      <c r="F312" s="3"/>
      <c r="G312" s="3"/>
      <c r="H312" s="3" t="s">
        <v>3774</v>
      </c>
      <c r="I312" s="3" t="s">
        <v>3775</v>
      </c>
      <c r="J312" s="3" t="s">
        <v>11</v>
      </c>
      <c r="K312" s="27" t="s">
        <v>12</v>
      </c>
    </row>
    <row r="313" ht="18.6" customHeight="1" spans="1:11">
      <c r="A313" s="3">
        <v>312</v>
      </c>
      <c r="B313" s="3" t="s">
        <v>406</v>
      </c>
      <c r="C313" s="3" t="s">
        <v>3426</v>
      </c>
      <c r="D313" s="3" t="s">
        <v>379</v>
      </c>
      <c r="E313" s="3" t="s">
        <v>389</v>
      </c>
      <c r="F313" s="3"/>
      <c r="G313" s="3"/>
      <c r="H313" s="3"/>
      <c r="I313" s="3" t="s">
        <v>3775</v>
      </c>
      <c r="J313" s="3" t="s">
        <v>11</v>
      </c>
      <c r="K313" s="27" t="s">
        <v>12</v>
      </c>
    </row>
    <row r="314" ht="18.6" customHeight="1" spans="1:11">
      <c r="A314" s="3">
        <v>313</v>
      </c>
      <c r="B314" s="3" t="s">
        <v>407</v>
      </c>
      <c r="C314" s="3" t="s">
        <v>3426</v>
      </c>
      <c r="D314" s="3" t="s">
        <v>379</v>
      </c>
      <c r="E314" s="3" t="s">
        <v>380</v>
      </c>
      <c r="F314" s="3"/>
      <c r="G314" s="3"/>
      <c r="H314" s="3" t="s">
        <v>3774</v>
      </c>
      <c r="I314" s="3" t="s">
        <v>3775</v>
      </c>
      <c r="J314" s="3" t="s">
        <v>11</v>
      </c>
      <c r="K314" s="27" t="s">
        <v>12</v>
      </c>
    </row>
    <row r="315" ht="18.6" customHeight="1" spans="1:11">
      <c r="A315" s="3">
        <v>314</v>
      </c>
      <c r="B315" s="3" t="s">
        <v>408</v>
      </c>
      <c r="C315" s="3" t="s">
        <v>3309</v>
      </c>
      <c r="D315" s="3" t="s">
        <v>379</v>
      </c>
      <c r="E315" s="3" t="s">
        <v>380</v>
      </c>
      <c r="F315" s="3"/>
      <c r="G315" s="3">
        <v>211</v>
      </c>
      <c r="H315" s="3" t="s">
        <v>5</v>
      </c>
      <c r="I315" s="3" t="s">
        <v>3775</v>
      </c>
      <c r="J315" s="3" t="s">
        <v>11</v>
      </c>
      <c r="K315" s="27" t="s">
        <v>12</v>
      </c>
    </row>
    <row r="316" ht="18.6" customHeight="1" spans="1:11">
      <c r="A316" s="3">
        <v>315</v>
      </c>
      <c r="B316" s="3" t="s">
        <v>409</v>
      </c>
      <c r="C316" s="3" t="s">
        <v>3426</v>
      </c>
      <c r="D316" s="3" t="s">
        <v>379</v>
      </c>
      <c r="E316" s="3" t="s">
        <v>380</v>
      </c>
      <c r="F316" s="3"/>
      <c r="G316" s="3">
        <v>211</v>
      </c>
      <c r="H316" s="3" t="s">
        <v>5</v>
      </c>
      <c r="I316" s="3" t="s">
        <v>3776</v>
      </c>
      <c r="J316" s="3" t="s">
        <v>11</v>
      </c>
      <c r="K316" s="27" t="s">
        <v>12</v>
      </c>
    </row>
    <row r="317" ht="18.6" customHeight="1" spans="1:11">
      <c r="A317" s="3">
        <v>316</v>
      </c>
      <c r="B317" s="3" t="s">
        <v>410</v>
      </c>
      <c r="C317" s="3" t="s">
        <v>3426</v>
      </c>
      <c r="D317" s="3" t="s">
        <v>379</v>
      </c>
      <c r="E317" s="3" t="s">
        <v>389</v>
      </c>
      <c r="F317" s="3"/>
      <c r="G317" s="3"/>
      <c r="H317" s="3"/>
      <c r="I317" s="3" t="s">
        <v>3776</v>
      </c>
      <c r="J317" s="3" t="s">
        <v>11</v>
      </c>
      <c r="K317" s="27" t="s">
        <v>12</v>
      </c>
    </row>
    <row r="318" ht="18.6" customHeight="1" spans="1:11">
      <c r="A318" s="3">
        <v>317</v>
      </c>
      <c r="B318" s="3" t="s">
        <v>411</v>
      </c>
      <c r="C318" s="3" t="s">
        <v>3426</v>
      </c>
      <c r="D318" s="3" t="s">
        <v>379</v>
      </c>
      <c r="E318" s="3" t="s">
        <v>412</v>
      </c>
      <c r="F318" s="3"/>
      <c r="G318" s="3"/>
      <c r="H318" s="3"/>
      <c r="I318" s="3"/>
      <c r="J318" s="3" t="s">
        <v>11</v>
      </c>
      <c r="K318" s="27" t="s">
        <v>12</v>
      </c>
    </row>
    <row r="319" ht="18.6" customHeight="1" spans="1:11">
      <c r="A319" s="3">
        <v>318</v>
      </c>
      <c r="B319" s="3" t="s">
        <v>413</v>
      </c>
      <c r="C319" s="3" t="s">
        <v>3426</v>
      </c>
      <c r="D319" s="3" t="s">
        <v>379</v>
      </c>
      <c r="E319" s="3" t="s">
        <v>403</v>
      </c>
      <c r="F319" s="3"/>
      <c r="G319" s="3"/>
      <c r="H319" s="3"/>
      <c r="I319" s="3"/>
      <c r="J319" s="3" t="s">
        <v>11</v>
      </c>
      <c r="K319" s="27" t="s">
        <v>12</v>
      </c>
    </row>
    <row r="320" ht="18.6" customHeight="1" spans="1:11">
      <c r="A320" s="3">
        <v>319</v>
      </c>
      <c r="B320" s="3" t="s">
        <v>414</v>
      </c>
      <c r="C320" s="3" t="s">
        <v>3426</v>
      </c>
      <c r="D320" s="3" t="s">
        <v>379</v>
      </c>
      <c r="E320" s="3" t="s">
        <v>380</v>
      </c>
      <c r="F320" s="3"/>
      <c r="G320" s="3"/>
      <c r="H320" s="3"/>
      <c r="I320" s="3" t="s">
        <v>3771</v>
      </c>
      <c r="J320" s="3" t="s">
        <v>11</v>
      </c>
      <c r="K320" s="27" t="s">
        <v>12</v>
      </c>
    </row>
    <row r="321" ht="18.6" customHeight="1" spans="1:11">
      <c r="A321" s="3">
        <v>320</v>
      </c>
      <c r="B321" s="3" t="s">
        <v>415</v>
      </c>
      <c r="C321" s="3" t="s">
        <v>3426</v>
      </c>
      <c r="D321" s="3" t="s">
        <v>379</v>
      </c>
      <c r="E321" s="3" t="s">
        <v>380</v>
      </c>
      <c r="F321" s="3"/>
      <c r="G321" s="3"/>
      <c r="H321" s="3"/>
      <c r="I321" s="3"/>
      <c r="J321" s="3" t="s">
        <v>11</v>
      </c>
      <c r="K321" s="27" t="s">
        <v>12</v>
      </c>
    </row>
    <row r="322" ht="18.6" customHeight="1" spans="1:11">
      <c r="A322" s="3">
        <v>321</v>
      </c>
      <c r="B322" s="3" t="s">
        <v>416</v>
      </c>
      <c r="C322" s="3" t="s">
        <v>3426</v>
      </c>
      <c r="D322" s="3" t="s">
        <v>379</v>
      </c>
      <c r="E322" s="3" t="s">
        <v>380</v>
      </c>
      <c r="F322" s="3"/>
      <c r="G322" s="3"/>
      <c r="H322" s="3"/>
      <c r="I322" s="3"/>
      <c r="J322" s="3" t="s">
        <v>11</v>
      </c>
      <c r="K322" s="27" t="s">
        <v>12</v>
      </c>
    </row>
    <row r="323" ht="18.6" customHeight="1" spans="1:11">
      <c r="A323" s="3">
        <v>322</v>
      </c>
      <c r="B323" s="3" t="s">
        <v>417</v>
      </c>
      <c r="C323" s="3" t="s">
        <v>3426</v>
      </c>
      <c r="D323" s="3" t="s">
        <v>379</v>
      </c>
      <c r="E323" s="3" t="s">
        <v>380</v>
      </c>
      <c r="F323" s="3"/>
      <c r="G323" s="3"/>
      <c r="H323" s="3"/>
      <c r="I323" s="3" t="s">
        <v>3772</v>
      </c>
      <c r="J323" s="3" t="s">
        <v>11</v>
      </c>
      <c r="K323" s="27" t="s">
        <v>12</v>
      </c>
    </row>
    <row r="324" ht="18.6" customHeight="1" spans="1:11">
      <c r="A324" s="3">
        <v>323</v>
      </c>
      <c r="B324" s="3" t="s">
        <v>418</v>
      </c>
      <c r="C324" s="3" t="s">
        <v>3426</v>
      </c>
      <c r="D324" s="3" t="s">
        <v>379</v>
      </c>
      <c r="E324" s="3" t="s">
        <v>382</v>
      </c>
      <c r="F324" s="3"/>
      <c r="G324" s="3"/>
      <c r="H324" s="3"/>
      <c r="I324" s="3" t="s">
        <v>3770</v>
      </c>
      <c r="J324" s="3" t="s">
        <v>11</v>
      </c>
      <c r="K324" s="27" t="s">
        <v>12</v>
      </c>
    </row>
    <row r="325" ht="18.6" customHeight="1" spans="1:11">
      <c r="A325" s="3">
        <v>324</v>
      </c>
      <c r="B325" s="3" t="s">
        <v>3782</v>
      </c>
      <c r="C325" s="3" t="s">
        <v>3426</v>
      </c>
      <c r="D325" s="3" t="s">
        <v>379</v>
      </c>
      <c r="E325" s="3" t="s">
        <v>382</v>
      </c>
      <c r="F325" s="3"/>
      <c r="G325" s="3"/>
      <c r="H325" s="3"/>
      <c r="I325" s="3"/>
      <c r="J325" s="3" t="s">
        <v>11</v>
      </c>
      <c r="K325" s="27" t="s">
        <v>12</v>
      </c>
    </row>
    <row r="326" ht="18.6" customHeight="1" spans="1:11">
      <c r="A326" s="3">
        <v>325</v>
      </c>
      <c r="B326" s="3" t="s">
        <v>420</v>
      </c>
      <c r="C326" s="3" t="s">
        <v>3426</v>
      </c>
      <c r="D326" s="3" t="s">
        <v>379</v>
      </c>
      <c r="E326" s="3" t="s">
        <v>380</v>
      </c>
      <c r="F326" s="3"/>
      <c r="G326" s="3"/>
      <c r="H326" s="3"/>
      <c r="I326" s="3"/>
      <c r="J326" s="3" t="s">
        <v>11</v>
      </c>
      <c r="K326" s="27" t="s">
        <v>12</v>
      </c>
    </row>
    <row r="327" ht="18.6" customHeight="1" spans="1:11">
      <c r="A327" s="3">
        <v>326</v>
      </c>
      <c r="B327" s="3" t="s">
        <v>3435</v>
      </c>
      <c r="C327" s="3" t="s">
        <v>3426</v>
      </c>
      <c r="D327" s="3" t="s">
        <v>379</v>
      </c>
      <c r="E327" s="3" t="s">
        <v>412</v>
      </c>
      <c r="F327" s="3"/>
      <c r="G327" s="3"/>
      <c r="H327" s="3"/>
      <c r="I327" s="3"/>
      <c r="J327" s="3" t="s">
        <v>11</v>
      </c>
      <c r="K327" s="27" t="s">
        <v>12</v>
      </c>
    </row>
    <row r="328" ht="18.6" customHeight="1" spans="1:11">
      <c r="A328" s="3">
        <v>327</v>
      </c>
      <c r="B328" s="3" t="s">
        <v>422</v>
      </c>
      <c r="C328" s="3" t="s">
        <v>3426</v>
      </c>
      <c r="D328" s="3" t="s">
        <v>379</v>
      </c>
      <c r="E328" s="3" t="s">
        <v>392</v>
      </c>
      <c r="F328" s="3"/>
      <c r="G328" s="3"/>
      <c r="H328" s="3"/>
      <c r="I328" s="3"/>
      <c r="J328" s="3" t="s">
        <v>11</v>
      </c>
      <c r="K328" s="27" t="s">
        <v>12</v>
      </c>
    </row>
    <row r="329" ht="18.6" customHeight="1" spans="1:11">
      <c r="A329" s="3">
        <v>328</v>
      </c>
      <c r="B329" s="3" t="s">
        <v>423</v>
      </c>
      <c r="C329" s="3" t="s">
        <v>3426</v>
      </c>
      <c r="D329" s="3" t="s">
        <v>379</v>
      </c>
      <c r="E329" s="3" t="s">
        <v>424</v>
      </c>
      <c r="F329" s="3"/>
      <c r="G329" s="3"/>
      <c r="H329" s="3"/>
      <c r="I329" s="3" t="s">
        <v>3769</v>
      </c>
      <c r="J329" s="3" t="s">
        <v>11</v>
      </c>
      <c r="K329" s="27" t="s">
        <v>12</v>
      </c>
    </row>
    <row r="330" ht="18.6" customHeight="1" spans="1:11">
      <c r="A330" s="3">
        <v>329</v>
      </c>
      <c r="B330" s="3" t="s">
        <v>425</v>
      </c>
      <c r="C330" s="3" t="s">
        <v>3426</v>
      </c>
      <c r="D330" s="3" t="s">
        <v>379</v>
      </c>
      <c r="E330" s="3" t="s">
        <v>380</v>
      </c>
      <c r="F330" s="3"/>
      <c r="G330" s="3"/>
      <c r="H330" s="3"/>
      <c r="I330" s="3" t="s">
        <v>3770</v>
      </c>
      <c r="J330" s="3" t="s">
        <v>11</v>
      </c>
      <c r="K330" s="27" t="s">
        <v>12</v>
      </c>
    </row>
    <row r="331" ht="18.6" customHeight="1" spans="1:11">
      <c r="A331" s="3">
        <v>330</v>
      </c>
      <c r="B331" s="3" t="s">
        <v>426</v>
      </c>
      <c r="C331" s="3" t="s">
        <v>3426</v>
      </c>
      <c r="D331" s="3" t="s">
        <v>379</v>
      </c>
      <c r="E331" s="3" t="s">
        <v>380</v>
      </c>
      <c r="F331" s="3"/>
      <c r="G331" s="3"/>
      <c r="H331" s="3"/>
      <c r="I331" s="3" t="s">
        <v>3771</v>
      </c>
      <c r="J331" s="3" t="s">
        <v>11</v>
      </c>
      <c r="K331" s="27" t="s">
        <v>12</v>
      </c>
    </row>
    <row r="332" ht="18.6" customHeight="1" spans="1:11">
      <c r="A332" s="3">
        <v>331</v>
      </c>
      <c r="B332" s="3" t="s">
        <v>427</v>
      </c>
      <c r="C332" s="3" t="s">
        <v>3426</v>
      </c>
      <c r="D332" s="3" t="s">
        <v>379</v>
      </c>
      <c r="E332" s="3" t="s">
        <v>380</v>
      </c>
      <c r="F332" s="3"/>
      <c r="G332" s="3"/>
      <c r="H332" s="3"/>
      <c r="I332" s="3"/>
      <c r="J332" s="3" t="s">
        <v>11</v>
      </c>
      <c r="K332" s="27" t="s">
        <v>12</v>
      </c>
    </row>
    <row r="333" ht="18.6" customHeight="1" spans="1:11">
      <c r="A333" s="3">
        <v>332</v>
      </c>
      <c r="B333" s="3" t="s">
        <v>428</v>
      </c>
      <c r="C333" s="3" t="s">
        <v>3426</v>
      </c>
      <c r="D333" s="3" t="s">
        <v>379</v>
      </c>
      <c r="E333" s="3" t="s">
        <v>392</v>
      </c>
      <c r="F333" s="3"/>
      <c r="G333" s="3"/>
      <c r="H333" s="3"/>
      <c r="I333" s="3"/>
      <c r="J333" s="3" t="s">
        <v>11</v>
      </c>
      <c r="K333" s="27" t="s">
        <v>12</v>
      </c>
    </row>
    <row r="334" ht="18.6" customHeight="1" spans="1:11">
      <c r="A334" s="3">
        <v>333</v>
      </c>
      <c r="B334" s="3" t="s">
        <v>429</v>
      </c>
      <c r="C334" s="3" t="s">
        <v>3426</v>
      </c>
      <c r="D334" s="3" t="s">
        <v>379</v>
      </c>
      <c r="E334" s="3" t="s">
        <v>430</v>
      </c>
      <c r="F334" s="3"/>
      <c r="G334" s="3"/>
      <c r="H334" s="3"/>
      <c r="I334" s="3"/>
      <c r="J334" s="3" t="s">
        <v>11</v>
      </c>
      <c r="K334" s="27" t="s">
        <v>12</v>
      </c>
    </row>
    <row r="335" ht="18.6" customHeight="1" spans="1:11">
      <c r="A335" s="3">
        <v>334</v>
      </c>
      <c r="B335" s="3" t="s">
        <v>431</v>
      </c>
      <c r="C335" s="3" t="s">
        <v>3426</v>
      </c>
      <c r="D335" s="3" t="s">
        <v>379</v>
      </c>
      <c r="E335" s="3" t="s">
        <v>389</v>
      </c>
      <c r="F335" s="3"/>
      <c r="G335" s="3"/>
      <c r="H335" s="3"/>
      <c r="I335" s="3"/>
      <c r="J335" s="3" t="s">
        <v>11</v>
      </c>
      <c r="K335" s="27" t="s">
        <v>12</v>
      </c>
    </row>
    <row r="336" ht="18.6" customHeight="1" spans="1:11">
      <c r="A336" s="3">
        <v>335</v>
      </c>
      <c r="B336" s="3" t="s">
        <v>432</v>
      </c>
      <c r="C336" s="3" t="s">
        <v>3426</v>
      </c>
      <c r="D336" s="3" t="s">
        <v>379</v>
      </c>
      <c r="E336" s="3" t="s">
        <v>380</v>
      </c>
      <c r="F336" s="3"/>
      <c r="G336" s="3"/>
      <c r="H336" s="3"/>
      <c r="I336" s="3"/>
      <c r="J336" s="3" t="s">
        <v>11</v>
      </c>
      <c r="K336" s="27" t="s">
        <v>12</v>
      </c>
    </row>
    <row r="337" ht="18.6" customHeight="1" spans="1:11">
      <c r="A337" s="3">
        <v>336</v>
      </c>
      <c r="B337" s="3" t="s">
        <v>433</v>
      </c>
      <c r="C337" s="3" t="s">
        <v>3316</v>
      </c>
      <c r="D337" s="3" t="s">
        <v>379</v>
      </c>
      <c r="E337" s="3" t="s">
        <v>380</v>
      </c>
      <c r="F337" s="3"/>
      <c r="G337" s="3"/>
      <c r="H337" s="3"/>
      <c r="I337" s="3"/>
      <c r="J337" s="3" t="s">
        <v>11</v>
      </c>
      <c r="K337" s="27" t="s">
        <v>12</v>
      </c>
    </row>
    <row r="338" ht="18.6" customHeight="1" spans="1:11">
      <c r="A338" s="3">
        <v>337</v>
      </c>
      <c r="B338" s="3" t="s">
        <v>434</v>
      </c>
      <c r="C338" s="3" t="s">
        <v>3426</v>
      </c>
      <c r="D338" s="3" t="s">
        <v>379</v>
      </c>
      <c r="E338" s="3" t="s">
        <v>435</v>
      </c>
      <c r="F338" s="3"/>
      <c r="G338" s="3"/>
      <c r="H338" s="3"/>
      <c r="I338" s="3"/>
      <c r="J338" s="3" t="s">
        <v>11</v>
      </c>
      <c r="K338" s="27" t="s">
        <v>12</v>
      </c>
    </row>
    <row r="339" ht="18.6" customHeight="1" spans="1:11">
      <c r="A339" s="3">
        <v>338</v>
      </c>
      <c r="B339" s="3" t="s">
        <v>436</v>
      </c>
      <c r="C339" s="3" t="s">
        <v>3426</v>
      </c>
      <c r="D339" s="3" t="s">
        <v>379</v>
      </c>
      <c r="E339" s="3" t="s">
        <v>380</v>
      </c>
      <c r="F339" s="3"/>
      <c r="G339" s="3"/>
      <c r="H339" s="3"/>
      <c r="I339" s="3"/>
      <c r="J339" s="3" t="s">
        <v>11</v>
      </c>
      <c r="K339" s="27" t="s">
        <v>12</v>
      </c>
    </row>
    <row r="340" ht="18.6" customHeight="1" spans="1:11">
      <c r="A340" s="3">
        <v>339</v>
      </c>
      <c r="B340" s="3" t="s">
        <v>437</v>
      </c>
      <c r="C340" s="3" t="s">
        <v>3426</v>
      </c>
      <c r="D340" s="3" t="s">
        <v>379</v>
      </c>
      <c r="E340" s="3" t="s">
        <v>396</v>
      </c>
      <c r="F340" s="3"/>
      <c r="G340" s="3"/>
      <c r="H340" s="3"/>
      <c r="I340" s="3"/>
      <c r="J340" s="3" t="s">
        <v>11</v>
      </c>
      <c r="K340" s="27" t="s">
        <v>12</v>
      </c>
    </row>
    <row r="341" ht="18.6" customHeight="1" spans="1:11">
      <c r="A341" s="3">
        <v>340</v>
      </c>
      <c r="B341" s="3" t="s">
        <v>438</v>
      </c>
      <c r="C341" s="3" t="s">
        <v>3426</v>
      </c>
      <c r="D341" s="3" t="s">
        <v>379</v>
      </c>
      <c r="E341" s="3" t="s">
        <v>382</v>
      </c>
      <c r="F341" s="3"/>
      <c r="G341" s="3"/>
      <c r="H341" s="3"/>
      <c r="I341" s="3"/>
      <c r="J341" s="3" t="s">
        <v>11</v>
      </c>
      <c r="K341" s="27" t="s">
        <v>12</v>
      </c>
    </row>
    <row r="342" ht="18.6" customHeight="1" spans="1:11">
      <c r="A342" s="3">
        <v>341</v>
      </c>
      <c r="B342" s="3" t="s">
        <v>439</v>
      </c>
      <c r="C342" s="3" t="s">
        <v>3426</v>
      </c>
      <c r="D342" s="3" t="s">
        <v>379</v>
      </c>
      <c r="E342" s="3" t="s">
        <v>440</v>
      </c>
      <c r="F342" s="3"/>
      <c r="G342" s="3"/>
      <c r="H342" s="3"/>
      <c r="I342" s="3"/>
      <c r="J342" s="3" t="s">
        <v>11</v>
      </c>
      <c r="K342" s="27" t="s">
        <v>12</v>
      </c>
    </row>
    <row r="343" ht="18.6" customHeight="1" spans="1:11">
      <c r="A343" s="3">
        <v>342</v>
      </c>
      <c r="B343" s="3" t="s">
        <v>441</v>
      </c>
      <c r="C343" s="3" t="s">
        <v>3426</v>
      </c>
      <c r="D343" s="3" t="s">
        <v>379</v>
      </c>
      <c r="E343" s="3" t="s">
        <v>380</v>
      </c>
      <c r="F343" s="3"/>
      <c r="G343" s="3"/>
      <c r="H343" s="3"/>
      <c r="I343" s="3"/>
      <c r="J343" s="3" t="s">
        <v>11</v>
      </c>
      <c r="K343" s="27" t="s">
        <v>12</v>
      </c>
    </row>
    <row r="344" ht="18.6" customHeight="1" spans="1:11">
      <c r="A344" s="3">
        <v>343</v>
      </c>
      <c r="B344" s="3" t="s">
        <v>447</v>
      </c>
      <c r="C344" s="3" t="s">
        <v>3309</v>
      </c>
      <c r="D344" s="3" t="s">
        <v>448</v>
      </c>
      <c r="E344" s="3" t="s">
        <v>449</v>
      </c>
      <c r="F344" s="3">
        <v>985</v>
      </c>
      <c r="G344" s="3">
        <v>211</v>
      </c>
      <c r="H344" s="3" t="s">
        <v>5</v>
      </c>
      <c r="I344" s="3" t="s">
        <v>3769</v>
      </c>
      <c r="J344" s="3" t="s">
        <v>11</v>
      </c>
      <c r="K344" s="27" t="s">
        <v>12</v>
      </c>
    </row>
    <row r="345" ht="18.6" customHeight="1" spans="1:11">
      <c r="A345" s="3">
        <v>344</v>
      </c>
      <c r="B345" s="3" t="s">
        <v>450</v>
      </c>
      <c r="C345" s="3" t="s">
        <v>3444</v>
      </c>
      <c r="D345" s="3" t="s">
        <v>448</v>
      </c>
      <c r="E345" s="3" t="s">
        <v>449</v>
      </c>
      <c r="F345" s="3"/>
      <c r="G345" s="3"/>
      <c r="H345" s="3"/>
      <c r="I345" s="3" t="s">
        <v>3770</v>
      </c>
      <c r="J345" s="3" t="s">
        <v>11</v>
      </c>
      <c r="K345" s="27" t="s">
        <v>12</v>
      </c>
    </row>
    <row r="346" ht="18.6" customHeight="1" spans="1:11">
      <c r="A346" s="3">
        <v>345</v>
      </c>
      <c r="B346" s="3" t="s">
        <v>451</v>
      </c>
      <c r="C346" s="3" t="s">
        <v>3444</v>
      </c>
      <c r="D346" s="3" t="s">
        <v>448</v>
      </c>
      <c r="E346" s="3" t="s">
        <v>449</v>
      </c>
      <c r="F346" s="3"/>
      <c r="G346" s="3"/>
      <c r="H346" s="3"/>
      <c r="I346" s="3" t="s">
        <v>3770</v>
      </c>
      <c r="J346" s="3" t="s">
        <v>11</v>
      </c>
      <c r="K346" s="27" t="s">
        <v>12</v>
      </c>
    </row>
    <row r="347" ht="18.6" customHeight="1" spans="1:11">
      <c r="A347" s="3">
        <v>346</v>
      </c>
      <c r="B347" s="3" t="s">
        <v>452</v>
      </c>
      <c r="C347" s="3" t="s">
        <v>3444</v>
      </c>
      <c r="D347" s="3" t="s">
        <v>448</v>
      </c>
      <c r="E347" s="3" t="s">
        <v>449</v>
      </c>
      <c r="F347" s="3"/>
      <c r="G347" s="3"/>
      <c r="H347" s="3"/>
      <c r="I347" s="3" t="s">
        <v>3770</v>
      </c>
      <c r="J347" s="3" t="s">
        <v>11</v>
      </c>
      <c r="K347" s="27" t="s">
        <v>12</v>
      </c>
    </row>
    <row r="348" ht="18.6" customHeight="1" spans="1:11">
      <c r="A348" s="3">
        <v>347</v>
      </c>
      <c r="B348" s="3" t="s">
        <v>453</v>
      </c>
      <c r="C348" s="3" t="s">
        <v>3444</v>
      </c>
      <c r="D348" s="3" t="s">
        <v>448</v>
      </c>
      <c r="E348" s="3" t="s">
        <v>454</v>
      </c>
      <c r="F348" s="3"/>
      <c r="G348" s="3"/>
      <c r="H348" s="3"/>
      <c r="I348" s="3" t="s">
        <v>3773</v>
      </c>
      <c r="J348" s="3" t="s">
        <v>11</v>
      </c>
      <c r="K348" s="27" t="s">
        <v>12</v>
      </c>
    </row>
    <row r="349" ht="18.6" customHeight="1" spans="1:11">
      <c r="A349" s="3">
        <v>348</v>
      </c>
      <c r="B349" s="3" t="s">
        <v>455</v>
      </c>
      <c r="C349" s="3" t="s">
        <v>3444</v>
      </c>
      <c r="D349" s="3" t="s">
        <v>448</v>
      </c>
      <c r="E349" s="3" t="s">
        <v>449</v>
      </c>
      <c r="F349" s="3"/>
      <c r="G349" s="3"/>
      <c r="H349" s="3"/>
      <c r="I349" s="3" t="s">
        <v>3773</v>
      </c>
      <c r="J349" s="3" t="s">
        <v>11</v>
      </c>
      <c r="K349" s="27" t="s">
        <v>12</v>
      </c>
    </row>
    <row r="350" ht="18.6" customHeight="1" spans="1:11">
      <c r="A350" s="3">
        <v>349</v>
      </c>
      <c r="B350" s="3" t="s">
        <v>456</v>
      </c>
      <c r="C350" s="3" t="s">
        <v>3444</v>
      </c>
      <c r="D350" s="3" t="s">
        <v>448</v>
      </c>
      <c r="E350" s="3" t="s">
        <v>457</v>
      </c>
      <c r="F350" s="3"/>
      <c r="G350" s="3"/>
      <c r="H350" s="3"/>
      <c r="I350" s="3" t="s">
        <v>3775</v>
      </c>
      <c r="J350" s="3" t="s">
        <v>11</v>
      </c>
      <c r="K350" s="27" t="s">
        <v>12</v>
      </c>
    </row>
    <row r="351" ht="18.6" customHeight="1" spans="1:11">
      <c r="A351" s="3">
        <v>350</v>
      </c>
      <c r="B351" s="3" t="s">
        <v>458</v>
      </c>
      <c r="C351" s="3" t="s">
        <v>3444</v>
      </c>
      <c r="D351" s="3" t="s">
        <v>448</v>
      </c>
      <c r="E351" s="3" t="s">
        <v>449</v>
      </c>
      <c r="F351" s="3"/>
      <c r="G351" s="3"/>
      <c r="H351" s="3"/>
      <c r="I351" s="3" t="s">
        <v>3775</v>
      </c>
      <c r="J351" s="3" t="s">
        <v>11</v>
      </c>
      <c r="K351" s="27" t="s">
        <v>12</v>
      </c>
    </row>
    <row r="352" ht="18.6" customHeight="1" spans="1:11">
      <c r="A352" s="3">
        <v>351</v>
      </c>
      <c r="B352" s="3" t="s">
        <v>459</v>
      </c>
      <c r="C352" s="3" t="s">
        <v>3444</v>
      </c>
      <c r="D352" s="3" t="s">
        <v>448</v>
      </c>
      <c r="E352" s="3" t="s">
        <v>460</v>
      </c>
      <c r="F352" s="3"/>
      <c r="G352" s="3"/>
      <c r="H352" s="3"/>
      <c r="I352" s="3" t="s">
        <v>3776</v>
      </c>
      <c r="J352" s="3" t="s">
        <v>11</v>
      </c>
      <c r="K352" s="27" t="s">
        <v>12</v>
      </c>
    </row>
    <row r="353" ht="18.6" customHeight="1" spans="1:11">
      <c r="A353" s="3">
        <v>352</v>
      </c>
      <c r="B353" s="3" t="s">
        <v>461</v>
      </c>
      <c r="C353" s="3" t="s">
        <v>3444</v>
      </c>
      <c r="D353" s="3" t="s">
        <v>448</v>
      </c>
      <c r="E353" s="3" t="s">
        <v>449</v>
      </c>
      <c r="F353" s="3"/>
      <c r="G353" s="3"/>
      <c r="H353" s="3"/>
      <c r="I353" s="3" t="s">
        <v>3776</v>
      </c>
      <c r="J353" s="3" t="s">
        <v>11</v>
      </c>
      <c r="K353" s="27" t="s">
        <v>12</v>
      </c>
    </row>
    <row r="354" ht="18.6" customHeight="1" spans="1:11">
      <c r="A354" s="3">
        <v>353</v>
      </c>
      <c r="B354" s="3" t="s">
        <v>3448</v>
      </c>
      <c r="C354" s="3" t="s">
        <v>3444</v>
      </c>
      <c r="D354" s="3" t="s">
        <v>448</v>
      </c>
      <c r="E354" s="3" t="s">
        <v>463</v>
      </c>
      <c r="F354" s="3"/>
      <c r="G354" s="3"/>
      <c r="H354" s="3"/>
      <c r="I354" s="3"/>
      <c r="J354" s="3" t="s">
        <v>11</v>
      </c>
      <c r="K354" s="27" t="s">
        <v>12</v>
      </c>
    </row>
    <row r="355" ht="18.6" customHeight="1" spans="1:11">
      <c r="A355" s="3">
        <v>354</v>
      </c>
      <c r="B355" s="3" t="s">
        <v>3450</v>
      </c>
      <c r="C355" s="3" t="s">
        <v>3444</v>
      </c>
      <c r="D355" s="3" t="s">
        <v>448</v>
      </c>
      <c r="E355" s="3" t="s">
        <v>465</v>
      </c>
      <c r="F355" s="3"/>
      <c r="G355" s="3"/>
      <c r="H355" s="3"/>
      <c r="I355" s="3"/>
      <c r="J355" s="3" t="s">
        <v>11</v>
      </c>
      <c r="K355" s="27" t="s">
        <v>12</v>
      </c>
    </row>
    <row r="356" ht="18.6" customHeight="1" spans="1:11">
      <c r="A356" s="3">
        <v>355</v>
      </c>
      <c r="B356" s="3" t="s">
        <v>466</v>
      </c>
      <c r="C356" s="3" t="s">
        <v>3444</v>
      </c>
      <c r="D356" s="3" t="s">
        <v>448</v>
      </c>
      <c r="E356" s="3" t="s">
        <v>467</v>
      </c>
      <c r="F356" s="3"/>
      <c r="G356" s="3"/>
      <c r="H356" s="3"/>
      <c r="I356" s="3"/>
      <c r="J356" s="3" t="s">
        <v>11</v>
      </c>
      <c r="K356" s="27" t="s">
        <v>12</v>
      </c>
    </row>
    <row r="357" ht="18.6" customHeight="1" spans="1:11">
      <c r="A357" s="3">
        <v>356</v>
      </c>
      <c r="B357" s="3" t="s">
        <v>468</v>
      </c>
      <c r="C357" s="3" t="s">
        <v>3444</v>
      </c>
      <c r="D357" s="3" t="s">
        <v>448</v>
      </c>
      <c r="E357" s="3" t="s">
        <v>457</v>
      </c>
      <c r="F357" s="3"/>
      <c r="G357" s="3"/>
      <c r="H357" s="3"/>
      <c r="I357" s="3" t="s">
        <v>3769</v>
      </c>
      <c r="J357" s="3" t="s">
        <v>11</v>
      </c>
      <c r="K357" s="27" t="s">
        <v>12</v>
      </c>
    </row>
    <row r="358" ht="18.6" customHeight="1" spans="1:11">
      <c r="A358" s="3">
        <v>357</v>
      </c>
      <c r="B358" s="3" t="s">
        <v>469</v>
      </c>
      <c r="C358" s="3" t="s">
        <v>3444</v>
      </c>
      <c r="D358" s="3" t="s">
        <v>448</v>
      </c>
      <c r="E358" s="3" t="s">
        <v>470</v>
      </c>
      <c r="F358" s="3"/>
      <c r="G358" s="3"/>
      <c r="H358" s="3"/>
      <c r="I358" s="3"/>
      <c r="J358" s="3" t="s">
        <v>11</v>
      </c>
      <c r="K358" s="27" t="s">
        <v>12</v>
      </c>
    </row>
    <row r="359" ht="18.6" customHeight="1" spans="1:11">
      <c r="A359" s="3">
        <v>358</v>
      </c>
      <c r="B359" s="3" t="s">
        <v>471</v>
      </c>
      <c r="C359" s="3" t="s">
        <v>3444</v>
      </c>
      <c r="D359" s="3" t="s">
        <v>448</v>
      </c>
      <c r="E359" s="3" t="s">
        <v>449</v>
      </c>
      <c r="F359" s="3"/>
      <c r="G359" s="3"/>
      <c r="H359" s="3"/>
      <c r="I359" s="3" t="s">
        <v>3771</v>
      </c>
      <c r="J359" s="3" t="s">
        <v>11</v>
      </c>
      <c r="K359" s="27" t="s">
        <v>12</v>
      </c>
    </row>
    <row r="360" ht="18.6" customHeight="1" spans="1:11">
      <c r="A360" s="3">
        <v>359</v>
      </c>
      <c r="B360" s="3" t="s">
        <v>472</v>
      </c>
      <c r="C360" s="3" t="s">
        <v>3444</v>
      </c>
      <c r="D360" s="3" t="s">
        <v>448</v>
      </c>
      <c r="E360" s="3" t="s">
        <v>473</v>
      </c>
      <c r="F360" s="3"/>
      <c r="G360" s="3"/>
      <c r="H360" s="3"/>
      <c r="I360" s="3"/>
      <c r="J360" s="3" t="s">
        <v>11</v>
      </c>
      <c r="K360" s="27" t="s">
        <v>12</v>
      </c>
    </row>
    <row r="361" ht="18.6" customHeight="1" spans="1:11">
      <c r="A361" s="3">
        <v>360</v>
      </c>
      <c r="B361" s="3" t="s">
        <v>474</v>
      </c>
      <c r="C361" s="3" t="s">
        <v>3444</v>
      </c>
      <c r="D361" s="3" t="s">
        <v>448</v>
      </c>
      <c r="E361" s="3" t="s">
        <v>449</v>
      </c>
      <c r="F361" s="3"/>
      <c r="G361" s="3"/>
      <c r="H361" s="3" t="s">
        <v>3774</v>
      </c>
      <c r="I361" s="3" t="s">
        <v>3772</v>
      </c>
      <c r="J361" s="3" t="s">
        <v>11</v>
      </c>
      <c r="K361" s="27" t="s">
        <v>12</v>
      </c>
    </row>
    <row r="362" ht="18.6" customHeight="1" spans="1:11">
      <c r="A362" s="3">
        <v>361</v>
      </c>
      <c r="B362" s="3" t="s">
        <v>475</v>
      </c>
      <c r="C362" s="3" t="s">
        <v>3444</v>
      </c>
      <c r="D362" s="3" t="s">
        <v>448</v>
      </c>
      <c r="E362" s="3" t="s">
        <v>449</v>
      </c>
      <c r="F362" s="3"/>
      <c r="G362" s="3"/>
      <c r="H362" s="3"/>
      <c r="I362" s="3" t="s">
        <v>3770</v>
      </c>
      <c r="J362" s="3" t="s">
        <v>11</v>
      </c>
      <c r="K362" s="27" t="s">
        <v>12</v>
      </c>
    </row>
    <row r="363" ht="18.6" customHeight="1" spans="1:11">
      <c r="A363" s="3">
        <v>362</v>
      </c>
      <c r="B363" s="3" t="s">
        <v>476</v>
      </c>
      <c r="C363" s="3" t="s">
        <v>3444</v>
      </c>
      <c r="D363" s="3" t="s">
        <v>448</v>
      </c>
      <c r="E363" s="3" t="s">
        <v>477</v>
      </c>
      <c r="F363" s="3"/>
      <c r="G363" s="3"/>
      <c r="H363" s="3"/>
      <c r="I363" s="3"/>
      <c r="J363" s="3" t="s">
        <v>11</v>
      </c>
      <c r="K363" s="27" t="s">
        <v>12</v>
      </c>
    </row>
    <row r="364" ht="18.6" customHeight="1" spans="1:11">
      <c r="A364" s="3">
        <v>363</v>
      </c>
      <c r="B364" s="3" t="s">
        <v>478</v>
      </c>
      <c r="C364" s="3" t="s">
        <v>3444</v>
      </c>
      <c r="D364" s="3" t="s">
        <v>448</v>
      </c>
      <c r="E364" s="3" t="s">
        <v>449</v>
      </c>
      <c r="F364" s="3"/>
      <c r="G364" s="3"/>
      <c r="H364" s="3"/>
      <c r="I364" s="3"/>
      <c r="J364" s="3" t="s">
        <v>11</v>
      </c>
      <c r="K364" s="27" t="s">
        <v>12</v>
      </c>
    </row>
    <row r="365" ht="18.6" customHeight="1" spans="1:11">
      <c r="A365" s="3">
        <v>364</v>
      </c>
      <c r="B365" s="3" t="s">
        <v>479</v>
      </c>
      <c r="C365" s="3" t="s">
        <v>3444</v>
      </c>
      <c r="D365" s="3" t="s">
        <v>448</v>
      </c>
      <c r="E365" s="3" t="s">
        <v>477</v>
      </c>
      <c r="F365" s="3"/>
      <c r="G365" s="3"/>
      <c r="H365" s="3"/>
      <c r="I365" s="3"/>
      <c r="J365" s="3" t="s">
        <v>11</v>
      </c>
      <c r="K365" s="27" t="s">
        <v>12</v>
      </c>
    </row>
    <row r="366" ht="18.6" customHeight="1" spans="1:11">
      <c r="A366" s="3">
        <v>365</v>
      </c>
      <c r="B366" s="3" t="s">
        <v>480</v>
      </c>
      <c r="C366" s="3" t="s">
        <v>3444</v>
      </c>
      <c r="D366" s="3" t="s">
        <v>448</v>
      </c>
      <c r="E366" s="3" t="s">
        <v>449</v>
      </c>
      <c r="F366" s="3"/>
      <c r="G366" s="3"/>
      <c r="H366" s="3"/>
      <c r="I366" s="3"/>
      <c r="J366" s="3" t="s">
        <v>11</v>
      </c>
      <c r="K366" s="27" t="s">
        <v>12</v>
      </c>
    </row>
    <row r="367" ht="18.6" customHeight="1" spans="1:11">
      <c r="A367" s="3">
        <v>366</v>
      </c>
      <c r="B367" s="3" t="s">
        <v>481</v>
      </c>
      <c r="C367" s="3" t="s">
        <v>3444</v>
      </c>
      <c r="D367" s="3" t="s">
        <v>448</v>
      </c>
      <c r="E367" s="3" t="s">
        <v>449</v>
      </c>
      <c r="F367" s="3"/>
      <c r="G367" s="3"/>
      <c r="H367" s="3"/>
      <c r="I367" s="3" t="s">
        <v>3771</v>
      </c>
      <c r="J367" s="3" t="s">
        <v>11</v>
      </c>
      <c r="K367" s="27" t="s">
        <v>12</v>
      </c>
    </row>
    <row r="368" ht="18.6" customHeight="1" spans="1:11">
      <c r="A368" s="3">
        <v>367</v>
      </c>
      <c r="B368" s="3" t="s">
        <v>482</v>
      </c>
      <c r="C368" s="3" t="s">
        <v>3444</v>
      </c>
      <c r="D368" s="3" t="s">
        <v>448</v>
      </c>
      <c r="E368" s="3" t="s">
        <v>449</v>
      </c>
      <c r="F368" s="3"/>
      <c r="G368" s="3"/>
      <c r="H368" s="3"/>
      <c r="I368" s="3"/>
      <c r="J368" s="3" t="s">
        <v>11</v>
      </c>
      <c r="K368" s="27" t="s">
        <v>12</v>
      </c>
    </row>
    <row r="369" ht="18.6" customHeight="1" spans="1:11">
      <c r="A369" s="3">
        <v>368</v>
      </c>
      <c r="B369" s="3" t="s">
        <v>483</v>
      </c>
      <c r="C369" s="3" t="s">
        <v>3444</v>
      </c>
      <c r="D369" s="3" t="s">
        <v>448</v>
      </c>
      <c r="E369" s="3" t="s">
        <v>484</v>
      </c>
      <c r="F369" s="3"/>
      <c r="G369" s="3"/>
      <c r="H369" s="3"/>
      <c r="I369" s="3"/>
      <c r="J369" s="3" t="s">
        <v>11</v>
      </c>
      <c r="K369" s="27" t="s">
        <v>12</v>
      </c>
    </row>
    <row r="370" ht="18.6" customHeight="1" spans="1:11">
      <c r="A370" s="3">
        <v>369</v>
      </c>
      <c r="B370" s="3" t="s">
        <v>485</v>
      </c>
      <c r="C370" s="3" t="s">
        <v>3444</v>
      </c>
      <c r="D370" s="3" t="s">
        <v>448</v>
      </c>
      <c r="E370" s="3" t="s">
        <v>477</v>
      </c>
      <c r="F370" s="3"/>
      <c r="G370" s="3"/>
      <c r="H370" s="3" t="s">
        <v>3774</v>
      </c>
      <c r="I370" s="3" t="s">
        <v>3769</v>
      </c>
      <c r="J370" s="3" t="s">
        <v>11</v>
      </c>
      <c r="K370" s="27" t="s">
        <v>12</v>
      </c>
    </row>
    <row r="371" ht="18.6" customHeight="1" spans="1:11">
      <c r="A371" s="3">
        <v>370</v>
      </c>
      <c r="B371" s="3" t="s">
        <v>486</v>
      </c>
      <c r="C371" s="3" t="s">
        <v>3444</v>
      </c>
      <c r="D371" s="3" t="s">
        <v>448</v>
      </c>
      <c r="E371" s="3" t="s">
        <v>449</v>
      </c>
      <c r="F371" s="3"/>
      <c r="G371" s="3"/>
      <c r="H371" s="3"/>
      <c r="I371" s="3"/>
      <c r="J371" s="3" t="s">
        <v>11</v>
      </c>
      <c r="K371" s="27" t="s">
        <v>12</v>
      </c>
    </row>
    <row r="372" ht="18.6" customHeight="1" spans="1:11">
      <c r="A372" s="3">
        <v>371</v>
      </c>
      <c r="B372" s="3" t="s">
        <v>487</v>
      </c>
      <c r="C372" s="3" t="s">
        <v>3444</v>
      </c>
      <c r="D372" s="3" t="s">
        <v>448</v>
      </c>
      <c r="E372" s="3" t="s">
        <v>449</v>
      </c>
      <c r="F372" s="3"/>
      <c r="G372" s="3"/>
      <c r="H372" s="3"/>
      <c r="I372" s="3"/>
      <c r="J372" s="3" t="s">
        <v>11</v>
      </c>
      <c r="K372" s="27" t="s">
        <v>12</v>
      </c>
    </row>
    <row r="373" ht="18.6" customHeight="1" spans="1:11">
      <c r="A373" s="3">
        <v>372</v>
      </c>
      <c r="B373" s="3" t="s">
        <v>488</v>
      </c>
      <c r="C373" s="3" t="s">
        <v>3444</v>
      </c>
      <c r="D373" s="3" t="s">
        <v>448</v>
      </c>
      <c r="E373" s="3" t="s">
        <v>477</v>
      </c>
      <c r="F373" s="3"/>
      <c r="G373" s="3"/>
      <c r="H373" s="3"/>
      <c r="I373" s="3"/>
      <c r="J373" s="3" t="s">
        <v>11</v>
      </c>
      <c r="K373" s="27" t="s">
        <v>12</v>
      </c>
    </row>
    <row r="374" ht="18.6" customHeight="1" spans="1:11">
      <c r="A374" s="3">
        <v>373</v>
      </c>
      <c r="B374" s="3" t="s">
        <v>489</v>
      </c>
      <c r="C374" s="3" t="s">
        <v>3444</v>
      </c>
      <c r="D374" s="3" t="s">
        <v>448</v>
      </c>
      <c r="E374" s="3" t="s">
        <v>449</v>
      </c>
      <c r="F374" s="3"/>
      <c r="G374" s="3"/>
      <c r="H374" s="3"/>
      <c r="I374" s="3"/>
      <c r="J374" s="3" t="s">
        <v>11</v>
      </c>
      <c r="K374" s="27" t="s">
        <v>12</v>
      </c>
    </row>
    <row r="375" ht="18.6" customHeight="1" spans="1:11">
      <c r="A375" s="3">
        <v>374</v>
      </c>
      <c r="B375" s="3" t="s">
        <v>490</v>
      </c>
      <c r="C375" s="3" t="s">
        <v>3444</v>
      </c>
      <c r="D375" s="3" t="s">
        <v>448</v>
      </c>
      <c r="E375" s="3" t="s">
        <v>463</v>
      </c>
      <c r="F375" s="3"/>
      <c r="G375" s="3"/>
      <c r="H375" s="3"/>
      <c r="I375" s="3"/>
      <c r="J375" s="3" t="s">
        <v>11</v>
      </c>
      <c r="K375" s="27" t="s">
        <v>12</v>
      </c>
    </row>
    <row r="376" ht="18.6" customHeight="1" spans="1:11">
      <c r="A376" s="3">
        <v>375</v>
      </c>
      <c r="B376" s="3" t="s">
        <v>492</v>
      </c>
      <c r="C376" s="3" t="s">
        <v>3444</v>
      </c>
      <c r="D376" s="3" t="s">
        <v>448</v>
      </c>
      <c r="E376" s="3" t="s">
        <v>457</v>
      </c>
      <c r="F376" s="3"/>
      <c r="G376" s="3"/>
      <c r="H376" s="3"/>
      <c r="I376" s="3"/>
      <c r="J376" s="3" t="s">
        <v>11</v>
      </c>
      <c r="K376" s="27" t="s">
        <v>12</v>
      </c>
    </row>
    <row r="377" ht="18.6" customHeight="1" spans="1:11">
      <c r="A377" s="3">
        <v>376</v>
      </c>
      <c r="B377" s="3" t="s">
        <v>493</v>
      </c>
      <c r="C377" s="3" t="s">
        <v>3444</v>
      </c>
      <c r="D377" s="3" t="s">
        <v>448</v>
      </c>
      <c r="E377" s="3" t="s">
        <v>473</v>
      </c>
      <c r="F377" s="3"/>
      <c r="G377" s="3"/>
      <c r="H377" s="3"/>
      <c r="I377" s="3"/>
      <c r="J377" s="3" t="s">
        <v>11</v>
      </c>
      <c r="K377" s="27" t="s">
        <v>12</v>
      </c>
    </row>
    <row r="378" ht="18.6" customHeight="1" spans="1:11">
      <c r="A378" s="3">
        <v>377</v>
      </c>
      <c r="B378" s="3" t="s">
        <v>494</v>
      </c>
      <c r="C378" s="3" t="s">
        <v>3444</v>
      </c>
      <c r="D378" s="3" t="s">
        <v>448</v>
      </c>
      <c r="E378" s="3" t="s">
        <v>449</v>
      </c>
      <c r="F378" s="3"/>
      <c r="G378" s="3"/>
      <c r="H378" s="3"/>
      <c r="I378" s="3"/>
      <c r="J378" s="3" t="s">
        <v>11</v>
      </c>
      <c r="K378" s="27" t="s">
        <v>12</v>
      </c>
    </row>
    <row r="379" ht="18.6" customHeight="1" spans="1:11">
      <c r="A379" s="3">
        <v>378</v>
      </c>
      <c r="B379" s="3" t="s">
        <v>495</v>
      </c>
      <c r="C379" s="3" t="s">
        <v>3444</v>
      </c>
      <c r="D379" s="3" t="s">
        <v>448</v>
      </c>
      <c r="E379" s="3" t="s">
        <v>449</v>
      </c>
      <c r="F379" s="3"/>
      <c r="G379" s="3"/>
      <c r="H379" s="3"/>
      <c r="I379" s="3"/>
      <c r="J379" s="3" t="s">
        <v>11</v>
      </c>
      <c r="K379" s="27" t="s">
        <v>12</v>
      </c>
    </row>
    <row r="380" ht="18.6" customHeight="1" spans="1:11">
      <c r="A380" s="3">
        <v>379</v>
      </c>
      <c r="B380" s="3" t="s">
        <v>496</v>
      </c>
      <c r="C380" s="3" t="s">
        <v>3444</v>
      </c>
      <c r="D380" s="3" t="s">
        <v>448</v>
      </c>
      <c r="E380" s="3" t="s">
        <v>477</v>
      </c>
      <c r="F380" s="3"/>
      <c r="G380" s="3"/>
      <c r="H380" s="3"/>
      <c r="I380" s="3"/>
      <c r="J380" s="3" t="s">
        <v>11</v>
      </c>
      <c r="K380" s="27" t="s">
        <v>12</v>
      </c>
    </row>
    <row r="381" ht="18.6" customHeight="1" spans="1:11">
      <c r="A381" s="3">
        <v>380</v>
      </c>
      <c r="B381" s="3" t="s">
        <v>498</v>
      </c>
      <c r="C381" s="3" t="s">
        <v>3444</v>
      </c>
      <c r="D381" s="3" t="s">
        <v>448</v>
      </c>
      <c r="E381" s="3" t="s">
        <v>460</v>
      </c>
      <c r="F381" s="3"/>
      <c r="G381" s="3"/>
      <c r="H381" s="3"/>
      <c r="I381" s="3"/>
      <c r="J381" s="3" t="s">
        <v>11</v>
      </c>
      <c r="K381" s="27" t="s">
        <v>12</v>
      </c>
    </row>
    <row r="382" ht="18.6" customHeight="1" spans="1:11">
      <c r="A382" s="3">
        <v>381</v>
      </c>
      <c r="B382" s="3" t="s">
        <v>499</v>
      </c>
      <c r="C382" s="3" t="s">
        <v>3444</v>
      </c>
      <c r="D382" s="3" t="s">
        <v>448</v>
      </c>
      <c r="E382" s="3" t="s">
        <v>449</v>
      </c>
      <c r="F382" s="3"/>
      <c r="G382" s="3"/>
      <c r="H382" s="3"/>
      <c r="I382" s="3"/>
      <c r="J382" s="3" t="s">
        <v>11</v>
      </c>
      <c r="K382" s="27" t="s">
        <v>12</v>
      </c>
    </row>
    <row r="383" ht="18.6" customHeight="1" spans="1:11">
      <c r="A383" s="3">
        <v>382</v>
      </c>
      <c r="B383" s="3" t="s">
        <v>501</v>
      </c>
      <c r="C383" s="3" t="s">
        <v>3458</v>
      </c>
      <c r="D383" s="3" t="s">
        <v>502</v>
      </c>
      <c r="E383" s="3" t="s">
        <v>503</v>
      </c>
      <c r="F383" s="3"/>
      <c r="G383" s="3">
        <v>211</v>
      </c>
      <c r="H383" s="3" t="s">
        <v>5</v>
      </c>
      <c r="I383" s="3" t="s">
        <v>3769</v>
      </c>
      <c r="J383" s="3" t="s">
        <v>11</v>
      </c>
      <c r="K383" s="27" t="s">
        <v>12</v>
      </c>
    </row>
    <row r="384" ht="18.6" customHeight="1" spans="1:11">
      <c r="A384" s="3">
        <v>383</v>
      </c>
      <c r="B384" s="3" t="s">
        <v>504</v>
      </c>
      <c r="C384" s="3" t="s">
        <v>3323</v>
      </c>
      <c r="D384" s="3" t="s">
        <v>502</v>
      </c>
      <c r="E384" s="3" t="s">
        <v>503</v>
      </c>
      <c r="F384" s="3">
        <v>985</v>
      </c>
      <c r="G384" s="3">
        <v>211</v>
      </c>
      <c r="H384" s="3" t="s">
        <v>5</v>
      </c>
      <c r="I384" s="3" t="s">
        <v>3770</v>
      </c>
      <c r="J384" s="3" t="s">
        <v>11</v>
      </c>
      <c r="K384" s="27" t="s">
        <v>12</v>
      </c>
    </row>
    <row r="385" ht="18.6" customHeight="1" spans="1:11">
      <c r="A385" s="3">
        <v>384</v>
      </c>
      <c r="B385" s="3" t="s">
        <v>505</v>
      </c>
      <c r="C385" s="3" t="s">
        <v>3309</v>
      </c>
      <c r="D385" s="3" t="s">
        <v>502</v>
      </c>
      <c r="E385" s="3" t="s">
        <v>503</v>
      </c>
      <c r="F385" s="3"/>
      <c r="G385" s="3">
        <v>211</v>
      </c>
      <c r="H385" s="3" t="s">
        <v>5</v>
      </c>
      <c r="I385" s="3" t="s">
        <v>3770</v>
      </c>
      <c r="J385" s="3" t="s">
        <v>11</v>
      </c>
      <c r="K385" s="27" t="s">
        <v>12</v>
      </c>
    </row>
    <row r="386" ht="18.6" customHeight="1" spans="1:11">
      <c r="A386" s="3">
        <v>385</v>
      </c>
      <c r="B386" s="3" t="s">
        <v>506</v>
      </c>
      <c r="C386" s="3" t="s">
        <v>3458</v>
      </c>
      <c r="D386" s="3" t="s">
        <v>502</v>
      </c>
      <c r="E386" s="3" t="s">
        <v>507</v>
      </c>
      <c r="F386" s="3"/>
      <c r="G386" s="3"/>
      <c r="H386" s="3"/>
      <c r="I386" s="3" t="s">
        <v>3770</v>
      </c>
      <c r="J386" s="3" t="s">
        <v>11</v>
      </c>
      <c r="K386" s="27" t="s">
        <v>12</v>
      </c>
    </row>
    <row r="387" ht="18.6" customHeight="1" spans="1:11">
      <c r="A387" s="3">
        <v>386</v>
      </c>
      <c r="B387" s="3" t="s">
        <v>508</v>
      </c>
      <c r="C387" s="3" t="s">
        <v>3458</v>
      </c>
      <c r="D387" s="3" t="s">
        <v>502</v>
      </c>
      <c r="E387" s="3" t="s">
        <v>509</v>
      </c>
      <c r="F387" s="3"/>
      <c r="G387" s="3"/>
      <c r="H387" s="3"/>
      <c r="I387" s="3" t="s">
        <v>3770</v>
      </c>
      <c r="J387" s="3" t="s">
        <v>11</v>
      </c>
      <c r="K387" s="27" t="s">
        <v>12</v>
      </c>
    </row>
    <row r="388" ht="18.6" customHeight="1" spans="1:11">
      <c r="A388" s="3">
        <v>387</v>
      </c>
      <c r="B388" s="3" t="s">
        <v>510</v>
      </c>
      <c r="C388" s="3" t="s">
        <v>3458</v>
      </c>
      <c r="D388" s="3" t="s">
        <v>502</v>
      </c>
      <c r="E388" s="3" t="s">
        <v>511</v>
      </c>
      <c r="F388" s="3"/>
      <c r="G388" s="3"/>
      <c r="H388" s="3"/>
      <c r="I388" s="3" t="s">
        <v>3770</v>
      </c>
      <c r="J388" s="3" t="s">
        <v>11</v>
      </c>
      <c r="K388" s="27" t="s">
        <v>12</v>
      </c>
    </row>
    <row r="389" ht="18.6" customHeight="1" spans="1:11">
      <c r="A389" s="3">
        <v>388</v>
      </c>
      <c r="B389" s="3" t="s">
        <v>512</v>
      </c>
      <c r="C389" s="3" t="s">
        <v>3458</v>
      </c>
      <c r="D389" s="3" t="s">
        <v>502</v>
      </c>
      <c r="E389" s="3" t="s">
        <v>503</v>
      </c>
      <c r="F389" s="3"/>
      <c r="G389" s="3"/>
      <c r="H389" s="3"/>
      <c r="I389" s="3" t="s">
        <v>3773</v>
      </c>
      <c r="J389" s="3" t="s">
        <v>11</v>
      </c>
      <c r="K389" s="27" t="s">
        <v>12</v>
      </c>
    </row>
    <row r="390" ht="18.6" customHeight="1" spans="1:11">
      <c r="A390" s="3">
        <v>389</v>
      </c>
      <c r="B390" s="3" t="s">
        <v>513</v>
      </c>
      <c r="C390" s="3" t="s">
        <v>3458</v>
      </c>
      <c r="D390" s="3" t="s">
        <v>502</v>
      </c>
      <c r="E390" s="3" t="s">
        <v>503</v>
      </c>
      <c r="F390" s="3"/>
      <c r="G390" s="3"/>
      <c r="H390" s="3"/>
      <c r="I390" s="3" t="s">
        <v>3775</v>
      </c>
      <c r="J390" s="3" t="s">
        <v>11</v>
      </c>
      <c r="K390" s="27" t="s">
        <v>12</v>
      </c>
    </row>
    <row r="391" ht="18.6" customHeight="1" spans="1:11">
      <c r="A391" s="3">
        <v>390</v>
      </c>
      <c r="B391" s="3" t="s">
        <v>514</v>
      </c>
      <c r="C391" s="3" t="s">
        <v>3458</v>
      </c>
      <c r="D391" s="3" t="s">
        <v>502</v>
      </c>
      <c r="E391" s="3" t="s">
        <v>515</v>
      </c>
      <c r="F391" s="3"/>
      <c r="G391" s="3"/>
      <c r="H391" s="3"/>
      <c r="I391" s="3" t="s">
        <v>3775</v>
      </c>
      <c r="J391" s="3" t="s">
        <v>11</v>
      </c>
      <c r="K391" s="27" t="s">
        <v>12</v>
      </c>
    </row>
    <row r="392" ht="18.6" customHeight="1" spans="1:11">
      <c r="A392" s="3">
        <v>391</v>
      </c>
      <c r="B392" s="3" t="s">
        <v>3464</v>
      </c>
      <c r="C392" s="3" t="s">
        <v>3458</v>
      </c>
      <c r="D392" s="3" t="s">
        <v>502</v>
      </c>
      <c r="E392" s="3" t="s">
        <v>511</v>
      </c>
      <c r="F392" s="3"/>
      <c r="G392" s="3"/>
      <c r="H392" s="3"/>
      <c r="I392" s="3"/>
      <c r="J392" s="3" t="s">
        <v>11</v>
      </c>
      <c r="K392" s="27" t="s">
        <v>12</v>
      </c>
    </row>
    <row r="393" ht="18.6" customHeight="1" spans="1:11">
      <c r="A393" s="3">
        <v>392</v>
      </c>
      <c r="B393" s="3" t="s">
        <v>517</v>
      </c>
      <c r="C393" s="3" t="s">
        <v>3458</v>
      </c>
      <c r="D393" s="3" t="s">
        <v>502</v>
      </c>
      <c r="E393" s="3" t="s">
        <v>503</v>
      </c>
      <c r="F393" s="3"/>
      <c r="G393" s="3"/>
      <c r="H393" s="3"/>
      <c r="I393" s="3" t="s">
        <v>3775</v>
      </c>
      <c r="J393" s="3" t="s">
        <v>11</v>
      </c>
      <c r="K393" s="27" t="s">
        <v>12</v>
      </c>
    </row>
    <row r="394" ht="18.6" customHeight="1" spans="1:11">
      <c r="A394" s="3">
        <v>393</v>
      </c>
      <c r="B394" s="3" t="s">
        <v>518</v>
      </c>
      <c r="C394" s="3" t="s">
        <v>3458</v>
      </c>
      <c r="D394" s="3" t="s">
        <v>502</v>
      </c>
      <c r="E394" s="3" t="s">
        <v>511</v>
      </c>
      <c r="F394" s="3"/>
      <c r="G394" s="3"/>
      <c r="H394" s="3"/>
      <c r="I394" s="3" t="s">
        <v>3776</v>
      </c>
      <c r="J394" s="3" t="s">
        <v>11</v>
      </c>
      <c r="K394" s="27" t="s">
        <v>12</v>
      </c>
    </row>
    <row r="395" ht="18.6" customHeight="1" spans="1:11">
      <c r="A395" s="3">
        <v>394</v>
      </c>
      <c r="B395" s="3" t="s">
        <v>519</v>
      </c>
      <c r="C395" s="3" t="s">
        <v>3458</v>
      </c>
      <c r="D395" s="3" t="s">
        <v>502</v>
      </c>
      <c r="E395" s="3" t="s">
        <v>520</v>
      </c>
      <c r="F395" s="3"/>
      <c r="G395" s="3"/>
      <c r="H395" s="3"/>
      <c r="I395" s="3"/>
      <c r="J395" s="3" t="s">
        <v>11</v>
      </c>
      <c r="K395" s="27" t="s">
        <v>12</v>
      </c>
    </row>
    <row r="396" ht="18.6" customHeight="1" spans="1:11">
      <c r="A396" s="3">
        <v>395</v>
      </c>
      <c r="B396" s="3" t="s">
        <v>521</v>
      </c>
      <c r="C396" s="3" t="s">
        <v>3458</v>
      </c>
      <c r="D396" s="3" t="s">
        <v>502</v>
      </c>
      <c r="E396" s="3" t="s">
        <v>522</v>
      </c>
      <c r="F396" s="3"/>
      <c r="G396" s="3"/>
      <c r="H396" s="3"/>
      <c r="I396" s="3"/>
      <c r="J396" s="3" t="s">
        <v>11</v>
      </c>
      <c r="K396" s="27" t="s">
        <v>12</v>
      </c>
    </row>
    <row r="397" ht="18.6" customHeight="1" spans="1:11">
      <c r="A397" s="3">
        <v>396</v>
      </c>
      <c r="B397" s="3" t="s">
        <v>523</v>
      </c>
      <c r="C397" s="3" t="s">
        <v>3458</v>
      </c>
      <c r="D397" s="3" t="s">
        <v>502</v>
      </c>
      <c r="E397" s="3" t="s">
        <v>524</v>
      </c>
      <c r="F397" s="3"/>
      <c r="G397" s="3"/>
      <c r="H397" s="3"/>
      <c r="I397" s="3"/>
      <c r="J397" s="3" t="s">
        <v>11</v>
      </c>
      <c r="K397" s="27" t="s">
        <v>12</v>
      </c>
    </row>
    <row r="398" ht="18.6" customHeight="1" spans="1:11">
      <c r="A398" s="3">
        <v>397</v>
      </c>
      <c r="B398" s="3" t="s">
        <v>525</v>
      </c>
      <c r="C398" s="3" t="s">
        <v>3458</v>
      </c>
      <c r="D398" s="3" t="s">
        <v>502</v>
      </c>
      <c r="E398" s="3" t="s">
        <v>526</v>
      </c>
      <c r="F398" s="3"/>
      <c r="G398" s="3"/>
      <c r="H398" s="3"/>
      <c r="I398" s="3"/>
      <c r="J398" s="3" t="s">
        <v>11</v>
      </c>
      <c r="K398" s="27" t="s">
        <v>12</v>
      </c>
    </row>
    <row r="399" ht="18.6" customHeight="1" spans="1:11">
      <c r="A399" s="3">
        <v>398</v>
      </c>
      <c r="B399" s="3" t="s">
        <v>527</v>
      </c>
      <c r="C399" s="3" t="s">
        <v>3458</v>
      </c>
      <c r="D399" s="3" t="s">
        <v>502</v>
      </c>
      <c r="E399" s="3" t="s">
        <v>528</v>
      </c>
      <c r="F399" s="3"/>
      <c r="G399" s="3"/>
      <c r="H399" s="3"/>
      <c r="I399" s="3"/>
      <c r="J399" s="3" t="s">
        <v>11</v>
      </c>
      <c r="K399" s="27" t="s">
        <v>12</v>
      </c>
    </row>
    <row r="400" ht="18.6" customHeight="1" spans="1:11">
      <c r="A400" s="3">
        <v>399</v>
      </c>
      <c r="B400" s="3" t="s">
        <v>529</v>
      </c>
      <c r="C400" s="3" t="s">
        <v>3458</v>
      </c>
      <c r="D400" s="3" t="s">
        <v>502</v>
      </c>
      <c r="E400" s="3" t="s">
        <v>530</v>
      </c>
      <c r="F400" s="3"/>
      <c r="G400" s="3"/>
      <c r="H400" s="3"/>
      <c r="I400" s="3"/>
      <c r="J400" s="3" t="s">
        <v>11</v>
      </c>
      <c r="K400" s="27" t="s">
        <v>12</v>
      </c>
    </row>
    <row r="401" ht="18.6" customHeight="1" spans="1:11">
      <c r="A401" s="3">
        <v>400</v>
      </c>
      <c r="B401" s="3" t="s">
        <v>531</v>
      </c>
      <c r="C401" s="3" t="s">
        <v>3458</v>
      </c>
      <c r="D401" s="3" t="s">
        <v>502</v>
      </c>
      <c r="E401" s="3" t="s">
        <v>515</v>
      </c>
      <c r="F401" s="3"/>
      <c r="G401" s="3"/>
      <c r="H401" s="3"/>
      <c r="I401" s="3" t="s">
        <v>3771</v>
      </c>
      <c r="J401" s="3" t="s">
        <v>11</v>
      </c>
      <c r="K401" s="27" t="s">
        <v>12</v>
      </c>
    </row>
    <row r="402" ht="18.6" customHeight="1" spans="1:11">
      <c r="A402" s="3">
        <v>401</v>
      </c>
      <c r="B402" s="3" t="s">
        <v>532</v>
      </c>
      <c r="C402" s="3" t="s">
        <v>3458</v>
      </c>
      <c r="D402" s="3" t="s">
        <v>502</v>
      </c>
      <c r="E402" s="3" t="s">
        <v>533</v>
      </c>
      <c r="F402" s="3"/>
      <c r="G402" s="3"/>
      <c r="H402" s="3"/>
      <c r="I402" s="3"/>
      <c r="J402" s="3" t="s">
        <v>11</v>
      </c>
      <c r="K402" s="27" t="s">
        <v>12</v>
      </c>
    </row>
    <row r="403" ht="18.6" customHeight="1" spans="1:11">
      <c r="A403" s="3">
        <v>402</v>
      </c>
      <c r="B403" s="3" t="s">
        <v>534</v>
      </c>
      <c r="C403" s="3" t="s">
        <v>3458</v>
      </c>
      <c r="D403" s="3" t="s">
        <v>502</v>
      </c>
      <c r="E403" s="3" t="s">
        <v>503</v>
      </c>
      <c r="F403" s="3"/>
      <c r="G403" s="3"/>
      <c r="H403" s="3"/>
      <c r="I403" s="3"/>
      <c r="J403" s="3" t="s">
        <v>11</v>
      </c>
      <c r="K403" s="27" t="s">
        <v>12</v>
      </c>
    </row>
    <row r="404" ht="18.6" customHeight="1" spans="1:11">
      <c r="A404" s="3">
        <v>403</v>
      </c>
      <c r="B404" s="3" t="s">
        <v>535</v>
      </c>
      <c r="C404" s="3" t="s">
        <v>3458</v>
      </c>
      <c r="D404" s="3" t="s">
        <v>502</v>
      </c>
      <c r="E404" s="3" t="s">
        <v>509</v>
      </c>
      <c r="F404" s="3"/>
      <c r="G404" s="3"/>
      <c r="H404" s="3"/>
      <c r="I404" s="3"/>
      <c r="J404" s="3" t="s">
        <v>11</v>
      </c>
      <c r="K404" s="27" t="s">
        <v>12</v>
      </c>
    </row>
    <row r="405" ht="18.6" customHeight="1" spans="1:11">
      <c r="A405" s="3">
        <v>404</v>
      </c>
      <c r="B405" s="3" t="s">
        <v>536</v>
      </c>
      <c r="C405" s="3" t="s">
        <v>3458</v>
      </c>
      <c r="D405" s="3" t="s">
        <v>502</v>
      </c>
      <c r="E405" s="3" t="s">
        <v>537</v>
      </c>
      <c r="F405" s="3"/>
      <c r="G405" s="3"/>
      <c r="H405" s="3"/>
      <c r="I405" s="3"/>
      <c r="J405" s="3" t="s">
        <v>11</v>
      </c>
      <c r="K405" s="27" t="s">
        <v>12</v>
      </c>
    </row>
    <row r="406" ht="18.6" customHeight="1" spans="1:11">
      <c r="A406" s="3">
        <v>405</v>
      </c>
      <c r="B406" s="3" t="s">
        <v>538</v>
      </c>
      <c r="C406" s="3" t="s">
        <v>3458</v>
      </c>
      <c r="D406" s="3" t="s">
        <v>502</v>
      </c>
      <c r="E406" s="3" t="s">
        <v>503</v>
      </c>
      <c r="F406" s="3"/>
      <c r="G406" s="3"/>
      <c r="H406" s="3"/>
      <c r="I406" s="3" t="s">
        <v>3770</v>
      </c>
      <c r="J406" s="3" t="s">
        <v>11</v>
      </c>
      <c r="K406" s="27" t="s">
        <v>12</v>
      </c>
    </row>
    <row r="407" ht="18.6" customHeight="1" spans="1:11">
      <c r="A407" s="3">
        <v>406</v>
      </c>
      <c r="B407" s="3" t="s">
        <v>3473</v>
      </c>
      <c r="C407" s="3" t="s">
        <v>3458</v>
      </c>
      <c r="D407" s="3" t="s">
        <v>502</v>
      </c>
      <c r="E407" s="3" t="s">
        <v>530</v>
      </c>
      <c r="F407" s="3"/>
      <c r="G407" s="3"/>
      <c r="H407" s="3"/>
      <c r="I407" s="3"/>
      <c r="J407" s="3" t="s">
        <v>11</v>
      </c>
      <c r="K407" s="27" t="s">
        <v>12</v>
      </c>
    </row>
    <row r="408" ht="18.6" customHeight="1" spans="1:11">
      <c r="A408" s="3">
        <v>407</v>
      </c>
      <c r="B408" s="3" t="s">
        <v>540</v>
      </c>
      <c r="C408" s="3" t="s">
        <v>3458</v>
      </c>
      <c r="D408" s="3" t="s">
        <v>502</v>
      </c>
      <c r="E408" s="3" t="s">
        <v>503</v>
      </c>
      <c r="F408" s="3"/>
      <c r="G408" s="3"/>
      <c r="H408" s="3"/>
      <c r="I408" s="3"/>
      <c r="J408" s="3" t="s">
        <v>11</v>
      </c>
      <c r="K408" s="27" t="s">
        <v>12</v>
      </c>
    </row>
    <row r="409" ht="18.6" customHeight="1" spans="1:11">
      <c r="A409" s="3">
        <v>408</v>
      </c>
      <c r="B409" s="3" t="s">
        <v>541</v>
      </c>
      <c r="C409" s="3" t="s">
        <v>3458</v>
      </c>
      <c r="D409" s="3" t="s">
        <v>502</v>
      </c>
      <c r="E409" s="3" t="s">
        <v>515</v>
      </c>
      <c r="F409" s="3"/>
      <c r="G409" s="3"/>
      <c r="H409" s="3"/>
      <c r="I409" s="3"/>
      <c r="J409" s="3" t="s">
        <v>11</v>
      </c>
      <c r="K409" s="27" t="s">
        <v>12</v>
      </c>
    </row>
    <row r="410" ht="18.6" customHeight="1" spans="1:11">
      <c r="A410" s="3">
        <v>409</v>
      </c>
      <c r="B410" s="3" t="s">
        <v>542</v>
      </c>
      <c r="C410" s="3" t="s">
        <v>3458</v>
      </c>
      <c r="D410" s="3" t="s">
        <v>502</v>
      </c>
      <c r="E410" s="3" t="s">
        <v>543</v>
      </c>
      <c r="F410" s="3"/>
      <c r="G410" s="3"/>
      <c r="H410" s="3"/>
      <c r="I410" s="3"/>
      <c r="J410" s="3" t="s">
        <v>11</v>
      </c>
      <c r="K410" s="27" t="s">
        <v>12</v>
      </c>
    </row>
    <row r="411" ht="18.6" customHeight="1" spans="1:11">
      <c r="A411" s="3">
        <v>410</v>
      </c>
      <c r="B411" s="3" t="s">
        <v>544</v>
      </c>
      <c r="C411" s="3" t="s">
        <v>3458</v>
      </c>
      <c r="D411" s="3" t="s">
        <v>502</v>
      </c>
      <c r="E411" s="3" t="s">
        <v>545</v>
      </c>
      <c r="F411" s="3"/>
      <c r="G411" s="3"/>
      <c r="H411" s="3"/>
      <c r="I411" s="3"/>
      <c r="J411" s="3" t="s">
        <v>11</v>
      </c>
      <c r="K411" s="27" t="s">
        <v>12</v>
      </c>
    </row>
    <row r="412" ht="18.6" customHeight="1" spans="1:11">
      <c r="A412" s="3">
        <v>411</v>
      </c>
      <c r="B412" s="3" t="s">
        <v>546</v>
      </c>
      <c r="C412" s="3" t="s">
        <v>3458</v>
      </c>
      <c r="D412" s="3" t="s">
        <v>502</v>
      </c>
      <c r="E412" s="3" t="s">
        <v>503</v>
      </c>
      <c r="F412" s="3"/>
      <c r="G412" s="3"/>
      <c r="H412" s="3"/>
      <c r="I412" s="3"/>
      <c r="J412" s="3" t="s">
        <v>11</v>
      </c>
      <c r="K412" s="27" t="s">
        <v>12</v>
      </c>
    </row>
    <row r="413" ht="18.6" customHeight="1" spans="1:11">
      <c r="A413" s="3">
        <v>412</v>
      </c>
      <c r="B413" s="3" t="s">
        <v>547</v>
      </c>
      <c r="C413" s="3" t="s">
        <v>3458</v>
      </c>
      <c r="D413" s="3" t="s">
        <v>502</v>
      </c>
      <c r="E413" s="3" t="s">
        <v>503</v>
      </c>
      <c r="F413" s="3"/>
      <c r="G413" s="3"/>
      <c r="H413" s="3"/>
      <c r="I413" s="3"/>
      <c r="J413" s="3" t="s">
        <v>11</v>
      </c>
      <c r="K413" s="27" t="s">
        <v>12</v>
      </c>
    </row>
    <row r="414" ht="18.6" customHeight="1" spans="1:11">
      <c r="A414" s="3">
        <v>413</v>
      </c>
      <c r="B414" s="3" t="s">
        <v>548</v>
      </c>
      <c r="C414" s="3" t="s">
        <v>3458</v>
      </c>
      <c r="D414" s="3" t="s">
        <v>502</v>
      </c>
      <c r="E414" s="3" t="s">
        <v>503</v>
      </c>
      <c r="F414" s="3"/>
      <c r="G414" s="3"/>
      <c r="H414" s="3"/>
      <c r="I414" s="3"/>
      <c r="J414" s="3" t="s">
        <v>11</v>
      </c>
      <c r="K414" s="27" t="s">
        <v>12</v>
      </c>
    </row>
    <row r="415" ht="18.6" customHeight="1" spans="1:11">
      <c r="A415" s="3">
        <v>414</v>
      </c>
      <c r="B415" s="3" t="s">
        <v>552</v>
      </c>
      <c r="C415" s="3" t="s">
        <v>3309</v>
      </c>
      <c r="D415" s="3" t="s">
        <v>553</v>
      </c>
      <c r="E415" s="3" t="s">
        <v>554</v>
      </c>
      <c r="F415" s="3">
        <v>985</v>
      </c>
      <c r="G415" s="3">
        <v>211</v>
      </c>
      <c r="H415" s="3" t="s">
        <v>5</v>
      </c>
      <c r="I415" s="3" t="s">
        <v>3769</v>
      </c>
      <c r="J415" s="3" t="s">
        <v>11</v>
      </c>
      <c r="K415" s="27" t="s">
        <v>12</v>
      </c>
    </row>
    <row r="416" ht="18.6" customHeight="1" spans="1:11">
      <c r="A416" s="3">
        <v>415</v>
      </c>
      <c r="B416" s="3" t="s">
        <v>555</v>
      </c>
      <c r="C416" s="3" t="s">
        <v>3479</v>
      </c>
      <c r="D416" s="3" t="s">
        <v>553</v>
      </c>
      <c r="E416" s="3" t="s">
        <v>556</v>
      </c>
      <c r="F416" s="3"/>
      <c r="G416" s="3"/>
      <c r="H416" s="3"/>
      <c r="I416" s="3" t="s">
        <v>3769</v>
      </c>
      <c r="J416" s="3" t="s">
        <v>11</v>
      </c>
      <c r="K416" s="27" t="s">
        <v>12</v>
      </c>
    </row>
    <row r="417" ht="18.6" customHeight="1" spans="1:11">
      <c r="A417" s="3">
        <v>416</v>
      </c>
      <c r="B417" s="3" t="s">
        <v>557</v>
      </c>
      <c r="C417" s="3" t="s">
        <v>3481</v>
      </c>
      <c r="D417" s="3" t="s">
        <v>553</v>
      </c>
      <c r="E417" s="3" t="s">
        <v>558</v>
      </c>
      <c r="F417" s="3"/>
      <c r="G417" s="3">
        <v>211</v>
      </c>
      <c r="H417" s="3" t="s">
        <v>5</v>
      </c>
      <c r="I417" s="3" t="s">
        <v>3770</v>
      </c>
      <c r="J417" s="3" t="s">
        <v>11</v>
      </c>
      <c r="K417" s="27" t="s">
        <v>12</v>
      </c>
    </row>
    <row r="418" ht="18.6" customHeight="1" spans="1:11">
      <c r="A418" s="3">
        <v>417</v>
      </c>
      <c r="B418" s="3" t="s">
        <v>559</v>
      </c>
      <c r="C418" s="3" t="s">
        <v>3481</v>
      </c>
      <c r="D418" s="3" t="s">
        <v>553</v>
      </c>
      <c r="E418" s="3" t="s">
        <v>558</v>
      </c>
      <c r="F418" s="3"/>
      <c r="G418" s="3"/>
      <c r="H418" s="3"/>
      <c r="I418" s="3"/>
      <c r="J418" s="3" t="s">
        <v>11</v>
      </c>
      <c r="K418" s="27" t="s">
        <v>12</v>
      </c>
    </row>
    <row r="419" ht="18.6" customHeight="1" spans="1:11">
      <c r="A419" s="3">
        <v>418</v>
      </c>
      <c r="B419" s="3" t="s">
        <v>560</v>
      </c>
      <c r="C419" s="3" t="s">
        <v>3481</v>
      </c>
      <c r="D419" s="3" t="s">
        <v>553</v>
      </c>
      <c r="E419" s="3" t="s">
        <v>558</v>
      </c>
      <c r="F419" s="3"/>
      <c r="G419" s="3"/>
      <c r="H419" s="3"/>
      <c r="I419" s="3" t="s">
        <v>3773</v>
      </c>
      <c r="J419" s="3" t="s">
        <v>11</v>
      </c>
      <c r="K419" s="27" t="s">
        <v>12</v>
      </c>
    </row>
    <row r="420" ht="18.6" customHeight="1" spans="1:11">
      <c r="A420" s="3">
        <v>419</v>
      </c>
      <c r="B420" s="3" t="s">
        <v>561</v>
      </c>
      <c r="C420" s="3" t="s">
        <v>3481</v>
      </c>
      <c r="D420" s="3" t="s">
        <v>553</v>
      </c>
      <c r="E420" s="3" t="s">
        <v>554</v>
      </c>
      <c r="F420" s="3"/>
      <c r="G420" s="3"/>
      <c r="H420" s="3"/>
      <c r="I420" s="3" t="s">
        <v>3769</v>
      </c>
      <c r="J420" s="3" t="s">
        <v>11</v>
      </c>
      <c r="K420" s="27" t="s">
        <v>12</v>
      </c>
    </row>
    <row r="421" ht="18.6" customHeight="1" spans="1:11">
      <c r="A421" s="3">
        <v>420</v>
      </c>
      <c r="B421" s="3" t="s">
        <v>562</v>
      </c>
      <c r="C421" s="3" t="s">
        <v>3481</v>
      </c>
      <c r="D421" s="3" t="s">
        <v>553</v>
      </c>
      <c r="E421" s="3" t="s">
        <v>558</v>
      </c>
      <c r="F421" s="3"/>
      <c r="G421" s="3"/>
      <c r="H421" s="3"/>
      <c r="I421" s="3" t="s">
        <v>3775</v>
      </c>
      <c r="J421" s="3" t="s">
        <v>11</v>
      </c>
      <c r="K421" s="27" t="s">
        <v>12</v>
      </c>
    </row>
    <row r="422" ht="18.6" customHeight="1" spans="1:11">
      <c r="A422" s="3">
        <v>421</v>
      </c>
      <c r="B422" s="3" t="s">
        <v>563</v>
      </c>
      <c r="C422" s="3" t="s">
        <v>3481</v>
      </c>
      <c r="D422" s="3" t="s">
        <v>553</v>
      </c>
      <c r="E422" s="3" t="s">
        <v>558</v>
      </c>
      <c r="F422" s="3"/>
      <c r="G422" s="3"/>
      <c r="H422" s="3"/>
      <c r="I422" s="3" t="s">
        <v>3775</v>
      </c>
      <c r="J422" s="3" t="s">
        <v>11</v>
      </c>
      <c r="K422" s="27" t="s">
        <v>12</v>
      </c>
    </row>
    <row r="423" ht="18.6" customHeight="1" spans="1:11">
      <c r="A423" s="3">
        <v>422</v>
      </c>
      <c r="B423" s="3" t="s">
        <v>564</v>
      </c>
      <c r="C423" s="3" t="s">
        <v>3481</v>
      </c>
      <c r="D423" s="3" t="s">
        <v>553</v>
      </c>
      <c r="E423" s="3" t="s">
        <v>558</v>
      </c>
      <c r="F423" s="3"/>
      <c r="G423" s="3"/>
      <c r="H423" s="3"/>
      <c r="I423" s="3" t="s">
        <v>3776</v>
      </c>
      <c r="J423" s="3" t="s">
        <v>11</v>
      </c>
      <c r="K423" s="27" t="s">
        <v>12</v>
      </c>
    </row>
    <row r="424" ht="18.6" customHeight="1" spans="1:11">
      <c r="A424" s="3">
        <v>423</v>
      </c>
      <c r="B424" s="3" t="s">
        <v>3483</v>
      </c>
      <c r="C424" s="3" t="s">
        <v>3481</v>
      </c>
      <c r="D424" s="3" t="s">
        <v>553</v>
      </c>
      <c r="E424" s="3" t="s">
        <v>558</v>
      </c>
      <c r="F424" s="3"/>
      <c r="G424" s="3"/>
      <c r="H424" s="3"/>
      <c r="I424" s="3"/>
      <c r="J424" s="3" t="s">
        <v>11</v>
      </c>
      <c r="K424" s="27" t="s">
        <v>12</v>
      </c>
    </row>
    <row r="425" ht="18.6" customHeight="1" spans="1:11">
      <c r="A425" s="3">
        <v>424</v>
      </c>
      <c r="B425" s="3" t="s">
        <v>566</v>
      </c>
      <c r="C425" s="3" t="s">
        <v>3481</v>
      </c>
      <c r="D425" s="3" t="s">
        <v>553</v>
      </c>
      <c r="E425" s="3" t="s">
        <v>567</v>
      </c>
      <c r="F425" s="3"/>
      <c r="G425" s="3"/>
      <c r="H425" s="3"/>
      <c r="I425" s="3"/>
      <c r="J425" s="3" t="s">
        <v>11</v>
      </c>
      <c r="K425" s="27" t="s">
        <v>12</v>
      </c>
    </row>
    <row r="426" ht="18.6" customHeight="1" spans="1:11">
      <c r="A426" s="3">
        <v>425</v>
      </c>
      <c r="B426" s="3" t="s">
        <v>568</v>
      </c>
      <c r="C426" s="3" t="s">
        <v>3481</v>
      </c>
      <c r="D426" s="3" t="s">
        <v>553</v>
      </c>
      <c r="E426" s="3" t="s">
        <v>569</v>
      </c>
      <c r="F426" s="3"/>
      <c r="G426" s="3"/>
      <c r="H426" s="3"/>
      <c r="I426" s="3"/>
      <c r="J426" s="3" t="s">
        <v>11</v>
      </c>
      <c r="K426" s="27" t="s">
        <v>12</v>
      </c>
    </row>
    <row r="427" ht="18.6" customHeight="1" spans="1:11">
      <c r="A427" s="3">
        <v>426</v>
      </c>
      <c r="B427" s="3" t="s">
        <v>570</v>
      </c>
      <c r="C427" s="3" t="s">
        <v>3481</v>
      </c>
      <c r="D427" s="3" t="s">
        <v>553</v>
      </c>
      <c r="E427" s="3" t="s">
        <v>556</v>
      </c>
      <c r="F427" s="3"/>
      <c r="G427" s="3"/>
      <c r="H427" s="3"/>
      <c r="I427" s="3"/>
      <c r="J427" s="3" t="s">
        <v>11</v>
      </c>
      <c r="K427" s="27" t="s">
        <v>12</v>
      </c>
    </row>
    <row r="428" ht="18.6" customHeight="1" spans="1:11">
      <c r="A428" s="3">
        <v>427</v>
      </c>
      <c r="B428" s="3" t="s">
        <v>571</v>
      </c>
      <c r="C428" s="3" t="s">
        <v>3481</v>
      </c>
      <c r="D428" s="3" t="s">
        <v>553</v>
      </c>
      <c r="E428" s="3" t="s">
        <v>572</v>
      </c>
      <c r="F428" s="3"/>
      <c r="G428" s="3"/>
      <c r="H428" s="3"/>
      <c r="I428" s="3"/>
      <c r="J428" s="3" t="s">
        <v>11</v>
      </c>
      <c r="K428" s="27" t="s">
        <v>12</v>
      </c>
    </row>
    <row r="429" ht="18.6" customHeight="1" spans="1:11">
      <c r="A429" s="3">
        <v>428</v>
      </c>
      <c r="B429" s="3" t="s">
        <v>573</v>
      </c>
      <c r="C429" s="3" t="s">
        <v>3481</v>
      </c>
      <c r="D429" s="3" t="s">
        <v>553</v>
      </c>
      <c r="E429" s="3" t="s">
        <v>554</v>
      </c>
      <c r="F429" s="3"/>
      <c r="G429" s="3"/>
      <c r="H429" s="3"/>
      <c r="I429" s="3"/>
      <c r="J429" s="3" t="s">
        <v>11</v>
      </c>
      <c r="K429" s="27" t="s">
        <v>12</v>
      </c>
    </row>
    <row r="430" ht="18.6" customHeight="1" spans="1:11">
      <c r="A430" s="3">
        <v>429</v>
      </c>
      <c r="B430" s="3" t="s">
        <v>574</v>
      </c>
      <c r="C430" s="3" t="s">
        <v>3481</v>
      </c>
      <c r="D430" s="3" t="s">
        <v>553</v>
      </c>
      <c r="E430" s="3" t="s">
        <v>575</v>
      </c>
      <c r="F430" s="3"/>
      <c r="G430" s="3"/>
      <c r="H430" s="3"/>
      <c r="I430" s="3"/>
      <c r="J430" s="3" t="s">
        <v>11</v>
      </c>
      <c r="K430" s="27" t="s">
        <v>12</v>
      </c>
    </row>
    <row r="431" ht="18.6" customHeight="1" spans="1:11">
      <c r="A431" s="3">
        <v>430</v>
      </c>
      <c r="B431" s="3" t="s">
        <v>576</v>
      </c>
      <c r="C431" s="3" t="s">
        <v>3481</v>
      </c>
      <c r="D431" s="3" t="s">
        <v>553</v>
      </c>
      <c r="E431" s="3" t="s">
        <v>577</v>
      </c>
      <c r="F431" s="3"/>
      <c r="G431" s="3"/>
      <c r="H431" s="3"/>
      <c r="I431" s="3"/>
      <c r="J431" s="3" t="s">
        <v>11</v>
      </c>
      <c r="K431" s="27" t="s">
        <v>12</v>
      </c>
    </row>
    <row r="432" ht="18.6" customHeight="1" spans="1:11">
      <c r="A432" s="3">
        <v>431</v>
      </c>
      <c r="B432" s="3" t="s">
        <v>578</v>
      </c>
      <c r="C432" s="3" t="s">
        <v>3481</v>
      </c>
      <c r="D432" s="3" t="s">
        <v>553</v>
      </c>
      <c r="E432" s="3" t="s">
        <v>558</v>
      </c>
      <c r="F432" s="3"/>
      <c r="G432" s="3"/>
      <c r="H432" s="3"/>
      <c r="I432" s="3"/>
      <c r="J432" s="3" t="s">
        <v>11</v>
      </c>
      <c r="K432" s="27" t="s">
        <v>12</v>
      </c>
    </row>
    <row r="433" ht="18.6" customHeight="1" spans="1:11">
      <c r="A433" s="3">
        <v>432</v>
      </c>
      <c r="B433" s="3" t="s">
        <v>579</v>
      </c>
      <c r="C433" s="3" t="s">
        <v>3481</v>
      </c>
      <c r="D433" s="3" t="s">
        <v>553</v>
      </c>
      <c r="E433" s="3" t="s">
        <v>558</v>
      </c>
      <c r="F433" s="3"/>
      <c r="G433" s="3"/>
      <c r="H433" s="3"/>
      <c r="I433" s="3"/>
      <c r="J433" s="3" t="s">
        <v>11</v>
      </c>
      <c r="K433" s="27" t="s">
        <v>12</v>
      </c>
    </row>
    <row r="434" ht="18.6" customHeight="1" spans="1:11">
      <c r="A434" s="3">
        <v>433</v>
      </c>
      <c r="B434" s="3" t="s">
        <v>580</v>
      </c>
      <c r="C434" s="3" t="s">
        <v>3481</v>
      </c>
      <c r="D434" s="3" t="s">
        <v>553</v>
      </c>
      <c r="E434" s="3" t="s">
        <v>581</v>
      </c>
      <c r="F434" s="3"/>
      <c r="G434" s="3"/>
      <c r="H434" s="3"/>
      <c r="I434" s="3"/>
      <c r="J434" s="3" t="s">
        <v>11</v>
      </c>
      <c r="K434" s="27" t="s">
        <v>12</v>
      </c>
    </row>
    <row r="435" ht="18.6" customHeight="1" spans="1:11">
      <c r="A435" s="3">
        <v>434</v>
      </c>
      <c r="B435" s="3" t="s">
        <v>582</v>
      </c>
      <c r="C435" s="3" t="s">
        <v>3481</v>
      </c>
      <c r="D435" s="3" t="s">
        <v>553</v>
      </c>
      <c r="E435" s="3" t="s">
        <v>554</v>
      </c>
      <c r="F435" s="3"/>
      <c r="G435" s="3"/>
      <c r="H435" s="3"/>
      <c r="I435" s="3"/>
      <c r="J435" s="3" t="s">
        <v>11</v>
      </c>
      <c r="K435" s="27" t="s">
        <v>12</v>
      </c>
    </row>
    <row r="436" ht="18.6" customHeight="1" spans="1:11">
      <c r="A436" s="3">
        <v>435</v>
      </c>
      <c r="B436" s="3" t="s">
        <v>583</v>
      </c>
      <c r="C436" s="3" t="s">
        <v>3481</v>
      </c>
      <c r="D436" s="3" t="s">
        <v>553</v>
      </c>
      <c r="E436" s="3" t="s">
        <v>558</v>
      </c>
      <c r="F436" s="3"/>
      <c r="G436" s="3"/>
      <c r="H436" s="3"/>
      <c r="I436" s="3"/>
      <c r="J436" s="3" t="s">
        <v>11</v>
      </c>
      <c r="K436" s="27" t="s">
        <v>12</v>
      </c>
    </row>
    <row r="437" ht="18.6" customHeight="1" spans="1:11">
      <c r="A437" s="3">
        <v>436</v>
      </c>
      <c r="B437" s="3" t="s">
        <v>584</v>
      </c>
      <c r="C437" s="3" t="s">
        <v>3481</v>
      </c>
      <c r="D437" s="3" t="s">
        <v>553</v>
      </c>
      <c r="E437" s="3" t="s">
        <v>558</v>
      </c>
      <c r="F437" s="3"/>
      <c r="G437" s="3"/>
      <c r="H437" s="3"/>
      <c r="I437" s="3"/>
      <c r="J437" s="3" t="s">
        <v>11</v>
      </c>
      <c r="K437" s="27" t="s">
        <v>12</v>
      </c>
    </row>
    <row r="438" ht="18.6" customHeight="1" spans="1:11">
      <c r="A438" s="3">
        <v>437</v>
      </c>
      <c r="B438" s="3" t="s">
        <v>586</v>
      </c>
      <c r="C438" s="3" t="s">
        <v>3491</v>
      </c>
      <c r="D438" s="3" t="s">
        <v>587</v>
      </c>
      <c r="E438" s="3" t="s">
        <v>588</v>
      </c>
      <c r="F438" s="3"/>
      <c r="G438" s="3">
        <v>211</v>
      </c>
      <c r="H438" s="3" t="s">
        <v>5</v>
      </c>
      <c r="I438" s="3" t="s">
        <v>3769</v>
      </c>
      <c r="J438" s="3" t="s">
        <v>11</v>
      </c>
      <c r="K438" s="27" t="s">
        <v>12</v>
      </c>
    </row>
    <row r="439" ht="18.6" customHeight="1" spans="1:11">
      <c r="A439" s="3">
        <v>438</v>
      </c>
      <c r="B439" s="3" t="s">
        <v>589</v>
      </c>
      <c r="C439" s="3" t="s">
        <v>3491</v>
      </c>
      <c r="D439" s="3" t="s">
        <v>587</v>
      </c>
      <c r="E439" s="3" t="s">
        <v>588</v>
      </c>
      <c r="F439" s="3"/>
      <c r="G439" s="3"/>
      <c r="H439" s="3"/>
      <c r="I439" s="3" t="s">
        <v>3770</v>
      </c>
      <c r="J439" s="3" t="s">
        <v>11</v>
      </c>
      <c r="K439" s="27" t="s">
        <v>12</v>
      </c>
    </row>
    <row r="440" ht="18.6" customHeight="1" spans="1:11">
      <c r="A440" s="3">
        <v>439</v>
      </c>
      <c r="B440" s="3" t="s">
        <v>590</v>
      </c>
      <c r="C440" s="3" t="s">
        <v>3491</v>
      </c>
      <c r="D440" s="3" t="s">
        <v>587</v>
      </c>
      <c r="E440" s="3" t="s">
        <v>591</v>
      </c>
      <c r="F440" s="3"/>
      <c r="G440" s="3"/>
      <c r="H440" s="3"/>
      <c r="I440" s="3" t="s">
        <v>3770</v>
      </c>
      <c r="J440" s="3" t="s">
        <v>11</v>
      </c>
      <c r="K440" s="27" t="s">
        <v>12</v>
      </c>
    </row>
    <row r="441" ht="18.6" customHeight="1" spans="1:11">
      <c r="A441" s="3">
        <v>440</v>
      </c>
      <c r="B441" s="3" t="s">
        <v>592</v>
      </c>
      <c r="C441" s="3" t="s">
        <v>3491</v>
      </c>
      <c r="D441" s="3" t="s">
        <v>587</v>
      </c>
      <c r="E441" s="3" t="s">
        <v>588</v>
      </c>
      <c r="F441" s="3"/>
      <c r="G441" s="3"/>
      <c r="H441" s="3"/>
      <c r="I441" s="3" t="s">
        <v>3770</v>
      </c>
      <c r="J441" s="3" t="s">
        <v>11</v>
      </c>
      <c r="K441" s="27" t="s">
        <v>12</v>
      </c>
    </row>
    <row r="442" ht="18.6" customHeight="1" spans="1:11">
      <c r="A442" s="3">
        <v>441</v>
      </c>
      <c r="B442" s="3" t="s">
        <v>593</v>
      </c>
      <c r="C442" s="3" t="s">
        <v>3491</v>
      </c>
      <c r="D442" s="3" t="s">
        <v>587</v>
      </c>
      <c r="E442" s="3" t="s">
        <v>594</v>
      </c>
      <c r="F442" s="3"/>
      <c r="G442" s="3"/>
      <c r="H442" s="3"/>
      <c r="I442" s="3" t="s">
        <v>3770</v>
      </c>
      <c r="J442" s="3" t="s">
        <v>11</v>
      </c>
      <c r="K442" s="27" t="s">
        <v>12</v>
      </c>
    </row>
    <row r="443" ht="18.6" customHeight="1" spans="1:11">
      <c r="A443" s="3">
        <v>442</v>
      </c>
      <c r="B443" s="3" t="s">
        <v>595</v>
      </c>
      <c r="C443" s="3" t="s">
        <v>3491</v>
      </c>
      <c r="D443" s="3" t="s">
        <v>587</v>
      </c>
      <c r="E443" s="3" t="s">
        <v>596</v>
      </c>
      <c r="F443" s="3"/>
      <c r="G443" s="3"/>
      <c r="H443" s="3"/>
      <c r="I443" s="3" t="s">
        <v>3770</v>
      </c>
      <c r="J443" s="3" t="s">
        <v>11</v>
      </c>
      <c r="K443" s="27" t="s">
        <v>12</v>
      </c>
    </row>
    <row r="444" ht="18.6" customHeight="1" spans="1:11">
      <c r="A444" s="3">
        <v>443</v>
      </c>
      <c r="B444" s="3" t="s">
        <v>597</v>
      </c>
      <c r="C444" s="3" t="s">
        <v>3491</v>
      </c>
      <c r="D444" s="3" t="s">
        <v>587</v>
      </c>
      <c r="E444" s="3" t="s">
        <v>588</v>
      </c>
      <c r="F444" s="3"/>
      <c r="G444" s="3"/>
      <c r="H444" s="3"/>
      <c r="I444" s="3" t="s">
        <v>3773</v>
      </c>
      <c r="J444" s="3" t="s">
        <v>11</v>
      </c>
      <c r="K444" s="27" t="s">
        <v>12</v>
      </c>
    </row>
    <row r="445" ht="18.6" customHeight="1" spans="1:11">
      <c r="A445" s="3">
        <v>444</v>
      </c>
      <c r="B445" s="3" t="s">
        <v>598</v>
      </c>
      <c r="C445" s="3" t="s">
        <v>3491</v>
      </c>
      <c r="D445" s="3" t="s">
        <v>587</v>
      </c>
      <c r="E445" s="3" t="s">
        <v>588</v>
      </c>
      <c r="F445" s="3"/>
      <c r="G445" s="3"/>
      <c r="H445" s="3"/>
      <c r="I445" s="3" t="s">
        <v>3775</v>
      </c>
      <c r="J445" s="3" t="s">
        <v>11</v>
      </c>
      <c r="K445" s="27" t="s">
        <v>12</v>
      </c>
    </row>
    <row r="446" ht="18.6" customHeight="1" spans="1:11">
      <c r="A446" s="3">
        <v>445</v>
      </c>
      <c r="B446" s="3" t="s">
        <v>599</v>
      </c>
      <c r="C446" s="3" t="s">
        <v>3491</v>
      </c>
      <c r="D446" s="3" t="s">
        <v>587</v>
      </c>
      <c r="E446" s="3" t="s">
        <v>594</v>
      </c>
      <c r="F446" s="3"/>
      <c r="G446" s="3"/>
      <c r="H446" s="3"/>
      <c r="I446" s="3"/>
      <c r="J446" s="3" t="s">
        <v>11</v>
      </c>
      <c r="K446" s="27" t="s">
        <v>12</v>
      </c>
    </row>
    <row r="447" ht="18.6" customHeight="1" spans="1:11">
      <c r="A447" s="3">
        <v>446</v>
      </c>
      <c r="B447" s="3" t="s">
        <v>600</v>
      </c>
      <c r="C447" s="3" t="s">
        <v>3491</v>
      </c>
      <c r="D447" s="3" t="s">
        <v>587</v>
      </c>
      <c r="E447" s="3" t="s">
        <v>588</v>
      </c>
      <c r="F447" s="3"/>
      <c r="G447" s="3"/>
      <c r="H447" s="3"/>
      <c r="I447" s="3" t="s">
        <v>3776</v>
      </c>
      <c r="J447" s="3" t="s">
        <v>11</v>
      </c>
      <c r="K447" s="27" t="s">
        <v>12</v>
      </c>
    </row>
    <row r="448" ht="18.6" customHeight="1" spans="1:11">
      <c r="A448" s="3">
        <v>447</v>
      </c>
      <c r="B448" s="3" t="s">
        <v>601</v>
      </c>
      <c r="C448" s="3" t="s">
        <v>3491</v>
      </c>
      <c r="D448" s="3" t="s">
        <v>587</v>
      </c>
      <c r="E448" s="3" t="s">
        <v>602</v>
      </c>
      <c r="F448" s="3"/>
      <c r="G448" s="3"/>
      <c r="H448" s="3"/>
      <c r="I448" s="3"/>
      <c r="J448" s="3" t="s">
        <v>11</v>
      </c>
      <c r="K448" s="27" t="s">
        <v>12</v>
      </c>
    </row>
    <row r="449" ht="18.6" customHeight="1" spans="1:11">
      <c r="A449" s="3">
        <v>448</v>
      </c>
      <c r="B449" s="3" t="s">
        <v>603</v>
      </c>
      <c r="C449" s="3" t="s">
        <v>3491</v>
      </c>
      <c r="D449" s="3" t="s">
        <v>587</v>
      </c>
      <c r="E449" s="3" t="s">
        <v>604</v>
      </c>
      <c r="F449" s="3"/>
      <c r="G449" s="3"/>
      <c r="H449" s="3"/>
      <c r="I449" s="3"/>
      <c r="J449" s="3" t="s">
        <v>11</v>
      </c>
      <c r="K449" s="27" t="s">
        <v>12</v>
      </c>
    </row>
    <row r="450" ht="18.6" customHeight="1" spans="1:11">
      <c r="A450" s="3">
        <v>449</v>
      </c>
      <c r="B450" s="3" t="s">
        <v>605</v>
      </c>
      <c r="C450" s="3" t="s">
        <v>3491</v>
      </c>
      <c r="D450" s="3" t="s">
        <v>587</v>
      </c>
      <c r="E450" s="3" t="s">
        <v>594</v>
      </c>
      <c r="F450" s="3"/>
      <c r="G450" s="3"/>
      <c r="H450" s="3"/>
      <c r="I450" s="3"/>
      <c r="J450" s="3" t="s">
        <v>11</v>
      </c>
      <c r="K450" s="27" t="s">
        <v>12</v>
      </c>
    </row>
    <row r="451" ht="18.6" customHeight="1" spans="1:11">
      <c r="A451" s="3">
        <v>450</v>
      </c>
      <c r="B451" s="3" t="s">
        <v>606</v>
      </c>
      <c r="C451" s="3" t="s">
        <v>3491</v>
      </c>
      <c r="D451" s="3" t="s">
        <v>587</v>
      </c>
      <c r="E451" s="3" t="s">
        <v>607</v>
      </c>
      <c r="F451" s="3"/>
      <c r="G451" s="3"/>
      <c r="H451" s="3"/>
      <c r="I451" s="3"/>
      <c r="J451" s="3" t="s">
        <v>11</v>
      </c>
      <c r="K451" s="27" t="s">
        <v>12</v>
      </c>
    </row>
    <row r="452" ht="18.6" customHeight="1" spans="1:11">
      <c r="A452" s="3">
        <v>451</v>
      </c>
      <c r="B452" s="3" t="s">
        <v>608</v>
      </c>
      <c r="C452" s="3" t="s">
        <v>3491</v>
      </c>
      <c r="D452" s="3" t="s">
        <v>587</v>
      </c>
      <c r="E452" s="3" t="s">
        <v>588</v>
      </c>
      <c r="F452" s="3"/>
      <c r="G452" s="3"/>
      <c r="H452" s="3"/>
      <c r="I452" s="3" t="s">
        <v>3771</v>
      </c>
      <c r="J452" s="3" t="s">
        <v>11</v>
      </c>
      <c r="K452" s="27" t="s">
        <v>12</v>
      </c>
    </row>
    <row r="453" ht="18.6" customHeight="1" spans="1:11">
      <c r="A453" s="3">
        <v>452</v>
      </c>
      <c r="B453" s="3" t="s">
        <v>609</v>
      </c>
      <c r="C453" s="3" t="s">
        <v>3491</v>
      </c>
      <c r="D453" s="3" t="s">
        <v>587</v>
      </c>
      <c r="E453" s="3" t="s">
        <v>596</v>
      </c>
      <c r="F453" s="3"/>
      <c r="G453" s="3"/>
      <c r="H453" s="3"/>
      <c r="I453" s="3"/>
      <c r="J453" s="3" t="s">
        <v>11</v>
      </c>
      <c r="K453" s="27" t="s">
        <v>12</v>
      </c>
    </row>
    <row r="454" ht="18.6" customHeight="1" spans="1:11">
      <c r="A454" s="3">
        <v>453</v>
      </c>
      <c r="B454" s="3" t="s">
        <v>610</v>
      </c>
      <c r="C454" s="3" t="s">
        <v>3491</v>
      </c>
      <c r="D454" s="3" t="s">
        <v>587</v>
      </c>
      <c r="E454" s="3" t="s">
        <v>611</v>
      </c>
      <c r="F454" s="3"/>
      <c r="G454" s="3"/>
      <c r="H454" s="3"/>
      <c r="I454" s="3"/>
      <c r="J454" s="3" t="s">
        <v>11</v>
      </c>
      <c r="K454" s="27" t="s">
        <v>12</v>
      </c>
    </row>
    <row r="455" ht="18.6" customHeight="1" spans="1:11">
      <c r="A455" s="3">
        <v>454</v>
      </c>
      <c r="B455" s="3" t="s">
        <v>612</v>
      </c>
      <c r="C455" s="3" t="s">
        <v>3491</v>
      </c>
      <c r="D455" s="3" t="s">
        <v>587</v>
      </c>
      <c r="E455" s="3" t="s">
        <v>588</v>
      </c>
      <c r="F455" s="3"/>
      <c r="G455" s="3"/>
      <c r="H455" s="3"/>
      <c r="I455" s="3"/>
      <c r="J455" s="3" t="s">
        <v>11</v>
      </c>
      <c r="K455" s="27" t="s">
        <v>12</v>
      </c>
    </row>
    <row r="456" ht="18.6" customHeight="1" spans="1:11">
      <c r="A456" s="3">
        <v>455</v>
      </c>
      <c r="B456" s="3" t="s">
        <v>3783</v>
      </c>
      <c r="C456" s="3" t="s">
        <v>3491</v>
      </c>
      <c r="D456" s="3" t="s">
        <v>587</v>
      </c>
      <c r="E456" s="3" t="s">
        <v>588</v>
      </c>
      <c r="F456" s="3"/>
      <c r="G456" s="3"/>
      <c r="H456" s="3"/>
      <c r="I456" s="3"/>
      <c r="J456" s="3" t="s">
        <v>11</v>
      </c>
      <c r="K456" s="27" t="s">
        <v>12</v>
      </c>
    </row>
    <row r="457" ht="18.6" customHeight="1" spans="1:11">
      <c r="A457" s="3">
        <v>456</v>
      </c>
      <c r="B457" s="3" t="s">
        <v>614</v>
      </c>
      <c r="C457" s="3" t="s">
        <v>3491</v>
      </c>
      <c r="D457" s="3" t="s">
        <v>587</v>
      </c>
      <c r="E457" s="3" t="s">
        <v>588</v>
      </c>
      <c r="F457" s="3"/>
      <c r="G457" s="3"/>
      <c r="H457" s="3"/>
      <c r="I457" s="3"/>
      <c r="J457" s="3" t="s">
        <v>11</v>
      </c>
      <c r="K457" s="27" t="s">
        <v>12</v>
      </c>
    </row>
    <row r="458" ht="18.6" customHeight="1" spans="1:11">
      <c r="A458" s="3">
        <v>457</v>
      </c>
      <c r="B458" s="3" t="s">
        <v>615</v>
      </c>
      <c r="C458" s="3" t="s">
        <v>3491</v>
      </c>
      <c r="D458" s="3" t="s">
        <v>587</v>
      </c>
      <c r="E458" s="3" t="s">
        <v>616</v>
      </c>
      <c r="F458" s="3"/>
      <c r="G458" s="3"/>
      <c r="H458" s="3"/>
      <c r="I458" s="3"/>
      <c r="J458" s="3" t="s">
        <v>11</v>
      </c>
      <c r="K458" s="27" t="s">
        <v>12</v>
      </c>
    </row>
    <row r="459" ht="18.6" customHeight="1" spans="1:11">
      <c r="A459" s="3">
        <v>458</v>
      </c>
      <c r="B459" s="3" t="s">
        <v>617</v>
      </c>
      <c r="C459" s="3" t="s">
        <v>3491</v>
      </c>
      <c r="D459" s="3" t="s">
        <v>587</v>
      </c>
      <c r="E459" s="3" t="s">
        <v>618</v>
      </c>
      <c r="F459" s="3"/>
      <c r="G459" s="3"/>
      <c r="H459" s="3"/>
      <c r="I459" s="3"/>
      <c r="J459" s="3" t="s">
        <v>11</v>
      </c>
      <c r="K459" s="27" t="s">
        <v>12</v>
      </c>
    </row>
    <row r="460" ht="18.6" customHeight="1" spans="1:11">
      <c r="A460" s="3">
        <v>459</v>
      </c>
      <c r="B460" s="3" t="s">
        <v>619</v>
      </c>
      <c r="C460" s="3" t="s">
        <v>3491</v>
      </c>
      <c r="D460" s="3" t="s">
        <v>587</v>
      </c>
      <c r="E460" s="3" t="s">
        <v>591</v>
      </c>
      <c r="F460" s="3"/>
      <c r="G460" s="3"/>
      <c r="H460" s="3"/>
      <c r="I460" s="3"/>
      <c r="J460" s="3" t="s">
        <v>11</v>
      </c>
      <c r="K460" s="27" t="s">
        <v>12</v>
      </c>
    </row>
    <row r="461" ht="18.6" customHeight="1" spans="1:11">
      <c r="A461" s="3">
        <v>460</v>
      </c>
      <c r="B461" s="3" t="s">
        <v>620</v>
      </c>
      <c r="C461" s="3" t="s">
        <v>3491</v>
      </c>
      <c r="D461" s="3" t="s">
        <v>587</v>
      </c>
      <c r="E461" s="3" t="s">
        <v>594</v>
      </c>
      <c r="F461" s="3"/>
      <c r="G461" s="3"/>
      <c r="H461" s="3"/>
      <c r="I461" s="3"/>
      <c r="J461" s="3" t="s">
        <v>11</v>
      </c>
      <c r="K461" s="27" t="s">
        <v>12</v>
      </c>
    </row>
    <row r="462" ht="18.6" customHeight="1" spans="1:11">
      <c r="A462" s="3">
        <v>461</v>
      </c>
      <c r="B462" s="3" t="s">
        <v>621</v>
      </c>
      <c r="C462" s="3" t="s">
        <v>3491</v>
      </c>
      <c r="D462" s="3" t="s">
        <v>587</v>
      </c>
      <c r="E462" s="3" t="s">
        <v>588</v>
      </c>
      <c r="F462" s="3"/>
      <c r="G462" s="3"/>
      <c r="H462" s="3"/>
      <c r="I462" s="3"/>
      <c r="J462" s="3" t="s">
        <v>11</v>
      </c>
      <c r="K462" s="27" t="s">
        <v>12</v>
      </c>
    </row>
    <row r="463" ht="18.6" customHeight="1" spans="1:11">
      <c r="A463" s="3">
        <v>462</v>
      </c>
      <c r="B463" s="3" t="s">
        <v>622</v>
      </c>
      <c r="C463" s="3" t="s">
        <v>3491</v>
      </c>
      <c r="D463" s="3" t="s">
        <v>587</v>
      </c>
      <c r="E463" s="3" t="s">
        <v>588</v>
      </c>
      <c r="F463" s="3"/>
      <c r="G463" s="3"/>
      <c r="H463" s="3"/>
      <c r="I463" s="3"/>
      <c r="J463" s="3" t="s">
        <v>11</v>
      </c>
      <c r="K463" s="27" t="s">
        <v>12</v>
      </c>
    </row>
    <row r="464" ht="18.6" customHeight="1" spans="1:11">
      <c r="A464" s="3">
        <v>463</v>
      </c>
      <c r="B464" s="3" t="s">
        <v>623</v>
      </c>
      <c r="C464" s="3" t="s">
        <v>3491</v>
      </c>
      <c r="D464" s="3" t="s">
        <v>587</v>
      </c>
      <c r="E464" s="3" t="s">
        <v>588</v>
      </c>
      <c r="F464" s="3"/>
      <c r="G464" s="3"/>
      <c r="H464" s="3"/>
      <c r="I464" s="3"/>
      <c r="J464" s="3" t="s">
        <v>11</v>
      </c>
      <c r="K464" s="27" t="s">
        <v>12</v>
      </c>
    </row>
    <row r="465" ht="18.6" customHeight="1" spans="1:11">
      <c r="A465" s="3">
        <v>464</v>
      </c>
      <c r="B465" s="3" t="s">
        <v>624</v>
      </c>
      <c r="C465" s="3" t="s">
        <v>3491</v>
      </c>
      <c r="D465" s="3" t="s">
        <v>587</v>
      </c>
      <c r="E465" s="3" t="s">
        <v>618</v>
      </c>
      <c r="F465" s="3"/>
      <c r="G465" s="3"/>
      <c r="H465" s="3"/>
      <c r="I465" s="3"/>
      <c r="J465" s="3" t="s">
        <v>11</v>
      </c>
      <c r="K465" s="27" t="s">
        <v>12</v>
      </c>
    </row>
    <row r="466" ht="18.6" customHeight="1" spans="1:11">
      <c r="A466" s="3">
        <v>465</v>
      </c>
      <c r="B466" s="3" t="s">
        <v>626</v>
      </c>
      <c r="C466" s="3" t="s">
        <v>3491</v>
      </c>
      <c r="D466" s="3" t="s">
        <v>587</v>
      </c>
      <c r="E466" s="3" t="s">
        <v>588</v>
      </c>
      <c r="F466" s="3"/>
      <c r="G466" s="3"/>
      <c r="H466" s="3"/>
      <c r="I466" s="3"/>
      <c r="J466" s="3" t="s">
        <v>11</v>
      </c>
      <c r="K466" s="27" t="s">
        <v>12</v>
      </c>
    </row>
    <row r="467" ht="18.6" customHeight="1" spans="1:11">
      <c r="A467" s="3">
        <v>466</v>
      </c>
      <c r="B467" s="3" t="s">
        <v>627</v>
      </c>
      <c r="C467" s="3" t="s">
        <v>3309</v>
      </c>
      <c r="D467" s="3" t="s">
        <v>628</v>
      </c>
      <c r="E467" s="3" t="s">
        <v>629</v>
      </c>
      <c r="F467" s="3">
        <v>985</v>
      </c>
      <c r="G467" s="3">
        <v>211</v>
      </c>
      <c r="H467" s="3" t="s">
        <v>5</v>
      </c>
      <c r="I467" s="3" t="s">
        <v>3769</v>
      </c>
      <c r="J467" s="3" t="s">
        <v>11</v>
      </c>
      <c r="K467" s="27" t="s">
        <v>12</v>
      </c>
    </row>
    <row r="468" ht="18.6" customHeight="1" spans="1:11">
      <c r="A468" s="3">
        <v>467</v>
      </c>
      <c r="B468" s="3" t="s">
        <v>630</v>
      </c>
      <c r="C468" s="3" t="s">
        <v>3309</v>
      </c>
      <c r="D468" s="3" t="s">
        <v>628</v>
      </c>
      <c r="E468" s="3" t="s">
        <v>631</v>
      </c>
      <c r="F468" s="3">
        <v>985</v>
      </c>
      <c r="G468" s="3">
        <v>211</v>
      </c>
      <c r="H468" s="3" t="s">
        <v>5</v>
      </c>
      <c r="I468" s="3" t="s">
        <v>3769</v>
      </c>
      <c r="J468" s="3" t="s">
        <v>11</v>
      </c>
      <c r="K468" s="27" t="s">
        <v>12</v>
      </c>
    </row>
    <row r="469" ht="18.6" customHeight="1" spans="1:11">
      <c r="A469" s="3">
        <v>468</v>
      </c>
      <c r="B469" s="3" t="s">
        <v>632</v>
      </c>
      <c r="C469" s="3" t="s">
        <v>3509</v>
      </c>
      <c r="D469" s="3" t="s">
        <v>628</v>
      </c>
      <c r="E469" s="3" t="s">
        <v>631</v>
      </c>
      <c r="F469" s="3"/>
      <c r="G469" s="3"/>
      <c r="H469" s="3"/>
      <c r="I469" s="3" t="s">
        <v>3769</v>
      </c>
      <c r="J469" s="3" t="s">
        <v>11</v>
      </c>
      <c r="K469" s="27" t="s">
        <v>12</v>
      </c>
    </row>
    <row r="470" ht="18.6" customHeight="1" spans="1:11">
      <c r="A470" s="3">
        <v>469</v>
      </c>
      <c r="B470" s="3" t="s">
        <v>633</v>
      </c>
      <c r="C470" s="3" t="s">
        <v>3309</v>
      </c>
      <c r="D470" s="3" t="s">
        <v>628</v>
      </c>
      <c r="E470" s="3" t="s">
        <v>631</v>
      </c>
      <c r="F470" s="3"/>
      <c r="G470" s="3">
        <v>211</v>
      </c>
      <c r="H470" s="3" t="s">
        <v>5</v>
      </c>
      <c r="I470" s="3" t="s">
        <v>3770</v>
      </c>
      <c r="J470" s="3" t="s">
        <v>11</v>
      </c>
      <c r="K470" s="27" t="s">
        <v>12</v>
      </c>
    </row>
    <row r="471" ht="18.6" customHeight="1" spans="1:11">
      <c r="A471" s="3">
        <v>470</v>
      </c>
      <c r="B471" s="3" t="s">
        <v>634</v>
      </c>
      <c r="C471" s="3" t="s">
        <v>3509</v>
      </c>
      <c r="D471" s="3" t="s">
        <v>628</v>
      </c>
      <c r="E471" s="3" t="s">
        <v>631</v>
      </c>
      <c r="F471" s="3"/>
      <c r="G471" s="3"/>
      <c r="H471" s="3"/>
      <c r="I471" s="3" t="s">
        <v>3770</v>
      </c>
      <c r="J471" s="3" t="s">
        <v>11</v>
      </c>
      <c r="K471" s="27" t="s">
        <v>12</v>
      </c>
    </row>
    <row r="472" ht="18.6" customHeight="1" spans="1:11">
      <c r="A472" s="3">
        <v>471</v>
      </c>
      <c r="B472" s="3" t="s">
        <v>635</v>
      </c>
      <c r="C472" s="3" t="s">
        <v>3509</v>
      </c>
      <c r="D472" s="3" t="s">
        <v>628</v>
      </c>
      <c r="E472" s="3" t="s">
        <v>629</v>
      </c>
      <c r="F472" s="3"/>
      <c r="G472" s="3"/>
      <c r="H472" s="3"/>
      <c r="I472" s="3" t="s">
        <v>3769</v>
      </c>
      <c r="J472" s="3" t="s">
        <v>11</v>
      </c>
      <c r="K472" s="27" t="s">
        <v>12</v>
      </c>
    </row>
    <row r="473" ht="18.6" customHeight="1" spans="1:11">
      <c r="A473" s="3">
        <v>472</v>
      </c>
      <c r="B473" s="3" t="s">
        <v>636</v>
      </c>
      <c r="C473" s="3" t="s">
        <v>3509</v>
      </c>
      <c r="D473" s="3" t="s">
        <v>628</v>
      </c>
      <c r="E473" s="3" t="s">
        <v>631</v>
      </c>
      <c r="F473" s="3"/>
      <c r="G473" s="3"/>
      <c r="H473" s="3"/>
      <c r="I473" s="3" t="s">
        <v>3770</v>
      </c>
      <c r="J473" s="3" t="s">
        <v>11</v>
      </c>
      <c r="K473" s="27" t="s">
        <v>12</v>
      </c>
    </row>
    <row r="474" ht="18.6" customHeight="1" spans="1:11">
      <c r="A474" s="3">
        <v>473</v>
      </c>
      <c r="B474" s="3" t="s">
        <v>637</v>
      </c>
      <c r="C474" s="3" t="s">
        <v>3509</v>
      </c>
      <c r="D474" s="3" t="s">
        <v>628</v>
      </c>
      <c r="E474" s="3" t="s">
        <v>629</v>
      </c>
      <c r="F474" s="3"/>
      <c r="G474" s="3"/>
      <c r="H474" s="3"/>
      <c r="I474" s="3" t="s">
        <v>3770</v>
      </c>
      <c r="J474" s="3" t="s">
        <v>11</v>
      </c>
      <c r="K474" s="27" t="s">
        <v>12</v>
      </c>
    </row>
    <row r="475" ht="18.6" customHeight="1" spans="1:11">
      <c r="A475" s="3">
        <v>474</v>
      </c>
      <c r="B475" s="3" t="s">
        <v>638</v>
      </c>
      <c r="C475" s="3" t="s">
        <v>3509</v>
      </c>
      <c r="D475" s="3" t="s">
        <v>628</v>
      </c>
      <c r="E475" s="3" t="s">
        <v>629</v>
      </c>
      <c r="F475" s="3"/>
      <c r="G475" s="3"/>
      <c r="H475" s="3"/>
      <c r="I475" s="3" t="s">
        <v>3770</v>
      </c>
      <c r="J475" s="3" t="s">
        <v>11</v>
      </c>
      <c r="K475" s="27" t="s">
        <v>12</v>
      </c>
    </row>
    <row r="476" ht="18.6" customHeight="1" spans="1:11">
      <c r="A476" s="3">
        <v>475</v>
      </c>
      <c r="B476" s="3" t="s">
        <v>639</v>
      </c>
      <c r="C476" s="3" t="s">
        <v>3509</v>
      </c>
      <c r="D476" s="3" t="s">
        <v>628</v>
      </c>
      <c r="E476" s="3" t="s">
        <v>640</v>
      </c>
      <c r="F476" s="3"/>
      <c r="G476" s="3"/>
      <c r="H476" s="3"/>
      <c r="I476" s="3" t="s">
        <v>3770</v>
      </c>
      <c r="J476" s="3" t="s">
        <v>11</v>
      </c>
      <c r="K476" s="27" t="s">
        <v>12</v>
      </c>
    </row>
    <row r="477" ht="18.6" customHeight="1" spans="1:11">
      <c r="A477" s="3">
        <v>476</v>
      </c>
      <c r="B477" s="3" t="s">
        <v>641</v>
      </c>
      <c r="C477" s="3" t="s">
        <v>3509</v>
      </c>
      <c r="D477" s="3" t="s">
        <v>628</v>
      </c>
      <c r="E477" s="3" t="s">
        <v>642</v>
      </c>
      <c r="F477" s="3"/>
      <c r="G477" s="3"/>
      <c r="H477" s="3"/>
      <c r="I477" s="3" t="s">
        <v>3773</v>
      </c>
      <c r="J477" s="3" t="s">
        <v>11</v>
      </c>
      <c r="K477" s="27" t="s">
        <v>12</v>
      </c>
    </row>
    <row r="478" ht="18.6" customHeight="1" spans="1:11">
      <c r="A478" s="3">
        <v>477</v>
      </c>
      <c r="B478" s="3" t="s">
        <v>643</v>
      </c>
      <c r="C478" s="3" t="s">
        <v>3509</v>
      </c>
      <c r="D478" s="3" t="s">
        <v>628</v>
      </c>
      <c r="E478" s="3" t="s">
        <v>631</v>
      </c>
      <c r="F478" s="3"/>
      <c r="G478" s="3"/>
      <c r="H478" s="3"/>
      <c r="I478" s="3" t="s">
        <v>3773</v>
      </c>
      <c r="J478" s="3" t="s">
        <v>11</v>
      </c>
      <c r="K478" s="27" t="s">
        <v>12</v>
      </c>
    </row>
    <row r="479" ht="18.6" customHeight="1" spans="1:11">
      <c r="A479" s="3">
        <v>478</v>
      </c>
      <c r="B479" s="3" t="s">
        <v>644</v>
      </c>
      <c r="C479" s="3" t="s">
        <v>3509</v>
      </c>
      <c r="D479" s="3" t="s">
        <v>628</v>
      </c>
      <c r="E479" s="3" t="s">
        <v>645</v>
      </c>
      <c r="F479" s="3"/>
      <c r="G479" s="3"/>
      <c r="H479" s="3"/>
      <c r="I479" s="3" t="s">
        <v>3775</v>
      </c>
      <c r="J479" s="3" t="s">
        <v>11</v>
      </c>
      <c r="K479" s="27" t="s">
        <v>12</v>
      </c>
    </row>
    <row r="480" ht="18.6" customHeight="1" spans="1:11">
      <c r="A480" s="3">
        <v>479</v>
      </c>
      <c r="B480" s="3" t="s">
        <v>646</v>
      </c>
      <c r="C480" s="3" t="s">
        <v>3509</v>
      </c>
      <c r="D480" s="3" t="s">
        <v>628</v>
      </c>
      <c r="E480" s="3" t="s">
        <v>629</v>
      </c>
      <c r="F480" s="3"/>
      <c r="G480" s="3"/>
      <c r="H480" s="3"/>
      <c r="I480" s="3" t="s">
        <v>3775</v>
      </c>
      <c r="J480" s="3" t="s">
        <v>11</v>
      </c>
      <c r="K480" s="27" t="s">
        <v>12</v>
      </c>
    </row>
    <row r="481" ht="18.6" customHeight="1" spans="1:11">
      <c r="A481" s="3">
        <v>480</v>
      </c>
      <c r="B481" s="3" t="s">
        <v>3513</v>
      </c>
      <c r="C481" s="3" t="s">
        <v>3509</v>
      </c>
      <c r="D481" s="3" t="s">
        <v>628</v>
      </c>
      <c r="E481" s="3" t="s">
        <v>648</v>
      </c>
      <c r="F481" s="3"/>
      <c r="G481" s="3"/>
      <c r="H481" s="3"/>
      <c r="I481" s="3"/>
      <c r="J481" s="3" t="s">
        <v>11</v>
      </c>
      <c r="K481" s="27" t="s">
        <v>12</v>
      </c>
    </row>
    <row r="482" ht="18.6" customHeight="1" spans="1:11">
      <c r="A482" s="3">
        <v>481</v>
      </c>
      <c r="B482" s="3" t="s">
        <v>649</v>
      </c>
      <c r="C482" s="3" t="s">
        <v>3509</v>
      </c>
      <c r="D482" s="3" t="s">
        <v>628</v>
      </c>
      <c r="E482" s="3" t="s">
        <v>629</v>
      </c>
      <c r="F482" s="3"/>
      <c r="G482" s="3"/>
      <c r="H482" s="3"/>
      <c r="I482" s="3" t="s">
        <v>3775</v>
      </c>
      <c r="J482" s="3" t="s">
        <v>11</v>
      </c>
      <c r="K482" s="27" t="s">
        <v>12</v>
      </c>
    </row>
    <row r="483" ht="18.6" customHeight="1" spans="1:11">
      <c r="A483" s="3">
        <v>482</v>
      </c>
      <c r="B483" s="3" t="s">
        <v>650</v>
      </c>
      <c r="C483" s="3" t="s">
        <v>3509</v>
      </c>
      <c r="D483" s="3" t="s">
        <v>628</v>
      </c>
      <c r="E483" s="3" t="s">
        <v>651</v>
      </c>
      <c r="F483" s="3"/>
      <c r="G483" s="3"/>
      <c r="H483" s="3"/>
      <c r="I483" s="3"/>
      <c r="J483" s="3" t="s">
        <v>11</v>
      </c>
      <c r="K483" s="27" t="s">
        <v>12</v>
      </c>
    </row>
    <row r="484" ht="18.6" customHeight="1" spans="1:11">
      <c r="A484" s="3">
        <v>483</v>
      </c>
      <c r="B484" s="3" t="s">
        <v>652</v>
      </c>
      <c r="C484" s="3" t="s">
        <v>3509</v>
      </c>
      <c r="D484" s="3" t="s">
        <v>628</v>
      </c>
      <c r="E484" s="3" t="s">
        <v>629</v>
      </c>
      <c r="F484" s="3"/>
      <c r="G484" s="3"/>
      <c r="H484" s="3"/>
      <c r="I484" s="3" t="s">
        <v>3776</v>
      </c>
      <c r="J484" s="3" t="s">
        <v>11</v>
      </c>
      <c r="K484" s="27" t="s">
        <v>12</v>
      </c>
    </row>
    <row r="485" ht="18.6" customHeight="1" spans="1:11">
      <c r="A485" s="3">
        <v>484</v>
      </c>
      <c r="B485" s="3" t="s">
        <v>653</v>
      </c>
      <c r="C485" s="3" t="s">
        <v>3509</v>
      </c>
      <c r="D485" s="3" t="s">
        <v>628</v>
      </c>
      <c r="E485" s="3" t="s">
        <v>651</v>
      </c>
      <c r="F485" s="3"/>
      <c r="G485" s="3"/>
      <c r="H485" s="3"/>
      <c r="I485" s="3" t="s">
        <v>3776</v>
      </c>
      <c r="J485" s="3" t="s">
        <v>11</v>
      </c>
      <c r="K485" s="27" t="s">
        <v>12</v>
      </c>
    </row>
    <row r="486" ht="18.6" customHeight="1" spans="1:11">
      <c r="A486" s="3">
        <v>485</v>
      </c>
      <c r="B486" s="3" t="s">
        <v>654</v>
      </c>
      <c r="C486" s="3" t="s">
        <v>3509</v>
      </c>
      <c r="D486" s="3" t="s">
        <v>628</v>
      </c>
      <c r="E486" s="3" t="s">
        <v>655</v>
      </c>
      <c r="F486" s="3"/>
      <c r="G486" s="3"/>
      <c r="H486" s="3"/>
      <c r="I486" s="3" t="s">
        <v>3769</v>
      </c>
      <c r="J486" s="3" t="s">
        <v>11</v>
      </c>
      <c r="K486" s="27" t="s">
        <v>12</v>
      </c>
    </row>
    <row r="487" ht="18.6" customHeight="1" spans="1:11">
      <c r="A487" s="3">
        <v>486</v>
      </c>
      <c r="B487" s="3" t="s">
        <v>656</v>
      </c>
      <c r="C487" s="3" t="s">
        <v>3509</v>
      </c>
      <c r="D487" s="3" t="s">
        <v>628</v>
      </c>
      <c r="E487" s="3" t="s">
        <v>657</v>
      </c>
      <c r="F487" s="3"/>
      <c r="G487" s="3"/>
      <c r="H487" s="3"/>
      <c r="I487" s="3"/>
      <c r="J487" s="3" t="s">
        <v>11</v>
      </c>
      <c r="K487" s="27" t="s">
        <v>12</v>
      </c>
    </row>
    <row r="488" ht="18.6" customHeight="1" spans="1:11">
      <c r="A488" s="3">
        <v>487</v>
      </c>
      <c r="B488" s="3" t="s">
        <v>658</v>
      </c>
      <c r="C488" s="3" t="s">
        <v>3509</v>
      </c>
      <c r="D488" s="3" t="s">
        <v>628</v>
      </c>
      <c r="E488" s="3" t="s">
        <v>648</v>
      </c>
      <c r="F488" s="3"/>
      <c r="G488" s="3"/>
      <c r="H488" s="3"/>
      <c r="I488" s="3"/>
      <c r="J488" s="3" t="s">
        <v>11</v>
      </c>
      <c r="K488" s="27" t="s">
        <v>12</v>
      </c>
    </row>
    <row r="489" ht="18.6" customHeight="1" spans="1:11">
      <c r="A489" s="3">
        <v>488</v>
      </c>
      <c r="B489" s="3" t="s">
        <v>659</v>
      </c>
      <c r="C489" s="3" t="s">
        <v>3509</v>
      </c>
      <c r="D489" s="3" t="s">
        <v>628</v>
      </c>
      <c r="E489" s="3" t="s">
        <v>660</v>
      </c>
      <c r="F489" s="3"/>
      <c r="G489" s="3"/>
      <c r="H489" s="3"/>
      <c r="I489" s="3" t="s">
        <v>3769</v>
      </c>
      <c r="J489" s="3" t="s">
        <v>11</v>
      </c>
      <c r="K489" s="27" t="s">
        <v>12</v>
      </c>
    </row>
    <row r="490" ht="18.6" customHeight="1" spans="1:11">
      <c r="A490" s="3">
        <v>489</v>
      </c>
      <c r="B490" s="3" t="s">
        <v>661</v>
      </c>
      <c r="C490" s="3" t="s">
        <v>3509</v>
      </c>
      <c r="D490" s="3" t="s">
        <v>628</v>
      </c>
      <c r="E490" s="3" t="s">
        <v>662</v>
      </c>
      <c r="F490" s="3"/>
      <c r="G490" s="3"/>
      <c r="H490" s="3"/>
      <c r="I490" s="3"/>
      <c r="J490" s="3" t="s">
        <v>11</v>
      </c>
      <c r="K490" s="27" t="s">
        <v>12</v>
      </c>
    </row>
    <row r="491" ht="18.6" customHeight="1" spans="1:11">
      <c r="A491" s="3">
        <v>490</v>
      </c>
      <c r="B491" s="3" t="s">
        <v>663</v>
      </c>
      <c r="C491" s="3" t="s">
        <v>3509</v>
      </c>
      <c r="D491" s="3" t="s">
        <v>628</v>
      </c>
      <c r="E491" s="3" t="s">
        <v>642</v>
      </c>
      <c r="F491" s="3"/>
      <c r="G491" s="3"/>
      <c r="H491" s="3"/>
      <c r="I491" s="3"/>
      <c r="J491" s="3" t="s">
        <v>11</v>
      </c>
      <c r="K491" s="27" t="s">
        <v>12</v>
      </c>
    </row>
    <row r="492" ht="18.6" customHeight="1" spans="1:11">
      <c r="A492" s="3">
        <v>491</v>
      </c>
      <c r="B492" s="3" t="s">
        <v>664</v>
      </c>
      <c r="C492" s="3" t="s">
        <v>3509</v>
      </c>
      <c r="D492" s="3" t="s">
        <v>628</v>
      </c>
      <c r="E492" s="3" t="s">
        <v>651</v>
      </c>
      <c r="F492" s="3"/>
      <c r="G492" s="3"/>
      <c r="H492" s="3"/>
      <c r="I492" s="3"/>
      <c r="J492" s="3" t="s">
        <v>11</v>
      </c>
      <c r="K492" s="27" t="s">
        <v>12</v>
      </c>
    </row>
    <row r="493" ht="18.6" customHeight="1" spans="1:11">
      <c r="A493" s="3">
        <v>492</v>
      </c>
      <c r="B493" s="3" t="s">
        <v>665</v>
      </c>
      <c r="C493" s="3" t="s">
        <v>3509</v>
      </c>
      <c r="D493" s="3" t="s">
        <v>628</v>
      </c>
      <c r="E493" s="3" t="s">
        <v>666</v>
      </c>
      <c r="F493" s="3"/>
      <c r="G493" s="3"/>
      <c r="H493" s="3"/>
      <c r="I493" s="3"/>
      <c r="J493" s="3" t="s">
        <v>11</v>
      </c>
      <c r="K493" s="27" t="s">
        <v>12</v>
      </c>
    </row>
    <row r="494" ht="18.6" customHeight="1" spans="1:11">
      <c r="A494" s="3">
        <v>493</v>
      </c>
      <c r="B494" s="3" t="s">
        <v>667</v>
      </c>
      <c r="C494" s="3" t="s">
        <v>3509</v>
      </c>
      <c r="D494" s="3" t="s">
        <v>628</v>
      </c>
      <c r="E494" s="3" t="s">
        <v>629</v>
      </c>
      <c r="F494" s="3"/>
      <c r="G494" s="3"/>
      <c r="H494" s="3"/>
      <c r="I494" s="3" t="s">
        <v>3771</v>
      </c>
      <c r="J494" s="3" t="s">
        <v>11</v>
      </c>
      <c r="K494" s="27" t="s">
        <v>12</v>
      </c>
    </row>
    <row r="495" ht="18.6" customHeight="1" spans="1:11">
      <c r="A495" s="3">
        <v>494</v>
      </c>
      <c r="B495" s="3" t="s">
        <v>668</v>
      </c>
      <c r="C495" s="3" t="s">
        <v>3509</v>
      </c>
      <c r="D495" s="3" t="s">
        <v>628</v>
      </c>
      <c r="E495" s="3" t="s">
        <v>629</v>
      </c>
      <c r="F495" s="3"/>
      <c r="G495" s="3"/>
      <c r="H495" s="3"/>
      <c r="I495" s="3"/>
      <c r="J495" s="3" t="s">
        <v>11</v>
      </c>
      <c r="K495" s="27" t="s">
        <v>12</v>
      </c>
    </row>
    <row r="496" ht="18.6" customHeight="1" spans="1:11">
      <c r="A496" s="3">
        <v>495</v>
      </c>
      <c r="B496" s="3" t="s">
        <v>669</v>
      </c>
      <c r="C496" s="3" t="s">
        <v>3509</v>
      </c>
      <c r="D496" s="3" t="s">
        <v>628</v>
      </c>
      <c r="E496" s="3" t="s">
        <v>629</v>
      </c>
      <c r="F496" s="3"/>
      <c r="G496" s="3"/>
      <c r="H496" s="3"/>
      <c r="I496" s="3"/>
      <c r="J496" s="3" t="s">
        <v>11</v>
      </c>
      <c r="K496" s="27" t="s">
        <v>12</v>
      </c>
    </row>
    <row r="497" ht="18.6" customHeight="1" spans="1:11">
      <c r="A497" s="3">
        <v>496</v>
      </c>
      <c r="B497" s="3" t="s">
        <v>670</v>
      </c>
      <c r="C497" s="3" t="s">
        <v>3509</v>
      </c>
      <c r="D497" s="3" t="s">
        <v>628</v>
      </c>
      <c r="E497" s="3" t="s">
        <v>671</v>
      </c>
      <c r="F497" s="3"/>
      <c r="G497" s="3"/>
      <c r="H497" s="3"/>
      <c r="I497" s="3"/>
      <c r="J497" s="3" t="s">
        <v>11</v>
      </c>
      <c r="K497" s="27" t="s">
        <v>12</v>
      </c>
    </row>
    <row r="498" ht="18.6" customHeight="1" spans="1:11">
      <c r="A498" s="3">
        <v>497</v>
      </c>
      <c r="B498" s="3" t="s">
        <v>672</v>
      </c>
      <c r="C498" s="3" t="s">
        <v>3509</v>
      </c>
      <c r="D498" s="3" t="s">
        <v>628</v>
      </c>
      <c r="E498" s="3" t="s">
        <v>629</v>
      </c>
      <c r="F498" s="3"/>
      <c r="G498" s="3"/>
      <c r="H498" s="3"/>
      <c r="I498" s="3"/>
      <c r="J498" s="3" t="s">
        <v>11</v>
      </c>
      <c r="K498" s="27" t="s">
        <v>12</v>
      </c>
    </row>
    <row r="499" ht="18.6" customHeight="1" spans="1:11">
      <c r="A499" s="3">
        <v>498</v>
      </c>
      <c r="B499" s="3" t="s">
        <v>673</v>
      </c>
      <c r="C499" s="3" t="s">
        <v>3509</v>
      </c>
      <c r="D499" s="3" t="s">
        <v>628</v>
      </c>
      <c r="E499" s="3" t="s">
        <v>631</v>
      </c>
      <c r="F499" s="3"/>
      <c r="G499" s="3"/>
      <c r="H499" s="3"/>
      <c r="I499" s="3" t="s">
        <v>3769</v>
      </c>
      <c r="J499" s="3" t="s">
        <v>11</v>
      </c>
      <c r="K499" s="27" t="s">
        <v>12</v>
      </c>
    </row>
    <row r="500" ht="18.6" customHeight="1" spans="1:11">
      <c r="A500" s="3">
        <v>499</v>
      </c>
      <c r="B500" s="3" t="s">
        <v>674</v>
      </c>
      <c r="C500" s="3" t="s">
        <v>3509</v>
      </c>
      <c r="D500" s="3" t="s">
        <v>628</v>
      </c>
      <c r="E500" s="3" t="s">
        <v>660</v>
      </c>
      <c r="F500" s="3"/>
      <c r="G500" s="3"/>
      <c r="H500" s="3"/>
      <c r="I500" s="3" t="s">
        <v>3769</v>
      </c>
      <c r="J500" s="3" t="s">
        <v>11</v>
      </c>
      <c r="K500" s="27" t="s">
        <v>12</v>
      </c>
    </row>
    <row r="501" ht="18.6" customHeight="1" spans="1:11">
      <c r="A501" s="3">
        <v>500</v>
      </c>
      <c r="B501" s="3" t="s">
        <v>675</v>
      </c>
      <c r="C501" s="3" t="s">
        <v>3509</v>
      </c>
      <c r="D501" s="3" t="s">
        <v>628</v>
      </c>
      <c r="E501" s="3" t="s">
        <v>645</v>
      </c>
      <c r="F501" s="3"/>
      <c r="G501" s="3"/>
      <c r="H501" s="3"/>
      <c r="I501" s="3"/>
      <c r="J501" s="3" t="s">
        <v>11</v>
      </c>
      <c r="K501" s="27" t="s">
        <v>12</v>
      </c>
    </row>
    <row r="502" ht="18.6" customHeight="1" spans="1:11">
      <c r="A502" s="3">
        <v>501</v>
      </c>
      <c r="B502" s="3" t="s">
        <v>676</v>
      </c>
      <c r="C502" s="3" t="s">
        <v>3509</v>
      </c>
      <c r="D502" s="3" t="s">
        <v>628</v>
      </c>
      <c r="E502" s="3" t="s">
        <v>629</v>
      </c>
      <c r="F502" s="3"/>
      <c r="G502" s="3"/>
      <c r="H502" s="3"/>
      <c r="I502" s="3"/>
      <c r="J502" s="3" t="s">
        <v>11</v>
      </c>
      <c r="K502" s="27" t="s">
        <v>12</v>
      </c>
    </row>
    <row r="503" ht="18.6" customHeight="1" spans="1:11">
      <c r="A503" s="3">
        <v>502</v>
      </c>
      <c r="B503" s="3" t="s">
        <v>677</v>
      </c>
      <c r="C503" s="3" t="s">
        <v>3509</v>
      </c>
      <c r="D503" s="3" t="s">
        <v>628</v>
      </c>
      <c r="E503" s="3" t="s">
        <v>629</v>
      </c>
      <c r="F503" s="3"/>
      <c r="G503" s="3"/>
      <c r="H503" s="3"/>
      <c r="I503" s="3"/>
      <c r="J503" s="3" t="s">
        <v>11</v>
      </c>
      <c r="K503" s="27" t="s">
        <v>12</v>
      </c>
    </row>
    <row r="504" ht="18.6" customHeight="1" spans="1:11">
      <c r="A504" s="3">
        <v>503</v>
      </c>
      <c r="B504" s="3" t="s">
        <v>678</v>
      </c>
      <c r="C504" s="3" t="s">
        <v>3509</v>
      </c>
      <c r="D504" s="3" t="s">
        <v>628</v>
      </c>
      <c r="E504" s="3" t="s">
        <v>660</v>
      </c>
      <c r="F504" s="3"/>
      <c r="G504" s="3"/>
      <c r="H504" s="3"/>
      <c r="I504" s="3"/>
      <c r="J504" s="3" t="s">
        <v>11</v>
      </c>
      <c r="K504" s="27" t="s">
        <v>12</v>
      </c>
    </row>
    <row r="505" ht="18.6" customHeight="1" spans="1:11">
      <c r="A505" s="3">
        <v>504</v>
      </c>
      <c r="B505" s="3" t="s">
        <v>679</v>
      </c>
      <c r="C505" s="3" t="s">
        <v>3509</v>
      </c>
      <c r="D505" s="3" t="s">
        <v>628</v>
      </c>
      <c r="E505" s="3" t="s">
        <v>629</v>
      </c>
      <c r="F505" s="3"/>
      <c r="G505" s="3"/>
      <c r="H505" s="3"/>
      <c r="I505" s="3"/>
      <c r="J505" s="3" t="s">
        <v>11</v>
      </c>
      <c r="K505" s="27" t="s">
        <v>12</v>
      </c>
    </row>
    <row r="506" ht="18.6" customHeight="1" spans="1:11">
      <c r="A506" s="3">
        <v>505</v>
      </c>
      <c r="B506" s="3" t="s">
        <v>680</v>
      </c>
      <c r="C506" s="3" t="s">
        <v>3509</v>
      </c>
      <c r="D506" s="3" t="s">
        <v>628</v>
      </c>
      <c r="E506" s="3" t="s">
        <v>681</v>
      </c>
      <c r="F506" s="3"/>
      <c r="G506" s="3"/>
      <c r="H506" s="3"/>
      <c r="I506" s="3"/>
      <c r="J506" s="3" t="s">
        <v>11</v>
      </c>
      <c r="K506" s="27" t="s">
        <v>12</v>
      </c>
    </row>
    <row r="507" ht="18.6" customHeight="1" spans="1:11">
      <c r="A507" s="3">
        <v>506</v>
      </c>
      <c r="B507" s="3" t="s">
        <v>682</v>
      </c>
      <c r="C507" s="3" t="s">
        <v>3509</v>
      </c>
      <c r="D507" s="3" t="s">
        <v>628</v>
      </c>
      <c r="E507" s="3" t="s">
        <v>629</v>
      </c>
      <c r="F507" s="3"/>
      <c r="G507" s="3"/>
      <c r="H507" s="3"/>
      <c r="I507" s="3"/>
      <c r="J507" s="3" t="s">
        <v>11</v>
      </c>
      <c r="K507" s="27" t="s">
        <v>12</v>
      </c>
    </row>
    <row r="508" ht="18.6" customHeight="1" spans="1:11">
      <c r="A508" s="3">
        <v>507</v>
      </c>
      <c r="B508" s="3" t="s">
        <v>683</v>
      </c>
      <c r="C508" s="3" t="s">
        <v>3509</v>
      </c>
      <c r="D508" s="3" t="s">
        <v>628</v>
      </c>
      <c r="E508" s="3" t="s">
        <v>629</v>
      </c>
      <c r="F508" s="3"/>
      <c r="G508" s="3"/>
      <c r="H508" s="3"/>
      <c r="I508" s="3"/>
      <c r="J508" s="3" t="s">
        <v>11</v>
      </c>
      <c r="K508" s="27" t="s">
        <v>12</v>
      </c>
    </row>
    <row r="509" ht="18.6" customHeight="1" spans="1:11">
      <c r="A509" s="3">
        <v>508</v>
      </c>
      <c r="B509" s="3" t="s">
        <v>684</v>
      </c>
      <c r="C509" s="3" t="s">
        <v>3509</v>
      </c>
      <c r="D509" s="3" t="s">
        <v>628</v>
      </c>
      <c r="E509" s="3" t="s">
        <v>629</v>
      </c>
      <c r="F509" s="3"/>
      <c r="G509" s="3"/>
      <c r="H509" s="3"/>
      <c r="I509" s="3"/>
      <c r="J509" s="3" t="s">
        <v>11</v>
      </c>
      <c r="K509" s="27" t="s">
        <v>12</v>
      </c>
    </row>
    <row r="510" ht="18.6" customHeight="1" spans="1:11">
      <c r="A510" s="3">
        <v>509</v>
      </c>
      <c r="B510" s="3" t="s">
        <v>685</v>
      </c>
      <c r="C510" s="3" t="s">
        <v>3509</v>
      </c>
      <c r="D510" s="3" t="s">
        <v>628</v>
      </c>
      <c r="E510" s="3" t="s">
        <v>629</v>
      </c>
      <c r="F510" s="3"/>
      <c r="G510" s="3"/>
      <c r="H510" s="3"/>
      <c r="I510" s="3"/>
      <c r="J510" s="3" t="s">
        <v>11</v>
      </c>
      <c r="K510" s="27" t="s">
        <v>12</v>
      </c>
    </row>
    <row r="511" ht="18.6" customHeight="1" spans="1:11">
      <c r="A511" s="3">
        <v>510</v>
      </c>
      <c r="B511" s="3" t="s">
        <v>686</v>
      </c>
      <c r="C511" s="3" t="s">
        <v>3509</v>
      </c>
      <c r="D511" s="3" t="s">
        <v>628</v>
      </c>
      <c r="E511" s="3" t="s">
        <v>629</v>
      </c>
      <c r="F511" s="3"/>
      <c r="G511" s="3"/>
      <c r="H511" s="3"/>
      <c r="I511" s="3"/>
      <c r="J511" s="3" t="s">
        <v>11</v>
      </c>
      <c r="K511" s="27" t="s">
        <v>12</v>
      </c>
    </row>
    <row r="512" ht="18.6" customHeight="1" spans="1:11">
      <c r="A512" s="3">
        <v>511</v>
      </c>
      <c r="B512" s="3" t="s">
        <v>691</v>
      </c>
      <c r="C512" s="3" t="s">
        <v>3528</v>
      </c>
      <c r="D512" s="3" t="s">
        <v>692</v>
      </c>
      <c r="E512" s="3" t="s">
        <v>693</v>
      </c>
      <c r="F512" s="3"/>
      <c r="G512" s="3"/>
      <c r="H512" s="3"/>
      <c r="I512" s="3" t="s">
        <v>3770</v>
      </c>
      <c r="J512" s="3" t="s">
        <v>11</v>
      </c>
      <c r="K512" s="27" t="s">
        <v>12</v>
      </c>
    </row>
    <row r="513" ht="18.6" customHeight="1" spans="1:11">
      <c r="A513" s="3">
        <v>512</v>
      </c>
      <c r="B513" s="3" t="s">
        <v>694</v>
      </c>
      <c r="C513" s="3" t="s">
        <v>3528</v>
      </c>
      <c r="D513" s="3" t="s">
        <v>692</v>
      </c>
      <c r="E513" s="3" t="s">
        <v>693</v>
      </c>
      <c r="F513" s="3"/>
      <c r="G513" s="3">
        <v>211</v>
      </c>
      <c r="H513" s="3" t="s">
        <v>5</v>
      </c>
      <c r="I513" s="3" t="s">
        <v>3769</v>
      </c>
      <c r="J513" s="3" t="s">
        <v>11</v>
      </c>
      <c r="K513" s="27" t="s">
        <v>12</v>
      </c>
    </row>
    <row r="514" ht="18.6" customHeight="1" spans="1:11">
      <c r="A514" s="3">
        <v>513</v>
      </c>
      <c r="B514" s="3" t="s">
        <v>695</v>
      </c>
      <c r="C514" s="3" t="s">
        <v>3528</v>
      </c>
      <c r="D514" s="3" t="s">
        <v>692</v>
      </c>
      <c r="E514" s="3" t="s">
        <v>696</v>
      </c>
      <c r="F514" s="3"/>
      <c r="G514" s="3"/>
      <c r="H514" s="3"/>
      <c r="I514" s="3" t="s">
        <v>3770</v>
      </c>
      <c r="J514" s="3" t="s">
        <v>11</v>
      </c>
      <c r="K514" s="27" t="s">
        <v>12</v>
      </c>
    </row>
    <row r="515" ht="18.6" customHeight="1" spans="1:11">
      <c r="A515" s="3">
        <v>514</v>
      </c>
      <c r="B515" s="3" t="s">
        <v>697</v>
      </c>
      <c r="C515" s="3" t="s">
        <v>3528</v>
      </c>
      <c r="D515" s="3" t="s">
        <v>692</v>
      </c>
      <c r="E515" s="3" t="s">
        <v>693</v>
      </c>
      <c r="F515" s="3"/>
      <c r="G515" s="3"/>
      <c r="H515" s="3"/>
      <c r="I515" s="3" t="s">
        <v>3770</v>
      </c>
      <c r="J515" s="3" t="s">
        <v>11</v>
      </c>
      <c r="K515" s="27" t="s">
        <v>12</v>
      </c>
    </row>
    <row r="516" ht="18.6" customHeight="1" spans="1:11">
      <c r="A516" s="3">
        <v>515</v>
      </c>
      <c r="B516" s="3" t="s">
        <v>698</v>
      </c>
      <c r="C516" s="3" t="s">
        <v>3528</v>
      </c>
      <c r="D516" s="3" t="s">
        <v>692</v>
      </c>
      <c r="E516" s="3" t="s">
        <v>693</v>
      </c>
      <c r="F516" s="3"/>
      <c r="G516" s="3"/>
      <c r="H516" s="3"/>
      <c r="I516" s="3" t="s">
        <v>3770</v>
      </c>
      <c r="J516" s="3" t="s">
        <v>11</v>
      </c>
      <c r="K516" s="27" t="s">
        <v>12</v>
      </c>
    </row>
    <row r="517" ht="18.6" customHeight="1" spans="1:11">
      <c r="A517" s="3">
        <v>516</v>
      </c>
      <c r="B517" s="3" t="s">
        <v>699</v>
      </c>
      <c r="C517" s="3" t="s">
        <v>3528</v>
      </c>
      <c r="D517" s="3" t="s">
        <v>692</v>
      </c>
      <c r="E517" s="3" t="s">
        <v>700</v>
      </c>
      <c r="F517" s="3"/>
      <c r="G517" s="3"/>
      <c r="H517" s="3"/>
      <c r="I517" s="3" t="s">
        <v>3769</v>
      </c>
      <c r="J517" s="3" t="s">
        <v>11</v>
      </c>
      <c r="K517" s="27" t="s">
        <v>12</v>
      </c>
    </row>
    <row r="518" ht="18.6" customHeight="1" spans="1:11">
      <c r="A518" s="3">
        <v>517</v>
      </c>
      <c r="B518" s="3" t="s">
        <v>701</v>
      </c>
      <c r="C518" s="3" t="s">
        <v>3528</v>
      </c>
      <c r="D518" s="3" t="s">
        <v>692</v>
      </c>
      <c r="E518" s="3" t="s">
        <v>693</v>
      </c>
      <c r="F518" s="3"/>
      <c r="G518" s="3"/>
      <c r="H518" s="3"/>
      <c r="I518" s="3"/>
      <c r="J518" s="3" t="s">
        <v>11</v>
      </c>
      <c r="K518" s="27" t="s">
        <v>12</v>
      </c>
    </row>
    <row r="519" ht="18.6" customHeight="1" spans="1:11">
      <c r="A519" s="3">
        <v>518</v>
      </c>
      <c r="B519" s="3" t="s">
        <v>702</v>
      </c>
      <c r="C519" s="3" t="s">
        <v>3528</v>
      </c>
      <c r="D519" s="3" t="s">
        <v>692</v>
      </c>
      <c r="E519" s="3" t="s">
        <v>693</v>
      </c>
      <c r="F519" s="3"/>
      <c r="G519" s="3"/>
      <c r="H519" s="3"/>
      <c r="I519" s="3" t="s">
        <v>3773</v>
      </c>
      <c r="J519" s="3" t="s">
        <v>11</v>
      </c>
      <c r="K519" s="27" t="s">
        <v>12</v>
      </c>
    </row>
    <row r="520" ht="18.6" customHeight="1" spans="1:11">
      <c r="A520" s="3">
        <v>519</v>
      </c>
      <c r="B520" s="3" t="s">
        <v>703</v>
      </c>
      <c r="C520" s="3" t="s">
        <v>3528</v>
      </c>
      <c r="D520" s="3" t="s">
        <v>692</v>
      </c>
      <c r="E520" s="3" t="s">
        <v>704</v>
      </c>
      <c r="F520" s="3"/>
      <c r="G520" s="3"/>
      <c r="H520" s="3"/>
      <c r="I520" s="3"/>
      <c r="J520" s="3" t="s">
        <v>11</v>
      </c>
      <c r="K520" s="27" t="s">
        <v>12</v>
      </c>
    </row>
    <row r="521" ht="18.6" customHeight="1" spans="1:11">
      <c r="A521" s="3">
        <v>520</v>
      </c>
      <c r="B521" s="3" t="s">
        <v>705</v>
      </c>
      <c r="C521" s="3" t="s">
        <v>3528</v>
      </c>
      <c r="D521" s="3" t="s">
        <v>692</v>
      </c>
      <c r="E521" s="3" t="s">
        <v>693</v>
      </c>
      <c r="F521" s="3"/>
      <c r="G521" s="3"/>
      <c r="H521" s="3"/>
      <c r="I521" s="3"/>
      <c r="J521" s="3" t="s">
        <v>11</v>
      </c>
      <c r="K521" s="27" t="s">
        <v>12</v>
      </c>
    </row>
    <row r="522" ht="18.6" customHeight="1" spans="1:11">
      <c r="A522" s="3">
        <v>521</v>
      </c>
      <c r="B522" s="3" t="s">
        <v>706</v>
      </c>
      <c r="C522" s="3" t="s">
        <v>3528</v>
      </c>
      <c r="D522" s="3" t="s">
        <v>692</v>
      </c>
      <c r="E522" s="3" t="s">
        <v>693</v>
      </c>
      <c r="F522" s="3"/>
      <c r="G522" s="3"/>
      <c r="H522" s="3"/>
      <c r="I522" s="3" t="s">
        <v>3775</v>
      </c>
      <c r="J522" s="3" t="s">
        <v>11</v>
      </c>
      <c r="K522" s="27" t="s">
        <v>12</v>
      </c>
    </row>
    <row r="523" ht="18.6" customHeight="1" spans="1:11">
      <c r="A523" s="3">
        <v>522</v>
      </c>
      <c r="B523" s="3" t="s">
        <v>3784</v>
      </c>
      <c r="C523" s="3" t="s">
        <v>3528</v>
      </c>
      <c r="D523" s="3" t="s">
        <v>692</v>
      </c>
      <c r="E523" s="3" t="s">
        <v>704</v>
      </c>
      <c r="F523" s="3"/>
      <c r="G523" s="3"/>
      <c r="H523" s="3"/>
      <c r="I523" s="3" t="s">
        <v>3775</v>
      </c>
      <c r="J523" s="3" t="s">
        <v>11</v>
      </c>
      <c r="K523" s="27" t="s">
        <v>12</v>
      </c>
    </row>
    <row r="524" ht="18.6" customHeight="1" spans="1:11">
      <c r="A524" s="3">
        <v>523</v>
      </c>
      <c r="B524" s="3" t="s">
        <v>708</v>
      </c>
      <c r="C524" s="3" t="s">
        <v>3528</v>
      </c>
      <c r="D524" s="3" t="s">
        <v>692</v>
      </c>
      <c r="E524" s="3" t="s">
        <v>709</v>
      </c>
      <c r="F524" s="3"/>
      <c r="G524" s="3"/>
      <c r="H524" s="3" t="s">
        <v>3774</v>
      </c>
      <c r="I524" s="3" t="s">
        <v>3769</v>
      </c>
      <c r="J524" s="3" t="s">
        <v>11</v>
      </c>
      <c r="K524" s="27" t="s">
        <v>12</v>
      </c>
    </row>
    <row r="525" ht="18.6" customHeight="1" spans="1:11">
      <c r="A525" s="3">
        <v>524</v>
      </c>
      <c r="B525" s="3" t="s">
        <v>710</v>
      </c>
      <c r="C525" s="3" t="s">
        <v>3528</v>
      </c>
      <c r="D525" s="3" t="s">
        <v>692</v>
      </c>
      <c r="E525" s="3" t="s">
        <v>704</v>
      </c>
      <c r="F525" s="3"/>
      <c r="G525" s="3"/>
      <c r="H525" s="3"/>
      <c r="I525" s="3" t="s">
        <v>3776</v>
      </c>
      <c r="J525" s="3" t="s">
        <v>11</v>
      </c>
      <c r="K525" s="27" t="s">
        <v>12</v>
      </c>
    </row>
    <row r="526" ht="18.6" customHeight="1" spans="1:11">
      <c r="A526" s="3">
        <v>525</v>
      </c>
      <c r="B526" s="3" t="s">
        <v>711</v>
      </c>
      <c r="C526" s="3" t="s">
        <v>3528</v>
      </c>
      <c r="D526" s="3" t="s">
        <v>692</v>
      </c>
      <c r="E526" s="3" t="s">
        <v>712</v>
      </c>
      <c r="F526" s="3"/>
      <c r="G526" s="3"/>
      <c r="H526" s="3"/>
      <c r="I526" s="3"/>
      <c r="J526" s="3" t="s">
        <v>11</v>
      </c>
      <c r="K526" s="27" t="s">
        <v>12</v>
      </c>
    </row>
    <row r="527" ht="18.6" customHeight="1" spans="1:11">
      <c r="A527" s="3">
        <v>526</v>
      </c>
      <c r="B527" s="3" t="s">
        <v>713</v>
      </c>
      <c r="C527" s="3" t="s">
        <v>3528</v>
      </c>
      <c r="D527" s="3" t="s">
        <v>692</v>
      </c>
      <c r="E527" s="3" t="s">
        <v>714</v>
      </c>
      <c r="F527" s="3"/>
      <c r="G527" s="3"/>
      <c r="H527" s="3"/>
      <c r="I527" s="3"/>
      <c r="J527" s="3" t="s">
        <v>11</v>
      </c>
      <c r="K527" s="27" t="s">
        <v>12</v>
      </c>
    </row>
    <row r="528" ht="18.6" customHeight="1" spans="1:11">
      <c r="A528" s="3">
        <v>527</v>
      </c>
      <c r="B528" s="3" t="s">
        <v>715</v>
      </c>
      <c r="C528" s="3" t="s">
        <v>3528</v>
      </c>
      <c r="D528" s="3" t="s">
        <v>692</v>
      </c>
      <c r="E528" s="3" t="s">
        <v>716</v>
      </c>
      <c r="F528" s="3"/>
      <c r="G528" s="3"/>
      <c r="H528" s="3"/>
      <c r="I528" s="3"/>
      <c r="J528" s="3" t="s">
        <v>11</v>
      </c>
      <c r="K528" s="27" t="s">
        <v>12</v>
      </c>
    </row>
    <row r="529" ht="18.6" customHeight="1" spans="1:11">
      <c r="A529" s="3">
        <v>528</v>
      </c>
      <c r="B529" s="3" t="s">
        <v>717</v>
      </c>
      <c r="C529" s="3" t="s">
        <v>3528</v>
      </c>
      <c r="D529" s="3" t="s">
        <v>692</v>
      </c>
      <c r="E529" s="3" t="s">
        <v>718</v>
      </c>
      <c r="F529" s="3"/>
      <c r="G529" s="3"/>
      <c r="H529" s="3"/>
      <c r="I529" s="3"/>
      <c r="J529" s="3" t="s">
        <v>11</v>
      </c>
      <c r="K529" s="27" t="s">
        <v>12</v>
      </c>
    </row>
    <row r="530" ht="18.6" customHeight="1" spans="1:11">
      <c r="A530" s="3">
        <v>529</v>
      </c>
      <c r="B530" s="3" t="s">
        <v>719</v>
      </c>
      <c r="C530" s="3" t="s">
        <v>3528</v>
      </c>
      <c r="D530" s="3" t="s">
        <v>692</v>
      </c>
      <c r="E530" s="3" t="s">
        <v>720</v>
      </c>
      <c r="F530" s="3"/>
      <c r="G530" s="3"/>
      <c r="H530" s="3"/>
      <c r="I530" s="3"/>
      <c r="J530" s="3" t="s">
        <v>11</v>
      </c>
      <c r="K530" s="27" t="s">
        <v>12</v>
      </c>
    </row>
    <row r="531" ht="18.6" customHeight="1" spans="1:11">
      <c r="A531" s="3">
        <v>530</v>
      </c>
      <c r="B531" s="3" t="s">
        <v>721</v>
      </c>
      <c r="C531" s="3" t="s">
        <v>3528</v>
      </c>
      <c r="D531" s="3" t="s">
        <v>692</v>
      </c>
      <c r="E531" s="3" t="s">
        <v>700</v>
      </c>
      <c r="F531" s="3"/>
      <c r="G531" s="3"/>
      <c r="H531" s="3"/>
      <c r="I531" s="3"/>
      <c r="J531" s="3" t="s">
        <v>11</v>
      </c>
      <c r="K531" s="27" t="s">
        <v>12</v>
      </c>
    </row>
    <row r="532" ht="18.6" customHeight="1" spans="1:11">
      <c r="A532" s="3">
        <v>531</v>
      </c>
      <c r="B532" s="3" t="s">
        <v>722</v>
      </c>
      <c r="C532" s="3" t="s">
        <v>3528</v>
      </c>
      <c r="D532" s="3" t="s">
        <v>692</v>
      </c>
      <c r="E532" s="3" t="s">
        <v>723</v>
      </c>
      <c r="F532" s="3"/>
      <c r="G532" s="3"/>
      <c r="H532" s="3"/>
      <c r="I532" s="3"/>
      <c r="J532" s="3" t="s">
        <v>11</v>
      </c>
      <c r="K532" s="27" t="s">
        <v>12</v>
      </c>
    </row>
    <row r="533" ht="18.6" customHeight="1" spans="1:11">
      <c r="A533" s="3">
        <v>532</v>
      </c>
      <c r="B533" s="3" t="s">
        <v>724</v>
      </c>
      <c r="C533" s="3" t="s">
        <v>3528</v>
      </c>
      <c r="D533" s="3" t="s">
        <v>692</v>
      </c>
      <c r="E533" s="3" t="s">
        <v>693</v>
      </c>
      <c r="F533" s="3"/>
      <c r="G533" s="3"/>
      <c r="H533" s="3"/>
      <c r="I533" s="3" t="s">
        <v>3771</v>
      </c>
      <c r="J533" s="3" t="s">
        <v>11</v>
      </c>
      <c r="K533" s="27" t="s">
        <v>12</v>
      </c>
    </row>
    <row r="534" ht="18.6" customHeight="1" spans="1:11">
      <c r="A534" s="3">
        <v>533</v>
      </c>
      <c r="B534" s="3" t="s">
        <v>725</v>
      </c>
      <c r="C534" s="3" t="s">
        <v>3528</v>
      </c>
      <c r="D534" s="3" t="s">
        <v>692</v>
      </c>
      <c r="E534" s="3" t="s">
        <v>693</v>
      </c>
      <c r="F534" s="3"/>
      <c r="G534" s="3"/>
      <c r="H534" s="3"/>
      <c r="I534" s="3"/>
      <c r="J534" s="3" t="s">
        <v>11</v>
      </c>
      <c r="K534" s="27" t="s">
        <v>12</v>
      </c>
    </row>
    <row r="535" ht="18.6" customHeight="1" spans="1:11">
      <c r="A535" s="3">
        <v>534</v>
      </c>
      <c r="B535" s="3" t="s">
        <v>726</v>
      </c>
      <c r="C535" s="3" t="s">
        <v>3528</v>
      </c>
      <c r="D535" s="3" t="s">
        <v>692</v>
      </c>
      <c r="E535" s="3" t="s">
        <v>727</v>
      </c>
      <c r="F535" s="3"/>
      <c r="G535" s="3"/>
      <c r="H535" s="3"/>
      <c r="I535" s="3"/>
      <c r="J535" s="3" t="s">
        <v>11</v>
      </c>
      <c r="K535" s="27" t="s">
        <v>12</v>
      </c>
    </row>
    <row r="536" ht="18.6" customHeight="1" spans="1:11">
      <c r="A536" s="3">
        <v>535</v>
      </c>
      <c r="B536" s="3" t="s">
        <v>728</v>
      </c>
      <c r="C536" s="3" t="s">
        <v>3528</v>
      </c>
      <c r="D536" s="3" t="s">
        <v>692</v>
      </c>
      <c r="E536" s="3" t="s">
        <v>729</v>
      </c>
      <c r="F536" s="3"/>
      <c r="G536" s="3"/>
      <c r="H536" s="3"/>
      <c r="I536" s="3"/>
      <c r="J536" s="3" t="s">
        <v>11</v>
      </c>
      <c r="K536" s="27" t="s">
        <v>12</v>
      </c>
    </row>
    <row r="537" ht="18.6" customHeight="1" spans="1:11">
      <c r="A537" s="3">
        <v>536</v>
      </c>
      <c r="B537" s="3" t="s">
        <v>730</v>
      </c>
      <c r="C537" s="3" t="s">
        <v>3528</v>
      </c>
      <c r="D537" s="3" t="s">
        <v>692</v>
      </c>
      <c r="E537" s="3" t="s">
        <v>693</v>
      </c>
      <c r="F537" s="3"/>
      <c r="G537" s="3"/>
      <c r="H537" s="3"/>
      <c r="I537" s="3"/>
      <c r="J537" s="3" t="s">
        <v>11</v>
      </c>
      <c r="K537" s="27" t="s">
        <v>12</v>
      </c>
    </row>
    <row r="538" ht="18.6" customHeight="1" spans="1:11">
      <c r="A538" s="3">
        <v>537</v>
      </c>
      <c r="B538" s="3" t="s">
        <v>731</v>
      </c>
      <c r="C538" s="3" t="s">
        <v>3528</v>
      </c>
      <c r="D538" s="3" t="s">
        <v>692</v>
      </c>
      <c r="E538" s="3" t="s">
        <v>700</v>
      </c>
      <c r="F538" s="3"/>
      <c r="G538" s="3"/>
      <c r="H538" s="3"/>
      <c r="I538" s="3"/>
      <c r="J538" s="3" t="s">
        <v>11</v>
      </c>
      <c r="K538" s="27" t="s">
        <v>12</v>
      </c>
    </row>
    <row r="539" ht="18.6" customHeight="1" spans="1:11">
      <c r="A539" s="3">
        <v>538</v>
      </c>
      <c r="B539" s="3" t="s">
        <v>732</v>
      </c>
      <c r="C539" s="3" t="s">
        <v>3528</v>
      </c>
      <c r="D539" s="3" t="s">
        <v>692</v>
      </c>
      <c r="E539" s="3" t="s">
        <v>704</v>
      </c>
      <c r="F539" s="3"/>
      <c r="G539" s="3"/>
      <c r="H539" s="3"/>
      <c r="I539" s="3"/>
      <c r="J539" s="3" t="s">
        <v>11</v>
      </c>
      <c r="K539" s="27" t="s">
        <v>12</v>
      </c>
    </row>
    <row r="540" ht="18.6" customHeight="1" spans="1:11">
      <c r="A540" s="3">
        <v>539</v>
      </c>
      <c r="B540" s="3" t="s">
        <v>733</v>
      </c>
      <c r="C540" s="3" t="s">
        <v>3528</v>
      </c>
      <c r="D540" s="3" t="s">
        <v>692</v>
      </c>
      <c r="E540" s="3" t="s">
        <v>712</v>
      </c>
      <c r="F540" s="3"/>
      <c r="G540" s="3"/>
      <c r="H540" s="3"/>
      <c r="I540" s="3"/>
      <c r="J540" s="3" t="s">
        <v>11</v>
      </c>
      <c r="K540" s="27" t="s">
        <v>12</v>
      </c>
    </row>
    <row r="541" ht="18.6" customHeight="1" spans="1:11">
      <c r="A541" s="3">
        <v>540</v>
      </c>
      <c r="B541" s="3" t="s">
        <v>734</v>
      </c>
      <c r="C541" s="3" t="s">
        <v>3528</v>
      </c>
      <c r="D541" s="3" t="s">
        <v>692</v>
      </c>
      <c r="E541" s="3" t="s">
        <v>704</v>
      </c>
      <c r="F541" s="3"/>
      <c r="G541" s="3"/>
      <c r="H541" s="3"/>
      <c r="I541" s="3"/>
      <c r="J541" s="3" t="s">
        <v>11</v>
      </c>
      <c r="K541" s="27" t="s">
        <v>12</v>
      </c>
    </row>
    <row r="542" ht="18.6" customHeight="1" spans="1:11">
      <c r="A542" s="3">
        <v>541</v>
      </c>
      <c r="B542" s="3" t="s">
        <v>735</v>
      </c>
      <c r="C542" s="3" t="s">
        <v>3528</v>
      </c>
      <c r="D542" s="3" t="s">
        <v>692</v>
      </c>
      <c r="E542" s="3" t="s">
        <v>716</v>
      </c>
      <c r="F542" s="3"/>
      <c r="G542" s="3"/>
      <c r="H542" s="3"/>
      <c r="I542" s="3"/>
      <c r="J542" s="3" t="s">
        <v>11</v>
      </c>
      <c r="K542" s="27" t="s">
        <v>12</v>
      </c>
    </row>
    <row r="543" ht="18.6" customHeight="1" spans="1:11">
      <c r="A543" s="3">
        <v>542</v>
      </c>
      <c r="B543" s="3" t="s">
        <v>736</v>
      </c>
      <c r="C543" s="3" t="s">
        <v>3528</v>
      </c>
      <c r="D543" s="3" t="s">
        <v>692</v>
      </c>
      <c r="E543" s="3" t="s">
        <v>693</v>
      </c>
      <c r="F543" s="3"/>
      <c r="G543" s="3"/>
      <c r="H543" s="3"/>
      <c r="I543" s="3"/>
      <c r="J543" s="3" t="s">
        <v>11</v>
      </c>
      <c r="K543" s="27" t="s">
        <v>12</v>
      </c>
    </row>
    <row r="544" ht="18.6" customHeight="1" spans="1:11">
      <c r="A544" s="3">
        <v>543</v>
      </c>
      <c r="B544" s="3" t="s">
        <v>737</v>
      </c>
      <c r="C544" s="3" t="s">
        <v>3528</v>
      </c>
      <c r="D544" s="3" t="s">
        <v>692</v>
      </c>
      <c r="E544" s="3" t="s">
        <v>693</v>
      </c>
      <c r="F544" s="3"/>
      <c r="G544" s="3"/>
      <c r="H544" s="3"/>
      <c r="I544" s="3"/>
      <c r="J544" s="3" t="s">
        <v>11</v>
      </c>
      <c r="K544" s="27" t="s">
        <v>12</v>
      </c>
    </row>
    <row r="545" ht="18.6" customHeight="1" spans="1:11">
      <c r="A545" s="3">
        <v>544</v>
      </c>
      <c r="B545" s="3" t="s">
        <v>738</v>
      </c>
      <c r="C545" s="3" t="s">
        <v>3528</v>
      </c>
      <c r="D545" s="3" t="s">
        <v>692</v>
      </c>
      <c r="E545" s="3" t="s">
        <v>720</v>
      </c>
      <c r="F545" s="3"/>
      <c r="G545" s="3"/>
      <c r="H545" s="3"/>
      <c r="I545" s="3"/>
      <c r="J545" s="3" t="s">
        <v>11</v>
      </c>
      <c r="K545" s="27" t="s">
        <v>12</v>
      </c>
    </row>
    <row r="546" ht="18.6" customHeight="1" spans="1:11">
      <c r="A546" s="3">
        <v>545</v>
      </c>
      <c r="B546" s="3" t="s">
        <v>739</v>
      </c>
      <c r="C546" s="3" t="s">
        <v>3528</v>
      </c>
      <c r="D546" s="3" t="s">
        <v>692</v>
      </c>
      <c r="E546" s="3" t="s">
        <v>729</v>
      </c>
      <c r="F546" s="3"/>
      <c r="G546" s="3"/>
      <c r="H546" s="3"/>
      <c r="I546" s="3"/>
      <c r="J546" s="3" t="s">
        <v>11</v>
      </c>
      <c r="K546" s="27" t="s">
        <v>12</v>
      </c>
    </row>
    <row r="547" ht="18.6" customHeight="1" spans="1:11">
      <c r="A547" s="3">
        <v>546</v>
      </c>
      <c r="B547" s="3" t="s">
        <v>740</v>
      </c>
      <c r="C547" s="3" t="s">
        <v>3528</v>
      </c>
      <c r="D547" s="3" t="s">
        <v>692</v>
      </c>
      <c r="E547" s="3" t="s">
        <v>693</v>
      </c>
      <c r="F547" s="3"/>
      <c r="G547" s="3"/>
      <c r="H547" s="3"/>
      <c r="I547" s="3"/>
      <c r="J547" s="3" t="s">
        <v>11</v>
      </c>
      <c r="K547" s="27" t="s">
        <v>12</v>
      </c>
    </row>
    <row r="548" ht="18.6" customHeight="1" spans="1:11">
      <c r="A548" s="3">
        <v>547</v>
      </c>
      <c r="B548" s="3" t="s">
        <v>741</v>
      </c>
      <c r="C548" s="3" t="s">
        <v>3316</v>
      </c>
      <c r="D548" s="3" t="s">
        <v>692</v>
      </c>
      <c r="E548" s="3" t="s">
        <v>693</v>
      </c>
      <c r="F548" s="3"/>
      <c r="G548" s="3"/>
      <c r="H548" s="3"/>
      <c r="I548" s="3"/>
      <c r="J548" s="3" t="s">
        <v>11</v>
      </c>
      <c r="K548" s="27" t="s">
        <v>12</v>
      </c>
    </row>
    <row r="549" ht="18.6" customHeight="1" spans="1:11">
      <c r="A549" s="3">
        <v>548</v>
      </c>
      <c r="B549" s="3" t="s">
        <v>742</v>
      </c>
      <c r="C549" s="3" t="s">
        <v>3528</v>
      </c>
      <c r="D549" s="3" t="s">
        <v>692</v>
      </c>
      <c r="E549" s="3" t="s">
        <v>693</v>
      </c>
      <c r="F549" s="3"/>
      <c r="G549" s="3"/>
      <c r="H549" s="3"/>
      <c r="I549" s="3"/>
      <c r="J549" s="3" t="s">
        <v>11</v>
      </c>
      <c r="K549" s="27" t="s">
        <v>12</v>
      </c>
    </row>
    <row r="550" ht="18.6" customHeight="1" spans="1:11">
      <c r="A550" s="3">
        <v>549</v>
      </c>
      <c r="B550" s="3" t="s">
        <v>745</v>
      </c>
      <c r="C550" s="3" t="s">
        <v>3309</v>
      </c>
      <c r="D550" s="3" t="s">
        <v>746</v>
      </c>
      <c r="E550" s="3" t="s">
        <v>747</v>
      </c>
      <c r="F550" s="3">
        <v>985</v>
      </c>
      <c r="G550" s="3">
        <v>211</v>
      </c>
      <c r="H550" s="3" t="s">
        <v>5</v>
      </c>
      <c r="I550" s="3" t="s">
        <v>3769</v>
      </c>
      <c r="J550" s="3" t="s">
        <v>11</v>
      </c>
      <c r="K550" s="27" t="s">
        <v>12</v>
      </c>
    </row>
    <row r="551" ht="18.6" customHeight="1" spans="1:11">
      <c r="A551" s="3">
        <v>550</v>
      </c>
      <c r="B551" s="3" t="s">
        <v>748</v>
      </c>
      <c r="C551" s="3" t="s">
        <v>3309</v>
      </c>
      <c r="D551" s="3" t="s">
        <v>746</v>
      </c>
      <c r="E551" s="3" t="s">
        <v>747</v>
      </c>
      <c r="F551" s="3">
        <v>985</v>
      </c>
      <c r="G551" s="3">
        <v>211</v>
      </c>
      <c r="H551" s="3" t="s">
        <v>5</v>
      </c>
      <c r="I551" s="3" t="s">
        <v>3769</v>
      </c>
      <c r="J551" s="3" t="s">
        <v>11</v>
      </c>
      <c r="K551" s="27" t="s">
        <v>12</v>
      </c>
    </row>
    <row r="552" ht="18.6" customHeight="1" spans="1:11">
      <c r="A552" s="3">
        <v>551</v>
      </c>
      <c r="B552" s="3" t="s">
        <v>749</v>
      </c>
      <c r="C552" s="3" t="s">
        <v>3550</v>
      </c>
      <c r="D552" s="3" t="s">
        <v>746</v>
      </c>
      <c r="E552" s="3" t="s">
        <v>747</v>
      </c>
      <c r="F552" s="3"/>
      <c r="G552" s="3"/>
      <c r="H552" s="3"/>
      <c r="I552" s="3" t="s">
        <v>3770</v>
      </c>
      <c r="J552" s="3" t="s">
        <v>11</v>
      </c>
      <c r="K552" s="27" t="s">
        <v>12</v>
      </c>
    </row>
    <row r="553" ht="18.6" customHeight="1" spans="1:11">
      <c r="A553" s="3">
        <v>552</v>
      </c>
      <c r="B553" s="3" t="s">
        <v>750</v>
      </c>
      <c r="C553" s="3" t="s">
        <v>3550</v>
      </c>
      <c r="D553" s="3" t="s">
        <v>746</v>
      </c>
      <c r="E553" s="3" t="s">
        <v>751</v>
      </c>
      <c r="F553" s="3"/>
      <c r="G553" s="3"/>
      <c r="H553" s="3"/>
      <c r="I553" s="3" t="s">
        <v>3769</v>
      </c>
      <c r="J553" s="3" t="s">
        <v>11</v>
      </c>
      <c r="K553" s="27" t="s">
        <v>12</v>
      </c>
    </row>
    <row r="554" ht="18.6" customHeight="1" spans="1:11">
      <c r="A554" s="3">
        <v>553</v>
      </c>
      <c r="B554" s="3" t="s">
        <v>752</v>
      </c>
      <c r="C554" s="3" t="s">
        <v>3550</v>
      </c>
      <c r="D554" s="3" t="s">
        <v>746</v>
      </c>
      <c r="E554" s="3" t="s">
        <v>747</v>
      </c>
      <c r="F554" s="3"/>
      <c r="G554" s="3"/>
      <c r="H554" s="3"/>
      <c r="I554" s="3" t="s">
        <v>3770</v>
      </c>
      <c r="J554" s="3" t="s">
        <v>11</v>
      </c>
      <c r="K554" s="27" t="s">
        <v>12</v>
      </c>
    </row>
    <row r="555" ht="18.6" customHeight="1" spans="1:11">
      <c r="A555" s="3">
        <v>554</v>
      </c>
      <c r="B555" s="3" t="s">
        <v>753</v>
      </c>
      <c r="C555" s="3" t="s">
        <v>3309</v>
      </c>
      <c r="D555" s="3" t="s">
        <v>746</v>
      </c>
      <c r="E555" s="3" t="s">
        <v>747</v>
      </c>
      <c r="F555" s="3"/>
      <c r="G555" s="3">
        <v>211</v>
      </c>
      <c r="H555" s="3" t="s">
        <v>5</v>
      </c>
      <c r="I555" s="3" t="s">
        <v>3770</v>
      </c>
      <c r="J555" s="3" t="s">
        <v>11</v>
      </c>
      <c r="K555" s="27" t="s">
        <v>12</v>
      </c>
    </row>
    <row r="556" ht="18.6" customHeight="1" spans="1:11">
      <c r="A556" s="3">
        <v>555</v>
      </c>
      <c r="B556" s="3" t="s">
        <v>754</v>
      </c>
      <c r="C556" s="3" t="s">
        <v>3550</v>
      </c>
      <c r="D556" s="3" t="s">
        <v>746</v>
      </c>
      <c r="E556" s="3" t="s">
        <v>747</v>
      </c>
      <c r="F556" s="3"/>
      <c r="G556" s="3"/>
      <c r="H556" s="3"/>
      <c r="I556" s="3" t="s">
        <v>3770</v>
      </c>
      <c r="J556" s="3" t="s">
        <v>11</v>
      </c>
      <c r="K556" s="27" t="s">
        <v>12</v>
      </c>
    </row>
    <row r="557" ht="18.6" customHeight="1" spans="1:11">
      <c r="A557" s="3">
        <v>556</v>
      </c>
      <c r="B557" s="3" t="s">
        <v>755</v>
      </c>
      <c r="C557" s="3" t="s">
        <v>3550</v>
      </c>
      <c r="D557" s="3" t="s">
        <v>746</v>
      </c>
      <c r="E557" s="3" t="s">
        <v>747</v>
      </c>
      <c r="F557" s="3"/>
      <c r="G557" s="3"/>
      <c r="H557" s="3"/>
      <c r="I557" s="3"/>
      <c r="J557" s="3" t="s">
        <v>11</v>
      </c>
      <c r="K557" s="27" t="s">
        <v>12</v>
      </c>
    </row>
    <row r="558" ht="18.6" customHeight="1" spans="1:11">
      <c r="A558" s="3">
        <v>557</v>
      </c>
      <c r="B558" s="3" t="s">
        <v>756</v>
      </c>
      <c r="C558" s="3" t="s">
        <v>3309</v>
      </c>
      <c r="D558" s="3" t="s">
        <v>746</v>
      </c>
      <c r="E558" s="3" t="s">
        <v>747</v>
      </c>
      <c r="F558" s="3"/>
      <c r="G558" s="3">
        <v>211</v>
      </c>
      <c r="H558" s="3" t="s">
        <v>5</v>
      </c>
      <c r="I558" s="3" t="s">
        <v>3770</v>
      </c>
      <c r="J558" s="3" t="s">
        <v>11</v>
      </c>
      <c r="K558" s="27" t="s">
        <v>12</v>
      </c>
    </row>
    <row r="559" ht="18.6" customHeight="1" spans="1:11">
      <c r="A559" s="3">
        <v>558</v>
      </c>
      <c r="B559" s="3" t="s">
        <v>757</v>
      </c>
      <c r="C559" s="3" t="s">
        <v>3550</v>
      </c>
      <c r="D559" s="3" t="s">
        <v>746</v>
      </c>
      <c r="E559" s="3" t="s">
        <v>747</v>
      </c>
      <c r="F559" s="3"/>
      <c r="G559" s="3"/>
      <c r="H559" s="3"/>
      <c r="I559" s="3" t="s">
        <v>3770</v>
      </c>
      <c r="J559" s="3" t="s">
        <v>11</v>
      </c>
      <c r="K559" s="27" t="s">
        <v>12</v>
      </c>
    </row>
    <row r="560" ht="18.6" customHeight="1" spans="1:11">
      <c r="A560" s="3">
        <v>559</v>
      </c>
      <c r="B560" s="3" t="s">
        <v>758</v>
      </c>
      <c r="C560" s="3" t="s">
        <v>3309</v>
      </c>
      <c r="D560" s="3" t="s">
        <v>746</v>
      </c>
      <c r="E560" s="3" t="s">
        <v>747</v>
      </c>
      <c r="F560" s="3"/>
      <c r="G560" s="3">
        <v>211</v>
      </c>
      <c r="H560" s="3" t="s">
        <v>5</v>
      </c>
      <c r="I560" s="3" t="s">
        <v>3773</v>
      </c>
      <c r="J560" s="3" t="s">
        <v>11</v>
      </c>
      <c r="K560" s="27" t="s">
        <v>12</v>
      </c>
    </row>
    <row r="561" ht="18.6" customHeight="1" spans="1:11">
      <c r="A561" s="3">
        <v>560</v>
      </c>
      <c r="B561" s="3" t="s">
        <v>759</v>
      </c>
      <c r="C561" s="3" t="s">
        <v>3550</v>
      </c>
      <c r="D561" s="3" t="s">
        <v>746</v>
      </c>
      <c r="E561" s="3" t="s">
        <v>747</v>
      </c>
      <c r="F561" s="3"/>
      <c r="G561" s="3"/>
      <c r="H561" s="3"/>
      <c r="I561" s="3" t="s">
        <v>3775</v>
      </c>
      <c r="J561" s="3" t="s">
        <v>11</v>
      </c>
      <c r="K561" s="27" t="s">
        <v>12</v>
      </c>
    </row>
    <row r="562" ht="18.6" customHeight="1" spans="1:11">
      <c r="A562" s="3">
        <v>561</v>
      </c>
      <c r="B562" s="3" t="s">
        <v>760</v>
      </c>
      <c r="C562" s="3" t="s">
        <v>3309</v>
      </c>
      <c r="D562" s="3" t="s">
        <v>746</v>
      </c>
      <c r="E562" s="3" t="s">
        <v>747</v>
      </c>
      <c r="F562" s="3"/>
      <c r="G562" s="3">
        <v>211</v>
      </c>
      <c r="H562" s="3" t="s">
        <v>5</v>
      </c>
      <c r="I562" s="3" t="s">
        <v>3776</v>
      </c>
      <c r="J562" s="3" t="s">
        <v>11</v>
      </c>
      <c r="K562" s="27" t="s">
        <v>12</v>
      </c>
    </row>
    <row r="563" ht="18.6" customHeight="1" spans="1:11">
      <c r="A563" s="3">
        <v>562</v>
      </c>
      <c r="B563" s="3" t="s">
        <v>761</v>
      </c>
      <c r="C563" s="3" t="s">
        <v>3550</v>
      </c>
      <c r="D563" s="3" t="s">
        <v>746</v>
      </c>
      <c r="E563" s="3" t="s">
        <v>747</v>
      </c>
      <c r="F563" s="3"/>
      <c r="G563" s="3"/>
      <c r="H563" s="3"/>
      <c r="I563" s="3" t="s">
        <v>3769</v>
      </c>
      <c r="J563" s="3" t="s">
        <v>11</v>
      </c>
      <c r="K563" s="27" t="s">
        <v>12</v>
      </c>
    </row>
    <row r="564" ht="18.6" customHeight="1" spans="1:11">
      <c r="A564" s="3">
        <v>563</v>
      </c>
      <c r="B564" s="3" t="s">
        <v>762</v>
      </c>
      <c r="C564" s="3" t="s">
        <v>3550</v>
      </c>
      <c r="D564" s="3" t="s">
        <v>746</v>
      </c>
      <c r="E564" s="3" t="s">
        <v>763</v>
      </c>
      <c r="F564" s="3"/>
      <c r="G564" s="3"/>
      <c r="H564" s="3"/>
      <c r="I564" s="3"/>
      <c r="J564" s="3" t="s">
        <v>11</v>
      </c>
      <c r="K564" s="27" t="s">
        <v>12</v>
      </c>
    </row>
    <row r="565" ht="18.6" customHeight="1" spans="1:11">
      <c r="A565" s="3">
        <v>564</v>
      </c>
      <c r="B565" s="3" t="s">
        <v>764</v>
      </c>
      <c r="C565" s="3" t="s">
        <v>3550</v>
      </c>
      <c r="D565" s="3" t="s">
        <v>746</v>
      </c>
      <c r="E565" s="3" t="s">
        <v>765</v>
      </c>
      <c r="F565" s="3"/>
      <c r="G565" s="3"/>
      <c r="H565" s="3"/>
      <c r="I565" s="3"/>
      <c r="J565" s="3" t="s">
        <v>11</v>
      </c>
      <c r="K565" s="27" t="s">
        <v>12</v>
      </c>
    </row>
    <row r="566" ht="18.6" customHeight="1" spans="1:11">
      <c r="A566" s="3">
        <v>565</v>
      </c>
      <c r="B566" s="3" t="s">
        <v>766</v>
      </c>
      <c r="C566" s="3" t="s">
        <v>3550</v>
      </c>
      <c r="D566" s="3" t="s">
        <v>746</v>
      </c>
      <c r="E566" s="3" t="s">
        <v>767</v>
      </c>
      <c r="F566" s="3"/>
      <c r="G566" s="3"/>
      <c r="H566" s="3"/>
      <c r="I566" s="3"/>
      <c r="J566" s="3" t="s">
        <v>11</v>
      </c>
      <c r="K566" s="27" t="s">
        <v>12</v>
      </c>
    </row>
    <row r="567" ht="18.6" customHeight="1" spans="1:11">
      <c r="A567" s="3">
        <v>566</v>
      </c>
      <c r="B567" s="3" t="s">
        <v>768</v>
      </c>
      <c r="C567" s="3" t="s">
        <v>3550</v>
      </c>
      <c r="D567" s="3" t="s">
        <v>746</v>
      </c>
      <c r="E567" s="3" t="s">
        <v>769</v>
      </c>
      <c r="F567" s="3"/>
      <c r="G567" s="3"/>
      <c r="H567" s="3"/>
      <c r="I567" s="3"/>
      <c r="J567" s="3" t="s">
        <v>11</v>
      </c>
      <c r="K567" s="27" t="s">
        <v>12</v>
      </c>
    </row>
    <row r="568" ht="18.6" customHeight="1" spans="1:11">
      <c r="A568" s="3">
        <v>567</v>
      </c>
      <c r="B568" s="3" t="s">
        <v>770</v>
      </c>
      <c r="C568" s="3" t="s">
        <v>3550</v>
      </c>
      <c r="D568" s="3" t="s">
        <v>746</v>
      </c>
      <c r="E568" s="3" t="s">
        <v>771</v>
      </c>
      <c r="F568" s="3"/>
      <c r="G568" s="3"/>
      <c r="H568" s="3"/>
      <c r="I568" s="3"/>
      <c r="J568" s="3" t="s">
        <v>11</v>
      </c>
      <c r="K568" s="27" t="s">
        <v>12</v>
      </c>
    </row>
    <row r="569" ht="18.6" customHeight="1" spans="1:11">
      <c r="A569" s="3">
        <v>568</v>
      </c>
      <c r="B569" s="3" t="s">
        <v>772</v>
      </c>
      <c r="C569" s="3" t="s">
        <v>3309</v>
      </c>
      <c r="D569" s="3" t="s">
        <v>746</v>
      </c>
      <c r="E569" s="3" t="s">
        <v>747</v>
      </c>
      <c r="F569" s="3"/>
      <c r="G569" s="3">
        <v>211</v>
      </c>
      <c r="H569" s="3" t="s">
        <v>5</v>
      </c>
      <c r="I569" s="3" t="s">
        <v>3771</v>
      </c>
      <c r="J569" s="3" t="s">
        <v>11</v>
      </c>
      <c r="K569" s="27" t="s">
        <v>12</v>
      </c>
    </row>
    <row r="570" ht="18.6" customHeight="1" spans="1:11">
      <c r="A570" s="3">
        <v>569</v>
      </c>
      <c r="B570" s="3" t="s">
        <v>773</v>
      </c>
      <c r="C570" s="3" t="s">
        <v>3550</v>
      </c>
      <c r="D570" s="3" t="s">
        <v>746</v>
      </c>
      <c r="E570" s="3" t="s">
        <v>747</v>
      </c>
      <c r="F570" s="3"/>
      <c r="G570" s="3"/>
      <c r="H570" s="3"/>
      <c r="I570" s="3"/>
      <c r="J570" s="3" t="s">
        <v>11</v>
      </c>
      <c r="K570" s="27" t="s">
        <v>12</v>
      </c>
    </row>
    <row r="571" ht="18.6" customHeight="1" spans="1:11">
      <c r="A571" s="3">
        <v>570</v>
      </c>
      <c r="B571" s="3" t="s">
        <v>774</v>
      </c>
      <c r="C571" s="3" t="s">
        <v>3550</v>
      </c>
      <c r="D571" s="3" t="s">
        <v>746</v>
      </c>
      <c r="E571" s="3" t="s">
        <v>747</v>
      </c>
      <c r="F571" s="3"/>
      <c r="G571" s="3"/>
      <c r="H571" s="3"/>
      <c r="I571" s="3"/>
      <c r="J571" s="3" t="s">
        <v>11</v>
      </c>
      <c r="K571" s="27" t="s">
        <v>12</v>
      </c>
    </row>
    <row r="572" ht="18.6" customHeight="1" spans="1:11">
      <c r="A572" s="3">
        <v>571</v>
      </c>
      <c r="B572" s="3" t="s">
        <v>775</v>
      </c>
      <c r="C572" s="3" t="s">
        <v>3318</v>
      </c>
      <c r="D572" s="3" t="s">
        <v>746</v>
      </c>
      <c r="E572" s="3" t="s">
        <v>747</v>
      </c>
      <c r="F572" s="3"/>
      <c r="G572" s="3"/>
      <c r="H572" s="3"/>
      <c r="I572" s="3" t="s">
        <v>3780</v>
      </c>
      <c r="J572" s="3" t="s">
        <v>11</v>
      </c>
      <c r="K572" s="27" t="s">
        <v>12</v>
      </c>
    </row>
    <row r="573" ht="18.6" customHeight="1" spans="1:11">
      <c r="A573" s="3">
        <v>572</v>
      </c>
      <c r="B573" s="3" t="s">
        <v>776</v>
      </c>
      <c r="C573" s="3" t="s">
        <v>3550</v>
      </c>
      <c r="D573" s="3" t="s">
        <v>746</v>
      </c>
      <c r="E573" s="3" t="s">
        <v>769</v>
      </c>
      <c r="F573" s="3"/>
      <c r="G573" s="3"/>
      <c r="H573" s="3"/>
      <c r="I573" s="3"/>
      <c r="J573" s="3" t="s">
        <v>11</v>
      </c>
      <c r="K573" s="27" t="s">
        <v>12</v>
      </c>
    </row>
    <row r="574" ht="18.6" customHeight="1" spans="1:11">
      <c r="A574" s="3">
        <v>573</v>
      </c>
      <c r="B574" s="3" t="s">
        <v>777</v>
      </c>
      <c r="C574" s="3" t="s">
        <v>3550</v>
      </c>
      <c r="D574" s="3" t="s">
        <v>746</v>
      </c>
      <c r="E574" s="3" t="s">
        <v>778</v>
      </c>
      <c r="F574" s="3"/>
      <c r="G574" s="3"/>
      <c r="H574" s="3"/>
      <c r="I574" s="3"/>
      <c r="J574" s="3" t="s">
        <v>11</v>
      </c>
      <c r="K574" s="27" t="s">
        <v>12</v>
      </c>
    </row>
    <row r="575" ht="18.6" customHeight="1" spans="1:11">
      <c r="A575" s="3">
        <v>574</v>
      </c>
      <c r="B575" s="3" t="s">
        <v>779</v>
      </c>
      <c r="C575" s="3" t="s">
        <v>3550</v>
      </c>
      <c r="D575" s="3" t="s">
        <v>746</v>
      </c>
      <c r="E575" s="3" t="s">
        <v>763</v>
      </c>
      <c r="F575" s="3"/>
      <c r="G575" s="3"/>
      <c r="H575" s="3"/>
      <c r="I575" s="3"/>
      <c r="J575" s="3" t="s">
        <v>11</v>
      </c>
      <c r="K575" s="27" t="s">
        <v>12</v>
      </c>
    </row>
    <row r="576" ht="18.6" customHeight="1" spans="1:11">
      <c r="A576" s="3">
        <v>575</v>
      </c>
      <c r="B576" s="3" t="s">
        <v>780</v>
      </c>
      <c r="C576" s="3" t="s">
        <v>3550</v>
      </c>
      <c r="D576" s="3" t="s">
        <v>746</v>
      </c>
      <c r="E576" s="3" t="s">
        <v>781</v>
      </c>
      <c r="F576" s="3"/>
      <c r="G576" s="3"/>
      <c r="H576" s="3"/>
      <c r="I576" s="3"/>
      <c r="J576" s="3" t="s">
        <v>11</v>
      </c>
      <c r="K576" s="27" t="s">
        <v>12</v>
      </c>
    </row>
    <row r="577" ht="18.6" customHeight="1" spans="1:11">
      <c r="A577" s="3">
        <v>576</v>
      </c>
      <c r="B577" s="3" t="s">
        <v>782</v>
      </c>
      <c r="C577" s="3" t="s">
        <v>3550</v>
      </c>
      <c r="D577" s="3" t="s">
        <v>746</v>
      </c>
      <c r="E577" s="3" t="s">
        <v>769</v>
      </c>
      <c r="F577" s="3"/>
      <c r="G577" s="3"/>
      <c r="H577" s="3"/>
      <c r="I577" s="3"/>
      <c r="J577" s="3" t="s">
        <v>11</v>
      </c>
      <c r="K577" s="27" t="s">
        <v>12</v>
      </c>
    </row>
    <row r="578" ht="18.6" customHeight="1" spans="1:11">
      <c r="A578" s="3">
        <v>577</v>
      </c>
      <c r="B578" s="3" t="s">
        <v>783</v>
      </c>
      <c r="C578" s="3" t="s">
        <v>3550</v>
      </c>
      <c r="D578" s="3" t="s">
        <v>746</v>
      </c>
      <c r="E578" s="3" t="s">
        <v>747</v>
      </c>
      <c r="F578" s="3"/>
      <c r="G578" s="3"/>
      <c r="H578" s="3"/>
      <c r="I578" s="3"/>
      <c r="J578" s="3" t="s">
        <v>11</v>
      </c>
      <c r="K578" s="27" t="s">
        <v>12</v>
      </c>
    </row>
    <row r="579" ht="18.6" customHeight="1" spans="1:11">
      <c r="A579" s="3">
        <v>578</v>
      </c>
      <c r="B579" s="3" t="s">
        <v>784</v>
      </c>
      <c r="C579" s="3" t="s">
        <v>3550</v>
      </c>
      <c r="D579" s="3" t="s">
        <v>746</v>
      </c>
      <c r="E579" s="3" t="s">
        <v>785</v>
      </c>
      <c r="F579" s="3"/>
      <c r="G579" s="3"/>
      <c r="H579" s="3"/>
      <c r="I579" s="3" t="s">
        <v>3769</v>
      </c>
      <c r="J579" s="3" t="s">
        <v>11</v>
      </c>
      <c r="K579" s="27" t="s">
        <v>12</v>
      </c>
    </row>
    <row r="580" ht="18.6" customHeight="1" spans="1:11">
      <c r="A580" s="3">
        <v>579</v>
      </c>
      <c r="B580" s="3" t="s">
        <v>786</v>
      </c>
      <c r="C580" s="3" t="s">
        <v>3550</v>
      </c>
      <c r="D580" s="3" t="s">
        <v>746</v>
      </c>
      <c r="E580" s="3" t="s">
        <v>747</v>
      </c>
      <c r="F580" s="3"/>
      <c r="G580" s="3"/>
      <c r="H580" s="3"/>
      <c r="I580" s="3"/>
      <c r="J580" s="3" t="s">
        <v>11</v>
      </c>
      <c r="K580" s="27" t="s">
        <v>12</v>
      </c>
    </row>
    <row r="581" ht="18.6" customHeight="1" spans="1:11">
      <c r="A581" s="3">
        <v>580</v>
      </c>
      <c r="B581" s="3" t="s">
        <v>787</v>
      </c>
      <c r="C581" s="3" t="s">
        <v>3550</v>
      </c>
      <c r="D581" s="3" t="s">
        <v>746</v>
      </c>
      <c r="E581" s="3" t="s">
        <v>788</v>
      </c>
      <c r="F581" s="3"/>
      <c r="G581" s="3"/>
      <c r="H581" s="3"/>
      <c r="I581" s="3"/>
      <c r="J581" s="3" t="s">
        <v>11</v>
      </c>
      <c r="K581" s="27" t="s">
        <v>12</v>
      </c>
    </row>
    <row r="582" ht="18.6" customHeight="1" spans="1:11">
      <c r="A582" s="3">
        <v>581</v>
      </c>
      <c r="B582" s="3" t="s">
        <v>789</v>
      </c>
      <c r="C582" s="3" t="s">
        <v>3550</v>
      </c>
      <c r="D582" s="3" t="s">
        <v>746</v>
      </c>
      <c r="E582" s="3" t="s">
        <v>747</v>
      </c>
      <c r="F582" s="3"/>
      <c r="G582" s="3"/>
      <c r="H582" s="3"/>
      <c r="I582" s="3"/>
      <c r="J582" s="3" t="s">
        <v>11</v>
      </c>
      <c r="K582" s="27" t="s">
        <v>12</v>
      </c>
    </row>
    <row r="583" ht="18.6" customHeight="1" spans="1:11">
      <c r="A583" s="3">
        <v>582</v>
      </c>
      <c r="B583" s="3" t="s">
        <v>790</v>
      </c>
      <c r="C583" s="3" t="s">
        <v>3550</v>
      </c>
      <c r="D583" s="3" t="s">
        <v>746</v>
      </c>
      <c r="E583" s="3" t="s">
        <v>747</v>
      </c>
      <c r="F583" s="3"/>
      <c r="G583" s="3"/>
      <c r="H583" s="3"/>
      <c r="I583" s="3"/>
      <c r="J583" s="3" t="s">
        <v>11</v>
      </c>
      <c r="K583" s="27" t="s">
        <v>12</v>
      </c>
    </row>
    <row r="584" ht="18.6" customHeight="1" spans="1:11">
      <c r="A584" s="3">
        <v>583</v>
      </c>
      <c r="B584" s="3" t="s">
        <v>791</v>
      </c>
      <c r="C584" s="3" t="s">
        <v>3550</v>
      </c>
      <c r="D584" s="3" t="s">
        <v>746</v>
      </c>
      <c r="E584" s="3" t="s">
        <v>747</v>
      </c>
      <c r="F584" s="3"/>
      <c r="G584" s="3"/>
      <c r="H584" s="3"/>
      <c r="I584" s="3"/>
      <c r="J584" s="3" t="s">
        <v>11</v>
      </c>
      <c r="K584" s="27" t="s">
        <v>12</v>
      </c>
    </row>
    <row r="585" ht="18.6" customHeight="1" spans="1:11">
      <c r="A585" s="3">
        <v>584</v>
      </c>
      <c r="B585" s="3" t="s">
        <v>792</v>
      </c>
      <c r="C585" s="3" t="s">
        <v>3550</v>
      </c>
      <c r="D585" s="3" t="s">
        <v>746</v>
      </c>
      <c r="E585" s="3" t="s">
        <v>747</v>
      </c>
      <c r="F585" s="3"/>
      <c r="G585" s="3"/>
      <c r="H585" s="3"/>
      <c r="I585" s="3"/>
      <c r="J585" s="3" t="s">
        <v>11</v>
      </c>
      <c r="K585" s="27" t="s">
        <v>12</v>
      </c>
    </row>
    <row r="586" ht="18.6" customHeight="1" spans="1:11">
      <c r="A586" s="3">
        <v>585</v>
      </c>
      <c r="B586" s="3" t="s">
        <v>796</v>
      </c>
      <c r="C586" s="3" t="s">
        <v>3569</v>
      </c>
      <c r="D586" s="3" t="s">
        <v>797</v>
      </c>
      <c r="E586" s="3" t="s">
        <v>798</v>
      </c>
      <c r="F586" s="3"/>
      <c r="G586" s="3"/>
      <c r="H586" s="3" t="s">
        <v>3774</v>
      </c>
      <c r="I586" s="3" t="s">
        <v>3769</v>
      </c>
      <c r="J586" s="3" t="s">
        <v>11</v>
      </c>
      <c r="K586" s="27" t="s">
        <v>12</v>
      </c>
    </row>
    <row r="587" ht="18.6" customHeight="1" spans="1:11">
      <c r="A587" s="3">
        <v>586</v>
      </c>
      <c r="B587" s="3" t="s">
        <v>799</v>
      </c>
      <c r="C587" s="3" t="s">
        <v>3569</v>
      </c>
      <c r="D587" s="3" t="s">
        <v>797</v>
      </c>
      <c r="E587" s="3" t="s">
        <v>800</v>
      </c>
      <c r="F587" s="3"/>
      <c r="G587" s="3"/>
      <c r="H587" s="3"/>
      <c r="I587" s="3" t="s">
        <v>3769</v>
      </c>
      <c r="J587" s="3" t="s">
        <v>11</v>
      </c>
      <c r="K587" s="27" t="s">
        <v>12</v>
      </c>
    </row>
    <row r="588" ht="18.6" customHeight="1" spans="1:11">
      <c r="A588" s="3">
        <v>587</v>
      </c>
      <c r="B588" s="3" t="s">
        <v>801</v>
      </c>
      <c r="C588" s="3" t="s">
        <v>3309</v>
      </c>
      <c r="D588" s="3" t="s">
        <v>797</v>
      </c>
      <c r="E588" s="3" t="s">
        <v>802</v>
      </c>
      <c r="F588" s="3">
        <v>985</v>
      </c>
      <c r="G588" s="3">
        <v>211</v>
      </c>
      <c r="H588" s="3" t="s">
        <v>5</v>
      </c>
      <c r="I588" s="3" t="s">
        <v>3769</v>
      </c>
      <c r="J588" s="3" t="s">
        <v>11</v>
      </c>
      <c r="K588" s="27" t="s">
        <v>12</v>
      </c>
    </row>
    <row r="589" ht="18.6" customHeight="1" spans="1:11">
      <c r="A589" s="3">
        <v>588</v>
      </c>
      <c r="B589" s="3" t="s">
        <v>803</v>
      </c>
      <c r="C589" s="3" t="s">
        <v>3309</v>
      </c>
      <c r="D589" s="3" t="s">
        <v>797</v>
      </c>
      <c r="E589" s="3" t="s">
        <v>802</v>
      </c>
      <c r="F589" s="3">
        <v>985</v>
      </c>
      <c r="G589" s="3">
        <v>211</v>
      </c>
      <c r="H589" s="3" t="s">
        <v>5</v>
      </c>
      <c r="I589" s="3" t="s">
        <v>3769</v>
      </c>
      <c r="J589" s="3" t="s">
        <v>11</v>
      </c>
      <c r="K589" s="27" t="s">
        <v>12</v>
      </c>
    </row>
    <row r="590" ht="18.6" customHeight="1" spans="1:11">
      <c r="A590" s="3">
        <v>589</v>
      </c>
      <c r="B590" s="3" t="s">
        <v>804</v>
      </c>
      <c r="C590" s="3" t="s">
        <v>3569</v>
      </c>
      <c r="D590" s="3" t="s">
        <v>797</v>
      </c>
      <c r="E590" s="3" t="s">
        <v>798</v>
      </c>
      <c r="F590" s="3"/>
      <c r="G590" s="3"/>
      <c r="H590" s="3"/>
      <c r="I590" s="3" t="s">
        <v>3769</v>
      </c>
      <c r="J590" s="3" t="s">
        <v>11</v>
      </c>
      <c r="K590" s="27" t="s">
        <v>12</v>
      </c>
    </row>
    <row r="591" ht="18.6" customHeight="1" spans="1:11">
      <c r="A591" s="3">
        <v>590</v>
      </c>
      <c r="B591" s="3" t="s">
        <v>805</v>
      </c>
      <c r="C591" s="3" t="s">
        <v>3569</v>
      </c>
      <c r="D591" s="3" t="s">
        <v>797</v>
      </c>
      <c r="E591" s="3" t="s">
        <v>802</v>
      </c>
      <c r="F591" s="3"/>
      <c r="G591" s="3"/>
      <c r="H591" s="3"/>
      <c r="I591" s="3" t="s">
        <v>3770</v>
      </c>
      <c r="J591" s="3" t="s">
        <v>11</v>
      </c>
      <c r="K591" s="27" t="s">
        <v>12</v>
      </c>
    </row>
    <row r="592" ht="18.6" customHeight="1" spans="1:11">
      <c r="A592" s="3">
        <v>591</v>
      </c>
      <c r="B592" s="3" t="s">
        <v>806</v>
      </c>
      <c r="C592" s="3" t="s">
        <v>3569</v>
      </c>
      <c r="D592" s="3" t="s">
        <v>797</v>
      </c>
      <c r="E592" s="3" t="s">
        <v>802</v>
      </c>
      <c r="F592" s="3"/>
      <c r="G592" s="3"/>
      <c r="H592" s="3"/>
      <c r="I592" s="3" t="s">
        <v>3773</v>
      </c>
      <c r="J592" s="3" t="s">
        <v>11</v>
      </c>
      <c r="K592" s="27" t="s">
        <v>12</v>
      </c>
    </row>
    <row r="593" ht="18.6" customHeight="1" spans="1:11">
      <c r="A593" s="3">
        <v>592</v>
      </c>
      <c r="B593" s="3" t="s">
        <v>807</v>
      </c>
      <c r="C593" s="3" t="s">
        <v>3569</v>
      </c>
      <c r="D593" s="3" t="s">
        <v>797</v>
      </c>
      <c r="E593" s="3" t="s">
        <v>802</v>
      </c>
      <c r="F593" s="3"/>
      <c r="G593" s="3"/>
      <c r="H593" s="3"/>
      <c r="I593" s="3" t="s">
        <v>3773</v>
      </c>
      <c r="J593" s="3" t="s">
        <v>11</v>
      </c>
      <c r="K593" s="27" t="s">
        <v>12</v>
      </c>
    </row>
    <row r="594" ht="18.6" customHeight="1" spans="1:11">
      <c r="A594" s="3">
        <v>593</v>
      </c>
      <c r="B594" s="3" t="s">
        <v>808</v>
      </c>
      <c r="C594" s="3" t="s">
        <v>3569</v>
      </c>
      <c r="D594" s="3" t="s">
        <v>797</v>
      </c>
      <c r="E594" s="3" t="s">
        <v>802</v>
      </c>
      <c r="F594" s="3"/>
      <c r="G594" s="3"/>
      <c r="H594" s="3"/>
      <c r="I594" s="3" t="s">
        <v>3775</v>
      </c>
      <c r="J594" s="3" t="s">
        <v>11</v>
      </c>
      <c r="K594" s="27" t="s">
        <v>12</v>
      </c>
    </row>
    <row r="595" ht="18.6" customHeight="1" spans="1:11">
      <c r="A595" s="3">
        <v>594</v>
      </c>
      <c r="B595" s="3" t="s">
        <v>809</v>
      </c>
      <c r="C595" s="3" t="s">
        <v>3569</v>
      </c>
      <c r="D595" s="3" t="s">
        <v>797</v>
      </c>
      <c r="E595" s="3" t="s">
        <v>802</v>
      </c>
      <c r="F595" s="3"/>
      <c r="G595" s="3">
        <v>211</v>
      </c>
      <c r="H595" s="3" t="s">
        <v>5</v>
      </c>
      <c r="I595" s="3" t="s">
        <v>3776</v>
      </c>
      <c r="J595" s="3" t="s">
        <v>11</v>
      </c>
      <c r="K595" s="27" t="s">
        <v>12</v>
      </c>
    </row>
    <row r="596" ht="18.6" customHeight="1" spans="1:11">
      <c r="A596" s="3">
        <v>595</v>
      </c>
      <c r="B596" s="3" t="s">
        <v>3573</v>
      </c>
      <c r="C596" s="3" t="s">
        <v>3569</v>
      </c>
      <c r="D596" s="3" t="s">
        <v>797</v>
      </c>
      <c r="E596" s="3" t="s">
        <v>811</v>
      </c>
      <c r="F596" s="3"/>
      <c r="G596" s="3"/>
      <c r="H596" s="3"/>
      <c r="I596" s="3"/>
      <c r="J596" s="3" t="s">
        <v>11</v>
      </c>
      <c r="K596" s="27" t="s">
        <v>12</v>
      </c>
    </row>
    <row r="597" ht="18.6" customHeight="1" spans="1:11">
      <c r="A597" s="3">
        <v>596</v>
      </c>
      <c r="B597" s="3" t="s">
        <v>812</v>
      </c>
      <c r="C597" s="3" t="s">
        <v>3569</v>
      </c>
      <c r="D597" s="3" t="s">
        <v>797</v>
      </c>
      <c r="E597" s="3" t="s">
        <v>813</v>
      </c>
      <c r="F597" s="3"/>
      <c r="G597" s="3"/>
      <c r="H597" s="3"/>
      <c r="I597" s="3"/>
      <c r="J597" s="3" t="s">
        <v>11</v>
      </c>
      <c r="K597" s="27" t="s">
        <v>12</v>
      </c>
    </row>
    <row r="598" ht="18.6" customHeight="1" spans="1:11">
      <c r="A598" s="3">
        <v>597</v>
      </c>
      <c r="B598" s="3" t="s">
        <v>814</v>
      </c>
      <c r="C598" s="3" t="s">
        <v>3569</v>
      </c>
      <c r="D598" s="3" t="s">
        <v>797</v>
      </c>
      <c r="E598" s="3" t="s">
        <v>815</v>
      </c>
      <c r="F598" s="3"/>
      <c r="G598" s="3"/>
      <c r="H598" s="3"/>
      <c r="I598" s="3"/>
      <c r="J598" s="3" t="s">
        <v>11</v>
      </c>
      <c r="K598" s="27" t="s">
        <v>12</v>
      </c>
    </row>
    <row r="599" ht="18.6" customHeight="1" spans="1:11">
      <c r="A599" s="3">
        <v>598</v>
      </c>
      <c r="B599" s="3" t="s">
        <v>816</v>
      </c>
      <c r="C599" s="3" t="s">
        <v>3569</v>
      </c>
      <c r="D599" s="3" t="s">
        <v>797</v>
      </c>
      <c r="E599" s="3" t="s">
        <v>817</v>
      </c>
      <c r="F599" s="3"/>
      <c r="G599" s="3"/>
      <c r="H599" s="3"/>
      <c r="I599" s="3"/>
      <c r="J599" s="3" t="s">
        <v>11</v>
      </c>
      <c r="K599" s="27" t="s">
        <v>12</v>
      </c>
    </row>
    <row r="600" ht="18.6" customHeight="1" spans="1:11">
      <c r="A600" s="3">
        <v>599</v>
      </c>
      <c r="B600" s="3" t="s">
        <v>818</v>
      </c>
      <c r="C600" s="3" t="s">
        <v>3569</v>
      </c>
      <c r="D600" s="3" t="s">
        <v>797</v>
      </c>
      <c r="E600" s="3" t="s">
        <v>819</v>
      </c>
      <c r="F600" s="3"/>
      <c r="G600" s="3"/>
      <c r="H600" s="3"/>
      <c r="I600" s="3"/>
      <c r="J600" s="3" t="s">
        <v>11</v>
      </c>
      <c r="K600" s="27" t="s">
        <v>12</v>
      </c>
    </row>
    <row r="601" ht="18.6" customHeight="1" spans="1:11">
      <c r="A601" s="3">
        <v>600</v>
      </c>
      <c r="B601" s="3" t="s">
        <v>820</v>
      </c>
      <c r="C601" s="3" t="s">
        <v>3569</v>
      </c>
      <c r="D601" s="3" t="s">
        <v>797</v>
      </c>
      <c r="E601" s="3" t="s">
        <v>821</v>
      </c>
      <c r="F601" s="3"/>
      <c r="G601" s="3"/>
      <c r="H601" s="3"/>
      <c r="I601" s="3"/>
      <c r="J601" s="3" t="s">
        <v>11</v>
      </c>
      <c r="K601" s="27" t="s">
        <v>12</v>
      </c>
    </row>
    <row r="602" ht="18.6" customHeight="1" spans="1:11">
      <c r="A602" s="3">
        <v>601</v>
      </c>
      <c r="B602" s="3" t="s">
        <v>822</v>
      </c>
      <c r="C602" s="3" t="s">
        <v>3569</v>
      </c>
      <c r="D602" s="3" t="s">
        <v>797</v>
      </c>
      <c r="E602" s="3" t="s">
        <v>823</v>
      </c>
      <c r="F602" s="3"/>
      <c r="G602" s="3"/>
      <c r="H602" s="3"/>
      <c r="I602" s="3"/>
      <c r="J602" s="3" t="s">
        <v>11</v>
      </c>
      <c r="K602" s="27" t="s">
        <v>12</v>
      </c>
    </row>
    <row r="603" ht="18.6" customHeight="1" spans="1:11">
      <c r="A603" s="3">
        <v>602</v>
      </c>
      <c r="B603" s="3" t="s">
        <v>824</v>
      </c>
      <c r="C603" s="3" t="s">
        <v>3569</v>
      </c>
      <c r="D603" s="3" t="s">
        <v>797</v>
      </c>
      <c r="E603" s="3" t="s">
        <v>825</v>
      </c>
      <c r="F603" s="3"/>
      <c r="G603" s="3"/>
      <c r="H603" s="3"/>
      <c r="I603" s="3"/>
      <c r="J603" s="3" t="s">
        <v>11</v>
      </c>
      <c r="K603" s="27" t="s">
        <v>12</v>
      </c>
    </row>
    <row r="604" ht="18.6" customHeight="1" spans="1:11">
      <c r="A604" s="3">
        <v>603</v>
      </c>
      <c r="B604" s="3" t="s">
        <v>826</v>
      </c>
      <c r="C604" s="3" t="s">
        <v>3569</v>
      </c>
      <c r="D604" s="3" t="s">
        <v>797</v>
      </c>
      <c r="E604" s="3" t="s">
        <v>802</v>
      </c>
      <c r="F604" s="3"/>
      <c r="G604" s="3"/>
      <c r="H604" s="3"/>
      <c r="I604" s="3"/>
      <c r="J604" s="3" t="s">
        <v>11</v>
      </c>
      <c r="K604" s="27" t="s">
        <v>12</v>
      </c>
    </row>
    <row r="605" ht="18.6" customHeight="1" spans="1:11">
      <c r="A605" s="3">
        <v>604</v>
      </c>
      <c r="B605" s="3" t="s">
        <v>827</v>
      </c>
      <c r="C605" s="3" t="s">
        <v>3569</v>
      </c>
      <c r="D605" s="3" t="s">
        <v>797</v>
      </c>
      <c r="E605" s="3" t="s">
        <v>815</v>
      </c>
      <c r="F605" s="3"/>
      <c r="G605" s="3"/>
      <c r="H605" s="3"/>
      <c r="I605" s="3" t="s">
        <v>3769</v>
      </c>
      <c r="J605" s="3" t="s">
        <v>11</v>
      </c>
      <c r="K605" s="27" t="s">
        <v>12</v>
      </c>
    </row>
    <row r="606" ht="18.6" customHeight="1" spans="1:11">
      <c r="A606" s="3">
        <v>605</v>
      </c>
      <c r="B606" s="3" t="s">
        <v>828</v>
      </c>
      <c r="C606" s="3" t="s">
        <v>3569</v>
      </c>
      <c r="D606" s="3" t="s">
        <v>797</v>
      </c>
      <c r="E606" s="3" t="s">
        <v>802</v>
      </c>
      <c r="F606" s="3"/>
      <c r="G606" s="3"/>
      <c r="H606" s="3"/>
      <c r="I606" s="3"/>
      <c r="J606" s="3" t="s">
        <v>11</v>
      </c>
      <c r="K606" s="27" t="s">
        <v>12</v>
      </c>
    </row>
    <row r="607" ht="18.6" customHeight="1" spans="1:11">
      <c r="A607" s="3">
        <v>606</v>
      </c>
      <c r="B607" s="3" t="s">
        <v>829</v>
      </c>
      <c r="C607" s="3" t="s">
        <v>3569</v>
      </c>
      <c r="D607" s="3" t="s">
        <v>797</v>
      </c>
      <c r="E607" s="3" t="s">
        <v>798</v>
      </c>
      <c r="F607" s="3"/>
      <c r="G607" s="3"/>
      <c r="H607" s="3"/>
      <c r="I607" s="3"/>
      <c r="J607" s="3" t="s">
        <v>11</v>
      </c>
      <c r="K607" s="27" t="s">
        <v>12</v>
      </c>
    </row>
    <row r="608" ht="18.6" customHeight="1" spans="1:11">
      <c r="A608" s="3">
        <v>607</v>
      </c>
      <c r="B608" s="3" t="s">
        <v>830</v>
      </c>
      <c r="C608" s="3" t="s">
        <v>3569</v>
      </c>
      <c r="D608" s="3" t="s">
        <v>797</v>
      </c>
      <c r="E608" s="3" t="s">
        <v>831</v>
      </c>
      <c r="F608" s="3"/>
      <c r="G608" s="3"/>
      <c r="H608" s="3"/>
      <c r="I608" s="3"/>
      <c r="J608" s="3" t="s">
        <v>11</v>
      </c>
      <c r="K608" s="27" t="s">
        <v>12</v>
      </c>
    </row>
    <row r="609" ht="18.6" customHeight="1" spans="1:11">
      <c r="A609" s="3">
        <v>608</v>
      </c>
      <c r="B609" s="3" t="s">
        <v>832</v>
      </c>
      <c r="C609" s="3" t="s">
        <v>3569</v>
      </c>
      <c r="D609" s="3" t="s">
        <v>797</v>
      </c>
      <c r="E609" s="3" t="s">
        <v>815</v>
      </c>
      <c r="F609" s="3"/>
      <c r="G609" s="3"/>
      <c r="H609" s="3"/>
      <c r="I609" s="3"/>
      <c r="J609" s="3" t="s">
        <v>11</v>
      </c>
      <c r="K609" s="27" t="s">
        <v>12</v>
      </c>
    </row>
    <row r="610" ht="18.6" customHeight="1" spans="1:11">
      <c r="A610" s="3">
        <v>609</v>
      </c>
      <c r="B610" s="3" t="s">
        <v>833</v>
      </c>
      <c r="C610" s="3" t="s">
        <v>3569</v>
      </c>
      <c r="D610" s="3" t="s">
        <v>797</v>
      </c>
      <c r="E610" s="3" t="s">
        <v>802</v>
      </c>
      <c r="F610" s="3"/>
      <c r="G610" s="3"/>
      <c r="H610" s="3"/>
      <c r="I610" s="3"/>
      <c r="J610" s="3" t="s">
        <v>11</v>
      </c>
      <c r="K610" s="27" t="s">
        <v>12</v>
      </c>
    </row>
    <row r="611" ht="18.6" customHeight="1" spans="1:11">
      <c r="A611" s="3">
        <v>610</v>
      </c>
      <c r="B611" s="3" t="s">
        <v>834</v>
      </c>
      <c r="C611" s="3" t="s">
        <v>3569</v>
      </c>
      <c r="D611" s="3" t="s">
        <v>797</v>
      </c>
      <c r="E611" s="3" t="s">
        <v>802</v>
      </c>
      <c r="F611" s="3"/>
      <c r="G611" s="3"/>
      <c r="H611" s="3"/>
      <c r="I611" s="3"/>
      <c r="J611" s="3" t="s">
        <v>11</v>
      </c>
      <c r="K611" s="27" t="s">
        <v>12</v>
      </c>
    </row>
    <row r="612" ht="18.6" customHeight="1" spans="1:11">
      <c r="A612" s="3">
        <v>611</v>
      </c>
      <c r="B612" s="3" t="s">
        <v>835</v>
      </c>
      <c r="C612" s="3" t="s">
        <v>3569</v>
      </c>
      <c r="D612" s="3" t="s">
        <v>797</v>
      </c>
      <c r="E612" s="3" t="s">
        <v>836</v>
      </c>
      <c r="F612" s="3"/>
      <c r="G612" s="3"/>
      <c r="H612" s="3"/>
      <c r="I612" s="3" t="s">
        <v>3770</v>
      </c>
      <c r="J612" s="3" t="s">
        <v>11</v>
      </c>
      <c r="K612" s="27" t="s">
        <v>12</v>
      </c>
    </row>
    <row r="613" ht="18.6" customHeight="1" spans="1:11">
      <c r="A613" s="3">
        <v>612</v>
      </c>
      <c r="B613" s="3" t="s">
        <v>837</v>
      </c>
      <c r="C613" s="3" t="s">
        <v>3569</v>
      </c>
      <c r="D613" s="3" t="s">
        <v>797</v>
      </c>
      <c r="E613" s="3" t="s">
        <v>802</v>
      </c>
      <c r="F613" s="3"/>
      <c r="G613" s="3"/>
      <c r="H613" s="3"/>
      <c r="I613" s="3"/>
      <c r="J613" s="3" t="s">
        <v>11</v>
      </c>
      <c r="K613" s="27" t="s">
        <v>12</v>
      </c>
    </row>
    <row r="614" ht="18.6" customHeight="1" spans="1:11">
      <c r="A614" s="3">
        <v>613</v>
      </c>
      <c r="B614" s="3" t="s">
        <v>838</v>
      </c>
      <c r="C614" s="3" t="s">
        <v>3569</v>
      </c>
      <c r="D614" s="3" t="s">
        <v>797</v>
      </c>
      <c r="E614" s="3" t="s">
        <v>802</v>
      </c>
      <c r="F614" s="3"/>
      <c r="G614" s="3"/>
      <c r="H614" s="3"/>
      <c r="I614" s="3"/>
      <c r="J614" s="3" t="s">
        <v>11</v>
      </c>
      <c r="K614" s="27" t="s">
        <v>12</v>
      </c>
    </row>
    <row r="615" ht="18.6" customHeight="1" spans="1:11">
      <c r="A615" s="3">
        <v>614</v>
      </c>
      <c r="B615" s="3" t="s">
        <v>839</v>
      </c>
      <c r="C615" s="3" t="s">
        <v>3569</v>
      </c>
      <c r="D615" s="3" t="s">
        <v>797</v>
      </c>
      <c r="E615" s="3" t="s">
        <v>819</v>
      </c>
      <c r="F615" s="3"/>
      <c r="G615" s="3"/>
      <c r="H615" s="3"/>
      <c r="I615" s="3"/>
      <c r="J615" s="3" t="s">
        <v>11</v>
      </c>
      <c r="K615" s="27" t="s">
        <v>12</v>
      </c>
    </row>
    <row r="616" ht="18.6" customHeight="1" spans="1:11">
      <c r="A616" s="3">
        <v>615</v>
      </c>
      <c r="B616" s="3" t="s">
        <v>840</v>
      </c>
      <c r="C616" s="3" t="s">
        <v>3569</v>
      </c>
      <c r="D616" s="3" t="s">
        <v>797</v>
      </c>
      <c r="E616" s="3" t="s">
        <v>802</v>
      </c>
      <c r="F616" s="3"/>
      <c r="G616" s="3"/>
      <c r="H616" s="3"/>
      <c r="I616" s="3"/>
      <c r="J616" s="3" t="s">
        <v>11</v>
      </c>
      <c r="K616" s="27" t="s">
        <v>12</v>
      </c>
    </row>
    <row r="617" ht="18.6" customHeight="1" spans="1:11">
      <c r="A617" s="3">
        <v>616</v>
      </c>
      <c r="B617" s="3" t="s">
        <v>841</v>
      </c>
      <c r="C617" s="3" t="s">
        <v>3569</v>
      </c>
      <c r="D617" s="3" t="s">
        <v>797</v>
      </c>
      <c r="E617" s="3" t="s">
        <v>802</v>
      </c>
      <c r="F617" s="3"/>
      <c r="G617" s="3"/>
      <c r="H617" s="3"/>
      <c r="I617" s="3"/>
      <c r="J617" s="3" t="s">
        <v>11</v>
      </c>
      <c r="K617" s="27" t="s">
        <v>12</v>
      </c>
    </row>
    <row r="618" ht="18.6" customHeight="1" spans="1:11">
      <c r="A618" s="3">
        <v>617</v>
      </c>
      <c r="B618" s="3" t="s">
        <v>842</v>
      </c>
      <c r="C618" s="3" t="s">
        <v>3569</v>
      </c>
      <c r="D618" s="3" t="s">
        <v>797</v>
      </c>
      <c r="E618" s="3" t="s">
        <v>836</v>
      </c>
      <c r="F618" s="3"/>
      <c r="G618" s="3"/>
      <c r="H618" s="3"/>
      <c r="I618" s="3"/>
      <c r="J618" s="3" t="s">
        <v>11</v>
      </c>
      <c r="K618" s="27" t="s">
        <v>12</v>
      </c>
    </row>
    <row r="619" ht="18.6" customHeight="1" spans="1:11">
      <c r="A619" s="3">
        <v>618</v>
      </c>
      <c r="B619" s="3" t="s">
        <v>843</v>
      </c>
      <c r="C619" s="3" t="s">
        <v>3309</v>
      </c>
      <c r="D619" s="3" t="s">
        <v>844</v>
      </c>
      <c r="E619" s="3" t="s">
        <v>845</v>
      </c>
      <c r="F619" s="3">
        <v>985</v>
      </c>
      <c r="G619" s="3">
        <v>211</v>
      </c>
      <c r="H619" s="3" t="s">
        <v>5</v>
      </c>
      <c r="I619" s="3" t="s">
        <v>3769</v>
      </c>
      <c r="J619" s="3" t="s">
        <v>11</v>
      </c>
      <c r="K619" s="27" t="s">
        <v>12</v>
      </c>
    </row>
    <row r="620" ht="18.6" customHeight="1" spans="1:11">
      <c r="A620" s="3">
        <v>619</v>
      </c>
      <c r="B620" s="3" t="s">
        <v>846</v>
      </c>
      <c r="C620" s="3" t="s">
        <v>3479</v>
      </c>
      <c r="D620" s="3" t="s">
        <v>844</v>
      </c>
      <c r="E620" s="3" t="s">
        <v>845</v>
      </c>
      <c r="F620" s="3"/>
      <c r="G620" s="3">
        <v>211</v>
      </c>
      <c r="H620" s="3" t="s">
        <v>5</v>
      </c>
      <c r="I620" s="3" t="s">
        <v>3769</v>
      </c>
      <c r="J620" s="3" t="s">
        <v>11</v>
      </c>
      <c r="K620" s="27" t="s">
        <v>12</v>
      </c>
    </row>
    <row r="621" ht="18.6" customHeight="1" spans="1:11">
      <c r="A621" s="3">
        <v>620</v>
      </c>
      <c r="B621" s="3" t="s">
        <v>847</v>
      </c>
      <c r="C621" s="3" t="s">
        <v>3588</v>
      </c>
      <c r="D621" s="3" t="s">
        <v>844</v>
      </c>
      <c r="E621" s="3" t="s">
        <v>848</v>
      </c>
      <c r="F621" s="3"/>
      <c r="G621" s="3"/>
      <c r="H621" s="3"/>
      <c r="I621" s="3" t="s">
        <v>3769</v>
      </c>
      <c r="J621" s="3" t="s">
        <v>11</v>
      </c>
      <c r="K621" s="27" t="s">
        <v>12</v>
      </c>
    </row>
    <row r="622" ht="18.6" customHeight="1" spans="1:11">
      <c r="A622" s="3">
        <v>621</v>
      </c>
      <c r="B622" s="3" t="s">
        <v>849</v>
      </c>
      <c r="C622" s="3" t="s">
        <v>3309</v>
      </c>
      <c r="D622" s="3" t="s">
        <v>844</v>
      </c>
      <c r="E622" s="3" t="s">
        <v>845</v>
      </c>
      <c r="F622" s="3">
        <v>985</v>
      </c>
      <c r="G622" s="3">
        <v>211</v>
      </c>
      <c r="H622" s="3" t="s">
        <v>5</v>
      </c>
      <c r="I622" s="3" t="s">
        <v>3770</v>
      </c>
      <c r="J622" s="3" t="s">
        <v>11</v>
      </c>
      <c r="K622" s="27" t="s">
        <v>12</v>
      </c>
    </row>
    <row r="623" ht="18.6" customHeight="1" spans="1:11">
      <c r="A623" s="3">
        <v>622</v>
      </c>
      <c r="B623" s="3" t="s">
        <v>850</v>
      </c>
      <c r="C623" s="3" t="s">
        <v>3588</v>
      </c>
      <c r="D623" s="3" t="s">
        <v>844</v>
      </c>
      <c r="E623" s="3" t="s">
        <v>845</v>
      </c>
      <c r="F623" s="3"/>
      <c r="G623" s="3"/>
      <c r="H623" s="3" t="s">
        <v>3774</v>
      </c>
      <c r="I623" s="3" t="s">
        <v>3773</v>
      </c>
      <c r="J623" s="3" t="s">
        <v>11</v>
      </c>
      <c r="K623" s="27" t="s">
        <v>12</v>
      </c>
    </row>
    <row r="624" ht="18.6" customHeight="1" spans="1:11">
      <c r="A624" s="3">
        <v>623</v>
      </c>
      <c r="B624" s="3" t="s">
        <v>851</v>
      </c>
      <c r="C624" s="3" t="s">
        <v>3588</v>
      </c>
      <c r="D624" s="3" t="s">
        <v>844</v>
      </c>
      <c r="E624" s="3" t="s">
        <v>852</v>
      </c>
      <c r="F624" s="3"/>
      <c r="G624" s="3"/>
      <c r="H624" s="3"/>
      <c r="I624" s="3" t="s">
        <v>3773</v>
      </c>
      <c r="J624" s="3" t="s">
        <v>11</v>
      </c>
      <c r="K624" s="27" t="s">
        <v>12</v>
      </c>
    </row>
    <row r="625" ht="18.6" customHeight="1" spans="1:11">
      <c r="A625" s="3">
        <v>624</v>
      </c>
      <c r="B625" s="3" t="s">
        <v>853</v>
      </c>
      <c r="C625" s="3" t="s">
        <v>3588</v>
      </c>
      <c r="D625" s="3" t="s">
        <v>844</v>
      </c>
      <c r="E625" s="3" t="s">
        <v>845</v>
      </c>
      <c r="F625" s="3"/>
      <c r="G625" s="3"/>
      <c r="H625" s="3" t="s">
        <v>3774</v>
      </c>
      <c r="I625" s="3" t="s">
        <v>3775</v>
      </c>
      <c r="J625" s="3" t="s">
        <v>11</v>
      </c>
      <c r="K625" s="27" t="s">
        <v>12</v>
      </c>
    </row>
    <row r="626" ht="18.6" customHeight="1" spans="1:11">
      <c r="A626" s="3">
        <v>625</v>
      </c>
      <c r="B626" s="3" t="s">
        <v>854</v>
      </c>
      <c r="C626" s="3" t="s">
        <v>3588</v>
      </c>
      <c r="D626" s="3" t="s">
        <v>844</v>
      </c>
      <c r="E626" s="3" t="s">
        <v>852</v>
      </c>
      <c r="F626" s="3"/>
      <c r="G626" s="3"/>
      <c r="H626" s="3"/>
      <c r="I626" s="3"/>
      <c r="J626" s="3" t="s">
        <v>11</v>
      </c>
      <c r="K626" s="27" t="s">
        <v>12</v>
      </c>
    </row>
    <row r="627" ht="18.6" customHeight="1" spans="1:11">
      <c r="A627" s="3">
        <v>626</v>
      </c>
      <c r="B627" s="3" t="s">
        <v>855</v>
      </c>
      <c r="C627" s="3" t="s">
        <v>3588</v>
      </c>
      <c r="D627" s="3" t="s">
        <v>844</v>
      </c>
      <c r="E627" s="3" t="s">
        <v>845</v>
      </c>
      <c r="F627" s="3"/>
      <c r="G627" s="3"/>
      <c r="H627" s="3" t="s">
        <v>3774</v>
      </c>
      <c r="I627" s="3" t="s">
        <v>3775</v>
      </c>
      <c r="J627" s="3" t="s">
        <v>11</v>
      </c>
      <c r="K627" s="27" t="s">
        <v>12</v>
      </c>
    </row>
    <row r="628" ht="18.6" customHeight="1" spans="1:11">
      <c r="A628" s="3">
        <v>627</v>
      </c>
      <c r="B628" s="3" t="s">
        <v>856</v>
      </c>
      <c r="C628" s="3" t="s">
        <v>3588</v>
      </c>
      <c r="D628" s="3" t="s">
        <v>844</v>
      </c>
      <c r="E628" s="3" t="s">
        <v>845</v>
      </c>
      <c r="F628" s="3"/>
      <c r="G628" s="3"/>
      <c r="H628" s="3"/>
      <c r="I628" s="3"/>
      <c r="J628" s="3" t="s">
        <v>11</v>
      </c>
      <c r="K628" s="27" t="s">
        <v>12</v>
      </c>
    </row>
    <row r="629" ht="18.6" customHeight="1" spans="1:11">
      <c r="A629" s="3">
        <v>628</v>
      </c>
      <c r="B629" s="3" t="s">
        <v>857</v>
      </c>
      <c r="C629" s="3" t="s">
        <v>3588</v>
      </c>
      <c r="D629" s="3" t="s">
        <v>844</v>
      </c>
      <c r="E629" s="3" t="s">
        <v>845</v>
      </c>
      <c r="F629" s="3"/>
      <c r="G629" s="3">
        <v>211</v>
      </c>
      <c r="H629" s="3" t="s">
        <v>5</v>
      </c>
      <c r="I629" s="3" t="s">
        <v>3776</v>
      </c>
      <c r="J629" s="3" t="s">
        <v>11</v>
      </c>
      <c r="K629" s="27" t="s">
        <v>12</v>
      </c>
    </row>
    <row r="630" ht="18.6" customHeight="1" spans="1:11">
      <c r="A630" s="3">
        <v>629</v>
      </c>
      <c r="B630" s="3" t="s">
        <v>858</v>
      </c>
      <c r="C630" s="3" t="s">
        <v>3588</v>
      </c>
      <c r="D630" s="3" t="s">
        <v>844</v>
      </c>
      <c r="E630" s="3" t="s">
        <v>859</v>
      </c>
      <c r="F630" s="3"/>
      <c r="G630" s="3"/>
      <c r="H630" s="3"/>
      <c r="I630" s="3"/>
      <c r="J630" s="3" t="s">
        <v>11</v>
      </c>
      <c r="K630" s="27" t="s">
        <v>12</v>
      </c>
    </row>
    <row r="631" ht="18.6" customHeight="1" spans="1:11">
      <c r="A631" s="3">
        <v>630</v>
      </c>
      <c r="B631" s="3" t="s">
        <v>860</v>
      </c>
      <c r="C631" s="3" t="s">
        <v>3588</v>
      </c>
      <c r="D631" s="3" t="s">
        <v>844</v>
      </c>
      <c r="E631" s="3" t="s">
        <v>861</v>
      </c>
      <c r="F631" s="3"/>
      <c r="G631" s="3"/>
      <c r="H631" s="3"/>
      <c r="I631" s="3"/>
      <c r="J631" s="3" t="s">
        <v>11</v>
      </c>
      <c r="K631" s="27" t="s">
        <v>12</v>
      </c>
    </row>
    <row r="632" ht="18.6" customHeight="1" spans="1:11">
      <c r="A632" s="3">
        <v>631</v>
      </c>
      <c r="B632" s="3" t="s">
        <v>862</v>
      </c>
      <c r="C632" s="3" t="s">
        <v>3588</v>
      </c>
      <c r="D632" s="3" t="s">
        <v>844</v>
      </c>
      <c r="E632" s="3" t="s">
        <v>863</v>
      </c>
      <c r="F632" s="3"/>
      <c r="G632" s="3"/>
      <c r="H632" s="3"/>
      <c r="I632" s="3"/>
      <c r="J632" s="3" t="s">
        <v>11</v>
      </c>
      <c r="K632" s="27" t="s">
        <v>12</v>
      </c>
    </row>
    <row r="633" ht="18.6" customHeight="1" spans="1:11">
      <c r="A633" s="3">
        <v>632</v>
      </c>
      <c r="B633" s="3" t="s">
        <v>864</v>
      </c>
      <c r="C633" s="3" t="s">
        <v>3588</v>
      </c>
      <c r="D633" s="3" t="s">
        <v>844</v>
      </c>
      <c r="E633" s="3" t="s">
        <v>852</v>
      </c>
      <c r="F633" s="3"/>
      <c r="G633" s="3"/>
      <c r="H633" s="3"/>
      <c r="I633" s="3"/>
      <c r="J633" s="3" t="s">
        <v>11</v>
      </c>
      <c r="K633" s="27" t="s">
        <v>12</v>
      </c>
    </row>
    <row r="634" ht="18.6" customHeight="1" spans="1:11">
      <c r="A634" s="3">
        <v>633</v>
      </c>
      <c r="B634" s="3" t="s">
        <v>865</v>
      </c>
      <c r="C634" s="3" t="s">
        <v>3588</v>
      </c>
      <c r="D634" s="3" t="s">
        <v>844</v>
      </c>
      <c r="E634" s="3" t="s">
        <v>866</v>
      </c>
      <c r="F634" s="3"/>
      <c r="G634" s="3"/>
      <c r="H634" s="3"/>
      <c r="I634" s="3"/>
      <c r="J634" s="3" t="s">
        <v>11</v>
      </c>
      <c r="K634" s="27" t="s">
        <v>12</v>
      </c>
    </row>
    <row r="635" ht="18.6" customHeight="1" spans="1:11">
      <c r="A635" s="3">
        <v>634</v>
      </c>
      <c r="B635" s="3" t="s">
        <v>867</v>
      </c>
      <c r="C635" s="3" t="s">
        <v>3588</v>
      </c>
      <c r="D635" s="3" t="s">
        <v>844</v>
      </c>
      <c r="E635" s="3" t="s">
        <v>868</v>
      </c>
      <c r="F635" s="3"/>
      <c r="G635" s="3"/>
      <c r="H635" s="3"/>
      <c r="I635" s="3"/>
      <c r="J635" s="3" t="s">
        <v>11</v>
      </c>
      <c r="K635" s="27" t="s">
        <v>12</v>
      </c>
    </row>
    <row r="636" ht="18.6" customHeight="1" spans="1:11">
      <c r="A636" s="3">
        <v>635</v>
      </c>
      <c r="B636" s="3" t="s">
        <v>869</v>
      </c>
      <c r="C636" s="3" t="s">
        <v>3588</v>
      </c>
      <c r="D636" s="3" t="s">
        <v>844</v>
      </c>
      <c r="E636" s="3" t="s">
        <v>845</v>
      </c>
      <c r="F636" s="3"/>
      <c r="G636" s="3"/>
      <c r="H636" s="3"/>
      <c r="I636" s="3"/>
      <c r="J636" s="3" t="s">
        <v>11</v>
      </c>
      <c r="K636" s="27" t="s">
        <v>12</v>
      </c>
    </row>
    <row r="637" ht="18.6" customHeight="1" spans="1:11">
      <c r="A637" s="3">
        <v>636</v>
      </c>
      <c r="B637" s="3" t="s">
        <v>870</v>
      </c>
      <c r="C637" s="3" t="s">
        <v>3588</v>
      </c>
      <c r="D637" s="3" t="s">
        <v>844</v>
      </c>
      <c r="E637" s="3" t="s">
        <v>845</v>
      </c>
      <c r="F637" s="3"/>
      <c r="G637" s="3"/>
      <c r="H637" s="3"/>
      <c r="I637" s="3" t="s">
        <v>3772</v>
      </c>
      <c r="J637" s="3" t="s">
        <v>11</v>
      </c>
      <c r="K637" s="27" t="s">
        <v>12</v>
      </c>
    </row>
    <row r="638" ht="18.6" customHeight="1" spans="1:11">
      <c r="A638" s="3">
        <v>637</v>
      </c>
      <c r="B638" s="3" t="s">
        <v>871</v>
      </c>
      <c r="C638" s="3" t="s">
        <v>3588</v>
      </c>
      <c r="D638" s="3" t="s">
        <v>844</v>
      </c>
      <c r="E638" s="3" t="s">
        <v>845</v>
      </c>
      <c r="F638" s="3"/>
      <c r="G638" s="3"/>
      <c r="H638" s="3"/>
      <c r="I638" s="3"/>
      <c r="J638" s="3" t="s">
        <v>11</v>
      </c>
      <c r="K638" s="27" t="s">
        <v>12</v>
      </c>
    </row>
    <row r="639" ht="18.6" customHeight="1" spans="1:11">
      <c r="A639" s="3">
        <v>638</v>
      </c>
      <c r="B639" s="3" t="s">
        <v>872</v>
      </c>
      <c r="C639" s="3" t="s">
        <v>3588</v>
      </c>
      <c r="D639" s="3" t="s">
        <v>844</v>
      </c>
      <c r="E639" s="3" t="s">
        <v>845</v>
      </c>
      <c r="F639" s="3"/>
      <c r="G639" s="3"/>
      <c r="H639" s="3"/>
      <c r="I639" s="3"/>
      <c r="J639" s="3" t="s">
        <v>11</v>
      </c>
      <c r="K639" s="27" t="s">
        <v>12</v>
      </c>
    </row>
    <row r="640" ht="18.6" customHeight="1" spans="1:11">
      <c r="A640" s="3">
        <v>639</v>
      </c>
      <c r="B640" s="3" t="s">
        <v>873</v>
      </c>
      <c r="C640" s="3" t="s">
        <v>3588</v>
      </c>
      <c r="D640" s="3" t="s">
        <v>844</v>
      </c>
      <c r="E640" s="3" t="s">
        <v>874</v>
      </c>
      <c r="F640" s="3"/>
      <c r="G640" s="3"/>
      <c r="H640" s="3"/>
      <c r="I640" s="3" t="s">
        <v>3769</v>
      </c>
      <c r="J640" s="3" t="s">
        <v>11</v>
      </c>
      <c r="K640" s="27" t="s">
        <v>12</v>
      </c>
    </row>
    <row r="641" ht="18.6" customHeight="1" spans="1:11">
      <c r="A641" s="3">
        <v>640</v>
      </c>
      <c r="B641" s="3" t="s">
        <v>875</v>
      </c>
      <c r="C641" s="3" t="s">
        <v>3588</v>
      </c>
      <c r="D641" s="3" t="s">
        <v>844</v>
      </c>
      <c r="E641" s="3" t="s">
        <v>845</v>
      </c>
      <c r="F641" s="3"/>
      <c r="G641" s="3"/>
      <c r="H641" s="3"/>
      <c r="I641" s="3" t="s">
        <v>3771</v>
      </c>
      <c r="J641" s="3" t="s">
        <v>11</v>
      </c>
      <c r="K641" s="27" t="s">
        <v>12</v>
      </c>
    </row>
    <row r="642" ht="18.6" customHeight="1" spans="1:11">
      <c r="A642" s="3">
        <v>641</v>
      </c>
      <c r="B642" s="3" t="s">
        <v>876</v>
      </c>
      <c r="C642" s="3" t="s">
        <v>3588</v>
      </c>
      <c r="D642" s="3" t="s">
        <v>844</v>
      </c>
      <c r="E642" s="3" t="s">
        <v>845</v>
      </c>
      <c r="F642" s="3"/>
      <c r="G642" s="3"/>
      <c r="H642" s="3"/>
      <c r="I642" s="3" t="s">
        <v>3769</v>
      </c>
      <c r="J642" s="3" t="s">
        <v>11</v>
      </c>
      <c r="K642" s="27" t="s">
        <v>12</v>
      </c>
    </row>
    <row r="643" ht="18.6" customHeight="1" spans="1:11">
      <c r="A643" s="3">
        <v>642</v>
      </c>
      <c r="B643" s="3" t="s">
        <v>877</v>
      </c>
      <c r="C643" s="3" t="s">
        <v>3588</v>
      </c>
      <c r="D643" s="3" t="s">
        <v>844</v>
      </c>
      <c r="E643" s="3" t="s">
        <v>845</v>
      </c>
      <c r="F643" s="3"/>
      <c r="G643" s="3"/>
      <c r="H643" s="3"/>
      <c r="I643" s="3"/>
      <c r="J643" s="3" t="s">
        <v>11</v>
      </c>
      <c r="K643" s="27" t="s">
        <v>12</v>
      </c>
    </row>
    <row r="644" ht="18.6" customHeight="1" spans="1:11">
      <c r="A644" s="3">
        <v>643</v>
      </c>
      <c r="B644" s="3" t="s">
        <v>878</v>
      </c>
      <c r="C644" s="3" t="s">
        <v>3588</v>
      </c>
      <c r="D644" s="3" t="s">
        <v>844</v>
      </c>
      <c r="E644" s="3" t="s">
        <v>845</v>
      </c>
      <c r="F644" s="3"/>
      <c r="G644" s="3"/>
      <c r="H644" s="3"/>
      <c r="I644" s="3"/>
      <c r="J644" s="3" t="s">
        <v>11</v>
      </c>
      <c r="K644" s="27" t="s">
        <v>12</v>
      </c>
    </row>
    <row r="645" ht="18.6" customHeight="1" spans="1:11">
      <c r="A645" s="3">
        <v>644</v>
      </c>
      <c r="B645" s="3" t="s">
        <v>879</v>
      </c>
      <c r="C645" s="3" t="s">
        <v>3588</v>
      </c>
      <c r="D645" s="3" t="s">
        <v>844</v>
      </c>
      <c r="E645" s="3" t="s">
        <v>845</v>
      </c>
      <c r="F645" s="3"/>
      <c r="G645" s="3"/>
      <c r="H645" s="3"/>
      <c r="I645" s="3"/>
      <c r="J645" s="3" t="s">
        <v>11</v>
      </c>
      <c r="K645" s="27" t="s">
        <v>12</v>
      </c>
    </row>
    <row r="646" ht="18.6" customHeight="1" spans="1:11">
      <c r="A646" s="3">
        <v>645</v>
      </c>
      <c r="B646" s="3" t="s">
        <v>880</v>
      </c>
      <c r="C646" s="3" t="s">
        <v>3588</v>
      </c>
      <c r="D646" s="3" t="s">
        <v>844</v>
      </c>
      <c r="E646" s="3" t="s">
        <v>881</v>
      </c>
      <c r="F646" s="3"/>
      <c r="G646" s="3"/>
      <c r="H646" s="3"/>
      <c r="I646" s="3"/>
      <c r="J646" s="3" t="s">
        <v>11</v>
      </c>
      <c r="K646" s="27" t="s">
        <v>12</v>
      </c>
    </row>
    <row r="647" ht="18.6" customHeight="1" spans="1:11">
      <c r="A647" s="3">
        <v>646</v>
      </c>
      <c r="B647" s="3" t="s">
        <v>882</v>
      </c>
      <c r="C647" s="3" t="s">
        <v>3588</v>
      </c>
      <c r="D647" s="3" t="s">
        <v>844</v>
      </c>
      <c r="E647" s="3" t="s">
        <v>845</v>
      </c>
      <c r="F647" s="3"/>
      <c r="G647" s="3"/>
      <c r="H647" s="3"/>
      <c r="I647" s="3"/>
      <c r="J647" s="3" t="s">
        <v>11</v>
      </c>
      <c r="K647" s="27" t="s">
        <v>12</v>
      </c>
    </row>
    <row r="648" ht="18.6" customHeight="1" spans="1:11">
      <c r="A648" s="3">
        <v>647</v>
      </c>
      <c r="B648" s="3" t="s">
        <v>883</v>
      </c>
      <c r="C648" s="3" t="s">
        <v>3588</v>
      </c>
      <c r="D648" s="3" t="s">
        <v>844</v>
      </c>
      <c r="E648" s="3" t="s">
        <v>884</v>
      </c>
      <c r="F648" s="3"/>
      <c r="G648" s="3"/>
      <c r="H648" s="3"/>
      <c r="I648" s="3"/>
      <c r="J648" s="3" t="s">
        <v>11</v>
      </c>
      <c r="K648" s="27" t="s">
        <v>12</v>
      </c>
    </row>
    <row r="649" ht="18.6" customHeight="1" spans="1:11">
      <c r="A649" s="3">
        <v>648</v>
      </c>
      <c r="B649" s="3" t="s">
        <v>885</v>
      </c>
      <c r="C649" s="3" t="s">
        <v>3588</v>
      </c>
      <c r="D649" s="3" t="s">
        <v>844</v>
      </c>
      <c r="E649" s="3" t="s">
        <v>886</v>
      </c>
      <c r="F649" s="3"/>
      <c r="G649" s="3"/>
      <c r="H649" s="3"/>
      <c r="I649" s="3"/>
      <c r="J649" s="3" t="s">
        <v>11</v>
      </c>
      <c r="K649" s="27" t="s">
        <v>12</v>
      </c>
    </row>
    <row r="650" ht="18.6" customHeight="1" spans="1:11">
      <c r="A650" s="3">
        <v>649</v>
      </c>
      <c r="B650" s="3" t="s">
        <v>887</v>
      </c>
      <c r="C650" s="3" t="s">
        <v>3588</v>
      </c>
      <c r="D650" s="3" t="s">
        <v>844</v>
      </c>
      <c r="E650" s="3" t="s">
        <v>845</v>
      </c>
      <c r="F650" s="3"/>
      <c r="G650" s="3"/>
      <c r="H650" s="3"/>
      <c r="I650" s="3" t="s">
        <v>3770</v>
      </c>
      <c r="J650" s="3" t="s">
        <v>11</v>
      </c>
      <c r="K650" s="27" t="s">
        <v>12</v>
      </c>
    </row>
    <row r="651" ht="18.6" customHeight="1" spans="1:11">
      <c r="A651" s="3">
        <v>650</v>
      </c>
      <c r="B651" s="3" t="s">
        <v>888</v>
      </c>
      <c r="C651" s="3" t="s">
        <v>3588</v>
      </c>
      <c r="D651" s="3" t="s">
        <v>844</v>
      </c>
      <c r="E651" s="3" t="s">
        <v>845</v>
      </c>
      <c r="F651" s="3"/>
      <c r="G651" s="3"/>
      <c r="H651" s="3"/>
      <c r="I651" s="3" t="s">
        <v>3778</v>
      </c>
      <c r="J651" s="3" t="s">
        <v>11</v>
      </c>
      <c r="K651" s="27" t="s">
        <v>12</v>
      </c>
    </row>
    <row r="652" ht="18.6" customHeight="1" spans="1:11">
      <c r="A652" s="3">
        <v>651</v>
      </c>
      <c r="B652" s="3" t="s">
        <v>889</v>
      </c>
      <c r="C652" s="3" t="s">
        <v>3588</v>
      </c>
      <c r="D652" s="3" t="s">
        <v>844</v>
      </c>
      <c r="E652" s="3" t="s">
        <v>890</v>
      </c>
      <c r="F652" s="3"/>
      <c r="G652" s="3"/>
      <c r="H652" s="3"/>
      <c r="I652" s="3"/>
      <c r="J652" s="3" t="s">
        <v>11</v>
      </c>
      <c r="K652" s="27" t="s">
        <v>12</v>
      </c>
    </row>
    <row r="653" ht="18.6" customHeight="1" spans="1:11">
      <c r="A653" s="3">
        <v>652</v>
      </c>
      <c r="B653" s="3" t="s">
        <v>891</v>
      </c>
      <c r="C653" s="3" t="s">
        <v>3588</v>
      </c>
      <c r="D653" s="3" t="s">
        <v>844</v>
      </c>
      <c r="E653" s="3" t="s">
        <v>845</v>
      </c>
      <c r="F653" s="3"/>
      <c r="G653" s="3"/>
      <c r="H653" s="3"/>
      <c r="I653" s="3" t="s">
        <v>3775</v>
      </c>
      <c r="J653" s="3" t="s">
        <v>11</v>
      </c>
      <c r="K653" s="27" t="s">
        <v>12</v>
      </c>
    </row>
    <row r="654" ht="18.6" customHeight="1" spans="1:11">
      <c r="A654" s="3">
        <v>653</v>
      </c>
      <c r="B654" s="3" t="s">
        <v>892</v>
      </c>
      <c r="C654" s="3" t="s">
        <v>3588</v>
      </c>
      <c r="D654" s="3" t="s">
        <v>844</v>
      </c>
      <c r="E654" s="3" t="s">
        <v>845</v>
      </c>
      <c r="F654" s="3"/>
      <c r="G654" s="3"/>
      <c r="H654" s="3"/>
      <c r="I654" s="3"/>
      <c r="J654" s="3" t="s">
        <v>11</v>
      </c>
      <c r="K654" s="27" t="s">
        <v>12</v>
      </c>
    </row>
    <row r="655" ht="18.6" customHeight="1" spans="1:11">
      <c r="A655" s="3">
        <v>654</v>
      </c>
      <c r="B655" s="3" t="s">
        <v>893</v>
      </c>
      <c r="C655" s="3" t="s">
        <v>3588</v>
      </c>
      <c r="D655" s="3" t="s">
        <v>844</v>
      </c>
      <c r="E655" s="3" t="s">
        <v>874</v>
      </c>
      <c r="F655" s="3"/>
      <c r="G655" s="3"/>
      <c r="H655" s="3" t="s">
        <v>3774</v>
      </c>
      <c r="I655" s="3" t="s">
        <v>3770</v>
      </c>
      <c r="J655" s="3" t="s">
        <v>11</v>
      </c>
      <c r="K655" s="27" t="s">
        <v>12</v>
      </c>
    </row>
    <row r="656" ht="18.6" customHeight="1" spans="1:11">
      <c r="A656" s="3">
        <v>655</v>
      </c>
      <c r="B656" s="3" t="s">
        <v>894</v>
      </c>
      <c r="C656" s="3" t="s">
        <v>3588</v>
      </c>
      <c r="D656" s="3" t="s">
        <v>844</v>
      </c>
      <c r="E656" s="3" t="s">
        <v>874</v>
      </c>
      <c r="F656" s="3"/>
      <c r="G656" s="3"/>
      <c r="H656" s="3"/>
      <c r="I656" s="3"/>
      <c r="J656" s="3" t="s">
        <v>11</v>
      </c>
      <c r="K656" s="27" t="s">
        <v>12</v>
      </c>
    </row>
    <row r="657" ht="18.6" customHeight="1" spans="1:11">
      <c r="A657" s="3">
        <v>656</v>
      </c>
      <c r="B657" s="3" t="s">
        <v>896</v>
      </c>
      <c r="C657" s="3" t="s">
        <v>3588</v>
      </c>
      <c r="D657" s="3" t="s">
        <v>844</v>
      </c>
      <c r="E657" s="3" t="s">
        <v>845</v>
      </c>
      <c r="F657" s="3"/>
      <c r="G657" s="3"/>
      <c r="H657" s="3"/>
      <c r="I657" s="3"/>
      <c r="J657" s="3" t="s">
        <v>11</v>
      </c>
      <c r="K657" s="27" t="s">
        <v>12</v>
      </c>
    </row>
    <row r="658" ht="18.6" customHeight="1" spans="1:11">
      <c r="A658" s="3">
        <v>657</v>
      </c>
      <c r="B658" s="3" t="s">
        <v>897</v>
      </c>
      <c r="C658" s="3" t="s">
        <v>3588</v>
      </c>
      <c r="D658" s="3" t="s">
        <v>844</v>
      </c>
      <c r="E658" s="3" t="s">
        <v>874</v>
      </c>
      <c r="F658" s="3"/>
      <c r="G658" s="3"/>
      <c r="H658" s="3"/>
      <c r="I658" s="3"/>
      <c r="J658" s="3" t="s">
        <v>11</v>
      </c>
      <c r="K658" s="27" t="s">
        <v>12</v>
      </c>
    </row>
    <row r="659" ht="18.6" customHeight="1" spans="1:11">
      <c r="A659" s="3">
        <v>658</v>
      </c>
      <c r="B659" s="3" t="s">
        <v>900</v>
      </c>
      <c r="C659" s="3" t="s">
        <v>3588</v>
      </c>
      <c r="D659" s="3" t="s">
        <v>844</v>
      </c>
      <c r="E659" s="3" t="s">
        <v>866</v>
      </c>
      <c r="F659" s="3"/>
      <c r="G659" s="3"/>
      <c r="H659" s="3"/>
      <c r="I659" s="3"/>
      <c r="J659" s="3" t="s">
        <v>11</v>
      </c>
      <c r="K659" s="27" t="s">
        <v>12</v>
      </c>
    </row>
    <row r="660" ht="18.6" customHeight="1" spans="1:11">
      <c r="A660" s="3">
        <v>659</v>
      </c>
      <c r="B660" s="3" t="s">
        <v>901</v>
      </c>
      <c r="C660" s="3" t="s">
        <v>3612</v>
      </c>
      <c r="D660" s="3" t="s">
        <v>902</v>
      </c>
      <c r="E660" s="3" t="s">
        <v>903</v>
      </c>
      <c r="F660" s="3"/>
      <c r="G660" s="3">
        <v>211</v>
      </c>
      <c r="H660" s="3" t="s">
        <v>5</v>
      </c>
      <c r="I660" s="3" t="s">
        <v>3769</v>
      </c>
      <c r="J660" s="3" t="s">
        <v>11</v>
      </c>
      <c r="K660" s="27" t="s">
        <v>12</v>
      </c>
    </row>
    <row r="661" ht="18.6" customHeight="1" spans="1:11">
      <c r="A661" s="3">
        <v>660</v>
      </c>
      <c r="B661" s="3" t="s">
        <v>904</v>
      </c>
      <c r="C661" s="3" t="s">
        <v>3612</v>
      </c>
      <c r="D661" s="3" t="s">
        <v>902</v>
      </c>
      <c r="E661" s="3" t="s">
        <v>905</v>
      </c>
      <c r="F661" s="3"/>
      <c r="G661" s="3"/>
      <c r="H661" s="3"/>
      <c r="I661" s="3"/>
      <c r="J661" s="3" t="s">
        <v>11</v>
      </c>
      <c r="K661" s="27" t="s">
        <v>12</v>
      </c>
    </row>
    <row r="662" ht="18.6" customHeight="1" spans="1:11">
      <c r="A662" s="3">
        <v>661</v>
      </c>
      <c r="B662" s="3" t="s">
        <v>906</v>
      </c>
      <c r="C662" s="3" t="s">
        <v>3612</v>
      </c>
      <c r="D662" s="3" t="s">
        <v>902</v>
      </c>
      <c r="E662" s="3" t="s">
        <v>907</v>
      </c>
      <c r="F662" s="3"/>
      <c r="G662" s="3"/>
      <c r="H662" s="3"/>
      <c r="I662" s="3" t="s">
        <v>3770</v>
      </c>
      <c r="J662" s="3" t="s">
        <v>11</v>
      </c>
      <c r="K662" s="27" t="s">
        <v>12</v>
      </c>
    </row>
    <row r="663" ht="18.6" customHeight="1" spans="1:11">
      <c r="A663" s="3">
        <v>662</v>
      </c>
      <c r="B663" s="3" t="s">
        <v>908</v>
      </c>
      <c r="C663" s="3" t="s">
        <v>3612</v>
      </c>
      <c r="D663" s="3" t="s">
        <v>902</v>
      </c>
      <c r="E663" s="3" t="s">
        <v>907</v>
      </c>
      <c r="F663" s="3"/>
      <c r="G663" s="3"/>
      <c r="H663" s="3"/>
      <c r="I663" s="3" t="s">
        <v>3770</v>
      </c>
      <c r="J663" s="3" t="s">
        <v>11</v>
      </c>
      <c r="K663" s="27" t="s">
        <v>12</v>
      </c>
    </row>
    <row r="664" ht="18.6" customHeight="1" spans="1:11">
      <c r="A664" s="3">
        <v>663</v>
      </c>
      <c r="B664" s="3" t="s">
        <v>909</v>
      </c>
      <c r="C664" s="3" t="s">
        <v>3612</v>
      </c>
      <c r="D664" s="3" t="s">
        <v>902</v>
      </c>
      <c r="E664" s="3" t="s">
        <v>903</v>
      </c>
      <c r="F664" s="3"/>
      <c r="G664" s="3"/>
      <c r="H664" s="3"/>
      <c r="I664" s="3" t="s">
        <v>3775</v>
      </c>
      <c r="J664" s="3" t="s">
        <v>11</v>
      </c>
      <c r="K664" s="27" t="s">
        <v>12</v>
      </c>
    </row>
    <row r="665" ht="18.6" customHeight="1" spans="1:11">
      <c r="A665" s="3">
        <v>664</v>
      </c>
      <c r="B665" s="3" t="s">
        <v>910</v>
      </c>
      <c r="C665" s="3" t="s">
        <v>3612</v>
      </c>
      <c r="D665" s="3" t="s">
        <v>902</v>
      </c>
      <c r="E665" s="3" t="s">
        <v>911</v>
      </c>
      <c r="F665" s="3"/>
      <c r="G665" s="3"/>
      <c r="H665" s="3"/>
      <c r="I665" s="3"/>
      <c r="J665" s="3" t="s">
        <v>11</v>
      </c>
      <c r="K665" s="27" t="s">
        <v>12</v>
      </c>
    </row>
    <row r="666" ht="18.6" customHeight="1" spans="1:11">
      <c r="A666" s="3">
        <v>665</v>
      </c>
      <c r="B666" s="3" t="s">
        <v>912</v>
      </c>
      <c r="C666" s="3" t="s">
        <v>3612</v>
      </c>
      <c r="D666" s="3" t="s">
        <v>902</v>
      </c>
      <c r="E666" s="3" t="s">
        <v>903</v>
      </c>
      <c r="F666" s="3"/>
      <c r="G666" s="3"/>
      <c r="H666" s="3"/>
      <c r="I666" s="3" t="s">
        <v>3775</v>
      </c>
      <c r="J666" s="3" t="s">
        <v>11</v>
      </c>
      <c r="K666" s="27" t="s">
        <v>12</v>
      </c>
    </row>
    <row r="667" ht="18.6" customHeight="1" spans="1:11">
      <c r="A667" s="3">
        <v>666</v>
      </c>
      <c r="B667" s="3" t="s">
        <v>3785</v>
      </c>
      <c r="C667" s="3" t="s">
        <v>3612</v>
      </c>
      <c r="D667" s="3" t="s">
        <v>902</v>
      </c>
      <c r="E667" s="3" t="s">
        <v>907</v>
      </c>
      <c r="F667" s="3"/>
      <c r="G667" s="3"/>
      <c r="H667" s="3"/>
      <c r="I667" s="3"/>
      <c r="J667" s="3" t="s">
        <v>11</v>
      </c>
      <c r="K667" s="27" t="s">
        <v>12</v>
      </c>
    </row>
    <row r="668" ht="18.6" customHeight="1" spans="1:11">
      <c r="A668" s="3">
        <v>667</v>
      </c>
      <c r="B668" s="3" t="s">
        <v>914</v>
      </c>
      <c r="C668" s="3" t="s">
        <v>3612</v>
      </c>
      <c r="D668" s="3" t="s">
        <v>902</v>
      </c>
      <c r="E668" s="3" t="s">
        <v>907</v>
      </c>
      <c r="F668" s="3"/>
      <c r="G668" s="3"/>
      <c r="H668" s="3"/>
      <c r="I668" s="3" t="s">
        <v>3776</v>
      </c>
      <c r="J668" s="3" t="s">
        <v>11</v>
      </c>
      <c r="K668" s="27" t="s">
        <v>12</v>
      </c>
    </row>
    <row r="669" ht="18.6" customHeight="1" spans="1:11">
      <c r="A669" s="3">
        <v>668</v>
      </c>
      <c r="B669" s="3" t="s">
        <v>915</v>
      </c>
      <c r="C669" s="3" t="s">
        <v>3612</v>
      </c>
      <c r="D669" s="3" t="s">
        <v>902</v>
      </c>
      <c r="E669" s="3" t="s">
        <v>903</v>
      </c>
      <c r="F669" s="3"/>
      <c r="G669" s="3"/>
      <c r="H669" s="3"/>
      <c r="I669" s="3" t="s">
        <v>3776</v>
      </c>
      <c r="J669" s="3" t="s">
        <v>11</v>
      </c>
      <c r="K669" s="27" t="s">
        <v>12</v>
      </c>
    </row>
    <row r="670" ht="18.6" customHeight="1" spans="1:11">
      <c r="A670" s="3">
        <v>669</v>
      </c>
      <c r="B670" s="3" t="s">
        <v>916</v>
      </c>
      <c r="C670" s="3" t="s">
        <v>3612</v>
      </c>
      <c r="D670" s="3" t="s">
        <v>902</v>
      </c>
      <c r="E670" s="3" t="s">
        <v>917</v>
      </c>
      <c r="F670" s="3"/>
      <c r="G670" s="3"/>
      <c r="H670" s="3"/>
      <c r="I670" s="3"/>
      <c r="J670" s="3" t="s">
        <v>11</v>
      </c>
      <c r="K670" s="27" t="s">
        <v>12</v>
      </c>
    </row>
    <row r="671" ht="18.6" customHeight="1" spans="1:11">
      <c r="A671" s="3">
        <v>670</v>
      </c>
      <c r="B671" s="3" t="s">
        <v>918</v>
      </c>
      <c r="C671" s="3" t="s">
        <v>3612</v>
      </c>
      <c r="D671" s="3" t="s">
        <v>902</v>
      </c>
      <c r="E671" s="3" t="s">
        <v>919</v>
      </c>
      <c r="F671" s="3"/>
      <c r="G671" s="3"/>
      <c r="H671" s="3"/>
      <c r="I671" s="3"/>
      <c r="J671" s="3" t="s">
        <v>11</v>
      </c>
      <c r="K671" s="27" t="s">
        <v>12</v>
      </c>
    </row>
    <row r="672" ht="18.6" customHeight="1" spans="1:11">
      <c r="A672" s="3">
        <v>671</v>
      </c>
      <c r="B672" s="3" t="s">
        <v>920</v>
      </c>
      <c r="C672" s="3" t="s">
        <v>3612</v>
      </c>
      <c r="D672" s="3" t="s">
        <v>902</v>
      </c>
      <c r="E672" s="3" t="s">
        <v>921</v>
      </c>
      <c r="F672" s="3"/>
      <c r="G672" s="3"/>
      <c r="H672" s="3"/>
      <c r="I672" s="3"/>
      <c r="J672" s="3" t="s">
        <v>11</v>
      </c>
      <c r="K672" s="27" t="s">
        <v>12</v>
      </c>
    </row>
    <row r="673" ht="18.6" customHeight="1" spans="1:11">
      <c r="A673" s="3">
        <v>672</v>
      </c>
      <c r="B673" s="3" t="s">
        <v>922</v>
      </c>
      <c r="C673" s="3" t="s">
        <v>3612</v>
      </c>
      <c r="D673" s="3" t="s">
        <v>902</v>
      </c>
      <c r="E673" s="3" t="s">
        <v>903</v>
      </c>
      <c r="F673" s="3"/>
      <c r="G673" s="3"/>
      <c r="H673" s="3"/>
      <c r="I673" s="3"/>
      <c r="J673" s="3" t="s">
        <v>11</v>
      </c>
      <c r="K673" s="27" t="s">
        <v>12</v>
      </c>
    </row>
    <row r="674" ht="18.6" customHeight="1" spans="1:11">
      <c r="A674" s="3">
        <v>673</v>
      </c>
      <c r="B674" s="3" t="s">
        <v>923</v>
      </c>
      <c r="C674" s="3" t="s">
        <v>3612</v>
      </c>
      <c r="D674" s="3" t="s">
        <v>902</v>
      </c>
      <c r="E674" s="3" t="s">
        <v>903</v>
      </c>
      <c r="F674" s="3"/>
      <c r="G674" s="3"/>
      <c r="H674" s="3"/>
      <c r="I674" s="3" t="s">
        <v>3780</v>
      </c>
      <c r="J674" s="3" t="s">
        <v>11</v>
      </c>
      <c r="K674" s="27" t="s">
        <v>12</v>
      </c>
    </row>
    <row r="675" ht="18.6" customHeight="1" spans="1:11">
      <c r="A675" s="3">
        <v>674</v>
      </c>
      <c r="B675" s="3" t="s">
        <v>924</v>
      </c>
      <c r="C675" s="3" t="s">
        <v>3612</v>
      </c>
      <c r="D675" s="3" t="s">
        <v>902</v>
      </c>
      <c r="E675" s="3" t="s">
        <v>911</v>
      </c>
      <c r="F675" s="3"/>
      <c r="G675" s="3"/>
      <c r="H675" s="3"/>
      <c r="I675" s="3"/>
      <c r="J675" s="3" t="s">
        <v>11</v>
      </c>
      <c r="K675" s="27" t="s">
        <v>12</v>
      </c>
    </row>
    <row r="676" ht="18.6" customHeight="1" spans="1:11">
      <c r="A676" s="3">
        <v>675</v>
      </c>
      <c r="B676" s="3" t="s">
        <v>925</v>
      </c>
      <c r="C676" s="3" t="s">
        <v>3612</v>
      </c>
      <c r="D676" s="3" t="s">
        <v>902</v>
      </c>
      <c r="E676" s="3" t="s">
        <v>926</v>
      </c>
      <c r="F676" s="3"/>
      <c r="G676" s="3"/>
      <c r="H676" s="3"/>
      <c r="I676" s="3"/>
      <c r="J676" s="3" t="s">
        <v>11</v>
      </c>
      <c r="K676" s="27" t="s">
        <v>12</v>
      </c>
    </row>
    <row r="677" ht="18.6" customHeight="1" spans="1:11">
      <c r="A677" s="3">
        <v>676</v>
      </c>
      <c r="B677" s="3" t="s">
        <v>927</v>
      </c>
      <c r="C677" s="3" t="s">
        <v>3612</v>
      </c>
      <c r="D677" s="3" t="s">
        <v>902</v>
      </c>
      <c r="E677" s="3" t="s">
        <v>928</v>
      </c>
      <c r="F677" s="3"/>
      <c r="G677" s="3"/>
      <c r="H677" s="3"/>
      <c r="I677" s="3"/>
      <c r="J677" s="3" t="s">
        <v>11</v>
      </c>
      <c r="K677" s="27" t="s">
        <v>12</v>
      </c>
    </row>
    <row r="678" ht="18.6" customHeight="1" spans="1:11">
      <c r="A678" s="3">
        <v>677</v>
      </c>
      <c r="B678" s="3" t="s">
        <v>929</v>
      </c>
      <c r="C678" s="3" t="s">
        <v>3612</v>
      </c>
      <c r="D678" s="3" t="s">
        <v>902</v>
      </c>
      <c r="E678" s="3" t="s">
        <v>903</v>
      </c>
      <c r="F678" s="3"/>
      <c r="G678" s="3"/>
      <c r="H678" s="3"/>
      <c r="I678" s="3"/>
      <c r="J678" s="3" t="s">
        <v>11</v>
      </c>
      <c r="K678" s="27" t="s">
        <v>12</v>
      </c>
    </row>
    <row r="679" ht="18.6" customHeight="1" spans="1:11">
      <c r="A679" s="3">
        <v>678</v>
      </c>
      <c r="B679" s="3" t="s">
        <v>930</v>
      </c>
      <c r="C679" s="3" t="s">
        <v>3612</v>
      </c>
      <c r="D679" s="3" t="s">
        <v>902</v>
      </c>
      <c r="E679" s="3" t="s">
        <v>931</v>
      </c>
      <c r="F679" s="3"/>
      <c r="G679" s="3"/>
      <c r="H679" s="3"/>
      <c r="I679" s="3"/>
      <c r="J679" s="3" t="s">
        <v>11</v>
      </c>
      <c r="K679" s="27" t="s">
        <v>12</v>
      </c>
    </row>
    <row r="680" ht="18.6" customHeight="1" spans="1:11">
      <c r="A680" s="3">
        <v>679</v>
      </c>
      <c r="B680" s="3" t="s">
        <v>932</v>
      </c>
      <c r="C680" s="3" t="s">
        <v>3612</v>
      </c>
      <c r="D680" s="3" t="s">
        <v>902</v>
      </c>
      <c r="E680" s="3" t="s">
        <v>907</v>
      </c>
      <c r="F680" s="3"/>
      <c r="G680" s="3"/>
      <c r="H680" s="3"/>
      <c r="I680" s="3"/>
      <c r="J680" s="3" t="s">
        <v>11</v>
      </c>
      <c r="K680" s="27" t="s">
        <v>12</v>
      </c>
    </row>
    <row r="681" ht="18.6" customHeight="1" spans="1:11">
      <c r="A681" s="3">
        <v>680</v>
      </c>
      <c r="B681" s="3" t="s">
        <v>933</v>
      </c>
      <c r="C681" s="3" t="s">
        <v>3612</v>
      </c>
      <c r="D681" s="3" t="s">
        <v>902</v>
      </c>
      <c r="E681" s="3" t="s">
        <v>907</v>
      </c>
      <c r="F681" s="3"/>
      <c r="G681" s="3"/>
      <c r="H681" s="3"/>
      <c r="I681" s="3"/>
      <c r="J681" s="3" t="s">
        <v>11</v>
      </c>
      <c r="K681" s="27" t="s">
        <v>12</v>
      </c>
    </row>
    <row r="682" ht="18.6" customHeight="1" spans="1:11">
      <c r="A682" s="3">
        <v>681</v>
      </c>
      <c r="B682" s="3" t="s">
        <v>934</v>
      </c>
      <c r="C682" s="3" t="s">
        <v>3612</v>
      </c>
      <c r="D682" s="3" t="s">
        <v>902</v>
      </c>
      <c r="E682" s="3" t="s">
        <v>935</v>
      </c>
      <c r="F682" s="3"/>
      <c r="G682" s="3"/>
      <c r="H682" s="3"/>
      <c r="I682" s="3"/>
      <c r="J682" s="3" t="s">
        <v>11</v>
      </c>
      <c r="K682" s="27" t="s">
        <v>12</v>
      </c>
    </row>
    <row r="683" ht="18.6" customHeight="1" spans="1:11">
      <c r="A683" s="3">
        <v>682</v>
      </c>
      <c r="B683" s="3" t="s">
        <v>936</v>
      </c>
      <c r="C683" s="3" t="s">
        <v>3612</v>
      </c>
      <c r="D683" s="3" t="s">
        <v>902</v>
      </c>
      <c r="E683" s="3" t="s">
        <v>903</v>
      </c>
      <c r="F683" s="3"/>
      <c r="G683" s="3"/>
      <c r="H683" s="3"/>
      <c r="I683" s="3"/>
      <c r="J683" s="3" t="s">
        <v>11</v>
      </c>
      <c r="K683" s="27" t="s">
        <v>12</v>
      </c>
    </row>
    <row r="684" ht="18.6" customHeight="1" spans="1:11">
      <c r="A684" s="3">
        <v>683</v>
      </c>
      <c r="B684" s="3" t="s">
        <v>937</v>
      </c>
      <c r="C684" s="3" t="s">
        <v>3612</v>
      </c>
      <c r="D684" s="3" t="s">
        <v>902</v>
      </c>
      <c r="E684" s="3" t="s">
        <v>903</v>
      </c>
      <c r="F684" s="3"/>
      <c r="G684" s="3"/>
      <c r="H684" s="3"/>
      <c r="I684" s="3"/>
      <c r="J684" s="3" t="s">
        <v>11</v>
      </c>
      <c r="K684" s="27" t="s">
        <v>12</v>
      </c>
    </row>
    <row r="685" ht="18.6" customHeight="1" spans="1:11">
      <c r="A685" s="3">
        <v>684</v>
      </c>
      <c r="B685" s="3" t="s">
        <v>938</v>
      </c>
      <c r="C685" s="3" t="s">
        <v>3612</v>
      </c>
      <c r="D685" s="3" t="s">
        <v>902</v>
      </c>
      <c r="E685" s="3" t="s">
        <v>903</v>
      </c>
      <c r="F685" s="3"/>
      <c r="G685" s="3"/>
      <c r="H685" s="3"/>
      <c r="I685" s="3"/>
      <c r="J685" s="3" t="s">
        <v>11</v>
      </c>
      <c r="K685" s="27" t="s">
        <v>12</v>
      </c>
    </row>
    <row r="686" ht="18.6" customHeight="1" spans="1:11">
      <c r="A686" s="3">
        <v>685</v>
      </c>
      <c r="B686" s="3" t="s">
        <v>939</v>
      </c>
      <c r="C686" s="3" t="s">
        <v>3612</v>
      </c>
      <c r="D686" s="3" t="s">
        <v>902</v>
      </c>
      <c r="E686" s="3" t="s">
        <v>903</v>
      </c>
      <c r="F686" s="3"/>
      <c r="G686" s="3"/>
      <c r="H686" s="3"/>
      <c r="I686" s="3"/>
      <c r="J686" s="3" t="s">
        <v>11</v>
      </c>
      <c r="K686" s="27" t="s">
        <v>12</v>
      </c>
    </row>
    <row r="687" ht="18.6" customHeight="1" spans="1:11">
      <c r="A687" s="3">
        <v>686</v>
      </c>
      <c r="B687" s="3" t="s">
        <v>941</v>
      </c>
      <c r="C687" s="3" t="s">
        <v>3612</v>
      </c>
      <c r="D687" s="3" t="s">
        <v>902</v>
      </c>
      <c r="E687" s="3" t="s">
        <v>905</v>
      </c>
      <c r="F687" s="3"/>
      <c r="G687" s="3"/>
      <c r="H687" s="3"/>
      <c r="I687" s="3"/>
      <c r="J687" s="3" t="s">
        <v>11</v>
      </c>
      <c r="K687" s="27" t="s">
        <v>12</v>
      </c>
    </row>
    <row r="688" ht="18.6" customHeight="1" spans="1:11">
      <c r="A688" s="3">
        <v>687</v>
      </c>
      <c r="B688" s="3" t="s">
        <v>942</v>
      </c>
      <c r="C688" s="3" t="s">
        <v>3628</v>
      </c>
      <c r="D688" s="3" t="s">
        <v>943</v>
      </c>
      <c r="E688" s="3" t="s">
        <v>944</v>
      </c>
      <c r="F688" s="3"/>
      <c r="G688" s="3">
        <v>211</v>
      </c>
      <c r="H688" s="3" t="s">
        <v>5</v>
      </c>
      <c r="I688" s="3" t="s">
        <v>3769</v>
      </c>
      <c r="J688" s="3" t="s">
        <v>11</v>
      </c>
      <c r="K688" s="27" t="s">
        <v>12</v>
      </c>
    </row>
    <row r="689" ht="18.6" customHeight="1" spans="1:11">
      <c r="A689" s="3">
        <v>688</v>
      </c>
      <c r="B689" s="3" t="s">
        <v>945</v>
      </c>
      <c r="C689" s="3" t="s">
        <v>3628</v>
      </c>
      <c r="D689" s="3" t="s">
        <v>943</v>
      </c>
      <c r="E689" s="3" t="s">
        <v>946</v>
      </c>
      <c r="F689" s="3"/>
      <c r="G689" s="3"/>
      <c r="H689" s="3"/>
      <c r="I689" s="3"/>
      <c r="J689" s="3" t="s">
        <v>11</v>
      </c>
      <c r="K689" s="27" t="s">
        <v>12</v>
      </c>
    </row>
    <row r="690" ht="18.6" customHeight="1" spans="1:11">
      <c r="A690" s="3">
        <v>689</v>
      </c>
      <c r="B690" s="3" t="s">
        <v>947</v>
      </c>
      <c r="C690" s="3" t="s">
        <v>3628</v>
      </c>
      <c r="D690" s="3" t="s">
        <v>943</v>
      </c>
      <c r="E690" s="3" t="s">
        <v>944</v>
      </c>
      <c r="F690" s="3"/>
      <c r="G690" s="3"/>
      <c r="H690" s="3"/>
      <c r="I690" s="3" t="s">
        <v>3776</v>
      </c>
      <c r="J690" s="3" t="s">
        <v>11</v>
      </c>
      <c r="K690" s="27" t="s">
        <v>12</v>
      </c>
    </row>
    <row r="691" ht="18.6" customHeight="1" spans="1:11">
      <c r="A691" s="3">
        <v>690</v>
      </c>
      <c r="B691" s="3" t="s">
        <v>948</v>
      </c>
      <c r="C691" s="3" t="s">
        <v>3628</v>
      </c>
      <c r="D691" s="3" t="s">
        <v>943</v>
      </c>
      <c r="E691" s="3" t="s">
        <v>944</v>
      </c>
      <c r="F691" s="3"/>
      <c r="G691" s="3"/>
      <c r="H691" s="3"/>
      <c r="I691" s="3"/>
      <c r="J691" s="3" t="s">
        <v>11</v>
      </c>
      <c r="K691" s="27" t="s">
        <v>12</v>
      </c>
    </row>
    <row r="692" ht="18.6" customHeight="1" spans="1:11">
      <c r="A692" s="3">
        <v>691</v>
      </c>
      <c r="B692" s="3" t="s">
        <v>949</v>
      </c>
      <c r="C692" s="3" t="s">
        <v>3628</v>
      </c>
      <c r="D692" s="3" t="s">
        <v>943</v>
      </c>
      <c r="E692" s="3" t="s">
        <v>944</v>
      </c>
      <c r="F692" s="3"/>
      <c r="G692" s="3"/>
      <c r="H692" s="3"/>
      <c r="I692" s="3"/>
      <c r="J692" s="3" t="s">
        <v>11</v>
      </c>
      <c r="K692" s="27" t="s">
        <v>12</v>
      </c>
    </row>
    <row r="693" ht="18.6" customHeight="1" spans="1:11">
      <c r="A693" s="3">
        <v>692</v>
      </c>
      <c r="B693" s="3" t="s">
        <v>950</v>
      </c>
      <c r="C693" s="3" t="s">
        <v>3309</v>
      </c>
      <c r="D693" s="3" t="s">
        <v>951</v>
      </c>
      <c r="E693" s="3" t="s">
        <v>951</v>
      </c>
      <c r="F693" s="3">
        <v>985</v>
      </c>
      <c r="G693" s="3">
        <v>211</v>
      </c>
      <c r="H693" s="3" t="s">
        <v>5</v>
      </c>
      <c r="I693" s="3" t="s">
        <v>3769</v>
      </c>
      <c r="J693" s="3" t="s">
        <v>11</v>
      </c>
      <c r="K693" s="27" t="s">
        <v>12</v>
      </c>
    </row>
    <row r="694" ht="18.6" customHeight="1" spans="1:11">
      <c r="A694" s="3">
        <v>693</v>
      </c>
      <c r="B694" s="3" t="s">
        <v>952</v>
      </c>
      <c r="C694" s="3" t="s">
        <v>3637</v>
      </c>
      <c r="D694" s="3" t="s">
        <v>951</v>
      </c>
      <c r="E694" s="3" t="s">
        <v>951</v>
      </c>
      <c r="F694" s="3"/>
      <c r="G694" s="3"/>
      <c r="H694" s="3"/>
      <c r="I694" s="3" t="s">
        <v>3770</v>
      </c>
      <c r="J694" s="3" t="s">
        <v>11</v>
      </c>
      <c r="K694" s="27" t="s">
        <v>12</v>
      </c>
    </row>
    <row r="695" ht="18.6" customHeight="1" spans="1:11">
      <c r="A695" s="3">
        <v>694</v>
      </c>
      <c r="B695" s="3" t="s">
        <v>953</v>
      </c>
      <c r="C695" s="3" t="s">
        <v>3637</v>
      </c>
      <c r="D695" s="3" t="s">
        <v>951</v>
      </c>
      <c r="E695" s="3" t="s">
        <v>951</v>
      </c>
      <c r="F695" s="3"/>
      <c r="G695" s="3"/>
      <c r="H695" s="3"/>
      <c r="I695" s="3" t="s">
        <v>3770</v>
      </c>
      <c r="J695" s="3" t="s">
        <v>11</v>
      </c>
      <c r="K695" s="27" t="s">
        <v>12</v>
      </c>
    </row>
    <row r="696" ht="18.6" customHeight="1" spans="1:11">
      <c r="A696" s="3">
        <v>695</v>
      </c>
      <c r="B696" s="3" t="s">
        <v>954</v>
      </c>
      <c r="C696" s="3" t="s">
        <v>3637</v>
      </c>
      <c r="D696" s="3" t="s">
        <v>951</v>
      </c>
      <c r="E696" s="3" t="s">
        <v>951</v>
      </c>
      <c r="F696" s="3"/>
      <c r="G696" s="3"/>
      <c r="H696" s="3"/>
      <c r="I696" s="3" t="s">
        <v>3775</v>
      </c>
      <c r="J696" s="3" t="s">
        <v>11</v>
      </c>
      <c r="K696" s="27" t="s">
        <v>12</v>
      </c>
    </row>
    <row r="697" ht="18.6" customHeight="1" spans="1:11">
      <c r="A697" s="3">
        <v>696</v>
      </c>
      <c r="B697" s="3" t="s">
        <v>955</v>
      </c>
      <c r="C697" s="3" t="s">
        <v>3309</v>
      </c>
      <c r="D697" s="3" t="s">
        <v>951</v>
      </c>
      <c r="E697" s="3" t="s">
        <v>951</v>
      </c>
      <c r="F697" s="3"/>
      <c r="G697" s="3">
        <v>211</v>
      </c>
      <c r="H697" s="3" t="s">
        <v>5</v>
      </c>
      <c r="I697" s="3" t="s">
        <v>3776</v>
      </c>
      <c r="J697" s="3" t="s">
        <v>11</v>
      </c>
      <c r="K697" s="27" t="s">
        <v>12</v>
      </c>
    </row>
    <row r="698" ht="18.6" customHeight="1" spans="1:11">
      <c r="A698" s="3">
        <v>697</v>
      </c>
      <c r="B698" s="3" t="s">
        <v>956</v>
      </c>
      <c r="C698" s="3" t="s">
        <v>3637</v>
      </c>
      <c r="D698" s="3" t="s">
        <v>951</v>
      </c>
      <c r="E698" s="3" t="s">
        <v>951</v>
      </c>
      <c r="F698" s="3"/>
      <c r="G698" s="3"/>
      <c r="H698" s="3"/>
      <c r="I698" s="3" t="s">
        <v>3776</v>
      </c>
      <c r="J698" s="3" t="s">
        <v>11</v>
      </c>
      <c r="K698" s="27" t="s">
        <v>12</v>
      </c>
    </row>
    <row r="699" ht="18.6" customHeight="1" spans="1:11">
      <c r="A699" s="3">
        <v>698</v>
      </c>
      <c r="B699" s="3" t="s">
        <v>957</v>
      </c>
      <c r="C699" s="3" t="s">
        <v>3637</v>
      </c>
      <c r="D699" s="3" t="s">
        <v>951</v>
      </c>
      <c r="E699" s="3" t="s">
        <v>951</v>
      </c>
      <c r="F699" s="3"/>
      <c r="G699" s="3"/>
      <c r="H699" s="3"/>
      <c r="I699" s="3"/>
      <c r="J699" s="3" t="s">
        <v>11</v>
      </c>
      <c r="K699" s="27" t="s">
        <v>12</v>
      </c>
    </row>
    <row r="700" ht="18.6" customHeight="1" spans="1:11">
      <c r="A700" s="3">
        <v>699</v>
      </c>
      <c r="B700" s="3" t="s">
        <v>3638</v>
      </c>
      <c r="C700" s="3" t="s">
        <v>3637</v>
      </c>
      <c r="D700" s="3" t="s">
        <v>951</v>
      </c>
      <c r="E700" s="3" t="s">
        <v>951</v>
      </c>
      <c r="F700" s="3"/>
      <c r="G700" s="3"/>
      <c r="H700" s="3"/>
      <c r="I700" s="3"/>
      <c r="J700" s="3" t="s">
        <v>11</v>
      </c>
      <c r="K700" s="27" t="s">
        <v>12</v>
      </c>
    </row>
    <row r="701" ht="18.6" customHeight="1" spans="1:11">
      <c r="A701" s="3">
        <v>700</v>
      </c>
      <c r="B701" s="3" t="s">
        <v>959</v>
      </c>
      <c r="C701" s="3" t="s">
        <v>3637</v>
      </c>
      <c r="D701" s="3" t="s">
        <v>951</v>
      </c>
      <c r="E701" s="3" t="s">
        <v>951</v>
      </c>
      <c r="F701" s="3"/>
      <c r="G701" s="3"/>
      <c r="H701" s="3"/>
      <c r="I701" s="3"/>
      <c r="J701" s="3" t="s">
        <v>11</v>
      </c>
      <c r="K701" s="27" t="s">
        <v>12</v>
      </c>
    </row>
    <row r="702" ht="18.6" customHeight="1" spans="1:11">
      <c r="A702" s="3">
        <v>701</v>
      </c>
      <c r="B702" s="3" t="s">
        <v>960</v>
      </c>
      <c r="C702" s="3" t="s">
        <v>3637</v>
      </c>
      <c r="D702" s="3" t="s">
        <v>951</v>
      </c>
      <c r="E702" s="3" t="s">
        <v>951</v>
      </c>
      <c r="F702" s="3"/>
      <c r="G702" s="3"/>
      <c r="H702" s="3"/>
      <c r="I702" s="3" t="s">
        <v>3778</v>
      </c>
      <c r="J702" s="3" t="s">
        <v>11</v>
      </c>
      <c r="K702" s="27" t="s">
        <v>12</v>
      </c>
    </row>
    <row r="703" ht="18.6" customHeight="1" spans="1:11">
      <c r="A703" s="3">
        <v>702</v>
      </c>
      <c r="B703" s="3" t="s">
        <v>961</v>
      </c>
      <c r="C703" s="3" t="s">
        <v>3637</v>
      </c>
      <c r="D703" s="3" t="s">
        <v>951</v>
      </c>
      <c r="E703" s="3" t="s">
        <v>951</v>
      </c>
      <c r="F703" s="3"/>
      <c r="G703" s="3"/>
      <c r="H703" s="3"/>
      <c r="I703" s="3" t="s">
        <v>3779</v>
      </c>
      <c r="J703" s="3" t="s">
        <v>11</v>
      </c>
      <c r="K703" s="27" t="s">
        <v>12</v>
      </c>
    </row>
    <row r="704" ht="18.6" customHeight="1" spans="1:11">
      <c r="A704" s="3">
        <v>703</v>
      </c>
      <c r="B704" s="3" t="s">
        <v>962</v>
      </c>
      <c r="C704" s="3" t="s">
        <v>3637</v>
      </c>
      <c r="D704" s="3" t="s">
        <v>951</v>
      </c>
      <c r="E704" s="3" t="s">
        <v>951</v>
      </c>
      <c r="F704" s="3"/>
      <c r="G704" s="3"/>
      <c r="H704" s="3"/>
      <c r="I704" s="3" t="s">
        <v>3772</v>
      </c>
      <c r="J704" s="3" t="s">
        <v>11</v>
      </c>
      <c r="K704" s="27" t="s">
        <v>12</v>
      </c>
    </row>
    <row r="705" ht="18.6" customHeight="1" spans="1:11">
      <c r="A705" s="3">
        <v>704</v>
      </c>
      <c r="B705" s="3" t="s">
        <v>963</v>
      </c>
      <c r="C705" s="3" t="s">
        <v>3637</v>
      </c>
      <c r="D705" s="3" t="s">
        <v>951</v>
      </c>
      <c r="E705" s="3" t="s">
        <v>951</v>
      </c>
      <c r="F705" s="3"/>
      <c r="G705" s="3"/>
      <c r="H705" s="3"/>
      <c r="I705" s="3"/>
      <c r="J705" s="3" t="s">
        <v>11</v>
      </c>
      <c r="K705" s="27" t="s">
        <v>12</v>
      </c>
    </row>
    <row r="706" ht="18.6" customHeight="1" spans="1:11">
      <c r="A706" s="3">
        <v>705</v>
      </c>
      <c r="B706" s="3" t="s">
        <v>964</v>
      </c>
      <c r="C706" s="3" t="s">
        <v>3637</v>
      </c>
      <c r="D706" s="3" t="s">
        <v>951</v>
      </c>
      <c r="E706" s="3" t="s">
        <v>951</v>
      </c>
      <c r="F706" s="3"/>
      <c r="G706" s="3"/>
      <c r="H706" s="3"/>
      <c r="I706" s="3" t="s">
        <v>3770</v>
      </c>
      <c r="J706" s="3" t="s">
        <v>11</v>
      </c>
      <c r="K706" s="27" t="s">
        <v>12</v>
      </c>
    </row>
    <row r="707" ht="18.6" customHeight="1" spans="1:11">
      <c r="A707" s="3">
        <v>706</v>
      </c>
      <c r="B707" s="3" t="s">
        <v>965</v>
      </c>
      <c r="C707" s="3" t="s">
        <v>3637</v>
      </c>
      <c r="D707" s="3" t="s">
        <v>951</v>
      </c>
      <c r="E707" s="3" t="s">
        <v>951</v>
      </c>
      <c r="F707" s="3"/>
      <c r="G707" s="3"/>
      <c r="H707" s="3"/>
      <c r="I707" s="3" t="s">
        <v>3771</v>
      </c>
      <c r="J707" s="3" t="s">
        <v>11</v>
      </c>
      <c r="K707" s="27" t="s">
        <v>12</v>
      </c>
    </row>
    <row r="708" ht="18.6" customHeight="1" spans="1:11">
      <c r="A708" s="3">
        <v>707</v>
      </c>
      <c r="B708" s="3" t="s">
        <v>966</v>
      </c>
      <c r="C708" s="3" t="s">
        <v>3637</v>
      </c>
      <c r="D708" s="3" t="s">
        <v>951</v>
      </c>
      <c r="E708" s="3" t="s">
        <v>951</v>
      </c>
      <c r="F708" s="3"/>
      <c r="G708" s="3"/>
      <c r="H708" s="3"/>
      <c r="I708" s="3"/>
      <c r="J708" s="3" t="s">
        <v>11</v>
      </c>
      <c r="K708" s="27" t="s">
        <v>12</v>
      </c>
    </row>
    <row r="709" ht="18.6" customHeight="1" spans="1:11">
      <c r="A709" s="3">
        <v>708</v>
      </c>
      <c r="B709" s="3" t="s">
        <v>967</v>
      </c>
      <c r="C709" s="3" t="s">
        <v>3637</v>
      </c>
      <c r="D709" s="3" t="s">
        <v>951</v>
      </c>
      <c r="E709" s="3" t="s">
        <v>951</v>
      </c>
      <c r="F709" s="3"/>
      <c r="G709" s="3"/>
      <c r="H709" s="3"/>
      <c r="I709" s="3"/>
      <c r="J709" s="3" t="s">
        <v>11</v>
      </c>
      <c r="K709" s="27" t="s">
        <v>12</v>
      </c>
    </row>
    <row r="710" ht="18.6" customHeight="1" spans="1:11">
      <c r="A710" s="3">
        <v>709</v>
      </c>
      <c r="B710" s="3" t="s">
        <v>969</v>
      </c>
      <c r="C710" s="3" t="s">
        <v>3637</v>
      </c>
      <c r="D710" s="3" t="s">
        <v>951</v>
      </c>
      <c r="E710" s="3" t="s">
        <v>951</v>
      </c>
      <c r="F710" s="3"/>
      <c r="G710" s="3"/>
      <c r="H710" s="3"/>
      <c r="I710" s="3"/>
      <c r="J710" s="3" t="s">
        <v>11</v>
      </c>
      <c r="K710" s="27" t="s">
        <v>12</v>
      </c>
    </row>
    <row r="711" ht="18.6" customHeight="1" spans="1:11">
      <c r="A711" s="3">
        <v>710</v>
      </c>
      <c r="B711" s="3" t="s">
        <v>970</v>
      </c>
      <c r="C711" s="3" t="s">
        <v>3309</v>
      </c>
      <c r="D711" s="3" t="s">
        <v>971</v>
      </c>
      <c r="E711" s="3" t="s">
        <v>972</v>
      </c>
      <c r="F711" s="3">
        <v>985</v>
      </c>
      <c r="G711" s="3">
        <v>211</v>
      </c>
      <c r="H711" s="3" t="s">
        <v>5</v>
      </c>
      <c r="I711" s="3" t="s">
        <v>3769</v>
      </c>
      <c r="J711" s="3" t="s">
        <v>11</v>
      </c>
      <c r="K711" s="27" t="s">
        <v>12</v>
      </c>
    </row>
    <row r="712" ht="18.6" customHeight="1" spans="1:11">
      <c r="A712" s="3">
        <v>711</v>
      </c>
      <c r="B712" s="3" t="s">
        <v>973</v>
      </c>
      <c r="C712" s="3" t="s">
        <v>3309</v>
      </c>
      <c r="D712" s="3" t="s">
        <v>971</v>
      </c>
      <c r="E712" s="3" t="s">
        <v>972</v>
      </c>
      <c r="F712" s="3"/>
      <c r="G712" s="3">
        <v>211</v>
      </c>
      <c r="H712" s="3" t="s">
        <v>5</v>
      </c>
      <c r="I712" s="3" t="s">
        <v>3770</v>
      </c>
      <c r="J712" s="3" t="s">
        <v>11</v>
      </c>
      <c r="K712" s="27" t="s">
        <v>12</v>
      </c>
    </row>
    <row r="713" ht="18.6" customHeight="1" spans="1:11">
      <c r="A713" s="3">
        <v>712</v>
      </c>
      <c r="B713" s="3" t="s">
        <v>974</v>
      </c>
      <c r="C713" s="3" t="s">
        <v>3309</v>
      </c>
      <c r="D713" s="3" t="s">
        <v>971</v>
      </c>
      <c r="E713" s="3" t="s">
        <v>972</v>
      </c>
      <c r="F713" s="3">
        <v>985</v>
      </c>
      <c r="G713" s="3">
        <v>211</v>
      </c>
      <c r="H713" s="3" t="s">
        <v>5</v>
      </c>
      <c r="I713" s="3" t="s">
        <v>3770</v>
      </c>
      <c r="J713" s="3" t="s">
        <v>11</v>
      </c>
      <c r="K713" s="27" t="s">
        <v>12</v>
      </c>
    </row>
    <row r="714" ht="18.6" customHeight="1" spans="1:11">
      <c r="A714" s="3">
        <v>713</v>
      </c>
      <c r="B714" s="3" t="s">
        <v>975</v>
      </c>
      <c r="C714" s="3" t="s">
        <v>3641</v>
      </c>
      <c r="D714" s="3" t="s">
        <v>971</v>
      </c>
      <c r="E714" s="3" t="s">
        <v>972</v>
      </c>
      <c r="F714" s="3"/>
      <c r="G714" s="3"/>
      <c r="H714" s="3" t="s">
        <v>3774</v>
      </c>
      <c r="I714" s="3" t="s">
        <v>3770</v>
      </c>
      <c r="J714" s="3" t="s">
        <v>11</v>
      </c>
      <c r="K714" s="27" t="s">
        <v>12</v>
      </c>
    </row>
    <row r="715" ht="18.6" customHeight="1" spans="1:11">
      <c r="A715" s="3">
        <v>714</v>
      </c>
      <c r="B715" s="3" t="s">
        <v>976</v>
      </c>
      <c r="C715" s="3" t="s">
        <v>3641</v>
      </c>
      <c r="D715" s="3" t="s">
        <v>971</v>
      </c>
      <c r="E715" s="3" t="s">
        <v>972</v>
      </c>
      <c r="F715" s="3"/>
      <c r="G715" s="3"/>
      <c r="H715" s="3" t="s">
        <v>3774</v>
      </c>
      <c r="I715" s="3" t="s">
        <v>3770</v>
      </c>
      <c r="J715" s="3" t="s">
        <v>11</v>
      </c>
      <c r="K715" s="27" t="s">
        <v>12</v>
      </c>
    </row>
    <row r="716" ht="18.6" customHeight="1" spans="1:11">
      <c r="A716" s="3">
        <v>715</v>
      </c>
      <c r="B716" s="3" t="s">
        <v>977</v>
      </c>
      <c r="C716" s="3" t="s">
        <v>3641</v>
      </c>
      <c r="D716" s="3" t="s">
        <v>971</v>
      </c>
      <c r="E716" s="3" t="s">
        <v>978</v>
      </c>
      <c r="F716" s="3"/>
      <c r="G716" s="3"/>
      <c r="H716" s="3"/>
      <c r="I716" s="3" t="s">
        <v>3770</v>
      </c>
      <c r="J716" s="3" t="s">
        <v>11</v>
      </c>
      <c r="K716" s="27" t="s">
        <v>12</v>
      </c>
    </row>
    <row r="717" ht="18.6" customHeight="1" spans="1:11">
      <c r="A717" s="3">
        <v>716</v>
      </c>
      <c r="B717" s="3" t="s">
        <v>979</v>
      </c>
      <c r="C717" s="3" t="s">
        <v>3641</v>
      </c>
      <c r="D717" s="3" t="s">
        <v>971</v>
      </c>
      <c r="E717" s="3" t="s">
        <v>972</v>
      </c>
      <c r="F717" s="3"/>
      <c r="G717" s="3"/>
      <c r="H717" s="3"/>
      <c r="I717" s="3" t="s">
        <v>3770</v>
      </c>
      <c r="J717" s="3" t="s">
        <v>11</v>
      </c>
      <c r="K717" s="27" t="s">
        <v>12</v>
      </c>
    </row>
    <row r="718" ht="18.6" customHeight="1" spans="1:11">
      <c r="A718" s="3">
        <v>717</v>
      </c>
      <c r="B718" s="3" t="s">
        <v>980</v>
      </c>
      <c r="C718" s="3" t="s">
        <v>3641</v>
      </c>
      <c r="D718" s="3" t="s">
        <v>971</v>
      </c>
      <c r="E718" s="3" t="s">
        <v>981</v>
      </c>
      <c r="F718" s="3"/>
      <c r="G718" s="3"/>
      <c r="H718" s="3"/>
      <c r="I718" s="3"/>
      <c r="J718" s="3" t="s">
        <v>11</v>
      </c>
      <c r="K718" s="27" t="s">
        <v>12</v>
      </c>
    </row>
    <row r="719" ht="18.6" customHeight="1" spans="1:11">
      <c r="A719" s="3">
        <v>718</v>
      </c>
      <c r="B719" s="3" t="s">
        <v>982</v>
      </c>
      <c r="C719" s="3" t="s">
        <v>3641</v>
      </c>
      <c r="D719" s="3" t="s">
        <v>971</v>
      </c>
      <c r="E719" s="3" t="s">
        <v>972</v>
      </c>
      <c r="F719" s="3"/>
      <c r="G719" s="3"/>
      <c r="H719" s="3"/>
      <c r="I719" s="3" t="s">
        <v>3769</v>
      </c>
      <c r="J719" s="3" t="s">
        <v>11</v>
      </c>
      <c r="K719" s="27" t="s">
        <v>12</v>
      </c>
    </row>
    <row r="720" ht="18.6" customHeight="1" spans="1:11">
      <c r="A720" s="3">
        <v>719</v>
      </c>
      <c r="B720" s="3" t="s">
        <v>983</v>
      </c>
      <c r="C720" s="3" t="s">
        <v>3327</v>
      </c>
      <c r="D720" s="3" t="s">
        <v>971</v>
      </c>
      <c r="E720" s="3" t="s">
        <v>984</v>
      </c>
      <c r="F720" s="3"/>
      <c r="G720" s="3"/>
      <c r="H720" s="3"/>
      <c r="I720" s="3"/>
      <c r="J720" s="3" t="s">
        <v>11</v>
      </c>
      <c r="K720" s="27" t="s">
        <v>12</v>
      </c>
    </row>
    <row r="721" ht="18.6" customHeight="1" spans="1:11">
      <c r="A721" s="3">
        <v>720</v>
      </c>
      <c r="B721" s="3" t="s">
        <v>985</v>
      </c>
      <c r="C721" s="3" t="s">
        <v>3641</v>
      </c>
      <c r="D721" s="3" t="s">
        <v>971</v>
      </c>
      <c r="E721" s="3" t="s">
        <v>986</v>
      </c>
      <c r="F721" s="3"/>
      <c r="G721" s="3">
        <v>211</v>
      </c>
      <c r="H721" s="3" t="s">
        <v>5</v>
      </c>
      <c r="I721" s="3" t="s">
        <v>3773</v>
      </c>
      <c r="J721" s="3" t="s">
        <v>11</v>
      </c>
      <c r="K721" s="27" t="s">
        <v>12</v>
      </c>
    </row>
    <row r="722" ht="18.6" customHeight="1" spans="1:11">
      <c r="A722" s="3">
        <v>721</v>
      </c>
      <c r="B722" s="3" t="s">
        <v>987</v>
      </c>
      <c r="C722" s="3" t="s">
        <v>3641</v>
      </c>
      <c r="D722" s="3" t="s">
        <v>971</v>
      </c>
      <c r="E722" s="3" t="s">
        <v>988</v>
      </c>
      <c r="F722" s="3"/>
      <c r="G722" s="3"/>
      <c r="H722" s="3"/>
      <c r="I722" s="3"/>
      <c r="J722" s="3" t="s">
        <v>11</v>
      </c>
      <c r="K722" s="27" t="s">
        <v>12</v>
      </c>
    </row>
    <row r="723" ht="18.6" customHeight="1" spans="1:11">
      <c r="A723" s="3">
        <v>722</v>
      </c>
      <c r="B723" s="3" t="s">
        <v>989</v>
      </c>
      <c r="C723" s="3" t="s">
        <v>3641</v>
      </c>
      <c r="D723" s="3" t="s">
        <v>971</v>
      </c>
      <c r="E723" s="3" t="s">
        <v>990</v>
      </c>
      <c r="F723" s="3"/>
      <c r="G723" s="3"/>
      <c r="H723" s="3"/>
      <c r="I723" s="3"/>
      <c r="J723" s="3" t="s">
        <v>11</v>
      </c>
      <c r="K723" s="27" t="s">
        <v>12</v>
      </c>
    </row>
    <row r="724" ht="18.6" customHeight="1" spans="1:11">
      <c r="A724" s="3">
        <v>723</v>
      </c>
      <c r="B724" s="3" t="s">
        <v>991</v>
      </c>
      <c r="C724" s="3" t="s">
        <v>3641</v>
      </c>
      <c r="D724" s="3" t="s">
        <v>971</v>
      </c>
      <c r="E724" s="3" t="s">
        <v>972</v>
      </c>
      <c r="F724" s="3"/>
      <c r="G724" s="3"/>
      <c r="H724" s="3" t="s">
        <v>3774</v>
      </c>
      <c r="I724" s="3" t="s">
        <v>3775</v>
      </c>
      <c r="J724" s="3" t="s">
        <v>11</v>
      </c>
      <c r="K724" s="27" t="s">
        <v>12</v>
      </c>
    </row>
    <row r="725" ht="18.6" customHeight="1" spans="1:11">
      <c r="A725" s="3">
        <v>724</v>
      </c>
      <c r="B725" s="3" t="s">
        <v>992</v>
      </c>
      <c r="C725" s="3" t="s">
        <v>3641</v>
      </c>
      <c r="D725" s="3" t="s">
        <v>971</v>
      </c>
      <c r="E725" s="3" t="s">
        <v>993</v>
      </c>
      <c r="F725" s="3"/>
      <c r="G725" s="3"/>
      <c r="H725" s="3"/>
      <c r="I725" s="3"/>
      <c r="J725" s="3" t="s">
        <v>11</v>
      </c>
      <c r="K725" s="27" t="s">
        <v>12</v>
      </c>
    </row>
    <row r="726" ht="18.6" customHeight="1" spans="1:11">
      <c r="A726" s="3">
        <v>725</v>
      </c>
      <c r="B726" s="3" t="s">
        <v>994</v>
      </c>
      <c r="C726" s="3" t="s">
        <v>3641</v>
      </c>
      <c r="D726" s="3" t="s">
        <v>971</v>
      </c>
      <c r="E726" s="3" t="s">
        <v>972</v>
      </c>
      <c r="F726" s="3"/>
      <c r="G726" s="3"/>
      <c r="H726" s="3"/>
      <c r="I726" s="3" t="s">
        <v>3776</v>
      </c>
      <c r="J726" s="3" t="s">
        <v>11</v>
      </c>
      <c r="K726" s="27" t="s">
        <v>12</v>
      </c>
    </row>
    <row r="727" ht="18.6" customHeight="1" spans="1:11">
      <c r="A727" s="3">
        <v>726</v>
      </c>
      <c r="B727" s="3" t="s">
        <v>995</v>
      </c>
      <c r="C727" s="3" t="s">
        <v>3641</v>
      </c>
      <c r="D727" s="3" t="s">
        <v>971</v>
      </c>
      <c r="E727" s="3" t="s">
        <v>993</v>
      </c>
      <c r="F727" s="3"/>
      <c r="G727" s="3"/>
      <c r="H727" s="3"/>
      <c r="I727" s="3" t="s">
        <v>3776</v>
      </c>
      <c r="J727" s="3" t="s">
        <v>11</v>
      </c>
      <c r="K727" s="27" t="s">
        <v>12</v>
      </c>
    </row>
    <row r="728" ht="18.6" customHeight="1" spans="1:11">
      <c r="A728" s="3">
        <v>727</v>
      </c>
      <c r="B728" s="3" t="s">
        <v>996</v>
      </c>
      <c r="C728" s="3" t="s">
        <v>3641</v>
      </c>
      <c r="D728" s="3" t="s">
        <v>971</v>
      </c>
      <c r="E728" s="3" t="s">
        <v>978</v>
      </c>
      <c r="F728" s="3"/>
      <c r="G728" s="3"/>
      <c r="H728" s="3"/>
      <c r="I728" s="3"/>
      <c r="J728" s="3" t="s">
        <v>11</v>
      </c>
      <c r="K728" s="27" t="s">
        <v>12</v>
      </c>
    </row>
    <row r="729" ht="18.6" customHeight="1" spans="1:11">
      <c r="A729" s="3">
        <v>728</v>
      </c>
      <c r="B729" s="3" t="s">
        <v>997</v>
      </c>
      <c r="C729" s="3" t="s">
        <v>3641</v>
      </c>
      <c r="D729" s="3" t="s">
        <v>971</v>
      </c>
      <c r="E729" s="3" t="s">
        <v>998</v>
      </c>
      <c r="F729" s="3"/>
      <c r="G729" s="3"/>
      <c r="H729" s="3"/>
      <c r="I729" s="3"/>
      <c r="J729" s="3" t="s">
        <v>11</v>
      </c>
      <c r="K729" s="27" t="s">
        <v>12</v>
      </c>
    </row>
    <row r="730" ht="18.6" customHeight="1" spans="1:11">
      <c r="A730" s="3">
        <v>729</v>
      </c>
      <c r="B730" s="3" t="s">
        <v>999</v>
      </c>
      <c r="C730" s="3" t="s">
        <v>3641</v>
      </c>
      <c r="D730" s="3" t="s">
        <v>971</v>
      </c>
      <c r="E730" s="3" t="s">
        <v>1000</v>
      </c>
      <c r="F730" s="3"/>
      <c r="G730" s="3"/>
      <c r="H730" s="3"/>
      <c r="I730" s="3"/>
      <c r="J730" s="3" t="s">
        <v>11</v>
      </c>
      <c r="K730" s="27" t="s">
        <v>12</v>
      </c>
    </row>
    <row r="731" ht="18.6" customHeight="1" spans="1:11">
      <c r="A731" s="3">
        <v>730</v>
      </c>
      <c r="B731" s="3" t="s">
        <v>1001</v>
      </c>
      <c r="C731" s="3" t="s">
        <v>3641</v>
      </c>
      <c r="D731" s="3" t="s">
        <v>971</v>
      </c>
      <c r="E731" s="3" t="s">
        <v>1002</v>
      </c>
      <c r="F731" s="3"/>
      <c r="G731" s="3"/>
      <c r="H731" s="3"/>
      <c r="I731" s="3"/>
      <c r="J731" s="3" t="s">
        <v>11</v>
      </c>
      <c r="K731" s="27" t="s">
        <v>12</v>
      </c>
    </row>
    <row r="732" ht="18.6" customHeight="1" spans="1:11">
      <c r="A732" s="3">
        <v>731</v>
      </c>
      <c r="B732" s="3" t="s">
        <v>1003</v>
      </c>
      <c r="C732" s="3" t="s">
        <v>3641</v>
      </c>
      <c r="D732" s="3" t="s">
        <v>971</v>
      </c>
      <c r="E732" s="3" t="s">
        <v>1004</v>
      </c>
      <c r="F732" s="3"/>
      <c r="G732" s="3"/>
      <c r="H732" s="3"/>
      <c r="I732" s="3"/>
      <c r="J732" s="3" t="s">
        <v>11</v>
      </c>
      <c r="K732" s="27" t="s">
        <v>12</v>
      </c>
    </row>
    <row r="733" ht="18.6" customHeight="1" spans="1:11">
      <c r="A733" s="3">
        <v>732</v>
      </c>
      <c r="B733" s="3" t="s">
        <v>1005</v>
      </c>
      <c r="C733" s="3" t="s">
        <v>3641</v>
      </c>
      <c r="D733" s="3" t="s">
        <v>971</v>
      </c>
      <c r="E733" s="3" t="s">
        <v>1006</v>
      </c>
      <c r="F733" s="3"/>
      <c r="G733" s="3"/>
      <c r="H733" s="3"/>
      <c r="I733" s="3"/>
      <c r="J733" s="3" t="s">
        <v>11</v>
      </c>
      <c r="K733" s="27" t="s">
        <v>12</v>
      </c>
    </row>
    <row r="734" ht="18.6" customHeight="1" spans="1:11">
      <c r="A734" s="3">
        <v>733</v>
      </c>
      <c r="B734" s="3" t="s">
        <v>1007</v>
      </c>
      <c r="C734" s="3" t="s">
        <v>3309</v>
      </c>
      <c r="D734" s="3" t="s">
        <v>971</v>
      </c>
      <c r="E734" s="3" t="s">
        <v>972</v>
      </c>
      <c r="F734" s="3"/>
      <c r="G734" s="3">
        <v>211</v>
      </c>
      <c r="H734" s="3" t="s">
        <v>5</v>
      </c>
      <c r="I734" s="3" t="s">
        <v>3771</v>
      </c>
      <c r="J734" s="3" t="s">
        <v>11</v>
      </c>
      <c r="K734" s="27" t="s">
        <v>12</v>
      </c>
    </row>
    <row r="735" ht="18.6" customHeight="1" spans="1:11">
      <c r="A735" s="3">
        <v>734</v>
      </c>
      <c r="B735" s="3" t="s">
        <v>1008</v>
      </c>
      <c r="C735" s="3" t="s">
        <v>3641</v>
      </c>
      <c r="D735" s="3" t="s">
        <v>971</v>
      </c>
      <c r="E735" s="3" t="s">
        <v>972</v>
      </c>
      <c r="F735" s="3"/>
      <c r="G735" s="3"/>
      <c r="H735" s="3"/>
      <c r="I735" s="3"/>
      <c r="J735" s="3" t="s">
        <v>11</v>
      </c>
      <c r="K735" s="27" t="s">
        <v>12</v>
      </c>
    </row>
    <row r="736" ht="18.6" customHeight="1" spans="1:11">
      <c r="A736" s="3">
        <v>735</v>
      </c>
      <c r="B736" s="3" t="s">
        <v>1009</v>
      </c>
      <c r="C736" s="3" t="s">
        <v>3641</v>
      </c>
      <c r="D736" s="3" t="s">
        <v>971</v>
      </c>
      <c r="E736" s="3" t="s">
        <v>972</v>
      </c>
      <c r="F736" s="3"/>
      <c r="G736" s="3"/>
      <c r="H736" s="3"/>
      <c r="I736" s="3"/>
      <c r="J736" s="3" t="s">
        <v>11</v>
      </c>
      <c r="K736" s="27" t="s">
        <v>12</v>
      </c>
    </row>
    <row r="737" ht="18.6" customHeight="1" spans="1:11">
      <c r="A737" s="3">
        <v>736</v>
      </c>
      <c r="B737" s="3" t="s">
        <v>1010</v>
      </c>
      <c r="C737" s="3" t="s">
        <v>3318</v>
      </c>
      <c r="D737" s="3" t="s">
        <v>971</v>
      </c>
      <c r="E737" s="3" t="s">
        <v>972</v>
      </c>
      <c r="F737" s="3"/>
      <c r="G737" s="3"/>
      <c r="H737" s="3"/>
      <c r="I737" s="3" t="s">
        <v>3780</v>
      </c>
      <c r="J737" s="3" t="s">
        <v>11</v>
      </c>
      <c r="K737" s="27" t="s">
        <v>12</v>
      </c>
    </row>
    <row r="738" ht="18.6" customHeight="1" spans="1:11">
      <c r="A738" s="3">
        <v>737</v>
      </c>
      <c r="B738" s="3" t="s">
        <v>1011</v>
      </c>
      <c r="C738" s="3" t="s">
        <v>3641</v>
      </c>
      <c r="D738" s="3" t="s">
        <v>971</v>
      </c>
      <c r="E738" s="3" t="s">
        <v>972</v>
      </c>
      <c r="F738" s="3"/>
      <c r="G738" s="3"/>
      <c r="H738" s="3"/>
      <c r="I738" s="3" t="s">
        <v>3769</v>
      </c>
      <c r="J738" s="3" t="s">
        <v>11</v>
      </c>
      <c r="K738" s="27" t="s">
        <v>12</v>
      </c>
    </row>
    <row r="739" ht="18.6" customHeight="1" spans="1:11">
      <c r="A739" s="3">
        <v>738</v>
      </c>
      <c r="B739" s="3" t="s">
        <v>1012</v>
      </c>
      <c r="C739" s="3" t="s">
        <v>3641</v>
      </c>
      <c r="D739" s="3" t="s">
        <v>971</v>
      </c>
      <c r="E739" s="3" t="s">
        <v>972</v>
      </c>
      <c r="F739" s="3"/>
      <c r="G739" s="3"/>
      <c r="H739" s="3"/>
      <c r="I739" s="3"/>
      <c r="J739" s="3" t="s">
        <v>11</v>
      </c>
      <c r="K739" s="27" t="s">
        <v>12</v>
      </c>
    </row>
    <row r="740" ht="18.6" customHeight="1" spans="1:11">
      <c r="A740" s="3">
        <v>739</v>
      </c>
      <c r="B740" s="3" t="s">
        <v>1013</v>
      </c>
      <c r="C740" s="3" t="s">
        <v>3641</v>
      </c>
      <c r="D740" s="3" t="s">
        <v>971</v>
      </c>
      <c r="E740" s="3" t="s">
        <v>1014</v>
      </c>
      <c r="F740" s="3"/>
      <c r="G740" s="3"/>
      <c r="H740" s="3"/>
      <c r="I740" s="3"/>
      <c r="J740" s="3" t="s">
        <v>11</v>
      </c>
      <c r="K740" s="27" t="s">
        <v>12</v>
      </c>
    </row>
    <row r="741" ht="18.6" customHeight="1" spans="1:11">
      <c r="A741" s="3">
        <v>740</v>
      </c>
      <c r="B741" s="3" t="s">
        <v>1015</v>
      </c>
      <c r="C741" s="3" t="s">
        <v>3641</v>
      </c>
      <c r="D741" s="3" t="s">
        <v>971</v>
      </c>
      <c r="E741" s="3" t="s">
        <v>972</v>
      </c>
      <c r="F741" s="3"/>
      <c r="G741" s="3"/>
      <c r="H741" s="3"/>
      <c r="I741" s="3"/>
      <c r="J741" s="3" t="s">
        <v>11</v>
      </c>
      <c r="K741" s="27" t="s">
        <v>12</v>
      </c>
    </row>
    <row r="742" ht="18.6" customHeight="1" spans="1:11">
      <c r="A742" s="3">
        <v>741</v>
      </c>
      <c r="B742" s="3" t="s">
        <v>1016</v>
      </c>
      <c r="C742" s="3" t="s">
        <v>3641</v>
      </c>
      <c r="D742" s="3" t="s">
        <v>971</v>
      </c>
      <c r="E742" s="3" t="s">
        <v>1017</v>
      </c>
      <c r="F742" s="3"/>
      <c r="G742" s="3"/>
      <c r="H742" s="3"/>
      <c r="I742" s="3"/>
      <c r="J742" s="3" t="s">
        <v>11</v>
      </c>
      <c r="K742" s="27" t="s">
        <v>12</v>
      </c>
    </row>
    <row r="743" ht="18.6" customHeight="1" spans="1:11">
      <c r="A743" s="3">
        <v>742</v>
      </c>
      <c r="B743" s="3" t="s">
        <v>1018</v>
      </c>
      <c r="C743" s="3" t="s">
        <v>3641</v>
      </c>
      <c r="D743" s="3" t="s">
        <v>971</v>
      </c>
      <c r="E743" s="3" t="s">
        <v>990</v>
      </c>
      <c r="F743" s="3"/>
      <c r="G743" s="3"/>
      <c r="H743" s="3"/>
      <c r="I743" s="3"/>
      <c r="J743" s="3" t="s">
        <v>11</v>
      </c>
      <c r="K743" s="27" t="s">
        <v>12</v>
      </c>
    </row>
    <row r="744" ht="18.6" customHeight="1" spans="1:11">
      <c r="A744" s="3">
        <v>743</v>
      </c>
      <c r="B744" s="3" t="s">
        <v>1019</v>
      </c>
      <c r="C744" s="3" t="s">
        <v>3641</v>
      </c>
      <c r="D744" s="3" t="s">
        <v>971</v>
      </c>
      <c r="E744" s="3" t="s">
        <v>972</v>
      </c>
      <c r="F744" s="3"/>
      <c r="G744" s="3"/>
      <c r="H744" s="3"/>
      <c r="I744" s="3"/>
      <c r="J744" s="3" t="s">
        <v>11</v>
      </c>
      <c r="K744" s="27" t="s">
        <v>12</v>
      </c>
    </row>
    <row r="745" ht="18.6" customHeight="1" spans="1:11">
      <c r="A745" s="3">
        <v>744</v>
      </c>
      <c r="B745" s="3" t="s">
        <v>1020</v>
      </c>
      <c r="C745" s="3" t="s">
        <v>3641</v>
      </c>
      <c r="D745" s="3" t="s">
        <v>971</v>
      </c>
      <c r="E745" s="3" t="s">
        <v>972</v>
      </c>
      <c r="F745" s="3"/>
      <c r="G745" s="3"/>
      <c r="H745" s="3"/>
      <c r="I745" s="3"/>
      <c r="J745" s="3" t="s">
        <v>11</v>
      </c>
      <c r="K745" s="27" t="s">
        <v>12</v>
      </c>
    </row>
    <row r="746" ht="18.6" customHeight="1" spans="1:11">
      <c r="A746" s="3">
        <v>745</v>
      </c>
      <c r="B746" s="3" t="s">
        <v>1023</v>
      </c>
      <c r="C746" s="3" t="s">
        <v>3641</v>
      </c>
      <c r="D746" s="3" t="s">
        <v>971</v>
      </c>
      <c r="E746" s="3" t="s">
        <v>984</v>
      </c>
      <c r="F746" s="3"/>
      <c r="G746" s="3"/>
      <c r="H746" s="3"/>
      <c r="I746" s="3"/>
      <c r="J746" s="3" t="s">
        <v>11</v>
      </c>
      <c r="K746" s="27" t="s">
        <v>12</v>
      </c>
    </row>
    <row r="747" ht="18.6" customHeight="1" spans="1:11">
      <c r="A747" s="3">
        <v>746</v>
      </c>
      <c r="B747" s="3" t="s">
        <v>1025</v>
      </c>
      <c r="C747" s="3" t="s">
        <v>3666</v>
      </c>
      <c r="D747" s="3" t="s">
        <v>1026</v>
      </c>
      <c r="E747" s="3" t="s">
        <v>1027</v>
      </c>
      <c r="F747" s="3"/>
      <c r="G747" s="3">
        <v>211</v>
      </c>
      <c r="H747" s="3" t="s">
        <v>5</v>
      </c>
      <c r="I747" s="3" t="s">
        <v>3769</v>
      </c>
      <c r="J747" s="3" t="s">
        <v>11</v>
      </c>
      <c r="K747" s="27" t="s">
        <v>12</v>
      </c>
    </row>
    <row r="748" ht="18.6" customHeight="1" spans="1:11">
      <c r="A748" s="3">
        <v>747</v>
      </c>
      <c r="B748" s="3" t="s">
        <v>1028</v>
      </c>
      <c r="C748" s="3" t="s">
        <v>3666</v>
      </c>
      <c r="D748" s="3" t="s">
        <v>1026</v>
      </c>
      <c r="E748" s="3" t="s">
        <v>1027</v>
      </c>
      <c r="F748" s="3"/>
      <c r="G748" s="3"/>
      <c r="H748" s="3"/>
      <c r="I748" s="3" t="s">
        <v>3775</v>
      </c>
      <c r="J748" s="3" t="s">
        <v>11</v>
      </c>
      <c r="K748" s="27" t="s">
        <v>12</v>
      </c>
    </row>
    <row r="749" ht="18.6" customHeight="1" spans="1:11">
      <c r="A749" s="3">
        <v>748</v>
      </c>
      <c r="B749" s="3" t="s">
        <v>1029</v>
      </c>
      <c r="C749" s="3" t="s">
        <v>3666</v>
      </c>
      <c r="D749" s="3" t="s">
        <v>1026</v>
      </c>
      <c r="E749" s="3" t="s">
        <v>1030</v>
      </c>
      <c r="F749" s="3"/>
      <c r="G749" s="3"/>
      <c r="H749" s="3"/>
      <c r="I749" s="3"/>
      <c r="J749" s="3" t="s">
        <v>11</v>
      </c>
      <c r="K749" s="27" t="s">
        <v>12</v>
      </c>
    </row>
    <row r="750" ht="18.6" customHeight="1" spans="1:11">
      <c r="A750" s="3">
        <v>749</v>
      </c>
      <c r="B750" s="3" t="s">
        <v>1031</v>
      </c>
      <c r="C750" s="3" t="s">
        <v>3666</v>
      </c>
      <c r="D750" s="3" t="s">
        <v>1026</v>
      </c>
      <c r="E750" s="3" t="s">
        <v>1027</v>
      </c>
      <c r="F750" s="3"/>
      <c r="G750" s="3"/>
      <c r="H750" s="3"/>
      <c r="I750" s="3"/>
      <c r="J750" s="3" t="s">
        <v>11</v>
      </c>
      <c r="K750" s="27" t="s">
        <v>12</v>
      </c>
    </row>
    <row r="751" ht="18.6" customHeight="1" spans="1:11">
      <c r="A751" s="3">
        <v>750</v>
      </c>
      <c r="B751" s="3" t="s">
        <v>1032</v>
      </c>
      <c r="C751" s="3" t="s">
        <v>3666</v>
      </c>
      <c r="D751" s="3" t="s">
        <v>1026</v>
      </c>
      <c r="E751" s="3" t="s">
        <v>1027</v>
      </c>
      <c r="F751" s="3"/>
      <c r="G751" s="3"/>
      <c r="H751" s="3"/>
      <c r="I751" s="3" t="s">
        <v>3776</v>
      </c>
      <c r="J751" s="3" t="s">
        <v>11</v>
      </c>
      <c r="K751" s="27" t="s">
        <v>12</v>
      </c>
    </row>
    <row r="752" ht="18.6" customHeight="1" spans="1:11">
      <c r="A752" s="3">
        <v>751</v>
      </c>
      <c r="B752" s="3" t="s">
        <v>1033</v>
      </c>
      <c r="C752" s="3" t="s">
        <v>3666</v>
      </c>
      <c r="D752" s="3" t="s">
        <v>1026</v>
      </c>
      <c r="E752" s="3" t="s">
        <v>1030</v>
      </c>
      <c r="F752" s="3"/>
      <c r="G752" s="3"/>
      <c r="H752" s="3"/>
      <c r="I752" s="3"/>
      <c r="J752" s="3" t="s">
        <v>11</v>
      </c>
      <c r="K752" s="27" t="s">
        <v>12</v>
      </c>
    </row>
    <row r="753" ht="18.6" customHeight="1" spans="1:11">
      <c r="A753" s="3">
        <v>752</v>
      </c>
      <c r="B753" s="3" t="s">
        <v>1034</v>
      </c>
      <c r="C753" s="3" t="s">
        <v>3666</v>
      </c>
      <c r="D753" s="3" t="s">
        <v>1026</v>
      </c>
      <c r="E753" s="3" t="s">
        <v>1035</v>
      </c>
      <c r="F753" s="3"/>
      <c r="G753" s="3"/>
      <c r="H753" s="3"/>
      <c r="I753" s="3"/>
      <c r="J753" s="3" t="s">
        <v>11</v>
      </c>
      <c r="K753" s="27" t="s">
        <v>12</v>
      </c>
    </row>
    <row r="754" ht="18.6" customHeight="1" spans="1:11">
      <c r="A754" s="3">
        <v>753</v>
      </c>
      <c r="B754" s="3" t="s">
        <v>1036</v>
      </c>
      <c r="C754" s="3" t="s">
        <v>3666</v>
      </c>
      <c r="D754" s="3" t="s">
        <v>1026</v>
      </c>
      <c r="E754" s="3" t="s">
        <v>1037</v>
      </c>
      <c r="F754" s="3"/>
      <c r="G754" s="3"/>
      <c r="H754" s="3"/>
      <c r="I754" s="3"/>
      <c r="J754" s="3" t="s">
        <v>11</v>
      </c>
      <c r="K754" s="27" t="s">
        <v>12</v>
      </c>
    </row>
    <row r="755" ht="18.6" customHeight="1" spans="1:11">
      <c r="A755" s="3">
        <v>754</v>
      </c>
      <c r="B755" s="3" t="s">
        <v>1038</v>
      </c>
      <c r="C755" s="3" t="s">
        <v>3666</v>
      </c>
      <c r="D755" s="3" t="s">
        <v>1026</v>
      </c>
      <c r="E755" s="3" t="s">
        <v>1039</v>
      </c>
      <c r="F755" s="3"/>
      <c r="G755" s="3"/>
      <c r="H755" s="3"/>
      <c r="I755" s="3"/>
      <c r="J755" s="3" t="s">
        <v>11</v>
      </c>
      <c r="K755" s="27" t="s">
        <v>12</v>
      </c>
    </row>
    <row r="756" ht="18.6" customHeight="1" spans="1:11">
      <c r="A756" s="3">
        <v>755</v>
      </c>
      <c r="B756" s="3" t="s">
        <v>1040</v>
      </c>
      <c r="C756" s="3" t="s">
        <v>3666</v>
      </c>
      <c r="D756" s="3" t="s">
        <v>1026</v>
      </c>
      <c r="E756" s="3" t="s">
        <v>1041</v>
      </c>
      <c r="F756" s="3"/>
      <c r="G756" s="3"/>
      <c r="H756" s="3"/>
      <c r="I756" s="3"/>
      <c r="J756" s="3" t="s">
        <v>11</v>
      </c>
      <c r="K756" s="27" t="s">
        <v>12</v>
      </c>
    </row>
    <row r="757" ht="18.6" customHeight="1" spans="1:11">
      <c r="A757" s="3">
        <v>756</v>
      </c>
      <c r="B757" s="3" t="s">
        <v>1042</v>
      </c>
      <c r="C757" s="3" t="s">
        <v>3666</v>
      </c>
      <c r="D757" s="3" t="s">
        <v>1026</v>
      </c>
      <c r="E757" s="3" t="s">
        <v>1043</v>
      </c>
      <c r="F757" s="3"/>
      <c r="G757" s="3"/>
      <c r="H757" s="3"/>
      <c r="I757" s="3"/>
      <c r="J757" s="3" t="s">
        <v>11</v>
      </c>
      <c r="K757" s="27" t="s">
        <v>12</v>
      </c>
    </row>
    <row r="758" ht="18.6" customHeight="1" spans="1:11">
      <c r="A758" s="3">
        <v>757</v>
      </c>
      <c r="B758" s="3" t="s">
        <v>1044</v>
      </c>
      <c r="C758" s="3" t="s">
        <v>3666</v>
      </c>
      <c r="D758" s="3" t="s">
        <v>1026</v>
      </c>
      <c r="E758" s="3" t="s">
        <v>1045</v>
      </c>
      <c r="F758" s="3"/>
      <c r="G758" s="3"/>
      <c r="H758" s="3"/>
      <c r="I758" s="3"/>
      <c r="J758" s="3" t="s">
        <v>11</v>
      </c>
      <c r="K758" s="27" t="s">
        <v>12</v>
      </c>
    </row>
    <row r="759" ht="18.6" customHeight="1" spans="1:11">
      <c r="A759" s="3">
        <v>758</v>
      </c>
      <c r="B759" s="3" t="s">
        <v>1046</v>
      </c>
      <c r="C759" s="3" t="s">
        <v>3666</v>
      </c>
      <c r="D759" s="3" t="s">
        <v>1026</v>
      </c>
      <c r="E759" s="3" t="s">
        <v>1027</v>
      </c>
      <c r="F759" s="3"/>
      <c r="G759" s="3"/>
      <c r="H759" s="3"/>
      <c r="I759" s="3" t="s">
        <v>3771</v>
      </c>
      <c r="J759" s="3" t="s">
        <v>11</v>
      </c>
      <c r="K759" s="27" t="s">
        <v>12</v>
      </c>
    </row>
    <row r="760" ht="18.6" customHeight="1" spans="1:11">
      <c r="A760" s="3">
        <v>759</v>
      </c>
      <c r="B760" s="3" t="s">
        <v>1047</v>
      </c>
      <c r="C760" s="3" t="s">
        <v>3666</v>
      </c>
      <c r="D760" s="3" t="s">
        <v>1026</v>
      </c>
      <c r="E760" s="3" t="s">
        <v>1027</v>
      </c>
      <c r="F760" s="3"/>
      <c r="G760" s="3"/>
      <c r="H760" s="3"/>
      <c r="I760" s="3"/>
      <c r="J760" s="3" t="s">
        <v>11</v>
      </c>
      <c r="K760" s="27" t="s">
        <v>12</v>
      </c>
    </row>
    <row r="761" ht="18.6" customHeight="1" spans="1:11">
      <c r="A761" s="3">
        <v>760</v>
      </c>
      <c r="B761" s="3" t="s">
        <v>1048</v>
      </c>
      <c r="C761" s="3" t="s">
        <v>3666</v>
      </c>
      <c r="D761" s="3" t="s">
        <v>1026</v>
      </c>
      <c r="E761" s="3" t="s">
        <v>1027</v>
      </c>
      <c r="F761" s="3"/>
      <c r="G761" s="3"/>
      <c r="H761" s="3"/>
      <c r="I761" s="3"/>
      <c r="J761" s="3" t="s">
        <v>11</v>
      </c>
      <c r="K761" s="27" t="s">
        <v>12</v>
      </c>
    </row>
    <row r="762" ht="18.6" customHeight="1" spans="1:11">
      <c r="A762" s="3">
        <v>761</v>
      </c>
      <c r="B762" s="3" t="s">
        <v>1049</v>
      </c>
      <c r="C762" s="3" t="s">
        <v>3666</v>
      </c>
      <c r="D762" s="3" t="s">
        <v>1026</v>
      </c>
      <c r="E762" s="3" t="s">
        <v>1050</v>
      </c>
      <c r="F762" s="3"/>
      <c r="G762" s="3"/>
      <c r="H762" s="3"/>
      <c r="I762" s="3"/>
      <c r="J762" s="3" t="s">
        <v>11</v>
      </c>
      <c r="K762" s="27" t="s">
        <v>12</v>
      </c>
    </row>
    <row r="763" ht="18.6" customHeight="1" spans="1:11">
      <c r="A763" s="3">
        <v>762</v>
      </c>
      <c r="B763" s="3" t="s">
        <v>1051</v>
      </c>
      <c r="C763" s="3" t="s">
        <v>3666</v>
      </c>
      <c r="D763" s="3" t="s">
        <v>1026</v>
      </c>
      <c r="E763" s="3" t="s">
        <v>1027</v>
      </c>
      <c r="F763" s="3"/>
      <c r="G763" s="3"/>
      <c r="H763" s="3"/>
      <c r="I763" s="3"/>
      <c r="J763" s="3" t="s">
        <v>11</v>
      </c>
      <c r="K763" s="27" t="s">
        <v>12</v>
      </c>
    </row>
    <row r="764" ht="18.6" customHeight="1" spans="1:11">
      <c r="A764" s="3">
        <v>763</v>
      </c>
      <c r="B764" s="3" t="s">
        <v>1052</v>
      </c>
      <c r="C764" s="3" t="s">
        <v>3666</v>
      </c>
      <c r="D764" s="3" t="s">
        <v>1026</v>
      </c>
      <c r="E764" s="3" t="s">
        <v>1027</v>
      </c>
      <c r="F764" s="3"/>
      <c r="G764" s="3"/>
      <c r="H764" s="3"/>
      <c r="I764" s="3"/>
      <c r="J764" s="3" t="s">
        <v>11</v>
      </c>
      <c r="K764" s="27" t="s">
        <v>12</v>
      </c>
    </row>
    <row r="765" ht="18.6" customHeight="1" spans="1:11">
      <c r="A765" s="3">
        <v>764</v>
      </c>
      <c r="B765" s="3" t="s">
        <v>1053</v>
      </c>
      <c r="C765" s="3" t="s">
        <v>3666</v>
      </c>
      <c r="D765" s="3" t="s">
        <v>1026</v>
      </c>
      <c r="E765" s="3" t="s">
        <v>1027</v>
      </c>
      <c r="F765" s="3"/>
      <c r="G765" s="3"/>
      <c r="H765" s="3"/>
      <c r="I765" s="3"/>
      <c r="J765" s="3" t="s">
        <v>11</v>
      </c>
      <c r="K765" s="27" t="s">
        <v>12</v>
      </c>
    </row>
    <row r="766" ht="18.6" customHeight="1" spans="1:11">
      <c r="A766" s="3">
        <v>765</v>
      </c>
      <c r="B766" s="3" t="s">
        <v>1054</v>
      </c>
      <c r="C766" s="3" t="s">
        <v>3666</v>
      </c>
      <c r="D766" s="3" t="s">
        <v>1026</v>
      </c>
      <c r="E766" s="3" t="s">
        <v>1027</v>
      </c>
      <c r="F766" s="3"/>
      <c r="G766" s="3"/>
      <c r="H766" s="3"/>
      <c r="I766" s="3"/>
      <c r="J766" s="3" t="s">
        <v>11</v>
      </c>
      <c r="K766" s="27" t="s">
        <v>12</v>
      </c>
    </row>
    <row r="767" ht="18.6" customHeight="1" spans="1:11">
      <c r="A767" s="3">
        <v>766</v>
      </c>
      <c r="B767" s="3" t="s">
        <v>1055</v>
      </c>
      <c r="C767" s="3" t="s">
        <v>3666</v>
      </c>
      <c r="D767" s="3" t="s">
        <v>1026</v>
      </c>
      <c r="E767" s="3" t="s">
        <v>1027</v>
      </c>
      <c r="F767" s="3"/>
      <c r="G767" s="3"/>
      <c r="H767" s="3"/>
      <c r="I767" s="3"/>
      <c r="J767" s="3" t="s">
        <v>11</v>
      </c>
      <c r="K767" s="27" t="s">
        <v>12</v>
      </c>
    </row>
    <row r="768" ht="18.6" customHeight="1" spans="1:11">
      <c r="A768" s="3">
        <v>767</v>
      </c>
      <c r="B768" s="3" t="s">
        <v>1056</v>
      </c>
      <c r="C768" s="3" t="s">
        <v>3666</v>
      </c>
      <c r="D768" s="3" t="s">
        <v>1026</v>
      </c>
      <c r="E768" s="3" t="s">
        <v>1027</v>
      </c>
      <c r="F768" s="3"/>
      <c r="G768" s="3"/>
      <c r="H768" s="3"/>
      <c r="I768" s="3"/>
      <c r="J768" s="3" t="s">
        <v>11</v>
      </c>
      <c r="K768" s="27" t="s">
        <v>12</v>
      </c>
    </row>
    <row r="769" ht="18.6" customHeight="1" spans="1:11">
      <c r="A769" s="3">
        <v>768</v>
      </c>
      <c r="B769" s="3" t="s">
        <v>1059</v>
      </c>
      <c r="C769" s="3" t="s">
        <v>3678</v>
      </c>
      <c r="D769" s="3" t="s">
        <v>1060</v>
      </c>
      <c r="E769" s="3" t="s">
        <v>1061</v>
      </c>
      <c r="F769" s="3"/>
      <c r="G769" s="3">
        <v>211</v>
      </c>
      <c r="H769" s="3" t="s">
        <v>5</v>
      </c>
      <c r="I769" s="3" t="s">
        <v>3769</v>
      </c>
      <c r="J769" s="3" t="s">
        <v>11</v>
      </c>
      <c r="K769" s="27" t="s">
        <v>12</v>
      </c>
    </row>
    <row r="770" ht="18.6" customHeight="1" spans="1:11">
      <c r="A770" s="3">
        <v>769</v>
      </c>
      <c r="B770" s="3" t="s">
        <v>1062</v>
      </c>
      <c r="C770" s="3" t="s">
        <v>3678</v>
      </c>
      <c r="D770" s="3" t="s">
        <v>1060</v>
      </c>
      <c r="E770" s="3" t="s">
        <v>1061</v>
      </c>
      <c r="F770" s="3"/>
      <c r="G770" s="3"/>
      <c r="H770" s="3"/>
      <c r="I770" s="3" t="s">
        <v>3770</v>
      </c>
      <c r="J770" s="3" t="s">
        <v>11</v>
      </c>
      <c r="K770" s="27" t="s">
        <v>12</v>
      </c>
    </row>
    <row r="771" ht="18.6" customHeight="1" spans="1:11">
      <c r="A771" s="3">
        <v>770</v>
      </c>
      <c r="B771" s="3" t="s">
        <v>1063</v>
      </c>
      <c r="C771" s="3" t="s">
        <v>3678</v>
      </c>
      <c r="D771" s="3" t="s">
        <v>1060</v>
      </c>
      <c r="E771" s="3" t="s">
        <v>1061</v>
      </c>
      <c r="F771" s="3"/>
      <c r="G771" s="3"/>
      <c r="H771" s="3"/>
      <c r="I771" s="3" t="s">
        <v>3773</v>
      </c>
      <c r="J771" s="3" t="s">
        <v>11</v>
      </c>
      <c r="K771" s="27" t="s">
        <v>12</v>
      </c>
    </row>
    <row r="772" ht="18.6" customHeight="1" spans="1:11">
      <c r="A772" s="3">
        <v>771</v>
      </c>
      <c r="B772" s="3" t="s">
        <v>1064</v>
      </c>
      <c r="C772" s="3" t="s">
        <v>3678</v>
      </c>
      <c r="D772" s="3" t="s">
        <v>1060</v>
      </c>
      <c r="E772" s="3" t="s">
        <v>1061</v>
      </c>
      <c r="F772" s="3"/>
      <c r="G772" s="3"/>
      <c r="H772" s="3"/>
      <c r="I772" s="3" t="s">
        <v>3773</v>
      </c>
      <c r="J772" s="3" t="s">
        <v>11</v>
      </c>
      <c r="K772" s="27" t="s">
        <v>12</v>
      </c>
    </row>
    <row r="773" ht="18.6" customHeight="1" spans="1:11">
      <c r="A773" s="3">
        <v>772</v>
      </c>
      <c r="B773" s="3" t="s">
        <v>1065</v>
      </c>
      <c r="C773" s="3" t="s">
        <v>3678</v>
      </c>
      <c r="D773" s="3" t="s">
        <v>1060</v>
      </c>
      <c r="E773" s="3" t="s">
        <v>1061</v>
      </c>
      <c r="F773" s="3"/>
      <c r="G773" s="3"/>
      <c r="H773" s="3"/>
      <c r="I773" s="3" t="s">
        <v>3775</v>
      </c>
      <c r="J773" s="3" t="s">
        <v>11</v>
      </c>
      <c r="K773" s="27" t="s">
        <v>12</v>
      </c>
    </row>
    <row r="774" ht="18.6" customHeight="1" spans="1:11">
      <c r="A774" s="3">
        <v>773</v>
      </c>
      <c r="B774" s="3" t="s">
        <v>1066</v>
      </c>
      <c r="C774" s="3" t="s">
        <v>3678</v>
      </c>
      <c r="D774" s="3" t="s">
        <v>1060</v>
      </c>
      <c r="E774" s="3" t="s">
        <v>1067</v>
      </c>
      <c r="F774" s="3"/>
      <c r="G774" s="3"/>
      <c r="H774" s="3"/>
      <c r="I774" s="3"/>
      <c r="J774" s="3" t="s">
        <v>11</v>
      </c>
      <c r="K774" s="27" t="s">
        <v>12</v>
      </c>
    </row>
    <row r="775" ht="18.6" customHeight="1" spans="1:11">
      <c r="A775" s="3">
        <v>774</v>
      </c>
      <c r="B775" s="3" t="s">
        <v>1068</v>
      </c>
      <c r="C775" s="3" t="s">
        <v>3678</v>
      </c>
      <c r="D775" s="3" t="s">
        <v>1060</v>
      </c>
      <c r="E775" s="3" t="s">
        <v>1061</v>
      </c>
      <c r="F775" s="3"/>
      <c r="G775" s="3"/>
      <c r="H775" s="3"/>
      <c r="I775" s="3"/>
      <c r="J775" s="3" t="s">
        <v>11</v>
      </c>
      <c r="K775" s="27" t="s">
        <v>12</v>
      </c>
    </row>
    <row r="776" ht="18.6" customHeight="1" spans="1:11">
      <c r="A776" s="3">
        <v>775</v>
      </c>
      <c r="B776" s="3" t="s">
        <v>1069</v>
      </c>
      <c r="C776" s="3" t="s">
        <v>3678</v>
      </c>
      <c r="D776" s="3" t="s">
        <v>1060</v>
      </c>
      <c r="E776" s="3" t="s">
        <v>1061</v>
      </c>
      <c r="F776" s="3"/>
      <c r="G776" s="3"/>
      <c r="H776" s="3"/>
      <c r="I776" s="3" t="s">
        <v>3776</v>
      </c>
      <c r="J776" s="3" t="s">
        <v>11</v>
      </c>
      <c r="K776" s="27" t="s">
        <v>12</v>
      </c>
    </row>
    <row r="777" ht="18.6" customHeight="1" spans="1:11">
      <c r="A777" s="3">
        <v>776</v>
      </c>
      <c r="B777" s="3" t="s">
        <v>1070</v>
      </c>
      <c r="C777" s="3" t="s">
        <v>3678</v>
      </c>
      <c r="D777" s="3" t="s">
        <v>1060</v>
      </c>
      <c r="E777" s="3" t="s">
        <v>1071</v>
      </c>
      <c r="F777" s="3"/>
      <c r="G777" s="3"/>
      <c r="H777" s="3"/>
      <c r="I777" s="3"/>
      <c r="J777" s="3" t="s">
        <v>11</v>
      </c>
      <c r="K777" s="27" t="s">
        <v>12</v>
      </c>
    </row>
    <row r="778" ht="18.6" customHeight="1" spans="1:11">
      <c r="A778" s="3">
        <v>777</v>
      </c>
      <c r="B778" s="3" t="s">
        <v>1072</v>
      </c>
      <c r="C778" s="3" t="s">
        <v>3678</v>
      </c>
      <c r="D778" s="3" t="s">
        <v>1060</v>
      </c>
      <c r="E778" s="3" t="s">
        <v>1073</v>
      </c>
      <c r="F778" s="3"/>
      <c r="G778" s="3"/>
      <c r="H778" s="3"/>
      <c r="I778" s="3"/>
      <c r="J778" s="3" t="s">
        <v>11</v>
      </c>
      <c r="K778" s="27" t="s">
        <v>12</v>
      </c>
    </row>
    <row r="779" ht="18.6" customHeight="1" spans="1:11">
      <c r="A779" s="3">
        <v>778</v>
      </c>
      <c r="B779" s="3" t="s">
        <v>1074</v>
      </c>
      <c r="C779" s="3" t="s">
        <v>3678</v>
      </c>
      <c r="D779" s="3" t="s">
        <v>1060</v>
      </c>
      <c r="E779" s="3" t="s">
        <v>1075</v>
      </c>
      <c r="F779" s="3"/>
      <c r="G779" s="3"/>
      <c r="H779" s="3"/>
      <c r="I779" s="3"/>
      <c r="J779" s="3" t="s">
        <v>11</v>
      </c>
      <c r="K779" s="27" t="s">
        <v>12</v>
      </c>
    </row>
    <row r="780" ht="18.6" customHeight="1" spans="1:11">
      <c r="A780" s="3">
        <v>779</v>
      </c>
      <c r="B780" s="3" t="s">
        <v>1076</v>
      </c>
      <c r="C780" s="3" t="s">
        <v>3678</v>
      </c>
      <c r="D780" s="3" t="s">
        <v>1060</v>
      </c>
      <c r="E780" s="3" t="s">
        <v>1077</v>
      </c>
      <c r="F780" s="3"/>
      <c r="G780" s="3"/>
      <c r="H780" s="3"/>
      <c r="I780" s="3"/>
      <c r="J780" s="3" t="s">
        <v>11</v>
      </c>
      <c r="K780" s="27" t="s">
        <v>12</v>
      </c>
    </row>
    <row r="781" ht="18.6" customHeight="1" spans="1:11">
      <c r="A781" s="3">
        <v>780</v>
      </c>
      <c r="B781" s="3" t="s">
        <v>1078</v>
      </c>
      <c r="C781" s="3" t="s">
        <v>3678</v>
      </c>
      <c r="D781" s="3" t="s">
        <v>1060</v>
      </c>
      <c r="E781" s="3" t="s">
        <v>1079</v>
      </c>
      <c r="F781" s="3"/>
      <c r="G781" s="3"/>
      <c r="H781" s="3"/>
      <c r="I781" s="3"/>
      <c r="J781" s="3" t="s">
        <v>11</v>
      </c>
      <c r="K781" s="27" t="s">
        <v>12</v>
      </c>
    </row>
    <row r="782" ht="18.6" customHeight="1" spans="1:11">
      <c r="A782" s="3">
        <v>781</v>
      </c>
      <c r="B782" s="3" t="s">
        <v>1080</v>
      </c>
      <c r="C782" s="3" t="s">
        <v>3678</v>
      </c>
      <c r="D782" s="3" t="s">
        <v>1060</v>
      </c>
      <c r="E782" s="3" t="s">
        <v>1061</v>
      </c>
      <c r="F782" s="3"/>
      <c r="G782" s="3"/>
      <c r="H782" s="3"/>
      <c r="I782" s="3" t="s">
        <v>3771</v>
      </c>
      <c r="J782" s="3" t="s">
        <v>11</v>
      </c>
      <c r="K782" s="27" t="s">
        <v>12</v>
      </c>
    </row>
    <row r="783" ht="18.6" customHeight="1" spans="1:11">
      <c r="A783" s="3">
        <v>782</v>
      </c>
      <c r="B783" s="3" t="s">
        <v>1081</v>
      </c>
      <c r="C783" s="3" t="s">
        <v>3678</v>
      </c>
      <c r="D783" s="3" t="s">
        <v>1060</v>
      </c>
      <c r="E783" s="3" t="s">
        <v>1061</v>
      </c>
      <c r="F783" s="3"/>
      <c r="G783" s="3"/>
      <c r="H783" s="3"/>
      <c r="I783" s="3"/>
      <c r="J783" s="3" t="s">
        <v>11</v>
      </c>
      <c r="K783" s="27" t="s">
        <v>12</v>
      </c>
    </row>
    <row r="784" ht="18.6" customHeight="1" spans="1:11">
      <c r="A784" s="3">
        <v>783</v>
      </c>
      <c r="B784" s="3" t="s">
        <v>1082</v>
      </c>
      <c r="C784" s="3" t="s">
        <v>3678</v>
      </c>
      <c r="D784" s="3" t="s">
        <v>1060</v>
      </c>
      <c r="E784" s="3" t="s">
        <v>1061</v>
      </c>
      <c r="F784" s="3"/>
      <c r="G784" s="3"/>
      <c r="H784" s="3"/>
      <c r="I784" s="3" t="s">
        <v>3780</v>
      </c>
      <c r="J784" s="3" t="s">
        <v>11</v>
      </c>
      <c r="K784" s="27" t="s">
        <v>12</v>
      </c>
    </row>
    <row r="785" ht="18.6" customHeight="1" spans="1:11">
      <c r="A785" s="3">
        <v>784</v>
      </c>
      <c r="B785" s="3" t="s">
        <v>1083</v>
      </c>
      <c r="C785" s="3" t="s">
        <v>3678</v>
      </c>
      <c r="D785" s="3" t="s">
        <v>1060</v>
      </c>
      <c r="E785" s="3" t="s">
        <v>1084</v>
      </c>
      <c r="F785" s="3"/>
      <c r="G785" s="3"/>
      <c r="H785" s="3"/>
      <c r="I785" s="3"/>
      <c r="J785" s="3" t="s">
        <v>11</v>
      </c>
      <c r="K785" s="27" t="s">
        <v>12</v>
      </c>
    </row>
    <row r="786" ht="18.6" customHeight="1" spans="1:11">
      <c r="A786" s="3">
        <v>785</v>
      </c>
      <c r="B786" s="3" t="s">
        <v>1085</v>
      </c>
      <c r="C786" s="3" t="s">
        <v>3678</v>
      </c>
      <c r="D786" s="3" t="s">
        <v>1060</v>
      </c>
      <c r="E786" s="3" t="s">
        <v>1086</v>
      </c>
      <c r="F786" s="3"/>
      <c r="G786" s="3"/>
      <c r="H786" s="3"/>
      <c r="I786" s="3"/>
      <c r="J786" s="3" t="s">
        <v>11</v>
      </c>
      <c r="K786" s="27" t="s">
        <v>12</v>
      </c>
    </row>
    <row r="787" ht="18.6" customHeight="1" spans="1:11">
      <c r="A787" s="3">
        <v>786</v>
      </c>
      <c r="B787" s="3" t="s">
        <v>1087</v>
      </c>
      <c r="C787" s="3" t="s">
        <v>3678</v>
      </c>
      <c r="D787" s="3" t="s">
        <v>1060</v>
      </c>
      <c r="E787" s="3" t="s">
        <v>1061</v>
      </c>
      <c r="F787" s="3"/>
      <c r="G787" s="3"/>
      <c r="H787" s="3"/>
      <c r="I787" s="3"/>
      <c r="J787" s="3" t="s">
        <v>11</v>
      </c>
      <c r="K787" s="27" t="s">
        <v>12</v>
      </c>
    </row>
    <row r="788" ht="18.6" customHeight="1" spans="1:11">
      <c r="A788" s="3">
        <v>787</v>
      </c>
      <c r="B788" s="3" t="s">
        <v>1088</v>
      </c>
      <c r="C788" s="3" t="s">
        <v>3678</v>
      </c>
      <c r="D788" s="3" t="s">
        <v>1060</v>
      </c>
      <c r="E788" s="3" t="s">
        <v>1061</v>
      </c>
      <c r="F788" s="3"/>
      <c r="G788" s="3"/>
      <c r="H788" s="3"/>
      <c r="I788" s="3"/>
      <c r="J788" s="3" t="s">
        <v>11</v>
      </c>
      <c r="K788" s="27" t="s">
        <v>12</v>
      </c>
    </row>
    <row r="789" ht="18.6" customHeight="1" spans="1:11">
      <c r="A789" s="3">
        <v>788</v>
      </c>
      <c r="B789" s="3" t="s">
        <v>1089</v>
      </c>
      <c r="C789" s="3" t="s">
        <v>3678</v>
      </c>
      <c r="D789" s="3" t="s">
        <v>1060</v>
      </c>
      <c r="E789" s="3" t="s">
        <v>1090</v>
      </c>
      <c r="F789" s="3"/>
      <c r="G789" s="3"/>
      <c r="H789" s="3"/>
      <c r="I789" s="3"/>
      <c r="J789" s="3" t="s">
        <v>11</v>
      </c>
      <c r="K789" s="27" t="s">
        <v>12</v>
      </c>
    </row>
    <row r="790" ht="18.6" customHeight="1" spans="1:11">
      <c r="A790" s="3">
        <v>789</v>
      </c>
      <c r="B790" s="3" t="s">
        <v>1091</v>
      </c>
      <c r="C790" s="3" t="s">
        <v>3678</v>
      </c>
      <c r="D790" s="3" t="s">
        <v>1060</v>
      </c>
      <c r="E790" s="3" t="s">
        <v>1092</v>
      </c>
      <c r="F790" s="3"/>
      <c r="G790" s="3"/>
      <c r="H790" s="3"/>
      <c r="I790" s="3"/>
      <c r="J790" s="3" t="s">
        <v>11</v>
      </c>
      <c r="K790" s="27" t="s">
        <v>12</v>
      </c>
    </row>
    <row r="791" ht="18.6" customHeight="1" spans="1:11">
      <c r="A791" s="3">
        <v>790</v>
      </c>
      <c r="B791" s="3" t="s">
        <v>1093</v>
      </c>
      <c r="C791" s="3" t="s">
        <v>3678</v>
      </c>
      <c r="D791" s="3" t="s">
        <v>1060</v>
      </c>
      <c r="E791" s="3" t="s">
        <v>1067</v>
      </c>
      <c r="F791" s="3"/>
      <c r="G791" s="3"/>
      <c r="H791" s="3"/>
      <c r="I791" s="3"/>
      <c r="J791" s="3" t="s">
        <v>11</v>
      </c>
      <c r="K791" s="27" t="s">
        <v>12</v>
      </c>
    </row>
    <row r="792" ht="18.6" customHeight="1" spans="1:11">
      <c r="A792" s="3">
        <v>791</v>
      </c>
      <c r="B792" s="3" t="s">
        <v>1096</v>
      </c>
      <c r="C792" s="3" t="s">
        <v>3678</v>
      </c>
      <c r="D792" s="3" t="s">
        <v>1060</v>
      </c>
      <c r="E792" s="3" t="s">
        <v>1097</v>
      </c>
      <c r="F792" s="3"/>
      <c r="G792" s="3"/>
      <c r="H792" s="3"/>
      <c r="I792" s="3"/>
      <c r="J792" s="3" t="s">
        <v>11</v>
      </c>
      <c r="K792" s="27" t="s">
        <v>12</v>
      </c>
    </row>
    <row r="793" ht="18.6" customHeight="1" spans="1:11">
      <c r="A793" s="3">
        <v>792</v>
      </c>
      <c r="B793" s="3" t="s">
        <v>3786</v>
      </c>
      <c r="C793" s="3" t="s">
        <v>3698</v>
      </c>
      <c r="D793" s="3" t="s">
        <v>1101</v>
      </c>
      <c r="E793" s="3" t="s">
        <v>1102</v>
      </c>
      <c r="F793" s="3"/>
      <c r="G793" s="3"/>
      <c r="H793" s="3"/>
      <c r="I793" s="3"/>
      <c r="J793" s="3" t="s">
        <v>11</v>
      </c>
      <c r="K793" s="27" t="s">
        <v>12</v>
      </c>
    </row>
    <row r="794" ht="18.6" customHeight="1" spans="1:11">
      <c r="A794" s="3">
        <v>793</v>
      </c>
      <c r="B794" s="3" t="s">
        <v>1103</v>
      </c>
      <c r="C794" s="3" t="s">
        <v>3698</v>
      </c>
      <c r="D794" s="3" t="s">
        <v>1101</v>
      </c>
      <c r="E794" s="3" t="s">
        <v>1104</v>
      </c>
      <c r="F794" s="3"/>
      <c r="G794" s="3">
        <v>211</v>
      </c>
      <c r="H794" s="3" t="s">
        <v>5</v>
      </c>
      <c r="I794" s="3" t="s">
        <v>3769</v>
      </c>
      <c r="J794" s="3" t="s">
        <v>11</v>
      </c>
      <c r="K794" s="27" t="s">
        <v>12</v>
      </c>
    </row>
    <row r="795" ht="18.6" customHeight="1" spans="1:11">
      <c r="A795" s="3">
        <v>794</v>
      </c>
      <c r="B795" s="3" t="s">
        <v>1105</v>
      </c>
      <c r="C795" s="3" t="s">
        <v>3698</v>
      </c>
      <c r="D795" s="3" t="s">
        <v>1101</v>
      </c>
      <c r="E795" s="3" t="s">
        <v>1107</v>
      </c>
      <c r="F795" s="3"/>
      <c r="G795" s="3"/>
      <c r="H795" s="3"/>
      <c r="I795" s="3"/>
      <c r="J795" s="3" t="s">
        <v>11</v>
      </c>
      <c r="K795" s="27" t="s">
        <v>12</v>
      </c>
    </row>
    <row r="796" ht="18.6" customHeight="1" spans="1:11">
      <c r="A796" s="3">
        <v>795</v>
      </c>
      <c r="B796" s="3" t="s">
        <v>1108</v>
      </c>
      <c r="C796" s="3" t="s">
        <v>3698</v>
      </c>
      <c r="D796" s="3" t="s">
        <v>1101</v>
      </c>
      <c r="E796" s="3" t="s">
        <v>1104</v>
      </c>
      <c r="F796" s="3"/>
      <c r="G796" s="3"/>
      <c r="H796" s="3"/>
      <c r="I796" s="3"/>
      <c r="J796" s="3" t="s">
        <v>11</v>
      </c>
      <c r="K796" s="27" t="s">
        <v>12</v>
      </c>
    </row>
    <row r="797" ht="18.6" customHeight="1" spans="1:11">
      <c r="A797" s="3">
        <v>796</v>
      </c>
      <c r="B797" s="3" t="s">
        <v>1110</v>
      </c>
      <c r="C797" s="3" t="s">
        <v>3703</v>
      </c>
      <c r="D797" s="3" t="s">
        <v>1106</v>
      </c>
      <c r="E797" s="3" t="s">
        <v>1111</v>
      </c>
      <c r="F797" s="3"/>
      <c r="G797" s="3">
        <v>211</v>
      </c>
      <c r="H797" s="3" t="s">
        <v>5</v>
      </c>
      <c r="I797" s="3" t="s">
        <v>3769</v>
      </c>
      <c r="J797" s="3" t="s">
        <v>11</v>
      </c>
      <c r="K797" s="27" t="s">
        <v>12</v>
      </c>
    </row>
    <row r="798" ht="18.6" customHeight="1" spans="1:11">
      <c r="A798" s="3">
        <v>797</v>
      </c>
      <c r="B798" s="3" t="s">
        <v>1112</v>
      </c>
      <c r="C798" s="3" t="s">
        <v>3309</v>
      </c>
      <c r="D798" s="3" t="s">
        <v>1106</v>
      </c>
      <c r="E798" s="3" t="s">
        <v>1111</v>
      </c>
      <c r="F798" s="3">
        <v>985</v>
      </c>
      <c r="G798" s="3">
        <v>211</v>
      </c>
      <c r="H798" s="3" t="s">
        <v>5</v>
      </c>
      <c r="I798" s="3" t="s">
        <v>3769</v>
      </c>
      <c r="J798" s="3" t="s">
        <v>11</v>
      </c>
      <c r="K798" s="27" t="s">
        <v>12</v>
      </c>
    </row>
    <row r="799" ht="18.6" customHeight="1" spans="1:11">
      <c r="A799" s="3">
        <v>798</v>
      </c>
      <c r="B799" s="3" t="s">
        <v>1113</v>
      </c>
      <c r="C799" s="3" t="s">
        <v>3311</v>
      </c>
      <c r="D799" s="3" t="s">
        <v>1106</v>
      </c>
      <c r="E799" s="3" t="s">
        <v>1111</v>
      </c>
      <c r="F799" s="3">
        <v>985</v>
      </c>
      <c r="G799" s="3">
        <v>211</v>
      </c>
      <c r="H799" s="3" t="s">
        <v>5</v>
      </c>
      <c r="I799" s="3" t="s">
        <v>3770</v>
      </c>
      <c r="J799" s="3" t="s">
        <v>11</v>
      </c>
      <c r="K799" s="27" t="s">
        <v>12</v>
      </c>
    </row>
    <row r="800" ht="18.6" customHeight="1" spans="1:11">
      <c r="A800" s="3">
        <v>799</v>
      </c>
      <c r="B800" s="3" t="s">
        <v>1114</v>
      </c>
      <c r="C800" s="3" t="s">
        <v>3703</v>
      </c>
      <c r="D800" s="3" t="s">
        <v>1106</v>
      </c>
      <c r="E800" s="3" t="s">
        <v>1111</v>
      </c>
      <c r="F800" s="3"/>
      <c r="G800" s="3"/>
      <c r="H800" s="3"/>
      <c r="I800" s="3" t="s">
        <v>3770</v>
      </c>
      <c r="J800" s="3" t="s">
        <v>11</v>
      </c>
      <c r="K800" s="27" t="s">
        <v>12</v>
      </c>
    </row>
    <row r="801" ht="18.6" customHeight="1" spans="1:11">
      <c r="A801" s="3">
        <v>800</v>
      </c>
      <c r="B801" s="3" t="s">
        <v>1115</v>
      </c>
      <c r="C801" s="3" t="s">
        <v>3309</v>
      </c>
      <c r="D801" s="3" t="s">
        <v>1106</v>
      </c>
      <c r="E801" s="3" t="s">
        <v>1111</v>
      </c>
      <c r="F801" s="3"/>
      <c r="G801" s="3">
        <v>211</v>
      </c>
      <c r="H801" s="3" t="s">
        <v>5</v>
      </c>
      <c r="I801" s="3" t="s">
        <v>3770</v>
      </c>
      <c r="J801" s="3" t="s">
        <v>11</v>
      </c>
      <c r="K801" s="27" t="s">
        <v>12</v>
      </c>
    </row>
    <row r="802" ht="18.6" customHeight="1" spans="1:11">
      <c r="A802" s="3">
        <v>801</v>
      </c>
      <c r="B802" s="3" t="s">
        <v>1116</v>
      </c>
      <c r="C802" s="3" t="s">
        <v>3703</v>
      </c>
      <c r="D802" s="3" t="s">
        <v>1106</v>
      </c>
      <c r="E802" s="3" t="s">
        <v>1111</v>
      </c>
      <c r="F802" s="3"/>
      <c r="G802" s="3"/>
      <c r="H802" s="3"/>
      <c r="I802" s="3" t="s">
        <v>3770</v>
      </c>
      <c r="J802" s="3" t="s">
        <v>11</v>
      </c>
      <c r="K802" s="27" t="s">
        <v>12</v>
      </c>
    </row>
    <row r="803" ht="18.6" customHeight="1" spans="1:11">
      <c r="A803" s="3">
        <v>802</v>
      </c>
      <c r="B803" s="3" t="s">
        <v>1117</v>
      </c>
      <c r="C803" s="3" t="s">
        <v>3703</v>
      </c>
      <c r="D803" s="3" t="s">
        <v>1106</v>
      </c>
      <c r="E803" s="3" t="s">
        <v>1111</v>
      </c>
      <c r="F803" s="3"/>
      <c r="G803" s="3"/>
      <c r="H803" s="3"/>
      <c r="I803" s="3" t="s">
        <v>3770</v>
      </c>
      <c r="J803" s="3" t="s">
        <v>11</v>
      </c>
      <c r="K803" s="27" t="s">
        <v>12</v>
      </c>
    </row>
    <row r="804" ht="18.6" customHeight="1" spans="1:11">
      <c r="A804" s="3">
        <v>803</v>
      </c>
      <c r="B804" s="3" t="s">
        <v>1118</v>
      </c>
      <c r="C804" s="3" t="s">
        <v>3703</v>
      </c>
      <c r="D804" s="3" t="s">
        <v>1106</v>
      </c>
      <c r="E804" s="3" t="s">
        <v>1111</v>
      </c>
      <c r="F804" s="3"/>
      <c r="G804" s="3"/>
      <c r="H804" s="3"/>
      <c r="I804" s="3" t="s">
        <v>3770</v>
      </c>
      <c r="J804" s="3" t="s">
        <v>11</v>
      </c>
      <c r="K804" s="27" t="s">
        <v>12</v>
      </c>
    </row>
    <row r="805" ht="18.6" customHeight="1" spans="1:11">
      <c r="A805" s="3">
        <v>804</v>
      </c>
      <c r="B805" s="3" t="s">
        <v>1119</v>
      </c>
      <c r="C805" s="3" t="s">
        <v>3703</v>
      </c>
      <c r="D805" s="3" t="s">
        <v>1106</v>
      </c>
      <c r="E805" s="3" t="s">
        <v>1111</v>
      </c>
      <c r="F805" s="3"/>
      <c r="G805" s="3"/>
      <c r="H805" s="3"/>
      <c r="I805" s="3" t="s">
        <v>3770</v>
      </c>
      <c r="J805" s="3" t="s">
        <v>11</v>
      </c>
      <c r="K805" s="27" t="s">
        <v>12</v>
      </c>
    </row>
    <row r="806" ht="18.6" customHeight="1" spans="1:11">
      <c r="A806" s="3">
        <v>805</v>
      </c>
      <c r="B806" s="3" t="s">
        <v>1120</v>
      </c>
      <c r="C806" s="3" t="s">
        <v>3703</v>
      </c>
      <c r="D806" s="3" t="s">
        <v>1106</v>
      </c>
      <c r="E806" s="3" t="s">
        <v>1111</v>
      </c>
      <c r="F806" s="3"/>
      <c r="G806" s="3"/>
      <c r="H806" s="3"/>
      <c r="I806" s="3" t="s">
        <v>3770</v>
      </c>
      <c r="J806" s="3" t="s">
        <v>11</v>
      </c>
      <c r="K806" s="27" t="s">
        <v>12</v>
      </c>
    </row>
    <row r="807" ht="18.6" customHeight="1" spans="1:11">
      <c r="A807" s="3">
        <v>806</v>
      </c>
      <c r="B807" s="3" t="s">
        <v>1121</v>
      </c>
      <c r="C807" s="3" t="s">
        <v>3703</v>
      </c>
      <c r="D807" s="3" t="s">
        <v>1106</v>
      </c>
      <c r="E807" s="3" t="s">
        <v>1111</v>
      </c>
      <c r="F807" s="3"/>
      <c r="G807" s="3"/>
      <c r="H807" s="3"/>
      <c r="I807" s="3" t="s">
        <v>3770</v>
      </c>
      <c r="J807" s="3" t="s">
        <v>11</v>
      </c>
      <c r="K807" s="27" t="s">
        <v>12</v>
      </c>
    </row>
    <row r="808" ht="18.6" customHeight="1" spans="1:11">
      <c r="A808" s="3">
        <v>807</v>
      </c>
      <c r="B808" s="3" t="s">
        <v>1122</v>
      </c>
      <c r="C808" s="3" t="s">
        <v>3309</v>
      </c>
      <c r="D808" s="3" t="s">
        <v>1106</v>
      </c>
      <c r="E808" s="3" t="s">
        <v>1111</v>
      </c>
      <c r="F808" s="3"/>
      <c r="G808" s="3">
        <v>211</v>
      </c>
      <c r="H808" s="3" t="s">
        <v>5</v>
      </c>
      <c r="I808" s="3" t="s">
        <v>3770</v>
      </c>
      <c r="J808" s="3" t="s">
        <v>11</v>
      </c>
      <c r="K808" s="27" t="s">
        <v>12</v>
      </c>
    </row>
    <row r="809" ht="18.6" customHeight="1" spans="1:11">
      <c r="A809" s="3">
        <v>808</v>
      </c>
      <c r="B809" s="3" t="s">
        <v>1123</v>
      </c>
      <c r="C809" s="3" t="s">
        <v>3309</v>
      </c>
      <c r="D809" s="3" t="s">
        <v>1106</v>
      </c>
      <c r="E809" s="3" t="s">
        <v>1107</v>
      </c>
      <c r="F809" s="3">
        <v>985</v>
      </c>
      <c r="G809" s="3">
        <v>211</v>
      </c>
      <c r="H809" s="3" t="s">
        <v>5</v>
      </c>
      <c r="I809" s="3" t="s">
        <v>3773</v>
      </c>
      <c r="J809" s="3" t="s">
        <v>11</v>
      </c>
      <c r="K809" s="27" t="s">
        <v>12</v>
      </c>
    </row>
    <row r="810" ht="18.6" customHeight="1" spans="1:11">
      <c r="A810" s="3">
        <v>809</v>
      </c>
      <c r="B810" s="3" t="s">
        <v>1124</v>
      </c>
      <c r="C810" s="3" t="s">
        <v>3703</v>
      </c>
      <c r="D810" s="3" t="s">
        <v>1106</v>
      </c>
      <c r="E810" s="3" t="s">
        <v>1107</v>
      </c>
      <c r="F810" s="3"/>
      <c r="G810" s="3"/>
      <c r="H810" s="3"/>
      <c r="I810" s="3"/>
      <c r="J810" s="3" t="s">
        <v>11</v>
      </c>
      <c r="K810" s="27" t="s">
        <v>12</v>
      </c>
    </row>
    <row r="811" ht="18.6" customHeight="1" spans="1:11">
      <c r="A811" s="3">
        <v>810</v>
      </c>
      <c r="B811" s="3" t="s">
        <v>1125</v>
      </c>
      <c r="C811" s="3" t="s">
        <v>3309</v>
      </c>
      <c r="D811" s="3" t="s">
        <v>1106</v>
      </c>
      <c r="E811" s="3" t="s">
        <v>1111</v>
      </c>
      <c r="F811" s="3"/>
      <c r="G811" s="3">
        <v>211</v>
      </c>
      <c r="H811" s="3" t="s">
        <v>5</v>
      </c>
      <c r="I811" s="3" t="s">
        <v>3776</v>
      </c>
      <c r="J811" s="3" t="s">
        <v>11</v>
      </c>
      <c r="K811" s="27" t="s">
        <v>12</v>
      </c>
    </row>
    <row r="812" ht="18.6" customHeight="1" spans="1:11">
      <c r="A812" s="3">
        <v>811</v>
      </c>
      <c r="B812" s="3" t="s">
        <v>1126</v>
      </c>
      <c r="C812" s="3" t="s">
        <v>3703</v>
      </c>
      <c r="D812" s="3" t="s">
        <v>1106</v>
      </c>
      <c r="E812" s="3" t="s">
        <v>1127</v>
      </c>
      <c r="F812" s="3"/>
      <c r="G812" s="3"/>
      <c r="H812" s="3"/>
      <c r="I812" s="3"/>
      <c r="J812" s="3" t="s">
        <v>11</v>
      </c>
      <c r="K812" s="27" t="s">
        <v>12</v>
      </c>
    </row>
    <row r="813" ht="18.6" customHeight="1" spans="1:11">
      <c r="A813" s="3">
        <v>812</v>
      </c>
      <c r="B813" s="3" t="s">
        <v>1128</v>
      </c>
      <c r="C813" s="3" t="s">
        <v>3703</v>
      </c>
      <c r="D813" s="3" t="s">
        <v>1106</v>
      </c>
      <c r="E813" s="3" t="s">
        <v>1129</v>
      </c>
      <c r="F813" s="3"/>
      <c r="G813" s="3"/>
      <c r="H813" s="3"/>
      <c r="I813" s="3"/>
      <c r="J813" s="3" t="s">
        <v>11</v>
      </c>
      <c r="K813" s="27" t="s">
        <v>12</v>
      </c>
    </row>
    <row r="814" ht="18.6" customHeight="1" spans="1:11">
      <c r="A814" s="3">
        <v>813</v>
      </c>
      <c r="B814" s="3" t="s">
        <v>1130</v>
      </c>
      <c r="C814" s="3" t="s">
        <v>3703</v>
      </c>
      <c r="D814" s="3" t="s">
        <v>1106</v>
      </c>
      <c r="E814" s="3" t="s">
        <v>1131</v>
      </c>
      <c r="F814" s="3"/>
      <c r="G814" s="3"/>
      <c r="H814" s="3"/>
      <c r="I814" s="3"/>
      <c r="J814" s="3" t="s">
        <v>11</v>
      </c>
      <c r="K814" s="27" t="s">
        <v>12</v>
      </c>
    </row>
    <row r="815" ht="18.6" customHeight="1" spans="1:11">
      <c r="A815" s="3">
        <v>814</v>
      </c>
      <c r="B815" s="3" t="s">
        <v>1132</v>
      </c>
      <c r="C815" s="3" t="s">
        <v>3703</v>
      </c>
      <c r="D815" s="3" t="s">
        <v>1106</v>
      </c>
      <c r="E815" s="3" t="s">
        <v>1107</v>
      </c>
      <c r="F815" s="3"/>
      <c r="G815" s="3"/>
      <c r="H815" s="3"/>
      <c r="I815" s="3"/>
      <c r="J815" s="3" t="s">
        <v>11</v>
      </c>
      <c r="K815" s="27" t="s">
        <v>12</v>
      </c>
    </row>
    <row r="816" ht="18.6" customHeight="1" spans="1:11">
      <c r="A816" s="3">
        <v>815</v>
      </c>
      <c r="B816" s="3" t="s">
        <v>1133</v>
      </c>
      <c r="C816" s="3" t="s">
        <v>3703</v>
      </c>
      <c r="D816" s="3" t="s">
        <v>1106</v>
      </c>
      <c r="E816" s="3" t="s">
        <v>1134</v>
      </c>
      <c r="F816" s="3"/>
      <c r="G816" s="3"/>
      <c r="H816" s="3"/>
      <c r="I816" s="3"/>
      <c r="J816" s="3" t="s">
        <v>11</v>
      </c>
      <c r="K816" s="27" t="s">
        <v>12</v>
      </c>
    </row>
    <row r="817" ht="18.6" customHeight="1" spans="1:11">
      <c r="A817" s="3">
        <v>816</v>
      </c>
      <c r="B817" s="3" t="s">
        <v>1135</v>
      </c>
      <c r="C817" s="3" t="s">
        <v>3703</v>
      </c>
      <c r="D817" s="3" t="s">
        <v>1106</v>
      </c>
      <c r="E817" s="3" t="s">
        <v>1111</v>
      </c>
      <c r="F817" s="3"/>
      <c r="G817" s="3"/>
      <c r="H817" s="3"/>
      <c r="I817" s="3" t="s">
        <v>3778</v>
      </c>
      <c r="J817" s="3" t="s">
        <v>11</v>
      </c>
      <c r="K817" s="27" t="s">
        <v>12</v>
      </c>
    </row>
    <row r="818" ht="18.6" customHeight="1" spans="1:11">
      <c r="A818" s="3">
        <v>817</v>
      </c>
      <c r="B818" s="3" t="s">
        <v>1136</v>
      </c>
      <c r="C818" s="3" t="s">
        <v>3703</v>
      </c>
      <c r="D818" s="3" t="s">
        <v>1106</v>
      </c>
      <c r="E818" s="3" t="s">
        <v>1111</v>
      </c>
      <c r="F818" s="3"/>
      <c r="G818" s="3"/>
      <c r="H818" s="3"/>
      <c r="I818" s="3" t="s">
        <v>3779</v>
      </c>
      <c r="J818" s="3" t="s">
        <v>11</v>
      </c>
      <c r="K818" s="27" t="s">
        <v>12</v>
      </c>
    </row>
    <row r="819" ht="18.6" customHeight="1" spans="1:11">
      <c r="A819" s="3">
        <v>818</v>
      </c>
      <c r="B819" s="3" t="s">
        <v>1137</v>
      </c>
      <c r="C819" s="3" t="s">
        <v>3703</v>
      </c>
      <c r="D819" s="3" t="s">
        <v>1106</v>
      </c>
      <c r="E819" s="3" t="s">
        <v>1111</v>
      </c>
      <c r="F819" s="3"/>
      <c r="G819" s="3"/>
      <c r="H819" s="3"/>
      <c r="I819" s="3"/>
      <c r="J819" s="3" t="s">
        <v>11</v>
      </c>
      <c r="K819" s="27" t="s">
        <v>12</v>
      </c>
    </row>
    <row r="820" ht="18.6" customHeight="1" spans="1:11">
      <c r="A820" s="3">
        <v>819</v>
      </c>
      <c r="B820" s="3" t="s">
        <v>1138</v>
      </c>
      <c r="C820" s="3" t="s">
        <v>3703</v>
      </c>
      <c r="D820" s="3" t="s">
        <v>1106</v>
      </c>
      <c r="E820" s="3" t="s">
        <v>1111</v>
      </c>
      <c r="F820" s="3"/>
      <c r="G820" s="3"/>
      <c r="H820" s="3"/>
      <c r="I820" s="3"/>
      <c r="J820" s="3" t="s">
        <v>11</v>
      </c>
      <c r="K820" s="27" t="s">
        <v>12</v>
      </c>
    </row>
    <row r="821" ht="18.6" customHeight="1" spans="1:11">
      <c r="A821" s="3">
        <v>820</v>
      </c>
      <c r="B821" s="3" t="s">
        <v>1139</v>
      </c>
      <c r="C821" s="3" t="s">
        <v>3703</v>
      </c>
      <c r="D821" s="3" t="s">
        <v>1106</v>
      </c>
      <c r="E821" s="3" t="s">
        <v>1111</v>
      </c>
      <c r="F821" s="3"/>
      <c r="G821" s="3"/>
      <c r="H821" s="3"/>
      <c r="I821" s="3" t="s">
        <v>3772</v>
      </c>
      <c r="J821" s="3" t="s">
        <v>11</v>
      </c>
      <c r="K821" s="27" t="s">
        <v>12</v>
      </c>
    </row>
    <row r="822" ht="18.6" customHeight="1" spans="1:11">
      <c r="A822" s="3">
        <v>821</v>
      </c>
      <c r="B822" s="3" t="s">
        <v>1140</v>
      </c>
      <c r="C822" s="3" t="s">
        <v>3703</v>
      </c>
      <c r="D822" s="3" t="s">
        <v>1106</v>
      </c>
      <c r="E822" s="3" t="s">
        <v>1111</v>
      </c>
      <c r="F822" s="3"/>
      <c r="G822" s="3"/>
      <c r="H822" s="3"/>
      <c r="I822" s="3"/>
      <c r="J822" s="3" t="s">
        <v>11</v>
      </c>
      <c r="K822" s="27" t="s">
        <v>12</v>
      </c>
    </row>
    <row r="823" ht="18.6" customHeight="1" spans="1:11">
      <c r="A823" s="3">
        <v>822</v>
      </c>
      <c r="B823" s="3" t="s">
        <v>3709</v>
      </c>
      <c r="C823" s="3" t="s">
        <v>3703</v>
      </c>
      <c r="D823" s="3" t="s">
        <v>1106</v>
      </c>
      <c r="E823" s="3" t="s">
        <v>1142</v>
      </c>
      <c r="F823" s="3"/>
      <c r="G823" s="3"/>
      <c r="H823" s="3"/>
      <c r="I823" s="3"/>
      <c r="J823" s="3" t="s">
        <v>11</v>
      </c>
      <c r="K823" s="27" t="s">
        <v>12</v>
      </c>
    </row>
    <row r="824" ht="18.6" customHeight="1" spans="1:11">
      <c r="A824" s="3">
        <v>823</v>
      </c>
      <c r="B824" s="3" t="s">
        <v>1143</v>
      </c>
      <c r="C824" s="3" t="s">
        <v>3703</v>
      </c>
      <c r="D824" s="3" t="s">
        <v>1106</v>
      </c>
      <c r="E824" s="3" t="s">
        <v>1144</v>
      </c>
      <c r="F824" s="3"/>
      <c r="G824" s="3"/>
      <c r="H824" s="3"/>
      <c r="I824" s="3"/>
      <c r="J824" s="3" t="s">
        <v>11</v>
      </c>
      <c r="K824" s="27" t="s">
        <v>12</v>
      </c>
    </row>
    <row r="825" ht="18.6" customHeight="1" spans="1:11">
      <c r="A825" s="3">
        <v>824</v>
      </c>
      <c r="B825" s="3" t="s">
        <v>1145</v>
      </c>
      <c r="C825" s="3" t="s">
        <v>3703</v>
      </c>
      <c r="D825" s="3" t="s">
        <v>1106</v>
      </c>
      <c r="E825" s="3" t="s">
        <v>1146</v>
      </c>
      <c r="F825" s="3"/>
      <c r="G825" s="3"/>
      <c r="H825" s="3"/>
      <c r="I825" s="3"/>
      <c r="J825" s="3" t="s">
        <v>11</v>
      </c>
      <c r="K825" s="27" t="s">
        <v>12</v>
      </c>
    </row>
    <row r="826" ht="18.6" customHeight="1" spans="1:11">
      <c r="A826" s="3">
        <v>825</v>
      </c>
      <c r="B826" s="3" t="s">
        <v>1147</v>
      </c>
      <c r="C826" s="3" t="s">
        <v>3703</v>
      </c>
      <c r="D826" s="3" t="s">
        <v>1106</v>
      </c>
      <c r="E826" s="3" t="s">
        <v>1111</v>
      </c>
      <c r="F826" s="3"/>
      <c r="G826" s="3"/>
      <c r="H826" s="3"/>
      <c r="I826" s="3"/>
      <c r="J826" s="3" t="s">
        <v>11</v>
      </c>
      <c r="K826" s="27" t="s">
        <v>12</v>
      </c>
    </row>
    <row r="827" ht="18.6" customHeight="1" spans="1:11">
      <c r="A827" s="3">
        <v>826</v>
      </c>
      <c r="B827" s="3" t="s">
        <v>1148</v>
      </c>
      <c r="C827" s="3" t="s">
        <v>3703</v>
      </c>
      <c r="D827" s="3" t="s">
        <v>1106</v>
      </c>
      <c r="E827" s="3" t="s">
        <v>1111</v>
      </c>
      <c r="F827" s="3"/>
      <c r="G827" s="3"/>
      <c r="H827" s="3"/>
      <c r="I827" s="3" t="s">
        <v>3770</v>
      </c>
      <c r="J827" s="3" t="s">
        <v>11</v>
      </c>
      <c r="K827" s="27" t="s">
        <v>12</v>
      </c>
    </row>
    <row r="828" ht="18.6" customHeight="1" spans="1:11">
      <c r="A828" s="3">
        <v>827</v>
      </c>
      <c r="B828" s="3" t="s">
        <v>1149</v>
      </c>
      <c r="C828" s="3" t="s">
        <v>3703</v>
      </c>
      <c r="D828" s="3" t="s">
        <v>1106</v>
      </c>
      <c r="E828" s="3" t="s">
        <v>1111</v>
      </c>
      <c r="F828" s="3"/>
      <c r="G828" s="3"/>
      <c r="H828" s="3"/>
      <c r="I828" s="3"/>
      <c r="J828" s="3" t="s">
        <v>11</v>
      </c>
      <c r="K828" s="27" t="s">
        <v>12</v>
      </c>
    </row>
    <row r="829" ht="18.6" customHeight="1" spans="1:11">
      <c r="A829" s="3">
        <v>828</v>
      </c>
      <c r="B829" s="3" t="s">
        <v>1150</v>
      </c>
      <c r="C829" s="3" t="s">
        <v>3703</v>
      </c>
      <c r="D829" s="3" t="s">
        <v>1106</v>
      </c>
      <c r="E829" s="3" t="s">
        <v>1111</v>
      </c>
      <c r="F829" s="3"/>
      <c r="G829" s="3"/>
      <c r="H829" s="3"/>
      <c r="I829" s="3"/>
      <c r="J829" s="3" t="s">
        <v>11</v>
      </c>
      <c r="K829" s="27" t="s">
        <v>12</v>
      </c>
    </row>
    <row r="830" ht="18.6" customHeight="1" spans="1:11">
      <c r="A830" s="3">
        <v>829</v>
      </c>
      <c r="B830" s="3" t="s">
        <v>1151</v>
      </c>
      <c r="C830" s="3" t="s">
        <v>3703</v>
      </c>
      <c r="D830" s="3" t="s">
        <v>1106</v>
      </c>
      <c r="E830" s="3" t="s">
        <v>1111</v>
      </c>
      <c r="F830" s="3"/>
      <c r="G830" s="3"/>
      <c r="H830" s="3"/>
      <c r="I830" s="3"/>
      <c r="J830" s="3" t="s">
        <v>11</v>
      </c>
      <c r="K830" s="27" t="s">
        <v>12</v>
      </c>
    </row>
    <row r="831" ht="18.6" customHeight="1" spans="1:11">
      <c r="A831" s="3">
        <v>830</v>
      </c>
      <c r="B831" s="3" t="s">
        <v>1154</v>
      </c>
      <c r="C831" s="3" t="s">
        <v>3703</v>
      </c>
      <c r="D831" s="3" t="s">
        <v>1106</v>
      </c>
      <c r="E831" s="3" t="s">
        <v>1111</v>
      </c>
      <c r="F831" s="3"/>
      <c r="G831" s="3"/>
      <c r="H831" s="3"/>
      <c r="I831" s="3"/>
      <c r="J831" s="3" t="s">
        <v>11</v>
      </c>
      <c r="K831" s="27" t="s">
        <v>12</v>
      </c>
    </row>
    <row r="832" ht="18.6" customHeight="1" spans="1:11">
      <c r="A832" s="3">
        <v>831</v>
      </c>
      <c r="B832" s="3" t="s">
        <v>1155</v>
      </c>
      <c r="C832" s="3" t="s">
        <v>3309</v>
      </c>
      <c r="D832" s="3" t="s">
        <v>1156</v>
      </c>
      <c r="E832" s="3" t="s">
        <v>1157</v>
      </c>
      <c r="F832" s="3">
        <v>985</v>
      </c>
      <c r="G832" s="3">
        <v>211</v>
      </c>
      <c r="H832" s="3" t="s">
        <v>5</v>
      </c>
      <c r="I832" s="3" t="s">
        <v>3769</v>
      </c>
      <c r="J832" s="3" t="s">
        <v>11</v>
      </c>
      <c r="K832" s="27" t="s">
        <v>12</v>
      </c>
    </row>
    <row r="833" ht="18.6" customHeight="1" spans="1:11">
      <c r="A833" s="3">
        <v>832</v>
      </c>
      <c r="B833" s="3" t="s">
        <v>1158</v>
      </c>
      <c r="C833" s="3" t="s">
        <v>3716</v>
      </c>
      <c r="D833" s="3" t="s">
        <v>1156</v>
      </c>
      <c r="E833" s="3" t="s">
        <v>1157</v>
      </c>
      <c r="F833" s="3"/>
      <c r="G833" s="3"/>
      <c r="H833" s="3"/>
      <c r="I833" s="3" t="s">
        <v>3770</v>
      </c>
      <c r="J833" s="3" t="s">
        <v>11</v>
      </c>
      <c r="K833" s="27" t="s">
        <v>12</v>
      </c>
    </row>
    <row r="834" ht="18.6" customHeight="1" spans="1:11">
      <c r="A834" s="3">
        <v>833</v>
      </c>
      <c r="B834" s="3" t="s">
        <v>1159</v>
      </c>
      <c r="C834" s="3" t="s">
        <v>3716</v>
      </c>
      <c r="D834" s="3" t="s">
        <v>1156</v>
      </c>
      <c r="E834" s="3" t="s">
        <v>1157</v>
      </c>
      <c r="F834" s="3"/>
      <c r="G834" s="3"/>
      <c r="H834" s="3"/>
      <c r="I834" s="3" t="s">
        <v>3770</v>
      </c>
      <c r="J834" s="3" t="s">
        <v>11</v>
      </c>
      <c r="K834" s="27" t="s">
        <v>12</v>
      </c>
    </row>
    <row r="835" ht="18.6" customHeight="1" spans="1:11">
      <c r="A835" s="3">
        <v>834</v>
      </c>
      <c r="B835" s="3" t="s">
        <v>1160</v>
      </c>
      <c r="C835" s="3" t="s">
        <v>3716</v>
      </c>
      <c r="D835" s="3" t="s">
        <v>1156</v>
      </c>
      <c r="E835" s="3" t="s">
        <v>1157</v>
      </c>
      <c r="F835" s="3"/>
      <c r="G835" s="3"/>
      <c r="H835" s="3"/>
      <c r="I835" s="3" t="s">
        <v>3773</v>
      </c>
      <c r="J835" s="3" t="s">
        <v>11</v>
      </c>
      <c r="K835" s="27" t="s">
        <v>12</v>
      </c>
    </row>
    <row r="836" ht="18.6" customHeight="1" spans="1:11">
      <c r="A836" s="3">
        <v>835</v>
      </c>
      <c r="B836" s="3" t="s">
        <v>1161</v>
      </c>
      <c r="C836" s="3" t="s">
        <v>3716</v>
      </c>
      <c r="D836" s="3" t="s">
        <v>1156</v>
      </c>
      <c r="E836" s="3" t="s">
        <v>1157</v>
      </c>
      <c r="F836" s="3"/>
      <c r="G836" s="3"/>
      <c r="H836" s="3"/>
      <c r="I836" s="3"/>
      <c r="J836" s="3" t="s">
        <v>11</v>
      </c>
      <c r="K836" s="27" t="s">
        <v>12</v>
      </c>
    </row>
    <row r="837" ht="18.6" customHeight="1" spans="1:11">
      <c r="A837" s="3">
        <v>836</v>
      </c>
      <c r="B837" s="3" t="s">
        <v>1162</v>
      </c>
      <c r="C837" s="3" t="s">
        <v>3716</v>
      </c>
      <c r="D837" s="3" t="s">
        <v>1156</v>
      </c>
      <c r="E837" s="3" t="s">
        <v>1157</v>
      </c>
      <c r="F837" s="3"/>
      <c r="G837" s="3"/>
      <c r="H837" s="3"/>
      <c r="I837" s="3" t="s">
        <v>3776</v>
      </c>
      <c r="J837" s="3" t="s">
        <v>11</v>
      </c>
      <c r="K837" s="27" t="s">
        <v>12</v>
      </c>
    </row>
    <row r="838" ht="18.6" customHeight="1" spans="1:11">
      <c r="A838" s="3">
        <v>837</v>
      </c>
      <c r="B838" s="3" t="s">
        <v>1163</v>
      </c>
      <c r="C838" s="3" t="s">
        <v>3716</v>
      </c>
      <c r="D838" s="3" t="s">
        <v>1156</v>
      </c>
      <c r="E838" s="3" t="s">
        <v>1157</v>
      </c>
      <c r="F838" s="3"/>
      <c r="G838" s="3"/>
      <c r="H838" s="3"/>
      <c r="I838" s="3"/>
      <c r="J838" s="3" t="s">
        <v>11</v>
      </c>
      <c r="K838" s="27" t="s">
        <v>12</v>
      </c>
    </row>
    <row r="839" ht="18.6" customHeight="1" spans="1:11">
      <c r="A839" s="3">
        <v>838</v>
      </c>
      <c r="B839" s="3" t="s">
        <v>1164</v>
      </c>
      <c r="C839" s="3" t="s">
        <v>3716</v>
      </c>
      <c r="D839" s="3" t="s">
        <v>1156</v>
      </c>
      <c r="E839" s="3" t="s">
        <v>1165</v>
      </c>
      <c r="F839" s="3"/>
      <c r="G839" s="3"/>
      <c r="H839" s="3"/>
      <c r="I839" s="3"/>
      <c r="J839" s="3" t="s">
        <v>11</v>
      </c>
      <c r="K839" s="27" t="s">
        <v>12</v>
      </c>
    </row>
    <row r="840" ht="18.6" customHeight="1" spans="1:11">
      <c r="A840" s="3">
        <v>839</v>
      </c>
      <c r="B840" s="3" t="s">
        <v>3787</v>
      </c>
      <c r="C840" s="3" t="s">
        <v>3716</v>
      </c>
      <c r="D840" s="3" t="s">
        <v>1156</v>
      </c>
      <c r="E840" s="3" t="s">
        <v>1167</v>
      </c>
      <c r="F840" s="3"/>
      <c r="G840" s="3"/>
      <c r="H840" s="3"/>
      <c r="I840" s="3"/>
      <c r="J840" s="3" t="s">
        <v>11</v>
      </c>
      <c r="K840" s="27" t="s">
        <v>12</v>
      </c>
    </row>
    <row r="841" ht="18.6" customHeight="1" spans="1:11">
      <c r="A841" s="3">
        <v>840</v>
      </c>
      <c r="B841" s="3" t="s">
        <v>1168</v>
      </c>
      <c r="C841" s="3" t="s">
        <v>3716</v>
      </c>
      <c r="D841" s="3" t="s">
        <v>1156</v>
      </c>
      <c r="E841" s="3" t="s">
        <v>1169</v>
      </c>
      <c r="F841" s="3"/>
      <c r="G841" s="3"/>
      <c r="H841" s="3"/>
      <c r="I841" s="3"/>
      <c r="J841" s="3" t="s">
        <v>11</v>
      </c>
      <c r="K841" s="27" t="s">
        <v>12</v>
      </c>
    </row>
    <row r="842" ht="18.6" customHeight="1" spans="1:11">
      <c r="A842" s="3">
        <v>841</v>
      </c>
      <c r="B842" s="3" t="s">
        <v>1170</v>
      </c>
      <c r="C842" s="3" t="s">
        <v>3716</v>
      </c>
      <c r="D842" s="3" t="s">
        <v>1156</v>
      </c>
      <c r="E842" s="3" t="s">
        <v>1157</v>
      </c>
      <c r="F842" s="3"/>
      <c r="G842" s="3"/>
      <c r="H842" s="3"/>
      <c r="I842" s="3"/>
      <c r="J842" s="3" t="s">
        <v>11</v>
      </c>
      <c r="K842" s="27" t="s">
        <v>12</v>
      </c>
    </row>
    <row r="843" ht="18.6" customHeight="1" spans="1:11">
      <c r="A843" s="3">
        <v>842</v>
      </c>
      <c r="B843" s="3" t="s">
        <v>1171</v>
      </c>
      <c r="C843" s="3" t="s">
        <v>3318</v>
      </c>
      <c r="D843" s="3" t="s">
        <v>1156</v>
      </c>
      <c r="E843" s="3" t="s">
        <v>1157</v>
      </c>
      <c r="F843" s="3"/>
      <c r="G843" s="3"/>
      <c r="H843" s="3"/>
      <c r="I843" s="3" t="s">
        <v>3780</v>
      </c>
      <c r="J843" s="3" t="s">
        <v>11</v>
      </c>
      <c r="K843" s="27" t="s">
        <v>12</v>
      </c>
    </row>
    <row r="844" ht="18.6" customHeight="1" spans="1:11">
      <c r="A844" s="3">
        <v>843</v>
      </c>
      <c r="B844" s="3" t="s">
        <v>1172</v>
      </c>
      <c r="C844" s="3" t="s">
        <v>3716</v>
      </c>
      <c r="D844" s="3" t="s">
        <v>1156</v>
      </c>
      <c r="E844" s="3" t="s">
        <v>1157</v>
      </c>
      <c r="F844" s="3"/>
      <c r="G844" s="3"/>
      <c r="H844" s="3"/>
      <c r="I844" s="3"/>
      <c r="J844" s="3" t="s">
        <v>11</v>
      </c>
      <c r="K844" s="27" t="s">
        <v>12</v>
      </c>
    </row>
    <row r="845" ht="18.6" customHeight="1" spans="1:11">
      <c r="A845" s="3">
        <v>844</v>
      </c>
      <c r="B845" s="3" t="s">
        <v>1173</v>
      </c>
      <c r="C845" s="3" t="s">
        <v>3716</v>
      </c>
      <c r="D845" s="3" t="s">
        <v>1156</v>
      </c>
      <c r="E845" s="3" t="s">
        <v>1174</v>
      </c>
      <c r="F845" s="3"/>
      <c r="G845" s="3"/>
      <c r="H845" s="3"/>
      <c r="I845" s="3"/>
      <c r="J845" s="3" t="s">
        <v>11</v>
      </c>
      <c r="K845" s="27" t="s">
        <v>12</v>
      </c>
    </row>
    <row r="846" ht="18.6" customHeight="1" spans="1:11">
      <c r="A846" s="3">
        <v>845</v>
      </c>
      <c r="B846" s="3" t="s">
        <v>1175</v>
      </c>
      <c r="C846" s="3" t="s">
        <v>3716</v>
      </c>
      <c r="D846" s="3" t="s">
        <v>1156</v>
      </c>
      <c r="E846" s="3" t="s">
        <v>1157</v>
      </c>
      <c r="F846" s="3"/>
      <c r="G846" s="3"/>
      <c r="H846" s="3"/>
      <c r="I846" s="3"/>
      <c r="J846" s="3" t="s">
        <v>11</v>
      </c>
      <c r="K846" s="27" t="s">
        <v>12</v>
      </c>
    </row>
    <row r="847" ht="18.6" customHeight="1" spans="1:11">
      <c r="A847" s="3">
        <v>846</v>
      </c>
      <c r="B847" s="3" t="s">
        <v>1176</v>
      </c>
      <c r="C847" s="3" t="s">
        <v>3716</v>
      </c>
      <c r="D847" s="3" t="s">
        <v>1156</v>
      </c>
      <c r="E847" s="3" t="s">
        <v>1177</v>
      </c>
      <c r="F847" s="3"/>
      <c r="G847" s="3"/>
      <c r="H847" s="3"/>
      <c r="I847" s="3"/>
      <c r="J847" s="3" t="s">
        <v>11</v>
      </c>
      <c r="K847" s="27" t="s">
        <v>12</v>
      </c>
    </row>
    <row r="848" ht="18.6" customHeight="1" spans="1:11">
      <c r="A848" s="3">
        <v>847</v>
      </c>
      <c r="B848" s="3" t="s">
        <v>1178</v>
      </c>
      <c r="C848" s="3" t="s">
        <v>3716</v>
      </c>
      <c r="D848" s="3" t="s">
        <v>1156</v>
      </c>
      <c r="E848" s="3" t="s">
        <v>1157</v>
      </c>
      <c r="F848" s="3"/>
      <c r="G848" s="3"/>
      <c r="H848" s="3"/>
      <c r="I848" s="3"/>
      <c r="J848" s="3" t="s">
        <v>11</v>
      </c>
      <c r="K848" s="27" t="s">
        <v>12</v>
      </c>
    </row>
    <row r="849" ht="18.6" customHeight="1" spans="1:11">
      <c r="A849" s="3">
        <v>848</v>
      </c>
      <c r="B849" s="3" t="s">
        <v>1179</v>
      </c>
      <c r="C849" s="3" t="s">
        <v>3716</v>
      </c>
      <c r="D849" s="3" t="s">
        <v>1156</v>
      </c>
      <c r="E849" s="3" t="s">
        <v>1157</v>
      </c>
      <c r="F849" s="3"/>
      <c r="G849" s="3"/>
      <c r="H849" s="3"/>
      <c r="I849" s="3"/>
      <c r="J849" s="3" t="s">
        <v>11</v>
      </c>
      <c r="K849" s="27" t="s">
        <v>12</v>
      </c>
    </row>
    <row r="850" ht="18.6" customHeight="1" spans="1:11">
      <c r="A850" s="3">
        <v>849</v>
      </c>
      <c r="B850" s="3" t="s">
        <v>1180</v>
      </c>
      <c r="C850" s="3" t="s">
        <v>3716</v>
      </c>
      <c r="D850" s="3" t="s">
        <v>1156</v>
      </c>
      <c r="E850" s="3" t="s">
        <v>1157</v>
      </c>
      <c r="F850" s="3"/>
      <c r="G850" s="3"/>
      <c r="H850" s="3"/>
      <c r="I850" s="3"/>
      <c r="J850" s="3" t="s">
        <v>11</v>
      </c>
      <c r="K850" s="27" t="s">
        <v>12</v>
      </c>
    </row>
    <row r="851" ht="18.6" customHeight="1" spans="1:11">
      <c r="A851" s="3">
        <v>850</v>
      </c>
      <c r="B851" s="3" t="s">
        <v>1181</v>
      </c>
      <c r="C851" s="3" t="s">
        <v>3716</v>
      </c>
      <c r="D851" s="3" t="s">
        <v>1156</v>
      </c>
      <c r="E851" s="3" t="s">
        <v>1182</v>
      </c>
      <c r="F851" s="3"/>
      <c r="G851" s="3"/>
      <c r="H851" s="3"/>
      <c r="I851" s="3"/>
      <c r="J851" s="3" t="s">
        <v>11</v>
      </c>
      <c r="K851" s="27" t="s">
        <v>12</v>
      </c>
    </row>
    <row r="852" ht="18.6" customHeight="1" spans="1:11">
      <c r="A852" s="3">
        <v>851</v>
      </c>
      <c r="B852" s="3" t="s">
        <v>1185</v>
      </c>
      <c r="C852" s="3" t="s">
        <v>3716</v>
      </c>
      <c r="D852" s="3" t="s">
        <v>1156</v>
      </c>
      <c r="E852" s="3" t="s">
        <v>1157</v>
      </c>
      <c r="F852" s="3"/>
      <c r="G852" s="3"/>
      <c r="H852" s="3"/>
      <c r="I852" s="3"/>
      <c r="J852" s="3" t="s">
        <v>11</v>
      </c>
      <c r="K852" s="27" t="s">
        <v>12</v>
      </c>
    </row>
    <row r="853" ht="18.6" customHeight="1" spans="1:11">
      <c r="A853" s="3">
        <v>852</v>
      </c>
      <c r="B853" s="3" t="s">
        <v>1186</v>
      </c>
      <c r="C853" s="3" t="s">
        <v>3716</v>
      </c>
      <c r="D853" s="3" t="s">
        <v>1156</v>
      </c>
      <c r="E853" s="3" t="s">
        <v>1167</v>
      </c>
      <c r="F853" s="3"/>
      <c r="G853" s="3"/>
      <c r="H853" s="3"/>
      <c r="I853" s="3"/>
      <c r="J853" s="3" t="s">
        <v>11</v>
      </c>
      <c r="K853" s="27" t="s">
        <v>12</v>
      </c>
    </row>
    <row r="854" ht="18.6" customHeight="1" spans="1:11">
      <c r="A854" s="3">
        <v>853</v>
      </c>
      <c r="B854" s="3" t="s">
        <v>1190</v>
      </c>
      <c r="C854" s="3" t="s">
        <v>3731</v>
      </c>
      <c r="D854" s="3" t="s">
        <v>1191</v>
      </c>
      <c r="E854" s="3" t="s">
        <v>1192</v>
      </c>
      <c r="F854" s="3"/>
      <c r="G854" s="3">
        <v>211</v>
      </c>
      <c r="H854" s="3" t="s">
        <v>5</v>
      </c>
      <c r="I854" s="3" t="s">
        <v>3769</v>
      </c>
      <c r="J854" s="3" t="s">
        <v>11</v>
      </c>
      <c r="K854" s="27" t="s">
        <v>12</v>
      </c>
    </row>
    <row r="855" ht="18.6" customHeight="1" spans="1:11">
      <c r="A855" s="3">
        <v>854</v>
      </c>
      <c r="B855" s="3" t="s">
        <v>1193</v>
      </c>
      <c r="C855" s="3" t="s">
        <v>3731</v>
      </c>
      <c r="D855" s="3" t="s">
        <v>1191</v>
      </c>
      <c r="E855" s="3" t="s">
        <v>1192</v>
      </c>
      <c r="F855" s="3"/>
      <c r="G855" s="3"/>
      <c r="H855" s="3"/>
      <c r="I855" s="3" t="s">
        <v>3776</v>
      </c>
      <c r="J855" s="3" t="s">
        <v>11</v>
      </c>
      <c r="K855" s="27" t="s">
        <v>12</v>
      </c>
    </row>
    <row r="856" ht="18.6" customHeight="1" spans="1:11">
      <c r="A856" s="3">
        <v>855</v>
      </c>
      <c r="B856" s="3" t="s">
        <v>1194</v>
      </c>
      <c r="C856" s="3" t="s">
        <v>3731</v>
      </c>
      <c r="D856" s="3" t="s">
        <v>1191</v>
      </c>
      <c r="E856" s="3" t="s">
        <v>1192</v>
      </c>
      <c r="F856" s="3"/>
      <c r="G856" s="3"/>
      <c r="H856" s="3"/>
      <c r="I856" s="3"/>
      <c r="J856" s="3" t="s">
        <v>11</v>
      </c>
      <c r="K856" s="27" t="s">
        <v>12</v>
      </c>
    </row>
    <row r="857" ht="18.6" customHeight="1" spans="1:11">
      <c r="A857" s="3">
        <v>856</v>
      </c>
      <c r="B857" s="3" t="s">
        <v>1195</v>
      </c>
      <c r="C857" s="3" t="s">
        <v>3731</v>
      </c>
      <c r="D857" s="3" t="s">
        <v>1191</v>
      </c>
      <c r="E857" s="3" t="s">
        <v>1192</v>
      </c>
      <c r="F857" s="3"/>
      <c r="G857" s="3"/>
      <c r="H857" s="3"/>
      <c r="I857" s="3"/>
      <c r="J857" s="3" t="s">
        <v>11</v>
      </c>
      <c r="K857" s="27" t="s">
        <v>12</v>
      </c>
    </row>
    <row r="858" ht="18.6" customHeight="1" spans="1:11">
      <c r="A858" s="3">
        <v>857</v>
      </c>
      <c r="B858" s="3" t="s">
        <v>1196</v>
      </c>
      <c r="C858" s="3" t="s">
        <v>3736</v>
      </c>
      <c r="D858" s="3" t="s">
        <v>1197</v>
      </c>
      <c r="E858" s="3" t="s">
        <v>1198</v>
      </c>
      <c r="F858" s="3"/>
      <c r="G858" s="3">
        <v>211</v>
      </c>
      <c r="H858" s="3" t="s">
        <v>5</v>
      </c>
      <c r="I858" s="3" t="s">
        <v>3769</v>
      </c>
      <c r="J858" s="3" t="s">
        <v>11</v>
      </c>
      <c r="K858" s="27" t="s">
        <v>12</v>
      </c>
    </row>
    <row r="859" ht="18.6" customHeight="1" spans="1:11">
      <c r="A859" s="3">
        <v>858</v>
      </c>
      <c r="B859" s="3" t="s">
        <v>1199</v>
      </c>
      <c r="C859" s="3" t="s">
        <v>3736</v>
      </c>
      <c r="D859" s="3" t="s">
        <v>1197</v>
      </c>
      <c r="E859" s="3" t="s">
        <v>1198</v>
      </c>
      <c r="F859" s="3"/>
      <c r="G859" s="3"/>
      <c r="H859" s="3"/>
      <c r="I859" s="3" t="s">
        <v>3775</v>
      </c>
      <c r="J859" s="3" t="s">
        <v>11</v>
      </c>
      <c r="K859" s="27" t="s">
        <v>12</v>
      </c>
    </row>
    <row r="860" ht="18.6" customHeight="1" spans="1:11">
      <c r="A860" s="3">
        <v>859</v>
      </c>
      <c r="B860" s="3" t="s">
        <v>1200</v>
      </c>
      <c r="C860" s="3" t="s">
        <v>3736</v>
      </c>
      <c r="D860" s="3" t="s">
        <v>1197</v>
      </c>
      <c r="E860" s="3" t="s">
        <v>1201</v>
      </c>
      <c r="F860" s="3"/>
      <c r="G860" s="3"/>
      <c r="H860" s="3"/>
      <c r="I860" s="3"/>
      <c r="J860" s="3" t="s">
        <v>11</v>
      </c>
      <c r="K860" s="27" t="s">
        <v>12</v>
      </c>
    </row>
    <row r="861" ht="18.6" customHeight="1" spans="1:11">
      <c r="A861" s="3">
        <v>860</v>
      </c>
      <c r="B861" s="3" t="s">
        <v>1202</v>
      </c>
      <c r="C861" s="3" t="s">
        <v>3318</v>
      </c>
      <c r="D861" s="3" t="s">
        <v>1197</v>
      </c>
      <c r="E861" s="3" t="s">
        <v>1198</v>
      </c>
      <c r="F861" s="3"/>
      <c r="G861" s="3"/>
      <c r="H861" s="3"/>
      <c r="I861" s="3"/>
      <c r="J861" s="3" t="s">
        <v>11</v>
      </c>
      <c r="K861" s="27" t="s">
        <v>12</v>
      </c>
    </row>
    <row r="862" ht="18.6" customHeight="1" spans="1:11">
      <c r="A862" s="3">
        <v>861</v>
      </c>
      <c r="B862" s="3" t="s">
        <v>1205</v>
      </c>
      <c r="C862" s="3" t="s">
        <v>3742</v>
      </c>
      <c r="D862" s="3" t="s">
        <v>1206</v>
      </c>
      <c r="E862" s="3" t="s">
        <v>1207</v>
      </c>
      <c r="F862" s="3"/>
      <c r="G862" s="3">
        <v>211</v>
      </c>
      <c r="H862" s="3" t="s">
        <v>5</v>
      </c>
      <c r="I862" s="3" t="s">
        <v>3769</v>
      </c>
      <c r="J862" s="3" t="s">
        <v>11</v>
      </c>
      <c r="K862" s="27" t="s">
        <v>12</v>
      </c>
    </row>
    <row r="863" ht="18.6" customHeight="1" spans="1:11">
      <c r="A863" s="3">
        <v>862</v>
      </c>
      <c r="B863" s="3" t="s">
        <v>1208</v>
      </c>
      <c r="C863" s="3" t="s">
        <v>3744</v>
      </c>
      <c r="D863" s="3" t="s">
        <v>1206</v>
      </c>
      <c r="E863" s="3" t="s">
        <v>1209</v>
      </c>
      <c r="F863" s="3"/>
      <c r="G863" s="3"/>
      <c r="H863" s="3"/>
      <c r="I863" s="3"/>
      <c r="J863" s="3" t="s">
        <v>11</v>
      </c>
      <c r="K863" s="27" t="s">
        <v>12</v>
      </c>
    </row>
    <row r="864" ht="18.6" customHeight="1" spans="1:11">
      <c r="A864" s="3">
        <v>863</v>
      </c>
      <c r="B864" s="3" t="s">
        <v>1210</v>
      </c>
      <c r="C864" s="3" t="s">
        <v>3742</v>
      </c>
      <c r="D864" s="3" t="s">
        <v>1206</v>
      </c>
      <c r="E864" s="3" t="s">
        <v>1207</v>
      </c>
      <c r="F864" s="3"/>
      <c r="G864" s="3"/>
      <c r="H864" s="3"/>
      <c r="I864" s="3" t="s">
        <v>3773</v>
      </c>
      <c r="J864" s="3" t="s">
        <v>11</v>
      </c>
      <c r="K864" s="27" t="s">
        <v>12</v>
      </c>
    </row>
    <row r="865" ht="18.6" customHeight="1" spans="1:11">
      <c r="A865" s="3">
        <v>864</v>
      </c>
      <c r="B865" s="3" t="s">
        <v>1211</v>
      </c>
      <c r="C865" s="3" t="s">
        <v>3744</v>
      </c>
      <c r="D865" s="3" t="s">
        <v>1206</v>
      </c>
      <c r="E865" s="3" t="s">
        <v>1212</v>
      </c>
      <c r="F865" s="3"/>
      <c r="G865" s="3">
        <v>211</v>
      </c>
      <c r="H865" s="3" t="s">
        <v>5</v>
      </c>
      <c r="I865" s="3" t="s">
        <v>3769</v>
      </c>
      <c r="J865" s="3" t="s">
        <v>11</v>
      </c>
      <c r="K865" s="27" t="s">
        <v>12</v>
      </c>
    </row>
    <row r="866" ht="18.6" customHeight="1" spans="1:11">
      <c r="A866" s="3">
        <v>865</v>
      </c>
      <c r="B866" s="3" t="s">
        <v>1213</v>
      </c>
      <c r="C866" s="3" t="s">
        <v>3742</v>
      </c>
      <c r="D866" s="3" t="s">
        <v>1206</v>
      </c>
      <c r="E866" s="3" t="s">
        <v>1207</v>
      </c>
      <c r="F866" s="3"/>
      <c r="G866" s="3"/>
      <c r="H866" s="3"/>
      <c r="I866" s="3" t="s">
        <v>3775</v>
      </c>
      <c r="J866" s="3" t="s">
        <v>11</v>
      </c>
      <c r="K866" s="27" t="s">
        <v>12</v>
      </c>
    </row>
    <row r="867" ht="18.6" customHeight="1" spans="1:11">
      <c r="A867" s="3">
        <v>866</v>
      </c>
      <c r="B867" s="3" t="s">
        <v>1214</v>
      </c>
      <c r="C867" s="3" t="s">
        <v>3742</v>
      </c>
      <c r="D867" s="3" t="s">
        <v>1206</v>
      </c>
      <c r="E867" s="3" t="s">
        <v>1207</v>
      </c>
      <c r="F867" s="3"/>
      <c r="G867" s="3"/>
      <c r="H867" s="3"/>
      <c r="I867" s="3" t="s">
        <v>3776</v>
      </c>
      <c r="J867" s="3" t="s">
        <v>11</v>
      </c>
      <c r="K867" s="27" t="s">
        <v>12</v>
      </c>
    </row>
    <row r="868" ht="18.6" customHeight="1" spans="1:11">
      <c r="A868" s="3">
        <v>867</v>
      </c>
      <c r="B868" s="3" t="s">
        <v>1215</v>
      </c>
      <c r="C868" s="3" t="s">
        <v>3742</v>
      </c>
      <c r="D868" s="3" t="s">
        <v>1206</v>
      </c>
      <c r="E868" s="3" t="s">
        <v>1216</v>
      </c>
      <c r="F868" s="3"/>
      <c r="G868" s="3"/>
      <c r="H868" s="3"/>
      <c r="I868" s="3"/>
      <c r="J868" s="3" t="s">
        <v>11</v>
      </c>
      <c r="K868" s="27" t="s">
        <v>12</v>
      </c>
    </row>
    <row r="869" ht="18.6" customHeight="1" spans="1:11">
      <c r="A869" s="3">
        <v>868</v>
      </c>
      <c r="B869" s="3" t="s">
        <v>1217</v>
      </c>
      <c r="C869" s="3" t="s">
        <v>3742</v>
      </c>
      <c r="D869" s="3" t="s">
        <v>1206</v>
      </c>
      <c r="E869" s="3" t="s">
        <v>1218</v>
      </c>
      <c r="F869" s="3"/>
      <c r="G869" s="3"/>
      <c r="H869" s="3"/>
      <c r="I869" s="3"/>
      <c r="J869" s="3" t="s">
        <v>11</v>
      </c>
      <c r="K869" s="27" t="s">
        <v>12</v>
      </c>
    </row>
    <row r="870" ht="18.6" customHeight="1" spans="1:11">
      <c r="A870" s="3">
        <v>869</v>
      </c>
      <c r="B870" s="3" t="s">
        <v>1219</v>
      </c>
      <c r="C870" s="3" t="s">
        <v>3742</v>
      </c>
      <c r="D870" s="3" t="s">
        <v>1206</v>
      </c>
      <c r="E870" s="3" t="s">
        <v>1207</v>
      </c>
      <c r="F870" s="3"/>
      <c r="G870" s="3"/>
      <c r="H870" s="3"/>
      <c r="I870" s="3" t="s">
        <v>3771</v>
      </c>
      <c r="J870" s="3" t="s">
        <v>11</v>
      </c>
      <c r="K870" s="27" t="s">
        <v>12</v>
      </c>
    </row>
    <row r="871" ht="18.6" customHeight="1" spans="1:11">
      <c r="A871" s="3">
        <v>870</v>
      </c>
      <c r="B871" s="3" t="s">
        <v>1220</v>
      </c>
      <c r="C871" s="3" t="s">
        <v>3742</v>
      </c>
      <c r="D871" s="3" t="s">
        <v>1206</v>
      </c>
      <c r="E871" s="3" t="s">
        <v>1207</v>
      </c>
      <c r="F871" s="3"/>
      <c r="G871" s="3"/>
      <c r="H871" s="3"/>
      <c r="I871" s="3"/>
      <c r="J871" s="3" t="s">
        <v>11</v>
      </c>
      <c r="K871" s="27" t="s">
        <v>12</v>
      </c>
    </row>
    <row r="872" ht="18.6" customHeight="1" spans="1:11">
      <c r="A872" s="3">
        <v>871</v>
      </c>
      <c r="B872" s="3" t="s">
        <v>1221</v>
      </c>
      <c r="C872" s="3" t="s">
        <v>3742</v>
      </c>
      <c r="D872" s="3" t="s">
        <v>1206</v>
      </c>
      <c r="E872" s="3" t="s">
        <v>1207</v>
      </c>
      <c r="F872" s="3"/>
      <c r="G872" s="3"/>
      <c r="H872" s="3"/>
      <c r="I872" s="3"/>
      <c r="J872" s="3" t="s">
        <v>11</v>
      </c>
      <c r="K872" s="27" t="s">
        <v>12</v>
      </c>
    </row>
    <row r="873" ht="18.6" customHeight="1" spans="1:11">
      <c r="A873" s="3">
        <v>872</v>
      </c>
      <c r="B873" s="3" t="s">
        <v>1222</v>
      </c>
      <c r="C873" s="3" t="s">
        <v>3742</v>
      </c>
      <c r="D873" s="3" t="s">
        <v>1206</v>
      </c>
      <c r="E873" s="3" t="s">
        <v>1223</v>
      </c>
      <c r="F873" s="3"/>
      <c r="G873" s="3"/>
      <c r="H873" s="3"/>
      <c r="I873" s="3"/>
      <c r="J873" s="3" t="s">
        <v>11</v>
      </c>
      <c r="K873" s="27" t="s">
        <v>12</v>
      </c>
    </row>
    <row r="874" ht="18.6" customHeight="1" spans="1:11">
      <c r="A874" s="3">
        <v>873</v>
      </c>
      <c r="B874" s="3" t="s">
        <v>1224</v>
      </c>
      <c r="C874" s="3" t="s">
        <v>3742</v>
      </c>
      <c r="D874" s="3" t="s">
        <v>1206</v>
      </c>
      <c r="E874" s="3" t="s">
        <v>1207</v>
      </c>
      <c r="F874" s="3"/>
      <c r="G874" s="3"/>
      <c r="H874" s="3"/>
      <c r="I874" s="3"/>
      <c r="J874" s="3" t="s">
        <v>11</v>
      </c>
      <c r="K874" s="27" t="s">
        <v>12</v>
      </c>
    </row>
    <row r="875" ht="18.6" customHeight="1" spans="1:11">
      <c r="A875" s="3">
        <v>874</v>
      </c>
      <c r="B875" s="3" t="s">
        <v>1225</v>
      </c>
      <c r="C875" s="3" t="s">
        <v>3742</v>
      </c>
      <c r="D875" s="3" t="s">
        <v>1206</v>
      </c>
      <c r="E875" s="3" t="s">
        <v>1226</v>
      </c>
      <c r="F875" s="3"/>
      <c r="G875" s="3"/>
      <c r="H875" s="3"/>
      <c r="I875" s="3"/>
      <c r="J875" s="3" t="s">
        <v>11</v>
      </c>
      <c r="K875" s="27" t="s">
        <v>12</v>
      </c>
    </row>
    <row r="876" ht="18.6" customHeight="1" spans="1:11">
      <c r="A876" s="3">
        <v>875</v>
      </c>
      <c r="B876" s="3" t="s">
        <v>1227</v>
      </c>
      <c r="C876" s="3" t="s">
        <v>3742</v>
      </c>
      <c r="D876" s="3" t="s">
        <v>1206</v>
      </c>
      <c r="E876" s="3" t="s">
        <v>1228</v>
      </c>
      <c r="F876" s="3"/>
      <c r="G876" s="3"/>
      <c r="H876" s="3"/>
      <c r="I876" s="3"/>
      <c r="J876" s="3" t="s">
        <v>11</v>
      </c>
      <c r="K876" s="27" t="s">
        <v>12</v>
      </c>
    </row>
    <row r="877" ht="18.6" customHeight="1" spans="1:11">
      <c r="A877" s="3">
        <v>876</v>
      </c>
      <c r="B877" s="3" t="s">
        <v>1229</v>
      </c>
      <c r="C877" s="3" t="s">
        <v>3742</v>
      </c>
      <c r="D877" s="3" t="s">
        <v>1206</v>
      </c>
      <c r="E877" s="3" t="s">
        <v>1230</v>
      </c>
      <c r="F877" s="3"/>
      <c r="G877" s="3"/>
      <c r="H877" s="3"/>
      <c r="I877" s="3"/>
      <c r="J877" s="3" t="s">
        <v>11</v>
      </c>
      <c r="K877" s="27" t="s">
        <v>12</v>
      </c>
    </row>
    <row r="878" ht="18.6" customHeight="1" spans="1:11">
      <c r="A878" s="3">
        <v>877</v>
      </c>
      <c r="B878" s="3" t="s">
        <v>1231</v>
      </c>
      <c r="C878" s="3" t="s">
        <v>3744</v>
      </c>
      <c r="D878" s="3" t="s">
        <v>1206</v>
      </c>
      <c r="E878" s="3" t="s">
        <v>1232</v>
      </c>
      <c r="F878" s="3"/>
      <c r="G878" s="3"/>
      <c r="H878" s="3"/>
      <c r="I878" s="3"/>
      <c r="J878" s="3" t="s">
        <v>11</v>
      </c>
      <c r="K878" s="27" t="s">
        <v>12</v>
      </c>
    </row>
    <row r="879" ht="18.6" customHeight="1" spans="1:11">
      <c r="A879" s="3">
        <v>878</v>
      </c>
      <c r="B879" s="3" t="s">
        <v>1233</v>
      </c>
      <c r="C879" s="3" t="s">
        <v>3742</v>
      </c>
      <c r="D879" s="3" t="s">
        <v>1206</v>
      </c>
      <c r="E879" s="3" t="s">
        <v>1234</v>
      </c>
      <c r="F879" s="3"/>
      <c r="G879" s="3"/>
      <c r="H879" s="3"/>
      <c r="I879" s="3"/>
      <c r="J879" s="3" t="s">
        <v>11</v>
      </c>
      <c r="K879" s="27" t="s">
        <v>12</v>
      </c>
    </row>
    <row r="880" ht="18.6" customHeight="1" spans="1:11">
      <c r="A880" s="3">
        <v>879</v>
      </c>
      <c r="B880" s="3" t="s">
        <v>1235</v>
      </c>
      <c r="C880" s="3" t="s">
        <v>3742</v>
      </c>
      <c r="D880" s="3" t="s">
        <v>1206</v>
      </c>
      <c r="E880" s="3" t="s">
        <v>1223</v>
      </c>
      <c r="F880" s="3"/>
      <c r="G880" s="3"/>
      <c r="H880" s="3"/>
      <c r="I880" s="3"/>
      <c r="J880" s="3" t="s">
        <v>11</v>
      </c>
      <c r="K880" s="27" t="s">
        <v>12</v>
      </c>
    </row>
    <row r="881" ht="18.6" customHeight="1" spans="1:11">
      <c r="A881" s="3">
        <v>880</v>
      </c>
      <c r="B881" s="3" t="s">
        <v>1238</v>
      </c>
      <c r="C881" s="3"/>
      <c r="D881" s="3" t="s">
        <v>1106</v>
      </c>
      <c r="E881" s="3" t="s">
        <v>1111</v>
      </c>
      <c r="F881" s="3"/>
      <c r="G881" s="3">
        <v>211</v>
      </c>
      <c r="H881" s="3" t="s">
        <v>5</v>
      </c>
      <c r="I881" s="3"/>
      <c r="J881" s="3" t="s">
        <v>11</v>
      </c>
      <c r="K881" s="27" t="s">
        <v>12</v>
      </c>
    </row>
    <row r="882" ht="18.6" customHeight="1" spans="1:11">
      <c r="A882" s="3">
        <v>881</v>
      </c>
      <c r="B882" s="3" t="s">
        <v>1239</v>
      </c>
      <c r="C882" s="3" t="s">
        <v>3637</v>
      </c>
      <c r="D882" s="3" t="s">
        <v>951</v>
      </c>
      <c r="E882" s="3" t="s">
        <v>951</v>
      </c>
      <c r="F882" s="3"/>
      <c r="G882" s="3"/>
      <c r="H882" s="3"/>
      <c r="I882" s="3"/>
      <c r="J882" s="3" t="s">
        <v>11</v>
      </c>
      <c r="K882" s="27" t="s">
        <v>12</v>
      </c>
    </row>
    <row r="883" ht="18.6" customHeight="1" spans="1:11">
      <c r="A883" s="3">
        <v>882</v>
      </c>
      <c r="B883" s="3" t="s">
        <v>1240</v>
      </c>
      <c r="C883" s="3" t="s">
        <v>3458</v>
      </c>
      <c r="D883" s="3" t="s">
        <v>502</v>
      </c>
      <c r="E883" s="3" t="s">
        <v>503</v>
      </c>
      <c r="F883" s="3"/>
      <c r="G883" s="3"/>
      <c r="H883" s="3"/>
      <c r="I883" s="3"/>
      <c r="J883" s="3" t="s">
        <v>11</v>
      </c>
      <c r="K883" s="27" t="s">
        <v>12</v>
      </c>
    </row>
    <row r="884" ht="18.6" customHeight="1" spans="1:11">
      <c r="A884" s="3">
        <v>883</v>
      </c>
      <c r="B884" s="3" t="s">
        <v>1241</v>
      </c>
      <c r="C884" s="3" t="s">
        <v>3509</v>
      </c>
      <c r="D884" s="3" t="s">
        <v>628</v>
      </c>
      <c r="E884" s="3" t="s">
        <v>631</v>
      </c>
      <c r="F884" s="3"/>
      <c r="G884" s="3"/>
      <c r="H884" s="3"/>
      <c r="I884" s="3"/>
      <c r="J884" s="3" t="s">
        <v>11</v>
      </c>
      <c r="K884" s="27" t="s">
        <v>12</v>
      </c>
    </row>
    <row r="885" ht="18.6" customHeight="1" spans="1:11">
      <c r="A885" s="3">
        <v>884</v>
      </c>
      <c r="B885" s="3" t="s">
        <v>1242</v>
      </c>
      <c r="C885" s="3" t="s">
        <v>3528</v>
      </c>
      <c r="D885" s="3" t="s">
        <v>692</v>
      </c>
      <c r="E885" s="3" t="s">
        <v>693</v>
      </c>
      <c r="F885" s="3"/>
      <c r="G885" s="3"/>
      <c r="H885" s="3"/>
      <c r="I885" s="3"/>
      <c r="J885" s="3" t="s">
        <v>11</v>
      </c>
      <c r="K885" s="27" t="s">
        <v>12</v>
      </c>
    </row>
    <row r="886" ht="18.6" customHeight="1" spans="1:11">
      <c r="A886" s="3">
        <v>885</v>
      </c>
      <c r="B886" s="3" t="s">
        <v>1243</v>
      </c>
      <c r="C886" s="3" t="s">
        <v>3588</v>
      </c>
      <c r="D886" s="3" t="s">
        <v>844</v>
      </c>
      <c r="E886" s="3" t="s">
        <v>874</v>
      </c>
      <c r="F886" s="3"/>
      <c r="G886" s="3"/>
      <c r="H886" s="3"/>
      <c r="I886" s="3"/>
      <c r="J886" s="3" t="s">
        <v>11</v>
      </c>
      <c r="K886" s="27" t="s">
        <v>12</v>
      </c>
    </row>
    <row r="887" ht="18.6" customHeight="1" spans="1:11">
      <c r="A887" s="3">
        <v>886</v>
      </c>
      <c r="B887" s="3" t="s">
        <v>1244</v>
      </c>
      <c r="C887" s="3" t="s">
        <v>3731</v>
      </c>
      <c r="D887" s="3" t="s">
        <v>1191</v>
      </c>
      <c r="E887" s="3" t="s">
        <v>1192</v>
      </c>
      <c r="F887" s="3"/>
      <c r="G887" s="3"/>
      <c r="H887" s="3"/>
      <c r="I887" s="3"/>
      <c r="J887" s="3" t="s">
        <v>11</v>
      </c>
      <c r="K887" s="27" t="s">
        <v>12</v>
      </c>
    </row>
    <row r="888" ht="18.6" customHeight="1" spans="1:11">
      <c r="A888" s="3">
        <v>887</v>
      </c>
      <c r="B888" s="3" t="s">
        <v>1699</v>
      </c>
      <c r="C888" s="3" t="s">
        <v>3310</v>
      </c>
      <c r="D888" s="3" t="s">
        <v>10</v>
      </c>
      <c r="E888" s="3" t="s">
        <v>10</v>
      </c>
      <c r="F888" s="3"/>
      <c r="G888" s="3"/>
      <c r="H888" s="3"/>
      <c r="I888" s="3" t="s">
        <v>3770</v>
      </c>
      <c r="J888" s="3" t="s">
        <v>1700</v>
      </c>
      <c r="K888" s="27" t="s">
        <v>12</v>
      </c>
    </row>
    <row r="889" ht="18.6" customHeight="1" spans="1:11">
      <c r="A889" s="3">
        <v>888</v>
      </c>
      <c r="B889" s="3" t="s">
        <v>1701</v>
      </c>
      <c r="C889" s="3" t="s">
        <v>3310</v>
      </c>
      <c r="D889" s="3" t="s">
        <v>10</v>
      </c>
      <c r="E889" s="3" t="s">
        <v>10</v>
      </c>
      <c r="F889" s="3"/>
      <c r="G889" s="3"/>
      <c r="H889" s="3"/>
      <c r="I889" s="3" t="s">
        <v>3770</v>
      </c>
      <c r="J889" s="3" t="s">
        <v>1700</v>
      </c>
      <c r="K889" s="27" t="s">
        <v>12</v>
      </c>
    </row>
    <row r="890" ht="18.6" customHeight="1" spans="1:11">
      <c r="A890" s="3">
        <v>889</v>
      </c>
      <c r="B890" s="3" t="s">
        <v>3788</v>
      </c>
      <c r="C890" s="3" t="s">
        <v>3310</v>
      </c>
      <c r="D890" s="3" t="s">
        <v>10</v>
      </c>
      <c r="E890" s="3" t="s">
        <v>10</v>
      </c>
      <c r="F890" s="3"/>
      <c r="G890" s="3"/>
      <c r="H890" s="3"/>
      <c r="I890" s="3" t="s">
        <v>3770</v>
      </c>
      <c r="J890" s="3" t="s">
        <v>1700</v>
      </c>
      <c r="K890" s="27" t="s">
        <v>12</v>
      </c>
    </row>
    <row r="891" ht="18.6" customHeight="1" spans="1:11">
      <c r="A891" s="3">
        <v>890</v>
      </c>
      <c r="B891" s="3" t="s">
        <v>1702</v>
      </c>
      <c r="C891" s="3" t="s">
        <v>3310</v>
      </c>
      <c r="D891" s="3" t="s">
        <v>10</v>
      </c>
      <c r="E891" s="3" t="s">
        <v>10</v>
      </c>
      <c r="F891" s="3"/>
      <c r="G891" s="3"/>
      <c r="H891" s="3"/>
      <c r="I891" s="3" t="s">
        <v>3770</v>
      </c>
      <c r="J891" s="3" t="s">
        <v>1700</v>
      </c>
      <c r="K891" s="27" t="s">
        <v>12</v>
      </c>
    </row>
    <row r="892" ht="18.6" customHeight="1" spans="1:11">
      <c r="A892" s="3">
        <v>891</v>
      </c>
      <c r="B892" s="3" t="s">
        <v>1703</v>
      </c>
      <c r="C892" s="3" t="s">
        <v>3310</v>
      </c>
      <c r="D892" s="3" t="s">
        <v>10</v>
      </c>
      <c r="E892" s="3" t="s">
        <v>10</v>
      </c>
      <c r="F892" s="3"/>
      <c r="G892" s="3"/>
      <c r="H892" s="3"/>
      <c r="I892" s="3" t="s">
        <v>3770</v>
      </c>
      <c r="J892" s="3" t="s">
        <v>1700</v>
      </c>
      <c r="K892" s="27" t="s">
        <v>12</v>
      </c>
    </row>
    <row r="893" ht="18.6" customHeight="1" spans="1:11">
      <c r="A893" s="3">
        <v>892</v>
      </c>
      <c r="B893" s="3" t="s">
        <v>1704</v>
      </c>
      <c r="C893" s="3" t="s">
        <v>3310</v>
      </c>
      <c r="D893" s="3" t="s">
        <v>10</v>
      </c>
      <c r="E893" s="3" t="s">
        <v>10</v>
      </c>
      <c r="F893" s="3"/>
      <c r="G893" s="3"/>
      <c r="H893" s="3"/>
      <c r="I893" s="3" t="s">
        <v>3769</v>
      </c>
      <c r="J893" s="3" t="s">
        <v>1700</v>
      </c>
      <c r="K893" s="27" t="s">
        <v>12</v>
      </c>
    </row>
    <row r="894" ht="18.6" customHeight="1" spans="1:11">
      <c r="A894" s="3">
        <v>893</v>
      </c>
      <c r="B894" s="3" t="s">
        <v>1705</v>
      </c>
      <c r="C894" s="3" t="s">
        <v>3310</v>
      </c>
      <c r="D894" s="3" t="s">
        <v>10</v>
      </c>
      <c r="E894" s="3" t="s">
        <v>10</v>
      </c>
      <c r="F894" s="3"/>
      <c r="G894" s="3"/>
      <c r="H894" s="3"/>
      <c r="I894" s="3" t="s">
        <v>3773</v>
      </c>
      <c r="J894" s="3" t="s">
        <v>1700</v>
      </c>
      <c r="K894" s="27" t="s">
        <v>12</v>
      </c>
    </row>
    <row r="895" ht="18.6" customHeight="1" spans="1:11">
      <c r="A895" s="3">
        <v>894</v>
      </c>
      <c r="B895" s="3" t="s">
        <v>1706</v>
      </c>
      <c r="C895" s="3" t="s">
        <v>3310</v>
      </c>
      <c r="D895" s="3" t="s">
        <v>10</v>
      </c>
      <c r="E895" s="3" t="s">
        <v>10</v>
      </c>
      <c r="F895" s="3"/>
      <c r="G895" s="3"/>
      <c r="H895" s="3"/>
      <c r="I895" s="3" t="s">
        <v>3779</v>
      </c>
      <c r="J895" s="3" t="s">
        <v>1700</v>
      </c>
      <c r="K895" s="27" t="s">
        <v>12</v>
      </c>
    </row>
    <row r="896" ht="18.6" customHeight="1" spans="1:11">
      <c r="A896" s="3">
        <v>895</v>
      </c>
      <c r="B896" s="3" t="s">
        <v>1707</v>
      </c>
      <c r="C896" s="3" t="s">
        <v>3310</v>
      </c>
      <c r="D896" s="3" t="s">
        <v>10</v>
      </c>
      <c r="E896" s="3" t="s">
        <v>10</v>
      </c>
      <c r="F896" s="3"/>
      <c r="G896" s="3"/>
      <c r="H896" s="3"/>
      <c r="I896" s="3" t="s">
        <v>3771</v>
      </c>
      <c r="J896" s="3" t="s">
        <v>1700</v>
      </c>
      <c r="K896" s="27" t="s">
        <v>12</v>
      </c>
    </row>
    <row r="897" ht="18.6" customHeight="1" spans="1:11">
      <c r="A897" s="3">
        <v>896</v>
      </c>
      <c r="B897" s="3" t="s">
        <v>1708</v>
      </c>
      <c r="C897" s="3" t="s">
        <v>3310</v>
      </c>
      <c r="D897" s="3" t="s">
        <v>10</v>
      </c>
      <c r="E897" s="3" t="s">
        <v>10</v>
      </c>
      <c r="F897" s="3"/>
      <c r="G897" s="3"/>
      <c r="H897" s="3"/>
      <c r="I897" s="3" t="s">
        <v>3772</v>
      </c>
      <c r="J897" s="3" t="s">
        <v>1700</v>
      </c>
      <c r="K897" s="27" t="s">
        <v>12</v>
      </c>
    </row>
    <row r="898" ht="18.6" customHeight="1" spans="1:11">
      <c r="A898" s="3">
        <v>897</v>
      </c>
      <c r="B898" s="3" t="s">
        <v>1709</v>
      </c>
      <c r="C898" s="3" t="s">
        <v>3310</v>
      </c>
      <c r="D898" s="3" t="s">
        <v>10</v>
      </c>
      <c r="E898" s="3" t="s">
        <v>10</v>
      </c>
      <c r="F898" s="3"/>
      <c r="G898" s="3"/>
      <c r="H898" s="3"/>
      <c r="I898" s="3" t="s">
        <v>3771</v>
      </c>
      <c r="J898" s="3" t="s">
        <v>1700</v>
      </c>
      <c r="K898" s="27" t="s">
        <v>12</v>
      </c>
    </row>
    <row r="899" ht="18.6" customHeight="1" spans="1:11">
      <c r="A899" s="3">
        <v>898</v>
      </c>
      <c r="B899" s="3" t="s">
        <v>1710</v>
      </c>
      <c r="C899" s="3" t="s">
        <v>3310</v>
      </c>
      <c r="D899" s="3" t="s">
        <v>10</v>
      </c>
      <c r="E899" s="3" t="s">
        <v>10</v>
      </c>
      <c r="F899" s="3"/>
      <c r="G899" s="3"/>
      <c r="H899" s="3"/>
      <c r="I899" s="3" t="s">
        <v>3789</v>
      </c>
      <c r="J899" s="3" t="s">
        <v>1700</v>
      </c>
      <c r="K899" s="27" t="s">
        <v>12</v>
      </c>
    </row>
    <row r="900" ht="18.6" customHeight="1" spans="1:11">
      <c r="A900" s="3">
        <v>899</v>
      </c>
      <c r="B900" s="3" t="s">
        <v>1711</v>
      </c>
      <c r="C900" s="3" t="s">
        <v>3310</v>
      </c>
      <c r="D900" s="3" t="s">
        <v>10</v>
      </c>
      <c r="E900" s="3" t="s">
        <v>10</v>
      </c>
      <c r="F900" s="3"/>
      <c r="G900" s="3"/>
      <c r="H900" s="3"/>
      <c r="I900" s="3" t="s">
        <v>3777</v>
      </c>
      <c r="J900" s="3" t="s">
        <v>1700</v>
      </c>
      <c r="K900" s="27" t="s">
        <v>12</v>
      </c>
    </row>
    <row r="901" ht="18.6" customHeight="1" spans="1:11">
      <c r="A901" s="3">
        <v>900</v>
      </c>
      <c r="B901" s="3" t="s">
        <v>1712</v>
      </c>
      <c r="C901" s="3" t="s">
        <v>3310</v>
      </c>
      <c r="D901" s="3" t="s">
        <v>10</v>
      </c>
      <c r="E901" s="3" t="s">
        <v>10</v>
      </c>
      <c r="F901" s="3"/>
      <c r="G901" s="3"/>
      <c r="H901" s="3"/>
      <c r="I901" s="3" t="s">
        <v>3769</v>
      </c>
      <c r="J901" s="3" t="s">
        <v>1700</v>
      </c>
      <c r="K901" s="27" t="s">
        <v>12</v>
      </c>
    </row>
    <row r="902" ht="18.6" customHeight="1" spans="1:11">
      <c r="A902" s="3">
        <v>901</v>
      </c>
      <c r="B902" s="3" t="s">
        <v>1713</v>
      </c>
      <c r="C902" s="3" t="s">
        <v>3310</v>
      </c>
      <c r="D902" s="3" t="s">
        <v>10</v>
      </c>
      <c r="E902" s="3" t="s">
        <v>10</v>
      </c>
      <c r="F902" s="3"/>
      <c r="G902" s="3"/>
      <c r="H902" s="3"/>
      <c r="I902" s="3" t="s">
        <v>3775</v>
      </c>
      <c r="J902" s="3" t="s">
        <v>1700</v>
      </c>
      <c r="K902" s="27" t="s">
        <v>12</v>
      </c>
    </row>
    <row r="903" ht="18.6" customHeight="1" spans="1:11">
      <c r="A903" s="3">
        <v>902</v>
      </c>
      <c r="B903" s="3" t="s">
        <v>3329</v>
      </c>
      <c r="C903" s="3" t="s">
        <v>3326</v>
      </c>
      <c r="D903" s="3" t="s">
        <v>76</v>
      </c>
      <c r="E903" s="3" t="s">
        <v>76</v>
      </c>
      <c r="F903" s="3"/>
      <c r="G903" s="3"/>
      <c r="H903" s="3"/>
      <c r="I903" s="3" t="s">
        <v>3769</v>
      </c>
      <c r="J903" s="3" t="s">
        <v>1700</v>
      </c>
      <c r="K903" s="27" t="s">
        <v>12</v>
      </c>
    </row>
    <row r="904" ht="18.6" customHeight="1" spans="1:11">
      <c r="A904" s="3">
        <v>903</v>
      </c>
      <c r="B904" s="3" t="s">
        <v>1714</v>
      </c>
      <c r="C904" s="3" t="s">
        <v>3326</v>
      </c>
      <c r="D904" s="3" t="s">
        <v>76</v>
      </c>
      <c r="E904" s="3" t="s">
        <v>76</v>
      </c>
      <c r="F904" s="3"/>
      <c r="G904" s="3"/>
      <c r="H904" s="3"/>
      <c r="I904" s="3" t="s">
        <v>3769</v>
      </c>
      <c r="J904" s="3" t="s">
        <v>1700</v>
      </c>
      <c r="K904" s="27" t="s">
        <v>12</v>
      </c>
    </row>
    <row r="905" ht="18.6" customHeight="1" spans="1:11">
      <c r="A905" s="3">
        <v>904</v>
      </c>
      <c r="B905" s="3" t="s">
        <v>1715</v>
      </c>
      <c r="C905" s="3" t="s">
        <v>3326</v>
      </c>
      <c r="D905" s="3" t="s">
        <v>76</v>
      </c>
      <c r="E905" s="3" t="s">
        <v>76</v>
      </c>
      <c r="F905" s="3"/>
      <c r="G905" s="3"/>
      <c r="H905" s="3"/>
      <c r="I905" s="3"/>
      <c r="J905" s="3" t="s">
        <v>1700</v>
      </c>
      <c r="K905" s="27" t="s">
        <v>12</v>
      </c>
    </row>
    <row r="906" ht="18.6" customHeight="1" spans="1:11">
      <c r="A906" s="3">
        <v>905</v>
      </c>
      <c r="B906" s="3" t="s">
        <v>1716</v>
      </c>
      <c r="C906" s="3" t="s">
        <v>3326</v>
      </c>
      <c r="D906" s="3" t="s">
        <v>76</v>
      </c>
      <c r="E906" s="3" t="s">
        <v>76</v>
      </c>
      <c r="F906" s="3"/>
      <c r="G906" s="3"/>
      <c r="H906" s="3"/>
      <c r="I906" s="3" t="s">
        <v>3769</v>
      </c>
      <c r="J906" s="3" t="s">
        <v>1700</v>
      </c>
      <c r="K906" s="27" t="s">
        <v>12</v>
      </c>
    </row>
    <row r="907" ht="18.6" customHeight="1" spans="1:11">
      <c r="A907" s="3">
        <v>906</v>
      </c>
      <c r="B907" s="3" t="s">
        <v>1717</v>
      </c>
      <c r="C907" s="3" t="s">
        <v>3326</v>
      </c>
      <c r="D907" s="3" t="s">
        <v>76</v>
      </c>
      <c r="E907" s="3" t="s">
        <v>76</v>
      </c>
      <c r="F907" s="3"/>
      <c r="G907" s="3"/>
      <c r="H907" s="3"/>
      <c r="I907" s="3" t="s">
        <v>3770</v>
      </c>
      <c r="J907" s="3" t="s">
        <v>1700</v>
      </c>
      <c r="K907" s="27" t="s">
        <v>12</v>
      </c>
    </row>
    <row r="908" ht="18.6" customHeight="1" spans="1:11">
      <c r="A908" s="3">
        <v>907</v>
      </c>
      <c r="B908" s="3" t="s">
        <v>1718</v>
      </c>
      <c r="C908" s="3" t="s">
        <v>3326</v>
      </c>
      <c r="D908" s="3" t="s">
        <v>76</v>
      </c>
      <c r="E908" s="3" t="s">
        <v>76</v>
      </c>
      <c r="F908" s="3"/>
      <c r="G908" s="3"/>
      <c r="H908" s="3"/>
      <c r="I908" s="3" t="s">
        <v>3770</v>
      </c>
      <c r="J908" s="3" t="s">
        <v>1700</v>
      </c>
      <c r="K908" s="27" t="s">
        <v>12</v>
      </c>
    </row>
    <row r="909" ht="18.6" customHeight="1" spans="1:11">
      <c r="A909" s="3">
        <v>908</v>
      </c>
      <c r="B909" s="3" t="s">
        <v>1719</v>
      </c>
      <c r="C909" s="3" t="s">
        <v>3326</v>
      </c>
      <c r="D909" s="3" t="s">
        <v>76</v>
      </c>
      <c r="E909" s="3" t="s">
        <v>76</v>
      </c>
      <c r="F909" s="3"/>
      <c r="G909" s="3"/>
      <c r="H909" s="3"/>
      <c r="I909" s="3" t="s">
        <v>3769</v>
      </c>
      <c r="J909" s="3" t="s">
        <v>1700</v>
      </c>
      <c r="K909" s="27" t="s">
        <v>12</v>
      </c>
    </row>
    <row r="910" ht="18.6" customHeight="1" spans="1:11">
      <c r="A910" s="3">
        <v>909</v>
      </c>
      <c r="B910" s="3" t="s">
        <v>3790</v>
      </c>
      <c r="C910" s="3" t="s">
        <v>3326</v>
      </c>
      <c r="D910" s="3" t="s">
        <v>76</v>
      </c>
      <c r="E910" s="3" t="s">
        <v>76</v>
      </c>
      <c r="F910" s="3"/>
      <c r="G910" s="3"/>
      <c r="H910" s="3"/>
      <c r="I910" s="3" t="s">
        <v>3779</v>
      </c>
      <c r="J910" s="3" t="s">
        <v>1700</v>
      </c>
      <c r="K910" s="27" t="s">
        <v>12</v>
      </c>
    </row>
    <row r="911" ht="18.6" customHeight="1" spans="1:11">
      <c r="A911" s="3">
        <v>910</v>
      </c>
      <c r="B911" s="3" t="s">
        <v>1720</v>
      </c>
      <c r="C911" s="3" t="s">
        <v>3326</v>
      </c>
      <c r="D911" s="3" t="s">
        <v>76</v>
      </c>
      <c r="E911" s="3" t="s">
        <v>76</v>
      </c>
      <c r="F911" s="3"/>
      <c r="G911" s="3"/>
      <c r="H911" s="3"/>
      <c r="I911" s="3" t="s">
        <v>3770</v>
      </c>
      <c r="J911" s="3" t="s">
        <v>1700</v>
      </c>
      <c r="K911" s="27" t="s">
        <v>12</v>
      </c>
    </row>
    <row r="912" ht="18.6" customHeight="1" spans="1:11">
      <c r="A912" s="3">
        <v>911</v>
      </c>
      <c r="B912" s="3" t="s">
        <v>1721</v>
      </c>
      <c r="C912" s="3" t="s">
        <v>3326</v>
      </c>
      <c r="D912" s="3" t="s">
        <v>76</v>
      </c>
      <c r="E912" s="3" t="s">
        <v>76</v>
      </c>
      <c r="F912" s="3"/>
      <c r="G912" s="3"/>
      <c r="H912" s="3"/>
      <c r="I912" s="3" t="s">
        <v>3771</v>
      </c>
      <c r="J912" s="3" t="s">
        <v>1700</v>
      </c>
      <c r="K912" s="27" t="s">
        <v>12</v>
      </c>
    </row>
    <row r="913" ht="18.6" customHeight="1" spans="1:11">
      <c r="A913" s="3">
        <v>912</v>
      </c>
      <c r="B913" s="3" t="s">
        <v>1722</v>
      </c>
      <c r="C913" s="3" t="s">
        <v>3326</v>
      </c>
      <c r="D913" s="3" t="s">
        <v>76</v>
      </c>
      <c r="E913" s="3" t="s">
        <v>76</v>
      </c>
      <c r="F913" s="3"/>
      <c r="G913" s="3"/>
      <c r="H913" s="3"/>
      <c r="I913" s="3" t="s">
        <v>3769</v>
      </c>
      <c r="J913" s="3" t="s">
        <v>1700</v>
      </c>
      <c r="K913" s="27" t="s">
        <v>12</v>
      </c>
    </row>
    <row r="914" ht="18.6" customHeight="1" spans="1:11">
      <c r="A914" s="3">
        <v>913</v>
      </c>
      <c r="B914" s="3" t="s">
        <v>1723</v>
      </c>
      <c r="C914" s="3" t="s">
        <v>3326</v>
      </c>
      <c r="D914" s="3" t="s">
        <v>76</v>
      </c>
      <c r="E914" s="3" t="s">
        <v>76</v>
      </c>
      <c r="F914" s="3"/>
      <c r="G914" s="3"/>
      <c r="H914" s="3"/>
      <c r="I914" s="3" t="s">
        <v>3775</v>
      </c>
      <c r="J914" s="3" t="s">
        <v>1700</v>
      </c>
      <c r="K914" s="27" t="s">
        <v>12</v>
      </c>
    </row>
    <row r="915" ht="18.6" customHeight="1" spans="1:11">
      <c r="A915" s="3">
        <v>914</v>
      </c>
      <c r="B915" s="3" t="s">
        <v>1724</v>
      </c>
      <c r="C915" s="3" t="s">
        <v>3326</v>
      </c>
      <c r="D915" s="3" t="s">
        <v>76</v>
      </c>
      <c r="E915" s="3" t="s">
        <v>76</v>
      </c>
      <c r="F915" s="3"/>
      <c r="G915" s="3"/>
      <c r="H915" s="3"/>
      <c r="I915" s="3"/>
      <c r="J915" s="3" t="s">
        <v>1700</v>
      </c>
      <c r="K915" s="27" t="s">
        <v>12</v>
      </c>
    </row>
    <row r="916" ht="18.6" customHeight="1" spans="1:11">
      <c r="A916" s="3">
        <v>915</v>
      </c>
      <c r="B916" s="3" t="s">
        <v>1725</v>
      </c>
      <c r="C916" s="3" t="s">
        <v>3326</v>
      </c>
      <c r="D916" s="3" t="s">
        <v>76</v>
      </c>
      <c r="E916" s="3" t="s">
        <v>76</v>
      </c>
      <c r="F916" s="3"/>
      <c r="G916" s="3"/>
      <c r="H916" s="3"/>
      <c r="I916" s="3" t="s">
        <v>3772</v>
      </c>
      <c r="J916" s="3" t="s">
        <v>1700</v>
      </c>
      <c r="K916" s="27" t="s">
        <v>12</v>
      </c>
    </row>
    <row r="917" ht="18.6" customHeight="1" spans="1:11">
      <c r="A917" s="3">
        <v>916</v>
      </c>
      <c r="B917" s="3" t="s">
        <v>1726</v>
      </c>
      <c r="C917" s="3" t="s">
        <v>3326</v>
      </c>
      <c r="D917" s="3" t="s">
        <v>76</v>
      </c>
      <c r="E917" s="3" t="s">
        <v>76</v>
      </c>
      <c r="F917" s="3"/>
      <c r="G917" s="3"/>
      <c r="H917" s="3"/>
      <c r="I917" s="3" t="s">
        <v>3770</v>
      </c>
      <c r="J917" s="3" t="s">
        <v>1700</v>
      </c>
      <c r="K917" s="27" t="s">
        <v>12</v>
      </c>
    </row>
    <row r="918" ht="18.6" customHeight="1" spans="1:11">
      <c r="A918" s="3">
        <v>917</v>
      </c>
      <c r="B918" s="3" t="s">
        <v>1727</v>
      </c>
      <c r="C918" s="3" t="s">
        <v>3326</v>
      </c>
      <c r="D918" s="3" t="s">
        <v>76</v>
      </c>
      <c r="E918" s="3" t="s">
        <v>76</v>
      </c>
      <c r="F918" s="3"/>
      <c r="G918" s="3"/>
      <c r="H918" s="3"/>
      <c r="I918" s="3" t="s">
        <v>3770</v>
      </c>
      <c r="J918" s="3" t="s">
        <v>1700</v>
      </c>
      <c r="K918" s="27" t="s">
        <v>12</v>
      </c>
    </row>
    <row r="919" ht="18.6" customHeight="1" spans="1:11">
      <c r="A919" s="3">
        <v>918</v>
      </c>
      <c r="B919" s="3" t="s">
        <v>1728</v>
      </c>
      <c r="C919" s="3" t="s">
        <v>3326</v>
      </c>
      <c r="D919" s="3" t="s">
        <v>76</v>
      </c>
      <c r="E919" s="3" t="s">
        <v>76</v>
      </c>
      <c r="F919" s="3"/>
      <c r="G919" s="3"/>
      <c r="H919" s="3"/>
      <c r="I919" s="3" t="s">
        <v>3770</v>
      </c>
      <c r="J919" s="3" t="s">
        <v>1700</v>
      </c>
      <c r="K919" s="27" t="s">
        <v>12</v>
      </c>
    </row>
    <row r="920" ht="18.6" customHeight="1" spans="1:11">
      <c r="A920" s="3">
        <v>919</v>
      </c>
      <c r="B920" s="3" t="s">
        <v>1729</v>
      </c>
      <c r="C920" s="3" t="s">
        <v>3326</v>
      </c>
      <c r="D920" s="3" t="s">
        <v>76</v>
      </c>
      <c r="E920" s="3" t="s">
        <v>76</v>
      </c>
      <c r="F920" s="3"/>
      <c r="G920" s="3"/>
      <c r="H920" s="3"/>
      <c r="I920" s="3" t="s">
        <v>3769</v>
      </c>
      <c r="J920" s="3" t="s">
        <v>1700</v>
      </c>
      <c r="K920" s="27" t="s">
        <v>12</v>
      </c>
    </row>
    <row r="921" ht="18.6" customHeight="1" spans="1:11">
      <c r="A921" s="3">
        <v>920</v>
      </c>
      <c r="B921" s="3" t="s">
        <v>1730</v>
      </c>
      <c r="C921" s="3" t="s">
        <v>3326</v>
      </c>
      <c r="D921" s="3" t="s">
        <v>76</v>
      </c>
      <c r="E921" s="3" t="s">
        <v>76</v>
      </c>
      <c r="F921" s="3"/>
      <c r="G921" s="3"/>
      <c r="H921" s="3"/>
      <c r="I921" s="3" t="s">
        <v>3770</v>
      </c>
      <c r="J921" s="3" t="s">
        <v>1700</v>
      </c>
      <c r="K921" s="27" t="s">
        <v>12</v>
      </c>
    </row>
    <row r="922" ht="18.6" customHeight="1" spans="1:11">
      <c r="A922" s="3">
        <v>921</v>
      </c>
      <c r="B922" s="3" t="s">
        <v>1731</v>
      </c>
      <c r="C922" s="3" t="s">
        <v>3326</v>
      </c>
      <c r="D922" s="3" t="s">
        <v>76</v>
      </c>
      <c r="E922" s="3" t="s">
        <v>76</v>
      </c>
      <c r="F922" s="3"/>
      <c r="G922" s="3"/>
      <c r="H922" s="3"/>
      <c r="I922" s="3" t="s">
        <v>3772</v>
      </c>
      <c r="J922" s="3" t="s">
        <v>1700</v>
      </c>
      <c r="K922" s="27" t="s">
        <v>12</v>
      </c>
    </row>
    <row r="923" ht="18.6" customHeight="1" spans="1:11">
      <c r="A923" s="3">
        <v>922</v>
      </c>
      <c r="B923" s="3" t="s">
        <v>1732</v>
      </c>
      <c r="C923" s="3" t="s">
        <v>3326</v>
      </c>
      <c r="D923" s="3" t="s">
        <v>76</v>
      </c>
      <c r="E923" s="3" t="s">
        <v>76</v>
      </c>
      <c r="F923" s="3"/>
      <c r="G923" s="3"/>
      <c r="H923" s="3"/>
      <c r="I923" s="3" t="s">
        <v>3769</v>
      </c>
      <c r="J923" s="3" t="s">
        <v>1700</v>
      </c>
      <c r="K923" s="27" t="s">
        <v>12</v>
      </c>
    </row>
    <row r="924" ht="18.6" customHeight="1" spans="1:11">
      <c r="A924" s="3">
        <v>923</v>
      </c>
      <c r="B924" s="3" t="s">
        <v>1733</v>
      </c>
      <c r="C924" s="3" t="s">
        <v>3326</v>
      </c>
      <c r="D924" s="3" t="s">
        <v>76</v>
      </c>
      <c r="E924" s="3" t="s">
        <v>76</v>
      </c>
      <c r="F924" s="3"/>
      <c r="G924" s="3"/>
      <c r="H924" s="3"/>
      <c r="I924" s="3"/>
      <c r="J924" s="3" t="s">
        <v>1700</v>
      </c>
      <c r="K924" s="27" t="s">
        <v>12</v>
      </c>
    </row>
    <row r="925" ht="18.6" customHeight="1" spans="1:11">
      <c r="A925" s="3">
        <v>924</v>
      </c>
      <c r="B925" s="3" t="s">
        <v>1734</v>
      </c>
      <c r="C925" s="3" t="s">
        <v>3326</v>
      </c>
      <c r="D925" s="3" t="s">
        <v>76</v>
      </c>
      <c r="E925" s="3" t="s">
        <v>76</v>
      </c>
      <c r="F925" s="3"/>
      <c r="G925" s="3"/>
      <c r="H925" s="3"/>
      <c r="I925" s="3" t="s">
        <v>3769</v>
      </c>
      <c r="J925" s="3" t="s">
        <v>1700</v>
      </c>
      <c r="K925" s="27" t="s">
        <v>12</v>
      </c>
    </row>
    <row r="926" ht="18.6" customHeight="1" spans="1:11">
      <c r="A926" s="3">
        <v>925</v>
      </c>
      <c r="B926" s="3" t="s">
        <v>1735</v>
      </c>
      <c r="C926" s="3" t="s">
        <v>3326</v>
      </c>
      <c r="D926" s="3" t="s">
        <v>76</v>
      </c>
      <c r="E926" s="3" t="s">
        <v>76</v>
      </c>
      <c r="F926" s="3"/>
      <c r="G926" s="3"/>
      <c r="H926" s="3"/>
      <c r="I926" s="3"/>
      <c r="J926" s="3" t="s">
        <v>1700</v>
      </c>
      <c r="K926" s="27" t="s">
        <v>12</v>
      </c>
    </row>
    <row r="927" ht="18.6" customHeight="1" spans="1:11">
      <c r="A927" s="3">
        <v>926</v>
      </c>
      <c r="B927" s="3" t="s">
        <v>1736</v>
      </c>
      <c r="C927" s="3" t="s">
        <v>3326</v>
      </c>
      <c r="D927" s="3" t="s">
        <v>76</v>
      </c>
      <c r="E927" s="3" t="s">
        <v>76</v>
      </c>
      <c r="F927" s="3"/>
      <c r="G927" s="3"/>
      <c r="H927" s="3"/>
      <c r="I927" s="3" t="s">
        <v>3777</v>
      </c>
      <c r="J927" s="3" t="s">
        <v>1700</v>
      </c>
      <c r="K927" s="27" t="s">
        <v>12</v>
      </c>
    </row>
    <row r="928" ht="18.6" customHeight="1" spans="1:11">
      <c r="A928" s="3">
        <v>927</v>
      </c>
      <c r="B928" s="3" t="s">
        <v>1737</v>
      </c>
      <c r="C928" s="3" t="s">
        <v>3330</v>
      </c>
      <c r="D928" s="3" t="s">
        <v>98</v>
      </c>
      <c r="E928" s="3" t="s">
        <v>101</v>
      </c>
      <c r="F928" s="3"/>
      <c r="G928" s="3"/>
      <c r="H928" s="3"/>
      <c r="I928" s="3" t="s">
        <v>3770</v>
      </c>
      <c r="J928" s="3" t="s">
        <v>1700</v>
      </c>
      <c r="K928" s="27" t="s">
        <v>12</v>
      </c>
    </row>
    <row r="929" ht="18.6" customHeight="1" spans="1:11">
      <c r="A929" s="3">
        <v>928</v>
      </c>
      <c r="B929" s="3" t="s">
        <v>1738</v>
      </c>
      <c r="C929" s="3" t="s">
        <v>3330</v>
      </c>
      <c r="D929" s="3" t="s">
        <v>98</v>
      </c>
      <c r="E929" s="3" t="s">
        <v>103</v>
      </c>
      <c r="F929" s="3"/>
      <c r="G929" s="3"/>
      <c r="H929" s="3"/>
      <c r="I929" s="3" t="s">
        <v>3769</v>
      </c>
      <c r="J929" s="3" t="s">
        <v>1700</v>
      </c>
      <c r="K929" s="27" t="s">
        <v>12</v>
      </c>
    </row>
    <row r="930" ht="18.6" customHeight="1" spans="1:11">
      <c r="A930" s="3">
        <v>929</v>
      </c>
      <c r="B930" s="3" t="s">
        <v>1739</v>
      </c>
      <c r="C930" s="3" t="s">
        <v>3330</v>
      </c>
      <c r="D930" s="3" t="s">
        <v>98</v>
      </c>
      <c r="E930" s="3" t="s">
        <v>109</v>
      </c>
      <c r="F930" s="3"/>
      <c r="G930" s="3"/>
      <c r="H930" s="3"/>
      <c r="I930" s="3" t="s">
        <v>3769</v>
      </c>
      <c r="J930" s="3" t="s">
        <v>1700</v>
      </c>
      <c r="K930" s="27" t="s">
        <v>12</v>
      </c>
    </row>
    <row r="931" ht="18.6" customHeight="1" spans="1:11">
      <c r="A931" s="3">
        <v>930</v>
      </c>
      <c r="B931" s="3" t="s">
        <v>1740</v>
      </c>
      <c r="C931" s="3" t="s">
        <v>3330</v>
      </c>
      <c r="D931" s="3" t="s">
        <v>98</v>
      </c>
      <c r="E931" s="3" t="s">
        <v>99</v>
      </c>
      <c r="F931" s="3"/>
      <c r="G931" s="3"/>
      <c r="H931" s="3"/>
      <c r="I931" s="3" t="s">
        <v>3770</v>
      </c>
      <c r="J931" s="3" t="s">
        <v>1700</v>
      </c>
      <c r="K931" s="27" t="s">
        <v>12</v>
      </c>
    </row>
    <row r="932" ht="18.6" customHeight="1" spans="1:11">
      <c r="A932" s="3">
        <v>931</v>
      </c>
      <c r="B932" s="3" t="s">
        <v>1741</v>
      </c>
      <c r="C932" s="3" t="s">
        <v>3330</v>
      </c>
      <c r="D932" s="3" t="s">
        <v>98</v>
      </c>
      <c r="E932" s="3" t="s">
        <v>122</v>
      </c>
      <c r="F932" s="3"/>
      <c r="G932" s="3"/>
      <c r="H932" s="3"/>
      <c r="I932" s="3"/>
      <c r="J932" s="3" t="s">
        <v>1700</v>
      </c>
      <c r="K932" s="27" t="s">
        <v>12</v>
      </c>
    </row>
    <row r="933" ht="18.6" customHeight="1" spans="1:11">
      <c r="A933" s="3">
        <v>932</v>
      </c>
      <c r="B933" s="3" t="s">
        <v>1742</v>
      </c>
      <c r="C933" s="3" t="s">
        <v>3330</v>
      </c>
      <c r="D933" s="3" t="s">
        <v>98</v>
      </c>
      <c r="E933" s="3" t="s">
        <v>132</v>
      </c>
      <c r="F933" s="3"/>
      <c r="G933" s="3"/>
      <c r="H933" s="3"/>
      <c r="I933" s="3" t="s">
        <v>3770</v>
      </c>
      <c r="J933" s="3" t="s">
        <v>1700</v>
      </c>
      <c r="K933" s="27" t="s">
        <v>12</v>
      </c>
    </row>
    <row r="934" ht="18.6" customHeight="1" spans="1:11">
      <c r="A934" s="3">
        <v>933</v>
      </c>
      <c r="B934" s="3" t="s">
        <v>1743</v>
      </c>
      <c r="C934" s="3" t="s">
        <v>3330</v>
      </c>
      <c r="D934" s="3" t="s">
        <v>98</v>
      </c>
      <c r="E934" s="3" t="s">
        <v>103</v>
      </c>
      <c r="F934" s="3"/>
      <c r="G934" s="3"/>
      <c r="H934" s="3"/>
      <c r="I934" s="3" t="s">
        <v>3779</v>
      </c>
      <c r="J934" s="3" t="s">
        <v>1700</v>
      </c>
      <c r="K934" s="27" t="s">
        <v>12</v>
      </c>
    </row>
    <row r="935" ht="18.6" customHeight="1" spans="1:11">
      <c r="A935" s="3">
        <v>934</v>
      </c>
      <c r="B935" s="3" t="s">
        <v>1744</v>
      </c>
      <c r="C935" s="3" t="s">
        <v>3330</v>
      </c>
      <c r="D935" s="3" t="s">
        <v>98</v>
      </c>
      <c r="E935" s="3" t="s">
        <v>111</v>
      </c>
      <c r="F935" s="3"/>
      <c r="G935" s="3"/>
      <c r="H935" s="3"/>
      <c r="I935" s="3" t="s">
        <v>3769</v>
      </c>
      <c r="J935" s="3" t="s">
        <v>1700</v>
      </c>
      <c r="K935" s="27" t="s">
        <v>12</v>
      </c>
    </row>
    <row r="936" ht="18.6" customHeight="1" spans="1:11">
      <c r="A936" s="3">
        <v>935</v>
      </c>
      <c r="B936" s="3" t="s">
        <v>1745</v>
      </c>
      <c r="C936" s="3" t="s">
        <v>3330</v>
      </c>
      <c r="D936" s="3" t="s">
        <v>98</v>
      </c>
      <c r="E936" s="3" t="s">
        <v>106</v>
      </c>
      <c r="F936" s="3"/>
      <c r="G936" s="3"/>
      <c r="H936" s="3"/>
      <c r="I936" s="3" t="s">
        <v>3770</v>
      </c>
      <c r="J936" s="3" t="s">
        <v>1700</v>
      </c>
      <c r="K936" s="27" t="s">
        <v>12</v>
      </c>
    </row>
    <row r="937" ht="18.6" customHeight="1" spans="1:11">
      <c r="A937" s="3">
        <v>936</v>
      </c>
      <c r="B937" s="3" t="s">
        <v>1746</v>
      </c>
      <c r="C937" s="3" t="s">
        <v>3330</v>
      </c>
      <c r="D937" s="3" t="s">
        <v>98</v>
      </c>
      <c r="E937" s="3" t="s">
        <v>103</v>
      </c>
      <c r="F937" s="3"/>
      <c r="G937" s="3"/>
      <c r="H937" s="3"/>
      <c r="I937" s="3" t="s">
        <v>3770</v>
      </c>
      <c r="J937" s="3" t="s">
        <v>1700</v>
      </c>
      <c r="K937" s="27" t="s">
        <v>12</v>
      </c>
    </row>
    <row r="938" ht="18.6" customHeight="1" spans="1:11">
      <c r="A938" s="3">
        <v>937</v>
      </c>
      <c r="B938" s="3" t="s">
        <v>1747</v>
      </c>
      <c r="C938" s="3" t="s">
        <v>3330</v>
      </c>
      <c r="D938" s="3" t="s">
        <v>98</v>
      </c>
      <c r="E938" s="3" t="s">
        <v>99</v>
      </c>
      <c r="F938" s="3"/>
      <c r="G938" s="3"/>
      <c r="H938" s="3"/>
      <c r="I938" s="3" t="s">
        <v>3769</v>
      </c>
      <c r="J938" s="3" t="s">
        <v>1700</v>
      </c>
      <c r="K938" s="27" t="s">
        <v>12</v>
      </c>
    </row>
    <row r="939" ht="18.6" customHeight="1" spans="1:11">
      <c r="A939" s="3">
        <v>938</v>
      </c>
      <c r="B939" s="3" t="s">
        <v>1748</v>
      </c>
      <c r="C939" s="3" t="s">
        <v>3330</v>
      </c>
      <c r="D939" s="3" t="s">
        <v>98</v>
      </c>
      <c r="E939" s="3" t="s">
        <v>132</v>
      </c>
      <c r="F939" s="3"/>
      <c r="G939" s="3"/>
      <c r="H939" s="3"/>
      <c r="I939" s="3" t="s">
        <v>3770</v>
      </c>
      <c r="J939" s="3" t="s">
        <v>1700</v>
      </c>
      <c r="K939" s="27" t="s">
        <v>12</v>
      </c>
    </row>
    <row r="940" ht="18.6" customHeight="1" spans="1:11">
      <c r="A940" s="3">
        <v>939</v>
      </c>
      <c r="B940" s="3" t="s">
        <v>1749</v>
      </c>
      <c r="C940" s="3" t="s">
        <v>3330</v>
      </c>
      <c r="D940" s="3" t="s">
        <v>98</v>
      </c>
      <c r="E940" s="3" t="s">
        <v>106</v>
      </c>
      <c r="F940" s="3"/>
      <c r="G940" s="3"/>
      <c r="H940" s="3"/>
      <c r="I940" s="3" t="s">
        <v>3769</v>
      </c>
      <c r="J940" s="3" t="s">
        <v>1700</v>
      </c>
      <c r="K940" s="27" t="s">
        <v>12</v>
      </c>
    </row>
    <row r="941" ht="18.6" customHeight="1" spans="1:11">
      <c r="A941" s="3">
        <v>940</v>
      </c>
      <c r="B941" s="3" t="s">
        <v>1750</v>
      </c>
      <c r="C941" s="3" t="s">
        <v>3330</v>
      </c>
      <c r="D941" s="3" t="s">
        <v>98</v>
      </c>
      <c r="E941" s="3" t="s">
        <v>124</v>
      </c>
      <c r="F941" s="3"/>
      <c r="G941" s="3"/>
      <c r="H941" s="3"/>
      <c r="I941" s="3" t="s">
        <v>3769</v>
      </c>
      <c r="J941" s="3" t="s">
        <v>1700</v>
      </c>
      <c r="K941" s="27" t="s">
        <v>12</v>
      </c>
    </row>
    <row r="942" ht="18.6" customHeight="1" spans="1:11">
      <c r="A942" s="3">
        <v>941</v>
      </c>
      <c r="B942" s="3" t="s">
        <v>1751</v>
      </c>
      <c r="C942" s="3" t="s">
        <v>3330</v>
      </c>
      <c r="D942" s="3" t="s">
        <v>98</v>
      </c>
      <c r="E942" s="3" t="s">
        <v>103</v>
      </c>
      <c r="F942" s="3"/>
      <c r="G942" s="3"/>
      <c r="H942" s="3"/>
      <c r="I942" s="3" t="s">
        <v>3772</v>
      </c>
      <c r="J942" s="3" t="s">
        <v>1700</v>
      </c>
      <c r="K942" s="27" t="s">
        <v>12</v>
      </c>
    </row>
    <row r="943" ht="18.6" customHeight="1" spans="1:11">
      <c r="A943" s="3">
        <v>942</v>
      </c>
      <c r="B943" s="3" t="s">
        <v>1752</v>
      </c>
      <c r="C943" s="3" t="s">
        <v>3330</v>
      </c>
      <c r="D943" s="3" t="s">
        <v>98</v>
      </c>
      <c r="E943" s="3" t="s">
        <v>116</v>
      </c>
      <c r="F943" s="3"/>
      <c r="G943" s="3"/>
      <c r="H943" s="3"/>
      <c r="I943" s="3" t="s">
        <v>3769</v>
      </c>
      <c r="J943" s="3" t="s">
        <v>1700</v>
      </c>
      <c r="K943" s="27" t="s">
        <v>12</v>
      </c>
    </row>
    <row r="944" ht="18.6" customHeight="1" spans="1:11">
      <c r="A944" s="3">
        <v>943</v>
      </c>
      <c r="B944" s="3" t="s">
        <v>1753</v>
      </c>
      <c r="C944" s="3" t="s">
        <v>3330</v>
      </c>
      <c r="D944" s="3" t="s">
        <v>98</v>
      </c>
      <c r="E944" s="3" t="s">
        <v>103</v>
      </c>
      <c r="F944" s="3"/>
      <c r="G944" s="3"/>
      <c r="H944" s="3"/>
      <c r="I944" s="3" t="s">
        <v>3770</v>
      </c>
      <c r="J944" s="3" t="s">
        <v>1700</v>
      </c>
      <c r="K944" s="27" t="s">
        <v>12</v>
      </c>
    </row>
    <row r="945" ht="18.6" customHeight="1" spans="1:11">
      <c r="A945" s="3">
        <v>944</v>
      </c>
      <c r="B945" s="3" t="s">
        <v>1754</v>
      </c>
      <c r="C945" s="3" t="s">
        <v>3330</v>
      </c>
      <c r="D945" s="3" t="s">
        <v>98</v>
      </c>
      <c r="E945" s="3" t="s">
        <v>103</v>
      </c>
      <c r="F945" s="3"/>
      <c r="G945" s="3"/>
      <c r="H945" s="3"/>
      <c r="I945" s="3" t="s">
        <v>3775</v>
      </c>
      <c r="J945" s="3" t="s">
        <v>1700</v>
      </c>
      <c r="K945" s="27" t="s">
        <v>12</v>
      </c>
    </row>
    <row r="946" ht="18.6" customHeight="1" spans="1:11">
      <c r="A946" s="3">
        <v>945</v>
      </c>
      <c r="B946" s="3" t="s">
        <v>1755</v>
      </c>
      <c r="C946" s="3" t="s">
        <v>3330</v>
      </c>
      <c r="D946" s="3" t="s">
        <v>98</v>
      </c>
      <c r="E946" s="3" t="s">
        <v>103</v>
      </c>
      <c r="F946" s="3"/>
      <c r="G946" s="3"/>
      <c r="H946" s="3"/>
      <c r="I946" s="3" t="s">
        <v>3770</v>
      </c>
      <c r="J946" s="3" t="s">
        <v>1700</v>
      </c>
      <c r="K946" s="27" t="s">
        <v>12</v>
      </c>
    </row>
    <row r="947" ht="18.6" customHeight="1" spans="1:11">
      <c r="A947" s="3">
        <v>946</v>
      </c>
      <c r="B947" s="3" t="s">
        <v>1756</v>
      </c>
      <c r="C947" s="3" t="s">
        <v>3330</v>
      </c>
      <c r="D947" s="3" t="s">
        <v>98</v>
      </c>
      <c r="E947" s="3" t="s">
        <v>132</v>
      </c>
      <c r="F947" s="3"/>
      <c r="G947" s="3"/>
      <c r="H947" s="3"/>
      <c r="I947" s="3" t="s">
        <v>3778</v>
      </c>
      <c r="J947" s="3" t="s">
        <v>1700</v>
      </c>
      <c r="K947" s="27" t="s">
        <v>12</v>
      </c>
    </row>
    <row r="948" ht="18.6" customHeight="1" spans="1:11">
      <c r="A948" s="3">
        <v>947</v>
      </c>
      <c r="B948" s="3" t="s">
        <v>1757</v>
      </c>
      <c r="C948" s="3" t="s">
        <v>3330</v>
      </c>
      <c r="D948" s="3" t="s">
        <v>98</v>
      </c>
      <c r="E948" s="3" t="s">
        <v>99</v>
      </c>
      <c r="F948" s="3"/>
      <c r="G948" s="3"/>
      <c r="H948" s="3"/>
      <c r="I948" s="3" t="s">
        <v>3770</v>
      </c>
      <c r="J948" s="3" t="s">
        <v>1700</v>
      </c>
      <c r="K948" s="27" t="s">
        <v>12</v>
      </c>
    </row>
    <row r="949" ht="18.6" customHeight="1" spans="1:11">
      <c r="A949" s="3">
        <v>948</v>
      </c>
      <c r="B949" s="3" t="s">
        <v>1758</v>
      </c>
      <c r="C949" s="3" t="s">
        <v>3330</v>
      </c>
      <c r="D949" s="3" t="s">
        <v>98</v>
      </c>
      <c r="E949" s="3" t="s">
        <v>128</v>
      </c>
      <c r="F949" s="3"/>
      <c r="G949" s="3"/>
      <c r="H949" s="3"/>
      <c r="I949" s="3" t="s">
        <v>3770</v>
      </c>
      <c r="J949" s="3" t="s">
        <v>1700</v>
      </c>
      <c r="K949" s="27" t="s">
        <v>12</v>
      </c>
    </row>
    <row r="950" ht="18.6" customHeight="1" spans="1:11">
      <c r="A950" s="3">
        <v>949</v>
      </c>
      <c r="B950" s="3" t="s">
        <v>1759</v>
      </c>
      <c r="C950" s="3" t="s">
        <v>3330</v>
      </c>
      <c r="D950" s="3" t="s">
        <v>98</v>
      </c>
      <c r="E950" s="3" t="s">
        <v>111</v>
      </c>
      <c r="F950" s="3"/>
      <c r="G950" s="3"/>
      <c r="H950" s="3"/>
      <c r="I950" s="3"/>
      <c r="J950" s="3" t="s">
        <v>1700</v>
      </c>
      <c r="K950" s="27" t="s">
        <v>12</v>
      </c>
    </row>
    <row r="951" ht="18.6" customHeight="1" spans="1:11">
      <c r="A951" s="3">
        <v>950</v>
      </c>
      <c r="B951" s="3" t="s">
        <v>1760</v>
      </c>
      <c r="C951" s="3" t="s">
        <v>3330</v>
      </c>
      <c r="D951" s="3" t="s">
        <v>98</v>
      </c>
      <c r="E951" s="3" t="s">
        <v>122</v>
      </c>
      <c r="F951" s="3"/>
      <c r="G951" s="3"/>
      <c r="H951" s="3"/>
      <c r="I951" s="3" t="s">
        <v>3769</v>
      </c>
      <c r="J951" s="3" t="s">
        <v>1700</v>
      </c>
      <c r="K951" s="27" t="s">
        <v>12</v>
      </c>
    </row>
    <row r="952" ht="18.6" customHeight="1" spans="1:11">
      <c r="A952" s="3">
        <v>951</v>
      </c>
      <c r="B952" s="3" t="s">
        <v>1761</v>
      </c>
      <c r="C952" s="3" t="s">
        <v>3330</v>
      </c>
      <c r="D952" s="3" t="s">
        <v>98</v>
      </c>
      <c r="E952" s="3" t="s">
        <v>106</v>
      </c>
      <c r="F952" s="3"/>
      <c r="G952" s="3"/>
      <c r="H952" s="3"/>
      <c r="I952" s="3" t="s">
        <v>3770</v>
      </c>
      <c r="J952" s="3" t="s">
        <v>1700</v>
      </c>
      <c r="K952" s="27" t="s">
        <v>12</v>
      </c>
    </row>
    <row r="953" ht="18.6" customHeight="1" spans="1:11">
      <c r="A953" s="3">
        <v>952</v>
      </c>
      <c r="B953" s="3" t="s">
        <v>1762</v>
      </c>
      <c r="C953" s="3" t="s">
        <v>3330</v>
      </c>
      <c r="D953" s="3" t="s">
        <v>98</v>
      </c>
      <c r="E953" s="3" t="s">
        <v>103</v>
      </c>
      <c r="F953" s="3"/>
      <c r="G953" s="3"/>
      <c r="H953" s="3"/>
      <c r="I953" s="3" t="s">
        <v>3770</v>
      </c>
      <c r="J953" s="3" t="s">
        <v>1700</v>
      </c>
      <c r="K953" s="27" t="s">
        <v>12</v>
      </c>
    </row>
    <row r="954" ht="18.6" customHeight="1" spans="1:11">
      <c r="A954" s="3">
        <v>953</v>
      </c>
      <c r="B954" s="3" t="s">
        <v>1763</v>
      </c>
      <c r="C954" s="3" t="s">
        <v>3330</v>
      </c>
      <c r="D954" s="3" t="s">
        <v>98</v>
      </c>
      <c r="E954" s="3" t="s">
        <v>103</v>
      </c>
      <c r="F954" s="3"/>
      <c r="G954" s="3"/>
      <c r="H954" s="3"/>
      <c r="I954" s="3" t="s">
        <v>3779</v>
      </c>
      <c r="J954" s="3" t="s">
        <v>1700</v>
      </c>
      <c r="K954" s="27" t="s">
        <v>12</v>
      </c>
    </row>
    <row r="955" ht="18.6" customHeight="1" spans="1:11">
      <c r="A955" s="3">
        <v>954</v>
      </c>
      <c r="B955" s="3" t="s">
        <v>1764</v>
      </c>
      <c r="C955" s="3" t="s">
        <v>3330</v>
      </c>
      <c r="D955" s="3" t="s">
        <v>98</v>
      </c>
      <c r="E955" s="3" t="s">
        <v>101</v>
      </c>
      <c r="F955" s="3"/>
      <c r="G955" s="3"/>
      <c r="H955" s="3"/>
      <c r="I955" s="3" t="s">
        <v>3779</v>
      </c>
      <c r="J955" s="3" t="s">
        <v>1700</v>
      </c>
      <c r="K955" s="27" t="s">
        <v>12</v>
      </c>
    </row>
    <row r="956" ht="18.6" customHeight="1" spans="1:11">
      <c r="A956" s="3">
        <v>955</v>
      </c>
      <c r="B956" s="3" t="s">
        <v>1765</v>
      </c>
      <c r="C956" s="3" t="s">
        <v>3330</v>
      </c>
      <c r="D956" s="3" t="s">
        <v>98</v>
      </c>
      <c r="E956" s="3" t="s">
        <v>111</v>
      </c>
      <c r="F956" s="3"/>
      <c r="G956" s="3"/>
      <c r="H956" s="3"/>
      <c r="I956" s="3" t="s">
        <v>3775</v>
      </c>
      <c r="J956" s="3" t="s">
        <v>1700</v>
      </c>
      <c r="K956" s="27" t="s">
        <v>12</v>
      </c>
    </row>
    <row r="957" ht="18.6" customHeight="1" spans="1:11">
      <c r="A957" s="3">
        <v>956</v>
      </c>
      <c r="B957" s="3" t="s">
        <v>1766</v>
      </c>
      <c r="C957" s="3" t="s">
        <v>3330</v>
      </c>
      <c r="D957" s="3" t="s">
        <v>98</v>
      </c>
      <c r="E957" s="3" t="s">
        <v>103</v>
      </c>
      <c r="F957" s="3"/>
      <c r="G957" s="3"/>
      <c r="H957" s="3"/>
      <c r="I957" s="3" t="s">
        <v>3778</v>
      </c>
      <c r="J957" s="3" t="s">
        <v>1700</v>
      </c>
      <c r="K957" s="27" t="s">
        <v>12</v>
      </c>
    </row>
    <row r="958" ht="18.6" customHeight="1" spans="1:11">
      <c r="A958" s="3">
        <v>957</v>
      </c>
      <c r="B958" s="3" t="s">
        <v>1767</v>
      </c>
      <c r="C958" s="3" t="s">
        <v>3330</v>
      </c>
      <c r="D958" s="3" t="s">
        <v>98</v>
      </c>
      <c r="E958" s="3" t="s">
        <v>99</v>
      </c>
      <c r="F958" s="3"/>
      <c r="G958" s="3"/>
      <c r="H958" s="3"/>
      <c r="I958" s="3" t="s">
        <v>3769</v>
      </c>
      <c r="J958" s="3" t="s">
        <v>1700</v>
      </c>
      <c r="K958" s="27" t="s">
        <v>12</v>
      </c>
    </row>
    <row r="959" ht="18.6" customHeight="1" spans="1:11">
      <c r="A959" s="3">
        <v>958</v>
      </c>
      <c r="B959" s="3" t="s">
        <v>1768</v>
      </c>
      <c r="C959" s="3" t="s">
        <v>3330</v>
      </c>
      <c r="D959" s="3" t="s">
        <v>98</v>
      </c>
      <c r="E959" s="3" t="s">
        <v>103</v>
      </c>
      <c r="F959" s="3"/>
      <c r="G959" s="3"/>
      <c r="H959" s="3"/>
      <c r="I959" s="3" t="s">
        <v>3769</v>
      </c>
      <c r="J959" s="3" t="s">
        <v>1700</v>
      </c>
      <c r="K959" s="27" t="s">
        <v>12</v>
      </c>
    </row>
    <row r="960" ht="18.6" customHeight="1" spans="1:11">
      <c r="A960" s="3">
        <v>959</v>
      </c>
      <c r="B960" s="3" t="s">
        <v>1769</v>
      </c>
      <c r="C960" s="3" t="s">
        <v>3330</v>
      </c>
      <c r="D960" s="3" t="s">
        <v>98</v>
      </c>
      <c r="E960" s="3" t="s">
        <v>103</v>
      </c>
      <c r="F960" s="3"/>
      <c r="G960" s="3"/>
      <c r="H960" s="3"/>
      <c r="I960" s="3"/>
      <c r="J960" s="3" t="s">
        <v>1700</v>
      </c>
      <c r="K960" s="27" t="s">
        <v>12</v>
      </c>
    </row>
    <row r="961" ht="18.6" customHeight="1" spans="1:11">
      <c r="A961" s="3">
        <v>960</v>
      </c>
      <c r="B961" s="3" t="s">
        <v>1770</v>
      </c>
      <c r="C961" s="3" t="s">
        <v>3330</v>
      </c>
      <c r="D961" s="3" t="s">
        <v>98</v>
      </c>
      <c r="E961" s="3" t="s">
        <v>111</v>
      </c>
      <c r="F961" s="3"/>
      <c r="G961" s="3"/>
      <c r="H961" s="3"/>
      <c r="I961" s="3" t="s">
        <v>3776</v>
      </c>
      <c r="J961" s="3" t="s">
        <v>1700</v>
      </c>
      <c r="K961" s="27" t="s">
        <v>12</v>
      </c>
    </row>
    <row r="962" ht="18.6" customHeight="1" spans="1:11">
      <c r="A962" s="3">
        <v>961</v>
      </c>
      <c r="B962" s="3" t="s">
        <v>1771</v>
      </c>
      <c r="C962" s="3" t="s">
        <v>3330</v>
      </c>
      <c r="D962" s="3" t="s">
        <v>98</v>
      </c>
      <c r="E962" s="3" t="s">
        <v>109</v>
      </c>
      <c r="F962" s="3"/>
      <c r="G962" s="3"/>
      <c r="H962" s="3"/>
      <c r="I962" s="3" t="s">
        <v>3769</v>
      </c>
      <c r="J962" s="3" t="s">
        <v>1700</v>
      </c>
      <c r="K962" s="27" t="s">
        <v>12</v>
      </c>
    </row>
    <row r="963" ht="18.6" customHeight="1" spans="1:11">
      <c r="A963" s="3">
        <v>962</v>
      </c>
      <c r="B963" s="3" t="s">
        <v>1772</v>
      </c>
      <c r="C963" s="3" t="s">
        <v>3330</v>
      </c>
      <c r="D963" s="3" t="s">
        <v>98</v>
      </c>
      <c r="E963" s="3" t="s">
        <v>122</v>
      </c>
      <c r="F963" s="3"/>
      <c r="G963" s="3"/>
      <c r="H963" s="3"/>
      <c r="I963" s="3"/>
      <c r="J963" s="3" t="s">
        <v>1700</v>
      </c>
      <c r="K963" s="27" t="s">
        <v>12</v>
      </c>
    </row>
    <row r="964" ht="18.6" customHeight="1" spans="1:11">
      <c r="A964" s="3">
        <v>963</v>
      </c>
      <c r="B964" s="3" t="s">
        <v>1773</v>
      </c>
      <c r="C964" s="3" t="s">
        <v>3330</v>
      </c>
      <c r="D964" s="3" t="s">
        <v>98</v>
      </c>
      <c r="E964" s="3" t="s">
        <v>116</v>
      </c>
      <c r="F964" s="3"/>
      <c r="G964" s="3"/>
      <c r="H964" s="3"/>
      <c r="I964" s="3" t="s">
        <v>3775</v>
      </c>
      <c r="J964" s="3" t="s">
        <v>1700</v>
      </c>
      <c r="K964" s="27" t="s">
        <v>12</v>
      </c>
    </row>
    <row r="965" ht="18.6" customHeight="1" spans="1:11">
      <c r="A965" s="3">
        <v>964</v>
      </c>
      <c r="B965" s="3" t="s">
        <v>1774</v>
      </c>
      <c r="C965" s="3" t="s">
        <v>3330</v>
      </c>
      <c r="D965" s="3" t="s">
        <v>98</v>
      </c>
      <c r="E965" s="3" t="s">
        <v>103</v>
      </c>
      <c r="F965" s="3"/>
      <c r="G965" s="3"/>
      <c r="H965" s="3"/>
      <c r="I965" s="3" t="s">
        <v>3776</v>
      </c>
      <c r="J965" s="3" t="s">
        <v>1700</v>
      </c>
      <c r="K965" s="27" t="s">
        <v>12</v>
      </c>
    </row>
    <row r="966" ht="18.6" customHeight="1" spans="1:11">
      <c r="A966" s="3">
        <v>965</v>
      </c>
      <c r="B966" s="3" t="s">
        <v>1775</v>
      </c>
      <c r="C966" s="3" t="s">
        <v>3330</v>
      </c>
      <c r="D966" s="3" t="s">
        <v>98</v>
      </c>
      <c r="E966" s="3" t="s">
        <v>122</v>
      </c>
      <c r="F966" s="3"/>
      <c r="G966" s="3"/>
      <c r="H966" s="3"/>
      <c r="I966" s="3"/>
      <c r="J966" s="3" t="s">
        <v>1700</v>
      </c>
      <c r="K966" s="27" t="s">
        <v>12</v>
      </c>
    </row>
    <row r="967" ht="18.6" customHeight="1" spans="1:11">
      <c r="A967" s="3">
        <v>966</v>
      </c>
      <c r="B967" s="3" t="s">
        <v>1776</v>
      </c>
      <c r="C967" s="3" t="s">
        <v>3330</v>
      </c>
      <c r="D967" s="3" t="s">
        <v>98</v>
      </c>
      <c r="E967" s="3" t="s">
        <v>103</v>
      </c>
      <c r="F967" s="3"/>
      <c r="G967" s="3"/>
      <c r="H967" s="3"/>
      <c r="I967" s="3" t="s">
        <v>3770</v>
      </c>
      <c r="J967" s="3" t="s">
        <v>1700</v>
      </c>
      <c r="K967" s="27" t="s">
        <v>12</v>
      </c>
    </row>
    <row r="968" ht="18.6" customHeight="1" spans="1:11">
      <c r="A968" s="3">
        <v>967</v>
      </c>
      <c r="B968" s="3" t="s">
        <v>1777</v>
      </c>
      <c r="C968" s="3" t="s">
        <v>3330</v>
      </c>
      <c r="D968" s="3" t="s">
        <v>98</v>
      </c>
      <c r="E968" s="3" t="s">
        <v>99</v>
      </c>
      <c r="F968" s="3"/>
      <c r="G968" s="3"/>
      <c r="H968" s="3"/>
      <c r="I968" s="3"/>
      <c r="J968" s="3" t="s">
        <v>1700</v>
      </c>
      <c r="K968" s="27" t="s">
        <v>12</v>
      </c>
    </row>
    <row r="969" ht="18.6" customHeight="1" spans="1:11">
      <c r="A969" s="3">
        <v>968</v>
      </c>
      <c r="B969" s="3" t="s">
        <v>1778</v>
      </c>
      <c r="C969" s="3" t="s">
        <v>3330</v>
      </c>
      <c r="D969" s="3" t="s">
        <v>98</v>
      </c>
      <c r="E969" s="3" t="s">
        <v>99</v>
      </c>
      <c r="F969" s="3"/>
      <c r="G969" s="3"/>
      <c r="H969" s="3"/>
      <c r="I969" s="3"/>
      <c r="J969" s="3" t="s">
        <v>1700</v>
      </c>
      <c r="K969" s="27" t="s">
        <v>12</v>
      </c>
    </row>
    <row r="970" ht="18.6" customHeight="1" spans="1:11">
      <c r="A970" s="3">
        <v>969</v>
      </c>
      <c r="B970" s="3" t="s">
        <v>1779</v>
      </c>
      <c r="C970" s="3" t="s">
        <v>3330</v>
      </c>
      <c r="D970" s="3" t="s">
        <v>98</v>
      </c>
      <c r="E970" s="3" t="s">
        <v>106</v>
      </c>
      <c r="F970" s="3"/>
      <c r="G970" s="3"/>
      <c r="H970" s="3"/>
      <c r="I970" s="3"/>
      <c r="J970" s="3" t="s">
        <v>1700</v>
      </c>
      <c r="K970" s="27" t="s">
        <v>12</v>
      </c>
    </row>
    <row r="971" ht="18.6" customHeight="1" spans="1:11">
      <c r="A971" s="3">
        <v>970</v>
      </c>
      <c r="B971" s="3" t="s">
        <v>1780</v>
      </c>
      <c r="C971" s="3" t="s">
        <v>3330</v>
      </c>
      <c r="D971" s="3" t="s">
        <v>98</v>
      </c>
      <c r="E971" s="3" t="s">
        <v>116</v>
      </c>
      <c r="F971" s="3"/>
      <c r="G971" s="3"/>
      <c r="H971" s="3"/>
      <c r="I971" s="3"/>
      <c r="J971" s="3" t="s">
        <v>1700</v>
      </c>
      <c r="K971" s="27" t="s">
        <v>12</v>
      </c>
    </row>
    <row r="972" ht="18.6" customHeight="1" spans="1:11">
      <c r="A972" s="3">
        <v>971</v>
      </c>
      <c r="B972" s="3" t="s">
        <v>1781</v>
      </c>
      <c r="C972" s="3" t="s">
        <v>3330</v>
      </c>
      <c r="D972" s="3" t="s">
        <v>98</v>
      </c>
      <c r="E972" s="3" t="s">
        <v>101</v>
      </c>
      <c r="F972" s="3"/>
      <c r="G972" s="3"/>
      <c r="H972" s="3"/>
      <c r="I972" s="3"/>
      <c r="J972" s="3" t="s">
        <v>1700</v>
      </c>
      <c r="K972" s="27" t="s">
        <v>12</v>
      </c>
    </row>
    <row r="973" ht="18.6" customHeight="1" spans="1:11">
      <c r="A973" s="3">
        <v>972</v>
      </c>
      <c r="B973" s="3" t="s">
        <v>1782</v>
      </c>
      <c r="C973" s="3" t="s">
        <v>3330</v>
      </c>
      <c r="D973" s="3" t="s">
        <v>98</v>
      </c>
      <c r="E973" s="3" t="s">
        <v>101</v>
      </c>
      <c r="F973" s="3"/>
      <c r="G973" s="3"/>
      <c r="H973" s="3"/>
      <c r="I973" s="3"/>
      <c r="J973" s="3" t="s">
        <v>1700</v>
      </c>
      <c r="K973" s="27" t="s">
        <v>12</v>
      </c>
    </row>
    <row r="974" ht="18.6" customHeight="1" spans="1:11">
      <c r="A974" s="3">
        <v>973</v>
      </c>
      <c r="B974" s="3" t="s">
        <v>1783</v>
      </c>
      <c r="C974" s="3" t="s">
        <v>3347</v>
      </c>
      <c r="D974" s="3" t="s">
        <v>151</v>
      </c>
      <c r="E974" s="3" t="s">
        <v>152</v>
      </c>
      <c r="F974" s="3"/>
      <c r="G974" s="3"/>
      <c r="H974" s="3"/>
      <c r="I974" s="3" t="s">
        <v>3771</v>
      </c>
      <c r="J974" s="3" t="s">
        <v>1700</v>
      </c>
      <c r="K974" s="27" t="s">
        <v>12</v>
      </c>
    </row>
    <row r="975" ht="18.6" customHeight="1" spans="1:11">
      <c r="A975" s="3">
        <v>974</v>
      </c>
      <c r="B975" s="3" t="s">
        <v>1784</v>
      </c>
      <c r="C975" s="3" t="s">
        <v>3347</v>
      </c>
      <c r="D975" s="3" t="s">
        <v>151</v>
      </c>
      <c r="E975" s="3" t="s">
        <v>160</v>
      </c>
      <c r="F975" s="3"/>
      <c r="G975" s="3"/>
      <c r="H975" s="3"/>
      <c r="I975" s="3" t="s">
        <v>3770</v>
      </c>
      <c r="J975" s="3" t="s">
        <v>1700</v>
      </c>
      <c r="K975" s="27" t="s">
        <v>12</v>
      </c>
    </row>
    <row r="976" ht="18.6" customHeight="1" spans="1:11">
      <c r="A976" s="3">
        <v>975</v>
      </c>
      <c r="B976" s="3" t="s">
        <v>3791</v>
      </c>
      <c r="C976" s="3" t="s">
        <v>3347</v>
      </c>
      <c r="D976" s="3" t="s">
        <v>151</v>
      </c>
      <c r="E976" s="3" t="s">
        <v>152</v>
      </c>
      <c r="F976" s="3"/>
      <c r="G976" s="3"/>
      <c r="H976" s="3"/>
      <c r="I976" s="3" t="s">
        <v>3772</v>
      </c>
      <c r="J976" s="3" t="s">
        <v>1700</v>
      </c>
      <c r="K976" s="27" t="s">
        <v>12</v>
      </c>
    </row>
    <row r="977" ht="18.6" customHeight="1" spans="1:11">
      <c r="A977" s="3">
        <v>976</v>
      </c>
      <c r="B977" s="3" t="s">
        <v>1785</v>
      </c>
      <c r="C977" s="3" t="s">
        <v>3347</v>
      </c>
      <c r="D977" s="3" t="s">
        <v>151</v>
      </c>
      <c r="E977" s="3" t="s">
        <v>183</v>
      </c>
      <c r="F977" s="3"/>
      <c r="G977" s="3"/>
      <c r="H977" s="3"/>
      <c r="I977" s="3" t="s">
        <v>3769</v>
      </c>
      <c r="J977" s="3" t="s">
        <v>1700</v>
      </c>
      <c r="K977" s="27" t="s">
        <v>12</v>
      </c>
    </row>
    <row r="978" ht="18.6" customHeight="1" spans="1:11">
      <c r="A978" s="3">
        <v>977</v>
      </c>
      <c r="B978" s="3" t="s">
        <v>1786</v>
      </c>
      <c r="C978" s="3" t="s">
        <v>3347</v>
      </c>
      <c r="D978" s="3" t="s">
        <v>151</v>
      </c>
      <c r="E978" s="3" t="s">
        <v>152</v>
      </c>
      <c r="F978" s="3"/>
      <c r="G978" s="3"/>
      <c r="H978" s="3"/>
      <c r="I978" s="3" t="s">
        <v>3775</v>
      </c>
      <c r="J978" s="3" t="s">
        <v>1700</v>
      </c>
      <c r="K978" s="27" t="s">
        <v>12</v>
      </c>
    </row>
    <row r="979" ht="18.6" customHeight="1" spans="1:11">
      <c r="A979" s="3">
        <v>978</v>
      </c>
      <c r="B979" s="3" t="s">
        <v>1787</v>
      </c>
      <c r="C979" s="3" t="s">
        <v>3347</v>
      </c>
      <c r="D979" s="3" t="s">
        <v>151</v>
      </c>
      <c r="E979" s="3" t="s">
        <v>164</v>
      </c>
      <c r="F979" s="3"/>
      <c r="G979" s="3"/>
      <c r="H979" s="3"/>
      <c r="I979" s="3" t="s">
        <v>3770</v>
      </c>
      <c r="J979" s="3" t="s">
        <v>1700</v>
      </c>
      <c r="K979" s="27" t="s">
        <v>12</v>
      </c>
    </row>
    <row r="980" ht="18.6" customHeight="1" spans="1:11">
      <c r="A980" s="3">
        <v>979</v>
      </c>
      <c r="B980" s="3" t="s">
        <v>1788</v>
      </c>
      <c r="C980" s="3" t="s">
        <v>3347</v>
      </c>
      <c r="D980" s="3" t="s">
        <v>151</v>
      </c>
      <c r="E980" s="3" t="s">
        <v>160</v>
      </c>
      <c r="F980" s="3"/>
      <c r="G980" s="3"/>
      <c r="H980" s="3"/>
      <c r="I980" s="3" t="s">
        <v>3770</v>
      </c>
      <c r="J980" s="3" t="s">
        <v>1700</v>
      </c>
      <c r="K980" s="27" t="s">
        <v>12</v>
      </c>
    </row>
    <row r="981" ht="18.6" customHeight="1" spans="1:11">
      <c r="A981" s="3">
        <v>980</v>
      </c>
      <c r="B981" s="3" t="s">
        <v>1789</v>
      </c>
      <c r="C981" s="3" t="s">
        <v>3347</v>
      </c>
      <c r="D981" s="3" t="s">
        <v>151</v>
      </c>
      <c r="E981" s="3" t="s">
        <v>152</v>
      </c>
      <c r="F981" s="3"/>
      <c r="G981" s="3"/>
      <c r="H981" s="3"/>
      <c r="I981" s="3" t="s">
        <v>3771</v>
      </c>
      <c r="J981" s="3" t="s">
        <v>1700</v>
      </c>
      <c r="K981" s="27" t="s">
        <v>12</v>
      </c>
    </row>
    <row r="982" ht="18.6" customHeight="1" spans="1:11">
      <c r="A982" s="3">
        <v>981</v>
      </c>
      <c r="B982" s="3" t="s">
        <v>1790</v>
      </c>
      <c r="C982" s="3" t="s">
        <v>3347</v>
      </c>
      <c r="D982" s="3" t="s">
        <v>151</v>
      </c>
      <c r="E982" s="3" t="s">
        <v>152</v>
      </c>
      <c r="F982" s="3"/>
      <c r="G982" s="3"/>
      <c r="H982" s="3"/>
      <c r="I982" s="3" t="s">
        <v>3773</v>
      </c>
      <c r="J982" s="3" t="s">
        <v>1700</v>
      </c>
      <c r="K982" s="27" t="s">
        <v>12</v>
      </c>
    </row>
    <row r="983" ht="18.6" customHeight="1" spans="1:11">
      <c r="A983" s="3">
        <v>982</v>
      </c>
      <c r="B983" s="3" t="s">
        <v>1791</v>
      </c>
      <c r="C983" s="3" t="s">
        <v>3347</v>
      </c>
      <c r="D983" s="3" t="s">
        <v>151</v>
      </c>
      <c r="E983" s="3" t="s">
        <v>168</v>
      </c>
      <c r="F983" s="3"/>
      <c r="G983" s="3"/>
      <c r="H983" s="3"/>
      <c r="I983" s="3" t="s">
        <v>3770</v>
      </c>
      <c r="J983" s="3" t="s">
        <v>1700</v>
      </c>
      <c r="K983" s="27" t="s">
        <v>12</v>
      </c>
    </row>
    <row r="984" ht="18.6" customHeight="1" spans="1:11">
      <c r="A984" s="3">
        <v>983</v>
      </c>
      <c r="B984" s="3" t="s">
        <v>1792</v>
      </c>
      <c r="C984" s="3" t="s">
        <v>3347</v>
      </c>
      <c r="D984" s="3" t="s">
        <v>151</v>
      </c>
      <c r="E984" s="3" t="s">
        <v>187</v>
      </c>
      <c r="F984" s="3"/>
      <c r="G984" s="3"/>
      <c r="H984" s="3"/>
      <c r="I984" s="3" t="s">
        <v>3769</v>
      </c>
      <c r="J984" s="3" t="s">
        <v>1700</v>
      </c>
      <c r="K984" s="27" t="s">
        <v>12</v>
      </c>
    </row>
    <row r="985" ht="18.6" customHeight="1" spans="1:11">
      <c r="A985" s="3">
        <v>984</v>
      </c>
      <c r="B985" s="3" t="s">
        <v>1793</v>
      </c>
      <c r="C985" s="3" t="s">
        <v>3347</v>
      </c>
      <c r="D985" s="3" t="s">
        <v>151</v>
      </c>
      <c r="E985" s="3" t="s">
        <v>181</v>
      </c>
      <c r="F985" s="3"/>
      <c r="G985" s="3"/>
      <c r="H985" s="3"/>
      <c r="I985" s="3" t="s">
        <v>3769</v>
      </c>
      <c r="J985" s="3" t="s">
        <v>1700</v>
      </c>
      <c r="K985" s="27" t="s">
        <v>12</v>
      </c>
    </row>
    <row r="986" ht="18.6" customHeight="1" spans="1:11">
      <c r="A986" s="3">
        <v>985</v>
      </c>
      <c r="B986" s="3" t="s">
        <v>1794</v>
      </c>
      <c r="C986" s="3" t="s">
        <v>3347</v>
      </c>
      <c r="D986" s="3" t="s">
        <v>151</v>
      </c>
      <c r="E986" s="3" t="s">
        <v>152</v>
      </c>
      <c r="F986" s="3"/>
      <c r="G986" s="3"/>
      <c r="H986" s="3"/>
      <c r="I986" s="3" t="s">
        <v>3770</v>
      </c>
      <c r="J986" s="3" t="s">
        <v>1700</v>
      </c>
      <c r="K986" s="27" t="s">
        <v>12</v>
      </c>
    </row>
    <row r="987" ht="18.6" customHeight="1" spans="1:11">
      <c r="A987" s="3">
        <v>986</v>
      </c>
      <c r="B987" s="3" t="s">
        <v>1795</v>
      </c>
      <c r="C987" s="3" t="s">
        <v>3347</v>
      </c>
      <c r="D987" s="3" t="s">
        <v>151</v>
      </c>
      <c r="E987" s="3" t="s">
        <v>152</v>
      </c>
      <c r="F987" s="3"/>
      <c r="G987" s="3"/>
      <c r="H987" s="3"/>
      <c r="I987" s="3" t="s">
        <v>3771</v>
      </c>
      <c r="J987" s="3" t="s">
        <v>1700</v>
      </c>
      <c r="K987" s="27" t="s">
        <v>12</v>
      </c>
    </row>
    <row r="988" ht="18.6" customHeight="1" spans="1:11">
      <c r="A988" s="3">
        <v>987</v>
      </c>
      <c r="B988" s="3" t="s">
        <v>1796</v>
      </c>
      <c r="C988" s="3" t="s">
        <v>3347</v>
      </c>
      <c r="D988" s="3" t="s">
        <v>151</v>
      </c>
      <c r="E988" s="3" t="s">
        <v>152</v>
      </c>
      <c r="F988" s="3"/>
      <c r="G988" s="3"/>
      <c r="H988" s="3"/>
      <c r="I988" s="3" t="s">
        <v>3769</v>
      </c>
      <c r="J988" s="3" t="s">
        <v>1700</v>
      </c>
      <c r="K988" s="27" t="s">
        <v>12</v>
      </c>
    </row>
    <row r="989" ht="18.6" customHeight="1" spans="1:11">
      <c r="A989" s="3">
        <v>988</v>
      </c>
      <c r="B989" s="3" t="s">
        <v>1797</v>
      </c>
      <c r="C989" s="3" t="s">
        <v>3347</v>
      </c>
      <c r="D989" s="3" t="s">
        <v>151</v>
      </c>
      <c r="E989" s="3" t="s">
        <v>152</v>
      </c>
      <c r="F989" s="3"/>
      <c r="G989" s="3"/>
      <c r="H989" s="3"/>
      <c r="I989" s="3" t="s">
        <v>3777</v>
      </c>
      <c r="J989" s="3" t="s">
        <v>1700</v>
      </c>
      <c r="K989" s="27" t="s">
        <v>12</v>
      </c>
    </row>
    <row r="990" ht="18.6" customHeight="1" spans="1:11">
      <c r="A990" s="3">
        <v>989</v>
      </c>
      <c r="B990" s="3" t="s">
        <v>1798</v>
      </c>
      <c r="C990" s="3" t="s">
        <v>3347</v>
      </c>
      <c r="D990" s="3" t="s">
        <v>151</v>
      </c>
      <c r="E990" s="3" t="s">
        <v>152</v>
      </c>
      <c r="F990" s="3"/>
      <c r="G990" s="3"/>
      <c r="H990" s="3"/>
      <c r="I990" s="3" t="s">
        <v>3779</v>
      </c>
      <c r="J990" s="3" t="s">
        <v>1700</v>
      </c>
      <c r="K990" s="27" t="s">
        <v>12</v>
      </c>
    </row>
    <row r="991" ht="18.6" customHeight="1" spans="1:11">
      <c r="A991" s="3">
        <v>990</v>
      </c>
      <c r="B991" s="3" t="s">
        <v>1799</v>
      </c>
      <c r="C991" s="3" t="s">
        <v>3347</v>
      </c>
      <c r="D991" s="3" t="s">
        <v>151</v>
      </c>
      <c r="E991" s="3" t="s">
        <v>152</v>
      </c>
      <c r="F991" s="3"/>
      <c r="G991" s="3"/>
      <c r="H991" s="3"/>
      <c r="I991" s="3"/>
      <c r="J991" s="3" t="s">
        <v>1700</v>
      </c>
      <c r="K991" s="27" t="s">
        <v>12</v>
      </c>
    </row>
    <row r="992" ht="18.6" customHeight="1" spans="1:11">
      <c r="A992" s="3">
        <v>991</v>
      </c>
      <c r="B992" s="3" t="s">
        <v>1800</v>
      </c>
      <c r="C992" s="3" t="s">
        <v>3347</v>
      </c>
      <c r="D992" s="3" t="s">
        <v>151</v>
      </c>
      <c r="E992" s="3" t="s">
        <v>160</v>
      </c>
      <c r="F992" s="3"/>
      <c r="G992" s="3"/>
      <c r="H992" s="3"/>
      <c r="I992" s="3"/>
      <c r="J992" s="3" t="s">
        <v>1700</v>
      </c>
      <c r="K992" s="27" t="s">
        <v>12</v>
      </c>
    </row>
    <row r="993" ht="18.6" customHeight="1" spans="1:11">
      <c r="A993" s="3">
        <v>992</v>
      </c>
      <c r="B993" s="3" t="s">
        <v>3792</v>
      </c>
      <c r="C993" s="3" t="s">
        <v>3347</v>
      </c>
      <c r="D993" s="3" t="s">
        <v>151</v>
      </c>
      <c r="E993" s="3" t="s">
        <v>152</v>
      </c>
      <c r="F993" s="3"/>
      <c r="G993" s="3"/>
      <c r="H993" s="3"/>
      <c r="I993" s="3" t="s">
        <v>3789</v>
      </c>
      <c r="J993" s="3" t="s">
        <v>1700</v>
      </c>
      <c r="K993" s="27" t="s">
        <v>12</v>
      </c>
    </row>
    <row r="994" ht="18.6" customHeight="1" spans="1:11">
      <c r="A994" s="3">
        <v>993</v>
      </c>
      <c r="B994" s="3" t="s">
        <v>3793</v>
      </c>
      <c r="C994" s="3" t="s">
        <v>3347</v>
      </c>
      <c r="D994" s="3" t="s">
        <v>151</v>
      </c>
      <c r="E994" s="3" t="s">
        <v>152</v>
      </c>
      <c r="F994" s="3"/>
      <c r="G994" s="3"/>
      <c r="H994" s="3"/>
      <c r="I994" s="3" t="s">
        <v>3789</v>
      </c>
      <c r="J994" s="3" t="s">
        <v>1700</v>
      </c>
      <c r="K994" s="27" t="s">
        <v>12</v>
      </c>
    </row>
    <row r="995" ht="18.6" customHeight="1" spans="1:11">
      <c r="A995" s="3">
        <v>994</v>
      </c>
      <c r="B995" s="3" t="s">
        <v>1801</v>
      </c>
      <c r="C995" s="3" t="s">
        <v>3347</v>
      </c>
      <c r="D995" s="3" t="s">
        <v>151</v>
      </c>
      <c r="E995" s="3" t="s">
        <v>181</v>
      </c>
      <c r="F995" s="3"/>
      <c r="G995" s="3"/>
      <c r="H995" s="3"/>
      <c r="I995" s="3"/>
      <c r="J995" s="3" t="s">
        <v>1700</v>
      </c>
      <c r="K995" s="27" t="s">
        <v>12</v>
      </c>
    </row>
    <row r="996" ht="18.6" customHeight="1" spans="1:11">
      <c r="A996" s="3">
        <v>995</v>
      </c>
      <c r="B996" s="3" t="s">
        <v>1802</v>
      </c>
      <c r="C996" s="3" t="s">
        <v>3347</v>
      </c>
      <c r="D996" s="3" t="s">
        <v>151</v>
      </c>
      <c r="E996" s="3" t="s">
        <v>152</v>
      </c>
      <c r="F996" s="3"/>
      <c r="G996" s="3"/>
      <c r="H996" s="3"/>
      <c r="I996" s="3" t="s">
        <v>3770</v>
      </c>
      <c r="J996" s="3" t="s">
        <v>1700</v>
      </c>
      <c r="K996" s="27" t="s">
        <v>12</v>
      </c>
    </row>
    <row r="997" ht="18.6" customHeight="1" spans="1:11">
      <c r="A997" s="3">
        <v>996</v>
      </c>
      <c r="B997" s="3" t="s">
        <v>1803</v>
      </c>
      <c r="C997" s="3" t="s">
        <v>3347</v>
      </c>
      <c r="D997" s="3" t="s">
        <v>151</v>
      </c>
      <c r="E997" s="3" t="s">
        <v>170</v>
      </c>
      <c r="F997" s="3"/>
      <c r="G997" s="3"/>
      <c r="H997" s="3"/>
      <c r="I997" s="3" t="s">
        <v>3769</v>
      </c>
      <c r="J997" s="3" t="s">
        <v>1700</v>
      </c>
      <c r="K997" s="27" t="s">
        <v>12</v>
      </c>
    </row>
    <row r="998" ht="18.6" customHeight="1" spans="1:11">
      <c r="A998" s="3">
        <v>997</v>
      </c>
      <c r="B998" s="3" t="s">
        <v>1804</v>
      </c>
      <c r="C998" s="3" t="s">
        <v>3347</v>
      </c>
      <c r="D998" s="3" t="s">
        <v>151</v>
      </c>
      <c r="E998" s="3" t="s">
        <v>157</v>
      </c>
      <c r="F998" s="3"/>
      <c r="G998" s="3"/>
      <c r="H998" s="3"/>
      <c r="I998" s="3" t="s">
        <v>3769</v>
      </c>
      <c r="J998" s="3" t="s">
        <v>1700</v>
      </c>
      <c r="K998" s="27" t="s">
        <v>12</v>
      </c>
    </row>
    <row r="999" ht="18.6" customHeight="1" spans="1:11">
      <c r="A999" s="3">
        <v>998</v>
      </c>
      <c r="B999" s="3" t="s">
        <v>1805</v>
      </c>
      <c r="C999" s="3" t="s">
        <v>3347</v>
      </c>
      <c r="D999" s="3" t="s">
        <v>151</v>
      </c>
      <c r="E999" s="3" t="s">
        <v>168</v>
      </c>
      <c r="F999" s="3"/>
      <c r="G999" s="3"/>
      <c r="H999" s="3"/>
      <c r="I999" s="3"/>
      <c r="J999" s="3" t="s">
        <v>1700</v>
      </c>
      <c r="K999" s="27" t="s">
        <v>12</v>
      </c>
    </row>
    <row r="1000" ht="18.6" customHeight="1" spans="1:11">
      <c r="A1000" s="3">
        <v>999</v>
      </c>
      <c r="B1000" s="3" t="s">
        <v>1806</v>
      </c>
      <c r="C1000" s="3" t="s">
        <v>3347</v>
      </c>
      <c r="D1000" s="3" t="s">
        <v>151</v>
      </c>
      <c r="E1000" s="3" t="s">
        <v>168</v>
      </c>
      <c r="F1000" s="3"/>
      <c r="G1000" s="3"/>
      <c r="H1000" s="3"/>
      <c r="I1000" s="3" t="s">
        <v>3776</v>
      </c>
      <c r="J1000" s="3" t="s">
        <v>1700</v>
      </c>
      <c r="K1000" s="27" t="s">
        <v>12</v>
      </c>
    </row>
    <row r="1001" ht="18.6" customHeight="1" spans="1:11">
      <c r="A1001" s="3">
        <v>1000</v>
      </c>
      <c r="B1001" s="3" t="s">
        <v>1807</v>
      </c>
      <c r="C1001" s="3" t="s">
        <v>3347</v>
      </c>
      <c r="D1001" s="3" t="s">
        <v>151</v>
      </c>
      <c r="E1001" s="3" t="s">
        <v>152</v>
      </c>
      <c r="F1001" s="3"/>
      <c r="G1001" s="3"/>
      <c r="H1001" s="3"/>
      <c r="I1001" s="3" t="s">
        <v>3771</v>
      </c>
      <c r="J1001" s="3" t="s">
        <v>1700</v>
      </c>
      <c r="K1001" s="27" t="s">
        <v>12</v>
      </c>
    </row>
    <row r="1002" ht="18.6" customHeight="1" spans="1:11">
      <c r="A1002" s="3">
        <v>1001</v>
      </c>
      <c r="B1002" s="3" t="s">
        <v>1808</v>
      </c>
      <c r="C1002" s="3" t="s">
        <v>3347</v>
      </c>
      <c r="D1002" s="3" t="s">
        <v>151</v>
      </c>
      <c r="E1002" s="3" t="s">
        <v>179</v>
      </c>
      <c r="F1002" s="3"/>
      <c r="G1002" s="3"/>
      <c r="H1002" s="3"/>
      <c r="I1002" s="3"/>
      <c r="J1002" s="3" t="s">
        <v>1700</v>
      </c>
      <c r="K1002" s="27" t="s">
        <v>12</v>
      </c>
    </row>
    <row r="1003" ht="18.6" customHeight="1" spans="1:11">
      <c r="A1003" s="3">
        <v>1002</v>
      </c>
      <c r="B1003" s="3" t="s">
        <v>1809</v>
      </c>
      <c r="C1003" s="3" t="s">
        <v>3347</v>
      </c>
      <c r="D1003" s="3" t="s">
        <v>151</v>
      </c>
      <c r="E1003" s="3" t="s">
        <v>152</v>
      </c>
      <c r="F1003" s="3"/>
      <c r="G1003" s="3"/>
      <c r="H1003" s="3"/>
      <c r="I1003" s="3" t="s">
        <v>3770</v>
      </c>
      <c r="J1003" s="3" t="s">
        <v>1700</v>
      </c>
      <c r="K1003" s="27" t="s">
        <v>12</v>
      </c>
    </row>
    <row r="1004" ht="18.6" customHeight="1" spans="1:11">
      <c r="A1004" s="3">
        <v>1003</v>
      </c>
      <c r="B1004" s="3" t="s">
        <v>1810</v>
      </c>
      <c r="C1004" s="3" t="s">
        <v>3347</v>
      </c>
      <c r="D1004" s="3" t="s">
        <v>151</v>
      </c>
      <c r="E1004" s="3" t="s">
        <v>157</v>
      </c>
      <c r="F1004" s="3"/>
      <c r="G1004" s="3"/>
      <c r="H1004" s="3"/>
      <c r="I1004" s="3" t="s">
        <v>3776</v>
      </c>
      <c r="J1004" s="3" t="s">
        <v>1700</v>
      </c>
      <c r="K1004" s="27" t="s">
        <v>12</v>
      </c>
    </row>
    <row r="1005" ht="18.6" customHeight="1" spans="1:11">
      <c r="A1005" s="3">
        <v>1004</v>
      </c>
      <c r="B1005" s="3" t="s">
        <v>1811</v>
      </c>
      <c r="C1005" s="3" t="s">
        <v>3347</v>
      </c>
      <c r="D1005" s="3" t="s">
        <v>151</v>
      </c>
      <c r="E1005" s="3" t="s">
        <v>187</v>
      </c>
      <c r="F1005" s="3"/>
      <c r="G1005" s="3"/>
      <c r="H1005" s="3"/>
      <c r="I1005" s="3"/>
      <c r="J1005" s="3" t="s">
        <v>1700</v>
      </c>
      <c r="K1005" s="27" t="s">
        <v>12</v>
      </c>
    </row>
    <row r="1006" ht="18.6" customHeight="1" spans="1:11">
      <c r="A1006" s="3">
        <v>1005</v>
      </c>
      <c r="B1006" s="3" t="s">
        <v>3794</v>
      </c>
      <c r="C1006" s="3" t="s">
        <v>3347</v>
      </c>
      <c r="D1006" s="3" t="s">
        <v>151</v>
      </c>
      <c r="E1006" s="3" t="s">
        <v>152</v>
      </c>
      <c r="F1006" s="3"/>
      <c r="G1006" s="3"/>
      <c r="H1006" s="3"/>
      <c r="I1006" s="3" t="s">
        <v>3769</v>
      </c>
      <c r="J1006" s="3" t="s">
        <v>1700</v>
      </c>
      <c r="K1006" s="27" t="s">
        <v>12</v>
      </c>
    </row>
    <row r="1007" ht="18.6" customHeight="1" spans="1:11">
      <c r="A1007" s="3">
        <v>1006</v>
      </c>
      <c r="B1007" s="3" t="s">
        <v>1812</v>
      </c>
      <c r="C1007" s="3" t="s">
        <v>3347</v>
      </c>
      <c r="D1007" s="3" t="s">
        <v>151</v>
      </c>
      <c r="E1007" s="3" t="s">
        <v>168</v>
      </c>
      <c r="F1007" s="3"/>
      <c r="G1007" s="3"/>
      <c r="H1007" s="3"/>
      <c r="I1007" s="3" t="s">
        <v>3775</v>
      </c>
      <c r="J1007" s="3" t="s">
        <v>1700</v>
      </c>
      <c r="K1007" s="27" t="s">
        <v>12</v>
      </c>
    </row>
    <row r="1008" ht="18.6" customHeight="1" spans="1:11">
      <c r="A1008" s="3">
        <v>1007</v>
      </c>
      <c r="B1008" s="3" t="s">
        <v>1813</v>
      </c>
      <c r="C1008" s="3" t="s">
        <v>3347</v>
      </c>
      <c r="D1008" s="3" t="s">
        <v>151</v>
      </c>
      <c r="E1008" s="3" t="s">
        <v>168</v>
      </c>
      <c r="F1008" s="3"/>
      <c r="G1008" s="3"/>
      <c r="H1008" s="3"/>
      <c r="I1008" s="3" t="s">
        <v>3776</v>
      </c>
      <c r="J1008" s="3" t="s">
        <v>1700</v>
      </c>
      <c r="K1008" s="27" t="s">
        <v>12</v>
      </c>
    </row>
    <row r="1009" ht="18.6" customHeight="1" spans="1:11">
      <c r="A1009" s="3">
        <v>1008</v>
      </c>
      <c r="B1009" s="3" t="s">
        <v>1814</v>
      </c>
      <c r="C1009" s="3" t="s">
        <v>3347</v>
      </c>
      <c r="D1009" s="3" t="s">
        <v>151</v>
      </c>
      <c r="E1009" s="3" t="s">
        <v>179</v>
      </c>
      <c r="F1009" s="3"/>
      <c r="G1009" s="3"/>
      <c r="H1009" s="3"/>
      <c r="I1009" s="3" t="s">
        <v>3776</v>
      </c>
      <c r="J1009" s="3" t="s">
        <v>1700</v>
      </c>
      <c r="K1009" s="27" t="s">
        <v>12</v>
      </c>
    </row>
    <row r="1010" ht="18.6" customHeight="1" spans="1:11">
      <c r="A1010" s="3">
        <v>1009</v>
      </c>
      <c r="B1010" s="3" t="s">
        <v>1815</v>
      </c>
      <c r="C1010" s="3" t="s">
        <v>3347</v>
      </c>
      <c r="D1010" s="3" t="s">
        <v>151</v>
      </c>
      <c r="E1010" s="3" t="s">
        <v>174</v>
      </c>
      <c r="F1010" s="3"/>
      <c r="G1010" s="3"/>
      <c r="H1010" s="3"/>
      <c r="I1010" s="3"/>
      <c r="J1010" s="3" t="s">
        <v>1700</v>
      </c>
      <c r="K1010" s="27" t="s">
        <v>12</v>
      </c>
    </row>
    <row r="1011" ht="18.6" customHeight="1" spans="1:11">
      <c r="A1011" s="3">
        <v>1010</v>
      </c>
      <c r="B1011" s="3" t="s">
        <v>1816</v>
      </c>
      <c r="C1011" s="3" t="s">
        <v>3347</v>
      </c>
      <c r="D1011" s="3" t="s">
        <v>151</v>
      </c>
      <c r="E1011" s="3" t="s">
        <v>164</v>
      </c>
      <c r="F1011" s="3"/>
      <c r="G1011" s="3"/>
      <c r="H1011" s="3"/>
      <c r="I1011" s="3"/>
      <c r="J1011" s="3" t="s">
        <v>1700</v>
      </c>
      <c r="K1011" s="27" t="s">
        <v>12</v>
      </c>
    </row>
    <row r="1012" ht="18.6" customHeight="1" spans="1:11">
      <c r="A1012" s="3">
        <v>1011</v>
      </c>
      <c r="B1012" s="3" t="s">
        <v>1817</v>
      </c>
      <c r="C1012" s="3" t="s">
        <v>3347</v>
      </c>
      <c r="D1012" s="3" t="s">
        <v>151</v>
      </c>
      <c r="E1012" s="3" t="s">
        <v>152</v>
      </c>
      <c r="F1012" s="3"/>
      <c r="G1012" s="3"/>
      <c r="H1012" s="3"/>
      <c r="I1012" s="3"/>
      <c r="J1012" s="3" t="s">
        <v>1700</v>
      </c>
      <c r="K1012" s="27" t="s">
        <v>12</v>
      </c>
    </row>
    <row r="1013" ht="18.6" customHeight="1" spans="1:11">
      <c r="A1013" s="3">
        <v>1012</v>
      </c>
      <c r="B1013" s="3" t="s">
        <v>1818</v>
      </c>
      <c r="C1013" s="3" t="s">
        <v>3347</v>
      </c>
      <c r="D1013" s="3" t="s">
        <v>151</v>
      </c>
      <c r="E1013" s="3" t="s">
        <v>152</v>
      </c>
      <c r="F1013" s="3"/>
      <c r="G1013" s="3"/>
      <c r="H1013" s="3"/>
      <c r="I1013" s="3" t="s">
        <v>3770</v>
      </c>
      <c r="J1013" s="3" t="s">
        <v>1700</v>
      </c>
      <c r="K1013" s="27" t="s">
        <v>12</v>
      </c>
    </row>
    <row r="1014" ht="18.6" customHeight="1" spans="1:11">
      <c r="A1014" s="3">
        <v>1013</v>
      </c>
      <c r="B1014" s="3" t="s">
        <v>1819</v>
      </c>
      <c r="C1014" s="3" t="s">
        <v>3347</v>
      </c>
      <c r="D1014" s="3" t="s">
        <v>151</v>
      </c>
      <c r="E1014" s="3" t="s">
        <v>160</v>
      </c>
      <c r="F1014" s="3"/>
      <c r="G1014" s="3"/>
      <c r="H1014" s="3"/>
      <c r="I1014" s="3"/>
      <c r="J1014" s="3" t="s">
        <v>1700</v>
      </c>
      <c r="K1014" s="27" t="s">
        <v>12</v>
      </c>
    </row>
    <row r="1015" ht="18.6" customHeight="1" spans="1:11">
      <c r="A1015" s="3">
        <v>1014</v>
      </c>
      <c r="B1015" s="3" t="s">
        <v>1820</v>
      </c>
      <c r="C1015" s="3" t="s">
        <v>3347</v>
      </c>
      <c r="D1015" s="3" t="s">
        <v>151</v>
      </c>
      <c r="E1015" s="3" t="s">
        <v>164</v>
      </c>
      <c r="F1015" s="3"/>
      <c r="G1015" s="3"/>
      <c r="H1015" s="3"/>
      <c r="I1015" s="3"/>
      <c r="J1015" s="3" t="s">
        <v>1700</v>
      </c>
      <c r="K1015" s="27" t="s">
        <v>12</v>
      </c>
    </row>
    <row r="1016" ht="18.6" customHeight="1" spans="1:11">
      <c r="A1016" s="3">
        <v>1015</v>
      </c>
      <c r="B1016" s="3" t="s">
        <v>1821</v>
      </c>
      <c r="C1016" s="3" t="s">
        <v>3347</v>
      </c>
      <c r="D1016" s="3" t="s">
        <v>151</v>
      </c>
      <c r="E1016" s="3" t="s">
        <v>179</v>
      </c>
      <c r="F1016" s="3"/>
      <c r="G1016" s="3"/>
      <c r="H1016" s="3"/>
      <c r="I1016" s="3"/>
      <c r="J1016" s="3" t="s">
        <v>1700</v>
      </c>
      <c r="K1016" s="27" t="s">
        <v>12</v>
      </c>
    </row>
    <row r="1017" ht="18.6" customHeight="1" spans="1:11">
      <c r="A1017" s="3">
        <v>1016</v>
      </c>
      <c r="B1017" s="3" t="s">
        <v>1822</v>
      </c>
      <c r="C1017" s="3" t="s">
        <v>3347</v>
      </c>
      <c r="D1017" s="3" t="s">
        <v>151</v>
      </c>
      <c r="E1017" s="3" t="s">
        <v>152</v>
      </c>
      <c r="F1017" s="3"/>
      <c r="G1017" s="3"/>
      <c r="H1017" s="3"/>
      <c r="I1017" s="3" t="s">
        <v>3775</v>
      </c>
      <c r="J1017" s="3" t="s">
        <v>1700</v>
      </c>
      <c r="K1017" s="27" t="s">
        <v>12</v>
      </c>
    </row>
    <row r="1018" ht="18.6" customHeight="1" spans="1:11">
      <c r="A1018" s="3">
        <v>1017</v>
      </c>
      <c r="B1018" s="3" t="s">
        <v>3795</v>
      </c>
      <c r="C1018" s="3" t="s">
        <v>3360</v>
      </c>
      <c r="D1018" s="3" t="s">
        <v>191</v>
      </c>
      <c r="E1018" s="3" t="s">
        <v>192</v>
      </c>
      <c r="F1018" s="3"/>
      <c r="G1018" s="3"/>
      <c r="H1018" s="3"/>
      <c r="I1018" s="3" t="s">
        <v>3770</v>
      </c>
      <c r="J1018" s="3" t="s">
        <v>1700</v>
      </c>
      <c r="K1018" s="27" t="s">
        <v>12</v>
      </c>
    </row>
    <row r="1019" ht="18.6" customHeight="1" spans="1:11">
      <c r="A1019" s="3">
        <v>1018</v>
      </c>
      <c r="B1019" s="3" t="s">
        <v>1823</v>
      </c>
      <c r="C1019" s="3" t="s">
        <v>3360</v>
      </c>
      <c r="D1019" s="3" t="s">
        <v>191</v>
      </c>
      <c r="E1019" s="3" t="s">
        <v>194</v>
      </c>
      <c r="F1019" s="3"/>
      <c r="G1019" s="3"/>
      <c r="H1019" s="3"/>
      <c r="I1019" s="3" t="s">
        <v>3770</v>
      </c>
      <c r="J1019" s="3" t="s">
        <v>1700</v>
      </c>
      <c r="K1019" s="27" t="s">
        <v>12</v>
      </c>
    </row>
    <row r="1020" ht="18.6" customHeight="1" spans="1:11">
      <c r="A1020" s="3">
        <v>1019</v>
      </c>
      <c r="B1020" s="3" t="s">
        <v>3796</v>
      </c>
      <c r="C1020" s="3" t="s">
        <v>3360</v>
      </c>
      <c r="D1020" s="3" t="s">
        <v>191</v>
      </c>
      <c r="E1020" s="3" t="s">
        <v>216</v>
      </c>
      <c r="F1020" s="3"/>
      <c r="G1020" s="3"/>
      <c r="H1020" s="3"/>
      <c r="I1020" s="3" t="s">
        <v>3769</v>
      </c>
      <c r="J1020" s="3" t="s">
        <v>1700</v>
      </c>
      <c r="K1020" s="27" t="s">
        <v>12</v>
      </c>
    </row>
    <row r="1021" ht="18.6" customHeight="1" spans="1:11">
      <c r="A1021" s="3">
        <v>1020</v>
      </c>
      <c r="B1021" s="3" t="s">
        <v>3797</v>
      </c>
      <c r="C1021" s="3" t="s">
        <v>3360</v>
      </c>
      <c r="D1021" s="3" t="s">
        <v>191</v>
      </c>
      <c r="E1021" s="3" t="s">
        <v>192</v>
      </c>
      <c r="F1021" s="3"/>
      <c r="G1021" s="3"/>
      <c r="H1021" s="3"/>
      <c r="I1021" s="3" t="s">
        <v>3769</v>
      </c>
      <c r="J1021" s="3" t="s">
        <v>1700</v>
      </c>
      <c r="K1021" s="27" t="s">
        <v>12</v>
      </c>
    </row>
    <row r="1022" ht="18.6" customHeight="1" spans="1:11">
      <c r="A1022" s="3">
        <v>1021</v>
      </c>
      <c r="B1022" s="3" t="s">
        <v>1824</v>
      </c>
      <c r="C1022" s="3" t="s">
        <v>3360</v>
      </c>
      <c r="D1022" s="3" t="s">
        <v>191</v>
      </c>
      <c r="E1022" s="3" t="s">
        <v>194</v>
      </c>
      <c r="F1022" s="3"/>
      <c r="G1022" s="3"/>
      <c r="H1022" s="3"/>
      <c r="I1022" s="3" t="s">
        <v>3770</v>
      </c>
      <c r="J1022" s="3" t="s">
        <v>1700</v>
      </c>
      <c r="K1022" s="27" t="s">
        <v>12</v>
      </c>
    </row>
    <row r="1023" ht="18.6" customHeight="1" spans="1:11">
      <c r="A1023" s="3">
        <v>1022</v>
      </c>
      <c r="B1023" s="3" t="s">
        <v>1825</v>
      </c>
      <c r="C1023" s="3" t="s">
        <v>3360</v>
      </c>
      <c r="D1023" s="3" t="s">
        <v>191</v>
      </c>
      <c r="E1023" s="3" t="s">
        <v>192</v>
      </c>
      <c r="F1023" s="3"/>
      <c r="G1023" s="3"/>
      <c r="H1023" s="3"/>
      <c r="I1023" s="3" t="s">
        <v>3770</v>
      </c>
      <c r="J1023" s="3" t="s">
        <v>1700</v>
      </c>
      <c r="K1023" s="27" t="s">
        <v>12</v>
      </c>
    </row>
    <row r="1024" ht="18.6" customHeight="1" spans="1:11">
      <c r="A1024" s="3">
        <v>1023</v>
      </c>
      <c r="B1024" s="3" t="s">
        <v>1826</v>
      </c>
      <c r="C1024" s="3" t="s">
        <v>3360</v>
      </c>
      <c r="D1024" s="3" t="s">
        <v>191</v>
      </c>
      <c r="E1024" s="3" t="s">
        <v>192</v>
      </c>
      <c r="F1024" s="3"/>
      <c r="G1024" s="3"/>
      <c r="H1024" s="3"/>
      <c r="I1024" s="3" t="s">
        <v>3770</v>
      </c>
      <c r="J1024" s="3" t="s">
        <v>1700</v>
      </c>
      <c r="K1024" s="27" t="s">
        <v>12</v>
      </c>
    </row>
    <row r="1025" ht="18.6" customHeight="1" spans="1:11">
      <c r="A1025" s="3">
        <v>1024</v>
      </c>
      <c r="B1025" s="3" t="s">
        <v>1827</v>
      </c>
      <c r="C1025" s="3" t="s">
        <v>3360</v>
      </c>
      <c r="D1025" s="3" t="s">
        <v>191</v>
      </c>
      <c r="E1025" s="3" t="s">
        <v>192</v>
      </c>
      <c r="F1025" s="3"/>
      <c r="G1025" s="3"/>
      <c r="H1025" s="3"/>
      <c r="I1025" s="3" t="s">
        <v>3770</v>
      </c>
      <c r="J1025" s="3" t="s">
        <v>1700</v>
      </c>
      <c r="K1025" s="27" t="s">
        <v>12</v>
      </c>
    </row>
    <row r="1026" ht="18.6" customHeight="1" spans="1:11">
      <c r="A1026" s="3">
        <v>1025</v>
      </c>
      <c r="B1026" s="3" t="s">
        <v>1828</v>
      </c>
      <c r="C1026" s="3" t="s">
        <v>3360</v>
      </c>
      <c r="D1026" s="3" t="s">
        <v>191</v>
      </c>
      <c r="E1026" s="3" t="s">
        <v>192</v>
      </c>
      <c r="F1026" s="3"/>
      <c r="G1026" s="3"/>
      <c r="H1026" s="3"/>
      <c r="I1026" s="3" t="s">
        <v>3769</v>
      </c>
      <c r="J1026" s="3" t="s">
        <v>1700</v>
      </c>
      <c r="K1026" s="27" t="s">
        <v>12</v>
      </c>
    </row>
    <row r="1027" ht="18.6" customHeight="1" spans="1:11">
      <c r="A1027" s="3">
        <v>1026</v>
      </c>
      <c r="B1027" s="3" t="s">
        <v>1829</v>
      </c>
      <c r="C1027" s="3" t="s">
        <v>3360</v>
      </c>
      <c r="D1027" s="3" t="s">
        <v>191</v>
      </c>
      <c r="E1027" s="3" t="s">
        <v>1830</v>
      </c>
      <c r="F1027" s="3"/>
      <c r="G1027" s="3"/>
      <c r="H1027" s="3"/>
      <c r="I1027" s="3" t="s">
        <v>3769</v>
      </c>
      <c r="J1027" s="3" t="s">
        <v>1700</v>
      </c>
      <c r="K1027" s="27" t="s">
        <v>12</v>
      </c>
    </row>
    <row r="1028" ht="18.6" customHeight="1" spans="1:11">
      <c r="A1028" s="3">
        <v>1027</v>
      </c>
      <c r="B1028" s="3" t="s">
        <v>3798</v>
      </c>
      <c r="C1028" s="3" t="s">
        <v>3360</v>
      </c>
      <c r="D1028" s="3" t="s">
        <v>191</v>
      </c>
      <c r="E1028" s="3" t="s">
        <v>192</v>
      </c>
      <c r="F1028" s="3"/>
      <c r="G1028" s="3"/>
      <c r="H1028" s="3"/>
      <c r="I1028" s="3" t="s">
        <v>3779</v>
      </c>
      <c r="J1028" s="3" t="s">
        <v>1700</v>
      </c>
      <c r="K1028" s="27" t="s">
        <v>12</v>
      </c>
    </row>
    <row r="1029" ht="18.6" customHeight="1" spans="1:11">
      <c r="A1029" s="3">
        <v>1028</v>
      </c>
      <c r="B1029" s="3" t="s">
        <v>1831</v>
      </c>
      <c r="C1029" s="3" t="s">
        <v>3360</v>
      </c>
      <c r="D1029" s="3" t="s">
        <v>191</v>
      </c>
      <c r="E1029" s="3" t="s">
        <v>192</v>
      </c>
      <c r="F1029" s="3"/>
      <c r="G1029" s="3"/>
      <c r="H1029" s="3"/>
      <c r="I1029" s="3"/>
      <c r="J1029" s="3" t="s">
        <v>1700</v>
      </c>
      <c r="K1029" s="27" t="s">
        <v>12</v>
      </c>
    </row>
    <row r="1030" ht="18.6" customHeight="1" spans="1:11">
      <c r="A1030" s="3">
        <v>1029</v>
      </c>
      <c r="B1030" s="3" t="s">
        <v>1832</v>
      </c>
      <c r="C1030" s="3" t="s">
        <v>3360</v>
      </c>
      <c r="D1030" s="3" t="s">
        <v>191</v>
      </c>
      <c r="E1030" s="3" t="s">
        <v>207</v>
      </c>
      <c r="F1030" s="3"/>
      <c r="G1030" s="3"/>
      <c r="H1030" s="3"/>
      <c r="I1030" s="3" t="s">
        <v>3769</v>
      </c>
      <c r="J1030" s="3" t="s">
        <v>1700</v>
      </c>
      <c r="K1030" s="27" t="s">
        <v>12</v>
      </c>
    </row>
    <row r="1031" ht="18.6" customHeight="1" spans="1:11">
      <c r="A1031" s="3">
        <v>1030</v>
      </c>
      <c r="B1031" s="3" t="s">
        <v>1833</v>
      </c>
      <c r="C1031" s="3" t="s">
        <v>3360</v>
      </c>
      <c r="D1031" s="3" t="s">
        <v>191</v>
      </c>
      <c r="E1031" s="3" t="s">
        <v>200</v>
      </c>
      <c r="F1031" s="3"/>
      <c r="G1031" s="3"/>
      <c r="H1031" s="3"/>
      <c r="I1031" s="3" t="s">
        <v>3769</v>
      </c>
      <c r="J1031" s="3" t="s">
        <v>1700</v>
      </c>
      <c r="K1031" s="27" t="s">
        <v>12</v>
      </c>
    </row>
    <row r="1032" ht="18.6" customHeight="1" spans="1:11">
      <c r="A1032" s="3">
        <v>1031</v>
      </c>
      <c r="B1032" s="3" t="s">
        <v>1834</v>
      </c>
      <c r="C1032" s="3" t="s">
        <v>3360</v>
      </c>
      <c r="D1032" s="3" t="s">
        <v>191</v>
      </c>
      <c r="E1032" s="3" t="s">
        <v>200</v>
      </c>
      <c r="F1032" s="3"/>
      <c r="G1032" s="3"/>
      <c r="H1032" s="3"/>
      <c r="I1032" s="3"/>
      <c r="J1032" s="3" t="s">
        <v>1700</v>
      </c>
      <c r="K1032" s="27" t="s">
        <v>12</v>
      </c>
    </row>
    <row r="1033" ht="18.6" customHeight="1" spans="1:11">
      <c r="A1033" s="3">
        <v>1032</v>
      </c>
      <c r="B1033" s="3" t="s">
        <v>1835</v>
      </c>
      <c r="C1033" s="3" t="s">
        <v>3360</v>
      </c>
      <c r="D1033" s="3" t="s">
        <v>191</v>
      </c>
      <c r="E1033" s="3" t="s">
        <v>202</v>
      </c>
      <c r="F1033" s="3"/>
      <c r="G1033" s="3"/>
      <c r="H1033" s="3"/>
      <c r="I1033" s="3" t="s">
        <v>3770</v>
      </c>
      <c r="J1033" s="3" t="s">
        <v>1700</v>
      </c>
      <c r="K1033" s="27" t="s">
        <v>12</v>
      </c>
    </row>
    <row r="1034" ht="18.6" customHeight="1" spans="1:11">
      <c r="A1034" s="3">
        <v>1033</v>
      </c>
      <c r="B1034" s="3" t="s">
        <v>1836</v>
      </c>
      <c r="C1034" s="3" t="s">
        <v>3360</v>
      </c>
      <c r="D1034" s="3" t="s">
        <v>191</v>
      </c>
      <c r="E1034" s="3" t="s">
        <v>194</v>
      </c>
      <c r="F1034" s="3"/>
      <c r="G1034" s="3"/>
      <c r="H1034" s="3"/>
      <c r="I1034" s="3" t="s">
        <v>3770</v>
      </c>
      <c r="J1034" s="3" t="s">
        <v>1700</v>
      </c>
      <c r="K1034" s="27" t="s">
        <v>12</v>
      </c>
    </row>
    <row r="1035" ht="18.6" customHeight="1" spans="1:11">
      <c r="A1035" s="3">
        <v>1034</v>
      </c>
      <c r="B1035" s="3" t="s">
        <v>1837</v>
      </c>
      <c r="C1035" s="3" t="s">
        <v>3360</v>
      </c>
      <c r="D1035" s="3" t="s">
        <v>191</v>
      </c>
      <c r="E1035" s="3" t="s">
        <v>1838</v>
      </c>
      <c r="F1035" s="3"/>
      <c r="G1035" s="3"/>
      <c r="H1035" s="3"/>
      <c r="I1035" s="3" t="s">
        <v>3770</v>
      </c>
      <c r="J1035" s="3" t="s">
        <v>1700</v>
      </c>
      <c r="K1035" s="27" t="s">
        <v>12</v>
      </c>
    </row>
    <row r="1036" ht="18.6" customHeight="1" spans="1:11">
      <c r="A1036" s="3">
        <v>1035</v>
      </c>
      <c r="B1036" s="3" t="s">
        <v>1839</v>
      </c>
      <c r="C1036" s="3" t="s">
        <v>3360</v>
      </c>
      <c r="D1036" s="3" t="s">
        <v>191</v>
      </c>
      <c r="E1036" s="3" t="s">
        <v>194</v>
      </c>
      <c r="F1036" s="3"/>
      <c r="G1036" s="3"/>
      <c r="H1036" s="3"/>
      <c r="I1036" s="3" t="s">
        <v>3770</v>
      </c>
      <c r="J1036" s="3" t="s">
        <v>1700</v>
      </c>
      <c r="K1036" s="27" t="s">
        <v>12</v>
      </c>
    </row>
    <row r="1037" ht="18.6" customHeight="1" spans="1:11">
      <c r="A1037" s="3">
        <v>1036</v>
      </c>
      <c r="B1037" s="3" t="s">
        <v>1840</v>
      </c>
      <c r="C1037" s="3" t="s">
        <v>3360</v>
      </c>
      <c r="D1037" s="3" t="s">
        <v>191</v>
      </c>
      <c r="E1037" s="3" t="s">
        <v>207</v>
      </c>
      <c r="F1037" s="3"/>
      <c r="G1037" s="3"/>
      <c r="H1037" s="3"/>
      <c r="I1037" s="3"/>
      <c r="J1037" s="3" t="s">
        <v>1700</v>
      </c>
      <c r="K1037" s="27" t="s">
        <v>12</v>
      </c>
    </row>
    <row r="1038" ht="18.6" customHeight="1" spans="1:11">
      <c r="A1038" s="3">
        <v>1037</v>
      </c>
      <c r="B1038" s="3" t="s">
        <v>1841</v>
      </c>
      <c r="C1038" s="3" t="s">
        <v>3360</v>
      </c>
      <c r="D1038" s="3" t="s">
        <v>191</v>
      </c>
      <c r="E1038" s="3" t="s">
        <v>213</v>
      </c>
      <c r="F1038" s="3"/>
      <c r="G1038" s="3"/>
      <c r="H1038" s="3"/>
      <c r="I1038" s="3" t="s">
        <v>3769</v>
      </c>
      <c r="J1038" s="3" t="s">
        <v>1700</v>
      </c>
      <c r="K1038" s="27" t="s">
        <v>12</v>
      </c>
    </row>
    <row r="1039" ht="18.6" customHeight="1" spans="1:11">
      <c r="A1039" s="3">
        <v>1038</v>
      </c>
      <c r="B1039" s="3" t="s">
        <v>1842</v>
      </c>
      <c r="C1039" s="3" t="s">
        <v>3360</v>
      </c>
      <c r="D1039" s="3" t="s">
        <v>191</v>
      </c>
      <c r="E1039" s="3" t="s">
        <v>205</v>
      </c>
      <c r="F1039" s="3"/>
      <c r="G1039" s="3"/>
      <c r="H1039" s="3"/>
      <c r="I1039" s="3" t="s">
        <v>3769</v>
      </c>
      <c r="J1039" s="3" t="s">
        <v>1700</v>
      </c>
      <c r="K1039" s="27" t="s">
        <v>12</v>
      </c>
    </row>
    <row r="1040" ht="18.6" customHeight="1" spans="1:11">
      <c r="A1040" s="3">
        <v>1039</v>
      </c>
      <c r="B1040" s="3" t="s">
        <v>1843</v>
      </c>
      <c r="C1040" s="3" t="s">
        <v>3360</v>
      </c>
      <c r="D1040" s="3" t="s">
        <v>191</v>
      </c>
      <c r="E1040" s="3" t="s">
        <v>205</v>
      </c>
      <c r="F1040" s="3"/>
      <c r="G1040" s="3"/>
      <c r="H1040" s="3"/>
      <c r="I1040" s="3"/>
      <c r="J1040" s="3" t="s">
        <v>1700</v>
      </c>
      <c r="K1040" s="27" t="s">
        <v>12</v>
      </c>
    </row>
    <row r="1041" ht="18.6" customHeight="1" spans="1:11">
      <c r="A1041" s="3">
        <v>1040</v>
      </c>
      <c r="B1041" s="3" t="s">
        <v>1844</v>
      </c>
      <c r="C1041" s="3" t="s">
        <v>3360</v>
      </c>
      <c r="D1041" s="3" t="s">
        <v>191</v>
      </c>
      <c r="E1041" s="3" t="s">
        <v>202</v>
      </c>
      <c r="F1041" s="3"/>
      <c r="G1041" s="3"/>
      <c r="H1041" s="3"/>
      <c r="I1041" s="3" t="s">
        <v>3770</v>
      </c>
      <c r="J1041" s="3" t="s">
        <v>1700</v>
      </c>
      <c r="K1041" s="27" t="s">
        <v>12</v>
      </c>
    </row>
    <row r="1042" ht="18.6" customHeight="1" spans="1:11">
      <c r="A1042" s="3">
        <v>1041</v>
      </c>
      <c r="B1042" s="3" t="s">
        <v>1845</v>
      </c>
      <c r="C1042" s="3" t="s">
        <v>3360</v>
      </c>
      <c r="D1042" s="3" t="s">
        <v>191</v>
      </c>
      <c r="E1042" s="3" t="s">
        <v>1846</v>
      </c>
      <c r="F1042" s="3"/>
      <c r="G1042" s="3"/>
      <c r="H1042" s="3"/>
      <c r="I1042" s="3" t="s">
        <v>3769</v>
      </c>
      <c r="J1042" s="3" t="s">
        <v>1700</v>
      </c>
      <c r="K1042" s="27" t="s">
        <v>12</v>
      </c>
    </row>
    <row r="1043" ht="18.6" customHeight="1" spans="1:11">
      <c r="A1043" s="3">
        <v>1042</v>
      </c>
      <c r="B1043" s="3" t="s">
        <v>1847</v>
      </c>
      <c r="C1043" s="3" t="s">
        <v>3360</v>
      </c>
      <c r="D1043" s="3" t="s">
        <v>191</v>
      </c>
      <c r="E1043" s="3" t="s">
        <v>213</v>
      </c>
      <c r="F1043" s="3"/>
      <c r="G1043" s="3"/>
      <c r="H1043" s="3"/>
      <c r="I1043" s="3"/>
      <c r="J1043" s="3" t="s">
        <v>1700</v>
      </c>
      <c r="K1043" s="27" t="s">
        <v>12</v>
      </c>
    </row>
    <row r="1044" ht="18.6" customHeight="1" spans="1:11">
      <c r="A1044" s="3">
        <v>1043</v>
      </c>
      <c r="B1044" s="3" t="s">
        <v>1848</v>
      </c>
      <c r="C1044" s="3" t="s">
        <v>3360</v>
      </c>
      <c r="D1044" s="3" t="s">
        <v>191</v>
      </c>
      <c r="E1044" s="3" t="s">
        <v>213</v>
      </c>
      <c r="F1044" s="3"/>
      <c r="G1044" s="3"/>
      <c r="H1044" s="3"/>
      <c r="I1044" s="3"/>
      <c r="J1044" s="3" t="s">
        <v>1700</v>
      </c>
      <c r="K1044" s="27" t="s">
        <v>12</v>
      </c>
    </row>
    <row r="1045" ht="18.6" customHeight="1" spans="1:11">
      <c r="A1045" s="3">
        <v>1044</v>
      </c>
      <c r="B1045" s="3" t="s">
        <v>1849</v>
      </c>
      <c r="C1045" s="3" t="s">
        <v>3360</v>
      </c>
      <c r="D1045" s="3" t="s">
        <v>191</v>
      </c>
      <c r="E1045" s="3" t="s">
        <v>205</v>
      </c>
      <c r="F1045" s="3"/>
      <c r="G1045" s="3"/>
      <c r="H1045" s="3"/>
      <c r="I1045" s="3"/>
      <c r="J1045" s="3" t="s">
        <v>1700</v>
      </c>
      <c r="K1045" s="27" t="s">
        <v>12</v>
      </c>
    </row>
    <row r="1046" ht="18.6" customHeight="1" spans="1:11">
      <c r="A1046" s="3">
        <v>1045</v>
      </c>
      <c r="B1046" s="3" t="s">
        <v>1850</v>
      </c>
      <c r="C1046" s="3" t="s">
        <v>3360</v>
      </c>
      <c r="D1046" s="3" t="s">
        <v>191</v>
      </c>
      <c r="E1046" s="3" t="s">
        <v>202</v>
      </c>
      <c r="F1046" s="3"/>
      <c r="G1046" s="3"/>
      <c r="H1046" s="3"/>
      <c r="I1046" s="3"/>
      <c r="J1046" s="3" t="s">
        <v>1700</v>
      </c>
      <c r="K1046" s="27" t="s">
        <v>12</v>
      </c>
    </row>
    <row r="1047" ht="18.6" customHeight="1" spans="1:11">
      <c r="A1047" s="3">
        <v>1046</v>
      </c>
      <c r="B1047" s="3" t="s">
        <v>1851</v>
      </c>
      <c r="C1047" s="3" t="s">
        <v>3375</v>
      </c>
      <c r="D1047" s="3" t="s">
        <v>220</v>
      </c>
      <c r="E1047" s="3" t="s">
        <v>233</v>
      </c>
      <c r="F1047" s="3"/>
      <c r="G1047" s="3"/>
      <c r="H1047" s="3"/>
      <c r="I1047" s="3" t="s">
        <v>3776</v>
      </c>
      <c r="J1047" s="3" t="s">
        <v>1700</v>
      </c>
      <c r="K1047" s="27" t="s">
        <v>12</v>
      </c>
    </row>
    <row r="1048" ht="18.6" customHeight="1" spans="1:11">
      <c r="A1048" s="3">
        <v>1047</v>
      </c>
      <c r="B1048" s="3" t="s">
        <v>1852</v>
      </c>
      <c r="C1048" s="3" t="s">
        <v>3375</v>
      </c>
      <c r="D1048" s="3" t="s">
        <v>220</v>
      </c>
      <c r="E1048" s="3" t="s">
        <v>240</v>
      </c>
      <c r="F1048" s="3"/>
      <c r="G1048" s="3"/>
      <c r="H1048" s="3"/>
      <c r="I1048" s="3" t="s">
        <v>3776</v>
      </c>
      <c r="J1048" s="3" t="s">
        <v>1700</v>
      </c>
      <c r="K1048" s="27" t="s">
        <v>12</v>
      </c>
    </row>
    <row r="1049" ht="18.6" customHeight="1" spans="1:11">
      <c r="A1049" s="3">
        <v>1048</v>
      </c>
      <c r="B1049" s="3" t="s">
        <v>1853</v>
      </c>
      <c r="C1049" s="3" t="s">
        <v>3375</v>
      </c>
      <c r="D1049" s="3" t="s">
        <v>220</v>
      </c>
      <c r="E1049" s="3" t="s">
        <v>269</v>
      </c>
      <c r="F1049" s="3"/>
      <c r="G1049" s="3"/>
      <c r="H1049" s="3"/>
      <c r="I1049" s="3" t="s">
        <v>3769</v>
      </c>
      <c r="J1049" s="3" t="s">
        <v>1700</v>
      </c>
      <c r="K1049" s="27" t="s">
        <v>12</v>
      </c>
    </row>
    <row r="1050" ht="18.6" customHeight="1" spans="1:11">
      <c r="A1050" s="3">
        <v>1049</v>
      </c>
      <c r="B1050" s="3" t="s">
        <v>1854</v>
      </c>
      <c r="C1050" s="3" t="s">
        <v>3375</v>
      </c>
      <c r="D1050" s="3" t="s">
        <v>220</v>
      </c>
      <c r="E1050" s="3" t="s">
        <v>1855</v>
      </c>
      <c r="F1050" s="3"/>
      <c r="G1050" s="3"/>
      <c r="H1050" s="3"/>
      <c r="I1050" s="3" t="s">
        <v>3776</v>
      </c>
      <c r="J1050" s="3" t="s">
        <v>1700</v>
      </c>
      <c r="K1050" s="27" t="s">
        <v>12</v>
      </c>
    </row>
    <row r="1051" ht="18.6" customHeight="1" spans="1:11">
      <c r="A1051" s="3">
        <v>1050</v>
      </c>
      <c r="B1051" s="3" t="s">
        <v>1856</v>
      </c>
      <c r="C1051" s="3" t="s">
        <v>3375</v>
      </c>
      <c r="D1051" s="3" t="s">
        <v>220</v>
      </c>
      <c r="E1051" s="3" t="s">
        <v>223</v>
      </c>
      <c r="F1051" s="3"/>
      <c r="G1051" s="3"/>
      <c r="H1051" s="3"/>
      <c r="I1051" s="3" t="s">
        <v>3769</v>
      </c>
      <c r="J1051" s="3" t="s">
        <v>1700</v>
      </c>
      <c r="K1051" s="27" t="s">
        <v>12</v>
      </c>
    </row>
    <row r="1052" ht="18.6" customHeight="1" spans="1:11">
      <c r="A1052" s="3">
        <v>1051</v>
      </c>
      <c r="B1052" s="3" t="s">
        <v>1857</v>
      </c>
      <c r="C1052" s="3" t="s">
        <v>3375</v>
      </c>
      <c r="D1052" s="3" t="s">
        <v>220</v>
      </c>
      <c r="E1052" s="3" t="s">
        <v>269</v>
      </c>
      <c r="F1052" s="3"/>
      <c r="G1052" s="3"/>
      <c r="H1052" s="3"/>
      <c r="I1052" s="3" t="s">
        <v>3773</v>
      </c>
      <c r="J1052" s="3" t="s">
        <v>1700</v>
      </c>
      <c r="K1052" s="27" t="s">
        <v>12</v>
      </c>
    </row>
    <row r="1053" ht="18.6" customHeight="1" spans="1:11">
      <c r="A1053" s="3">
        <v>1052</v>
      </c>
      <c r="B1053" s="3" t="s">
        <v>1858</v>
      </c>
      <c r="C1053" s="3" t="s">
        <v>3375</v>
      </c>
      <c r="D1053" s="3" t="s">
        <v>220</v>
      </c>
      <c r="E1053" s="3" t="s">
        <v>233</v>
      </c>
      <c r="F1053" s="3"/>
      <c r="G1053" s="3"/>
      <c r="H1053" s="3"/>
      <c r="I1053" s="3" t="s">
        <v>3769</v>
      </c>
      <c r="J1053" s="3" t="s">
        <v>1700</v>
      </c>
      <c r="K1053" s="27" t="s">
        <v>12</v>
      </c>
    </row>
    <row r="1054" ht="18.6" customHeight="1" spans="1:11">
      <c r="A1054" s="3">
        <v>1053</v>
      </c>
      <c r="B1054" s="3" t="s">
        <v>1859</v>
      </c>
      <c r="C1054" s="3" t="s">
        <v>3375</v>
      </c>
      <c r="D1054" s="3" t="s">
        <v>220</v>
      </c>
      <c r="E1054" s="3" t="s">
        <v>1303</v>
      </c>
      <c r="F1054" s="3"/>
      <c r="G1054" s="3"/>
      <c r="H1054" s="3"/>
      <c r="I1054" s="3" t="s">
        <v>3769</v>
      </c>
      <c r="J1054" s="3" t="s">
        <v>1700</v>
      </c>
      <c r="K1054" s="27" t="s">
        <v>12</v>
      </c>
    </row>
    <row r="1055" ht="18.6" customHeight="1" spans="1:11">
      <c r="A1055" s="3">
        <v>1054</v>
      </c>
      <c r="B1055" s="3" t="s">
        <v>1860</v>
      </c>
      <c r="C1055" s="3" t="s">
        <v>3375</v>
      </c>
      <c r="D1055" s="3" t="s">
        <v>220</v>
      </c>
      <c r="E1055" s="3" t="s">
        <v>231</v>
      </c>
      <c r="F1055" s="3"/>
      <c r="G1055" s="3"/>
      <c r="H1055" s="3"/>
      <c r="I1055" s="3" t="s">
        <v>3769</v>
      </c>
      <c r="J1055" s="3" t="s">
        <v>1700</v>
      </c>
      <c r="K1055" s="27" t="s">
        <v>12</v>
      </c>
    </row>
    <row r="1056" ht="18.6" customHeight="1" spans="1:11">
      <c r="A1056" s="3">
        <v>1055</v>
      </c>
      <c r="B1056" s="3" t="s">
        <v>1861</v>
      </c>
      <c r="C1056" s="3" t="s">
        <v>3375</v>
      </c>
      <c r="D1056" s="3" t="s">
        <v>220</v>
      </c>
      <c r="E1056" s="3" t="s">
        <v>221</v>
      </c>
      <c r="F1056" s="3"/>
      <c r="G1056" s="3"/>
      <c r="H1056" s="3"/>
      <c r="I1056" s="3" t="s">
        <v>3770</v>
      </c>
      <c r="J1056" s="3" t="s">
        <v>1700</v>
      </c>
      <c r="K1056" s="27" t="s">
        <v>12</v>
      </c>
    </row>
    <row r="1057" ht="18.6" customHeight="1" spans="1:11">
      <c r="A1057" s="3">
        <v>1056</v>
      </c>
      <c r="B1057" s="3" t="s">
        <v>1862</v>
      </c>
      <c r="C1057" s="3" t="s">
        <v>3375</v>
      </c>
      <c r="D1057" s="3" t="s">
        <v>220</v>
      </c>
      <c r="E1057" s="3" t="s">
        <v>223</v>
      </c>
      <c r="F1057" s="3"/>
      <c r="G1057" s="3"/>
      <c r="H1057" s="3"/>
      <c r="I1057" s="3"/>
      <c r="J1057" s="3" t="s">
        <v>1700</v>
      </c>
      <c r="K1057" s="27" t="s">
        <v>12</v>
      </c>
    </row>
    <row r="1058" ht="18.6" customHeight="1" spans="1:11">
      <c r="A1058" s="3">
        <v>1057</v>
      </c>
      <c r="B1058" s="3" t="s">
        <v>1863</v>
      </c>
      <c r="C1058" s="3" t="s">
        <v>3375</v>
      </c>
      <c r="D1058" s="3" t="s">
        <v>220</v>
      </c>
      <c r="E1058" s="3" t="s">
        <v>1864</v>
      </c>
      <c r="F1058" s="3"/>
      <c r="G1058" s="3"/>
      <c r="H1058" s="3"/>
      <c r="I1058" s="3" t="s">
        <v>3769</v>
      </c>
      <c r="J1058" s="3" t="s">
        <v>1700</v>
      </c>
      <c r="K1058" s="27" t="s">
        <v>12</v>
      </c>
    </row>
    <row r="1059" ht="18.6" customHeight="1" spans="1:11">
      <c r="A1059" s="3">
        <v>1058</v>
      </c>
      <c r="B1059" s="3" t="s">
        <v>1865</v>
      </c>
      <c r="C1059" s="3" t="s">
        <v>3375</v>
      </c>
      <c r="D1059" s="3" t="s">
        <v>220</v>
      </c>
      <c r="E1059" s="3" t="s">
        <v>221</v>
      </c>
      <c r="F1059" s="3"/>
      <c r="G1059" s="3"/>
      <c r="H1059" s="3"/>
      <c r="I1059" s="3"/>
      <c r="J1059" s="3" t="s">
        <v>1700</v>
      </c>
      <c r="K1059" s="27" t="s">
        <v>12</v>
      </c>
    </row>
    <row r="1060" ht="18.6" customHeight="1" spans="1:11">
      <c r="A1060" s="3">
        <v>1059</v>
      </c>
      <c r="B1060" s="3" t="s">
        <v>1866</v>
      </c>
      <c r="C1060" s="3" t="s">
        <v>3375</v>
      </c>
      <c r="D1060" s="3" t="s">
        <v>220</v>
      </c>
      <c r="E1060" s="3" t="s">
        <v>221</v>
      </c>
      <c r="F1060" s="3"/>
      <c r="G1060" s="3"/>
      <c r="H1060" s="3"/>
      <c r="I1060" s="3"/>
      <c r="J1060" s="3" t="s">
        <v>1700</v>
      </c>
      <c r="K1060" s="27" t="s">
        <v>12</v>
      </c>
    </row>
    <row r="1061" ht="18.6" customHeight="1" spans="1:11">
      <c r="A1061" s="3">
        <v>1060</v>
      </c>
      <c r="B1061" s="3" t="s">
        <v>1867</v>
      </c>
      <c r="C1061" s="3" t="s">
        <v>3375</v>
      </c>
      <c r="D1061" s="3" t="s">
        <v>220</v>
      </c>
      <c r="E1061" s="3" t="s">
        <v>1855</v>
      </c>
      <c r="F1061" s="3"/>
      <c r="G1061" s="3"/>
      <c r="H1061" s="3"/>
      <c r="I1061" s="3" t="s">
        <v>3769</v>
      </c>
      <c r="J1061" s="3" t="s">
        <v>1700</v>
      </c>
      <c r="K1061" s="27" t="s">
        <v>12</v>
      </c>
    </row>
    <row r="1062" ht="18.6" customHeight="1" spans="1:11">
      <c r="A1062" s="3">
        <v>1061</v>
      </c>
      <c r="B1062" s="3" t="s">
        <v>1868</v>
      </c>
      <c r="C1062" s="3" t="s">
        <v>3375</v>
      </c>
      <c r="D1062" s="3" t="s">
        <v>220</v>
      </c>
      <c r="E1062" s="3" t="s">
        <v>221</v>
      </c>
      <c r="F1062" s="3"/>
      <c r="G1062" s="3"/>
      <c r="H1062" s="3"/>
      <c r="I1062" s="3" t="s">
        <v>3773</v>
      </c>
      <c r="J1062" s="3" t="s">
        <v>1700</v>
      </c>
      <c r="K1062" s="27" t="s">
        <v>12</v>
      </c>
    </row>
    <row r="1063" ht="18.6" customHeight="1" spans="1:11">
      <c r="A1063" s="3">
        <v>1062</v>
      </c>
      <c r="B1063" s="3" t="s">
        <v>1869</v>
      </c>
      <c r="C1063" s="3" t="s">
        <v>3375</v>
      </c>
      <c r="D1063" s="3" t="s">
        <v>220</v>
      </c>
      <c r="E1063" s="3" t="s">
        <v>221</v>
      </c>
      <c r="F1063" s="3"/>
      <c r="G1063" s="3"/>
      <c r="H1063" s="3"/>
      <c r="I1063" s="3" t="s">
        <v>3769</v>
      </c>
      <c r="J1063" s="3" t="s">
        <v>1700</v>
      </c>
      <c r="K1063" s="27" t="s">
        <v>12</v>
      </c>
    </row>
    <row r="1064" ht="18.6" customHeight="1" spans="1:11">
      <c r="A1064" s="3">
        <v>1063</v>
      </c>
      <c r="B1064" s="3" t="s">
        <v>1870</v>
      </c>
      <c r="C1064" s="3" t="s">
        <v>3375</v>
      </c>
      <c r="D1064" s="3" t="s">
        <v>220</v>
      </c>
      <c r="E1064" s="3" t="s">
        <v>221</v>
      </c>
      <c r="F1064" s="3"/>
      <c r="G1064" s="3"/>
      <c r="H1064" s="3"/>
      <c r="I1064" s="3" t="s">
        <v>3771</v>
      </c>
      <c r="J1064" s="3" t="s">
        <v>1700</v>
      </c>
      <c r="K1064" s="27" t="s">
        <v>12</v>
      </c>
    </row>
    <row r="1065" ht="18.6" customHeight="1" spans="1:11">
      <c r="A1065" s="3">
        <v>1064</v>
      </c>
      <c r="B1065" s="3" t="s">
        <v>1871</v>
      </c>
      <c r="C1065" s="3" t="s">
        <v>3375</v>
      </c>
      <c r="D1065" s="3" t="s">
        <v>220</v>
      </c>
      <c r="E1065" s="3" t="s">
        <v>221</v>
      </c>
      <c r="F1065" s="3"/>
      <c r="G1065" s="3"/>
      <c r="H1065" s="3"/>
      <c r="I1065" s="3" t="s">
        <v>3770</v>
      </c>
      <c r="J1065" s="3" t="s">
        <v>1700</v>
      </c>
      <c r="K1065" s="27" t="s">
        <v>12</v>
      </c>
    </row>
    <row r="1066" ht="18.6" customHeight="1" spans="1:11">
      <c r="A1066" s="3">
        <v>1065</v>
      </c>
      <c r="B1066" s="3" t="s">
        <v>1872</v>
      </c>
      <c r="C1066" s="3" t="s">
        <v>3375</v>
      </c>
      <c r="D1066" s="3" t="s">
        <v>220</v>
      </c>
      <c r="E1066" s="3" t="s">
        <v>266</v>
      </c>
      <c r="F1066" s="3"/>
      <c r="G1066" s="3"/>
      <c r="H1066" s="3"/>
      <c r="I1066" s="3" t="s">
        <v>3770</v>
      </c>
      <c r="J1066" s="3" t="s">
        <v>1700</v>
      </c>
      <c r="K1066" s="27" t="s">
        <v>12</v>
      </c>
    </row>
    <row r="1067" ht="18.6" customHeight="1" spans="1:11">
      <c r="A1067" s="3">
        <v>1066</v>
      </c>
      <c r="B1067" s="3" t="s">
        <v>1873</v>
      </c>
      <c r="C1067" s="3" t="s">
        <v>3375</v>
      </c>
      <c r="D1067" s="3" t="s">
        <v>220</v>
      </c>
      <c r="E1067" s="3" t="s">
        <v>221</v>
      </c>
      <c r="F1067" s="3"/>
      <c r="G1067" s="3"/>
      <c r="H1067" s="3"/>
      <c r="I1067" s="3" t="s">
        <v>3771</v>
      </c>
      <c r="J1067" s="3" t="s">
        <v>1700</v>
      </c>
      <c r="K1067" s="27" t="s">
        <v>12</v>
      </c>
    </row>
    <row r="1068" ht="18.6" customHeight="1" spans="1:11">
      <c r="A1068" s="3">
        <v>1067</v>
      </c>
      <c r="B1068" s="3" t="s">
        <v>1874</v>
      </c>
      <c r="C1068" s="3" t="s">
        <v>3375</v>
      </c>
      <c r="D1068" s="3" t="s">
        <v>220</v>
      </c>
      <c r="E1068" s="3" t="s">
        <v>240</v>
      </c>
      <c r="F1068" s="3"/>
      <c r="G1068" s="3"/>
      <c r="H1068" s="3"/>
      <c r="I1068" s="3" t="s">
        <v>3770</v>
      </c>
      <c r="J1068" s="3" t="s">
        <v>1700</v>
      </c>
      <c r="K1068" s="27" t="s">
        <v>12</v>
      </c>
    </row>
    <row r="1069" ht="18.6" customHeight="1" spans="1:11">
      <c r="A1069" s="3">
        <v>1068</v>
      </c>
      <c r="B1069" s="3" t="s">
        <v>1875</v>
      </c>
      <c r="C1069" s="3" t="s">
        <v>3375</v>
      </c>
      <c r="D1069" s="3" t="s">
        <v>220</v>
      </c>
      <c r="E1069" s="3" t="s">
        <v>1321</v>
      </c>
      <c r="F1069" s="3"/>
      <c r="G1069" s="3"/>
      <c r="H1069" s="3"/>
      <c r="I1069" s="3" t="s">
        <v>3770</v>
      </c>
      <c r="J1069" s="3" t="s">
        <v>1700</v>
      </c>
      <c r="K1069" s="27" t="s">
        <v>12</v>
      </c>
    </row>
    <row r="1070" ht="18.6" customHeight="1" spans="1:11">
      <c r="A1070" s="3">
        <v>1069</v>
      </c>
      <c r="B1070" s="3" t="s">
        <v>1876</v>
      </c>
      <c r="C1070" s="3" t="s">
        <v>3375</v>
      </c>
      <c r="D1070" s="3" t="s">
        <v>220</v>
      </c>
      <c r="E1070" s="3" t="s">
        <v>221</v>
      </c>
      <c r="F1070" s="3"/>
      <c r="G1070" s="3"/>
      <c r="H1070" s="3"/>
      <c r="I1070" s="3"/>
      <c r="J1070" s="3" t="s">
        <v>1700</v>
      </c>
      <c r="K1070" s="27" t="s">
        <v>12</v>
      </c>
    </row>
    <row r="1071" ht="18.6" customHeight="1" spans="1:11">
      <c r="A1071" s="3">
        <v>1070</v>
      </c>
      <c r="B1071" s="3" t="s">
        <v>1877</v>
      </c>
      <c r="C1071" s="3" t="s">
        <v>3375</v>
      </c>
      <c r="D1071" s="3" t="s">
        <v>220</v>
      </c>
      <c r="E1071" s="3" t="s">
        <v>221</v>
      </c>
      <c r="F1071" s="3"/>
      <c r="G1071" s="3"/>
      <c r="H1071" s="3"/>
      <c r="I1071" s="3" t="s">
        <v>3770</v>
      </c>
      <c r="J1071" s="3" t="s">
        <v>1700</v>
      </c>
      <c r="K1071" s="27" t="s">
        <v>12</v>
      </c>
    </row>
    <row r="1072" ht="18.6" customHeight="1" spans="1:11">
      <c r="A1072" s="3">
        <v>1071</v>
      </c>
      <c r="B1072" s="3" t="s">
        <v>1878</v>
      </c>
      <c r="C1072" s="3" t="s">
        <v>3375</v>
      </c>
      <c r="D1072" s="3" t="s">
        <v>220</v>
      </c>
      <c r="E1072" s="3" t="s">
        <v>1864</v>
      </c>
      <c r="F1072" s="3"/>
      <c r="G1072" s="3"/>
      <c r="H1072" s="3"/>
      <c r="I1072" s="3"/>
      <c r="J1072" s="3" t="s">
        <v>1700</v>
      </c>
      <c r="K1072" s="27" t="s">
        <v>12</v>
      </c>
    </row>
    <row r="1073" ht="18.6" customHeight="1" spans="1:11">
      <c r="A1073" s="3">
        <v>1072</v>
      </c>
      <c r="B1073" s="3" t="s">
        <v>1879</v>
      </c>
      <c r="C1073" s="3" t="s">
        <v>3375</v>
      </c>
      <c r="D1073" s="3" t="s">
        <v>220</v>
      </c>
      <c r="E1073" s="3" t="s">
        <v>266</v>
      </c>
      <c r="F1073" s="3"/>
      <c r="G1073" s="3"/>
      <c r="H1073" s="3"/>
      <c r="I1073" s="3" t="s">
        <v>3770</v>
      </c>
      <c r="J1073" s="3" t="s">
        <v>1700</v>
      </c>
      <c r="K1073" s="27" t="s">
        <v>12</v>
      </c>
    </row>
    <row r="1074" ht="18.6" customHeight="1" spans="1:11">
      <c r="A1074" s="3">
        <v>1073</v>
      </c>
      <c r="B1074" s="3" t="s">
        <v>1880</v>
      </c>
      <c r="C1074" s="3" t="s">
        <v>3375</v>
      </c>
      <c r="D1074" s="3" t="s">
        <v>220</v>
      </c>
      <c r="E1074" s="3" t="s">
        <v>240</v>
      </c>
      <c r="F1074" s="3"/>
      <c r="G1074" s="3"/>
      <c r="H1074" s="3"/>
      <c r="I1074" s="3" t="s">
        <v>3770</v>
      </c>
      <c r="J1074" s="3" t="s">
        <v>1700</v>
      </c>
      <c r="K1074" s="27" t="s">
        <v>12</v>
      </c>
    </row>
    <row r="1075" ht="18.6" customHeight="1" spans="1:11">
      <c r="A1075" s="3">
        <v>1074</v>
      </c>
      <c r="B1075" s="3" t="s">
        <v>1881</v>
      </c>
      <c r="C1075" s="3" t="s">
        <v>3375</v>
      </c>
      <c r="D1075" s="3" t="s">
        <v>220</v>
      </c>
      <c r="E1075" s="3" t="s">
        <v>1303</v>
      </c>
      <c r="F1075" s="3"/>
      <c r="G1075" s="3"/>
      <c r="H1075" s="3"/>
      <c r="I1075" s="3" t="s">
        <v>3770</v>
      </c>
      <c r="J1075" s="3" t="s">
        <v>1700</v>
      </c>
      <c r="K1075" s="27" t="s">
        <v>12</v>
      </c>
    </row>
    <row r="1076" ht="18.6" customHeight="1" spans="1:11">
      <c r="A1076" s="3">
        <v>1075</v>
      </c>
      <c r="B1076" s="3" t="s">
        <v>1882</v>
      </c>
      <c r="C1076" s="3" t="s">
        <v>3375</v>
      </c>
      <c r="D1076" s="3" t="s">
        <v>220</v>
      </c>
      <c r="E1076" s="3" t="s">
        <v>221</v>
      </c>
      <c r="F1076" s="3"/>
      <c r="G1076" s="3"/>
      <c r="H1076" s="3"/>
      <c r="I1076" s="3" t="s">
        <v>3771</v>
      </c>
      <c r="J1076" s="3" t="s">
        <v>1700</v>
      </c>
      <c r="K1076" s="27" t="s">
        <v>12</v>
      </c>
    </row>
    <row r="1077" ht="18.6" customHeight="1" spans="1:11">
      <c r="A1077" s="3">
        <v>1076</v>
      </c>
      <c r="B1077" s="3" t="s">
        <v>1883</v>
      </c>
      <c r="C1077" s="3" t="s">
        <v>3375</v>
      </c>
      <c r="D1077" s="3" t="s">
        <v>220</v>
      </c>
      <c r="E1077" s="3" t="s">
        <v>262</v>
      </c>
      <c r="F1077" s="3"/>
      <c r="G1077" s="3"/>
      <c r="H1077" s="3"/>
      <c r="I1077" s="3" t="s">
        <v>3770</v>
      </c>
      <c r="J1077" s="3" t="s">
        <v>1700</v>
      </c>
      <c r="K1077" s="27" t="s">
        <v>12</v>
      </c>
    </row>
    <row r="1078" ht="18.6" customHeight="1" spans="1:11">
      <c r="A1078" s="3">
        <v>1077</v>
      </c>
      <c r="B1078" s="3" t="s">
        <v>1884</v>
      </c>
      <c r="C1078" s="3" t="s">
        <v>3375</v>
      </c>
      <c r="D1078" s="3" t="s">
        <v>220</v>
      </c>
      <c r="E1078" s="3" t="s">
        <v>1855</v>
      </c>
      <c r="F1078" s="3"/>
      <c r="G1078" s="3"/>
      <c r="H1078" s="3"/>
      <c r="I1078" s="3" t="s">
        <v>3770</v>
      </c>
      <c r="J1078" s="3" t="s">
        <v>1700</v>
      </c>
      <c r="K1078" s="27" t="s">
        <v>12</v>
      </c>
    </row>
    <row r="1079" ht="18.6" customHeight="1" spans="1:11">
      <c r="A1079" s="3">
        <v>1078</v>
      </c>
      <c r="B1079" s="3" t="s">
        <v>1885</v>
      </c>
      <c r="C1079" s="3" t="s">
        <v>3375</v>
      </c>
      <c r="D1079" s="3" t="s">
        <v>220</v>
      </c>
      <c r="E1079" s="3" t="s">
        <v>221</v>
      </c>
      <c r="F1079" s="3"/>
      <c r="G1079" s="3"/>
      <c r="H1079" s="3"/>
      <c r="I1079" s="3" t="s">
        <v>3770</v>
      </c>
      <c r="J1079" s="3" t="s">
        <v>1700</v>
      </c>
      <c r="K1079" s="27" t="s">
        <v>12</v>
      </c>
    </row>
    <row r="1080" ht="18.6" customHeight="1" spans="1:11">
      <c r="A1080" s="3">
        <v>1079</v>
      </c>
      <c r="B1080" s="3" t="s">
        <v>1886</v>
      </c>
      <c r="C1080" s="3" t="s">
        <v>3375</v>
      </c>
      <c r="D1080" s="3" t="s">
        <v>220</v>
      </c>
      <c r="E1080" s="3" t="s">
        <v>221</v>
      </c>
      <c r="F1080" s="3"/>
      <c r="G1080" s="3"/>
      <c r="H1080" s="3"/>
      <c r="I1080" s="3" t="s">
        <v>3775</v>
      </c>
      <c r="J1080" s="3" t="s">
        <v>1700</v>
      </c>
      <c r="K1080" s="27" t="s">
        <v>12</v>
      </c>
    </row>
    <row r="1081" ht="18.6" customHeight="1" spans="1:11">
      <c r="A1081" s="3">
        <v>1080</v>
      </c>
      <c r="B1081" s="3" t="s">
        <v>1887</v>
      </c>
      <c r="C1081" s="3" t="s">
        <v>3375</v>
      </c>
      <c r="D1081" s="3" t="s">
        <v>220</v>
      </c>
      <c r="E1081" s="3" t="s">
        <v>1855</v>
      </c>
      <c r="F1081" s="3"/>
      <c r="G1081" s="3"/>
      <c r="H1081" s="3"/>
      <c r="I1081" s="3"/>
      <c r="J1081" s="3" t="s">
        <v>1700</v>
      </c>
      <c r="K1081" s="27" t="s">
        <v>12</v>
      </c>
    </row>
    <row r="1082" ht="18.6" customHeight="1" spans="1:11">
      <c r="A1082" s="3">
        <v>1081</v>
      </c>
      <c r="B1082" s="3" t="s">
        <v>1888</v>
      </c>
      <c r="C1082" s="3" t="s">
        <v>3375</v>
      </c>
      <c r="D1082" s="3" t="s">
        <v>220</v>
      </c>
      <c r="E1082" s="3" t="s">
        <v>221</v>
      </c>
      <c r="F1082" s="3"/>
      <c r="G1082" s="3"/>
      <c r="H1082" s="3"/>
      <c r="I1082" s="3"/>
      <c r="J1082" s="3" t="s">
        <v>1700</v>
      </c>
      <c r="K1082" s="27" t="s">
        <v>12</v>
      </c>
    </row>
    <row r="1083" ht="18.6" customHeight="1" spans="1:11">
      <c r="A1083" s="3">
        <v>1082</v>
      </c>
      <c r="B1083" s="3" t="s">
        <v>1889</v>
      </c>
      <c r="C1083" s="3" t="s">
        <v>3375</v>
      </c>
      <c r="D1083" s="3" t="s">
        <v>220</v>
      </c>
      <c r="E1083" s="3" t="s">
        <v>221</v>
      </c>
      <c r="F1083" s="3"/>
      <c r="G1083" s="3"/>
      <c r="H1083" s="3"/>
      <c r="I1083" s="3"/>
      <c r="J1083" s="3" t="s">
        <v>1700</v>
      </c>
      <c r="K1083" s="27" t="s">
        <v>12</v>
      </c>
    </row>
    <row r="1084" ht="18.6" customHeight="1" spans="1:11">
      <c r="A1084" s="3">
        <v>1083</v>
      </c>
      <c r="B1084" s="3" t="s">
        <v>1890</v>
      </c>
      <c r="C1084" s="3" t="s">
        <v>3375</v>
      </c>
      <c r="D1084" s="3" t="s">
        <v>220</v>
      </c>
      <c r="E1084" s="3" t="s">
        <v>223</v>
      </c>
      <c r="F1084" s="3"/>
      <c r="G1084" s="3"/>
      <c r="H1084" s="3"/>
      <c r="I1084" s="3" t="s">
        <v>3769</v>
      </c>
      <c r="J1084" s="3" t="s">
        <v>1700</v>
      </c>
      <c r="K1084" s="27" t="s">
        <v>12</v>
      </c>
    </row>
    <row r="1085" ht="18.6" customHeight="1" spans="1:11">
      <c r="A1085" s="3">
        <v>1084</v>
      </c>
      <c r="B1085" s="3" t="s">
        <v>1891</v>
      </c>
      <c r="C1085" s="3" t="s">
        <v>3375</v>
      </c>
      <c r="D1085" s="3" t="s">
        <v>220</v>
      </c>
      <c r="E1085" s="3" t="s">
        <v>221</v>
      </c>
      <c r="F1085" s="3"/>
      <c r="G1085" s="3"/>
      <c r="H1085" s="3"/>
      <c r="I1085" s="3"/>
      <c r="J1085" s="3" t="s">
        <v>1700</v>
      </c>
      <c r="K1085" s="27" t="s">
        <v>12</v>
      </c>
    </row>
    <row r="1086" ht="18.6" customHeight="1" spans="1:11">
      <c r="A1086" s="3">
        <v>1085</v>
      </c>
      <c r="B1086" s="3" t="s">
        <v>1892</v>
      </c>
      <c r="C1086" s="3" t="s">
        <v>3375</v>
      </c>
      <c r="D1086" s="3" t="s">
        <v>220</v>
      </c>
      <c r="E1086" s="3" t="s">
        <v>221</v>
      </c>
      <c r="F1086" s="3"/>
      <c r="G1086" s="3"/>
      <c r="H1086" s="3"/>
      <c r="I1086" s="3"/>
      <c r="J1086" s="3" t="s">
        <v>1700</v>
      </c>
      <c r="K1086" s="27" t="s">
        <v>12</v>
      </c>
    </row>
    <row r="1087" ht="18.6" customHeight="1" spans="1:11">
      <c r="A1087" s="3">
        <v>1086</v>
      </c>
      <c r="B1087" s="3" t="s">
        <v>1893</v>
      </c>
      <c r="C1087" s="3" t="s">
        <v>3375</v>
      </c>
      <c r="D1087" s="3" t="s">
        <v>220</v>
      </c>
      <c r="E1087" s="3" t="s">
        <v>229</v>
      </c>
      <c r="F1087" s="3"/>
      <c r="G1087" s="3"/>
      <c r="H1087" s="3"/>
      <c r="I1087" s="3"/>
      <c r="J1087" s="3" t="s">
        <v>1700</v>
      </c>
      <c r="K1087" s="27" t="s">
        <v>12</v>
      </c>
    </row>
    <row r="1088" ht="18.6" customHeight="1" spans="1:11">
      <c r="A1088" s="3">
        <v>1087</v>
      </c>
      <c r="B1088" s="3" t="s">
        <v>1894</v>
      </c>
      <c r="C1088" s="3" t="s">
        <v>3394</v>
      </c>
      <c r="D1088" s="3" t="s">
        <v>273</v>
      </c>
      <c r="E1088" s="3" t="s">
        <v>274</v>
      </c>
      <c r="F1088" s="3"/>
      <c r="G1088" s="3"/>
      <c r="H1088" s="3"/>
      <c r="I1088" s="3"/>
      <c r="J1088" s="3" t="s">
        <v>1700</v>
      </c>
      <c r="K1088" s="27" t="s">
        <v>12</v>
      </c>
    </row>
    <row r="1089" ht="18.6" customHeight="1" spans="1:11">
      <c r="A1089" s="3">
        <v>1088</v>
      </c>
      <c r="B1089" s="3" t="s">
        <v>1895</v>
      </c>
      <c r="C1089" s="3" t="s">
        <v>3394</v>
      </c>
      <c r="D1089" s="3" t="s">
        <v>273</v>
      </c>
      <c r="E1089" s="3" t="s">
        <v>1896</v>
      </c>
      <c r="F1089" s="3"/>
      <c r="G1089" s="3"/>
      <c r="H1089" s="3"/>
      <c r="I1089" s="3" t="s">
        <v>3770</v>
      </c>
      <c r="J1089" s="3" t="s">
        <v>1700</v>
      </c>
      <c r="K1089" s="27" t="s">
        <v>12</v>
      </c>
    </row>
    <row r="1090" ht="18.6" customHeight="1" spans="1:11">
      <c r="A1090" s="3">
        <v>1089</v>
      </c>
      <c r="B1090" s="3" t="s">
        <v>1897</v>
      </c>
      <c r="C1090" s="3" t="s">
        <v>3394</v>
      </c>
      <c r="D1090" s="3" t="s">
        <v>273</v>
      </c>
      <c r="E1090" s="3" t="s">
        <v>290</v>
      </c>
      <c r="F1090" s="3"/>
      <c r="G1090" s="3"/>
      <c r="H1090" s="3"/>
      <c r="I1090" s="3" t="s">
        <v>3770</v>
      </c>
      <c r="J1090" s="3" t="s">
        <v>1700</v>
      </c>
      <c r="K1090" s="27" t="s">
        <v>12</v>
      </c>
    </row>
    <row r="1091" ht="18.6" customHeight="1" spans="1:11">
      <c r="A1091" s="3">
        <v>1090</v>
      </c>
      <c r="B1091" s="3" t="s">
        <v>1898</v>
      </c>
      <c r="C1091" s="3" t="s">
        <v>3394</v>
      </c>
      <c r="D1091" s="3" t="s">
        <v>273</v>
      </c>
      <c r="E1091" s="3" t="s">
        <v>274</v>
      </c>
      <c r="F1091" s="3"/>
      <c r="G1091" s="3"/>
      <c r="H1091" s="3"/>
      <c r="I1091" s="3" t="s">
        <v>3771</v>
      </c>
      <c r="J1091" s="3" t="s">
        <v>1700</v>
      </c>
      <c r="K1091" s="27" t="s">
        <v>12</v>
      </c>
    </row>
    <row r="1092" ht="18.6" customHeight="1" spans="1:11">
      <c r="A1092" s="3">
        <v>1091</v>
      </c>
      <c r="B1092" s="3" t="s">
        <v>1899</v>
      </c>
      <c r="C1092" s="3" t="s">
        <v>3394</v>
      </c>
      <c r="D1092" s="3" t="s">
        <v>273</v>
      </c>
      <c r="E1092" s="3" t="s">
        <v>274</v>
      </c>
      <c r="F1092" s="3"/>
      <c r="G1092" s="3"/>
      <c r="H1092" s="3"/>
      <c r="I1092" s="3" t="s">
        <v>3775</v>
      </c>
      <c r="J1092" s="3" t="s">
        <v>1700</v>
      </c>
      <c r="K1092" s="27" t="s">
        <v>12</v>
      </c>
    </row>
    <row r="1093" ht="18.6" customHeight="1" spans="1:11">
      <c r="A1093" s="3">
        <v>1092</v>
      </c>
      <c r="B1093" s="3" t="s">
        <v>1900</v>
      </c>
      <c r="C1093" s="3" t="s">
        <v>3394</v>
      </c>
      <c r="D1093" s="3" t="s">
        <v>273</v>
      </c>
      <c r="E1093" s="3" t="s">
        <v>274</v>
      </c>
      <c r="F1093" s="3"/>
      <c r="G1093" s="3"/>
      <c r="H1093" s="3"/>
      <c r="I1093" s="3" t="s">
        <v>3770</v>
      </c>
      <c r="J1093" s="3" t="s">
        <v>1700</v>
      </c>
      <c r="K1093" s="27" t="s">
        <v>12</v>
      </c>
    </row>
    <row r="1094" ht="18.6" customHeight="1" spans="1:11">
      <c r="A1094" s="3">
        <v>1093</v>
      </c>
      <c r="B1094" s="3" t="s">
        <v>1901</v>
      </c>
      <c r="C1094" s="3" t="s">
        <v>3394</v>
      </c>
      <c r="D1094" s="3" t="s">
        <v>273</v>
      </c>
      <c r="E1094" s="3" t="s">
        <v>274</v>
      </c>
      <c r="F1094" s="3"/>
      <c r="G1094" s="3"/>
      <c r="H1094" s="3"/>
      <c r="I1094" s="3" t="s">
        <v>3779</v>
      </c>
      <c r="J1094" s="3" t="s">
        <v>1700</v>
      </c>
      <c r="K1094" s="27" t="s">
        <v>12</v>
      </c>
    </row>
    <row r="1095" ht="18.6" customHeight="1" spans="1:11">
      <c r="A1095" s="3">
        <v>1094</v>
      </c>
      <c r="B1095" s="3" t="s">
        <v>1902</v>
      </c>
      <c r="C1095" s="3" t="s">
        <v>3394</v>
      </c>
      <c r="D1095" s="3" t="s">
        <v>273</v>
      </c>
      <c r="E1095" s="3" t="s">
        <v>279</v>
      </c>
      <c r="F1095" s="3"/>
      <c r="G1095" s="3"/>
      <c r="H1095" s="3"/>
      <c r="I1095" s="3" t="s">
        <v>3770</v>
      </c>
      <c r="J1095" s="3" t="s">
        <v>1700</v>
      </c>
      <c r="K1095" s="27" t="s">
        <v>12</v>
      </c>
    </row>
    <row r="1096" ht="18.6" customHeight="1" spans="1:11">
      <c r="A1096" s="3">
        <v>1095</v>
      </c>
      <c r="B1096" s="3" t="s">
        <v>1903</v>
      </c>
      <c r="C1096" s="3" t="s">
        <v>3394</v>
      </c>
      <c r="D1096" s="3" t="s">
        <v>273</v>
      </c>
      <c r="E1096" s="3" t="s">
        <v>279</v>
      </c>
      <c r="F1096" s="3"/>
      <c r="G1096" s="3"/>
      <c r="H1096" s="3"/>
      <c r="I1096" s="3" t="s">
        <v>3770</v>
      </c>
      <c r="J1096" s="3" t="s">
        <v>1700</v>
      </c>
      <c r="K1096" s="27" t="s">
        <v>12</v>
      </c>
    </row>
    <row r="1097" ht="18.6" customHeight="1" spans="1:11">
      <c r="A1097" s="3">
        <v>1096</v>
      </c>
      <c r="B1097" s="3" t="s">
        <v>1904</v>
      </c>
      <c r="C1097" s="3" t="s">
        <v>3394</v>
      </c>
      <c r="D1097" s="3" t="s">
        <v>273</v>
      </c>
      <c r="E1097" s="3" t="s">
        <v>290</v>
      </c>
      <c r="F1097" s="3"/>
      <c r="G1097" s="3"/>
      <c r="H1097" s="3"/>
      <c r="I1097" s="3" t="s">
        <v>3770</v>
      </c>
      <c r="J1097" s="3" t="s">
        <v>1700</v>
      </c>
      <c r="K1097" s="27" t="s">
        <v>12</v>
      </c>
    </row>
    <row r="1098" ht="18.6" customHeight="1" spans="1:11">
      <c r="A1098" s="3">
        <v>1097</v>
      </c>
      <c r="B1098" s="3" t="s">
        <v>3799</v>
      </c>
      <c r="C1098" s="3" t="s">
        <v>3394</v>
      </c>
      <c r="D1098" s="3" t="s">
        <v>273</v>
      </c>
      <c r="E1098" s="3" t="s">
        <v>274</v>
      </c>
      <c r="F1098" s="3"/>
      <c r="G1098" s="3"/>
      <c r="H1098" s="3"/>
      <c r="I1098" s="3" t="s">
        <v>3770</v>
      </c>
      <c r="J1098" s="3" t="s">
        <v>1700</v>
      </c>
      <c r="K1098" s="27" t="s">
        <v>12</v>
      </c>
    </row>
    <row r="1099" ht="18.6" customHeight="1" spans="1:11">
      <c r="A1099" s="3">
        <v>1098</v>
      </c>
      <c r="B1099" s="3" t="s">
        <v>1905</v>
      </c>
      <c r="C1099" s="3" t="s">
        <v>3394</v>
      </c>
      <c r="D1099" s="3" t="s">
        <v>273</v>
      </c>
      <c r="E1099" s="3" t="s">
        <v>294</v>
      </c>
      <c r="F1099" s="3"/>
      <c r="G1099" s="3"/>
      <c r="H1099" s="3"/>
      <c r="I1099" s="3" t="s">
        <v>3775</v>
      </c>
      <c r="J1099" s="3" t="s">
        <v>1700</v>
      </c>
      <c r="K1099" s="27" t="s">
        <v>12</v>
      </c>
    </row>
    <row r="1100" ht="18.6" customHeight="1" spans="1:11">
      <c r="A1100" s="3">
        <v>1099</v>
      </c>
      <c r="B1100" s="3" t="s">
        <v>1906</v>
      </c>
      <c r="C1100" s="3" t="s">
        <v>3394</v>
      </c>
      <c r="D1100" s="3" t="s">
        <v>273</v>
      </c>
      <c r="E1100" s="3" t="s">
        <v>1907</v>
      </c>
      <c r="F1100" s="3"/>
      <c r="G1100" s="3"/>
      <c r="H1100" s="3"/>
      <c r="I1100" s="3"/>
      <c r="J1100" s="3" t="s">
        <v>1700</v>
      </c>
      <c r="K1100" s="27" t="s">
        <v>12</v>
      </c>
    </row>
    <row r="1101" ht="18.6" customHeight="1" spans="1:11">
      <c r="A1101" s="3">
        <v>1100</v>
      </c>
      <c r="B1101" s="3" t="s">
        <v>3800</v>
      </c>
      <c r="C1101" s="3" t="s">
        <v>3394</v>
      </c>
      <c r="D1101" s="3" t="s">
        <v>273</v>
      </c>
      <c r="E1101" s="3" t="s">
        <v>279</v>
      </c>
      <c r="F1101" s="3"/>
      <c r="G1101" s="3"/>
      <c r="H1101" s="3"/>
      <c r="I1101" s="3" t="s">
        <v>3770</v>
      </c>
      <c r="J1101" s="3" t="s">
        <v>1700</v>
      </c>
      <c r="K1101" s="27" t="s">
        <v>12</v>
      </c>
    </row>
    <row r="1102" ht="18.6" customHeight="1" spans="1:11">
      <c r="A1102" s="3">
        <v>1101</v>
      </c>
      <c r="B1102" s="3" t="s">
        <v>1908</v>
      </c>
      <c r="C1102" s="3" t="s">
        <v>3394</v>
      </c>
      <c r="D1102" s="3" t="s">
        <v>273</v>
      </c>
      <c r="E1102" s="3" t="s">
        <v>294</v>
      </c>
      <c r="F1102" s="3"/>
      <c r="G1102" s="3"/>
      <c r="H1102" s="3"/>
      <c r="I1102" s="3"/>
      <c r="J1102" s="3" t="s">
        <v>1700</v>
      </c>
      <c r="K1102" s="27" t="s">
        <v>12</v>
      </c>
    </row>
    <row r="1103" ht="18.6" customHeight="1" spans="1:11">
      <c r="A1103" s="3">
        <v>1102</v>
      </c>
      <c r="B1103" s="3" t="s">
        <v>1909</v>
      </c>
      <c r="C1103" s="3" t="s">
        <v>3394</v>
      </c>
      <c r="D1103" s="3" t="s">
        <v>273</v>
      </c>
      <c r="E1103" s="3" t="s">
        <v>1910</v>
      </c>
      <c r="F1103" s="3"/>
      <c r="G1103" s="3"/>
      <c r="H1103" s="3"/>
      <c r="I1103" s="3"/>
      <c r="J1103" s="3" t="s">
        <v>1700</v>
      </c>
      <c r="K1103" s="27" t="s">
        <v>12</v>
      </c>
    </row>
    <row r="1104" ht="18.6" customHeight="1" spans="1:11">
      <c r="A1104" s="3">
        <v>1103</v>
      </c>
      <c r="B1104" s="3" t="s">
        <v>1911</v>
      </c>
      <c r="C1104" s="3" t="s">
        <v>3394</v>
      </c>
      <c r="D1104" s="3" t="s">
        <v>273</v>
      </c>
      <c r="E1104" s="3" t="s">
        <v>276</v>
      </c>
      <c r="F1104" s="3"/>
      <c r="G1104" s="3"/>
      <c r="H1104" s="3"/>
      <c r="I1104" s="3"/>
      <c r="J1104" s="3" t="s">
        <v>1700</v>
      </c>
      <c r="K1104" s="27" t="s">
        <v>12</v>
      </c>
    </row>
    <row r="1105" ht="18.6" customHeight="1" spans="1:11">
      <c r="A1105" s="3">
        <v>1104</v>
      </c>
      <c r="B1105" s="3" t="s">
        <v>1912</v>
      </c>
      <c r="C1105" s="3" t="s">
        <v>3394</v>
      </c>
      <c r="D1105" s="3" t="s">
        <v>273</v>
      </c>
      <c r="E1105" s="3" t="s">
        <v>274</v>
      </c>
      <c r="F1105" s="3"/>
      <c r="G1105" s="3"/>
      <c r="H1105" s="3"/>
      <c r="I1105" s="3"/>
      <c r="J1105" s="3" t="s">
        <v>1700</v>
      </c>
      <c r="K1105" s="27" t="s">
        <v>12</v>
      </c>
    </row>
    <row r="1106" ht="18.6" customHeight="1" spans="1:11">
      <c r="A1106" s="3">
        <v>1105</v>
      </c>
      <c r="B1106" s="3" t="s">
        <v>1913</v>
      </c>
      <c r="C1106" s="3" t="s">
        <v>3394</v>
      </c>
      <c r="D1106" s="3" t="s">
        <v>273</v>
      </c>
      <c r="E1106" s="3" t="s">
        <v>279</v>
      </c>
      <c r="F1106" s="3"/>
      <c r="G1106" s="3"/>
      <c r="H1106" s="3"/>
      <c r="I1106" s="3"/>
      <c r="J1106" s="3" t="s">
        <v>1700</v>
      </c>
      <c r="K1106" s="27" t="s">
        <v>12</v>
      </c>
    </row>
    <row r="1107" ht="18.6" customHeight="1" spans="1:11">
      <c r="A1107" s="3">
        <v>1106</v>
      </c>
      <c r="B1107" s="3" t="s">
        <v>1914</v>
      </c>
      <c r="C1107" s="3" t="s">
        <v>3394</v>
      </c>
      <c r="D1107" s="3" t="s">
        <v>273</v>
      </c>
      <c r="E1107" s="3" t="s">
        <v>288</v>
      </c>
      <c r="F1107" s="3"/>
      <c r="G1107" s="3"/>
      <c r="H1107" s="3"/>
      <c r="I1107" s="3"/>
      <c r="J1107" s="3" t="s">
        <v>1700</v>
      </c>
      <c r="K1107" s="27" t="s">
        <v>12</v>
      </c>
    </row>
    <row r="1108" ht="18.6" customHeight="1" spans="1:11">
      <c r="A1108" s="3">
        <v>1107</v>
      </c>
      <c r="B1108" s="3" t="s">
        <v>1915</v>
      </c>
      <c r="C1108" s="3" t="s">
        <v>3403</v>
      </c>
      <c r="D1108" s="3" t="s">
        <v>308</v>
      </c>
      <c r="E1108" s="3" t="s">
        <v>327</v>
      </c>
      <c r="F1108" s="3"/>
      <c r="G1108" s="3"/>
      <c r="H1108" s="3"/>
      <c r="I1108" s="3" t="s">
        <v>3776</v>
      </c>
      <c r="J1108" s="3" t="s">
        <v>1700</v>
      </c>
      <c r="K1108" s="27" t="s">
        <v>12</v>
      </c>
    </row>
    <row r="1109" ht="18.6" customHeight="1" spans="1:11">
      <c r="A1109" s="3">
        <v>1108</v>
      </c>
      <c r="B1109" s="3" t="s">
        <v>1916</v>
      </c>
      <c r="C1109" s="3" t="s">
        <v>3403</v>
      </c>
      <c r="D1109" s="3" t="s">
        <v>308</v>
      </c>
      <c r="E1109" s="3" t="s">
        <v>1917</v>
      </c>
      <c r="F1109" s="3"/>
      <c r="G1109" s="3"/>
      <c r="H1109" s="3"/>
      <c r="I1109" s="3" t="s">
        <v>3769</v>
      </c>
      <c r="J1109" s="3" t="s">
        <v>1700</v>
      </c>
      <c r="K1109" s="27" t="s">
        <v>12</v>
      </c>
    </row>
    <row r="1110" ht="18.6" customHeight="1" spans="1:11">
      <c r="A1110" s="3">
        <v>1109</v>
      </c>
      <c r="B1110" s="3" t="s">
        <v>1918</v>
      </c>
      <c r="C1110" s="3" t="s">
        <v>3403</v>
      </c>
      <c r="D1110" s="3" t="s">
        <v>308</v>
      </c>
      <c r="E1110" s="3" t="s">
        <v>324</v>
      </c>
      <c r="F1110" s="3"/>
      <c r="G1110" s="3"/>
      <c r="H1110" s="3"/>
      <c r="I1110" s="3" t="s">
        <v>3769</v>
      </c>
      <c r="J1110" s="3" t="s">
        <v>1700</v>
      </c>
      <c r="K1110" s="27" t="s">
        <v>12</v>
      </c>
    </row>
    <row r="1111" ht="18.6" customHeight="1" spans="1:11">
      <c r="A1111" s="3">
        <v>1110</v>
      </c>
      <c r="B1111" s="3" t="s">
        <v>1919</v>
      </c>
      <c r="C1111" s="3" t="s">
        <v>3403</v>
      </c>
      <c r="D1111" s="3" t="s">
        <v>308</v>
      </c>
      <c r="E1111" s="3" t="s">
        <v>309</v>
      </c>
      <c r="F1111" s="3"/>
      <c r="G1111" s="3"/>
      <c r="H1111" s="3"/>
      <c r="I1111" s="3" t="s">
        <v>3769</v>
      </c>
      <c r="J1111" s="3" t="s">
        <v>1700</v>
      </c>
      <c r="K1111" s="27" t="s">
        <v>12</v>
      </c>
    </row>
    <row r="1112" ht="18.6" customHeight="1" spans="1:11">
      <c r="A1112" s="3">
        <v>1111</v>
      </c>
      <c r="B1112" s="3" t="s">
        <v>3414</v>
      </c>
      <c r="C1112" s="3" t="s">
        <v>3403</v>
      </c>
      <c r="D1112" s="3" t="s">
        <v>308</v>
      </c>
      <c r="E1112" s="3" t="s">
        <v>309</v>
      </c>
      <c r="F1112" s="3"/>
      <c r="G1112" s="3"/>
      <c r="H1112" s="3"/>
      <c r="I1112" s="3" t="s">
        <v>3770</v>
      </c>
      <c r="J1112" s="3" t="s">
        <v>1700</v>
      </c>
      <c r="K1112" s="27" t="s">
        <v>12</v>
      </c>
    </row>
    <row r="1113" ht="18.6" customHeight="1" spans="1:11">
      <c r="A1113" s="3">
        <v>1112</v>
      </c>
      <c r="B1113" s="3" t="s">
        <v>1920</v>
      </c>
      <c r="C1113" s="3" t="s">
        <v>3403</v>
      </c>
      <c r="D1113" s="3" t="s">
        <v>308</v>
      </c>
      <c r="E1113" s="3" t="s">
        <v>309</v>
      </c>
      <c r="F1113" s="3"/>
      <c r="G1113" s="3"/>
      <c r="H1113" s="3"/>
      <c r="I1113" s="3"/>
      <c r="J1113" s="3" t="s">
        <v>1700</v>
      </c>
      <c r="K1113" s="27" t="s">
        <v>12</v>
      </c>
    </row>
    <row r="1114" ht="18.6" customHeight="1" spans="1:11">
      <c r="A1114" s="3">
        <v>1113</v>
      </c>
      <c r="B1114" s="3" t="s">
        <v>1921</v>
      </c>
      <c r="C1114" s="3" t="s">
        <v>3403</v>
      </c>
      <c r="D1114" s="3" t="s">
        <v>308</v>
      </c>
      <c r="E1114" s="3" t="s">
        <v>315</v>
      </c>
      <c r="F1114" s="3"/>
      <c r="G1114" s="3"/>
      <c r="H1114" s="3"/>
      <c r="I1114" s="3" t="s">
        <v>3770</v>
      </c>
      <c r="J1114" s="3" t="s">
        <v>1700</v>
      </c>
      <c r="K1114" s="27" t="s">
        <v>12</v>
      </c>
    </row>
    <row r="1115" ht="18.6" customHeight="1" spans="1:11">
      <c r="A1115" s="3">
        <v>1114</v>
      </c>
      <c r="B1115" s="3" t="s">
        <v>1922</v>
      </c>
      <c r="C1115" s="3" t="s">
        <v>3403</v>
      </c>
      <c r="D1115" s="3" t="s">
        <v>308</v>
      </c>
      <c r="E1115" s="3" t="s">
        <v>324</v>
      </c>
      <c r="F1115" s="3"/>
      <c r="G1115" s="3"/>
      <c r="H1115" s="3"/>
      <c r="I1115" s="3" t="s">
        <v>3769</v>
      </c>
      <c r="J1115" s="3" t="s">
        <v>1700</v>
      </c>
      <c r="K1115" s="27" t="s">
        <v>12</v>
      </c>
    </row>
    <row r="1116" ht="18.6" customHeight="1" spans="1:11">
      <c r="A1116" s="3">
        <v>1115</v>
      </c>
      <c r="B1116" s="3" t="s">
        <v>1923</v>
      </c>
      <c r="C1116" s="3" t="s">
        <v>3403</v>
      </c>
      <c r="D1116" s="3" t="s">
        <v>308</v>
      </c>
      <c r="E1116" s="3" t="s">
        <v>317</v>
      </c>
      <c r="F1116" s="3"/>
      <c r="G1116" s="3"/>
      <c r="H1116" s="3"/>
      <c r="I1116" s="3" t="s">
        <v>3773</v>
      </c>
      <c r="J1116" s="3" t="s">
        <v>1700</v>
      </c>
      <c r="K1116" s="27" t="s">
        <v>12</v>
      </c>
    </row>
    <row r="1117" ht="18.6" customHeight="1" spans="1:11">
      <c r="A1117" s="3">
        <v>1116</v>
      </c>
      <c r="B1117" s="3" t="s">
        <v>3415</v>
      </c>
      <c r="C1117" s="3" t="s">
        <v>3403</v>
      </c>
      <c r="D1117" s="3" t="s">
        <v>308</v>
      </c>
      <c r="E1117" s="3" t="s">
        <v>309</v>
      </c>
      <c r="F1117" s="3"/>
      <c r="G1117" s="3"/>
      <c r="H1117" s="3"/>
      <c r="I1117" s="3" t="s">
        <v>3773</v>
      </c>
      <c r="J1117" s="3" t="s">
        <v>1700</v>
      </c>
      <c r="K1117" s="27" t="s">
        <v>12</v>
      </c>
    </row>
    <row r="1118" ht="18.6" customHeight="1" spans="1:11">
      <c r="A1118" s="3">
        <v>1117</v>
      </c>
      <c r="B1118" s="3" t="s">
        <v>1924</v>
      </c>
      <c r="C1118" s="3" t="s">
        <v>3403</v>
      </c>
      <c r="D1118" s="3" t="s">
        <v>308</v>
      </c>
      <c r="E1118" s="3" t="s">
        <v>309</v>
      </c>
      <c r="F1118" s="3"/>
      <c r="G1118" s="3"/>
      <c r="H1118" s="3"/>
      <c r="I1118" s="3" t="s">
        <v>3769</v>
      </c>
      <c r="J1118" s="3" t="s">
        <v>1700</v>
      </c>
      <c r="K1118" s="27" t="s">
        <v>12</v>
      </c>
    </row>
    <row r="1119" ht="18.6" customHeight="1" spans="1:11">
      <c r="A1119" s="3">
        <v>1118</v>
      </c>
      <c r="B1119" s="3" t="s">
        <v>1925</v>
      </c>
      <c r="C1119" s="3" t="s">
        <v>3403</v>
      </c>
      <c r="D1119" s="3" t="s">
        <v>308</v>
      </c>
      <c r="E1119" s="3" t="s">
        <v>309</v>
      </c>
      <c r="F1119" s="3"/>
      <c r="G1119" s="3"/>
      <c r="H1119" s="3"/>
      <c r="I1119" s="3" t="s">
        <v>3779</v>
      </c>
      <c r="J1119" s="3" t="s">
        <v>1700</v>
      </c>
      <c r="K1119" s="27" t="s">
        <v>12</v>
      </c>
    </row>
    <row r="1120" ht="18.6" customHeight="1" spans="1:11">
      <c r="A1120" s="3">
        <v>1119</v>
      </c>
      <c r="B1120" s="3" t="s">
        <v>1926</v>
      </c>
      <c r="C1120" s="3" t="s">
        <v>3403</v>
      </c>
      <c r="D1120" s="3" t="s">
        <v>308</v>
      </c>
      <c r="E1120" s="3" t="s">
        <v>1927</v>
      </c>
      <c r="F1120" s="3"/>
      <c r="G1120" s="3"/>
      <c r="H1120" s="3"/>
      <c r="I1120" s="3" t="s">
        <v>3776</v>
      </c>
      <c r="J1120" s="3" t="s">
        <v>1700</v>
      </c>
      <c r="K1120" s="27" t="s">
        <v>12</v>
      </c>
    </row>
    <row r="1121" ht="18.6" customHeight="1" spans="1:11">
      <c r="A1121" s="3">
        <v>1120</v>
      </c>
      <c r="B1121" s="3" t="s">
        <v>1928</v>
      </c>
      <c r="C1121" s="3" t="s">
        <v>3403</v>
      </c>
      <c r="D1121" s="3" t="s">
        <v>308</v>
      </c>
      <c r="E1121" s="3" t="s">
        <v>309</v>
      </c>
      <c r="F1121" s="3"/>
      <c r="G1121" s="3"/>
      <c r="H1121" s="3"/>
      <c r="I1121" s="3" t="s">
        <v>3770</v>
      </c>
      <c r="J1121" s="3" t="s">
        <v>1700</v>
      </c>
      <c r="K1121" s="27" t="s">
        <v>12</v>
      </c>
    </row>
    <row r="1122" ht="18.6" customHeight="1" spans="1:11">
      <c r="A1122" s="3">
        <v>1121</v>
      </c>
      <c r="B1122" s="3" t="s">
        <v>1929</v>
      </c>
      <c r="C1122" s="3" t="s">
        <v>3403</v>
      </c>
      <c r="D1122" s="3" t="s">
        <v>308</v>
      </c>
      <c r="E1122" s="3" t="s">
        <v>309</v>
      </c>
      <c r="F1122" s="3"/>
      <c r="G1122" s="3"/>
      <c r="H1122" s="3"/>
      <c r="I1122" s="3" t="s">
        <v>3770</v>
      </c>
      <c r="J1122" s="3" t="s">
        <v>1700</v>
      </c>
      <c r="K1122" s="27" t="s">
        <v>12</v>
      </c>
    </row>
    <row r="1123" ht="18.6" customHeight="1" spans="1:11">
      <c r="A1123" s="3">
        <v>1122</v>
      </c>
      <c r="B1123" s="3" t="s">
        <v>1930</v>
      </c>
      <c r="C1123" s="3" t="s">
        <v>3403</v>
      </c>
      <c r="D1123" s="3" t="s">
        <v>308</v>
      </c>
      <c r="E1123" s="3" t="s">
        <v>1931</v>
      </c>
      <c r="F1123" s="3"/>
      <c r="G1123" s="3"/>
      <c r="H1123" s="3"/>
      <c r="I1123" s="3" t="s">
        <v>3769</v>
      </c>
      <c r="J1123" s="3" t="s">
        <v>1700</v>
      </c>
      <c r="K1123" s="27" t="s">
        <v>12</v>
      </c>
    </row>
    <row r="1124" ht="18.6" customHeight="1" spans="1:11">
      <c r="A1124" s="3">
        <v>1123</v>
      </c>
      <c r="B1124" s="3" t="s">
        <v>1932</v>
      </c>
      <c r="C1124" s="3" t="s">
        <v>3403</v>
      </c>
      <c r="D1124" s="3" t="s">
        <v>308</v>
      </c>
      <c r="E1124" s="3" t="s">
        <v>324</v>
      </c>
      <c r="F1124" s="3"/>
      <c r="G1124" s="3"/>
      <c r="H1124" s="3"/>
      <c r="I1124" s="3" t="s">
        <v>3773</v>
      </c>
      <c r="J1124" s="3" t="s">
        <v>1700</v>
      </c>
      <c r="K1124" s="27" t="s">
        <v>12</v>
      </c>
    </row>
    <row r="1125" ht="18.6" customHeight="1" spans="1:11">
      <c r="A1125" s="3">
        <v>1124</v>
      </c>
      <c r="B1125" s="3" t="s">
        <v>1933</v>
      </c>
      <c r="C1125" s="3" t="s">
        <v>3403</v>
      </c>
      <c r="D1125" s="3" t="s">
        <v>308</v>
      </c>
      <c r="E1125" s="3" t="s">
        <v>324</v>
      </c>
      <c r="F1125" s="3"/>
      <c r="G1125" s="3"/>
      <c r="H1125" s="3"/>
      <c r="I1125" s="3"/>
      <c r="J1125" s="3" t="s">
        <v>1700</v>
      </c>
      <c r="K1125" s="27" t="s">
        <v>12</v>
      </c>
    </row>
    <row r="1126" ht="18.6" customHeight="1" spans="1:11">
      <c r="A1126" s="3">
        <v>1125</v>
      </c>
      <c r="B1126" s="3" t="s">
        <v>1934</v>
      </c>
      <c r="C1126" s="3" t="s">
        <v>3403</v>
      </c>
      <c r="D1126" s="3" t="s">
        <v>308</v>
      </c>
      <c r="E1126" s="3" t="s">
        <v>309</v>
      </c>
      <c r="F1126" s="3"/>
      <c r="G1126" s="3"/>
      <c r="H1126" s="3"/>
      <c r="I1126" s="3" t="s">
        <v>3779</v>
      </c>
      <c r="J1126" s="3" t="s">
        <v>1700</v>
      </c>
      <c r="K1126" s="27" t="s">
        <v>12</v>
      </c>
    </row>
    <row r="1127" ht="18.6" customHeight="1" spans="1:11">
      <c r="A1127" s="3">
        <v>1126</v>
      </c>
      <c r="B1127" s="3" t="s">
        <v>1935</v>
      </c>
      <c r="C1127" s="3" t="s">
        <v>3403</v>
      </c>
      <c r="D1127" s="3" t="s">
        <v>308</v>
      </c>
      <c r="E1127" s="3" t="s">
        <v>309</v>
      </c>
      <c r="F1127" s="3"/>
      <c r="G1127" s="3"/>
      <c r="H1127" s="3"/>
      <c r="I1127" s="3" t="s">
        <v>3789</v>
      </c>
      <c r="J1127" s="3" t="s">
        <v>1700</v>
      </c>
      <c r="K1127" s="27" t="s">
        <v>12</v>
      </c>
    </row>
    <row r="1128" ht="18.6" customHeight="1" spans="1:11">
      <c r="A1128" s="3">
        <v>1127</v>
      </c>
      <c r="B1128" s="3" t="s">
        <v>1936</v>
      </c>
      <c r="C1128" s="3" t="s">
        <v>3403</v>
      </c>
      <c r="D1128" s="3" t="s">
        <v>308</v>
      </c>
      <c r="E1128" s="3" t="s">
        <v>309</v>
      </c>
      <c r="F1128" s="3"/>
      <c r="G1128" s="3"/>
      <c r="H1128" s="3"/>
      <c r="I1128" s="3" t="s">
        <v>3773</v>
      </c>
      <c r="J1128" s="3" t="s">
        <v>1700</v>
      </c>
      <c r="K1128" s="27" t="s">
        <v>12</v>
      </c>
    </row>
    <row r="1129" ht="18.6" customHeight="1" spans="1:11">
      <c r="A1129" s="3">
        <v>1128</v>
      </c>
      <c r="B1129" s="3" t="s">
        <v>1937</v>
      </c>
      <c r="C1129" s="3" t="s">
        <v>3403</v>
      </c>
      <c r="D1129" s="3" t="s">
        <v>308</v>
      </c>
      <c r="E1129" s="3" t="s">
        <v>1938</v>
      </c>
      <c r="F1129" s="3"/>
      <c r="G1129" s="3"/>
      <c r="H1129" s="3"/>
      <c r="I1129" s="3"/>
      <c r="J1129" s="3" t="s">
        <v>1700</v>
      </c>
      <c r="K1129" s="27" t="s">
        <v>12</v>
      </c>
    </row>
    <row r="1130" ht="18.6" customHeight="1" spans="1:11">
      <c r="A1130" s="3">
        <v>1129</v>
      </c>
      <c r="B1130" s="3" t="s">
        <v>1939</v>
      </c>
      <c r="C1130" s="3" t="s">
        <v>3403</v>
      </c>
      <c r="D1130" s="3" t="s">
        <v>308</v>
      </c>
      <c r="E1130" s="3" t="s">
        <v>1940</v>
      </c>
      <c r="F1130" s="3"/>
      <c r="G1130" s="3"/>
      <c r="H1130" s="3"/>
      <c r="I1130" s="3" t="s">
        <v>3769</v>
      </c>
      <c r="J1130" s="3" t="s">
        <v>1700</v>
      </c>
      <c r="K1130" s="27" t="s">
        <v>12</v>
      </c>
    </row>
    <row r="1131" ht="18.6" customHeight="1" spans="1:11">
      <c r="A1131" s="3">
        <v>1130</v>
      </c>
      <c r="B1131" s="3" t="s">
        <v>1941</v>
      </c>
      <c r="C1131" s="3" t="s">
        <v>3403</v>
      </c>
      <c r="D1131" s="3" t="s">
        <v>308</v>
      </c>
      <c r="E1131" s="3" t="s">
        <v>309</v>
      </c>
      <c r="F1131" s="3"/>
      <c r="G1131" s="3"/>
      <c r="H1131" s="3"/>
      <c r="I1131" s="3" t="s">
        <v>3780</v>
      </c>
      <c r="J1131" s="3" t="s">
        <v>1700</v>
      </c>
      <c r="K1131" s="27" t="s">
        <v>12</v>
      </c>
    </row>
    <row r="1132" ht="18.6" customHeight="1" spans="1:11">
      <c r="A1132" s="3">
        <v>1131</v>
      </c>
      <c r="B1132" s="3" t="s">
        <v>1942</v>
      </c>
      <c r="C1132" s="3" t="s">
        <v>3403</v>
      </c>
      <c r="D1132" s="3" t="s">
        <v>308</v>
      </c>
      <c r="E1132" s="3" t="s">
        <v>315</v>
      </c>
      <c r="F1132" s="3"/>
      <c r="G1132" s="3"/>
      <c r="H1132" s="3"/>
      <c r="I1132" s="3" t="s">
        <v>3775</v>
      </c>
      <c r="J1132" s="3" t="s">
        <v>1700</v>
      </c>
      <c r="K1132" s="27" t="s">
        <v>12</v>
      </c>
    </row>
    <row r="1133" ht="18.6" customHeight="1" spans="1:11">
      <c r="A1133" s="3">
        <v>1132</v>
      </c>
      <c r="B1133" s="3" t="s">
        <v>1943</v>
      </c>
      <c r="C1133" s="3" t="s">
        <v>3403</v>
      </c>
      <c r="D1133" s="3" t="s">
        <v>308</v>
      </c>
      <c r="E1133" s="3" t="s">
        <v>309</v>
      </c>
      <c r="F1133" s="3"/>
      <c r="G1133" s="3"/>
      <c r="H1133" s="3"/>
      <c r="I1133" s="3" t="s">
        <v>3770</v>
      </c>
      <c r="J1133" s="3" t="s">
        <v>1700</v>
      </c>
      <c r="K1133" s="27" t="s">
        <v>12</v>
      </c>
    </row>
    <row r="1134" ht="18.6" customHeight="1" spans="1:11">
      <c r="A1134" s="3">
        <v>1133</v>
      </c>
      <c r="B1134" s="3" t="s">
        <v>1944</v>
      </c>
      <c r="C1134" s="3" t="s">
        <v>3403</v>
      </c>
      <c r="D1134" s="3" t="s">
        <v>308</v>
      </c>
      <c r="E1134" s="3" t="s">
        <v>324</v>
      </c>
      <c r="F1134" s="3"/>
      <c r="G1134" s="3"/>
      <c r="H1134" s="3"/>
      <c r="I1134" s="3" t="s">
        <v>3776</v>
      </c>
      <c r="J1134" s="3" t="s">
        <v>1700</v>
      </c>
      <c r="K1134" s="27" t="s">
        <v>12</v>
      </c>
    </row>
    <row r="1135" ht="18.6" customHeight="1" spans="1:11">
      <c r="A1135" s="3">
        <v>1134</v>
      </c>
      <c r="B1135" s="3" t="s">
        <v>1945</v>
      </c>
      <c r="C1135" s="3" t="s">
        <v>3403</v>
      </c>
      <c r="D1135" s="3" t="s">
        <v>308</v>
      </c>
      <c r="E1135" s="3" t="s">
        <v>309</v>
      </c>
      <c r="F1135" s="3"/>
      <c r="G1135" s="3"/>
      <c r="H1135" s="3"/>
      <c r="I1135" s="3" t="s">
        <v>3769</v>
      </c>
      <c r="J1135" s="3" t="s">
        <v>1700</v>
      </c>
      <c r="K1135" s="27" t="s">
        <v>12</v>
      </c>
    </row>
    <row r="1136" ht="18.6" customHeight="1" spans="1:11">
      <c r="A1136" s="3">
        <v>1135</v>
      </c>
      <c r="B1136" s="3" t="s">
        <v>1946</v>
      </c>
      <c r="C1136" s="3" t="s">
        <v>3403</v>
      </c>
      <c r="D1136" s="3" t="s">
        <v>308</v>
      </c>
      <c r="E1136" s="3" t="s">
        <v>317</v>
      </c>
      <c r="F1136" s="3"/>
      <c r="G1136" s="3"/>
      <c r="H1136" s="3"/>
      <c r="I1136" s="3" t="s">
        <v>3769</v>
      </c>
      <c r="J1136" s="3" t="s">
        <v>1700</v>
      </c>
      <c r="K1136" s="27" t="s">
        <v>12</v>
      </c>
    </row>
    <row r="1137" ht="18.6" customHeight="1" spans="1:11">
      <c r="A1137" s="3">
        <v>1136</v>
      </c>
      <c r="B1137" s="3" t="s">
        <v>1947</v>
      </c>
      <c r="C1137" s="3" t="s">
        <v>3403</v>
      </c>
      <c r="D1137" s="3" t="s">
        <v>308</v>
      </c>
      <c r="E1137" s="3" t="s">
        <v>309</v>
      </c>
      <c r="F1137" s="3"/>
      <c r="G1137" s="3"/>
      <c r="H1137" s="3"/>
      <c r="I1137" s="3" t="s">
        <v>3775</v>
      </c>
      <c r="J1137" s="3" t="s">
        <v>1700</v>
      </c>
      <c r="K1137" s="27" t="s">
        <v>12</v>
      </c>
    </row>
    <row r="1138" ht="18.6" customHeight="1" spans="1:11">
      <c r="A1138" s="3">
        <v>1137</v>
      </c>
      <c r="B1138" s="3" t="s">
        <v>1948</v>
      </c>
      <c r="C1138" s="3" t="s">
        <v>3403</v>
      </c>
      <c r="D1138" s="3" t="s">
        <v>308</v>
      </c>
      <c r="E1138" s="3" t="s">
        <v>309</v>
      </c>
      <c r="F1138" s="3"/>
      <c r="G1138" s="3"/>
      <c r="H1138" s="3"/>
      <c r="I1138" s="3" t="s">
        <v>3776</v>
      </c>
      <c r="J1138" s="3" t="s">
        <v>1700</v>
      </c>
      <c r="K1138" s="27" t="s">
        <v>12</v>
      </c>
    </row>
    <row r="1139" ht="18.6" customHeight="1" spans="1:11">
      <c r="A1139" s="3">
        <v>1138</v>
      </c>
      <c r="B1139" s="3" t="s">
        <v>1949</v>
      </c>
      <c r="C1139" s="3" t="s">
        <v>3403</v>
      </c>
      <c r="D1139" s="3" t="s">
        <v>308</v>
      </c>
      <c r="E1139" s="3" t="s">
        <v>309</v>
      </c>
      <c r="F1139" s="3"/>
      <c r="G1139" s="3"/>
      <c r="H1139" s="3"/>
      <c r="I1139" s="3"/>
      <c r="J1139" s="3" t="s">
        <v>1700</v>
      </c>
      <c r="K1139" s="27" t="s">
        <v>12</v>
      </c>
    </row>
    <row r="1140" ht="18.6" customHeight="1" spans="1:11">
      <c r="A1140" s="3">
        <v>1139</v>
      </c>
      <c r="B1140" s="3" t="s">
        <v>1950</v>
      </c>
      <c r="C1140" s="3" t="s">
        <v>3420</v>
      </c>
      <c r="D1140" s="3" t="s">
        <v>347</v>
      </c>
      <c r="E1140" s="3" t="s">
        <v>347</v>
      </c>
      <c r="F1140" s="3"/>
      <c r="G1140" s="3"/>
      <c r="H1140" s="3"/>
      <c r="I1140" s="3" t="s">
        <v>3769</v>
      </c>
      <c r="J1140" s="3" t="s">
        <v>1700</v>
      </c>
      <c r="K1140" s="27" t="s">
        <v>12</v>
      </c>
    </row>
    <row r="1141" ht="18.6" customHeight="1" spans="1:11">
      <c r="A1141" s="3">
        <v>1140</v>
      </c>
      <c r="B1141" s="3" t="s">
        <v>1951</v>
      </c>
      <c r="C1141" s="3" t="s">
        <v>3420</v>
      </c>
      <c r="D1141" s="3" t="s">
        <v>347</v>
      </c>
      <c r="E1141" s="3" t="s">
        <v>347</v>
      </c>
      <c r="F1141" s="3"/>
      <c r="G1141" s="3"/>
      <c r="H1141" s="3"/>
      <c r="I1141" s="3" t="s">
        <v>3769</v>
      </c>
      <c r="J1141" s="3" t="s">
        <v>1700</v>
      </c>
      <c r="K1141" s="27" t="s">
        <v>12</v>
      </c>
    </row>
    <row r="1142" ht="18.6" customHeight="1" spans="1:11">
      <c r="A1142" s="3">
        <v>1141</v>
      </c>
      <c r="B1142" s="3" t="s">
        <v>1952</v>
      </c>
      <c r="C1142" s="3" t="s">
        <v>3420</v>
      </c>
      <c r="D1142" s="3" t="s">
        <v>347</v>
      </c>
      <c r="E1142" s="3" t="s">
        <v>347</v>
      </c>
      <c r="F1142" s="3"/>
      <c r="G1142" s="3"/>
      <c r="H1142" s="3"/>
      <c r="I1142" s="3" t="s">
        <v>3769</v>
      </c>
      <c r="J1142" s="3" t="s">
        <v>1700</v>
      </c>
      <c r="K1142" s="27" t="s">
        <v>12</v>
      </c>
    </row>
    <row r="1143" ht="18.6" customHeight="1" spans="1:11">
      <c r="A1143" s="3">
        <v>1142</v>
      </c>
      <c r="B1143" s="3" t="s">
        <v>1953</v>
      </c>
      <c r="C1143" s="3" t="s">
        <v>3420</v>
      </c>
      <c r="D1143" s="3" t="s">
        <v>347</v>
      </c>
      <c r="E1143" s="3" t="s">
        <v>347</v>
      </c>
      <c r="F1143" s="3"/>
      <c r="G1143" s="3"/>
      <c r="H1143" s="3"/>
      <c r="I1143" s="3" t="s">
        <v>3769</v>
      </c>
      <c r="J1143" s="3" t="s">
        <v>1700</v>
      </c>
      <c r="K1143" s="27" t="s">
        <v>12</v>
      </c>
    </row>
    <row r="1144" ht="18.6" customHeight="1" spans="1:11">
      <c r="A1144" s="3">
        <v>1143</v>
      </c>
      <c r="B1144" s="3" t="s">
        <v>1954</v>
      </c>
      <c r="C1144" s="3" t="s">
        <v>3420</v>
      </c>
      <c r="D1144" s="3" t="s">
        <v>347</v>
      </c>
      <c r="E1144" s="3" t="s">
        <v>347</v>
      </c>
      <c r="F1144" s="3"/>
      <c r="G1144" s="3"/>
      <c r="H1144" s="3"/>
      <c r="I1144" s="3" t="s">
        <v>3770</v>
      </c>
      <c r="J1144" s="3" t="s">
        <v>1700</v>
      </c>
      <c r="K1144" s="27" t="s">
        <v>12</v>
      </c>
    </row>
    <row r="1145" ht="18.6" customHeight="1" spans="1:11">
      <c r="A1145" s="3">
        <v>1144</v>
      </c>
      <c r="B1145" s="3" t="s">
        <v>1955</v>
      </c>
      <c r="C1145" s="3" t="s">
        <v>3420</v>
      </c>
      <c r="D1145" s="3" t="s">
        <v>347</v>
      </c>
      <c r="E1145" s="3" t="s">
        <v>347</v>
      </c>
      <c r="F1145" s="3"/>
      <c r="G1145" s="3"/>
      <c r="H1145" s="3"/>
      <c r="I1145" s="3" t="s">
        <v>3770</v>
      </c>
      <c r="J1145" s="3" t="s">
        <v>1700</v>
      </c>
      <c r="K1145" s="27" t="s">
        <v>12</v>
      </c>
    </row>
    <row r="1146" ht="18.6" customHeight="1" spans="1:11">
      <c r="A1146" s="3">
        <v>1145</v>
      </c>
      <c r="B1146" s="3" t="s">
        <v>1956</v>
      </c>
      <c r="C1146" s="3" t="s">
        <v>3420</v>
      </c>
      <c r="D1146" s="3" t="s">
        <v>347</v>
      </c>
      <c r="E1146" s="3" t="s">
        <v>347</v>
      </c>
      <c r="F1146" s="3"/>
      <c r="G1146" s="3"/>
      <c r="H1146" s="3"/>
      <c r="I1146" s="3" t="s">
        <v>3770</v>
      </c>
      <c r="J1146" s="3" t="s">
        <v>1700</v>
      </c>
      <c r="K1146" s="27" t="s">
        <v>12</v>
      </c>
    </row>
    <row r="1147" ht="18.6" customHeight="1" spans="1:11">
      <c r="A1147" s="3">
        <v>1146</v>
      </c>
      <c r="B1147" s="3" t="s">
        <v>1957</v>
      </c>
      <c r="C1147" s="3" t="s">
        <v>3420</v>
      </c>
      <c r="D1147" s="3" t="s">
        <v>347</v>
      </c>
      <c r="E1147" s="3" t="s">
        <v>347</v>
      </c>
      <c r="F1147" s="3"/>
      <c r="G1147" s="3"/>
      <c r="H1147" s="3"/>
      <c r="I1147" s="3" t="s">
        <v>3772</v>
      </c>
      <c r="J1147" s="3" t="s">
        <v>1700</v>
      </c>
      <c r="K1147" s="27" t="s">
        <v>12</v>
      </c>
    </row>
    <row r="1148" ht="18.6" customHeight="1" spans="1:11">
      <c r="A1148" s="3">
        <v>1147</v>
      </c>
      <c r="B1148" s="3" t="s">
        <v>1958</v>
      </c>
      <c r="C1148" s="3" t="s">
        <v>3420</v>
      </c>
      <c r="D1148" s="3" t="s">
        <v>347</v>
      </c>
      <c r="E1148" s="3" t="s">
        <v>347</v>
      </c>
      <c r="F1148" s="3"/>
      <c r="G1148" s="3"/>
      <c r="H1148" s="3"/>
      <c r="I1148" s="3" t="s">
        <v>3770</v>
      </c>
      <c r="J1148" s="3" t="s">
        <v>1700</v>
      </c>
      <c r="K1148" s="27" t="s">
        <v>12</v>
      </c>
    </row>
    <row r="1149" ht="18.6" customHeight="1" spans="1:11">
      <c r="A1149" s="3">
        <v>1148</v>
      </c>
      <c r="B1149" s="3" t="s">
        <v>1959</v>
      </c>
      <c r="C1149" s="3" t="s">
        <v>3420</v>
      </c>
      <c r="D1149" s="3" t="s">
        <v>347</v>
      </c>
      <c r="E1149" s="3" t="s">
        <v>347</v>
      </c>
      <c r="F1149" s="3"/>
      <c r="G1149" s="3"/>
      <c r="H1149" s="3"/>
      <c r="I1149" s="3" t="s">
        <v>3773</v>
      </c>
      <c r="J1149" s="3" t="s">
        <v>1700</v>
      </c>
      <c r="K1149" s="27" t="s">
        <v>12</v>
      </c>
    </row>
    <row r="1150" ht="18.6" customHeight="1" spans="1:11">
      <c r="A1150" s="3">
        <v>1149</v>
      </c>
      <c r="B1150" s="3" t="s">
        <v>1960</v>
      </c>
      <c r="C1150" s="3" t="s">
        <v>3420</v>
      </c>
      <c r="D1150" s="3" t="s">
        <v>347</v>
      </c>
      <c r="E1150" s="3" t="s">
        <v>347</v>
      </c>
      <c r="F1150" s="3"/>
      <c r="G1150" s="3"/>
      <c r="H1150" s="3"/>
      <c r="I1150" s="3"/>
      <c r="J1150" s="3" t="s">
        <v>1700</v>
      </c>
      <c r="K1150" s="27" t="s">
        <v>12</v>
      </c>
    </row>
    <row r="1151" ht="18.6" customHeight="1" spans="1:11">
      <c r="A1151" s="3">
        <v>1150</v>
      </c>
      <c r="B1151" s="3" t="s">
        <v>1961</v>
      </c>
      <c r="C1151" s="3" t="s">
        <v>3327</v>
      </c>
      <c r="D1151" s="3" t="s">
        <v>347</v>
      </c>
      <c r="E1151" s="3" t="s">
        <v>347</v>
      </c>
      <c r="F1151" s="3"/>
      <c r="G1151" s="3"/>
      <c r="H1151" s="3"/>
      <c r="I1151" s="3" t="s">
        <v>3770</v>
      </c>
      <c r="J1151" s="3" t="s">
        <v>1700</v>
      </c>
      <c r="K1151" s="27" t="s">
        <v>12</v>
      </c>
    </row>
    <row r="1152" ht="18.6" customHeight="1" spans="1:11">
      <c r="A1152" s="3">
        <v>1151</v>
      </c>
      <c r="B1152" s="3" t="s">
        <v>1962</v>
      </c>
      <c r="C1152" s="3" t="s">
        <v>3420</v>
      </c>
      <c r="D1152" s="3" t="s">
        <v>347</v>
      </c>
      <c r="E1152" s="3" t="s">
        <v>347</v>
      </c>
      <c r="F1152" s="3"/>
      <c r="G1152" s="3"/>
      <c r="H1152" s="3"/>
      <c r="I1152" s="3"/>
      <c r="J1152" s="3" t="s">
        <v>1700</v>
      </c>
      <c r="K1152" s="27" t="s">
        <v>12</v>
      </c>
    </row>
    <row r="1153" ht="18.6" customHeight="1" spans="1:11">
      <c r="A1153" s="3">
        <v>1152</v>
      </c>
      <c r="B1153" s="3" t="s">
        <v>1963</v>
      </c>
      <c r="C1153" s="3" t="s">
        <v>3426</v>
      </c>
      <c r="D1153" s="3" t="s">
        <v>379</v>
      </c>
      <c r="E1153" s="3" t="s">
        <v>403</v>
      </c>
      <c r="F1153" s="3"/>
      <c r="G1153" s="3"/>
      <c r="H1153" s="3"/>
      <c r="I1153" s="3" t="s">
        <v>3776</v>
      </c>
      <c r="J1153" s="3" t="s">
        <v>1700</v>
      </c>
      <c r="K1153" s="27" t="s">
        <v>12</v>
      </c>
    </row>
    <row r="1154" ht="18.6" customHeight="1" spans="1:11">
      <c r="A1154" s="3">
        <v>1153</v>
      </c>
      <c r="B1154" s="3" t="s">
        <v>1964</v>
      </c>
      <c r="C1154" s="3" t="s">
        <v>3426</v>
      </c>
      <c r="D1154" s="3" t="s">
        <v>379</v>
      </c>
      <c r="E1154" s="3" t="s">
        <v>382</v>
      </c>
      <c r="F1154" s="3"/>
      <c r="G1154" s="3"/>
      <c r="H1154" s="3"/>
      <c r="I1154" s="3" t="s">
        <v>3776</v>
      </c>
      <c r="J1154" s="3" t="s">
        <v>1700</v>
      </c>
      <c r="K1154" s="27" t="s">
        <v>12</v>
      </c>
    </row>
    <row r="1155" ht="18.6" customHeight="1" spans="1:11">
      <c r="A1155" s="3">
        <v>1154</v>
      </c>
      <c r="B1155" s="3" t="s">
        <v>3801</v>
      </c>
      <c r="C1155" s="3" t="s">
        <v>3426</v>
      </c>
      <c r="D1155" s="3" t="s">
        <v>379</v>
      </c>
      <c r="E1155" s="3" t="s">
        <v>396</v>
      </c>
      <c r="F1155" s="3"/>
      <c r="G1155" s="3"/>
      <c r="H1155" s="3"/>
      <c r="I1155" s="3" t="s">
        <v>3769</v>
      </c>
      <c r="J1155" s="3" t="s">
        <v>1700</v>
      </c>
      <c r="K1155" s="27" t="s">
        <v>12</v>
      </c>
    </row>
    <row r="1156" ht="18.6" customHeight="1" spans="1:11">
      <c r="A1156" s="3">
        <v>1155</v>
      </c>
      <c r="B1156" s="3" t="s">
        <v>3442</v>
      </c>
      <c r="C1156" s="3" t="s">
        <v>3426</v>
      </c>
      <c r="D1156" s="3" t="s">
        <v>379</v>
      </c>
      <c r="E1156" s="3" t="s">
        <v>389</v>
      </c>
      <c r="F1156" s="3"/>
      <c r="G1156" s="3"/>
      <c r="H1156" s="3"/>
      <c r="I1156" s="3" t="s">
        <v>3769</v>
      </c>
      <c r="J1156" s="3" t="s">
        <v>1700</v>
      </c>
      <c r="K1156" s="27" t="s">
        <v>12</v>
      </c>
    </row>
    <row r="1157" ht="18.6" customHeight="1" spans="1:11">
      <c r="A1157" s="3">
        <v>1156</v>
      </c>
      <c r="B1157" s="3" t="s">
        <v>1965</v>
      </c>
      <c r="C1157" s="3" t="s">
        <v>3426</v>
      </c>
      <c r="D1157" s="3" t="s">
        <v>379</v>
      </c>
      <c r="E1157" s="3" t="s">
        <v>401</v>
      </c>
      <c r="F1157" s="3"/>
      <c r="G1157" s="3"/>
      <c r="H1157" s="3"/>
      <c r="I1157" s="3" t="s">
        <v>3769</v>
      </c>
      <c r="J1157" s="3" t="s">
        <v>1700</v>
      </c>
      <c r="K1157" s="27" t="s">
        <v>12</v>
      </c>
    </row>
    <row r="1158" ht="18.6" customHeight="1" spans="1:11">
      <c r="A1158" s="3">
        <v>1157</v>
      </c>
      <c r="B1158" s="3" t="s">
        <v>1966</v>
      </c>
      <c r="C1158" s="3" t="s">
        <v>3426</v>
      </c>
      <c r="D1158" s="3" t="s">
        <v>379</v>
      </c>
      <c r="E1158" s="3" t="s">
        <v>382</v>
      </c>
      <c r="F1158" s="3"/>
      <c r="G1158" s="3"/>
      <c r="H1158" s="3"/>
      <c r="I1158" s="3" t="s">
        <v>3772</v>
      </c>
      <c r="J1158" s="3" t="s">
        <v>1700</v>
      </c>
      <c r="K1158" s="27" t="s">
        <v>12</v>
      </c>
    </row>
    <row r="1159" ht="18.6" customHeight="1" spans="1:11">
      <c r="A1159" s="3">
        <v>1158</v>
      </c>
      <c r="B1159" s="3" t="s">
        <v>1967</v>
      </c>
      <c r="C1159" s="3" t="s">
        <v>3426</v>
      </c>
      <c r="D1159" s="3" t="s">
        <v>379</v>
      </c>
      <c r="E1159" s="3" t="s">
        <v>430</v>
      </c>
      <c r="F1159" s="3"/>
      <c r="G1159" s="3"/>
      <c r="H1159" s="3"/>
      <c r="I1159" s="3" t="s">
        <v>3769</v>
      </c>
      <c r="J1159" s="3" t="s">
        <v>1700</v>
      </c>
      <c r="K1159" s="27" t="s">
        <v>12</v>
      </c>
    </row>
    <row r="1160" ht="18.6" customHeight="1" spans="1:11">
      <c r="A1160" s="3">
        <v>1159</v>
      </c>
      <c r="B1160" s="3" t="s">
        <v>1968</v>
      </c>
      <c r="C1160" s="3" t="s">
        <v>3426</v>
      </c>
      <c r="D1160" s="3" t="s">
        <v>379</v>
      </c>
      <c r="E1160" s="3" t="s">
        <v>387</v>
      </c>
      <c r="F1160" s="3"/>
      <c r="G1160" s="3"/>
      <c r="H1160" s="3"/>
      <c r="I1160" s="3" t="s">
        <v>3769</v>
      </c>
      <c r="J1160" s="3" t="s">
        <v>1700</v>
      </c>
      <c r="K1160" s="27" t="s">
        <v>12</v>
      </c>
    </row>
    <row r="1161" ht="18.6" customHeight="1" spans="1:11">
      <c r="A1161" s="3">
        <v>1160</v>
      </c>
      <c r="B1161" s="3" t="s">
        <v>1969</v>
      </c>
      <c r="C1161" s="3" t="s">
        <v>3426</v>
      </c>
      <c r="D1161" s="3" t="s">
        <v>379</v>
      </c>
      <c r="E1161" s="3" t="s">
        <v>401</v>
      </c>
      <c r="F1161" s="3"/>
      <c r="G1161" s="3"/>
      <c r="H1161" s="3"/>
      <c r="I1161" s="3" t="s">
        <v>3769</v>
      </c>
      <c r="J1161" s="3" t="s">
        <v>1700</v>
      </c>
      <c r="K1161" s="27" t="s">
        <v>12</v>
      </c>
    </row>
    <row r="1162" ht="18.6" customHeight="1" spans="1:11">
      <c r="A1162" s="3">
        <v>1161</v>
      </c>
      <c r="B1162" s="3" t="s">
        <v>3802</v>
      </c>
      <c r="C1162" s="3" t="s">
        <v>3426</v>
      </c>
      <c r="D1162" s="3" t="s">
        <v>379</v>
      </c>
      <c r="E1162" s="3" t="s">
        <v>382</v>
      </c>
      <c r="F1162" s="3"/>
      <c r="G1162" s="3"/>
      <c r="H1162" s="3"/>
      <c r="I1162" s="3" t="s">
        <v>3769</v>
      </c>
      <c r="J1162" s="3" t="s">
        <v>1700</v>
      </c>
      <c r="K1162" s="27" t="s">
        <v>12</v>
      </c>
    </row>
    <row r="1163" ht="18.6" customHeight="1" spans="1:11">
      <c r="A1163" s="3">
        <v>1162</v>
      </c>
      <c r="B1163" s="3" t="s">
        <v>1970</v>
      </c>
      <c r="C1163" s="3" t="s">
        <v>3426</v>
      </c>
      <c r="D1163" s="3" t="s">
        <v>379</v>
      </c>
      <c r="E1163" s="3" t="s">
        <v>382</v>
      </c>
      <c r="F1163" s="3"/>
      <c r="G1163" s="3"/>
      <c r="H1163" s="3"/>
      <c r="I1163" s="3" t="s">
        <v>3770</v>
      </c>
      <c r="J1163" s="3" t="s">
        <v>1700</v>
      </c>
      <c r="K1163" s="27" t="s">
        <v>12</v>
      </c>
    </row>
    <row r="1164" ht="18.6" customHeight="1" spans="1:11">
      <c r="A1164" s="3">
        <v>1163</v>
      </c>
      <c r="B1164" s="3" t="s">
        <v>3803</v>
      </c>
      <c r="C1164" s="3" t="s">
        <v>3426</v>
      </c>
      <c r="D1164" s="3" t="s">
        <v>379</v>
      </c>
      <c r="E1164" s="3" t="s">
        <v>424</v>
      </c>
      <c r="F1164" s="3"/>
      <c r="G1164" s="3"/>
      <c r="H1164" s="3"/>
      <c r="I1164" s="3" t="s">
        <v>3769</v>
      </c>
      <c r="J1164" s="3" t="s">
        <v>1700</v>
      </c>
      <c r="K1164" s="27" t="s">
        <v>12</v>
      </c>
    </row>
    <row r="1165" ht="18.6" customHeight="1" spans="1:11">
      <c r="A1165" s="3">
        <v>1164</v>
      </c>
      <c r="B1165" s="3" t="s">
        <v>3804</v>
      </c>
      <c r="C1165" s="3" t="s">
        <v>3426</v>
      </c>
      <c r="D1165" s="3" t="s">
        <v>379</v>
      </c>
      <c r="E1165" s="3" t="s">
        <v>430</v>
      </c>
      <c r="F1165" s="3"/>
      <c r="G1165" s="3"/>
      <c r="H1165" s="3"/>
      <c r="I1165" s="3" t="s">
        <v>3776</v>
      </c>
      <c r="J1165" s="3" t="s">
        <v>1700</v>
      </c>
      <c r="K1165" s="27" t="s">
        <v>12</v>
      </c>
    </row>
    <row r="1166" ht="18.6" customHeight="1" spans="1:11">
      <c r="A1166" s="3">
        <v>1165</v>
      </c>
      <c r="B1166" s="3" t="s">
        <v>1971</v>
      </c>
      <c r="C1166" s="3" t="s">
        <v>3426</v>
      </c>
      <c r="D1166" s="3" t="s">
        <v>379</v>
      </c>
      <c r="E1166" s="3" t="s">
        <v>380</v>
      </c>
      <c r="F1166" s="3"/>
      <c r="G1166" s="3"/>
      <c r="H1166" s="3"/>
      <c r="I1166" s="3" t="s">
        <v>3771</v>
      </c>
      <c r="J1166" s="3" t="s">
        <v>1700</v>
      </c>
      <c r="K1166" s="27" t="s">
        <v>12</v>
      </c>
    </row>
    <row r="1167" ht="18.6" customHeight="1" spans="1:11">
      <c r="A1167" s="3">
        <v>1166</v>
      </c>
      <c r="B1167" s="3" t="s">
        <v>1972</v>
      </c>
      <c r="C1167" s="3" t="s">
        <v>3426</v>
      </c>
      <c r="D1167" s="3" t="s">
        <v>379</v>
      </c>
      <c r="E1167" s="3" t="s">
        <v>435</v>
      </c>
      <c r="F1167" s="3"/>
      <c r="G1167" s="3"/>
      <c r="H1167" s="3"/>
      <c r="I1167" s="3" t="s">
        <v>3769</v>
      </c>
      <c r="J1167" s="3" t="s">
        <v>1700</v>
      </c>
      <c r="K1167" s="27" t="s">
        <v>12</v>
      </c>
    </row>
    <row r="1168" ht="18.6" customHeight="1" spans="1:11">
      <c r="A1168" s="3">
        <v>1167</v>
      </c>
      <c r="B1168" s="3" t="s">
        <v>1973</v>
      </c>
      <c r="C1168" s="3" t="s">
        <v>3426</v>
      </c>
      <c r="D1168" s="3" t="s">
        <v>379</v>
      </c>
      <c r="E1168" s="3" t="s">
        <v>392</v>
      </c>
      <c r="F1168" s="3"/>
      <c r="G1168" s="3"/>
      <c r="H1168" s="3"/>
      <c r="I1168" s="3" t="s">
        <v>3769</v>
      </c>
      <c r="J1168" s="3" t="s">
        <v>1700</v>
      </c>
      <c r="K1168" s="27" t="s">
        <v>12</v>
      </c>
    </row>
    <row r="1169" ht="18.6" customHeight="1" spans="1:11">
      <c r="A1169" s="3">
        <v>1168</v>
      </c>
      <c r="B1169" s="3" t="s">
        <v>1974</v>
      </c>
      <c r="C1169" s="3" t="s">
        <v>3426</v>
      </c>
      <c r="D1169" s="3" t="s">
        <v>379</v>
      </c>
      <c r="E1169" s="3" t="s">
        <v>380</v>
      </c>
      <c r="F1169" s="3"/>
      <c r="G1169" s="3"/>
      <c r="H1169" s="3"/>
      <c r="I1169" s="3"/>
      <c r="J1169" s="3" t="s">
        <v>1700</v>
      </c>
      <c r="K1169" s="27" t="s">
        <v>12</v>
      </c>
    </row>
    <row r="1170" ht="18.6" customHeight="1" spans="1:11">
      <c r="A1170" s="3">
        <v>1169</v>
      </c>
      <c r="B1170" s="3" t="s">
        <v>1975</v>
      </c>
      <c r="C1170" s="3" t="s">
        <v>3426</v>
      </c>
      <c r="D1170" s="3" t="s">
        <v>379</v>
      </c>
      <c r="E1170" s="3" t="s">
        <v>380</v>
      </c>
      <c r="F1170" s="3"/>
      <c r="G1170" s="3"/>
      <c r="H1170" s="3"/>
      <c r="I1170" s="3" t="s">
        <v>3769</v>
      </c>
      <c r="J1170" s="3" t="s">
        <v>1700</v>
      </c>
      <c r="K1170" s="27" t="s">
        <v>12</v>
      </c>
    </row>
    <row r="1171" ht="18.6" customHeight="1" spans="1:11">
      <c r="A1171" s="3">
        <v>1170</v>
      </c>
      <c r="B1171" s="3" t="s">
        <v>1976</v>
      </c>
      <c r="C1171" s="3" t="s">
        <v>3426</v>
      </c>
      <c r="D1171" s="3" t="s">
        <v>379</v>
      </c>
      <c r="E1171" s="3" t="s">
        <v>396</v>
      </c>
      <c r="F1171" s="3"/>
      <c r="G1171" s="3"/>
      <c r="H1171" s="3"/>
      <c r="I1171" s="3" t="s">
        <v>3769</v>
      </c>
      <c r="J1171" s="3" t="s">
        <v>1700</v>
      </c>
      <c r="K1171" s="27" t="s">
        <v>12</v>
      </c>
    </row>
    <row r="1172" ht="18.6" customHeight="1" spans="1:11">
      <c r="A1172" s="3">
        <v>1171</v>
      </c>
      <c r="B1172" s="3" t="s">
        <v>1977</v>
      </c>
      <c r="C1172" s="3" t="s">
        <v>3426</v>
      </c>
      <c r="D1172" s="3" t="s">
        <v>379</v>
      </c>
      <c r="E1172" s="3" t="s">
        <v>403</v>
      </c>
      <c r="F1172" s="3"/>
      <c r="G1172" s="3"/>
      <c r="H1172" s="3"/>
      <c r="I1172" s="3" t="s">
        <v>3775</v>
      </c>
      <c r="J1172" s="3" t="s">
        <v>1700</v>
      </c>
      <c r="K1172" s="27" t="s">
        <v>12</v>
      </c>
    </row>
    <row r="1173" ht="18.6" customHeight="1" spans="1:11">
      <c r="A1173" s="3">
        <v>1172</v>
      </c>
      <c r="B1173" s="3" t="s">
        <v>1978</v>
      </c>
      <c r="C1173" s="3" t="s">
        <v>3426</v>
      </c>
      <c r="D1173" s="3" t="s">
        <v>379</v>
      </c>
      <c r="E1173" s="3" t="s">
        <v>424</v>
      </c>
      <c r="F1173" s="3"/>
      <c r="G1173" s="3"/>
      <c r="H1173" s="3"/>
      <c r="I1173" s="3"/>
      <c r="J1173" s="3" t="s">
        <v>1700</v>
      </c>
      <c r="K1173" s="27" t="s">
        <v>12</v>
      </c>
    </row>
    <row r="1174" ht="18.6" customHeight="1" spans="1:11">
      <c r="A1174" s="3">
        <v>1173</v>
      </c>
      <c r="B1174" s="3" t="s">
        <v>1979</v>
      </c>
      <c r="C1174" s="3" t="s">
        <v>3426</v>
      </c>
      <c r="D1174" s="3" t="s">
        <v>379</v>
      </c>
      <c r="E1174" s="3" t="s">
        <v>401</v>
      </c>
      <c r="F1174" s="3"/>
      <c r="G1174" s="3"/>
      <c r="H1174" s="3"/>
      <c r="I1174" s="3" t="s">
        <v>3770</v>
      </c>
      <c r="J1174" s="3" t="s">
        <v>1700</v>
      </c>
      <c r="K1174" s="27" t="s">
        <v>12</v>
      </c>
    </row>
    <row r="1175" ht="18.6" customHeight="1" spans="1:11">
      <c r="A1175" s="3">
        <v>1174</v>
      </c>
      <c r="B1175" s="3" t="s">
        <v>1980</v>
      </c>
      <c r="C1175" s="3" t="s">
        <v>3426</v>
      </c>
      <c r="D1175" s="3" t="s">
        <v>379</v>
      </c>
      <c r="E1175" s="3" t="s">
        <v>382</v>
      </c>
      <c r="F1175" s="3"/>
      <c r="G1175" s="3"/>
      <c r="H1175" s="3"/>
      <c r="I1175" s="3" t="s">
        <v>3771</v>
      </c>
      <c r="J1175" s="3" t="s">
        <v>1700</v>
      </c>
      <c r="K1175" s="27" t="s">
        <v>12</v>
      </c>
    </row>
    <row r="1176" ht="18.6" customHeight="1" spans="1:11">
      <c r="A1176" s="3">
        <v>1175</v>
      </c>
      <c r="B1176" s="3" t="s">
        <v>1981</v>
      </c>
      <c r="C1176" s="3" t="s">
        <v>3426</v>
      </c>
      <c r="D1176" s="3" t="s">
        <v>379</v>
      </c>
      <c r="E1176" s="3" t="s">
        <v>382</v>
      </c>
      <c r="F1176" s="3"/>
      <c r="G1176" s="3"/>
      <c r="H1176" s="3"/>
      <c r="I1176" s="3" t="s">
        <v>3770</v>
      </c>
      <c r="J1176" s="3" t="s">
        <v>1700</v>
      </c>
      <c r="K1176" s="27" t="s">
        <v>12</v>
      </c>
    </row>
    <row r="1177" ht="18.6" customHeight="1" spans="1:11">
      <c r="A1177" s="3">
        <v>1176</v>
      </c>
      <c r="B1177" s="3" t="s">
        <v>1982</v>
      </c>
      <c r="C1177" s="3" t="s">
        <v>3426</v>
      </c>
      <c r="D1177" s="3" t="s">
        <v>379</v>
      </c>
      <c r="E1177" s="3" t="s">
        <v>382</v>
      </c>
      <c r="F1177" s="3"/>
      <c r="G1177" s="3"/>
      <c r="H1177" s="3"/>
      <c r="I1177" s="3" t="s">
        <v>3775</v>
      </c>
      <c r="J1177" s="3" t="s">
        <v>1700</v>
      </c>
      <c r="K1177" s="27" t="s">
        <v>12</v>
      </c>
    </row>
    <row r="1178" ht="18.6" customHeight="1" spans="1:11">
      <c r="A1178" s="3">
        <v>1177</v>
      </c>
      <c r="B1178" s="3" t="s">
        <v>1983</v>
      </c>
      <c r="C1178" s="3" t="s">
        <v>3426</v>
      </c>
      <c r="D1178" s="3" t="s">
        <v>379</v>
      </c>
      <c r="E1178" s="3" t="s">
        <v>396</v>
      </c>
      <c r="F1178" s="3"/>
      <c r="G1178" s="3"/>
      <c r="H1178" s="3"/>
      <c r="I1178" s="3" t="s">
        <v>3771</v>
      </c>
      <c r="J1178" s="3" t="s">
        <v>1700</v>
      </c>
      <c r="K1178" s="27" t="s">
        <v>12</v>
      </c>
    </row>
    <row r="1179" ht="18.6" customHeight="1" spans="1:11">
      <c r="A1179" s="3">
        <v>1178</v>
      </c>
      <c r="B1179" s="3" t="s">
        <v>1984</v>
      </c>
      <c r="C1179" s="3" t="s">
        <v>3426</v>
      </c>
      <c r="D1179" s="3" t="s">
        <v>379</v>
      </c>
      <c r="E1179" s="3" t="s">
        <v>401</v>
      </c>
      <c r="F1179" s="3"/>
      <c r="G1179" s="3"/>
      <c r="H1179" s="3"/>
      <c r="I1179" s="3" t="s">
        <v>3770</v>
      </c>
      <c r="J1179" s="3" t="s">
        <v>1700</v>
      </c>
      <c r="K1179" s="27" t="s">
        <v>12</v>
      </c>
    </row>
    <row r="1180" ht="18.6" customHeight="1" spans="1:11">
      <c r="A1180" s="3">
        <v>1179</v>
      </c>
      <c r="B1180" s="3" t="s">
        <v>1985</v>
      </c>
      <c r="C1180" s="3" t="s">
        <v>3426</v>
      </c>
      <c r="D1180" s="3" t="s">
        <v>379</v>
      </c>
      <c r="E1180" s="3" t="s">
        <v>380</v>
      </c>
      <c r="F1180" s="3"/>
      <c r="G1180" s="3"/>
      <c r="H1180" s="3"/>
      <c r="I1180" s="3" t="s">
        <v>3770</v>
      </c>
      <c r="J1180" s="3" t="s">
        <v>1700</v>
      </c>
      <c r="K1180" s="27" t="s">
        <v>12</v>
      </c>
    </row>
    <row r="1181" ht="18.6" customHeight="1" spans="1:11">
      <c r="A1181" s="3">
        <v>1180</v>
      </c>
      <c r="B1181" s="3" t="s">
        <v>1986</v>
      </c>
      <c r="C1181" s="3" t="s">
        <v>3426</v>
      </c>
      <c r="D1181" s="3" t="s">
        <v>379</v>
      </c>
      <c r="E1181" s="3" t="s">
        <v>412</v>
      </c>
      <c r="F1181" s="3"/>
      <c r="G1181" s="3"/>
      <c r="H1181" s="3"/>
      <c r="I1181" s="3" t="s">
        <v>3769</v>
      </c>
      <c r="J1181" s="3" t="s">
        <v>1700</v>
      </c>
      <c r="K1181" s="27" t="s">
        <v>12</v>
      </c>
    </row>
    <row r="1182" ht="18.6" customHeight="1" spans="1:11">
      <c r="A1182" s="3">
        <v>1181</v>
      </c>
      <c r="B1182" s="3" t="s">
        <v>1987</v>
      </c>
      <c r="C1182" s="3" t="s">
        <v>3426</v>
      </c>
      <c r="D1182" s="3" t="s">
        <v>379</v>
      </c>
      <c r="E1182" s="3" t="s">
        <v>435</v>
      </c>
      <c r="F1182" s="3"/>
      <c r="G1182" s="3"/>
      <c r="H1182" s="3"/>
      <c r="I1182" s="3" t="s">
        <v>3773</v>
      </c>
      <c r="J1182" s="3" t="s">
        <v>1700</v>
      </c>
      <c r="K1182" s="27" t="s">
        <v>12</v>
      </c>
    </row>
    <row r="1183" ht="18.6" customHeight="1" spans="1:11">
      <c r="A1183" s="3">
        <v>1182</v>
      </c>
      <c r="B1183" s="3" t="s">
        <v>1988</v>
      </c>
      <c r="C1183" s="3" t="s">
        <v>3426</v>
      </c>
      <c r="D1183" s="3" t="s">
        <v>379</v>
      </c>
      <c r="E1183" s="3" t="s">
        <v>392</v>
      </c>
      <c r="F1183" s="3"/>
      <c r="G1183" s="3"/>
      <c r="H1183" s="3"/>
      <c r="I1183" s="3" t="s">
        <v>3770</v>
      </c>
      <c r="J1183" s="3" t="s">
        <v>1700</v>
      </c>
      <c r="K1183" s="27" t="s">
        <v>12</v>
      </c>
    </row>
    <row r="1184" ht="18.6" customHeight="1" spans="1:11">
      <c r="A1184" s="3">
        <v>1183</v>
      </c>
      <c r="B1184" s="3" t="s">
        <v>1989</v>
      </c>
      <c r="C1184" s="3" t="s">
        <v>3426</v>
      </c>
      <c r="D1184" s="3" t="s">
        <v>379</v>
      </c>
      <c r="E1184" s="3" t="s">
        <v>382</v>
      </c>
      <c r="F1184" s="3"/>
      <c r="G1184" s="3"/>
      <c r="H1184" s="3"/>
      <c r="I1184" s="3" t="s">
        <v>3773</v>
      </c>
      <c r="J1184" s="3" t="s">
        <v>1700</v>
      </c>
      <c r="K1184" s="27" t="s">
        <v>12</v>
      </c>
    </row>
    <row r="1185" ht="18.6" customHeight="1" spans="1:11">
      <c r="A1185" s="3">
        <v>1184</v>
      </c>
      <c r="B1185" s="3" t="s">
        <v>1990</v>
      </c>
      <c r="C1185" s="3" t="s">
        <v>3426</v>
      </c>
      <c r="D1185" s="3" t="s">
        <v>379</v>
      </c>
      <c r="E1185" s="3" t="s">
        <v>382</v>
      </c>
      <c r="F1185" s="3"/>
      <c r="G1185" s="3"/>
      <c r="H1185" s="3"/>
      <c r="I1185" s="3" t="s">
        <v>3769</v>
      </c>
      <c r="J1185" s="3" t="s">
        <v>1700</v>
      </c>
      <c r="K1185" s="27" t="s">
        <v>12</v>
      </c>
    </row>
    <row r="1186" ht="18.6" customHeight="1" spans="1:11">
      <c r="A1186" s="3">
        <v>1185</v>
      </c>
      <c r="B1186" s="3" t="s">
        <v>1991</v>
      </c>
      <c r="C1186" s="3" t="s">
        <v>3426</v>
      </c>
      <c r="D1186" s="3" t="s">
        <v>379</v>
      </c>
      <c r="E1186" s="3" t="s">
        <v>380</v>
      </c>
      <c r="F1186" s="3"/>
      <c r="G1186" s="3"/>
      <c r="H1186" s="3"/>
      <c r="I1186" s="3" t="s">
        <v>3770</v>
      </c>
      <c r="J1186" s="3" t="s">
        <v>1700</v>
      </c>
      <c r="K1186" s="27" t="s">
        <v>12</v>
      </c>
    </row>
    <row r="1187" ht="18.6" customHeight="1" spans="1:11">
      <c r="A1187" s="3">
        <v>1186</v>
      </c>
      <c r="B1187" s="3" t="s">
        <v>1992</v>
      </c>
      <c r="C1187" s="3" t="s">
        <v>3426</v>
      </c>
      <c r="D1187" s="3" t="s">
        <v>379</v>
      </c>
      <c r="E1187" s="3" t="s">
        <v>392</v>
      </c>
      <c r="F1187" s="3"/>
      <c r="G1187" s="3"/>
      <c r="H1187" s="3"/>
      <c r="I1187" s="3" t="s">
        <v>3770</v>
      </c>
      <c r="J1187" s="3" t="s">
        <v>1700</v>
      </c>
      <c r="K1187" s="27" t="s">
        <v>12</v>
      </c>
    </row>
    <row r="1188" ht="18.6" customHeight="1" spans="1:11">
      <c r="A1188" s="3">
        <v>1187</v>
      </c>
      <c r="B1188" s="3" t="s">
        <v>1993</v>
      </c>
      <c r="C1188" s="3" t="s">
        <v>3426</v>
      </c>
      <c r="D1188" s="3" t="s">
        <v>379</v>
      </c>
      <c r="E1188" s="3" t="s">
        <v>392</v>
      </c>
      <c r="F1188" s="3"/>
      <c r="G1188" s="3"/>
      <c r="H1188" s="3"/>
      <c r="I1188" s="3" t="s">
        <v>3770</v>
      </c>
      <c r="J1188" s="3" t="s">
        <v>1700</v>
      </c>
      <c r="K1188" s="27" t="s">
        <v>12</v>
      </c>
    </row>
    <row r="1189" ht="18.6" customHeight="1" spans="1:11">
      <c r="A1189" s="3">
        <v>1188</v>
      </c>
      <c r="B1189" s="3" t="s">
        <v>1994</v>
      </c>
      <c r="C1189" s="3" t="s">
        <v>3426</v>
      </c>
      <c r="D1189" s="3" t="s">
        <v>379</v>
      </c>
      <c r="E1189" s="3" t="s">
        <v>387</v>
      </c>
      <c r="F1189" s="3"/>
      <c r="G1189" s="3"/>
      <c r="H1189" s="3"/>
      <c r="I1189" s="3" t="s">
        <v>3773</v>
      </c>
      <c r="J1189" s="3" t="s">
        <v>1700</v>
      </c>
      <c r="K1189" s="27" t="s">
        <v>12</v>
      </c>
    </row>
    <row r="1190" ht="18.6" customHeight="1" spans="1:11">
      <c r="A1190" s="3">
        <v>1189</v>
      </c>
      <c r="B1190" s="3" t="s">
        <v>1995</v>
      </c>
      <c r="C1190" s="3" t="s">
        <v>3426</v>
      </c>
      <c r="D1190" s="3" t="s">
        <v>379</v>
      </c>
      <c r="E1190" s="3" t="s">
        <v>412</v>
      </c>
      <c r="F1190" s="3"/>
      <c r="G1190" s="3"/>
      <c r="H1190" s="3"/>
      <c r="I1190" s="3" t="s">
        <v>3769</v>
      </c>
      <c r="J1190" s="3" t="s">
        <v>1700</v>
      </c>
      <c r="K1190" s="27" t="s">
        <v>12</v>
      </c>
    </row>
    <row r="1191" ht="18.6" customHeight="1" spans="1:11">
      <c r="A1191" s="3">
        <v>1190</v>
      </c>
      <c r="B1191" s="3" t="s">
        <v>1996</v>
      </c>
      <c r="C1191" s="3" t="s">
        <v>3426</v>
      </c>
      <c r="D1191" s="3" t="s">
        <v>379</v>
      </c>
      <c r="E1191" s="3" t="s">
        <v>380</v>
      </c>
      <c r="F1191" s="3"/>
      <c r="G1191" s="3"/>
      <c r="H1191" s="3"/>
      <c r="I1191" s="3" t="s">
        <v>3770</v>
      </c>
      <c r="J1191" s="3" t="s">
        <v>1700</v>
      </c>
      <c r="K1191" s="27" t="s">
        <v>12</v>
      </c>
    </row>
    <row r="1192" ht="18.6" customHeight="1" spans="1:11">
      <c r="A1192" s="3">
        <v>1191</v>
      </c>
      <c r="B1192" s="3" t="s">
        <v>1997</v>
      </c>
      <c r="C1192" s="3" t="s">
        <v>3426</v>
      </c>
      <c r="D1192" s="3" t="s">
        <v>379</v>
      </c>
      <c r="E1192" s="3" t="s">
        <v>389</v>
      </c>
      <c r="F1192" s="3"/>
      <c r="G1192" s="3"/>
      <c r="H1192" s="3"/>
      <c r="I1192" s="3" t="s">
        <v>3770</v>
      </c>
      <c r="J1192" s="3" t="s">
        <v>1700</v>
      </c>
      <c r="K1192" s="27" t="s">
        <v>12</v>
      </c>
    </row>
    <row r="1193" ht="18.6" customHeight="1" spans="1:11">
      <c r="A1193" s="3">
        <v>1192</v>
      </c>
      <c r="B1193" s="3" t="s">
        <v>1998</v>
      </c>
      <c r="C1193" s="3" t="s">
        <v>3426</v>
      </c>
      <c r="D1193" s="3" t="s">
        <v>379</v>
      </c>
      <c r="E1193" s="3" t="s">
        <v>396</v>
      </c>
      <c r="F1193" s="3"/>
      <c r="G1193" s="3"/>
      <c r="H1193" s="3"/>
      <c r="I1193" s="3" t="s">
        <v>3770</v>
      </c>
      <c r="J1193" s="3" t="s">
        <v>1700</v>
      </c>
      <c r="K1193" s="27" t="s">
        <v>12</v>
      </c>
    </row>
    <row r="1194" ht="18.6" customHeight="1" spans="1:11">
      <c r="A1194" s="3">
        <v>1193</v>
      </c>
      <c r="B1194" s="3" t="s">
        <v>1999</v>
      </c>
      <c r="C1194" s="3" t="s">
        <v>3426</v>
      </c>
      <c r="D1194" s="3" t="s">
        <v>379</v>
      </c>
      <c r="E1194" s="3" t="s">
        <v>440</v>
      </c>
      <c r="F1194" s="3"/>
      <c r="G1194" s="3"/>
      <c r="H1194" s="3"/>
      <c r="I1194" s="3"/>
      <c r="J1194" s="3" t="s">
        <v>1700</v>
      </c>
      <c r="K1194" s="27" t="s">
        <v>12</v>
      </c>
    </row>
    <row r="1195" ht="18.6" customHeight="1" spans="1:11">
      <c r="A1195" s="3">
        <v>1194</v>
      </c>
      <c r="B1195" s="3" t="s">
        <v>2000</v>
      </c>
      <c r="C1195" s="3" t="s">
        <v>3426</v>
      </c>
      <c r="D1195" s="3" t="s">
        <v>379</v>
      </c>
      <c r="E1195" s="3" t="s">
        <v>380</v>
      </c>
      <c r="F1195" s="3"/>
      <c r="G1195" s="3"/>
      <c r="H1195" s="3"/>
      <c r="I1195" s="3" t="s">
        <v>3769</v>
      </c>
      <c r="J1195" s="3" t="s">
        <v>1700</v>
      </c>
      <c r="K1195" s="27" t="s">
        <v>12</v>
      </c>
    </row>
    <row r="1196" ht="18.6" customHeight="1" spans="1:11">
      <c r="A1196" s="3">
        <v>1195</v>
      </c>
      <c r="B1196" s="3" t="s">
        <v>2001</v>
      </c>
      <c r="C1196" s="3" t="s">
        <v>3426</v>
      </c>
      <c r="D1196" s="3" t="s">
        <v>379</v>
      </c>
      <c r="E1196" s="3" t="s">
        <v>392</v>
      </c>
      <c r="F1196" s="3"/>
      <c r="G1196" s="3"/>
      <c r="H1196" s="3"/>
      <c r="I1196" s="3" t="s">
        <v>3769</v>
      </c>
      <c r="J1196" s="3" t="s">
        <v>1700</v>
      </c>
      <c r="K1196" s="27" t="s">
        <v>12</v>
      </c>
    </row>
    <row r="1197" ht="18.6" customHeight="1" spans="1:11">
      <c r="A1197" s="3">
        <v>1196</v>
      </c>
      <c r="B1197" s="3" t="s">
        <v>2002</v>
      </c>
      <c r="C1197" s="3" t="s">
        <v>3426</v>
      </c>
      <c r="D1197" s="3" t="s">
        <v>379</v>
      </c>
      <c r="E1197" s="3" t="s">
        <v>396</v>
      </c>
      <c r="F1197" s="3"/>
      <c r="G1197" s="3"/>
      <c r="H1197" s="3"/>
      <c r="I1197" s="3" t="s">
        <v>3769</v>
      </c>
      <c r="J1197" s="3" t="s">
        <v>1700</v>
      </c>
      <c r="K1197" s="27" t="s">
        <v>12</v>
      </c>
    </row>
    <row r="1198" ht="18.6" customHeight="1" spans="1:11">
      <c r="A1198" s="3">
        <v>1197</v>
      </c>
      <c r="B1198" s="3" t="s">
        <v>2003</v>
      </c>
      <c r="C1198" s="3" t="s">
        <v>3426</v>
      </c>
      <c r="D1198" s="3" t="s">
        <v>379</v>
      </c>
      <c r="E1198" s="3" t="s">
        <v>396</v>
      </c>
      <c r="F1198" s="3"/>
      <c r="G1198" s="3"/>
      <c r="H1198" s="3"/>
      <c r="I1198" s="3" t="s">
        <v>3769</v>
      </c>
      <c r="J1198" s="3" t="s">
        <v>1700</v>
      </c>
      <c r="K1198" s="27" t="s">
        <v>12</v>
      </c>
    </row>
    <row r="1199" ht="18.6" customHeight="1" spans="1:11">
      <c r="A1199" s="3">
        <v>1198</v>
      </c>
      <c r="B1199" s="3" t="s">
        <v>2004</v>
      </c>
      <c r="C1199" s="3" t="s">
        <v>3426</v>
      </c>
      <c r="D1199" s="3" t="s">
        <v>379</v>
      </c>
      <c r="E1199" s="3" t="s">
        <v>396</v>
      </c>
      <c r="F1199" s="3"/>
      <c r="G1199" s="3"/>
      <c r="H1199" s="3"/>
      <c r="I1199" s="3" t="s">
        <v>3772</v>
      </c>
      <c r="J1199" s="3" t="s">
        <v>1700</v>
      </c>
      <c r="K1199" s="27" t="s">
        <v>12</v>
      </c>
    </row>
    <row r="1200" ht="18.6" customHeight="1" spans="1:11">
      <c r="A1200" s="3">
        <v>1199</v>
      </c>
      <c r="B1200" s="3" t="s">
        <v>2005</v>
      </c>
      <c r="C1200" s="3" t="s">
        <v>3426</v>
      </c>
      <c r="D1200" s="3" t="s">
        <v>379</v>
      </c>
      <c r="E1200" s="3" t="s">
        <v>382</v>
      </c>
      <c r="F1200" s="3"/>
      <c r="G1200" s="3"/>
      <c r="H1200" s="3"/>
      <c r="I1200" s="3" t="s">
        <v>3769</v>
      </c>
      <c r="J1200" s="3" t="s">
        <v>1700</v>
      </c>
      <c r="K1200" s="27" t="s">
        <v>12</v>
      </c>
    </row>
    <row r="1201" ht="18.6" customHeight="1" spans="1:11">
      <c r="A1201" s="3">
        <v>1200</v>
      </c>
      <c r="B1201" s="3" t="s">
        <v>2006</v>
      </c>
      <c r="C1201" s="3" t="s">
        <v>3426</v>
      </c>
      <c r="D1201" s="3" t="s">
        <v>379</v>
      </c>
      <c r="E1201" s="3" t="s">
        <v>403</v>
      </c>
      <c r="F1201" s="3"/>
      <c r="G1201" s="3"/>
      <c r="H1201" s="3"/>
      <c r="I1201" s="3" t="s">
        <v>3770</v>
      </c>
      <c r="J1201" s="3" t="s">
        <v>1700</v>
      </c>
      <c r="K1201" s="27" t="s">
        <v>12</v>
      </c>
    </row>
    <row r="1202" ht="18.6" customHeight="1" spans="1:11">
      <c r="A1202" s="3">
        <v>1201</v>
      </c>
      <c r="B1202" s="3" t="s">
        <v>2007</v>
      </c>
      <c r="C1202" s="3" t="s">
        <v>3426</v>
      </c>
      <c r="D1202" s="3" t="s">
        <v>379</v>
      </c>
      <c r="E1202" s="3" t="s">
        <v>412</v>
      </c>
      <c r="F1202" s="3"/>
      <c r="G1202" s="3"/>
      <c r="H1202" s="3"/>
      <c r="I1202" s="3" t="s">
        <v>3771</v>
      </c>
      <c r="J1202" s="3" t="s">
        <v>1700</v>
      </c>
      <c r="K1202" s="27" t="s">
        <v>12</v>
      </c>
    </row>
    <row r="1203" ht="18.6" customHeight="1" spans="1:11">
      <c r="A1203" s="3">
        <v>1202</v>
      </c>
      <c r="B1203" s="3" t="s">
        <v>2008</v>
      </c>
      <c r="C1203" s="3" t="s">
        <v>3426</v>
      </c>
      <c r="D1203" s="3" t="s">
        <v>379</v>
      </c>
      <c r="E1203" s="3" t="s">
        <v>424</v>
      </c>
      <c r="F1203" s="3"/>
      <c r="G1203" s="3"/>
      <c r="H1203" s="3"/>
      <c r="I1203" s="3" t="s">
        <v>3769</v>
      </c>
      <c r="J1203" s="3" t="s">
        <v>1700</v>
      </c>
      <c r="K1203" s="27" t="s">
        <v>12</v>
      </c>
    </row>
    <row r="1204" ht="18.6" customHeight="1" spans="1:11">
      <c r="A1204" s="3">
        <v>1203</v>
      </c>
      <c r="B1204" s="3" t="s">
        <v>2009</v>
      </c>
      <c r="C1204" s="3" t="s">
        <v>3426</v>
      </c>
      <c r="D1204" s="3" t="s">
        <v>379</v>
      </c>
      <c r="E1204" s="3" t="s">
        <v>380</v>
      </c>
      <c r="F1204" s="3"/>
      <c r="G1204" s="3"/>
      <c r="H1204" s="3"/>
      <c r="I1204" s="3" t="s">
        <v>3769</v>
      </c>
      <c r="J1204" s="3" t="s">
        <v>1700</v>
      </c>
      <c r="K1204" s="27" t="s">
        <v>12</v>
      </c>
    </row>
    <row r="1205" ht="18.6" customHeight="1" spans="1:11">
      <c r="A1205" s="3">
        <v>1204</v>
      </c>
      <c r="B1205" s="3" t="s">
        <v>2010</v>
      </c>
      <c r="C1205" s="3" t="s">
        <v>3426</v>
      </c>
      <c r="D1205" s="3" t="s">
        <v>379</v>
      </c>
      <c r="E1205" s="3" t="s">
        <v>380</v>
      </c>
      <c r="F1205" s="3"/>
      <c r="G1205" s="3"/>
      <c r="H1205" s="3"/>
      <c r="I1205" s="3" t="s">
        <v>3769</v>
      </c>
      <c r="J1205" s="3" t="s">
        <v>1700</v>
      </c>
      <c r="K1205" s="27" t="s">
        <v>12</v>
      </c>
    </row>
    <row r="1206" ht="18.6" customHeight="1" spans="1:11">
      <c r="A1206" s="3">
        <v>1205</v>
      </c>
      <c r="B1206" s="3" t="s">
        <v>2011</v>
      </c>
      <c r="C1206" s="3" t="s">
        <v>3426</v>
      </c>
      <c r="D1206" s="3" t="s">
        <v>379</v>
      </c>
      <c r="E1206" s="3" t="s">
        <v>380</v>
      </c>
      <c r="F1206" s="3"/>
      <c r="G1206" s="3"/>
      <c r="H1206" s="3"/>
      <c r="I1206" s="3" t="s">
        <v>3769</v>
      </c>
      <c r="J1206" s="3" t="s">
        <v>1700</v>
      </c>
      <c r="K1206" s="27" t="s">
        <v>12</v>
      </c>
    </row>
    <row r="1207" ht="18.6" customHeight="1" spans="1:11">
      <c r="A1207" s="3">
        <v>1206</v>
      </c>
      <c r="B1207" s="3" t="s">
        <v>2012</v>
      </c>
      <c r="C1207" s="3" t="s">
        <v>3426</v>
      </c>
      <c r="D1207" s="3" t="s">
        <v>379</v>
      </c>
      <c r="E1207" s="3" t="s">
        <v>380</v>
      </c>
      <c r="F1207" s="3"/>
      <c r="G1207" s="3"/>
      <c r="H1207" s="3"/>
      <c r="I1207" s="3" t="s">
        <v>3769</v>
      </c>
      <c r="J1207" s="3" t="s">
        <v>1700</v>
      </c>
      <c r="K1207" s="27" t="s">
        <v>12</v>
      </c>
    </row>
    <row r="1208" ht="18.6" customHeight="1" spans="1:11">
      <c r="A1208" s="3">
        <v>1207</v>
      </c>
      <c r="B1208" s="3" t="s">
        <v>2013</v>
      </c>
      <c r="C1208" s="3" t="s">
        <v>3426</v>
      </c>
      <c r="D1208" s="3" t="s">
        <v>379</v>
      </c>
      <c r="E1208" s="3" t="s">
        <v>380</v>
      </c>
      <c r="F1208" s="3"/>
      <c r="G1208" s="3"/>
      <c r="H1208" s="3"/>
      <c r="I1208" s="3" t="s">
        <v>3775</v>
      </c>
      <c r="J1208" s="3" t="s">
        <v>1700</v>
      </c>
      <c r="K1208" s="27" t="s">
        <v>12</v>
      </c>
    </row>
    <row r="1209" ht="18.6" customHeight="1" spans="1:11">
      <c r="A1209" s="3">
        <v>1208</v>
      </c>
      <c r="B1209" s="3" t="s">
        <v>2014</v>
      </c>
      <c r="C1209" s="3" t="s">
        <v>3426</v>
      </c>
      <c r="D1209" s="3" t="s">
        <v>379</v>
      </c>
      <c r="E1209" s="3" t="s">
        <v>382</v>
      </c>
      <c r="F1209" s="3"/>
      <c r="G1209" s="3"/>
      <c r="H1209" s="3"/>
      <c r="I1209" s="3" t="s">
        <v>3770</v>
      </c>
      <c r="J1209" s="3" t="s">
        <v>1700</v>
      </c>
      <c r="K1209" s="27" t="s">
        <v>12</v>
      </c>
    </row>
    <row r="1210" ht="18.6" customHeight="1" spans="1:11">
      <c r="A1210" s="3">
        <v>1209</v>
      </c>
      <c r="B1210" s="3" t="s">
        <v>2015</v>
      </c>
      <c r="C1210" s="3" t="s">
        <v>3426</v>
      </c>
      <c r="D1210" s="3" t="s">
        <v>379</v>
      </c>
      <c r="E1210" s="3" t="s">
        <v>382</v>
      </c>
      <c r="F1210" s="3"/>
      <c r="G1210" s="3"/>
      <c r="H1210" s="3"/>
      <c r="I1210" s="3" t="s">
        <v>3769</v>
      </c>
      <c r="J1210" s="3" t="s">
        <v>1700</v>
      </c>
      <c r="K1210" s="27" t="s">
        <v>12</v>
      </c>
    </row>
    <row r="1211" ht="18.6" customHeight="1" spans="1:11">
      <c r="A1211" s="3">
        <v>1210</v>
      </c>
      <c r="B1211" s="3" t="s">
        <v>2016</v>
      </c>
      <c r="C1211" s="3" t="s">
        <v>3426</v>
      </c>
      <c r="D1211" s="3" t="s">
        <v>379</v>
      </c>
      <c r="E1211" s="3" t="s">
        <v>389</v>
      </c>
      <c r="F1211" s="3"/>
      <c r="G1211" s="3"/>
      <c r="H1211" s="3"/>
      <c r="I1211" s="3" t="s">
        <v>3776</v>
      </c>
      <c r="J1211" s="3" t="s">
        <v>1700</v>
      </c>
      <c r="K1211" s="27" t="s">
        <v>12</v>
      </c>
    </row>
    <row r="1212" ht="18.6" customHeight="1" spans="1:11">
      <c r="A1212" s="3">
        <v>1211</v>
      </c>
      <c r="B1212" s="3" t="s">
        <v>2017</v>
      </c>
      <c r="C1212" s="3" t="s">
        <v>3426</v>
      </c>
      <c r="D1212" s="3" t="s">
        <v>379</v>
      </c>
      <c r="E1212" s="3" t="s">
        <v>389</v>
      </c>
      <c r="F1212" s="3"/>
      <c r="G1212" s="3"/>
      <c r="H1212" s="3"/>
      <c r="I1212" s="3" t="s">
        <v>3770</v>
      </c>
      <c r="J1212" s="3" t="s">
        <v>1700</v>
      </c>
      <c r="K1212" s="27" t="s">
        <v>12</v>
      </c>
    </row>
    <row r="1213" ht="18.6" customHeight="1" spans="1:11">
      <c r="A1213" s="3">
        <v>1212</v>
      </c>
      <c r="B1213" s="3" t="s">
        <v>2018</v>
      </c>
      <c r="C1213" s="3" t="s">
        <v>3426</v>
      </c>
      <c r="D1213" s="3" t="s">
        <v>379</v>
      </c>
      <c r="E1213" s="3" t="s">
        <v>401</v>
      </c>
      <c r="F1213" s="3"/>
      <c r="G1213" s="3"/>
      <c r="H1213" s="3"/>
      <c r="I1213" s="3" t="s">
        <v>3769</v>
      </c>
      <c r="J1213" s="3" t="s">
        <v>1700</v>
      </c>
      <c r="K1213" s="27" t="s">
        <v>12</v>
      </c>
    </row>
    <row r="1214" ht="18.6" customHeight="1" spans="1:11">
      <c r="A1214" s="3">
        <v>1213</v>
      </c>
      <c r="B1214" s="3" t="s">
        <v>2019</v>
      </c>
      <c r="C1214" s="3" t="s">
        <v>3426</v>
      </c>
      <c r="D1214" s="3" t="s">
        <v>379</v>
      </c>
      <c r="E1214" s="3" t="s">
        <v>401</v>
      </c>
      <c r="F1214" s="3"/>
      <c r="G1214" s="3"/>
      <c r="H1214" s="3"/>
      <c r="I1214" s="3" t="s">
        <v>3776</v>
      </c>
      <c r="J1214" s="3" t="s">
        <v>1700</v>
      </c>
      <c r="K1214" s="27" t="s">
        <v>12</v>
      </c>
    </row>
    <row r="1215" ht="18.6" customHeight="1" spans="1:11">
      <c r="A1215" s="3">
        <v>1214</v>
      </c>
      <c r="B1215" s="3" t="s">
        <v>2020</v>
      </c>
      <c r="C1215" s="3" t="s">
        <v>3426</v>
      </c>
      <c r="D1215" s="3" t="s">
        <v>379</v>
      </c>
      <c r="E1215" s="3" t="s">
        <v>412</v>
      </c>
      <c r="F1215" s="3"/>
      <c r="G1215" s="3"/>
      <c r="H1215" s="3"/>
      <c r="I1215" s="3" t="s">
        <v>3775</v>
      </c>
      <c r="J1215" s="3" t="s">
        <v>1700</v>
      </c>
      <c r="K1215" s="27" t="s">
        <v>12</v>
      </c>
    </row>
    <row r="1216" ht="18.6" customHeight="1" spans="1:11">
      <c r="A1216" s="3">
        <v>1215</v>
      </c>
      <c r="B1216" s="3" t="s">
        <v>2021</v>
      </c>
      <c r="C1216" s="3" t="s">
        <v>3426</v>
      </c>
      <c r="D1216" s="3" t="s">
        <v>379</v>
      </c>
      <c r="E1216" s="3" t="s">
        <v>430</v>
      </c>
      <c r="F1216" s="3"/>
      <c r="G1216" s="3"/>
      <c r="H1216" s="3"/>
      <c r="I1216" s="3" t="s">
        <v>3771</v>
      </c>
      <c r="J1216" s="3" t="s">
        <v>1700</v>
      </c>
      <c r="K1216" s="27" t="s">
        <v>12</v>
      </c>
    </row>
    <row r="1217" ht="18.6" customHeight="1" spans="1:11">
      <c r="A1217" s="3">
        <v>1216</v>
      </c>
      <c r="B1217" s="3" t="s">
        <v>2022</v>
      </c>
      <c r="C1217" s="3" t="s">
        <v>3426</v>
      </c>
      <c r="D1217" s="3" t="s">
        <v>379</v>
      </c>
      <c r="E1217" s="3" t="s">
        <v>392</v>
      </c>
      <c r="F1217" s="3"/>
      <c r="G1217" s="3"/>
      <c r="H1217" s="3"/>
      <c r="I1217" s="3" t="s">
        <v>3769</v>
      </c>
      <c r="J1217" s="3" t="s">
        <v>1700</v>
      </c>
      <c r="K1217" s="27" t="s">
        <v>12</v>
      </c>
    </row>
    <row r="1218" ht="18.6" customHeight="1" spans="1:11">
      <c r="A1218" s="3">
        <v>1217</v>
      </c>
      <c r="B1218" s="3" t="s">
        <v>2023</v>
      </c>
      <c r="C1218" s="3" t="s">
        <v>3426</v>
      </c>
      <c r="D1218" s="3" t="s">
        <v>379</v>
      </c>
      <c r="E1218" s="3" t="s">
        <v>387</v>
      </c>
      <c r="F1218" s="3"/>
      <c r="G1218" s="3"/>
      <c r="H1218" s="3"/>
      <c r="I1218" s="3" t="s">
        <v>3770</v>
      </c>
      <c r="J1218" s="3" t="s">
        <v>1700</v>
      </c>
      <c r="K1218" s="27" t="s">
        <v>12</v>
      </c>
    </row>
    <row r="1219" ht="18.6" customHeight="1" spans="1:11">
      <c r="A1219" s="3">
        <v>1218</v>
      </c>
      <c r="B1219" s="3" t="s">
        <v>2024</v>
      </c>
      <c r="C1219" s="3" t="s">
        <v>3426</v>
      </c>
      <c r="D1219" s="3" t="s">
        <v>379</v>
      </c>
      <c r="E1219" s="3" t="s">
        <v>389</v>
      </c>
      <c r="F1219" s="3"/>
      <c r="G1219" s="3"/>
      <c r="H1219" s="3"/>
      <c r="I1219" s="3" t="s">
        <v>3769</v>
      </c>
      <c r="J1219" s="3" t="s">
        <v>1700</v>
      </c>
      <c r="K1219" s="27" t="s">
        <v>12</v>
      </c>
    </row>
    <row r="1220" ht="18.6" customHeight="1" spans="1:11">
      <c r="A1220" s="3">
        <v>1219</v>
      </c>
      <c r="B1220" s="3" t="s">
        <v>2025</v>
      </c>
      <c r="C1220" s="3" t="s">
        <v>3426</v>
      </c>
      <c r="D1220" s="3" t="s">
        <v>379</v>
      </c>
      <c r="E1220" s="3" t="s">
        <v>424</v>
      </c>
      <c r="F1220" s="3"/>
      <c r="G1220" s="3"/>
      <c r="H1220" s="3"/>
      <c r="I1220" s="3" t="s">
        <v>3769</v>
      </c>
      <c r="J1220" s="3" t="s">
        <v>1700</v>
      </c>
      <c r="K1220" s="27" t="s">
        <v>12</v>
      </c>
    </row>
    <row r="1221" ht="18.6" customHeight="1" spans="1:11">
      <c r="A1221" s="3">
        <v>1220</v>
      </c>
      <c r="B1221" s="3" t="s">
        <v>3805</v>
      </c>
      <c r="C1221" s="3" t="s">
        <v>3444</v>
      </c>
      <c r="D1221" s="3" t="s">
        <v>448</v>
      </c>
      <c r="E1221" s="3" t="s">
        <v>477</v>
      </c>
      <c r="F1221" s="3"/>
      <c r="G1221" s="3"/>
      <c r="H1221" s="3"/>
      <c r="I1221" s="3" t="s">
        <v>3769</v>
      </c>
      <c r="J1221" s="3" t="s">
        <v>1700</v>
      </c>
      <c r="K1221" s="27" t="s">
        <v>12</v>
      </c>
    </row>
    <row r="1222" ht="18.6" customHeight="1" spans="1:11">
      <c r="A1222" s="3">
        <v>1221</v>
      </c>
      <c r="B1222" s="3" t="s">
        <v>2026</v>
      </c>
      <c r="C1222" s="3" t="s">
        <v>3444</v>
      </c>
      <c r="D1222" s="3" t="s">
        <v>448</v>
      </c>
      <c r="E1222" s="3" t="s">
        <v>457</v>
      </c>
      <c r="F1222" s="3"/>
      <c r="G1222" s="3"/>
      <c r="H1222" s="3"/>
      <c r="I1222" s="3" t="s">
        <v>3769</v>
      </c>
      <c r="J1222" s="3" t="s">
        <v>1700</v>
      </c>
      <c r="K1222" s="27" t="s">
        <v>12</v>
      </c>
    </row>
    <row r="1223" ht="18.6" customHeight="1" spans="1:11">
      <c r="A1223" s="3">
        <v>1222</v>
      </c>
      <c r="B1223" s="3" t="s">
        <v>2027</v>
      </c>
      <c r="C1223" s="3" t="s">
        <v>3444</v>
      </c>
      <c r="D1223" s="3" t="s">
        <v>448</v>
      </c>
      <c r="E1223" s="3" t="s">
        <v>449</v>
      </c>
      <c r="F1223" s="3"/>
      <c r="G1223" s="3"/>
      <c r="H1223" s="3"/>
      <c r="I1223" s="3" t="s">
        <v>3770</v>
      </c>
      <c r="J1223" s="3" t="s">
        <v>1700</v>
      </c>
      <c r="K1223" s="27" t="s">
        <v>12</v>
      </c>
    </row>
    <row r="1224" ht="18.6" customHeight="1" spans="1:11">
      <c r="A1224" s="3">
        <v>1223</v>
      </c>
      <c r="B1224" s="3" t="s">
        <v>2028</v>
      </c>
      <c r="C1224" s="3" t="s">
        <v>3444</v>
      </c>
      <c r="D1224" s="3" t="s">
        <v>448</v>
      </c>
      <c r="E1224" s="3" t="s">
        <v>477</v>
      </c>
      <c r="F1224" s="3"/>
      <c r="G1224" s="3"/>
      <c r="H1224" s="3"/>
      <c r="I1224" s="3" t="s">
        <v>3769</v>
      </c>
      <c r="J1224" s="3" t="s">
        <v>1700</v>
      </c>
      <c r="K1224" s="27" t="s">
        <v>12</v>
      </c>
    </row>
    <row r="1225" ht="18.6" customHeight="1" spans="1:11">
      <c r="A1225" s="3">
        <v>1224</v>
      </c>
      <c r="B1225" s="3" t="s">
        <v>2029</v>
      </c>
      <c r="C1225" s="3" t="s">
        <v>3444</v>
      </c>
      <c r="D1225" s="3" t="s">
        <v>448</v>
      </c>
      <c r="E1225" s="3" t="s">
        <v>449</v>
      </c>
      <c r="F1225" s="3"/>
      <c r="G1225" s="3"/>
      <c r="H1225" s="3"/>
      <c r="I1225" s="3"/>
      <c r="J1225" s="3" t="s">
        <v>1700</v>
      </c>
      <c r="K1225" s="27" t="s">
        <v>12</v>
      </c>
    </row>
    <row r="1226" ht="18.6" customHeight="1" spans="1:11">
      <c r="A1226" s="3">
        <v>1225</v>
      </c>
      <c r="B1226" s="3" t="s">
        <v>2030</v>
      </c>
      <c r="C1226" s="3" t="s">
        <v>3444</v>
      </c>
      <c r="D1226" s="3" t="s">
        <v>448</v>
      </c>
      <c r="E1226" s="3" t="s">
        <v>449</v>
      </c>
      <c r="F1226" s="3"/>
      <c r="G1226" s="3"/>
      <c r="H1226" s="3"/>
      <c r="I1226" s="3" t="s">
        <v>3770</v>
      </c>
      <c r="J1226" s="3" t="s">
        <v>1700</v>
      </c>
      <c r="K1226" s="27" t="s">
        <v>12</v>
      </c>
    </row>
    <row r="1227" ht="18.6" customHeight="1" spans="1:11">
      <c r="A1227" s="3">
        <v>1226</v>
      </c>
      <c r="B1227" s="3" t="s">
        <v>2031</v>
      </c>
      <c r="C1227" s="3" t="s">
        <v>3444</v>
      </c>
      <c r="D1227" s="3" t="s">
        <v>448</v>
      </c>
      <c r="E1227" s="3" t="s">
        <v>477</v>
      </c>
      <c r="F1227" s="3"/>
      <c r="G1227" s="3"/>
      <c r="H1227" s="3"/>
      <c r="I1227" s="3" t="s">
        <v>3771</v>
      </c>
      <c r="J1227" s="3" t="s">
        <v>1700</v>
      </c>
      <c r="K1227" s="27" t="s">
        <v>12</v>
      </c>
    </row>
    <row r="1228" ht="18.6" customHeight="1" spans="1:11">
      <c r="A1228" s="3">
        <v>1227</v>
      </c>
      <c r="B1228" s="3" t="s">
        <v>2032</v>
      </c>
      <c r="C1228" s="3" t="s">
        <v>3444</v>
      </c>
      <c r="D1228" s="3" t="s">
        <v>448</v>
      </c>
      <c r="E1228" s="3" t="s">
        <v>467</v>
      </c>
      <c r="F1228" s="3"/>
      <c r="G1228" s="3"/>
      <c r="H1228" s="3"/>
      <c r="I1228" s="3" t="s">
        <v>3769</v>
      </c>
      <c r="J1228" s="3" t="s">
        <v>1700</v>
      </c>
      <c r="K1228" s="27" t="s">
        <v>12</v>
      </c>
    </row>
    <row r="1229" ht="18.6" customHeight="1" spans="1:11">
      <c r="A1229" s="3">
        <v>1228</v>
      </c>
      <c r="B1229" s="3" t="s">
        <v>2033</v>
      </c>
      <c r="C1229" s="3" t="s">
        <v>3444</v>
      </c>
      <c r="D1229" s="3" t="s">
        <v>448</v>
      </c>
      <c r="E1229" s="3" t="s">
        <v>457</v>
      </c>
      <c r="F1229" s="3"/>
      <c r="G1229" s="3"/>
      <c r="H1229" s="3"/>
      <c r="I1229" s="3" t="s">
        <v>3769</v>
      </c>
      <c r="J1229" s="3" t="s">
        <v>1700</v>
      </c>
      <c r="K1229" s="27" t="s">
        <v>12</v>
      </c>
    </row>
    <row r="1230" ht="18.6" customHeight="1" spans="1:11">
      <c r="A1230" s="3">
        <v>1229</v>
      </c>
      <c r="B1230" s="3" t="s">
        <v>2034</v>
      </c>
      <c r="C1230" s="3" t="s">
        <v>3444</v>
      </c>
      <c r="D1230" s="3" t="s">
        <v>448</v>
      </c>
      <c r="E1230" s="3" t="s">
        <v>449</v>
      </c>
      <c r="F1230" s="3"/>
      <c r="G1230" s="3"/>
      <c r="H1230" s="3"/>
      <c r="I1230" s="3" t="s">
        <v>3770</v>
      </c>
      <c r="J1230" s="3" t="s">
        <v>1700</v>
      </c>
      <c r="K1230" s="27" t="s">
        <v>12</v>
      </c>
    </row>
    <row r="1231" ht="18.6" customHeight="1" spans="1:11">
      <c r="A1231" s="3">
        <v>1230</v>
      </c>
      <c r="B1231" s="3" t="s">
        <v>2035</v>
      </c>
      <c r="C1231" s="3" t="s">
        <v>3444</v>
      </c>
      <c r="D1231" s="3" t="s">
        <v>448</v>
      </c>
      <c r="E1231" s="3" t="s">
        <v>449</v>
      </c>
      <c r="F1231" s="3"/>
      <c r="G1231" s="3"/>
      <c r="H1231" s="3"/>
      <c r="I1231" s="3" t="s">
        <v>3772</v>
      </c>
      <c r="J1231" s="3" t="s">
        <v>1700</v>
      </c>
      <c r="K1231" s="27" t="s">
        <v>12</v>
      </c>
    </row>
    <row r="1232" ht="18.6" customHeight="1" spans="1:11">
      <c r="A1232" s="3">
        <v>1231</v>
      </c>
      <c r="B1232" s="3" t="s">
        <v>2036</v>
      </c>
      <c r="C1232" s="3" t="s">
        <v>3444</v>
      </c>
      <c r="D1232" s="3" t="s">
        <v>448</v>
      </c>
      <c r="E1232" s="3" t="s">
        <v>449</v>
      </c>
      <c r="F1232" s="3"/>
      <c r="G1232" s="3"/>
      <c r="H1232" s="3"/>
      <c r="I1232" s="3" t="s">
        <v>3771</v>
      </c>
      <c r="J1232" s="3" t="s">
        <v>1700</v>
      </c>
      <c r="K1232" s="27" t="s">
        <v>12</v>
      </c>
    </row>
    <row r="1233" ht="18.6" customHeight="1" spans="1:11">
      <c r="A1233" s="3">
        <v>1232</v>
      </c>
      <c r="B1233" s="3" t="s">
        <v>2037</v>
      </c>
      <c r="C1233" s="3" t="s">
        <v>3444</v>
      </c>
      <c r="D1233" s="3" t="s">
        <v>448</v>
      </c>
      <c r="E1233" s="3" t="s">
        <v>449</v>
      </c>
      <c r="F1233" s="3"/>
      <c r="G1233" s="3"/>
      <c r="H1233" s="3"/>
      <c r="I1233" s="3" t="s">
        <v>3771</v>
      </c>
      <c r="J1233" s="3" t="s">
        <v>1700</v>
      </c>
      <c r="K1233" s="27" t="s">
        <v>12</v>
      </c>
    </row>
    <row r="1234" ht="18.6" customHeight="1" spans="1:11">
      <c r="A1234" s="3">
        <v>1233</v>
      </c>
      <c r="B1234" s="3" t="s">
        <v>2038</v>
      </c>
      <c r="C1234" s="3" t="s">
        <v>3444</v>
      </c>
      <c r="D1234" s="3" t="s">
        <v>448</v>
      </c>
      <c r="E1234" s="3" t="s">
        <v>449</v>
      </c>
      <c r="F1234" s="3"/>
      <c r="G1234" s="3"/>
      <c r="H1234" s="3"/>
      <c r="I1234" s="3" t="s">
        <v>3771</v>
      </c>
      <c r="J1234" s="3" t="s">
        <v>1700</v>
      </c>
      <c r="K1234" s="27" t="s">
        <v>12</v>
      </c>
    </row>
    <row r="1235" ht="18.6" customHeight="1" spans="1:11">
      <c r="A1235" s="3">
        <v>1234</v>
      </c>
      <c r="B1235" s="3" t="s">
        <v>2039</v>
      </c>
      <c r="C1235" s="3" t="s">
        <v>3444</v>
      </c>
      <c r="D1235" s="3" t="s">
        <v>448</v>
      </c>
      <c r="E1235" s="3" t="s">
        <v>449</v>
      </c>
      <c r="F1235" s="3"/>
      <c r="G1235" s="3"/>
      <c r="H1235" s="3"/>
      <c r="I1235" s="3" t="s">
        <v>3769</v>
      </c>
      <c r="J1235" s="3" t="s">
        <v>1700</v>
      </c>
      <c r="K1235" s="27" t="s">
        <v>12</v>
      </c>
    </row>
    <row r="1236" ht="18.6" customHeight="1" spans="1:11">
      <c r="A1236" s="3">
        <v>1235</v>
      </c>
      <c r="B1236" s="3" t="s">
        <v>2040</v>
      </c>
      <c r="C1236" s="3" t="s">
        <v>3444</v>
      </c>
      <c r="D1236" s="3" t="s">
        <v>448</v>
      </c>
      <c r="E1236" s="3" t="s">
        <v>449</v>
      </c>
      <c r="F1236" s="3"/>
      <c r="G1236" s="3"/>
      <c r="H1236" s="3"/>
      <c r="I1236" s="3" t="s">
        <v>3779</v>
      </c>
      <c r="J1236" s="3" t="s">
        <v>1700</v>
      </c>
      <c r="K1236" s="27" t="s">
        <v>12</v>
      </c>
    </row>
    <row r="1237" ht="18.6" customHeight="1" spans="1:11">
      <c r="A1237" s="3">
        <v>1236</v>
      </c>
      <c r="B1237" s="3" t="s">
        <v>2041</v>
      </c>
      <c r="C1237" s="3" t="s">
        <v>3444</v>
      </c>
      <c r="D1237" s="3" t="s">
        <v>448</v>
      </c>
      <c r="E1237" s="3" t="s">
        <v>449</v>
      </c>
      <c r="F1237" s="3"/>
      <c r="G1237" s="3"/>
      <c r="H1237" s="3"/>
      <c r="I1237" s="3" t="s">
        <v>3771</v>
      </c>
      <c r="J1237" s="3" t="s">
        <v>1700</v>
      </c>
      <c r="K1237" s="27" t="s">
        <v>12</v>
      </c>
    </row>
    <row r="1238" ht="18.6" customHeight="1" spans="1:11">
      <c r="A1238" s="3">
        <v>1237</v>
      </c>
      <c r="B1238" s="3" t="s">
        <v>2042</v>
      </c>
      <c r="C1238" s="3" t="s">
        <v>3444</v>
      </c>
      <c r="D1238" s="3" t="s">
        <v>448</v>
      </c>
      <c r="E1238" s="3" t="s">
        <v>465</v>
      </c>
      <c r="F1238" s="3"/>
      <c r="G1238" s="3"/>
      <c r="H1238" s="3"/>
      <c r="I1238" s="3" t="s">
        <v>3769</v>
      </c>
      <c r="J1238" s="3" t="s">
        <v>1700</v>
      </c>
      <c r="K1238" s="27" t="s">
        <v>12</v>
      </c>
    </row>
    <row r="1239" ht="18.6" customHeight="1" spans="1:11">
      <c r="A1239" s="3">
        <v>1238</v>
      </c>
      <c r="B1239" s="3" t="s">
        <v>3806</v>
      </c>
      <c r="C1239" s="3" t="s">
        <v>3444</v>
      </c>
      <c r="D1239" s="3" t="s">
        <v>448</v>
      </c>
      <c r="E1239" s="3" t="s">
        <v>449</v>
      </c>
      <c r="F1239" s="3"/>
      <c r="G1239" s="3"/>
      <c r="H1239" s="3"/>
      <c r="I1239" s="3" t="s">
        <v>3769</v>
      </c>
      <c r="J1239" s="3" t="s">
        <v>1700</v>
      </c>
      <c r="K1239" s="27" t="s">
        <v>12</v>
      </c>
    </row>
    <row r="1240" ht="18.6" customHeight="1" spans="1:11">
      <c r="A1240" s="3">
        <v>1239</v>
      </c>
      <c r="B1240" s="3" t="s">
        <v>2043</v>
      </c>
      <c r="C1240" s="3" t="s">
        <v>3444</v>
      </c>
      <c r="D1240" s="3" t="s">
        <v>448</v>
      </c>
      <c r="E1240" s="3" t="s">
        <v>473</v>
      </c>
      <c r="F1240" s="3"/>
      <c r="G1240" s="3"/>
      <c r="H1240" s="3"/>
      <c r="I1240" s="3" t="s">
        <v>3769</v>
      </c>
      <c r="J1240" s="3" t="s">
        <v>1700</v>
      </c>
      <c r="K1240" s="27" t="s">
        <v>12</v>
      </c>
    </row>
    <row r="1241" ht="18.6" customHeight="1" spans="1:11">
      <c r="A1241" s="3">
        <v>1240</v>
      </c>
      <c r="B1241" s="3" t="s">
        <v>2044</v>
      </c>
      <c r="C1241" s="3" t="s">
        <v>3444</v>
      </c>
      <c r="D1241" s="3" t="s">
        <v>448</v>
      </c>
      <c r="E1241" s="3" t="s">
        <v>463</v>
      </c>
      <c r="F1241" s="3"/>
      <c r="G1241" s="3"/>
      <c r="H1241" s="3"/>
      <c r="I1241" s="3" t="s">
        <v>3769</v>
      </c>
      <c r="J1241" s="3" t="s">
        <v>1700</v>
      </c>
      <c r="K1241" s="27" t="s">
        <v>12</v>
      </c>
    </row>
    <row r="1242" ht="18.6" customHeight="1" spans="1:11">
      <c r="A1242" s="3">
        <v>1241</v>
      </c>
      <c r="B1242" s="3" t="s">
        <v>2045</v>
      </c>
      <c r="C1242" s="3" t="s">
        <v>3444</v>
      </c>
      <c r="D1242" s="3" t="s">
        <v>448</v>
      </c>
      <c r="E1242" s="3" t="s">
        <v>484</v>
      </c>
      <c r="F1242" s="3"/>
      <c r="G1242" s="3"/>
      <c r="H1242" s="3"/>
      <c r="I1242" s="3" t="s">
        <v>3769</v>
      </c>
      <c r="J1242" s="3" t="s">
        <v>1700</v>
      </c>
      <c r="K1242" s="27" t="s">
        <v>12</v>
      </c>
    </row>
    <row r="1243" ht="18.6" customHeight="1" spans="1:11">
      <c r="A1243" s="3">
        <v>1242</v>
      </c>
      <c r="B1243" s="3" t="s">
        <v>2046</v>
      </c>
      <c r="C1243" s="3" t="s">
        <v>3444</v>
      </c>
      <c r="D1243" s="3" t="s">
        <v>448</v>
      </c>
      <c r="E1243" s="3" t="s">
        <v>470</v>
      </c>
      <c r="F1243" s="3"/>
      <c r="G1243" s="3"/>
      <c r="H1243" s="3"/>
      <c r="I1243" s="3" t="s">
        <v>3769</v>
      </c>
      <c r="J1243" s="3" t="s">
        <v>1700</v>
      </c>
      <c r="K1243" s="27" t="s">
        <v>12</v>
      </c>
    </row>
    <row r="1244" ht="18.6" customHeight="1" spans="1:11">
      <c r="A1244" s="3">
        <v>1243</v>
      </c>
      <c r="B1244" s="3" t="s">
        <v>2047</v>
      </c>
      <c r="C1244" s="3" t="s">
        <v>3444</v>
      </c>
      <c r="D1244" s="3" t="s">
        <v>448</v>
      </c>
      <c r="E1244" s="3" t="s">
        <v>460</v>
      </c>
      <c r="F1244" s="3"/>
      <c r="G1244" s="3"/>
      <c r="H1244" s="3"/>
      <c r="I1244" s="3" t="s">
        <v>3769</v>
      </c>
      <c r="J1244" s="3" t="s">
        <v>1700</v>
      </c>
      <c r="K1244" s="27" t="s">
        <v>12</v>
      </c>
    </row>
    <row r="1245" ht="18.6" customHeight="1" spans="1:11">
      <c r="A1245" s="3">
        <v>1244</v>
      </c>
      <c r="B1245" s="3" t="s">
        <v>2048</v>
      </c>
      <c r="C1245" s="3" t="s">
        <v>3444</v>
      </c>
      <c r="D1245" s="3" t="s">
        <v>448</v>
      </c>
      <c r="E1245" s="3" t="s">
        <v>477</v>
      </c>
      <c r="F1245" s="3"/>
      <c r="G1245" s="3"/>
      <c r="H1245" s="3"/>
      <c r="I1245" s="3" t="s">
        <v>3769</v>
      </c>
      <c r="J1245" s="3" t="s">
        <v>1700</v>
      </c>
      <c r="K1245" s="27" t="s">
        <v>12</v>
      </c>
    </row>
    <row r="1246" ht="18.6" customHeight="1" spans="1:11">
      <c r="A1246" s="3">
        <v>1245</v>
      </c>
      <c r="B1246" s="3" t="s">
        <v>2049</v>
      </c>
      <c r="C1246" s="3" t="s">
        <v>3444</v>
      </c>
      <c r="D1246" s="3" t="s">
        <v>448</v>
      </c>
      <c r="E1246" s="3" t="s">
        <v>449</v>
      </c>
      <c r="F1246" s="3"/>
      <c r="G1246" s="3"/>
      <c r="H1246" s="3"/>
      <c r="I1246" s="3" t="s">
        <v>3769</v>
      </c>
      <c r="J1246" s="3" t="s">
        <v>1700</v>
      </c>
      <c r="K1246" s="27" t="s">
        <v>12</v>
      </c>
    </row>
    <row r="1247" ht="18.6" customHeight="1" spans="1:11">
      <c r="A1247" s="3">
        <v>1246</v>
      </c>
      <c r="B1247" s="3" t="s">
        <v>2050</v>
      </c>
      <c r="C1247" s="3" t="s">
        <v>3444</v>
      </c>
      <c r="D1247" s="3" t="s">
        <v>448</v>
      </c>
      <c r="E1247" s="3" t="s">
        <v>465</v>
      </c>
      <c r="F1247" s="3"/>
      <c r="G1247" s="3"/>
      <c r="H1247" s="3"/>
      <c r="I1247" s="3" t="s">
        <v>3770</v>
      </c>
      <c r="J1247" s="3" t="s">
        <v>1700</v>
      </c>
      <c r="K1247" s="27" t="s">
        <v>12</v>
      </c>
    </row>
    <row r="1248" ht="18.6" customHeight="1" spans="1:11">
      <c r="A1248" s="3">
        <v>1247</v>
      </c>
      <c r="B1248" s="3" t="s">
        <v>2051</v>
      </c>
      <c r="C1248" s="3" t="s">
        <v>3444</v>
      </c>
      <c r="D1248" s="3" t="s">
        <v>448</v>
      </c>
      <c r="E1248" s="3" t="s">
        <v>477</v>
      </c>
      <c r="F1248" s="3"/>
      <c r="G1248" s="3"/>
      <c r="H1248" s="3"/>
      <c r="I1248" s="3" t="s">
        <v>3775</v>
      </c>
      <c r="J1248" s="3" t="s">
        <v>1700</v>
      </c>
      <c r="K1248" s="27" t="s">
        <v>12</v>
      </c>
    </row>
    <row r="1249" ht="18.6" customHeight="1" spans="1:11">
      <c r="A1249" s="3">
        <v>1248</v>
      </c>
      <c r="B1249" s="3" t="s">
        <v>2052</v>
      </c>
      <c r="C1249" s="3" t="s">
        <v>3444</v>
      </c>
      <c r="D1249" s="3" t="s">
        <v>448</v>
      </c>
      <c r="E1249" s="3" t="s">
        <v>467</v>
      </c>
      <c r="F1249" s="3"/>
      <c r="G1249" s="3"/>
      <c r="H1249" s="3"/>
      <c r="I1249" s="3" t="s">
        <v>3769</v>
      </c>
      <c r="J1249" s="3" t="s">
        <v>1700</v>
      </c>
      <c r="K1249" s="27" t="s">
        <v>12</v>
      </c>
    </row>
    <row r="1250" ht="18.6" customHeight="1" spans="1:11">
      <c r="A1250" s="3">
        <v>1249</v>
      </c>
      <c r="B1250" s="3" t="s">
        <v>2053</v>
      </c>
      <c r="C1250" s="3" t="s">
        <v>3444</v>
      </c>
      <c r="D1250" s="3" t="s">
        <v>448</v>
      </c>
      <c r="E1250" s="3" t="s">
        <v>454</v>
      </c>
      <c r="F1250" s="3"/>
      <c r="G1250" s="3"/>
      <c r="H1250" s="3"/>
      <c r="I1250" s="3" t="s">
        <v>3770</v>
      </c>
      <c r="J1250" s="3" t="s">
        <v>1700</v>
      </c>
      <c r="K1250" s="27" t="s">
        <v>12</v>
      </c>
    </row>
    <row r="1251" ht="18.6" customHeight="1" spans="1:11">
      <c r="A1251" s="3">
        <v>1250</v>
      </c>
      <c r="B1251" s="3" t="s">
        <v>2054</v>
      </c>
      <c r="C1251" s="3" t="s">
        <v>3444</v>
      </c>
      <c r="D1251" s="3" t="s">
        <v>448</v>
      </c>
      <c r="E1251" s="3" t="s">
        <v>449</v>
      </c>
      <c r="F1251" s="3"/>
      <c r="G1251" s="3"/>
      <c r="H1251" s="3"/>
      <c r="I1251" s="3" t="s">
        <v>3777</v>
      </c>
      <c r="J1251" s="3" t="s">
        <v>1700</v>
      </c>
      <c r="K1251" s="27" t="s">
        <v>12</v>
      </c>
    </row>
    <row r="1252" ht="18.6" customHeight="1" spans="1:11">
      <c r="A1252" s="3">
        <v>1251</v>
      </c>
      <c r="B1252" s="3" t="s">
        <v>2055</v>
      </c>
      <c r="C1252" s="3" t="s">
        <v>3444</v>
      </c>
      <c r="D1252" s="3" t="s">
        <v>448</v>
      </c>
      <c r="E1252" s="3" t="s">
        <v>457</v>
      </c>
      <c r="F1252" s="3"/>
      <c r="G1252" s="3"/>
      <c r="H1252" s="3"/>
      <c r="I1252" s="3" t="s">
        <v>3773</v>
      </c>
      <c r="J1252" s="3" t="s">
        <v>1700</v>
      </c>
      <c r="K1252" s="27" t="s">
        <v>12</v>
      </c>
    </row>
    <row r="1253" ht="18.6" customHeight="1" spans="1:11">
      <c r="A1253" s="3">
        <v>1252</v>
      </c>
      <c r="B1253" s="3" t="s">
        <v>2056</v>
      </c>
      <c r="C1253" s="3" t="s">
        <v>3444</v>
      </c>
      <c r="D1253" s="3" t="s">
        <v>448</v>
      </c>
      <c r="E1253" s="3" t="s">
        <v>465</v>
      </c>
      <c r="F1253" s="3"/>
      <c r="G1253" s="3"/>
      <c r="H1253" s="3"/>
      <c r="I1253" s="3" t="s">
        <v>3769</v>
      </c>
      <c r="J1253" s="3" t="s">
        <v>1700</v>
      </c>
      <c r="K1253" s="27" t="s">
        <v>12</v>
      </c>
    </row>
    <row r="1254" ht="18.6" customHeight="1" spans="1:11">
      <c r="A1254" s="3">
        <v>1253</v>
      </c>
      <c r="B1254" s="3" t="s">
        <v>2057</v>
      </c>
      <c r="C1254" s="3" t="s">
        <v>3444</v>
      </c>
      <c r="D1254" s="3" t="s">
        <v>448</v>
      </c>
      <c r="E1254" s="3" t="s">
        <v>449</v>
      </c>
      <c r="F1254" s="3"/>
      <c r="G1254" s="3"/>
      <c r="H1254" s="3"/>
      <c r="I1254" s="3" t="s">
        <v>3769</v>
      </c>
      <c r="J1254" s="3" t="s">
        <v>1700</v>
      </c>
      <c r="K1254" s="27" t="s">
        <v>12</v>
      </c>
    </row>
    <row r="1255" ht="18.6" customHeight="1" spans="1:11">
      <c r="A1255" s="3">
        <v>1254</v>
      </c>
      <c r="B1255" s="3" t="s">
        <v>2058</v>
      </c>
      <c r="C1255" s="3" t="s">
        <v>3444</v>
      </c>
      <c r="D1255" s="3" t="s">
        <v>448</v>
      </c>
      <c r="E1255" s="3" t="s">
        <v>457</v>
      </c>
      <c r="F1255" s="3"/>
      <c r="G1255" s="3"/>
      <c r="H1255" s="3"/>
      <c r="I1255" s="3" t="s">
        <v>3770</v>
      </c>
      <c r="J1255" s="3" t="s">
        <v>1700</v>
      </c>
      <c r="K1255" s="27" t="s">
        <v>12</v>
      </c>
    </row>
    <row r="1256" ht="18.6" customHeight="1" spans="1:11">
      <c r="A1256" s="3">
        <v>1255</v>
      </c>
      <c r="B1256" s="3" t="s">
        <v>2059</v>
      </c>
      <c r="C1256" s="3" t="s">
        <v>3444</v>
      </c>
      <c r="D1256" s="3" t="s">
        <v>448</v>
      </c>
      <c r="E1256" s="3" t="s">
        <v>454</v>
      </c>
      <c r="F1256" s="3"/>
      <c r="G1256" s="3"/>
      <c r="H1256" s="3"/>
      <c r="I1256" s="3"/>
      <c r="J1256" s="3" t="s">
        <v>1700</v>
      </c>
      <c r="K1256" s="27" t="s">
        <v>12</v>
      </c>
    </row>
    <row r="1257" ht="18.6" customHeight="1" spans="1:11">
      <c r="A1257" s="3">
        <v>1256</v>
      </c>
      <c r="B1257" s="3" t="s">
        <v>2060</v>
      </c>
      <c r="C1257" s="3" t="s">
        <v>3444</v>
      </c>
      <c r="D1257" s="3" t="s">
        <v>448</v>
      </c>
      <c r="E1257" s="3" t="s">
        <v>477</v>
      </c>
      <c r="F1257" s="3"/>
      <c r="G1257" s="3"/>
      <c r="H1257" s="3"/>
      <c r="I1257" s="3" t="s">
        <v>3776</v>
      </c>
      <c r="J1257" s="3" t="s">
        <v>1700</v>
      </c>
      <c r="K1257" s="27" t="s">
        <v>12</v>
      </c>
    </row>
    <row r="1258" ht="18.6" customHeight="1" spans="1:11">
      <c r="A1258" s="3">
        <v>1257</v>
      </c>
      <c r="B1258" s="3" t="s">
        <v>3807</v>
      </c>
      <c r="C1258" s="3" t="s">
        <v>3458</v>
      </c>
      <c r="D1258" s="3" t="s">
        <v>502</v>
      </c>
      <c r="E1258" s="3" t="s">
        <v>503</v>
      </c>
      <c r="F1258" s="3"/>
      <c r="G1258" s="3"/>
      <c r="H1258" s="3"/>
      <c r="I1258" s="3" t="s">
        <v>3770</v>
      </c>
      <c r="J1258" s="3" t="s">
        <v>1700</v>
      </c>
      <c r="K1258" s="27" t="s">
        <v>12</v>
      </c>
    </row>
    <row r="1259" ht="18.6" customHeight="1" spans="1:11">
      <c r="A1259" s="3">
        <v>1258</v>
      </c>
      <c r="B1259" s="3" t="s">
        <v>2061</v>
      </c>
      <c r="C1259" s="3" t="s">
        <v>3458</v>
      </c>
      <c r="D1259" s="3" t="s">
        <v>502</v>
      </c>
      <c r="E1259" s="3" t="s">
        <v>524</v>
      </c>
      <c r="F1259" s="3"/>
      <c r="G1259" s="3"/>
      <c r="H1259" s="3"/>
      <c r="I1259" s="3" t="s">
        <v>3769</v>
      </c>
      <c r="J1259" s="3" t="s">
        <v>1700</v>
      </c>
      <c r="K1259" s="27" t="s">
        <v>12</v>
      </c>
    </row>
    <row r="1260" ht="18.6" customHeight="1" spans="1:11">
      <c r="A1260" s="3">
        <v>1259</v>
      </c>
      <c r="B1260" s="3" t="s">
        <v>3808</v>
      </c>
      <c r="C1260" s="3" t="s">
        <v>3458</v>
      </c>
      <c r="D1260" s="3" t="s">
        <v>502</v>
      </c>
      <c r="E1260" s="3" t="s">
        <v>511</v>
      </c>
      <c r="F1260" s="3"/>
      <c r="G1260" s="3"/>
      <c r="H1260" s="3"/>
      <c r="I1260" s="3" t="s">
        <v>3770</v>
      </c>
      <c r="J1260" s="3" t="s">
        <v>1700</v>
      </c>
      <c r="K1260" s="27" t="s">
        <v>12</v>
      </c>
    </row>
    <row r="1261" ht="18.6" customHeight="1" spans="1:11">
      <c r="A1261" s="3">
        <v>1260</v>
      </c>
      <c r="B1261" s="3" t="s">
        <v>2062</v>
      </c>
      <c r="C1261" s="3" t="s">
        <v>3458</v>
      </c>
      <c r="D1261" s="3" t="s">
        <v>502</v>
      </c>
      <c r="E1261" s="3" t="s">
        <v>509</v>
      </c>
      <c r="F1261" s="3"/>
      <c r="G1261" s="3"/>
      <c r="H1261" s="3"/>
      <c r="I1261" s="3" t="s">
        <v>3769</v>
      </c>
      <c r="J1261" s="3" t="s">
        <v>1700</v>
      </c>
      <c r="K1261" s="27" t="s">
        <v>12</v>
      </c>
    </row>
    <row r="1262" ht="18.6" customHeight="1" spans="1:11">
      <c r="A1262" s="3">
        <v>1261</v>
      </c>
      <c r="B1262" s="3" t="s">
        <v>2063</v>
      </c>
      <c r="C1262" s="3" t="s">
        <v>3458</v>
      </c>
      <c r="D1262" s="3" t="s">
        <v>502</v>
      </c>
      <c r="E1262" s="3" t="s">
        <v>511</v>
      </c>
      <c r="F1262" s="3"/>
      <c r="G1262" s="3"/>
      <c r="H1262" s="3"/>
      <c r="I1262" s="3" t="s">
        <v>3771</v>
      </c>
      <c r="J1262" s="3" t="s">
        <v>1700</v>
      </c>
      <c r="K1262" s="27" t="s">
        <v>12</v>
      </c>
    </row>
    <row r="1263" ht="18.6" customHeight="1" spans="1:11">
      <c r="A1263" s="3">
        <v>1262</v>
      </c>
      <c r="B1263" s="3" t="s">
        <v>2064</v>
      </c>
      <c r="C1263" s="3" t="s">
        <v>3458</v>
      </c>
      <c r="D1263" s="3" t="s">
        <v>502</v>
      </c>
      <c r="E1263" s="3" t="s">
        <v>503</v>
      </c>
      <c r="F1263" s="3"/>
      <c r="G1263" s="3"/>
      <c r="H1263" s="3"/>
      <c r="I1263" s="3" t="s">
        <v>3770</v>
      </c>
      <c r="J1263" s="3" t="s">
        <v>1700</v>
      </c>
      <c r="K1263" s="27" t="s">
        <v>12</v>
      </c>
    </row>
    <row r="1264" ht="18.6" customHeight="1" spans="1:11">
      <c r="A1264" s="3">
        <v>1263</v>
      </c>
      <c r="B1264" s="3" t="s">
        <v>2065</v>
      </c>
      <c r="C1264" s="3" t="s">
        <v>3458</v>
      </c>
      <c r="D1264" s="3" t="s">
        <v>502</v>
      </c>
      <c r="E1264" s="3" t="s">
        <v>520</v>
      </c>
      <c r="F1264" s="3"/>
      <c r="G1264" s="3"/>
      <c r="H1264" s="3"/>
      <c r="I1264" s="3" t="s">
        <v>3770</v>
      </c>
      <c r="J1264" s="3" t="s">
        <v>1700</v>
      </c>
      <c r="K1264" s="27" t="s">
        <v>12</v>
      </c>
    </row>
    <row r="1265" ht="18.6" customHeight="1" spans="1:11">
      <c r="A1265" s="3">
        <v>1264</v>
      </c>
      <c r="B1265" s="3" t="s">
        <v>2066</v>
      </c>
      <c r="C1265" s="3" t="s">
        <v>3458</v>
      </c>
      <c r="D1265" s="3" t="s">
        <v>502</v>
      </c>
      <c r="E1265" s="3" t="s">
        <v>537</v>
      </c>
      <c r="F1265" s="3"/>
      <c r="G1265" s="3"/>
      <c r="H1265" s="3"/>
      <c r="I1265" s="3" t="s">
        <v>3770</v>
      </c>
      <c r="J1265" s="3" t="s">
        <v>1700</v>
      </c>
      <c r="K1265" s="27" t="s">
        <v>12</v>
      </c>
    </row>
    <row r="1266" ht="18.6" customHeight="1" spans="1:11">
      <c r="A1266" s="3">
        <v>1265</v>
      </c>
      <c r="B1266" s="3" t="s">
        <v>2067</v>
      </c>
      <c r="C1266" s="3" t="s">
        <v>3458</v>
      </c>
      <c r="D1266" s="3" t="s">
        <v>502</v>
      </c>
      <c r="E1266" s="3" t="s">
        <v>503</v>
      </c>
      <c r="F1266" s="3"/>
      <c r="G1266" s="3"/>
      <c r="H1266" s="3"/>
      <c r="I1266" s="3" t="s">
        <v>3779</v>
      </c>
      <c r="J1266" s="3" t="s">
        <v>1700</v>
      </c>
      <c r="K1266" s="27" t="s">
        <v>12</v>
      </c>
    </row>
    <row r="1267" ht="18.6" customHeight="1" spans="1:11">
      <c r="A1267" s="3">
        <v>1266</v>
      </c>
      <c r="B1267" s="3" t="s">
        <v>2068</v>
      </c>
      <c r="C1267" s="3" t="s">
        <v>3458</v>
      </c>
      <c r="D1267" s="3" t="s">
        <v>502</v>
      </c>
      <c r="E1267" s="3" t="s">
        <v>509</v>
      </c>
      <c r="F1267" s="3"/>
      <c r="G1267" s="3"/>
      <c r="H1267" s="3"/>
      <c r="I1267" s="3" t="s">
        <v>3770</v>
      </c>
      <c r="J1267" s="3" t="s">
        <v>1700</v>
      </c>
      <c r="K1267" s="27" t="s">
        <v>12</v>
      </c>
    </row>
    <row r="1268" ht="18.6" customHeight="1" spans="1:11">
      <c r="A1268" s="3">
        <v>1267</v>
      </c>
      <c r="B1268" s="3" t="s">
        <v>2069</v>
      </c>
      <c r="C1268" s="3" t="s">
        <v>3458</v>
      </c>
      <c r="D1268" s="3" t="s">
        <v>502</v>
      </c>
      <c r="E1268" s="3" t="s">
        <v>503</v>
      </c>
      <c r="F1268" s="3"/>
      <c r="G1268" s="3"/>
      <c r="H1268" s="3"/>
      <c r="I1268" s="3" t="s">
        <v>3771</v>
      </c>
      <c r="J1268" s="3" t="s">
        <v>1700</v>
      </c>
      <c r="K1268" s="27" t="s">
        <v>12</v>
      </c>
    </row>
    <row r="1269" ht="18.6" customHeight="1" spans="1:11">
      <c r="A1269" s="3">
        <v>1268</v>
      </c>
      <c r="B1269" s="3" t="s">
        <v>2070</v>
      </c>
      <c r="C1269" s="3" t="s">
        <v>3458</v>
      </c>
      <c r="D1269" s="3" t="s">
        <v>502</v>
      </c>
      <c r="E1269" s="3" t="s">
        <v>503</v>
      </c>
      <c r="F1269" s="3"/>
      <c r="G1269" s="3"/>
      <c r="H1269" s="3"/>
      <c r="I1269" s="3" t="s">
        <v>3770</v>
      </c>
      <c r="J1269" s="3" t="s">
        <v>1700</v>
      </c>
      <c r="K1269" s="27" t="s">
        <v>12</v>
      </c>
    </row>
    <row r="1270" ht="18.6" customHeight="1" spans="1:11">
      <c r="A1270" s="3">
        <v>1269</v>
      </c>
      <c r="B1270" s="3" t="s">
        <v>2071</v>
      </c>
      <c r="C1270" s="3" t="s">
        <v>3458</v>
      </c>
      <c r="D1270" s="3" t="s">
        <v>502</v>
      </c>
      <c r="E1270" s="3" t="s">
        <v>509</v>
      </c>
      <c r="F1270" s="3"/>
      <c r="G1270" s="3"/>
      <c r="H1270" s="3"/>
      <c r="I1270" s="3" t="s">
        <v>3770</v>
      </c>
      <c r="J1270" s="3" t="s">
        <v>1700</v>
      </c>
      <c r="K1270" s="27" t="s">
        <v>12</v>
      </c>
    </row>
    <row r="1271" ht="18.6" customHeight="1" spans="1:11">
      <c r="A1271" s="3">
        <v>1270</v>
      </c>
      <c r="B1271" s="3" t="s">
        <v>2072</v>
      </c>
      <c r="C1271" s="3" t="s">
        <v>3458</v>
      </c>
      <c r="D1271" s="3" t="s">
        <v>502</v>
      </c>
      <c r="E1271" s="3" t="s">
        <v>533</v>
      </c>
      <c r="F1271" s="3"/>
      <c r="G1271" s="3"/>
      <c r="H1271" s="3"/>
      <c r="I1271" s="3" t="s">
        <v>3769</v>
      </c>
      <c r="J1271" s="3" t="s">
        <v>1700</v>
      </c>
      <c r="K1271" s="27" t="s">
        <v>12</v>
      </c>
    </row>
    <row r="1272" ht="18.6" customHeight="1" spans="1:11">
      <c r="A1272" s="3">
        <v>1271</v>
      </c>
      <c r="B1272" s="3" t="s">
        <v>2073</v>
      </c>
      <c r="C1272" s="3" t="s">
        <v>3458</v>
      </c>
      <c r="D1272" s="3" t="s">
        <v>502</v>
      </c>
      <c r="E1272" s="3" t="s">
        <v>528</v>
      </c>
      <c r="F1272" s="3"/>
      <c r="G1272" s="3"/>
      <c r="H1272" s="3"/>
      <c r="I1272" s="3" t="s">
        <v>3770</v>
      </c>
      <c r="J1272" s="3" t="s">
        <v>1700</v>
      </c>
      <c r="K1272" s="27" t="s">
        <v>12</v>
      </c>
    </row>
    <row r="1273" ht="18.6" customHeight="1" spans="1:11">
      <c r="A1273" s="3">
        <v>1272</v>
      </c>
      <c r="B1273" s="3" t="s">
        <v>2074</v>
      </c>
      <c r="C1273" s="3" t="s">
        <v>3458</v>
      </c>
      <c r="D1273" s="3" t="s">
        <v>502</v>
      </c>
      <c r="E1273" s="3" t="s">
        <v>515</v>
      </c>
      <c r="F1273" s="3"/>
      <c r="G1273" s="3"/>
      <c r="H1273" s="3"/>
      <c r="I1273" s="3" t="s">
        <v>3770</v>
      </c>
      <c r="J1273" s="3" t="s">
        <v>1700</v>
      </c>
      <c r="K1273" s="27" t="s">
        <v>12</v>
      </c>
    </row>
    <row r="1274" ht="18.6" customHeight="1" spans="1:11">
      <c r="A1274" s="3">
        <v>1273</v>
      </c>
      <c r="B1274" s="3" t="s">
        <v>2075</v>
      </c>
      <c r="C1274" s="3" t="s">
        <v>3458</v>
      </c>
      <c r="D1274" s="3" t="s">
        <v>502</v>
      </c>
      <c r="E1274" s="3" t="s">
        <v>503</v>
      </c>
      <c r="F1274" s="3"/>
      <c r="G1274" s="3"/>
      <c r="H1274" s="3"/>
      <c r="I1274" s="3" t="s">
        <v>3770</v>
      </c>
      <c r="J1274" s="3" t="s">
        <v>1700</v>
      </c>
      <c r="K1274" s="27" t="s">
        <v>12</v>
      </c>
    </row>
    <row r="1275" ht="18.6" customHeight="1" spans="1:11">
      <c r="A1275" s="3">
        <v>1274</v>
      </c>
      <c r="B1275" s="3" t="s">
        <v>2076</v>
      </c>
      <c r="C1275" s="3" t="s">
        <v>3458</v>
      </c>
      <c r="D1275" s="3" t="s">
        <v>502</v>
      </c>
      <c r="E1275" s="3" t="s">
        <v>503</v>
      </c>
      <c r="F1275" s="3"/>
      <c r="G1275" s="3"/>
      <c r="H1275" s="3"/>
      <c r="I1275" s="3" t="s">
        <v>3777</v>
      </c>
      <c r="J1275" s="3" t="s">
        <v>1700</v>
      </c>
      <c r="K1275" s="27" t="s">
        <v>12</v>
      </c>
    </row>
    <row r="1276" ht="18.6" customHeight="1" spans="1:11">
      <c r="A1276" s="3">
        <v>1275</v>
      </c>
      <c r="B1276" s="3" t="s">
        <v>2077</v>
      </c>
      <c r="C1276" s="3" t="s">
        <v>3458</v>
      </c>
      <c r="D1276" s="3" t="s">
        <v>502</v>
      </c>
      <c r="E1276" s="3" t="s">
        <v>511</v>
      </c>
      <c r="F1276" s="3"/>
      <c r="G1276" s="3"/>
      <c r="H1276" s="3"/>
      <c r="I1276" s="3" t="s">
        <v>3775</v>
      </c>
      <c r="J1276" s="3" t="s">
        <v>1700</v>
      </c>
      <c r="K1276" s="27" t="s">
        <v>12</v>
      </c>
    </row>
    <row r="1277" ht="18.6" customHeight="1" spans="1:11">
      <c r="A1277" s="3">
        <v>1276</v>
      </c>
      <c r="B1277" s="3" t="s">
        <v>3809</v>
      </c>
      <c r="C1277" s="3" t="s">
        <v>3458</v>
      </c>
      <c r="D1277" s="3" t="s">
        <v>502</v>
      </c>
      <c r="E1277" s="3" t="s">
        <v>503</v>
      </c>
      <c r="F1277" s="3"/>
      <c r="G1277" s="3"/>
      <c r="H1277" s="3"/>
      <c r="I1277" s="3" t="s">
        <v>3775</v>
      </c>
      <c r="J1277" s="3" t="s">
        <v>1700</v>
      </c>
      <c r="K1277" s="27" t="s">
        <v>12</v>
      </c>
    </row>
    <row r="1278" ht="18.6" customHeight="1" spans="1:11">
      <c r="A1278" s="3">
        <v>1277</v>
      </c>
      <c r="B1278" s="3" t="s">
        <v>2078</v>
      </c>
      <c r="C1278" s="3" t="s">
        <v>3458</v>
      </c>
      <c r="D1278" s="3" t="s">
        <v>502</v>
      </c>
      <c r="E1278" s="3" t="s">
        <v>503</v>
      </c>
      <c r="F1278" s="3"/>
      <c r="G1278" s="3"/>
      <c r="H1278" s="3"/>
      <c r="I1278" s="3" t="s">
        <v>3769</v>
      </c>
      <c r="J1278" s="3" t="s">
        <v>1700</v>
      </c>
      <c r="K1278" s="27" t="s">
        <v>12</v>
      </c>
    </row>
    <row r="1279" ht="18.6" customHeight="1" spans="1:11">
      <c r="A1279" s="3">
        <v>1278</v>
      </c>
      <c r="B1279" s="3" t="s">
        <v>2079</v>
      </c>
      <c r="C1279" s="3" t="s">
        <v>3458</v>
      </c>
      <c r="D1279" s="3" t="s">
        <v>502</v>
      </c>
      <c r="E1279" s="3" t="s">
        <v>530</v>
      </c>
      <c r="F1279" s="3"/>
      <c r="G1279" s="3"/>
      <c r="H1279" s="3"/>
      <c r="I1279" s="3" t="s">
        <v>3769</v>
      </c>
      <c r="J1279" s="3" t="s">
        <v>1700</v>
      </c>
      <c r="K1279" s="27" t="s">
        <v>12</v>
      </c>
    </row>
    <row r="1280" ht="18.6" customHeight="1" spans="1:11">
      <c r="A1280" s="3">
        <v>1279</v>
      </c>
      <c r="B1280" s="3" t="s">
        <v>2080</v>
      </c>
      <c r="C1280" s="3" t="s">
        <v>3458</v>
      </c>
      <c r="D1280" s="3" t="s">
        <v>502</v>
      </c>
      <c r="E1280" s="3" t="s">
        <v>543</v>
      </c>
      <c r="F1280" s="3"/>
      <c r="G1280" s="3"/>
      <c r="H1280" s="3"/>
      <c r="I1280" s="3" t="s">
        <v>3770</v>
      </c>
      <c r="J1280" s="3" t="s">
        <v>1700</v>
      </c>
      <c r="K1280" s="27" t="s">
        <v>12</v>
      </c>
    </row>
    <row r="1281" ht="18.6" customHeight="1" spans="1:11">
      <c r="A1281" s="3">
        <v>1280</v>
      </c>
      <c r="B1281" s="3" t="s">
        <v>2081</v>
      </c>
      <c r="C1281" s="3" t="s">
        <v>3458</v>
      </c>
      <c r="D1281" s="3" t="s">
        <v>502</v>
      </c>
      <c r="E1281" s="3" t="s">
        <v>2082</v>
      </c>
      <c r="F1281" s="3"/>
      <c r="G1281" s="3"/>
      <c r="H1281" s="3"/>
      <c r="I1281" s="3" t="s">
        <v>3770</v>
      </c>
      <c r="J1281" s="3" t="s">
        <v>1700</v>
      </c>
      <c r="K1281" s="27" t="s">
        <v>12</v>
      </c>
    </row>
    <row r="1282" ht="18.6" customHeight="1" spans="1:11">
      <c r="A1282" s="3">
        <v>1281</v>
      </c>
      <c r="B1282" s="3" t="s">
        <v>2083</v>
      </c>
      <c r="C1282" s="3" t="s">
        <v>3458</v>
      </c>
      <c r="D1282" s="3" t="s">
        <v>502</v>
      </c>
      <c r="E1282" s="3" t="s">
        <v>503</v>
      </c>
      <c r="F1282" s="3"/>
      <c r="G1282" s="3"/>
      <c r="H1282" s="3"/>
      <c r="I1282" s="3" t="s">
        <v>3772</v>
      </c>
      <c r="J1282" s="3" t="s">
        <v>1700</v>
      </c>
      <c r="K1282" s="27" t="s">
        <v>12</v>
      </c>
    </row>
    <row r="1283" ht="18.6" customHeight="1" spans="1:11">
      <c r="A1283" s="3">
        <v>1282</v>
      </c>
      <c r="B1283" s="3" t="s">
        <v>2084</v>
      </c>
      <c r="C1283" s="3" t="s">
        <v>3458</v>
      </c>
      <c r="D1283" s="3" t="s">
        <v>502</v>
      </c>
      <c r="E1283" s="3" t="s">
        <v>503</v>
      </c>
      <c r="F1283" s="3"/>
      <c r="G1283" s="3"/>
      <c r="H1283" s="3"/>
      <c r="I1283" s="3" t="s">
        <v>3770</v>
      </c>
      <c r="J1283" s="3" t="s">
        <v>1700</v>
      </c>
      <c r="K1283" s="27" t="s">
        <v>12</v>
      </c>
    </row>
    <row r="1284" ht="18.6" customHeight="1" spans="1:11">
      <c r="A1284" s="3">
        <v>1283</v>
      </c>
      <c r="B1284" s="3" t="s">
        <v>2085</v>
      </c>
      <c r="C1284" s="3" t="s">
        <v>3458</v>
      </c>
      <c r="D1284" s="3" t="s">
        <v>502</v>
      </c>
      <c r="E1284" s="3" t="s">
        <v>507</v>
      </c>
      <c r="F1284" s="3"/>
      <c r="G1284" s="3"/>
      <c r="H1284" s="3"/>
      <c r="I1284" s="3"/>
      <c r="J1284" s="3" t="s">
        <v>1700</v>
      </c>
      <c r="K1284" s="27" t="s">
        <v>12</v>
      </c>
    </row>
    <row r="1285" ht="18.6" customHeight="1" spans="1:11">
      <c r="A1285" s="3">
        <v>1284</v>
      </c>
      <c r="B1285" s="3" t="s">
        <v>2086</v>
      </c>
      <c r="C1285" s="3" t="s">
        <v>3458</v>
      </c>
      <c r="D1285" s="3" t="s">
        <v>502</v>
      </c>
      <c r="E1285" s="3" t="s">
        <v>503</v>
      </c>
      <c r="F1285" s="3"/>
      <c r="G1285" s="3"/>
      <c r="H1285" s="3"/>
      <c r="I1285" s="3" t="s">
        <v>3769</v>
      </c>
      <c r="J1285" s="3" t="s">
        <v>1700</v>
      </c>
      <c r="K1285" s="27" t="s">
        <v>12</v>
      </c>
    </row>
    <row r="1286" ht="18.6" customHeight="1" spans="1:11">
      <c r="A1286" s="3">
        <v>1285</v>
      </c>
      <c r="B1286" s="3" t="s">
        <v>2087</v>
      </c>
      <c r="C1286" s="3" t="s">
        <v>3458</v>
      </c>
      <c r="D1286" s="3" t="s">
        <v>502</v>
      </c>
      <c r="E1286" s="3" t="s">
        <v>511</v>
      </c>
      <c r="F1286" s="3"/>
      <c r="G1286" s="3"/>
      <c r="H1286" s="3"/>
      <c r="I1286" s="3" t="s">
        <v>3770</v>
      </c>
      <c r="J1286" s="3" t="s">
        <v>1700</v>
      </c>
      <c r="K1286" s="27" t="s">
        <v>12</v>
      </c>
    </row>
    <row r="1287" ht="18.6" customHeight="1" spans="1:11">
      <c r="A1287" s="3">
        <v>1286</v>
      </c>
      <c r="B1287" s="3" t="s">
        <v>2088</v>
      </c>
      <c r="C1287" s="3" t="s">
        <v>3458</v>
      </c>
      <c r="D1287" s="3" t="s">
        <v>502</v>
      </c>
      <c r="E1287" s="3" t="s">
        <v>503</v>
      </c>
      <c r="F1287" s="3"/>
      <c r="G1287" s="3"/>
      <c r="H1287" s="3"/>
      <c r="I1287" s="3" t="s">
        <v>3771</v>
      </c>
      <c r="J1287" s="3" t="s">
        <v>1700</v>
      </c>
      <c r="K1287" s="27" t="s">
        <v>12</v>
      </c>
    </row>
    <row r="1288" ht="18.6" customHeight="1" spans="1:11">
      <c r="A1288" s="3">
        <v>1287</v>
      </c>
      <c r="B1288" s="3" t="s">
        <v>2089</v>
      </c>
      <c r="C1288" s="3" t="s">
        <v>3458</v>
      </c>
      <c r="D1288" s="3" t="s">
        <v>502</v>
      </c>
      <c r="E1288" s="3" t="s">
        <v>503</v>
      </c>
      <c r="F1288" s="3"/>
      <c r="G1288" s="3"/>
      <c r="H1288" s="3"/>
      <c r="I1288" s="3" t="s">
        <v>3769</v>
      </c>
      <c r="J1288" s="3" t="s">
        <v>1700</v>
      </c>
      <c r="K1288" s="27" t="s">
        <v>12</v>
      </c>
    </row>
    <row r="1289" ht="18.6" customHeight="1" spans="1:11">
      <c r="A1289" s="3">
        <v>1288</v>
      </c>
      <c r="B1289" s="3" t="s">
        <v>2090</v>
      </c>
      <c r="C1289" s="3" t="s">
        <v>3458</v>
      </c>
      <c r="D1289" s="3" t="s">
        <v>502</v>
      </c>
      <c r="E1289" s="3" t="s">
        <v>545</v>
      </c>
      <c r="F1289" s="3"/>
      <c r="G1289" s="3"/>
      <c r="H1289" s="3"/>
      <c r="I1289" s="3" t="s">
        <v>3770</v>
      </c>
      <c r="J1289" s="3" t="s">
        <v>1700</v>
      </c>
      <c r="K1289" s="27" t="s">
        <v>12</v>
      </c>
    </row>
    <row r="1290" ht="18.6" customHeight="1" spans="1:11">
      <c r="A1290" s="3">
        <v>1289</v>
      </c>
      <c r="B1290" s="3" t="s">
        <v>2091</v>
      </c>
      <c r="C1290" s="3" t="s">
        <v>3458</v>
      </c>
      <c r="D1290" s="3" t="s">
        <v>502</v>
      </c>
      <c r="E1290" s="3" t="s">
        <v>528</v>
      </c>
      <c r="F1290" s="3"/>
      <c r="G1290" s="3"/>
      <c r="H1290" s="3"/>
      <c r="I1290" s="3" t="s">
        <v>3770</v>
      </c>
      <c r="J1290" s="3" t="s">
        <v>1700</v>
      </c>
      <c r="K1290" s="27" t="s">
        <v>12</v>
      </c>
    </row>
    <row r="1291" ht="18.6" customHeight="1" spans="1:11">
      <c r="A1291" s="3">
        <v>1290</v>
      </c>
      <c r="B1291" s="3" t="s">
        <v>2092</v>
      </c>
      <c r="C1291" s="3" t="s">
        <v>3458</v>
      </c>
      <c r="D1291" s="3" t="s">
        <v>502</v>
      </c>
      <c r="E1291" s="3" t="s">
        <v>522</v>
      </c>
      <c r="F1291" s="3"/>
      <c r="G1291" s="3"/>
      <c r="H1291" s="3"/>
      <c r="I1291" s="3" t="s">
        <v>3770</v>
      </c>
      <c r="J1291" s="3" t="s">
        <v>1700</v>
      </c>
      <c r="K1291" s="27" t="s">
        <v>12</v>
      </c>
    </row>
    <row r="1292" ht="18.6" customHeight="1" spans="1:11">
      <c r="A1292" s="3">
        <v>1291</v>
      </c>
      <c r="B1292" s="3" t="s">
        <v>2093</v>
      </c>
      <c r="C1292" s="3" t="s">
        <v>3458</v>
      </c>
      <c r="D1292" s="3" t="s">
        <v>502</v>
      </c>
      <c r="E1292" s="3" t="s">
        <v>503</v>
      </c>
      <c r="F1292" s="3"/>
      <c r="G1292" s="3"/>
      <c r="H1292" s="3"/>
      <c r="I1292" s="3" t="s">
        <v>3772</v>
      </c>
      <c r="J1292" s="3" t="s">
        <v>1700</v>
      </c>
      <c r="K1292" s="27" t="s">
        <v>12</v>
      </c>
    </row>
    <row r="1293" ht="18.6" customHeight="1" spans="1:11">
      <c r="A1293" s="3">
        <v>1292</v>
      </c>
      <c r="B1293" s="3" t="s">
        <v>2094</v>
      </c>
      <c r="C1293" s="3" t="s">
        <v>3458</v>
      </c>
      <c r="D1293" s="3" t="s">
        <v>502</v>
      </c>
      <c r="E1293" s="3" t="s">
        <v>507</v>
      </c>
      <c r="F1293" s="3"/>
      <c r="G1293" s="3"/>
      <c r="H1293" s="3"/>
      <c r="I1293" s="3" t="s">
        <v>3776</v>
      </c>
      <c r="J1293" s="3" t="s">
        <v>1700</v>
      </c>
      <c r="K1293" s="27" t="s">
        <v>12</v>
      </c>
    </row>
    <row r="1294" ht="18.6" customHeight="1" spans="1:11">
      <c r="A1294" s="3">
        <v>1293</v>
      </c>
      <c r="B1294" s="3" t="s">
        <v>2095</v>
      </c>
      <c r="C1294" s="3" t="s">
        <v>3458</v>
      </c>
      <c r="D1294" s="3" t="s">
        <v>502</v>
      </c>
      <c r="E1294" s="3" t="s">
        <v>503</v>
      </c>
      <c r="F1294" s="3"/>
      <c r="G1294" s="3"/>
      <c r="H1294" s="3"/>
      <c r="I1294" s="3" t="s">
        <v>3771</v>
      </c>
      <c r="J1294" s="3" t="s">
        <v>1700</v>
      </c>
      <c r="K1294" s="27" t="s">
        <v>12</v>
      </c>
    </row>
    <row r="1295" ht="18.6" customHeight="1" spans="1:11">
      <c r="A1295" s="3">
        <v>1294</v>
      </c>
      <c r="B1295" s="3" t="s">
        <v>2096</v>
      </c>
      <c r="C1295" s="3" t="s">
        <v>3458</v>
      </c>
      <c r="D1295" s="3" t="s">
        <v>502</v>
      </c>
      <c r="E1295" s="3" t="s">
        <v>503</v>
      </c>
      <c r="F1295" s="3"/>
      <c r="G1295" s="3"/>
      <c r="H1295" s="3"/>
      <c r="I1295" s="3" t="s">
        <v>3771</v>
      </c>
      <c r="J1295" s="3" t="s">
        <v>1700</v>
      </c>
      <c r="K1295" s="27" t="s">
        <v>12</v>
      </c>
    </row>
    <row r="1296" ht="18.6" customHeight="1" spans="1:11">
      <c r="A1296" s="3">
        <v>1295</v>
      </c>
      <c r="B1296" s="3" t="s">
        <v>2097</v>
      </c>
      <c r="C1296" s="3" t="s">
        <v>3458</v>
      </c>
      <c r="D1296" s="3" t="s">
        <v>502</v>
      </c>
      <c r="E1296" s="3" t="s">
        <v>503</v>
      </c>
      <c r="F1296" s="3"/>
      <c r="G1296" s="3"/>
      <c r="H1296" s="3"/>
      <c r="I1296" s="3" t="s">
        <v>3779</v>
      </c>
      <c r="J1296" s="3" t="s">
        <v>1700</v>
      </c>
      <c r="K1296" s="27" t="s">
        <v>12</v>
      </c>
    </row>
    <row r="1297" ht="18.6" customHeight="1" spans="1:11">
      <c r="A1297" s="3">
        <v>1296</v>
      </c>
      <c r="B1297" s="3" t="s">
        <v>2098</v>
      </c>
      <c r="C1297" s="3" t="s">
        <v>3458</v>
      </c>
      <c r="D1297" s="3" t="s">
        <v>502</v>
      </c>
      <c r="E1297" s="3" t="s">
        <v>503</v>
      </c>
      <c r="F1297" s="3"/>
      <c r="G1297" s="3"/>
      <c r="H1297" s="3"/>
      <c r="I1297" s="3" t="s">
        <v>3773</v>
      </c>
      <c r="J1297" s="3" t="s">
        <v>1700</v>
      </c>
      <c r="K1297" s="27" t="s">
        <v>12</v>
      </c>
    </row>
    <row r="1298" ht="18.6" customHeight="1" spans="1:11">
      <c r="A1298" s="3">
        <v>1297</v>
      </c>
      <c r="B1298" s="3" t="s">
        <v>2099</v>
      </c>
      <c r="C1298" s="3" t="s">
        <v>3458</v>
      </c>
      <c r="D1298" s="3" t="s">
        <v>502</v>
      </c>
      <c r="E1298" s="3" t="s">
        <v>503</v>
      </c>
      <c r="F1298" s="3"/>
      <c r="G1298" s="3"/>
      <c r="H1298" s="3"/>
      <c r="I1298" s="3" t="s">
        <v>3771</v>
      </c>
      <c r="J1298" s="3" t="s">
        <v>1700</v>
      </c>
      <c r="K1298" s="27" t="s">
        <v>12</v>
      </c>
    </row>
    <row r="1299" ht="18.6" customHeight="1" spans="1:11">
      <c r="A1299" s="3">
        <v>1298</v>
      </c>
      <c r="B1299" s="3" t="s">
        <v>2100</v>
      </c>
      <c r="C1299" s="3" t="s">
        <v>3458</v>
      </c>
      <c r="D1299" s="3" t="s">
        <v>502</v>
      </c>
      <c r="E1299" s="3" t="s">
        <v>503</v>
      </c>
      <c r="F1299" s="3"/>
      <c r="G1299" s="3"/>
      <c r="H1299" s="3"/>
      <c r="I1299" s="3" t="s">
        <v>3769</v>
      </c>
      <c r="J1299" s="3" t="s">
        <v>1700</v>
      </c>
      <c r="K1299" s="27" t="s">
        <v>12</v>
      </c>
    </row>
    <row r="1300" ht="18.6" customHeight="1" spans="1:11">
      <c r="A1300" s="3">
        <v>1299</v>
      </c>
      <c r="B1300" s="3" t="s">
        <v>2101</v>
      </c>
      <c r="C1300" s="3" t="s">
        <v>3458</v>
      </c>
      <c r="D1300" s="3" t="s">
        <v>502</v>
      </c>
      <c r="E1300" s="3" t="s">
        <v>503</v>
      </c>
      <c r="F1300" s="3"/>
      <c r="G1300" s="3"/>
      <c r="H1300" s="3"/>
      <c r="I1300" s="3" t="s">
        <v>3770</v>
      </c>
      <c r="J1300" s="3" t="s">
        <v>1700</v>
      </c>
      <c r="K1300" s="27" t="s">
        <v>12</v>
      </c>
    </row>
    <row r="1301" ht="18.6" customHeight="1" spans="1:11">
      <c r="A1301" s="3">
        <v>1300</v>
      </c>
      <c r="B1301" s="3" t="s">
        <v>2102</v>
      </c>
      <c r="C1301" s="3" t="s">
        <v>3458</v>
      </c>
      <c r="D1301" s="3" t="s">
        <v>502</v>
      </c>
      <c r="E1301" s="3" t="s">
        <v>537</v>
      </c>
      <c r="F1301" s="3"/>
      <c r="G1301" s="3"/>
      <c r="H1301" s="3"/>
      <c r="I1301" s="3" t="s">
        <v>3770</v>
      </c>
      <c r="J1301" s="3" t="s">
        <v>1700</v>
      </c>
      <c r="K1301" s="27" t="s">
        <v>12</v>
      </c>
    </row>
    <row r="1302" ht="18.6" customHeight="1" spans="1:11">
      <c r="A1302" s="3">
        <v>1301</v>
      </c>
      <c r="B1302" s="3" t="s">
        <v>2103</v>
      </c>
      <c r="C1302" s="3" t="s">
        <v>3458</v>
      </c>
      <c r="D1302" s="3" t="s">
        <v>502</v>
      </c>
      <c r="E1302" s="3" t="s">
        <v>522</v>
      </c>
      <c r="F1302" s="3"/>
      <c r="G1302" s="3"/>
      <c r="H1302" s="3"/>
      <c r="I1302" s="3" t="s">
        <v>3775</v>
      </c>
      <c r="J1302" s="3" t="s">
        <v>1700</v>
      </c>
      <c r="K1302" s="27" t="s">
        <v>12</v>
      </c>
    </row>
    <row r="1303" ht="18.6" customHeight="1" spans="1:11">
      <c r="A1303" s="3">
        <v>1302</v>
      </c>
      <c r="B1303" s="3" t="s">
        <v>2104</v>
      </c>
      <c r="C1303" s="3" t="s">
        <v>3458</v>
      </c>
      <c r="D1303" s="3" t="s">
        <v>502</v>
      </c>
      <c r="E1303" s="3" t="s">
        <v>503</v>
      </c>
      <c r="F1303" s="3"/>
      <c r="G1303" s="3"/>
      <c r="H1303" s="3"/>
      <c r="I1303" s="3" t="s">
        <v>3771</v>
      </c>
      <c r="J1303" s="3" t="s">
        <v>1700</v>
      </c>
      <c r="K1303" s="27" t="s">
        <v>12</v>
      </c>
    </row>
    <row r="1304" ht="18.6" customHeight="1" spans="1:11">
      <c r="A1304" s="3">
        <v>1303</v>
      </c>
      <c r="B1304" s="3" t="s">
        <v>2105</v>
      </c>
      <c r="C1304" s="3" t="s">
        <v>3458</v>
      </c>
      <c r="D1304" s="3" t="s">
        <v>502</v>
      </c>
      <c r="E1304" s="3" t="s">
        <v>507</v>
      </c>
      <c r="F1304" s="3"/>
      <c r="G1304" s="3"/>
      <c r="H1304" s="3"/>
      <c r="I1304" s="3" t="s">
        <v>3770</v>
      </c>
      <c r="J1304" s="3" t="s">
        <v>1700</v>
      </c>
      <c r="K1304" s="27" t="s">
        <v>12</v>
      </c>
    </row>
    <row r="1305" ht="18.6" customHeight="1" spans="1:11">
      <c r="A1305" s="3">
        <v>1304</v>
      </c>
      <c r="B1305" s="3" t="s">
        <v>2106</v>
      </c>
      <c r="C1305" s="3" t="s">
        <v>3458</v>
      </c>
      <c r="D1305" s="3" t="s">
        <v>502</v>
      </c>
      <c r="E1305" s="3" t="s">
        <v>522</v>
      </c>
      <c r="F1305" s="3"/>
      <c r="G1305" s="3"/>
      <c r="H1305" s="3"/>
      <c r="I1305" s="3"/>
      <c r="J1305" s="3" t="s">
        <v>1700</v>
      </c>
      <c r="K1305" s="27" t="s">
        <v>12</v>
      </c>
    </row>
    <row r="1306" ht="18.6" customHeight="1" spans="1:11">
      <c r="A1306" s="3">
        <v>1305</v>
      </c>
      <c r="B1306" s="3" t="s">
        <v>2107</v>
      </c>
      <c r="C1306" s="3" t="s">
        <v>3458</v>
      </c>
      <c r="D1306" s="3" t="s">
        <v>502</v>
      </c>
      <c r="E1306" s="3" t="s">
        <v>526</v>
      </c>
      <c r="F1306" s="3"/>
      <c r="G1306" s="3"/>
      <c r="H1306" s="3"/>
      <c r="I1306" s="3" t="s">
        <v>3770</v>
      </c>
      <c r="J1306" s="3" t="s">
        <v>1700</v>
      </c>
      <c r="K1306" s="27" t="s">
        <v>12</v>
      </c>
    </row>
    <row r="1307" ht="18.6" customHeight="1" spans="1:11">
      <c r="A1307" s="3">
        <v>1306</v>
      </c>
      <c r="B1307" s="3" t="s">
        <v>2108</v>
      </c>
      <c r="C1307" s="3" t="s">
        <v>3458</v>
      </c>
      <c r="D1307" s="3" t="s">
        <v>502</v>
      </c>
      <c r="E1307" s="3" t="s">
        <v>530</v>
      </c>
      <c r="F1307" s="3"/>
      <c r="G1307" s="3"/>
      <c r="H1307" s="3"/>
      <c r="I1307" s="3" t="s">
        <v>3769</v>
      </c>
      <c r="J1307" s="3" t="s">
        <v>1700</v>
      </c>
      <c r="K1307" s="27" t="s">
        <v>12</v>
      </c>
    </row>
    <row r="1308" ht="18.6" customHeight="1" spans="1:11">
      <c r="A1308" s="3">
        <v>1307</v>
      </c>
      <c r="B1308" s="3" t="s">
        <v>2109</v>
      </c>
      <c r="C1308" s="3" t="s">
        <v>3458</v>
      </c>
      <c r="D1308" s="3" t="s">
        <v>502</v>
      </c>
      <c r="E1308" s="3" t="s">
        <v>503</v>
      </c>
      <c r="F1308" s="3"/>
      <c r="G1308" s="3"/>
      <c r="H1308" s="3"/>
      <c r="I1308" s="3"/>
      <c r="J1308" s="3" t="s">
        <v>1700</v>
      </c>
      <c r="K1308" s="27" t="s">
        <v>12</v>
      </c>
    </row>
    <row r="1309" ht="18.6" customHeight="1" spans="1:11">
      <c r="A1309" s="3">
        <v>1308</v>
      </c>
      <c r="B1309" s="3" t="s">
        <v>2110</v>
      </c>
      <c r="C1309" s="3" t="s">
        <v>3458</v>
      </c>
      <c r="D1309" s="3" t="s">
        <v>502</v>
      </c>
      <c r="E1309" s="3" t="s">
        <v>528</v>
      </c>
      <c r="F1309" s="3"/>
      <c r="G1309" s="3"/>
      <c r="H1309" s="3"/>
      <c r="I1309" s="3"/>
      <c r="J1309" s="3" t="s">
        <v>1700</v>
      </c>
      <c r="K1309" s="27" t="s">
        <v>12</v>
      </c>
    </row>
    <row r="1310" ht="18.6" customHeight="1" spans="1:11">
      <c r="A1310" s="3">
        <v>1309</v>
      </c>
      <c r="B1310" s="3" t="s">
        <v>2111</v>
      </c>
      <c r="C1310" s="3" t="s">
        <v>3458</v>
      </c>
      <c r="D1310" s="3" t="s">
        <v>502</v>
      </c>
      <c r="E1310" s="3" t="s">
        <v>503</v>
      </c>
      <c r="F1310" s="3"/>
      <c r="G1310" s="3"/>
      <c r="H1310" s="3"/>
      <c r="I1310" s="3" t="s">
        <v>3776</v>
      </c>
      <c r="J1310" s="3" t="s">
        <v>1700</v>
      </c>
      <c r="K1310" s="27" t="s">
        <v>12</v>
      </c>
    </row>
    <row r="1311" ht="18.6" customHeight="1" spans="1:11">
      <c r="A1311" s="3">
        <v>1310</v>
      </c>
      <c r="B1311" s="3" t="s">
        <v>2112</v>
      </c>
      <c r="C1311" s="3" t="s">
        <v>3458</v>
      </c>
      <c r="D1311" s="3" t="s">
        <v>502</v>
      </c>
      <c r="E1311" s="3" t="s">
        <v>522</v>
      </c>
      <c r="F1311" s="3"/>
      <c r="G1311" s="3"/>
      <c r="H1311" s="3"/>
      <c r="I1311" s="3" t="s">
        <v>3772</v>
      </c>
      <c r="J1311" s="3" t="s">
        <v>1700</v>
      </c>
      <c r="K1311" s="27" t="s">
        <v>12</v>
      </c>
    </row>
    <row r="1312" ht="18.6" customHeight="1" spans="1:11">
      <c r="A1312" s="3">
        <v>1311</v>
      </c>
      <c r="B1312" s="3" t="s">
        <v>2113</v>
      </c>
      <c r="C1312" s="3" t="s">
        <v>3458</v>
      </c>
      <c r="D1312" s="3" t="s">
        <v>502</v>
      </c>
      <c r="E1312" s="3" t="s">
        <v>503</v>
      </c>
      <c r="F1312" s="3"/>
      <c r="G1312" s="3"/>
      <c r="H1312" s="3"/>
      <c r="I1312" s="3" t="s">
        <v>3769</v>
      </c>
      <c r="J1312" s="3" t="s">
        <v>1700</v>
      </c>
      <c r="K1312" s="27" t="s">
        <v>12</v>
      </c>
    </row>
    <row r="1313" ht="18.6" customHeight="1" spans="1:11">
      <c r="A1313" s="3">
        <v>1312</v>
      </c>
      <c r="B1313" s="3" t="s">
        <v>2114</v>
      </c>
      <c r="C1313" s="3" t="s">
        <v>3458</v>
      </c>
      <c r="D1313" s="3" t="s">
        <v>502</v>
      </c>
      <c r="E1313" s="3" t="s">
        <v>543</v>
      </c>
      <c r="F1313" s="3"/>
      <c r="G1313" s="3"/>
      <c r="H1313" s="3"/>
      <c r="I1313" s="3"/>
      <c r="J1313" s="3" t="s">
        <v>1700</v>
      </c>
      <c r="K1313" s="27" t="s">
        <v>12</v>
      </c>
    </row>
    <row r="1314" ht="18.6" customHeight="1" spans="1:11">
      <c r="A1314" s="3">
        <v>1313</v>
      </c>
      <c r="B1314" s="3" t="s">
        <v>2115</v>
      </c>
      <c r="C1314" s="3" t="s">
        <v>3458</v>
      </c>
      <c r="D1314" s="3" t="s">
        <v>502</v>
      </c>
      <c r="E1314" s="3" t="s">
        <v>533</v>
      </c>
      <c r="F1314" s="3"/>
      <c r="G1314" s="3"/>
      <c r="H1314" s="3"/>
      <c r="I1314" s="3"/>
      <c r="J1314" s="3" t="s">
        <v>1700</v>
      </c>
      <c r="K1314" s="27" t="s">
        <v>12</v>
      </c>
    </row>
    <row r="1315" ht="18.6" customHeight="1" spans="1:11">
      <c r="A1315" s="3">
        <v>1314</v>
      </c>
      <c r="B1315" s="3" t="s">
        <v>2116</v>
      </c>
      <c r="C1315" s="3" t="s">
        <v>3458</v>
      </c>
      <c r="D1315" s="3" t="s">
        <v>502</v>
      </c>
      <c r="E1315" s="3" t="s">
        <v>520</v>
      </c>
      <c r="F1315" s="3"/>
      <c r="G1315" s="3"/>
      <c r="H1315" s="3"/>
      <c r="I1315" s="3" t="s">
        <v>3776</v>
      </c>
      <c r="J1315" s="3" t="s">
        <v>1700</v>
      </c>
      <c r="K1315" s="27" t="s">
        <v>12</v>
      </c>
    </row>
    <row r="1316" ht="18.6" customHeight="1" spans="1:11">
      <c r="A1316" s="3">
        <v>1315</v>
      </c>
      <c r="B1316" s="3" t="s">
        <v>2117</v>
      </c>
      <c r="C1316" s="3" t="s">
        <v>3481</v>
      </c>
      <c r="D1316" s="3" t="s">
        <v>553</v>
      </c>
      <c r="E1316" s="3" t="s">
        <v>558</v>
      </c>
      <c r="F1316" s="3"/>
      <c r="G1316" s="3"/>
      <c r="H1316" s="3"/>
      <c r="I1316" s="3" t="s">
        <v>3770</v>
      </c>
      <c r="J1316" s="3" t="s">
        <v>1700</v>
      </c>
      <c r="K1316" s="27" t="s">
        <v>12</v>
      </c>
    </row>
    <row r="1317" ht="18.6" customHeight="1" spans="1:11">
      <c r="A1317" s="3">
        <v>1316</v>
      </c>
      <c r="B1317" s="3" t="s">
        <v>2118</v>
      </c>
      <c r="C1317" s="3" t="s">
        <v>3481</v>
      </c>
      <c r="D1317" s="3" t="s">
        <v>553</v>
      </c>
      <c r="E1317" s="3" t="s">
        <v>572</v>
      </c>
      <c r="F1317" s="3"/>
      <c r="G1317" s="3"/>
      <c r="H1317" s="3"/>
      <c r="I1317" s="3" t="s">
        <v>3769</v>
      </c>
      <c r="J1317" s="3" t="s">
        <v>1700</v>
      </c>
      <c r="K1317" s="27" t="s">
        <v>12</v>
      </c>
    </row>
    <row r="1318" ht="18.6" customHeight="1" spans="1:11">
      <c r="A1318" s="3">
        <v>1317</v>
      </c>
      <c r="B1318" s="3" t="s">
        <v>2119</v>
      </c>
      <c r="C1318" s="3" t="s">
        <v>3481</v>
      </c>
      <c r="D1318" s="3" t="s">
        <v>553</v>
      </c>
      <c r="E1318" s="3" t="s">
        <v>577</v>
      </c>
      <c r="F1318" s="3"/>
      <c r="G1318" s="3"/>
      <c r="H1318" s="3"/>
      <c r="I1318" s="3" t="s">
        <v>3769</v>
      </c>
      <c r="J1318" s="3" t="s">
        <v>1700</v>
      </c>
      <c r="K1318" s="27" t="s">
        <v>12</v>
      </c>
    </row>
    <row r="1319" ht="18.6" customHeight="1" spans="1:11">
      <c r="A1319" s="3">
        <v>1318</v>
      </c>
      <c r="B1319" s="3" t="s">
        <v>585</v>
      </c>
      <c r="C1319" s="3" t="s">
        <v>3481</v>
      </c>
      <c r="D1319" s="3" t="s">
        <v>553</v>
      </c>
      <c r="E1319" s="3" t="s">
        <v>556</v>
      </c>
      <c r="F1319" s="3"/>
      <c r="G1319" s="3"/>
      <c r="H1319" s="3"/>
      <c r="I1319" s="3" t="s">
        <v>3769</v>
      </c>
      <c r="J1319" s="3" t="s">
        <v>1700</v>
      </c>
      <c r="K1319" s="27" t="s">
        <v>12</v>
      </c>
    </row>
    <row r="1320" ht="18.6" customHeight="1" spans="1:11">
      <c r="A1320" s="3">
        <v>1319</v>
      </c>
      <c r="B1320" s="3" t="s">
        <v>2120</v>
      </c>
      <c r="C1320" s="3" t="s">
        <v>3481</v>
      </c>
      <c r="D1320" s="3" t="s">
        <v>553</v>
      </c>
      <c r="E1320" s="3" t="s">
        <v>558</v>
      </c>
      <c r="F1320" s="3"/>
      <c r="G1320" s="3"/>
      <c r="H1320" s="3"/>
      <c r="I1320" s="3" t="s">
        <v>3769</v>
      </c>
      <c r="J1320" s="3" t="s">
        <v>1700</v>
      </c>
      <c r="K1320" s="27" t="s">
        <v>12</v>
      </c>
    </row>
    <row r="1321" ht="18.6" customHeight="1" spans="1:11">
      <c r="A1321" s="3">
        <v>1320</v>
      </c>
      <c r="B1321" s="3" t="s">
        <v>2121</v>
      </c>
      <c r="C1321" s="3" t="s">
        <v>3481</v>
      </c>
      <c r="D1321" s="3" t="s">
        <v>553</v>
      </c>
      <c r="E1321" s="3" t="s">
        <v>567</v>
      </c>
      <c r="F1321" s="3"/>
      <c r="G1321" s="3"/>
      <c r="H1321" s="3"/>
      <c r="I1321" s="3" t="s">
        <v>3773</v>
      </c>
      <c r="J1321" s="3" t="s">
        <v>1700</v>
      </c>
      <c r="K1321" s="27" t="s">
        <v>12</v>
      </c>
    </row>
    <row r="1322" ht="18.6" customHeight="1" spans="1:11">
      <c r="A1322" s="3">
        <v>1321</v>
      </c>
      <c r="B1322" s="3" t="s">
        <v>2122</v>
      </c>
      <c r="C1322" s="3" t="s">
        <v>3481</v>
      </c>
      <c r="D1322" s="3" t="s">
        <v>553</v>
      </c>
      <c r="E1322" s="3" t="s">
        <v>558</v>
      </c>
      <c r="F1322" s="3"/>
      <c r="G1322" s="3"/>
      <c r="H1322" s="3"/>
      <c r="I1322" s="3" t="s">
        <v>3770</v>
      </c>
      <c r="J1322" s="3" t="s">
        <v>1700</v>
      </c>
      <c r="K1322" s="27" t="s">
        <v>12</v>
      </c>
    </row>
    <row r="1323" ht="18.6" customHeight="1" spans="1:11">
      <c r="A1323" s="3">
        <v>1322</v>
      </c>
      <c r="B1323" s="3" t="s">
        <v>2123</v>
      </c>
      <c r="C1323" s="3" t="s">
        <v>3481</v>
      </c>
      <c r="D1323" s="3" t="s">
        <v>553</v>
      </c>
      <c r="E1323" s="3" t="s">
        <v>575</v>
      </c>
      <c r="F1323" s="3"/>
      <c r="G1323" s="3"/>
      <c r="H1323" s="3"/>
      <c r="I1323" s="3" t="s">
        <v>3770</v>
      </c>
      <c r="J1323" s="3" t="s">
        <v>1700</v>
      </c>
      <c r="K1323" s="27" t="s">
        <v>12</v>
      </c>
    </row>
    <row r="1324" ht="18.6" customHeight="1" spans="1:11">
      <c r="A1324" s="3">
        <v>1323</v>
      </c>
      <c r="B1324" s="3" t="s">
        <v>2124</v>
      </c>
      <c r="C1324" s="3" t="s">
        <v>3481</v>
      </c>
      <c r="D1324" s="3" t="s">
        <v>553</v>
      </c>
      <c r="E1324" s="3" t="s">
        <v>556</v>
      </c>
      <c r="F1324" s="3"/>
      <c r="G1324" s="3"/>
      <c r="H1324" s="3"/>
      <c r="I1324" s="3" t="s">
        <v>3770</v>
      </c>
      <c r="J1324" s="3" t="s">
        <v>1700</v>
      </c>
      <c r="K1324" s="27" t="s">
        <v>12</v>
      </c>
    </row>
    <row r="1325" ht="18.6" customHeight="1" spans="1:11">
      <c r="A1325" s="3">
        <v>1324</v>
      </c>
      <c r="B1325" s="3" t="s">
        <v>2125</v>
      </c>
      <c r="C1325" s="3" t="s">
        <v>3481</v>
      </c>
      <c r="D1325" s="3" t="s">
        <v>553</v>
      </c>
      <c r="E1325" s="3" t="s">
        <v>554</v>
      </c>
      <c r="F1325" s="3"/>
      <c r="G1325" s="3"/>
      <c r="H1325" s="3"/>
      <c r="I1325" s="3" t="s">
        <v>3769</v>
      </c>
      <c r="J1325" s="3" t="s">
        <v>1700</v>
      </c>
      <c r="K1325" s="27" t="s">
        <v>12</v>
      </c>
    </row>
    <row r="1326" ht="18.6" customHeight="1" spans="1:11">
      <c r="A1326" s="3">
        <v>1325</v>
      </c>
      <c r="B1326" s="3" t="s">
        <v>2126</v>
      </c>
      <c r="C1326" s="3" t="s">
        <v>3481</v>
      </c>
      <c r="D1326" s="3" t="s">
        <v>553</v>
      </c>
      <c r="E1326" s="3" t="s">
        <v>558</v>
      </c>
      <c r="F1326" s="3"/>
      <c r="G1326" s="3"/>
      <c r="H1326" s="3"/>
      <c r="I1326" s="3" t="s">
        <v>3773</v>
      </c>
      <c r="J1326" s="3" t="s">
        <v>1700</v>
      </c>
      <c r="K1326" s="27" t="s">
        <v>12</v>
      </c>
    </row>
    <row r="1327" ht="18.6" customHeight="1" spans="1:11">
      <c r="A1327" s="3">
        <v>1326</v>
      </c>
      <c r="B1327" s="3" t="s">
        <v>2127</v>
      </c>
      <c r="C1327" s="3" t="s">
        <v>3481</v>
      </c>
      <c r="D1327" s="3" t="s">
        <v>553</v>
      </c>
      <c r="E1327" s="3" t="s">
        <v>558</v>
      </c>
      <c r="F1327" s="3"/>
      <c r="G1327" s="3"/>
      <c r="H1327" s="3"/>
      <c r="I1327" s="3" t="s">
        <v>3775</v>
      </c>
      <c r="J1327" s="3" t="s">
        <v>1700</v>
      </c>
      <c r="K1327" s="27" t="s">
        <v>12</v>
      </c>
    </row>
    <row r="1328" ht="18.6" customHeight="1" spans="1:11">
      <c r="A1328" s="3">
        <v>1327</v>
      </c>
      <c r="B1328" s="3" t="s">
        <v>2128</v>
      </c>
      <c r="C1328" s="3" t="s">
        <v>3481</v>
      </c>
      <c r="D1328" s="3" t="s">
        <v>553</v>
      </c>
      <c r="E1328" s="3" t="s">
        <v>556</v>
      </c>
      <c r="F1328" s="3"/>
      <c r="G1328" s="3"/>
      <c r="H1328" s="3"/>
      <c r="I1328" s="3" t="s">
        <v>3775</v>
      </c>
      <c r="J1328" s="3" t="s">
        <v>1700</v>
      </c>
      <c r="K1328" s="27" t="s">
        <v>12</v>
      </c>
    </row>
    <row r="1329" ht="18.6" customHeight="1" spans="1:11">
      <c r="A1329" s="3">
        <v>1328</v>
      </c>
      <c r="B1329" s="3" t="s">
        <v>2129</v>
      </c>
      <c r="C1329" s="3" t="s">
        <v>3481</v>
      </c>
      <c r="D1329" s="3" t="s">
        <v>553</v>
      </c>
      <c r="E1329" s="3" t="s">
        <v>567</v>
      </c>
      <c r="F1329" s="3"/>
      <c r="G1329" s="3"/>
      <c r="H1329" s="3"/>
      <c r="I1329" s="3" t="s">
        <v>3769</v>
      </c>
      <c r="J1329" s="3" t="s">
        <v>1700</v>
      </c>
      <c r="K1329" s="27" t="s">
        <v>12</v>
      </c>
    </row>
    <row r="1330" ht="18.6" customHeight="1" spans="1:11">
      <c r="A1330" s="3">
        <v>1329</v>
      </c>
      <c r="B1330" s="3" t="s">
        <v>2130</v>
      </c>
      <c r="C1330" s="3" t="s">
        <v>3481</v>
      </c>
      <c r="D1330" s="3" t="s">
        <v>553</v>
      </c>
      <c r="E1330" s="3" t="s">
        <v>556</v>
      </c>
      <c r="F1330" s="3"/>
      <c r="G1330" s="3"/>
      <c r="H1330" s="3"/>
      <c r="I1330" s="3" t="s">
        <v>3771</v>
      </c>
      <c r="J1330" s="3" t="s">
        <v>1700</v>
      </c>
      <c r="K1330" s="27" t="s">
        <v>12</v>
      </c>
    </row>
    <row r="1331" ht="18.6" customHeight="1" spans="1:11">
      <c r="A1331" s="3">
        <v>1330</v>
      </c>
      <c r="B1331" s="3" t="s">
        <v>2131</v>
      </c>
      <c r="C1331" s="3" t="s">
        <v>3481</v>
      </c>
      <c r="D1331" s="3" t="s">
        <v>553</v>
      </c>
      <c r="E1331" s="3" t="s">
        <v>581</v>
      </c>
      <c r="F1331" s="3"/>
      <c r="G1331" s="3"/>
      <c r="H1331" s="3"/>
      <c r="I1331" s="3" t="s">
        <v>3770</v>
      </c>
      <c r="J1331" s="3" t="s">
        <v>1700</v>
      </c>
      <c r="K1331" s="27" t="s">
        <v>12</v>
      </c>
    </row>
    <row r="1332" ht="18.6" customHeight="1" spans="1:11">
      <c r="A1332" s="3">
        <v>1331</v>
      </c>
      <c r="B1332" s="3" t="s">
        <v>2132</v>
      </c>
      <c r="C1332" s="3" t="s">
        <v>3481</v>
      </c>
      <c r="D1332" s="3" t="s">
        <v>553</v>
      </c>
      <c r="E1332" s="3" t="s">
        <v>558</v>
      </c>
      <c r="F1332" s="3"/>
      <c r="G1332" s="3"/>
      <c r="H1332" s="3"/>
      <c r="I1332" s="3" t="s">
        <v>3775</v>
      </c>
      <c r="J1332" s="3" t="s">
        <v>1700</v>
      </c>
      <c r="K1332" s="27" t="s">
        <v>12</v>
      </c>
    </row>
    <row r="1333" ht="18.6" customHeight="1" spans="1:11">
      <c r="A1333" s="3">
        <v>1332</v>
      </c>
      <c r="B1333" s="3" t="s">
        <v>2133</v>
      </c>
      <c r="C1333" s="3" t="s">
        <v>3481</v>
      </c>
      <c r="D1333" s="3" t="s">
        <v>553</v>
      </c>
      <c r="E1333" s="3" t="s">
        <v>558</v>
      </c>
      <c r="F1333" s="3"/>
      <c r="G1333" s="3"/>
      <c r="H1333" s="3"/>
      <c r="I1333" s="3" t="s">
        <v>3772</v>
      </c>
      <c r="J1333" s="3" t="s">
        <v>1700</v>
      </c>
      <c r="K1333" s="27" t="s">
        <v>12</v>
      </c>
    </row>
    <row r="1334" ht="18.6" customHeight="1" spans="1:11">
      <c r="A1334" s="3">
        <v>1333</v>
      </c>
      <c r="B1334" s="3" t="s">
        <v>2134</v>
      </c>
      <c r="C1334" s="3" t="s">
        <v>3481</v>
      </c>
      <c r="D1334" s="3" t="s">
        <v>553</v>
      </c>
      <c r="E1334" s="3" t="s">
        <v>558</v>
      </c>
      <c r="F1334" s="3"/>
      <c r="G1334" s="3"/>
      <c r="H1334" s="3"/>
      <c r="I1334" s="3" t="s">
        <v>3776</v>
      </c>
      <c r="J1334" s="3" t="s">
        <v>1700</v>
      </c>
      <c r="K1334" s="27" t="s">
        <v>12</v>
      </c>
    </row>
    <row r="1335" ht="18.6" customHeight="1" spans="1:11">
      <c r="A1335" s="3">
        <v>1334</v>
      </c>
      <c r="B1335" s="3" t="s">
        <v>2135</v>
      </c>
      <c r="C1335" s="3" t="s">
        <v>3481</v>
      </c>
      <c r="D1335" s="3" t="s">
        <v>553</v>
      </c>
      <c r="E1335" s="3" t="s">
        <v>554</v>
      </c>
      <c r="F1335" s="3"/>
      <c r="G1335" s="3"/>
      <c r="H1335" s="3"/>
      <c r="I1335" s="3" t="s">
        <v>3769</v>
      </c>
      <c r="J1335" s="3" t="s">
        <v>1700</v>
      </c>
      <c r="K1335" s="27" t="s">
        <v>12</v>
      </c>
    </row>
    <row r="1336" ht="18.6" customHeight="1" spans="1:11">
      <c r="A1336" s="3">
        <v>1335</v>
      </c>
      <c r="B1336" s="3" t="s">
        <v>2136</v>
      </c>
      <c r="C1336" s="3" t="s">
        <v>3481</v>
      </c>
      <c r="D1336" s="3" t="s">
        <v>553</v>
      </c>
      <c r="E1336" s="3" t="s">
        <v>556</v>
      </c>
      <c r="F1336" s="3"/>
      <c r="G1336" s="3"/>
      <c r="H1336" s="3"/>
      <c r="I1336" s="3" t="s">
        <v>3772</v>
      </c>
      <c r="J1336" s="3" t="s">
        <v>1700</v>
      </c>
      <c r="K1336" s="27" t="s">
        <v>12</v>
      </c>
    </row>
    <row r="1337" ht="18.6" customHeight="1" spans="1:11">
      <c r="A1337" s="3">
        <v>1336</v>
      </c>
      <c r="B1337" s="3" t="s">
        <v>2137</v>
      </c>
      <c r="C1337" s="3" t="s">
        <v>3481</v>
      </c>
      <c r="D1337" s="3" t="s">
        <v>553</v>
      </c>
      <c r="E1337" s="3" t="s">
        <v>575</v>
      </c>
      <c r="F1337" s="3"/>
      <c r="G1337" s="3"/>
      <c r="H1337" s="3"/>
      <c r="I1337" s="3" t="s">
        <v>3769</v>
      </c>
      <c r="J1337" s="3" t="s">
        <v>1700</v>
      </c>
      <c r="K1337" s="27" t="s">
        <v>12</v>
      </c>
    </row>
    <row r="1338" ht="18.6" customHeight="1" spans="1:11">
      <c r="A1338" s="3">
        <v>1337</v>
      </c>
      <c r="B1338" s="3" t="s">
        <v>2138</v>
      </c>
      <c r="C1338" s="3" t="s">
        <v>3481</v>
      </c>
      <c r="D1338" s="3" t="s">
        <v>553</v>
      </c>
      <c r="E1338" s="3" t="s">
        <v>569</v>
      </c>
      <c r="F1338" s="3"/>
      <c r="G1338" s="3"/>
      <c r="H1338" s="3"/>
      <c r="I1338" s="3" t="s">
        <v>3769</v>
      </c>
      <c r="J1338" s="3" t="s">
        <v>1700</v>
      </c>
      <c r="K1338" s="27" t="s">
        <v>12</v>
      </c>
    </row>
    <row r="1339" ht="18.6" customHeight="1" spans="1:11">
      <c r="A1339" s="3">
        <v>1338</v>
      </c>
      <c r="B1339" s="3" t="s">
        <v>2139</v>
      </c>
      <c r="C1339" s="3" t="s">
        <v>3481</v>
      </c>
      <c r="D1339" s="3" t="s">
        <v>553</v>
      </c>
      <c r="E1339" s="3" t="s">
        <v>558</v>
      </c>
      <c r="F1339" s="3"/>
      <c r="G1339" s="3"/>
      <c r="H1339" s="3"/>
      <c r="I1339" s="3" t="s">
        <v>3777</v>
      </c>
      <c r="J1339" s="3" t="s">
        <v>1700</v>
      </c>
      <c r="K1339" s="27" t="s">
        <v>12</v>
      </c>
    </row>
    <row r="1340" ht="18.6" customHeight="1" spans="1:11">
      <c r="A1340" s="3">
        <v>1339</v>
      </c>
      <c r="B1340" s="3" t="s">
        <v>2140</v>
      </c>
      <c r="C1340" s="3" t="s">
        <v>3481</v>
      </c>
      <c r="D1340" s="3" t="s">
        <v>553</v>
      </c>
      <c r="E1340" s="3" t="s">
        <v>572</v>
      </c>
      <c r="F1340" s="3"/>
      <c r="G1340" s="3"/>
      <c r="H1340" s="3"/>
      <c r="I1340" s="3" t="s">
        <v>3769</v>
      </c>
      <c r="J1340" s="3" t="s">
        <v>1700</v>
      </c>
      <c r="K1340" s="27" t="s">
        <v>12</v>
      </c>
    </row>
    <row r="1341" ht="18.6" customHeight="1" spans="1:11">
      <c r="A1341" s="3">
        <v>1340</v>
      </c>
      <c r="B1341" s="3" t="s">
        <v>2141</v>
      </c>
      <c r="C1341" s="3" t="s">
        <v>3481</v>
      </c>
      <c r="D1341" s="3" t="s">
        <v>553</v>
      </c>
      <c r="E1341" s="3" t="s">
        <v>572</v>
      </c>
      <c r="F1341" s="3"/>
      <c r="G1341" s="3"/>
      <c r="H1341" s="3"/>
      <c r="I1341" s="3" t="s">
        <v>3775</v>
      </c>
      <c r="J1341" s="3" t="s">
        <v>1700</v>
      </c>
      <c r="K1341" s="27" t="s">
        <v>12</v>
      </c>
    </row>
    <row r="1342" ht="18.6" customHeight="1" spans="1:11">
      <c r="A1342" s="3">
        <v>1341</v>
      </c>
      <c r="B1342" s="3" t="s">
        <v>2142</v>
      </c>
      <c r="C1342" s="3" t="s">
        <v>3481</v>
      </c>
      <c r="D1342" s="3" t="s">
        <v>553</v>
      </c>
      <c r="E1342" s="3" t="s">
        <v>556</v>
      </c>
      <c r="F1342" s="3"/>
      <c r="G1342" s="3"/>
      <c r="H1342" s="3"/>
      <c r="I1342" s="3" t="s">
        <v>3776</v>
      </c>
      <c r="J1342" s="3" t="s">
        <v>1700</v>
      </c>
      <c r="K1342" s="27" t="s">
        <v>12</v>
      </c>
    </row>
    <row r="1343" ht="18.6" customHeight="1" spans="1:11">
      <c r="A1343" s="3">
        <v>1342</v>
      </c>
      <c r="B1343" s="3" t="s">
        <v>2143</v>
      </c>
      <c r="C1343" s="3" t="s">
        <v>3481</v>
      </c>
      <c r="D1343" s="3" t="s">
        <v>553</v>
      </c>
      <c r="E1343" s="3" t="s">
        <v>558</v>
      </c>
      <c r="F1343" s="3"/>
      <c r="G1343" s="3"/>
      <c r="H1343" s="3"/>
      <c r="I1343" s="3" t="s">
        <v>3776</v>
      </c>
      <c r="J1343" s="3" t="s">
        <v>1700</v>
      </c>
      <c r="K1343" s="27" t="s">
        <v>12</v>
      </c>
    </row>
    <row r="1344" ht="18.6" customHeight="1" spans="1:11">
      <c r="A1344" s="3">
        <v>1343</v>
      </c>
      <c r="B1344" s="3" t="s">
        <v>2144</v>
      </c>
      <c r="C1344" s="3" t="s">
        <v>3491</v>
      </c>
      <c r="D1344" s="3" t="s">
        <v>587</v>
      </c>
      <c r="E1344" s="3" t="s">
        <v>602</v>
      </c>
      <c r="F1344" s="3"/>
      <c r="G1344" s="3"/>
      <c r="H1344" s="3"/>
      <c r="I1344" s="3"/>
      <c r="J1344" s="3" t="s">
        <v>1700</v>
      </c>
      <c r="K1344" s="27" t="s">
        <v>12</v>
      </c>
    </row>
    <row r="1345" ht="18.6" customHeight="1" spans="1:11">
      <c r="A1345" s="3">
        <v>1344</v>
      </c>
      <c r="B1345" s="3" t="s">
        <v>2145</v>
      </c>
      <c r="C1345" s="3" t="s">
        <v>3491</v>
      </c>
      <c r="D1345" s="3" t="s">
        <v>587</v>
      </c>
      <c r="E1345" s="3" t="s">
        <v>591</v>
      </c>
      <c r="F1345" s="3"/>
      <c r="G1345" s="3"/>
      <c r="H1345" s="3"/>
      <c r="I1345" s="3"/>
      <c r="J1345" s="3" t="s">
        <v>1700</v>
      </c>
      <c r="K1345" s="27" t="s">
        <v>12</v>
      </c>
    </row>
    <row r="1346" ht="18.6" customHeight="1" spans="1:11">
      <c r="A1346" s="3">
        <v>1345</v>
      </c>
      <c r="B1346" s="3" t="s">
        <v>2146</v>
      </c>
      <c r="C1346" s="3" t="s">
        <v>3491</v>
      </c>
      <c r="D1346" s="3" t="s">
        <v>587</v>
      </c>
      <c r="E1346" s="3" t="s">
        <v>588</v>
      </c>
      <c r="F1346" s="3"/>
      <c r="G1346" s="3"/>
      <c r="H1346" s="3"/>
      <c r="I1346" s="3" t="s">
        <v>3769</v>
      </c>
      <c r="J1346" s="3" t="s">
        <v>1700</v>
      </c>
      <c r="K1346" s="27" t="s">
        <v>12</v>
      </c>
    </row>
    <row r="1347" ht="18.6" customHeight="1" spans="1:11">
      <c r="A1347" s="3">
        <v>1346</v>
      </c>
      <c r="B1347" s="3" t="s">
        <v>2147</v>
      </c>
      <c r="C1347" s="3" t="s">
        <v>3491</v>
      </c>
      <c r="D1347" s="3" t="s">
        <v>587</v>
      </c>
      <c r="E1347" s="3" t="s">
        <v>602</v>
      </c>
      <c r="F1347" s="3"/>
      <c r="G1347" s="3"/>
      <c r="H1347" s="3"/>
      <c r="I1347" s="3" t="s">
        <v>3775</v>
      </c>
      <c r="J1347" s="3" t="s">
        <v>1700</v>
      </c>
      <c r="K1347" s="27" t="s">
        <v>12</v>
      </c>
    </row>
    <row r="1348" ht="18.6" customHeight="1" spans="1:11">
      <c r="A1348" s="3">
        <v>1347</v>
      </c>
      <c r="B1348" s="3" t="s">
        <v>2148</v>
      </c>
      <c r="C1348" s="3" t="s">
        <v>3491</v>
      </c>
      <c r="D1348" s="3" t="s">
        <v>587</v>
      </c>
      <c r="E1348" s="3" t="s">
        <v>618</v>
      </c>
      <c r="F1348" s="3"/>
      <c r="G1348" s="3"/>
      <c r="H1348" s="3"/>
      <c r="I1348" s="3" t="s">
        <v>3769</v>
      </c>
      <c r="J1348" s="3" t="s">
        <v>1700</v>
      </c>
      <c r="K1348" s="27" t="s">
        <v>12</v>
      </c>
    </row>
    <row r="1349" ht="18.6" customHeight="1" spans="1:11">
      <c r="A1349" s="3">
        <v>1348</v>
      </c>
      <c r="B1349" s="3" t="s">
        <v>2149</v>
      </c>
      <c r="C1349" s="3" t="s">
        <v>3491</v>
      </c>
      <c r="D1349" s="3" t="s">
        <v>587</v>
      </c>
      <c r="E1349" s="3" t="s">
        <v>588</v>
      </c>
      <c r="F1349" s="3"/>
      <c r="G1349" s="3"/>
      <c r="H1349" s="3"/>
      <c r="I1349" s="3" t="s">
        <v>3779</v>
      </c>
      <c r="J1349" s="3" t="s">
        <v>1700</v>
      </c>
      <c r="K1349" s="27" t="s">
        <v>12</v>
      </c>
    </row>
    <row r="1350" ht="18.6" customHeight="1" spans="1:11">
      <c r="A1350" s="3">
        <v>1349</v>
      </c>
      <c r="B1350" s="3" t="s">
        <v>2150</v>
      </c>
      <c r="C1350" s="3" t="s">
        <v>3491</v>
      </c>
      <c r="D1350" s="3" t="s">
        <v>587</v>
      </c>
      <c r="E1350" s="3" t="s">
        <v>596</v>
      </c>
      <c r="F1350" s="3"/>
      <c r="G1350" s="3"/>
      <c r="H1350" s="3"/>
      <c r="I1350" s="3" t="s">
        <v>3772</v>
      </c>
      <c r="J1350" s="3" t="s">
        <v>1700</v>
      </c>
      <c r="K1350" s="27" t="s">
        <v>12</v>
      </c>
    </row>
    <row r="1351" ht="18.6" customHeight="1" spans="1:11">
      <c r="A1351" s="3">
        <v>1350</v>
      </c>
      <c r="B1351" s="3" t="s">
        <v>2151</v>
      </c>
      <c r="C1351" s="3" t="s">
        <v>3491</v>
      </c>
      <c r="D1351" s="3" t="s">
        <v>587</v>
      </c>
      <c r="E1351" s="3" t="s">
        <v>588</v>
      </c>
      <c r="F1351" s="3"/>
      <c r="G1351" s="3"/>
      <c r="H1351" s="3"/>
      <c r="I1351" s="3" t="s">
        <v>3769</v>
      </c>
      <c r="J1351" s="3" t="s">
        <v>1700</v>
      </c>
      <c r="K1351" s="27" t="s">
        <v>12</v>
      </c>
    </row>
    <row r="1352" ht="18.6" customHeight="1" spans="1:11">
      <c r="A1352" s="3">
        <v>1351</v>
      </c>
      <c r="B1352" s="3" t="s">
        <v>2152</v>
      </c>
      <c r="C1352" s="3" t="s">
        <v>3491</v>
      </c>
      <c r="D1352" s="3" t="s">
        <v>587</v>
      </c>
      <c r="E1352" s="3" t="s">
        <v>588</v>
      </c>
      <c r="F1352" s="3"/>
      <c r="G1352" s="3"/>
      <c r="H1352" s="3"/>
      <c r="I1352" s="3" t="s">
        <v>3770</v>
      </c>
      <c r="J1352" s="3" t="s">
        <v>1700</v>
      </c>
      <c r="K1352" s="27" t="s">
        <v>12</v>
      </c>
    </row>
    <row r="1353" ht="18.6" customHeight="1" spans="1:11">
      <c r="A1353" s="3">
        <v>1352</v>
      </c>
      <c r="B1353" s="3" t="s">
        <v>2153</v>
      </c>
      <c r="C1353" s="3" t="s">
        <v>3491</v>
      </c>
      <c r="D1353" s="3" t="s">
        <v>587</v>
      </c>
      <c r="E1353" s="3" t="s">
        <v>594</v>
      </c>
      <c r="F1353" s="3"/>
      <c r="G1353" s="3"/>
      <c r="H1353" s="3"/>
      <c r="I1353" s="3" t="s">
        <v>3773</v>
      </c>
      <c r="J1353" s="3" t="s">
        <v>1700</v>
      </c>
      <c r="K1353" s="27" t="s">
        <v>12</v>
      </c>
    </row>
    <row r="1354" ht="18.6" customHeight="1" spans="1:11">
      <c r="A1354" s="3">
        <v>1353</v>
      </c>
      <c r="B1354" s="3" t="s">
        <v>2154</v>
      </c>
      <c r="C1354" s="3" t="s">
        <v>3491</v>
      </c>
      <c r="D1354" s="3" t="s">
        <v>587</v>
      </c>
      <c r="E1354" s="3" t="s">
        <v>588</v>
      </c>
      <c r="F1354" s="3"/>
      <c r="G1354" s="3"/>
      <c r="H1354" s="3"/>
      <c r="I1354" s="3" t="s">
        <v>3772</v>
      </c>
      <c r="J1354" s="3" t="s">
        <v>1700</v>
      </c>
      <c r="K1354" s="27" t="s">
        <v>12</v>
      </c>
    </row>
    <row r="1355" ht="18.6" customHeight="1" spans="1:11">
      <c r="A1355" s="3">
        <v>1354</v>
      </c>
      <c r="B1355" s="3" t="s">
        <v>2155</v>
      </c>
      <c r="C1355" s="3" t="s">
        <v>3491</v>
      </c>
      <c r="D1355" s="3" t="s">
        <v>587</v>
      </c>
      <c r="E1355" s="3" t="s">
        <v>2156</v>
      </c>
      <c r="F1355" s="3"/>
      <c r="G1355" s="3"/>
      <c r="H1355" s="3"/>
      <c r="I1355" s="3" t="s">
        <v>3769</v>
      </c>
      <c r="J1355" s="3" t="s">
        <v>1700</v>
      </c>
      <c r="K1355" s="27" t="s">
        <v>12</v>
      </c>
    </row>
    <row r="1356" ht="18.6" customHeight="1" spans="1:11">
      <c r="A1356" s="3">
        <v>1355</v>
      </c>
      <c r="B1356" s="3" t="s">
        <v>2157</v>
      </c>
      <c r="C1356" s="3" t="s">
        <v>3491</v>
      </c>
      <c r="D1356" s="3" t="s">
        <v>587</v>
      </c>
      <c r="E1356" s="3" t="s">
        <v>588</v>
      </c>
      <c r="F1356" s="3"/>
      <c r="G1356" s="3"/>
      <c r="H1356" s="3"/>
      <c r="I1356" s="3" t="s">
        <v>3770</v>
      </c>
      <c r="J1356" s="3" t="s">
        <v>1700</v>
      </c>
      <c r="K1356" s="27" t="s">
        <v>12</v>
      </c>
    </row>
    <row r="1357" ht="18.6" customHeight="1" spans="1:11">
      <c r="A1357" s="3">
        <v>1356</v>
      </c>
      <c r="B1357" s="3" t="s">
        <v>2158</v>
      </c>
      <c r="C1357" s="3" t="s">
        <v>3491</v>
      </c>
      <c r="D1357" s="3" t="s">
        <v>587</v>
      </c>
      <c r="E1357" s="3" t="s">
        <v>588</v>
      </c>
      <c r="F1357" s="3"/>
      <c r="G1357" s="3"/>
      <c r="H1357" s="3"/>
      <c r="I1357" s="3" t="s">
        <v>3770</v>
      </c>
      <c r="J1357" s="3" t="s">
        <v>1700</v>
      </c>
      <c r="K1357" s="27" t="s">
        <v>12</v>
      </c>
    </row>
    <row r="1358" ht="18.6" customHeight="1" spans="1:11">
      <c r="A1358" s="3">
        <v>1357</v>
      </c>
      <c r="B1358" s="3" t="s">
        <v>2159</v>
      </c>
      <c r="C1358" s="3" t="s">
        <v>3491</v>
      </c>
      <c r="D1358" s="3" t="s">
        <v>587</v>
      </c>
      <c r="E1358" s="3" t="s">
        <v>618</v>
      </c>
      <c r="F1358" s="3"/>
      <c r="G1358" s="3"/>
      <c r="H1358" s="3"/>
      <c r="I1358" s="3" t="s">
        <v>3771</v>
      </c>
      <c r="J1358" s="3" t="s">
        <v>1700</v>
      </c>
      <c r="K1358" s="27" t="s">
        <v>12</v>
      </c>
    </row>
    <row r="1359" ht="18.6" customHeight="1" spans="1:11">
      <c r="A1359" s="3">
        <v>1358</v>
      </c>
      <c r="B1359" s="3" t="s">
        <v>2160</v>
      </c>
      <c r="C1359" s="3" t="s">
        <v>3491</v>
      </c>
      <c r="D1359" s="3" t="s">
        <v>587</v>
      </c>
      <c r="E1359" s="3" t="s">
        <v>594</v>
      </c>
      <c r="F1359" s="3"/>
      <c r="G1359" s="3"/>
      <c r="H1359" s="3"/>
      <c r="I1359" s="3" t="s">
        <v>3770</v>
      </c>
      <c r="J1359" s="3" t="s">
        <v>1700</v>
      </c>
      <c r="K1359" s="27" t="s">
        <v>12</v>
      </c>
    </row>
    <row r="1360" ht="18.6" customHeight="1" spans="1:11">
      <c r="A1360" s="3">
        <v>1359</v>
      </c>
      <c r="B1360" s="3" t="s">
        <v>2161</v>
      </c>
      <c r="C1360" s="3" t="s">
        <v>3491</v>
      </c>
      <c r="D1360" s="3" t="s">
        <v>587</v>
      </c>
      <c r="E1360" s="3" t="s">
        <v>588</v>
      </c>
      <c r="F1360" s="3"/>
      <c r="G1360" s="3"/>
      <c r="H1360" s="3"/>
      <c r="I1360" s="3" t="s">
        <v>3770</v>
      </c>
      <c r="J1360" s="3" t="s">
        <v>1700</v>
      </c>
      <c r="K1360" s="27" t="s">
        <v>12</v>
      </c>
    </row>
    <row r="1361" ht="18.6" customHeight="1" spans="1:11">
      <c r="A1361" s="3">
        <v>1360</v>
      </c>
      <c r="B1361" s="3" t="s">
        <v>2162</v>
      </c>
      <c r="C1361" s="3" t="s">
        <v>3491</v>
      </c>
      <c r="D1361" s="3" t="s">
        <v>587</v>
      </c>
      <c r="E1361" s="3" t="s">
        <v>611</v>
      </c>
      <c r="F1361" s="3"/>
      <c r="G1361" s="3"/>
      <c r="H1361" s="3"/>
      <c r="I1361" s="3" t="s">
        <v>3770</v>
      </c>
      <c r="J1361" s="3" t="s">
        <v>1700</v>
      </c>
      <c r="K1361" s="27" t="s">
        <v>12</v>
      </c>
    </row>
    <row r="1362" ht="18.6" customHeight="1" spans="1:11">
      <c r="A1362" s="3">
        <v>1361</v>
      </c>
      <c r="B1362" s="3" t="s">
        <v>2163</v>
      </c>
      <c r="C1362" s="3" t="s">
        <v>3491</v>
      </c>
      <c r="D1362" s="3" t="s">
        <v>587</v>
      </c>
      <c r="E1362" s="3" t="s">
        <v>588</v>
      </c>
      <c r="F1362" s="3"/>
      <c r="G1362" s="3"/>
      <c r="H1362" s="3"/>
      <c r="I1362" s="3" t="s">
        <v>3770</v>
      </c>
      <c r="J1362" s="3" t="s">
        <v>1700</v>
      </c>
      <c r="K1362" s="27" t="s">
        <v>12</v>
      </c>
    </row>
    <row r="1363" ht="18.6" customHeight="1" spans="1:11">
      <c r="A1363" s="3">
        <v>1362</v>
      </c>
      <c r="B1363" s="3" t="s">
        <v>2164</v>
      </c>
      <c r="C1363" s="3" t="s">
        <v>3491</v>
      </c>
      <c r="D1363" s="3" t="s">
        <v>587</v>
      </c>
      <c r="E1363" s="3" t="s">
        <v>588</v>
      </c>
      <c r="F1363" s="3"/>
      <c r="G1363" s="3"/>
      <c r="H1363" s="3"/>
      <c r="I1363" s="3" t="s">
        <v>3778</v>
      </c>
      <c r="J1363" s="3" t="s">
        <v>1700</v>
      </c>
      <c r="K1363" s="27" t="s">
        <v>12</v>
      </c>
    </row>
    <row r="1364" ht="18.6" customHeight="1" spans="1:11">
      <c r="A1364" s="3">
        <v>1363</v>
      </c>
      <c r="B1364" s="3" t="s">
        <v>2165</v>
      </c>
      <c r="C1364" s="3" t="s">
        <v>3491</v>
      </c>
      <c r="D1364" s="3" t="s">
        <v>587</v>
      </c>
      <c r="E1364" s="3" t="s">
        <v>588</v>
      </c>
      <c r="F1364" s="3"/>
      <c r="G1364" s="3"/>
      <c r="H1364" s="3"/>
      <c r="I1364" s="3" t="s">
        <v>3769</v>
      </c>
      <c r="J1364" s="3" t="s">
        <v>1700</v>
      </c>
      <c r="K1364" s="27" t="s">
        <v>12</v>
      </c>
    </row>
    <row r="1365" ht="18.6" customHeight="1" spans="1:11">
      <c r="A1365" s="3">
        <v>1364</v>
      </c>
      <c r="B1365" s="3" t="s">
        <v>2166</v>
      </c>
      <c r="C1365" s="3" t="s">
        <v>3491</v>
      </c>
      <c r="D1365" s="3" t="s">
        <v>587</v>
      </c>
      <c r="E1365" s="3" t="s">
        <v>604</v>
      </c>
      <c r="F1365" s="3"/>
      <c r="G1365" s="3"/>
      <c r="H1365" s="3"/>
      <c r="I1365" s="3" t="s">
        <v>3769</v>
      </c>
      <c r="J1365" s="3" t="s">
        <v>1700</v>
      </c>
      <c r="K1365" s="27" t="s">
        <v>12</v>
      </c>
    </row>
    <row r="1366" ht="18.6" customHeight="1" spans="1:11">
      <c r="A1366" s="3">
        <v>1365</v>
      </c>
      <c r="B1366" s="3" t="s">
        <v>2167</v>
      </c>
      <c r="C1366" s="3" t="s">
        <v>3491</v>
      </c>
      <c r="D1366" s="3" t="s">
        <v>587</v>
      </c>
      <c r="E1366" s="3" t="s">
        <v>611</v>
      </c>
      <c r="F1366" s="3"/>
      <c r="G1366" s="3"/>
      <c r="H1366" s="3"/>
      <c r="I1366" s="3" t="s">
        <v>3770</v>
      </c>
      <c r="J1366" s="3" t="s">
        <v>1700</v>
      </c>
      <c r="K1366" s="27" t="s">
        <v>12</v>
      </c>
    </row>
    <row r="1367" ht="18.6" customHeight="1" spans="1:11">
      <c r="A1367" s="3">
        <v>1366</v>
      </c>
      <c r="B1367" s="3" t="s">
        <v>2168</v>
      </c>
      <c r="C1367" s="3" t="s">
        <v>3491</v>
      </c>
      <c r="D1367" s="3" t="s">
        <v>587</v>
      </c>
      <c r="E1367" s="3" t="s">
        <v>588</v>
      </c>
      <c r="F1367" s="3"/>
      <c r="G1367" s="3"/>
      <c r="H1367" s="3"/>
      <c r="I1367" s="3" t="s">
        <v>3773</v>
      </c>
      <c r="J1367" s="3" t="s">
        <v>1700</v>
      </c>
      <c r="K1367" s="27" t="s">
        <v>12</v>
      </c>
    </row>
    <row r="1368" ht="18.6" customHeight="1" spans="1:11">
      <c r="A1368" s="3">
        <v>1367</v>
      </c>
      <c r="B1368" s="3" t="s">
        <v>2169</v>
      </c>
      <c r="C1368" s="3" t="s">
        <v>3491</v>
      </c>
      <c r="D1368" s="3" t="s">
        <v>587</v>
      </c>
      <c r="E1368" s="3" t="s">
        <v>588</v>
      </c>
      <c r="F1368" s="3"/>
      <c r="G1368" s="3"/>
      <c r="H1368" s="3"/>
      <c r="I1368" s="3" t="s">
        <v>3770</v>
      </c>
      <c r="J1368" s="3" t="s">
        <v>1700</v>
      </c>
      <c r="K1368" s="27" t="s">
        <v>12</v>
      </c>
    </row>
    <row r="1369" ht="18.6" customHeight="1" spans="1:11">
      <c r="A1369" s="3">
        <v>1368</v>
      </c>
      <c r="B1369" s="3" t="s">
        <v>2170</v>
      </c>
      <c r="C1369" s="3" t="s">
        <v>3491</v>
      </c>
      <c r="D1369" s="3" t="s">
        <v>587</v>
      </c>
      <c r="E1369" s="3" t="s">
        <v>591</v>
      </c>
      <c r="F1369" s="3"/>
      <c r="G1369" s="3"/>
      <c r="H1369" s="3"/>
      <c r="I1369" s="3" t="s">
        <v>3769</v>
      </c>
      <c r="J1369" s="3" t="s">
        <v>1700</v>
      </c>
      <c r="K1369" s="27" t="s">
        <v>12</v>
      </c>
    </row>
    <row r="1370" ht="18.6" customHeight="1" spans="1:11">
      <c r="A1370" s="3">
        <v>1369</v>
      </c>
      <c r="B1370" s="3" t="s">
        <v>3810</v>
      </c>
      <c r="C1370" s="3" t="s">
        <v>3491</v>
      </c>
      <c r="D1370" s="3" t="s">
        <v>587</v>
      </c>
      <c r="E1370" s="3" t="s">
        <v>591</v>
      </c>
      <c r="F1370" s="3"/>
      <c r="G1370" s="3"/>
      <c r="H1370" s="3"/>
      <c r="I1370" s="3" t="s">
        <v>3775</v>
      </c>
      <c r="J1370" s="3" t="s">
        <v>1700</v>
      </c>
      <c r="K1370" s="27" t="s">
        <v>12</v>
      </c>
    </row>
    <row r="1371" ht="18.6" customHeight="1" spans="1:11">
      <c r="A1371" s="3">
        <v>1370</v>
      </c>
      <c r="B1371" s="3" t="s">
        <v>2171</v>
      </c>
      <c r="C1371" s="3" t="s">
        <v>3491</v>
      </c>
      <c r="D1371" s="3" t="s">
        <v>587</v>
      </c>
      <c r="E1371" s="3" t="s">
        <v>588</v>
      </c>
      <c r="F1371" s="3"/>
      <c r="G1371" s="3"/>
      <c r="H1371" s="3"/>
      <c r="I1371" s="3" t="s">
        <v>3770</v>
      </c>
      <c r="J1371" s="3" t="s">
        <v>1700</v>
      </c>
      <c r="K1371" s="27" t="s">
        <v>12</v>
      </c>
    </row>
    <row r="1372" ht="18.6" customHeight="1" spans="1:11">
      <c r="A1372" s="3">
        <v>1371</v>
      </c>
      <c r="B1372" s="3" t="s">
        <v>2172</v>
      </c>
      <c r="C1372" s="3" t="s">
        <v>3491</v>
      </c>
      <c r="D1372" s="3" t="s">
        <v>587</v>
      </c>
      <c r="E1372" s="3" t="s">
        <v>588</v>
      </c>
      <c r="F1372" s="3"/>
      <c r="G1372" s="3"/>
      <c r="H1372" s="3"/>
      <c r="I1372" s="3" t="s">
        <v>3769</v>
      </c>
      <c r="J1372" s="3" t="s">
        <v>1700</v>
      </c>
      <c r="K1372" s="27" t="s">
        <v>12</v>
      </c>
    </row>
    <row r="1373" ht="18.6" customHeight="1" spans="1:11">
      <c r="A1373" s="3">
        <v>1372</v>
      </c>
      <c r="B1373" s="3" t="s">
        <v>2173</v>
      </c>
      <c r="C1373" s="3" t="s">
        <v>3491</v>
      </c>
      <c r="D1373" s="3" t="s">
        <v>587</v>
      </c>
      <c r="E1373" s="3" t="s">
        <v>588</v>
      </c>
      <c r="F1373" s="3"/>
      <c r="G1373" s="3"/>
      <c r="H1373" s="3"/>
      <c r="I1373" s="3" t="s">
        <v>3769</v>
      </c>
      <c r="J1373" s="3" t="s">
        <v>1700</v>
      </c>
      <c r="K1373" s="27" t="s">
        <v>12</v>
      </c>
    </row>
    <row r="1374" ht="18.6" customHeight="1" spans="1:11">
      <c r="A1374" s="3">
        <v>1373</v>
      </c>
      <c r="B1374" s="3" t="s">
        <v>2174</v>
      </c>
      <c r="C1374" s="3" t="s">
        <v>3491</v>
      </c>
      <c r="D1374" s="3" t="s">
        <v>587</v>
      </c>
      <c r="E1374" s="3" t="s">
        <v>602</v>
      </c>
      <c r="F1374" s="3"/>
      <c r="G1374" s="3"/>
      <c r="H1374" s="3"/>
      <c r="I1374" s="3" t="s">
        <v>3770</v>
      </c>
      <c r="J1374" s="3" t="s">
        <v>1700</v>
      </c>
      <c r="K1374" s="27" t="s">
        <v>12</v>
      </c>
    </row>
    <row r="1375" ht="18.6" customHeight="1" spans="1:11">
      <c r="A1375" s="3">
        <v>1374</v>
      </c>
      <c r="B1375" s="3" t="s">
        <v>2175</v>
      </c>
      <c r="C1375" s="3" t="s">
        <v>3491</v>
      </c>
      <c r="D1375" s="3" t="s">
        <v>587</v>
      </c>
      <c r="E1375" s="3" t="s">
        <v>604</v>
      </c>
      <c r="F1375" s="3"/>
      <c r="G1375" s="3"/>
      <c r="H1375" s="3"/>
      <c r="I1375" s="3" t="s">
        <v>3773</v>
      </c>
      <c r="J1375" s="3" t="s">
        <v>1700</v>
      </c>
      <c r="K1375" s="27" t="s">
        <v>12</v>
      </c>
    </row>
    <row r="1376" ht="18.6" customHeight="1" spans="1:11">
      <c r="A1376" s="3">
        <v>1375</v>
      </c>
      <c r="B1376" s="3" t="s">
        <v>2176</v>
      </c>
      <c r="C1376" s="3" t="s">
        <v>3491</v>
      </c>
      <c r="D1376" s="3" t="s">
        <v>587</v>
      </c>
      <c r="E1376" s="3" t="s">
        <v>588</v>
      </c>
      <c r="F1376" s="3"/>
      <c r="G1376" s="3"/>
      <c r="H1376" s="3"/>
      <c r="I1376" s="3" t="s">
        <v>3775</v>
      </c>
      <c r="J1376" s="3" t="s">
        <v>1700</v>
      </c>
      <c r="K1376" s="27" t="s">
        <v>12</v>
      </c>
    </row>
    <row r="1377" ht="18.6" customHeight="1" spans="1:11">
      <c r="A1377" s="3">
        <v>1376</v>
      </c>
      <c r="B1377" s="3" t="s">
        <v>2177</v>
      </c>
      <c r="C1377" s="3" t="s">
        <v>3491</v>
      </c>
      <c r="D1377" s="3" t="s">
        <v>587</v>
      </c>
      <c r="E1377" s="3" t="s">
        <v>616</v>
      </c>
      <c r="F1377" s="3"/>
      <c r="G1377" s="3"/>
      <c r="H1377" s="3"/>
      <c r="I1377" s="3" t="s">
        <v>3770</v>
      </c>
      <c r="J1377" s="3" t="s">
        <v>1700</v>
      </c>
      <c r="K1377" s="27" t="s">
        <v>12</v>
      </c>
    </row>
    <row r="1378" ht="18.6" customHeight="1" spans="1:11">
      <c r="A1378" s="3">
        <v>1377</v>
      </c>
      <c r="B1378" s="3" t="s">
        <v>2178</v>
      </c>
      <c r="C1378" s="3" t="s">
        <v>3491</v>
      </c>
      <c r="D1378" s="3" t="s">
        <v>587</v>
      </c>
      <c r="E1378" s="3" t="s">
        <v>588</v>
      </c>
      <c r="F1378" s="3"/>
      <c r="G1378" s="3"/>
      <c r="H1378" s="3"/>
      <c r="I1378" s="3"/>
      <c r="J1378" s="3" t="s">
        <v>1700</v>
      </c>
      <c r="K1378" s="27" t="s">
        <v>12</v>
      </c>
    </row>
    <row r="1379" ht="18.6" customHeight="1" spans="1:11">
      <c r="A1379" s="3">
        <v>1378</v>
      </c>
      <c r="B1379" s="3" t="s">
        <v>2179</v>
      </c>
      <c r="C1379" s="3" t="s">
        <v>3491</v>
      </c>
      <c r="D1379" s="3" t="s">
        <v>587</v>
      </c>
      <c r="E1379" s="3" t="s">
        <v>588</v>
      </c>
      <c r="F1379" s="3"/>
      <c r="G1379" s="3"/>
      <c r="H1379" s="3"/>
      <c r="I1379" s="3" t="s">
        <v>3772</v>
      </c>
      <c r="J1379" s="3" t="s">
        <v>1700</v>
      </c>
      <c r="K1379" s="27" t="s">
        <v>12</v>
      </c>
    </row>
    <row r="1380" ht="18.6" customHeight="1" spans="1:11">
      <c r="A1380" s="3">
        <v>1379</v>
      </c>
      <c r="B1380" s="3" t="s">
        <v>2180</v>
      </c>
      <c r="C1380" s="3" t="s">
        <v>3491</v>
      </c>
      <c r="D1380" s="3" t="s">
        <v>587</v>
      </c>
      <c r="E1380" s="3" t="s">
        <v>594</v>
      </c>
      <c r="F1380" s="3"/>
      <c r="G1380" s="3"/>
      <c r="H1380" s="3"/>
      <c r="I1380" s="3" t="s">
        <v>3776</v>
      </c>
      <c r="J1380" s="3" t="s">
        <v>1700</v>
      </c>
      <c r="K1380" s="27" t="s">
        <v>12</v>
      </c>
    </row>
    <row r="1381" ht="18.6" customHeight="1" spans="1:11">
      <c r="A1381" s="3">
        <v>1380</v>
      </c>
      <c r="B1381" s="3" t="s">
        <v>2181</v>
      </c>
      <c r="C1381" s="3" t="s">
        <v>3491</v>
      </c>
      <c r="D1381" s="3" t="s">
        <v>587</v>
      </c>
      <c r="E1381" s="3" t="s">
        <v>588</v>
      </c>
      <c r="F1381" s="3"/>
      <c r="G1381" s="3"/>
      <c r="H1381" s="3"/>
      <c r="I1381" s="3" t="s">
        <v>3770</v>
      </c>
      <c r="J1381" s="3" t="s">
        <v>1700</v>
      </c>
      <c r="K1381" s="27" t="s">
        <v>12</v>
      </c>
    </row>
    <row r="1382" ht="18.6" customHeight="1" spans="1:11">
      <c r="A1382" s="3">
        <v>1381</v>
      </c>
      <c r="B1382" s="3" t="s">
        <v>2182</v>
      </c>
      <c r="C1382" s="3" t="s">
        <v>3491</v>
      </c>
      <c r="D1382" s="3" t="s">
        <v>587</v>
      </c>
      <c r="E1382" s="3" t="s">
        <v>604</v>
      </c>
      <c r="F1382" s="3"/>
      <c r="G1382" s="3"/>
      <c r="H1382" s="3"/>
      <c r="I1382" s="3" t="s">
        <v>3776</v>
      </c>
      <c r="J1382" s="3" t="s">
        <v>1700</v>
      </c>
      <c r="K1382" s="27" t="s">
        <v>12</v>
      </c>
    </row>
    <row r="1383" ht="18.6" customHeight="1" spans="1:11">
      <c r="A1383" s="3">
        <v>1382</v>
      </c>
      <c r="B1383" s="3" t="s">
        <v>2183</v>
      </c>
      <c r="C1383" s="3" t="s">
        <v>3491</v>
      </c>
      <c r="D1383" s="3" t="s">
        <v>587</v>
      </c>
      <c r="E1383" s="3" t="s">
        <v>607</v>
      </c>
      <c r="F1383" s="3"/>
      <c r="G1383" s="3"/>
      <c r="H1383" s="3"/>
      <c r="I1383" s="3" t="s">
        <v>3769</v>
      </c>
      <c r="J1383" s="3" t="s">
        <v>1700</v>
      </c>
      <c r="K1383" s="27" t="s">
        <v>12</v>
      </c>
    </row>
    <row r="1384" ht="18.6" customHeight="1" spans="1:11">
      <c r="A1384" s="3">
        <v>1383</v>
      </c>
      <c r="B1384" s="3" t="s">
        <v>2184</v>
      </c>
      <c r="C1384" s="3" t="s">
        <v>3506</v>
      </c>
      <c r="D1384" s="3" t="s">
        <v>587</v>
      </c>
      <c r="E1384" s="3" t="s">
        <v>2156</v>
      </c>
      <c r="F1384" s="3"/>
      <c r="G1384" s="3"/>
      <c r="H1384" s="3"/>
      <c r="I1384" s="3" t="s">
        <v>3776</v>
      </c>
      <c r="J1384" s="3" t="s">
        <v>1700</v>
      </c>
      <c r="K1384" s="27" t="s">
        <v>12</v>
      </c>
    </row>
    <row r="1385" ht="18.6" customHeight="1" spans="1:11">
      <c r="A1385" s="3">
        <v>1384</v>
      </c>
      <c r="B1385" s="3" t="s">
        <v>2185</v>
      </c>
      <c r="C1385" s="3" t="s">
        <v>3491</v>
      </c>
      <c r="D1385" s="3" t="s">
        <v>587</v>
      </c>
      <c r="E1385" s="3" t="s">
        <v>594</v>
      </c>
      <c r="F1385" s="3"/>
      <c r="G1385" s="3"/>
      <c r="H1385" s="3"/>
      <c r="I1385" s="3"/>
      <c r="J1385" s="3" t="s">
        <v>1700</v>
      </c>
      <c r="K1385" s="27" t="s">
        <v>12</v>
      </c>
    </row>
    <row r="1386" ht="18.6" customHeight="1" spans="1:11">
      <c r="A1386" s="3">
        <v>1385</v>
      </c>
      <c r="B1386" s="3" t="s">
        <v>2186</v>
      </c>
      <c r="C1386" s="3" t="s">
        <v>3491</v>
      </c>
      <c r="D1386" s="3" t="s">
        <v>587</v>
      </c>
      <c r="E1386" s="3" t="s">
        <v>611</v>
      </c>
      <c r="F1386" s="3"/>
      <c r="G1386" s="3"/>
      <c r="H1386" s="3"/>
      <c r="I1386" s="3"/>
      <c r="J1386" s="3" t="s">
        <v>1700</v>
      </c>
      <c r="K1386" s="27" t="s">
        <v>12</v>
      </c>
    </row>
    <row r="1387" ht="18.6" customHeight="1" spans="1:11">
      <c r="A1387" s="3">
        <v>1386</v>
      </c>
      <c r="B1387" s="3" t="s">
        <v>2187</v>
      </c>
      <c r="C1387" s="3" t="s">
        <v>3491</v>
      </c>
      <c r="D1387" s="3" t="s">
        <v>587</v>
      </c>
      <c r="E1387" s="3" t="s">
        <v>602</v>
      </c>
      <c r="F1387" s="3"/>
      <c r="G1387" s="3"/>
      <c r="H1387" s="3"/>
      <c r="I1387" s="3"/>
      <c r="J1387" s="3" t="s">
        <v>1700</v>
      </c>
      <c r="K1387" s="27" t="s">
        <v>12</v>
      </c>
    </row>
    <row r="1388" ht="18.6" customHeight="1" spans="1:11">
      <c r="A1388" s="3">
        <v>1387</v>
      </c>
      <c r="B1388" s="3" t="s">
        <v>2188</v>
      </c>
      <c r="C1388" s="3" t="s">
        <v>3491</v>
      </c>
      <c r="D1388" s="3" t="s">
        <v>587</v>
      </c>
      <c r="E1388" s="3" t="s">
        <v>594</v>
      </c>
      <c r="F1388" s="3"/>
      <c r="G1388" s="3"/>
      <c r="H1388" s="3"/>
      <c r="I1388" s="3"/>
      <c r="J1388" s="3" t="s">
        <v>1700</v>
      </c>
      <c r="K1388" s="27" t="s">
        <v>12</v>
      </c>
    </row>
    <row r="1389" ht="18.6" customHeight="1" spans="1:11">
      <c r="A1389" s="3">
        <v>1388</v>
      </c>
      <c r="B1389" s="3" t="s">
        <v>2189</v>
      </c>
      <c r="C1389" s="3" t="s">
        <v>3491</v>
      </c>
      <c r="D1389" s="3" t="s">
        <v>587</v>
      </c>
      <c r="E1389" s="3" t="s">
        <v>588</v>
      </c>
      <c r="F1389" s="3"/>
      <c r="G1389" s="3"/>
      <c r="H1389" s="3"/>
      <c r="I1389" s="3"/>
      <c r="J1389" s="3" t="s">
        <v>1700</v>
      </c>
      <c r="K1389" s="27" t="s">
        <v>12</v>
      </c>
    </row>
    <row r="1390" ht="18.6" customHeight="1" spans="1:11">
      <c r="A1390" s="3">
        <v>1389</v>
      </c>
      <c r="B1390" s="3" t="s">
        <v>2190</v>
      </c>
      <c r="C1390" s="3" t="s">
        <v>3509</v>
      </c>
      <c r="D1390" s="3" t="s">
        <v>628</v>
      </c>
      <c r="E1390" s="3" t="s">
        <v>662</v>
      </c>
      <c r="F1390" s="3"/>
      <c r="G1390" s="3"/>
      <c r="H1390" s="3"/>
      <c r="I1390" s="3" t="s">
        <v>3775</v>
      </c>
      <c r="J1390" s="3" t="s">
        <v>1700</v>
      </c>
      <c r="K1390" s="27" t="s">
        <v>12</v>
      </c>
    </row>
    <row r="1391" ht="18.6" customHeight="1" spans="1:11">
      <c r="A1391" s="3">
        <v>1390</v>
      </c>
      <c r="B1391" s="3" t="s">
        <v>2191</v>
      </c>
      <c r="C1391" s="3" t="s">
        <v>3509</v>
      </c>
      <c r="D1391" s="3" t="s">
        <v>628</v>
      </c>
      <c r="E1391" s="3" t="s">
        <v>666</v>
      </c>
      <c r="F1391" s="3"/>
      <c r="G1391" s="3"/>
      <c r="H1391" s="3"/>
      <c r="I1391" s="3" t="s">
        <v>3775</v>
      </c>
      <c r="J1391" s="3" t="s">
        <v>1700</v>
      </c>
      <c r="K1391" s="27" t="s">
        <v>12</v>
      </c>
    </row>
    <row r="1392" ht="18.6" customHeight="1" spans="1:11">
      <c r="A1392" s="3">
        <v>1391</v>
      </c>
      <c r="B1392" s="3" t="s">
        <v>2192</v>
      </c>
      <c r="C1392" s="3" t="s">
        <v>3509</v>
      </c>
      <c r="D1392" s="3" t="s">
        <v>628</v>
      </c>
      <c r="E1392" s="3" t="s">
        <v>629</v>
      </c>
      <c r="F1392" s="3"/>
      <c r="G1392" s="3"/>
      <c r="H1392" s="3"/>
      <c r="I1392" s="3" t="s">
        <v>3771</v>
      </c>
      <c r="J1392" s="3" t="s">
        <v>1700</v>
      </c>
      <c r="K1392" s="27" t="s">
        <v>12</v>
      </c>
    </row>
    <row r="1393" ht="18.6" customHeight="1" spans="1:11">
      <c r="A1393" s="3">
        <v>1392</v>
      </c>
      <c r="B1393" s="3" t="s">
        <v>2193</v>
      </c>
      <c r="C1393" s="3" t="s">
        <v>3509</v>
      </c>
      <c r="D1393" s="3" t="s">
        <v>628</v>
      </c>
      <c r="E1393" s="3" t="s">
        <v>629</v>
      </c>
      <c r="F1393" s="3"/>
      <c r="G1393" s="3"/>
      <c r="H1393" s="3"/>
      <c r="I1393" s="3" t="s">
        <v>3770</v>
      </c>
      <c r="J1393" s="3" t="s">
        <v>1700</v>
      </c>
      <c r="K1393" s="27" t="s">
        <v>12</v>
      </c>
    </row>
    <row r="1394" ht="18.6" customHeight="1" spans="1:11">
      <c r="A1394" s="3">
        <v>1393</v>
      </c>
      <c r="B1394" s="3" t="s">
        <v>3526</v>
      </c>
      <c r="C1394" s="3" t="s">
        <v>3509</v>
      </c>
      <c r="D1394" s="3" t="s">
        <v>628</v>
      </c>
      <c r="E1394" s="3" t="s">
        <v>688</v>
      </c>
      <c r="F1394" s="3"/>
      <c r="G1394" s="3"/>
      <c r="H1394" s="3"/>
      <c r="I1394" s="3" t="s">
        <v>3769</v>
      </c>
      <c r="J1394" s="3" t="s">
        <v>1700</v>
      </c>
      <c r="K1394" s="27" t="s">
        <v>12</v>
      </c>
    </row>
    <row r="1395" ht="18.6" customHeight="1" spans="1:11">
      <c r="A1395" s="3">
        <v>1394</v>
      </c>
      <c r="B1395" s="3" t="s">
        <v>2194</v>
      </c>
      <c r="C1395" s="3" t="s">
        <v>3509</v>
      </c>
      <c r="D1395" s="3" t="s">
        <v>628</v>
      </c>
      <c r="E1395" s="3" t="s">
        <v>631</v>
      </c>
      <c r="F1395" s="3"/>
      <c r="G1395" s="3"/>
      <c r="H1395" s="3"/>
      <c r="I1395" s="3" t="s">
        <v>3769</v>
      </c>
      <c r="J1395" s="3" t="s">
        <v>1700</v>
      </c>
      <c r="K1395" s="27" t="s">
        <v>12</v>
      </c>
    </row>
    <row r="1396" ht="18.6" customHeight="1" spans="1:11">
      <c r="A1396" s="3">
        <v>1395</v>
      </c>
      <c r="B1396" s="3" t="s">
        <v>2195</v>
      </c>
      <c r="C1396" s="3" t="s">
        <v>3509</v>
      </c>
      <c r="D1396" s="3" t="s">
        <v>628</v>
      </c>
      <c r="E1396" s="3" t="s">
        <v>1470</v>
      </c>
      <c r="F1396" s="3"/>
      <c r="G1396" s="3"/>
      <c r="H1396" s="3"/>
      <c r="I1396" s="3" t="s">
        <v>3769</v>
      </c>
      <c r="J1396" s="3" t="s">
        <v>1700</v>
      </c>
      <c r="K1396" s="27" t="s">
        <v>12</v>
      </c>
    </row>
    <row r="1397" ht="18.6" customHeight="1" spans="1:11">
      <c r="A1397" s="3">
        <v>1396</v>
      </c>
      <c r="B1397" s="3" t="s">
        <v>2196</v>
      </c>
      <c r="C1397" s="3" t="s">
        <v>3509</v>
      </c>
      <c r="D1397" s="3" t="s">
        <v>628</v>
      </c>
      <c r="E1397" s="3" t="s">
        <v>629</v>
      </c>
      <c r="F1397" s="3"/>
      <c r="G1397" s="3"/>
      <c r="H1397" s="3"/>
      <c r="I1397" s="3" t="s">
        <v>3770</v>
      </c>
      <c r="J1397" s="3" t="s">
        <v>1700</v>
      </c>
      <c r="K1397" s="27" t="s">
        <v>12</v>
      </c>
    </row>
    <row r="1398" ht="18.6" customHeight="1" spans="1:11">
      <c r="A1398" s="3">
        <v>1397</v>
      </c>
      <c r="B1398" s="3" t="s">
        <v>2197</v>
      </c>
      <c r="C1398" s="3" t="s">
        <v>3509</v>
      </c>
      <c r="D1398" s="3" t="s">
        <v>628</v>
      </c>
      <c r="E1398" s="3" t="s">
        <v>629</v>
      </c>
      <c r="F1398" s="3"/>
      <c r="G1398" s="3"/>
      <c r="H1398" s="3"/>
      <c r="I1398" s="3" t="s">
        <v>3770</v>
      </c>
      <c r="J1398" s="3" t="s">
        <v>1700</v>
      </c>
      <c r="K1398" s="27" t="s">
        <v>12</v>
      </c>
    </row>
    <row r="1399" ht="18.6" customHeight="1" spans="1:11">
      <c r="A1399" s="3">
        <v>1398</v>
      </c>
      <c r="B1399" s="3" t="s">
        <v>2198</v>
      </c>
      <c r="C1399" s="3" t="s">
        <v>3509</v>
      </c>
      <c r="D1399" s="3" t="s">
        <v>628</v>
      </c>
      <c r="E1399" s="3" t="s">
        <v>629</v>
      </c>
      <c r="F1399" s="3"/>
      <c r="G1399" s="3"/>
      <c r="H1399" s="3"/>
      <c r="I1399" s="3" t="s">
        <v>3769</v>
      </c>
      <c r="J1399" s="3" t="s">
        <v>1700</v>
      </c>
      <c r="K1399" s="27" t="s">
        <v>12</v>
      </c>
    </row>
    <row r="1400" ht="18.6" customHeight="1" spans="1:11">
      <c r="A1400" s="3">
        <v>1399</v>
      </c>
      <c r="B1400" s="3" t="s">
        <v>2199</v>
      </c>
      <c r="C1400" s="3" t="s">
        <v>3509</v>
      </c>
      <c r="D1400" s="3" t="s">
        <v>628</v>
      </c>
      <c r="E1400" s="3" t="s">
        <v>651</v>
      </c>
      <c r="F1400" s="3"/>
      <c r="G1400" s="3"/>
      <c r="H1400" s="3"/>
      <c r="I1400" s="3" t="s">
        <v>3769</v>
      </c>
      <c r="J1400" s="3" t="s">
        <v>1700</v>
      </c>
      <c r="K1400" s="27" t="s">
        <v>12</v>
      </c>
    </row>
    <row r="1401" ht="18.6" customHeight="1" spans="1:11">
      <c r="A1401" s="3">
        <v>1400</v>
      </c>
      <c r="B1401" s="3" t="s">
        <v>2200</v>
      </c>
      <c r="C1401" s="3" t="s">
        <v>3509</v>
      </c>
      <c r="D1401" s="3" t="s">
        <v>628</v>
      </c>
      <c r="E1401" s="3" t="s">
        <v>645</v>
      </c>
      <c r="F1401" s="3"/>
      <c r="G1401" s="3"/>
      <c r="H1401" s="3"/>
      <c r="I1401" s="3" t="s">
        <v>3769</v>
      </c>
      <c r="J1401" s="3" t="s">
        <v>1700</v>
      </c>
      <c r="K1401" s="27" t="s">
        <v>12</v>
      </c>
    </row>
    <row r="1402" ht="18.6" customHeight="1" spans="1:11">
      <c r="A1402" s="3">
        <v>1401</v>
      </c>
      <c r="B1402" s="3" t="s">
        <v>2201</v>
      </c>
      <c r="C1402" s="3" t="s">
        <v>3509</v>
      </c>
      <c r="D1402" s="3" t="s">
        <v>628</v>
      </c>
      <c r="E1402" s="3" t="s">
        <v>660</v>
      </c>
      <c r="F1402" s="3"/>
      <c r="G1402" s="3"/>
      <c r="H1402" s="3"/>
      <c r="I1402" s="3" t="s">
        <v>3769</v>
      </c>
      <c r="J1402" s="3" t="s">
        <v>1700</v>
      </c>
      <c r="K1402" s="27" t="s">
        <v>12</v>
      </c>
    </row>
    <row r="1403" ht="18.6" customHeight="1" spans="1:11">
      <c r="A1403" s="3">
        <v>1402</v>
      </c>
      <c r="B1403" s="3" t="s">
        <v>2202</v>
      </c>
      <c r="C1403" s="3" t="s">
        <v>3509</v>
      </c>
      <c r="D1403" s="3" t="s">
        <v>628</v>
      </c>
      <c r="E1403" s="3" t="s">
        <v>681</v>
      </c>
      <c r="F1403" s="3"/>
      <c r="G1403" s="3"/>
      <c r="H1403" s="3"/>
      <c r="I1403" s="3" t="s">
        <v>3769</v>
      </c>
      <c r="J1403" s="3" t="s">
        <v>1700</v>
      </c>
      <c r="K1403" s="27" t="s">
        <v>12</v>
      </c>
    </row>
    <row r="1404" ht="18.6" customHeight="1" spans="1:11">
      <c r="A1404" s="3">
        <v>1403</v>
      </c>
      <c r="B1404" s="3" t="s">
        <v>2203</v>
      </c>
      <c r="C1404" s="3" t="s">
        <v>3509</v>
      </c>
      <c r="D1404" s="3" t="s">
        <v>628</v>
      </c>
      <c r="E1404" s="3" t="s">
        <v>655</v>
      </c>
      <c r="F1404" s="3"/>
      <c r="G1404" s="3"/>
      <c r="H1404" s="3"/>
      <c r="I1404" s="3" t="s">
        <v>3769</v>
      </c>
      <c r="J1404" s="3" t="s">
        <v>1700</v>
      </c>
      <c r="K1404" s="27" t="s">
        <v>12</v>
      </c>
    </row>
    <row r="1405" ht="18.6" customHeight="1" spans="1:11">
      <c r="A1405" s="3">
        <v>1404</v>
      </c>
      <c r="B1405" s="3" t="s">
        <v>3527</v>
      </c>
      <c r="C1405" s="3" t="s">
        <v>3509</v>
      </c>
      <c r="D1405" s="3" t="s">
        <v>628</v>
      </c>
      <c r="E1405" s="3" t="s">
        <v>648</v>
      </c>
      <c r="F1405" s="3"/>
      <c r="G1405" s="3"/>
      <c r="H1405" s="3"/>
      <c r="I1405" s="3" t="s">
        <v>3769</v>
      </c>
      <c r="J1405" s="3" t="s">
        <v>1700</v>
      </c>
      <c r="K1405" s="27" t="s">
        <v>12</v>
      </c>
    </row>
    <row r="1406" ht="18.6" customHeight="1" spans="1:11">
      <c r="A1406" s="3">
        <v>1405</v>
      </c>
      <c r="B1406" s="3" t="s">
        <v>2204</v>
      </c>
      <c r="C1406" s="3" t="s">
        <v>3509</v>
      </c>
      <c r="D1406" s="3" t="s">
        <v>628</v>
      </c>
      <c r="E1406" s="3" t="s">
        <v>645</v>
      </c>
      <c r="F1406" s="3"/>
      <c r="G1406" s="3"/>
      <c r="H1406" s="3"/>
      <c r="I1406" s="3" t="s">
        <v>3770</v>
      </c>
      <c r="J1406" s="3" t="s">
        <v>1700</v>
      </c>
      <c r="K1406" s="27" t="s">
        <v>12</v>
      </c>
    </row>
    <row r="1407" ht="18.6" customHeight="1" spans="1:11">
      <c r="A1407" s="3">
        <v>1406</v>
      </c>
      <c r="B1407" s="3" t="s">
        <v>2205</v>
      </c>
      <c r="C1407" s="3" t="s">
        <v>3509</v>
      </c>
      <c r="D1407" s="3" t="s">
        <v>628</v>
      </c>
      <c r="E1407" s="3" t="s">
        <v>642</v>
      </c>
      <c r="F1407" s="3"/>
      <c r="G1407" s="3"/>
      <c r="H1407" s="3"/>
      <c r="I1407" s="3" t="s">
        <v>3769</v>
      </c>
      <c r="J1407" s="3" t="s">
        <v>1700</v>
      </c>
      <c r="K1407" s="27" t="s">
        <v>12</v>
      </c>
    </row>
    <row r="1408" ht="18.6" customHeight="1" spans="1:11">
      <c r="A1408" s="3">
        <v>1407</v>
      </c>
      <c r="B1408" s="3" t="s">
        <v>2206</v>
      </c>
      <c r="C1408" s="3" t="s">
        <v>3509</v>
      </c>
      <c r="D1408" s="3" t="s">
        <v>628</v>
      </c>
      <c r="E1408" s="3" t="s">
        <v>688</v>
      </c>
      <c r="F1408" s="3"/>
      <c r="G1408" s="3"/>
      <c r="H1408" s="3"/>
      <c r="I1408" s="3" t="s">
        <v>3770</v>
      </c>
      <c r="J1408" s="3" t="s">
        <v>1700</v>
      </c>
      <c r="K1408" s="27" t="s">
        <v>12</v>
      </c>
    </row>
    <row r="1409" ht="18.6" customHeight="1" spans="1:11">
      <c r="A1409" s="3">
        <v>1408</v>
      </c>
      <c r="B1409" s="3" t="s">
        <v>2207</v>
      </c>
      <c r="C1409" s="3" t="s">
        <v>3509</v>
      </c>
      <c r="D1409" s="3" t="s">
        <v>628</v>
      </c>
      <c r="E1409" s="3" t="s">
        <v>645</v>
      </c>
      <c r="F1409" s="3"/>
      <c r="G1409" s="3"/>
      <c r="H1409" s="3"/>
      <c r="I1409" s="3" t="s">
        <v>3773</v>
      </c>
      <c r="J1409" s="3" t="s">
        <v>1700</v>
      </c>
      <c r="K1409" s="27" t="s">
        <v>12</v>
      </c>
    </row>
    <row r="1410" ht="18.6" customHeight="1" spans="1:11">
      <c r="A1410" s="3">
        <v>1409</v>
      </c>
      <c r="B1410" s="3" t="s">
        <v>2209</v>
      </c>
      <c r="C1410" s="3" t="s">
        <v>3509</v>
      </c>
      <c r="D1410" s="3" t="s">
        <v>628</v>
      </c>
      <c r="E1410" s="3" t="s">
        <v>645</v>
      </c>
      <c r="F1410" s="3"/>
      <c r="G1410" s="3"/>
      <c r="H1410" s="3"/>
      <c r="I1410" s="3" t="s">
        <v>3770</v>
      </c>
      <c r="J1410" s="3" t="s">
        <v>1700</v>
      </c>
      <c r="K1410" s="27" t="s">
        <v>12</v>
      </c>
    </row>
    <row r="1411" ht="18.6" customHeight="1" spans="1:11">
      <c r="A1411" s="3">
        <v>1410</v>
      </c>
      <c r="B1411" s="3" t="s">
        <v>3811</v>
      </c>
      <c r="C1411" s="3" t="s">
        <v>3509</v>
      </c>
      <c r="D1411" s="3" t="s">
        <v>628</v>
      </c>
      <c r="E1411" s="3" t="s">
        <v>640</v>
      </c>
      <c r="F1411" s="3"/>
      <c r="G1411" s="3"/>
      <c r="H1411" s="3"/>
      <c r="I1411" s="3" t="s">
        <v>3769</v>
      </c>
      <c r="J1411" s="3" t="s">
        <v>1700</v>
      </c>
      <c r="K1411" s="27" t="s">
        <v>12</v>
      </c>
    </row>
    <row r="1412" ht="18.6" customHeight="1" spans="1:11">
      <c r="A1412" s="3">
        <v>1411</v>
      </c>
      <c r="B1412" s="3" t="s">
        <v>2210</v>
      </c>
      <c r="C1412" s="3" t="s">
        <v>3509</v>
      </c>
      <c r="D1412" s="3" t="s">
        <v>628</v>
      </c>
      <c r="E1412" s="3" t="s">
        <v>631</v>
      </c>
      <c r="F1412" s="3"/>
      <c r="G1412" s="3"/>
      <c r="H1412" s="3"/>
      <c r="I1412" s="3" t="s">
        <v>3771</v>
      </c>
      <c r="J1412" s="3" t="s">
        <v>1700</v>
      </c>
      <c r="K1412" s="27" t="s">
        <v>12</v>
      </c>
    </row>
    <row r="1413" ht="18.6" customHeight="1" spans="1:11">
      <c r="A1413" s="3">
        <v>1412</v>
      </c>
      <c r="B1413" s="3" t="s">
        <v>2211</v>
      </c>
      <c r="C1413" s="3" t="s">
        <v>3509</v>
      </c>
      <c r="D1413" s="3" t="s">
        <v>628</v>
      </c>
      <c r="E1413" s="3" t="s">
        <v>631</v>
      </c>
      <c r="F1413" s="3"/>
      <c r="G1413" s="3"/>
      <c r="H1413" s="3"/>
      <c r="I1413" s="3" t="s">
        <v>3769</v>
      </c>
      <c r="J1413" s="3" t="s">
        <v>1700</v>
      </c>
      <c r="K1413" s="27" t="s">
        <v>12</v>
      </c>
    </row>
    <row r="1414" ht="18.6" customHeight="1" spans="1:11">
      <c r="A1414" s="3">
        <v>1413</v>
      </c>
      <c r="B1414" s="3" t="s">
        <v>2212</v>
      </c>
      <c r="C1414" s="3" t="s">
        <v>3509</v>
      </c>
      <c r="D1414" s="3" t="s">
        <v>628</v>
      </c>
      <c r="E1414" s="3" t="s">
        <v>645</v>
      </c>
      <c r="F1414" s="3"/>
      <c r="G1414" s="3"/>
      <c r="H1414" s="3"/>
      <c r="I1414" s="3" t="s">
        <v>3770</v>
      </c>
      <c r="J1414" s="3" t="s">
        <v>1700</v>
      </c>
      <c r="K1414" s="27" t="s">
        <v>12</v>
      </c>
    </row>
    <row r="1415" ht="18.6" customHeight="1" spans="1:11">
      <c r="A1415" s="3">
        <v>1414</v>
      </c>
      <c r="B1415" s="3" t="s">
        <v>2213</v>
      </c>
      <c r="C1415" s="3" t="s">
        <v>3509</v>
      </c>
      <c r="D1415" s="3" t="s">
        <v>628</v>
      </c>
      <c r="E1415" s="3" t="s">
        <v>631</v>
      </c>
      <c r="F1415" s="3"/>
      <c r="G1415" s="3"/>
      <c r="H1415" s="3"/>
      <c r="I1415" s="3" t="s">
        <v>3770</v>
      </c>
      <c r="J1415" s="3" t="s">
        <v>1700</v>
      </c>
      <c r="K1415" s="27" t="s">
        <v>12</v>
      </c>
    </row>
    <row r="1416" ht="18.6" customHeight="1" spans="1:11">
      <c r="A1416" s="3">
        <v>1415</v>
      </c>
      <c r="B1416" s="3" t="s">
        <v>2214</v>
      </c>
      <c r="C1416" s="3" t="s">
        <v>3509</v>
      </c>
      <c r="D1416" s="3" t="s">
        <v>628</v>
      </c>
      <c r="E1416" s="3" t="s">
        <v>681</v>
      </c>
      <c r="F1416" s="3"/>
      <c r="G1416" s="3"/>
      <c r="H1416" s="3"/>
      <c r="I1416" s="3" t="s">
        <v>3770</v>
      </c>
      <c r="J1416" s="3" t="s">
        <v>1700</v>
      </c>
      <c r="K1416" s="27" t="s">
        <v>12</v>
      </c>
    </row>
    <row r="1417" ht="18.6" customHeight="1" spans="1:11">
      <c r="A1417" s="3">
        <v>1416</v>
      </c>
      <c r="B1417" s="3" t="s">
        <v>2215</v>
      </c>
      <c r="C1417" s="3" t="s">
        <v>3509</v>
      </c>
      <c r="D1417" s="3" t="s">
        <v>628</v>
      </c>
      <c r="E1417" s="3" t="s">
        <v>645</v>
      </c>
      <c r="F1417" s="3"/>
      <c r="G1417" s="3"/>
      <c r="H1417" s="3"/>
      <c r="I1417" s="3" t="s">
        <v>3771</v>
      </c>
      <c r="J1417" s="3" t="s">
        <v>1700</v>
      </c>
      <c r="K1417" s="27" t="s">
        <v>12</v>
      </c>
    </row>
    <row r="1418" ht="18.6" customHeight="1" spans="1:11">
      <c r="A1418" s="3">
        <v>1417</v>
      </c>
      <c r="B1418" s="3" t="s">
        <v>2216</v>
      </c>
      <c r="C1418" s="3" t="s">
        <v>3509</v>
      </c>
      <c r="D1418" s="3" t="s">
        <v>628</v>
      </c>
      <c r="E1418" s="3" t="s">
        <v>640</v>
      </c>
      <c r="F1418" s="3"/>
      <c r="G1418" s="3"/>
      <c r="H1418" s="3"/>
      <c r="I1418" s="3" t="s">
        <v>3770</v>
      </c>
      <c r="J1418" s="3" t="s">
        <v>1700</v>
      </c>
      <c r="K1418" s="27" t="s">
        <v>12</v>
      </c>
    </row>
    <row r="1419" ht="18.6" customHeight="1" spans="1:11">
      <c r="A1419" s="3">
        <v>1418</v>
      </c>
      <c r="B1419" s="3" t="s">
        <v>2217</v>
      </c>
      <c r="C1419" s="3" t="s">
        <v>3509</v>
      </c>
      <c r="D1419" s="3" t="s">
        <v>628</v>
      </c>
      <c r="E1419" s="3" t="s">
        <v>645</v>
      </c>
      <c r="F1419" s="3"/>
      <c r="G1419" s="3"/>
      <c r="H1419" s="3"/>
      <c r="I1419" s="3" t="s">
        <v>3770</v>
      </c>
      <c r="J1419" s="3" t="s">
        <v>1700</v>
      </c>
      <c r="K1419" s="27" t="s">
        <v>12</v>
      </c>
    </row>
    <row r="1420" ht="18.6" customHeight="1" spans="1:11">
      <c r="A1420" s="3">
        <v>1419</v>
      </c>
      <c r="B1420" s="3" t="s">
        <v>2218</v>
      </c>
      <c r="C1420" s="3" t="s">
        <v>3509</v>
      </c>
      <c r="D1420" s="3" t="s">
        <v>628</v>
      </c>
      <c r="E1420" s="3" t="s">
        <v>629</v>
      </c>
      <c r="F1420" s="3"/>
      <c r="G1420" s="3"/>
      <c r="H1420" s="3"/>
      <c r="I1420" s="3" t="s">
        <v>3769</v>
      </c>
      <c r="J1420" s="3" t="s">
        <v>1700</v>
      </c>
      <c r="K1420" s="27" t="s">
        <v>12</v>
      </c>
    </row>
    <row r="1421" ht="18.6" customHeight="1" spans="1:11">
      <c r="A1421" s="3">
        <v>1420</v>
      </c>
      <c r="B1421" s="3" t="s">
        <v>2219</v>
      </c>
      <c r="C1421" s="3" t="s">
        <v>3509</v>
      </c>
      <c r="D1421" s="3" t="s">
        <v>628</v>
      </c>
      <c r="E1421" s="3" t="s">
        <v>660</v>
      </c>
      <c r="F1421" s="3"/>
      <c r="G1421" s="3"/>
      <c r="H1421" s="3"/>
      <c r="I1421" s="3" t="s">
        <v>3770</v>
      </c>
      <c r="J1421" s="3" t="s">
        <v>1700</v>
      </c>
      <c r="K1421" s="27" t="s">
        <v>12</v>
      </c>
    </row>
    <row r="1422" ht="18.6" customHeight="1" spans="1:11">
      <c r="A1422" s="3">
        <v>1421</v>
      </c>
      <c r="B1422" s="3" t="s">
        <v>2220</v>
      </c>
      <c r="C1422" s="3" t="s">
        <v>3509</v>
      </c>
      <c r="D1422" s="3" t="s">
        <v>628</v>
      </c>
      <c r="E1422" s="3" t="s">
        <v>657</v>
      </c>
      <c r="F1422" s="3"/>
      <c r="G1422" s="3"/>
      <c r="H1422" s="3"/>
      <c r="I1422" s="3" t="s">
        <v>3769</v>
      </c>
      <c r="J1422" s="3" t="s">
        <v>1700</v>
      </c>
      <c r="K1422" s="27" t="s">
        <v>12</v>
      </c>
    </row>
    <row r="1423" ht="18.6" customHeight="1" spans="1:11">
      <c r="A1423" s="3">
        <v>1422</v>
      </c>
      <c r="B1423" s="3" t="s">
        <v>2221</v>
      </c>
      <c r="C1423" s="3" t="s">
        <v>3509</v>
      </c>
      <c r="D1423" s="3" t="s">
        <v>628</v>
      </c>
      <c r="E1423" s="3" t="s">
        <v>671</v>
      </c>
      <c r="F1423" s="3"/>
      <c r="G1423" s="3"/>
      <c r="H1423" s="3"/>
      <c r="I1423" s="3" t="s">
        <v>3769</v>
      </c>
      <c r="J1423" s="3" t="s">
        <v>1700</v>
      </c>
      <c r="K1423" s="27" t="s">
        <v>12</v>
      </c>
    </row>
    <row r="1424" ht="18.6" customHeight="1" spans="1:11">
      <c r="A1424" s="3">
        <v>1423</v>
      </c>
      <c r="B1424" s="3" t="s">
        <v>2222</v>
      </c>
      <c r="C1424" s="3" t="s">
        <v>3509</v>
      </c>
      <c r="D1424" s="3" t="s">
        <v>628</v>
      </c>
      <c r="E1424" s="3" t="s">
        <v>640</v>
      </c>
      <c r="F1424" s="3"/>
      <c r="G1424" s="3"/>
      <c r="H1424" s="3"/>
      <c r="I1424" s="3" t="s">
        <v>3776</v>
      </c>
      <c r="J1424" s="3" t="s">
        <v>1700</v>
      </c>
      <c r="K1424" s="27" t="s">
        <v>12</v>
      </c>
    </row>
    <row r="1425" ht="18.6" customHeight="1" spans="1:11">
      <c r="A1425" s="3">
        <v>1424</v>
      </c>
      <c r="B1425" s="3" t="s">
        <v>2223</v>
      </c>
      <c r="C1425" s="3" t="s">
        <v>3509</v>
      </c>
      <c r="D1425" s="3" t="s">
        <v>628</v>
      </c>
      <c r="E1425" s="3" t="s">
        <v>660</v>
      </c>
      <c r="F1425" s="3"/>
      <c r="G1425" s="3"/>
      <c r="H1425" s="3"/>
      <c r="I1425" s="3" t="s">
        <v>3775</v>
      </c>
      <c r="J1425" s="3" t="s">
        <v>1700</v>
      </c>
      <c r="K1425" s="27" t="s">
        <v>12</v>
      </c>
    </row>
    <row r="1426" ht="18.6" customHeight="1" spans="1:11">
      <c r="A1426" s="3">
        <v>1425</v>
      </c>
      <c r="B1426" s="3" t="s">
        <v>2224</v>
      </c>
      <c r="C1426" s="3" t="s">
        <v>3509</v>
      </c>
      <c r="D1426" s="3" t="s">
        <v>628</v>
      </c>
      <c r="E1426" s="3" t="s">
        <v>629</v>
      </c>
      <c r="F1426" s="3"/>
      <c r="G1426" s="3"/>
      <c r="H1426" s="3"/>
      <c r="I1426" s="3" t="s">
        <v>3770</v>
      </c>
      <c r="J1426" s="3" t="s">
        <v>1700</v>
      </c>
      <c r="K1426" s="27" t="s">
        <v>12</v>
      </c>
    </row>
    <row r="1427" ht="18.6" customHeight="1" spans="1:11">
      <c r="A1427" s="3">
        <v>1426</v>
      </c>
      <c r="B1427" s="3" t="s">
        <v>2225</v>
      </c>
      <c r="C1427" s="3" t="s">
        <v>3509</v>
      </c>
      <c r="D1427" s="3" t="s">
        <v>628</v>
      </c>
      <c r="E1427" s="3" t="s">
        <v>629</v>
      </c>
      <c r="F1427" s="3"/>
      <c r="G1427" s="3"/>
      <c r="H1427" s="3"/>
      <c r="I1427" s="3" t="s">
        <v>3770</v>
      </c>
      <c r="J1427" s="3" t="s">
        <v>1700</v>
      </c>
      <c r="K1427" s="27" t="s">
        <v>12</v>
      </c>
    </row>
    <row r="1428" ht="18.6" customHeight="1" spans="1:11">
      <c r="A1428" s="3">
        <v>1427</v>
      </c>
      <c r="B1428" s="3" t="s">
        <v>2226</v>
      </c>
      <c r="C1428" s="3" t="s">
        <v>3509</v>
      </c>
      <c r="D1428" s="3" t="s">
        <v>628</v>
      </c>
      <c r="E1428" s="3" t="s">
        <v>629</v>
      </c>
      <c r="F1428" s="3"/>
      <c r="G1428" s="3"/>
      <c r="H1428" s="3"/>
      <c r="I1428" s="3" t="s">
        <v>3769</v>
      </c>
      <c r="J1428" s="3" t="s">
        <v>1700</v>
      </c>
      <c r="K1428" s="27" t="s">
        <v>12</v>
      </c>
    </row>
    <row r="1429" ht="18.6" customHeight="1" spans="1:11">
      <c r="A1429" s="3">
        <v>1428</v>
      </c>
      <c r="B1429" s="3" t="s">
        <v>2227</v>
      </c>
      <c r="C1429" s="3" t="s">
        <v>3509</v>
      </c>
      <c r="D1429" s="3" t="s">
        <v>628</v>
      </c>
      <c r="E1429" s="3" t="s">
        <v>640</v>
      </c>
      <c r="F1429" s="3"/>
      <c r="G1429" s="3"/>
      <c r="H1429" s="3"/>
      <c r="I1429" s="3" t="s">
        <v>3770</v>
      </c>
      <c r="J1429" s="3" t="s">
        <v>1700</v>
      </c>
      <c r="K1429" s="27" t="s">
        <v>12</v>
      </c>
    </row>
    <row r="1430" ht="18.6" customHeight="1" spans="1:11">
      <c r="A1430" s="3">
        <v>1429</v>
      </c>
      <c r="B1430" s="3" t="s">
        <v>2228</v>
      </c>
      <c r="C1430" s="3" t="s">
        <v>3509</v>
      </c>
      <c r="D1430" s="3" t="s">
        <v>628</v>
      </c>
      <c r="E1430" s="3" t="s">
        <v>642</v>
      </c>
      <c r="F1430" s="3"/>
      <c r="G1430" s="3"/>
      <c r="H1430" s="3"/>
      <c r="I1430" s="3" t="s">
        <v>3769</v>
      </c>
      <c r="J1430" s="3" t="s">
        <v>1700</v>
      </c>
      <c r="K1430" s="27" t="s">
        <v>12</v>
      </c>
    </row>
    <row r="1431" ht="18.6" customHeight="1" spans="1:11">
      <c r="A1431" s="3">
        <v>1430</v>
      </c>
      <c r="B1431" s="3" t="s">
        <v>2229</v>
      </c>
      <c r="C1431" s="3" t="s">
        <v>3509</v>
      </c>
      <c r="D1431" s="3" t="s">
        <v>628</v>
      </c>
      <c r="E1431" s="3" t="s">
        <v>1470</v>
      </c>
      <c r="F1431" s="3"/>
      <c r="G1431" s="3"/>
      <c r="H1431" s="3"/>
      <c r="I1431" s="3" t="s">
        <v>3775</v>
      </c>
      <c r="J1431" s="3" t="s">
        <v>1700</v>
      </c>
      <c r="K1431" s="27" t="s">
        <v>12</v>
      </c>
    </row>
    <row r="1432" ht="18.6" customHeight="1" spans="1:11">
      <c r="A1432" s="3">
        <v>1431</v>
      </c>
      <c r="B1432" s="3" t="s">
        <v>2230</v>
      </c>
      <c r="C1432" s="3" t="s">
        <v>3509</v>
      </c>
      <c r="D1432" s="3" t="s">
        <v>628</v>
      </c>
      <c r="E1432" s="3" t="s">
        <v>660</v>
      </c>
      <c r="F1432" s="3"/>
      <c r="G1432" s="3"/>
      <c r="H1432" s="3"/>
      <c r="I1432" s="3" t="s">
        <v>3769</v>
      </c>
      <c r="J1432" s="3" t="s">
        <v>1700</v>
      </c>
      <c r="K1432" s="27" t="s">
        <v>12</v>
      </c>
    </row>
    <row r="1433" ht="18.6" customHeight="1" spans="1:11">
      <c r="A1433" s="3">
        <v>1432</v>
      </c>
      <c r="B1433" s="3" t="s">
        <v>2231</v>
      </c>
      <c r="C1433" s="3" t="s">
        <v>3509</v>
      </c>
      <c r="D1433" s="3" t="s">
        <v>628</v>
      </c>
      <c r="E1433" s="3" t="s">
        <v>640</v>
      </c>
      <c r="F1433" s="3"/>
      <c r="G1433" s="3"/>
      <c r="H1433" s="3"/>
      <c r="I1433" s="3" t="s">
        <v>3770</v>
      </c>
      <c r="J1433" s="3" t="s">
        <v>1700</v>
      </c>
      <c r="K1433" s="27" t="s">
        <v>12</v>
      </c>
    </row>
    <row r="1434" ht="18.6" customHeight="1" spans="1:11">
      <c r="A1434" s="3">
        <v>1433</v>
      </c>
      <c r="B1434" s="3" t="s">
        <v>2232</v>
      </c>
      <c r="C1434" s="3" t="s">
        <v>3509</v>
      </c>
      <c r="D1434" s="3" t="s">
        <v>628</v>
      </c>
      <c r="E1434" s="3" t="s">
        <v>629</v>
      </c>
      <c r="F1434" s="3"/>
      <c r="G1434" s="3"/>
      <c r="H1434" s="3"/>
      <c r="I1434" s="3" t="s">
        <v>3770</v>
      </c>
      <c r="J1434" s="3" t="s">
        <v>1700</v>
      </c>
      <c r="K1434" s="27" t="s">
        <v>12</v>
      </c>
    </row>
    <row r="1435" ht="18.6" customHeight="1" spans="1:11">
      <c r="A1435" s="3">
        <v>1434</v>
      </c>
      <c r="B1435" s="3" t="s">
        <v>2233</v>
      </c>
      <c r="C1435" s="3" t="s">
        <v>3509</v>
      </c>
      <c r="D1435" s="3" t="s">
        <v>628</v>
      </c>
      <c r="E1435" s="3" t="s">
        <v>660</v>
      </c>
      <c r="F1435" s="3"/>
      <c r="G1435" s="3"/>
      <c r="H1435" s="3"/>
      <c r="I1435" s="3" t="s">
        <v>3770</v>
      </c>
      <c r="J1435" s="3" t="s">
        <v>1700</v>
      </c>
      <c r="K1435" s="27" t="s">
        <v>12</v>
      </c>
    </row>
    <row r="1436" ht="18.6" customHeight="1" spans="1:11">
      <c r="A1436" s="3">
        <v>1435</v>
      </c>
      <c r="B1436" s="3" t="s">
        <v>2234</v>
      </c>
      <c r="C1436" s="3" t="s">
        <v>3509</v>
      </c>
      <c r="D1436" s="3" t="s">
        <v>628</v>
      </c>
      <c r="E1436" s="3" t="s">
        <v>629</v>
      </c>
      <c r="F1436" s="3"/>
      <c r="G1436" s="3"/>
      <c r="H1436" s="3"/>
      <c r="I1436" s="3" t="s">
        <v>3779</v>
      </c>
      <c r="J1436" s="3" t="s">
        <v>1700</v>
      </c>
      <c r="K1436" s="27" t="s">
        <v>12</v>
      </c>
    </row>
    <row r="1437" ht="18.6" customHeight="1" spans="1:11">
      <c r="A1437" s="3">
        <v>1436</v>
      </c>
      <c r="B1437" s="3" t="s">
        <v>2235</v>
      </c>
      <c r="C1437" s="3" t="s">
        <v>3509</v>
      </c>
      <c r="D1437" s="3" t="s">
        <v>628</v>
      </c>
      <c r="E1437" s="3" t="s">
        <v>666</v>
      </c>
      <c r="F1437" s="3"/>
      <c r="G1437" s="3"/>
      <c r="H1437" s="3"/>
      <c r="I1437" s="3" t="s">
        <v>3769</v>
      </c>
      <c r="J1437" s="3" t="s">
        <v>1700</v>
      </c>
      <c r="K1437" s="27" t="s">
        <v>12</v>
      </c>
    </row>
    <row r="1438" ht="18.6" customHeight="1" spans="1:11">
      <c r="A1438" s="3">
        <v>1437</v>
      </c>
      <c r="B1438" s="3" t="s">
        <v>2236</v>
      </c>
      <c r="C1438" s="3" t="s">
        <v>3509</v>
      </c>
      <c r="D1438" s="3" t="s">
        <v>628</v>
      </c>
      <c r="E1438" s="3" t="s">
        <v>629</v>
      </c>
      <c r="F1438" s="3"/>
      <c r="G1438" s="3"/>
      <c r="H1438" s="3"/>
      <c r="I1438" s="3" t="s">
        <v>3772</v>
      </c>
      <c r="J1438" s="3" t="s">
        <v>1700</v>
      </c>
      <c r="K1438" s="27" t="s">
        <v>12</v>
      </c>
    </row>
    <row r="1439" ht="18.6" customHeight="1" spans="1:11">
      <c r="A1439" s="3">
        <v>1438</v>
      </c>
      <c r="B1439" s="3" t="s">
        <v>2237</v>
      </c>
      <c r="C1439" s="3" t="s">
        <v>3509</v>
      </c>
      <c r="D1439" s="3" t="s">
        <v>628</v>
      </c>
      <c r="E1439" s="3" t="s">
        <v>662</v>
      </c>
      <c r="F1439" s="3"/>
      <c r="G1439" s="3"/>
      <c r="H1439" s="3"/>
      <c r="I1439" s="3" t="s">
        <v>3770</v>
      </c>
      <c r="J1439" s="3" t="s">
        <v>1700</v>
      </c>
      <c r="K1439" s="27" t="s">
        <v>12</v>
      </c>
    </row>
    <row r="1440" ht="18.6" customHeight="1" spans="1:11">
      <c r="A1440" s="3">
        <v>1439</v>
      </c>
      <c r="B1440" s="3" t="s">
        <v>2238</v>
      </c>
      <c r="C1440" s="3" t="s">
        <v>3509</v>
      </c>
      <c r="D1440" s="3" t="s">
        <v>628</v>
      </c>
      <c r="E1440" s="3" t="s">
        <v>671</v>
      </c>
      <c r="F1440" s="3"/>
      <c r="G1440" s="3"/>
      <c r="H1440" s="3"/>
      <c r="I1440" s="3" t="s">
        <v>3769</v>
      </c>
      <c r="J1440" s="3" t="s">
        <v>1700</v>
      </c>
      <c r="K1440" s="27" t="s">
        <v>12</v>
      </c>
    </row>
    <row r="1441" ht="18.6" customHeight="1" spans="1:11">
      <c r="A1441" s="3">
        <v>1440</v>
      </c>
      <c r="B1441" s="3" t="s">
        <v>2239</v>
      </c>
      <c r="C1441" s="3" t="s">
        <v>3509</v>
      </c>
      <c r="D1441" s="3" t="s">
        <v>628</v>
      </c>
      <c r="E1441" s="3" t="s">
        <v>651</v>
      </c>
      <c r="F1441" s="3"/>
      <c r="G1441" s="3"/>
      <c r="H1441" s="3"/>
      <c r="I1441" s="3" t="s">
        <v>3769</v>
      </c>
      <c r="J1441" s="3" t="s">
        <v>1700</v>
      </c>
      <c r="K1441" s="27" t="s">
        <v>12</v>
      </c>
    </row>
    <row r="1442" ht="18.6" customHeight="1" spans="1:11">
      <c r="A1442" s="3">
        <v>1441</v>
      </c>
      <c r="B1442" s="3" t="s">
        <v>2240</v>
      </c>
      <c r="C1442" s="3" t="s">
        <v>3509</v>
      </c>
      <c r="D1442" s="3" t="s">
        <v>628</v>
      </c>
      <c r="E1442" s="3" t="s">
        <v>631</v>
      </c>
      <c r="F1442" s="3"/>
      <c r="G1442" s="3"/>
      <c r="H1442" s="3"/>
      <c r="I1442" s="3" t="s">
        <v>3770</v>
      </c>
      <c r="J1442" s="3" t="s">
        <v>1700</v>
      </c>
      <c r="K1442" s="27" t="s">
        <v>12</v>
      </c>
    </row>
    <row r="1443" ht="18.6" customHeight="1" spans="1:11">
      <c r="A1443" s="3">
        <v>1442</v>
      </c>
      <c r="B1443" s="3" t="s">
        <v>2241</v>
      </c>
      <c r="C1443" s="3" t="s">
        <v>3509</v>
      </c>
      <c r="D1443" s="3" t="s">
        <v>628</v>
      </c>
      <c r="E1443" s="3" t="s">
        <v>629</v>
      </c>
      <c r="F1443" s="3"/>
      <c r="G1443" s="3"/>
      <c r="H1443" s="3"/>
      <c r="I1443" s="3" t="s">
        <v>3776</v>
      </c>
      <c r="J1443" s="3" t="s">
        <v>1700</v>
      </c>
      <c r="K1443" s="27" t="s">
        <v>12</v>
      </c>
    </row>
    <row r="1444" ht="18.6" customHeight="1" spans="1:11">
      <c r="A1444" s="3">
        <v>1443</v>
      </c>
      <c r="B1444" s="3" t="s">
        <v>2242</v>
      </c>
      <c r="C1444" s="3" t="s">
        <v>3509</v>
      </c>
      <c r="D1444" s="3" t="s">
        <v>628</v>
      </c>
      <c r="E1444" s="3" t="s">
        <v>629</v>
      </c>
      <c r="F1444" s="3"/>
      <c r="G1444" s="3"/>
      <c r="H1444" s="3"/>
      <c r="I1444" s="3" t="s">
        <v>3775</v>
      </c>
      <c r="J1444" s="3" t="s">
        <v>1700</v>
      </c>
      <c r="K1444" s="27" t="s">
        <v>12</v>
      </c>
    </row>
    <row r="1445" ht="18.6" customHeight="1" spans="1:11">
      <c r="A1445" s="3">
        <v>1444</v>
      </c>
      <c r="B1445" s="3" t="s">
        <v>2243</v>
      </c>
      <c r="C1445" s="3" t="s">
        <v>3509</v>
      </c>
      <c r="D1445" s="3" t="s">
        <v>628</v>
      </c>
      <c r="E1445" s="3" t="s">
        <v>642</v>
      </c>
      <c r="F1445" s="3"/>
      <c r="G1445" s="3"/>
      <c r="H1445" s="3"/>
      <c r="I1445" s="3" t="s">
        <v>3775</v>
      </c>
      <c r="J1445" s="3" t="s">
        <v>1700</v>
      </c>
      <c r="K1445" s="27" t="s">
        <v>12</v>
      </c>
    </row>
    <row r="1446" ht="18.6" customHeight="1" spans="1:11">
      <c r="A1446" s="3">
        <v>1445</v>
      </c>
      <c r="B1446" s="3" t="s">
        <v>2244</v>
      </c>
      <c r="C1446" s="3" t="s">
        <v>3509</v>
      </c>
      <c r="D1446" s="3" t="s">
        <v>628</v>
      </c>
      <c r="E1446" s="3" t="s">
        <v>645</v>
      </c>
      <c r="F1446" s="3"/>
      <c r="G1446" s="3"/>
      <c r="H1446" s="3"/>
      <c r="I1446" s="3" t="s">
        <v>3775</v>
      </c>
      <c r="J1446" s="3" t="s">
        <v>1700</v>
      </c>
      <c r="K1446" s="27" t="s">
        <v>12</v>
      </c>
    </row>
    <row r="1447" ht="18.6" customHeight="1" spans="1:11">
      <c r="A1447" s="3">
        <v>1446</v>
      </c>
      <c r="B1447" s="3" t="s">
        <v>2245</v>
      </c>
      <c r="C1447" s="3" t="s">
        <v>3509</v>
      </c>
      <c r="D1447" s="3" t="s">
        <v>628</v>
      </c>
      <c r="E1447" s="3" t="s">
        <v>645</v>
      </c>
      <c r="F1447" s="3"/>
      <c r="G1447" s="3"/>
      <c r="H1447" s="3"/>
      <c r="I1447" s="3" t="s">
        <v>3770</v>
      </c>
      <c r="J1447" s="3" t="s">
        <v>1700</v>
      </c>
      <c r="K1447" s="27" t="s">
        <v>12</v>
      </c>
    </row>
    <row r="1448" ht="18.6" customHeight="1" spans="1:11">
      <c r="A1448" s="3">
        <v>1447</v>
      </c>
      <c r="B1448" s="3" t="s">
        <v>2246</v>
      </c>
      <c r="C1448" s="3" t="s">
        <v>3509</v>
      </c>
      <c r="D1448" s="3" t="s">
        <v>628</v>
      </c>
      <c r="E1448" s="3" t="s">
        <v>666</v>
      </c>
      <c r="F1448" s="3"/>
      <c r="G1448" s="3"/>
      <c r="H1448" s="3"/>
      <c r="I1448" s="3" t="s">
        <v>3769</v>
      </c>
      <c r="J1448" s="3" t="s">
        <v>1700</v>
      </c>
      <c r="K1448" s="27" t="s">
        <v>12</v>
      </c>
    </row>
    <row r="1449" ht="18.6" customHeight="1" spans="1:11">
      <c r="A1449" s="3">
        <v>1448</v>
      </c>
      <c r="B1449" s="3" t="s">
        <v>2247</v>
      </c>
      <c r="C1449" s="3" t="s">
        <v>3509</v>
      </c>
      <c r="D1449" s="3" t="s">
        <v>628</v>
      </c>
      <c r="E1449" s="3" t="s">
        <v>1470</v>
      </c>
      <c r="F1449" s="3"/>
      <c r="G1449" s="3"/>
      <c r="H1449" s="3"/>
      <c r="I1449" s="3" t="s">
        <v>3770</v>
      </c>
      <c r="J1449" s="3" t="s">
        <v>1700</v>
      </c>
      <c r="K1449" s="27" t="s">
        <v>12</v>
      </c>
    </row>
    <row r="1450" ht="18.6" customHeight="1" spans="1:11">
      <c r="A1450" s="3">
        <v>1449</v>
      </c>
      <c r="B1450" s="3" t="s">
        <v>2248</v>
      </c>
      <c r="C1450" s="3" t="s">
        <v>3509</v>
      </c>
      <c r="D1450" s="3" t="s">
        <v>628</v>
      </c>
      <c r="E1450" s="3" t="s">
        <v>629</v>
      </c>
      <c r="F1450" s="3"/>
      <c r="G1450" s="3"/>
      <c r="H1450" s="3"/>
      <c r="I1450" s="3"/>
      <c r="J1450" s="3" t="s">
        <v>1700</v>
      </c>
      <c r="K1450" s="27" t="s">
        <v>12</v>
      </c>
    </row>
    <row r="1451" ht="18.6" customHeight="1" spans="1:11">
      <c r="A1451" s="3">
        <v>1450</v>
      </c>
      <c r="B1451" s="3" t="s">
        <v>2249</v>
      </c>
      <c r="C1451" s="3" t="s">
        <v>3509</v>
      </c>
      <c r="D1451" s="3" t="s">
        <v>628</v>
      </c>
      <c r="E1451" s="3" t="s">
        <v>631</v>
      </c>
      <c r="F1451" s="3"/>
      <c r="G1451" s="3"/>
      <c r="H1451" s="3"/>
      <c r="I1451" s="3"/>
      <c r="J1451" s="3" t="s">
        <v>1700</v>
      </c>
      <c r="K1451" s="27" t="s">
        <v>12</v>
      </c>
    </row>
    <row r="1452" ht="18.6" customHeight="1" spans="1:11">
      <c r="A1452" s="3">
        <v>1451</v>
      </c>
      <c r="B1452" s="3" t="s">
        <v>2250</v>
      </c>
      <c r="C1452" s="3" t="s">
        <v>3509</v>
      </c>
      <c r="D1452" s="3" t="s">
        <v>628</v>
      </c>
      <c r="E1452" s="3" t="s">
        <v>631</v>
      </c>
      <c r="F1452" s="3"/>
      <c r="G1452" s="3"/>
      <c r="H1452" s="3"/>
      <c r="I1452" s="3"/>
      <c r="J1452" s="3" t="s">
        <v>1700</v>
      </c>
      <c r="K1452" s="27" t="s">
        <v>12</v>
      </c>
    </row>
    <row r="1453" ht="18.6" customHeight="1" spans="1:11">
      <c r="A1453" s="3">
        <v>1452</v>
      </c>
      <c r="B1453" s="3" t="s">
        <v>2251</v>
      </c>
      <c r="C1453" s="3" t="s">
        <v>3509</v>
      </c>
      <c r="D1453" s="3" t="s">
        <v>628</v>
      </c>
      <c r="E1453" s="3" t="s">
        <v>660</v>
      </c>
      <c r="F1453" s="3"/>
      <c r="G1453" s="3"/>
      <c r="H1453" s="3"/>
      <c r="I1453" s="3"/>
      <c r="J1453" s="3" t="s">
        <v>1700</v>
      </c>
      <c r="K1453" s="27" t="s">
        <v>12</v>
      </c>
    </row>
    <row r="1454" ht="18.6" customHeight="1" spans="1:11">
      <c r="A1454" s="3">
        <v>1453</v>
      </c>
      <c r="B1454" s="3" t="s">
        <v>2252</v>
      </c>
      <c r="C1454" s="3" t="s">
        <v>3509</v>
      </c>
      <c r="D1454" s="3" t="s">
        <v>628</v>
      </c>
      <c r="E1454" s="3" t="s">
        <v>660</v>
      </c>
      <c r="F1454" s="3"/>
      <c r="G1454" s="3"/>
      <c r="H1454" s="3"/>
      <c r="I1454" s="3"/>
      <c r="J1454" s="3" t="s">
        <v>1700</v>
      </c>
      <c r="K1454" s="27" t="s">
        <v>12</v>
      </c>
    </row>
    <row r="1455" ht="18.6" customHeight="1" spans="1:11">
      <c r="A1455" s="3">
        <v>1454</v>
      </c>
      <c r="B1455" s="3" t="s">
        <v>2253</v>
      </c>
      <c r="C1455" s="3" t="s">
        <v>3509</v>
      </c>
      <c r="D1455" s="3" t="s">
        <v>628</v>
      </c>
      <c r="E1455" s="3" t="s">
        <v>662</v>
      </c>
      <c r="F1455" s="3"/>
      <c r="G1455" s="3"/>
      <c r="H1455" s="3"/>
      <c r="I1455" s="3"/>
      <c r="J1455" s="3" t="s">
        <v>1700</v>
      </c>
      <c r="K1455" s="27" t="s">
        <v>12</v>
      </c>
    </row>
    <row r="1456" ht="18.6" customHeight="1" spans="1:11">
      <c r="A1456" s="3">
        <v>1455</v>
      </c>
      <c r="B1456" s="3" t="s">
        <v>2254</v>
      </c>
      <c r="C1456" s="3" t="s">
        <v>3528</v>
      </c>
      <c r="D1456" s="3" t="s">
        <v>692</v>
      </c>
      <c r="E1456" s="3" t="s">
        <v>693</v>
      </c>
      <c r="F1456" s="3"/>
      <c r="G1456" s="3"/>
      <c r="H1456" s="3"/>
      <c r="I1456" s="3" t="s">
        <v>3770</v>
      </c>
      <c r="J1456" s="3" t="s">
        <v>1700</v>
      </c>
      <c r="K1456" s="27" t="s">
        <v>12</v>
      </c>
    </row>
    <row r="1457" ht="18.6" customHeight="1" spans="1:11">
      <c r="A1457" s="3">
        <v>1456</v>
      </c>
      <c r="B1457" s="3" t="s">
        <v>2255</v>
      </c>
      <c r="C1457" s="3" t="s">
        <v>3528</v>
      </c>
      <c r="D1457" s="3" t="s">
        <v>692</v>
      </c>
      <c r="E1457" s="3" t="s">
        <v>1498</v>
      </c>
      <c r="F1457" s="3"/>
      <c r="G1457" s="3"/>
      <c r="H1457" s="3"/>
      <c r="I1457" s="3" t="s">
        <v>3769</v>
      </c>
      <c r="J1457" s="3" t="s">
        <v>1700</v>
      </c>
      <c r="K1457" s="27" t="s">
        <v>12</v>
      </c>
    </row>
    <row r="1458" ht="18.6" customHeight="1" spans="1:11">
      <c r="A1458" s="3">
        <v>1457</v>
      </c>
      <c r="B1458" s="3" t="s">
        <v>2256</v>
      </c>
      <c r="C1458" s="3" t="s">
        <v>3528</v>
      </c>
      <c r="D1458" s="3" t="s">
        <v>692</v>
      </c>
      <c r="E1458" s="3" t="s">
        <v>2257</v>
      </c>
      <c r="F1458" s="3"/>
      <c r="G1458" s="3"/>
      <c r="H1458" s="3"/>
      <c r="I1458" s="3" t="s">
        <v>3769</v>
      </c>
      <c r="J1458" s="3" t="s">
        <v>1700</v>
      </c>
      <c r="K1458" s="27" t="s">
        <v>12</v>
      </c>
    </row>
    <row r="1459" ht="18.6" customHeight="1" spans="1:11">
      <c r="A1459" s="3">
        <v>1458</v>
      </c>
      <c r="B1459" s="3" t="s">
        <v>2258</v>
      </c>
      <c r="C1459" s="3" t="s">
        <v>3528</v>
      </c>
      <c r="D1459" s="3" t="s">
        <v>692</v>
      </c>
      <c r="E1459" s="3" t="s">
        <v>693</v>
      </c>
      <c r="F1459" s="3"/>
      <c r="G1459" s="3"/>
      <c r="H1459" s="3"/>
      <c r="I1459" s="3" t="s">
        <v>3770</v>
      </c>
      <c r="J1459" s="3" t="s">
        <v>1700</v>
      </c>
      <c r="K1459" s="27" t="s">
        <v>12</v>
      </c>
    </row>
    <row r="1460" ht="18.6" customHeight="1" spans="1:11">
      <c r="A1460" s="3">
        <v>1459</v>
      </c>
      <c r="B1460" s="3" t="s">
        <v>2259</v>
      </c>
      <c r="C1460" s="3" t="s">
        <v>3528</v>
      </c>
      <c r="D1460" s="3" t="s">
        <v>692</v>
      </c>
      <c r="E1460" s="3" t="s">
        <v>709</v>
      </c>
      <c r="F1460" s="3"/>
      <c r="G1460" s="3"/>
      <c r="H1460" s="3"/>
      <c r="I1460" s="3" t="s">
        <v>3769</v>
      </c>
      <c r="J1460" s="3" t="s">
        <v>1700</v>
      </c>
      <c r="K1460" s="27" t="s">
        <v>12</v>
      </c>
    </row>
    <row r="1461" ht="18.6" customHeight="1" spans="1:11">
      <c r="A1461" s="3">
        <v>1460</v>
      </c>
      <c r="B1461" s="3" t="s">
        <v>2260</v>
      </c>
      <c r="C1461" s="3" t="s">
        <v>3528</v>
      </c>
      <c r="D1461" s="3" t="s">
        <v>692</v>
      </c>
      <c r="E1461" s="3" t="s">
        <v>696</v>
      </c>
      <c r="F1461" s="3"/>
      <c r="G1461" s="3"/>
      <c r="H1461" s="3"/>
      <c r="I1461" s="3" t="s">
        <v>3769</v>
      </c>
      <c r="J1461" s="3" t="s">
        <v>1700</v>
      </c>
      <c r="K1461" s="27" t="s">
        <v>12</v>
      </c>
    </row>
    <row r="1462" ht="18.6" customHeight="1" spans="1:11">
      <c r="A1462" s="3">
        <v>1461</v>
      </c>
      <c r="B1462" s="3" t="s">
        <v>2261</v>
      </c>
      <c r="C1462" s="3" t="s">
        <v>3528</v>
      </c>
      <c r="D1462" s="3" t="s">
        <v>692</v>
      </c>
      <c r="E1462" s="3" t="s">
        <v>2262</v>
      </c>
      <c r="F1462" s="3"/>
      <c r="G1462" s="3"/>
      <c r="H1462" s="3"/>
      <c r="I1462" s="3" t="s">
        <v>3769</v>
      </c>
      <c r="J1462" s="3" t="s">
        <v>1700</v>
      </c>
      <c r="K1462" s="27" t="s">
        <v>12</v>
      </c>
    </row>
    <row r="1463" ht="18.6" customHeight="1" spans="1:11">
      <c r="A1463" s="3">
        <v>1462</v>
      </c>
      <c r="B1463" s="3" t="s">
        <v>2263</v>
      </c>
      <c r="C1463" s="3" t="s">
        <v>3528</v>
      </c>
      <c r="D1463" s="3" t="s">
        <v>692</v>
      </c>
      <c r="E1463" s="3" t="s">
        <v>693</v>
      </c>
      <c r="F1463" s="3"/>
      <c r="G1463" s="3"/>
      <c r="H1463" s="3"/>
      <c r="I1463" s="3" t="s">
        <v>3770</v>
      </c>
      <c r="J1463" s="3" t="s">
        <v>1700</v>
      </c>
      <c r="K1463" s="27" t="s">
        <v>12</v>
      </c>
    </row>
    <row r="1464" ht="18.6" customHeight="1" spans="1:11">
      <c r="A1464" s="3">
        <v>1463</v>
      </c>
      <c r="B1464" s="3" t="s">
        <v>3812</v>
      </c>
      <c r="C1464" s="3" t="s">
        <v>3528</v>
      </c>
      <c r="D1464" s="3" t="s">
        <v>692</v>
      </c>
      <c r="E1464" s="3" t="s">
        <v>709</v>
      </c>
      <c r="F1464" s="3"/>
      <c r="G1464" s="3"/>
      <c r="H1464" s="3"/>
      <c r="I1464" s="3" t="s">
        <v>3770</v>
      </c>
      <c r="J1464" s="3" t="s">
        <v>1700</v>
      </c>
      <c r="K1464" s="27" t="s">
        <v>12</v>
      </c>
    </row>
    <row r="1465" ht="18.6" customHeight="1" spans="1:11">
      <c r="A1465" s="3">
        <v>1464</v>
      </c>
      <c r="B1465" s="3" t="s">
        <v>2264</v>
      </c>
      <c r="C1465" s="3" t="s">
        <v>3528</v>
      </c>
      <c r="D1465" s="3" t="s">
        <v>692</v>
      </c>
      <c r="E1465" s="3" t="s">
        <v>718</v>
      </c>
      <c r="F1465" s="3"/>
      <c r="G1465" s="3"/>
      <c r="H1465" s="3"/>
      <c r="I1465" s="3" t="s">
        <v>3769</v>
      </c>
      <c r="J1465" s="3" t="s">
        <v>1700</v>
      </c>
      <c r="K1465" s="27" t="s">
        <v>12</v>
      </c>
    </row>
    <row r="1466" ht="18.6" customHeight="1" spans="1:11">
      <c r="A1466" s="3">
        <v>1465</v>
      </c>
      <c r="B1466" s="3" t="s">
        <v>2265</v>
      </c>
      <c r="C1466" s="3" t="s">
        <v>3528</v>
      </c>
      <c r="D1466" s="3" t="s">
        <v>692</v>
      </c>
      <c r="E1466" s="3" t="s">
        <v>696</v>
      </c>
      <c r="F1466" s="3"/>
      <c r="G1466" s="3"/>
      <c r="H1466" s="3"/>
      <c r="I1466" s="3" t="s">
        <v>3770</v>
      </c>
      <c r="J1466" s="3" t="s">
        <v>1700</v>
      </c>
      <c r="K1466" s="27" t="s">
        <v>12</v>
      </c>
    </row>
    <row r="1467" ht="18.6" customHeight="1" spans="1:11">
      <c r="A1467" s="3">
        <v>1466</v>
      </c>
      <c r="B1467" s="3" t="s">
        <v>2266</v>
      </c>
      <c r="C1467" s="3" t="s">
        <v>3528</v>
      </c>
      <c r="D1467" s="3" t="s">
        <v>692</v>
      </c>
      <c r="E1467" s="3" t="s">
        <v>693</v>
      </c>
      <c r="F1467" s="3"/>
      <c r="G1467" s="3"/>
      <c r="H1467" s="3"/>
      <c r="I1467" s="3" t="s">
        <v>3770</v>
      </c>
      <c r="J1467" s="3" t="s">
        <v>1700</v>
      </c>
      <c r="K1467" s="27" t="s">
        <v>12</v>
      </c>
    </row>
    <row r="1468" ht="18.6" customHeight="1" spans="1:11">
      <c r="A1468" s="3">
        <v>1467</v>
      </c>
      <c r="B1468" s="3" t="s">
        <v>2267</v>
      </c>
      <c r="C1468" s="3" t="s">
        <v>3528</v>
      </c>
      <c r="D1468" s="3" t="s">
        <v>692</v>
      </c>
      <c r="E1468" s="3" t="s">
        <v>723</v>
      </c>
      <c r="F1468" s="3"/>
      <c r="G1468" s="3"/>
      <c r="H1468" s="3"/>
      <c r="I1468" s="3" t="s">
        <v>3769</v>
      </c>
      <c r="J1468" s="3" t="s">
        <v>1700</v>
      </c>
      <c r="K1468" s="27" t="s">
        <v>12</v>
      </c>
    </row>
    <row r="1469" ht="18.6" customHeight="1" spans="1:11">
      <c r="A1469" s="3">
        <v>1468</v>
      </c>
      <c r="B1469" s="3" t="s">
        <v>2268</v>
      </c>
      <c r="C1469" s="3" t="s">
        <v>3528</v>
      </c>
      <c r="D1469" s="3" t="s">
        <v>692</v>
      </c>
      <c r="E1469" s="3" t="s">
        <v>729</v>
      </c>
      <c r="F1469" s="3"/>
      <c r="G1469" s="3"/>
      <c r="H1469" s="3"/>
      <c r="I1469" s="3" t="s">
        <v>3770</v>
      </c>
      <c r="J1469" s="3" t="s">
        <v>1700</v>
      </c>
      <c r="K1469" s="27" t="s">
        <v>12</v>
      </c>
    </row>
    <row r="1470" ht="18.6" customHeight="1" spans="1:11">
      <c r="A1470" s="3">
        <v>1469</v>
      </c>
      <c r="B1470" s="3" t="s">
        <v>2269</v>
      </c>
      <c r="C1470" s="3" t="s">
        <v>3528</v>
      </c>
      <c r="D1470" s="3" t="s">
        <v>692</v>
      </c>
      <c r="E1470" s="3" t="s">
        <v>714</v>
      </c>
      <c r="F1470" s="3"/>
      <c r="G1470" s="3"/>
      <c r="H1470" s="3"/>
      <c r="I1470" s="3" t="s">
        <v>3769</v>
      </c>
      <c r="J1470" s="3" t="s">
        <v>1700</v>
      </c>
      <c r="K1470" s="27" t="s">
        <v>12</v>
      </c>
    </row>
    <row r="1471" ht="18.6" customHeight="1" spans="1:11">
      <c r="A1471" s="3">
        <v>1470</v>
      </c>
      <c r="B1471" s="3" t="s">
        <v>2270</v>
      </c>
      <c r="C1471" s="3" t="s">
        <v>3528</v>
      </c>
      <c r="D1471" s="3" t="s">
        <v>692</v>
      </c>
      <c r="E1471" s="3" t="s">
        <v>2271</v>
      </c>
      <c r="F1471" s="3"/>
      <c r="G1471" s="3"/>
      <c r="H1471" s="3"/>
      <c r="I1471" s="3" t="s">
        <v>3769</v>
      </c>
      <c r="J1471" s="3" t="s">
        <v>1700</v>
      </c>
      <c r="K1471" s="27" t="s">
        <v>12</v>
      </c>
    </row>
    <row r="1472" ht="18.6" customHeight="1" spans="1:11">
      <c r="A1472" s="3">
        <v>1471</v>
      </c>
      <c r="B1472" s="3" t="s">
        <v>2272</v>
      </c>
      <c r="C1472" s="3" t="s">
        <v>3528</v>
      </c>
      <c r="D1472" s="3" t="s">
        <v>692</v>
      </c>
      <c r="E1472" s="3" t="s">
        <v>693</v>
      </c>
      <c r="F1472" s="3"/>
      <c r="G1472" s="3"/>
      <c r="H1472" s="3"/>
      <c r="I1472" s="3" t="s">
        <v>3779</v>
      </c>
      <c r="J1472" s="3" t="s">
        <v>1700</v>
      </c>
      <c r="K1472" s="27" t="s">
        <v>12</v>
      </c>
    </row>
    <row r="1473" ht="18.6" customHeight="1" spans="1:11">
      <c r="A1473" s="3">
        <v>1472</v>
      </c>
      <c r="B1473" s="3" t="s">
        <v>2273</v>
      </c>
      <c r="C1473" s="3" t="s">
        <v>3528</v>
      </c>
      <c r="D1473" s="3" t="s">
        <v>692</v>
      </c>
      <c r="E1473" s="3" t="s">
        <v>2274</v>
      </c>
      <c r="F1473" s="3"/>
      <c r="G1473" s="3"/>
      <c r="H1473" s="3"/>
      <c r="I1473" s="3" t="s">
        <v>3769</v>
      </c>
      <c r="J1473" s="3" t="s">
        <v>1700</v>
      </c>
      <c r="K1473" s="27" t="s">
        <v>12</v>
      </c>
    </row>
    <row r="1474" ht="18.6" customHeight="1" spans="1:11">
      <c r="A1474" s="3">
        <v>1473</v>
      </c>
      <c r="B1474" s="3" t="s">
        <v>3548</v>
      </c>
      <c r="C1474" s="3" t="s">
        <v>3528</v>
      </c>
      <c r="D1474" s="3" t="s">
        <v>692</v>
      </c>
      <c r="E1474" s="3" t="s">
        <v>720</v>
      </c>
      <c r="F1474" s="3"/>
      <c r="G1474" s="3"/>
      <c r="H1474" s="3"/>
      <c r="I1474" s="3" t="s">
        <v>3770</v>
      </c>
      <c r="J1474" s="3" t="s">
        <v>1700</v>
      </c>
      <c r="K1474" s="27" t="s">
        <v>12</v>
      </c>
    </row>
    <row r="1475" ht="18.6" customHeight="1" spans="1:11">
      <c r="A1475" s="3">
        <v>1474</v>
      </c>
      <c r="B1475" s="3" t="s">
        <v>2275</v>
      </c>
      <c r="C1475" s="3" t="s">
        <v>3528</v>
      </c>
      <c r="D1475" s="3" t="s">
        <v>692</v>
      </c>
      <c r="E1475" s="3" t="s">
        <v>696</v>
      </c>
      <c r="F1475" s="3"/>
      <c r="G1475" s="3"/>
      <c r="H1475" s="3"/>
      <c r="I1475" s="3" t="s">
        <v>3776</v>
      </c>
      <c r="J1475" s="3" t="s">
        <v>1700</v>
      </c>
      <c r="K1475" s="27" t="s">
        <v>12</v>
      </c>
    </row>
    <row r="1476" ht="18.6" customHeight="1" spans="1:11">
      <c r="A1476" s="3">
        <v>1475</v>
      </c>
      <c r="B1476" s="3" t="s">
        <v>2276</v>
      </c>
      <c r="C1476" s="3" t="s">
        <v>3528</v>
      </c>
      <c r="D1476" s="3" t="s">
        <v>692</v>
      </c>
      <c r="E1476" s="3" t="s">
        <v>693</v>
      </c>
      <c r="F1476" s="3"/>
      <c r="G1476" s="3"/>
      <c r="H1476" s="3"/>
      <c r="I1476" s="3" t="s">
        <v>3779</v>
      </c>
      <c r="J1476" s="3" t="s">
        <v>1700</v>
      </c>
      <c r="K1476" s="27" t="s">
        <v>12</v>
      </c>
    </row>
    <row r="1477" ht="18.6" customHeight="1" spans="1:11">
      <c r="A1477" s="3">
        <v>1476</v>
      </c>
      <c r="B1477" s="3" t="s">
        <v>2277</v>
      </c>
      <c r="C1477" s="3" t="s">
        <v>3528</v>
      </c>
      <c r="D1477" s="3" t="s">
        <v>692</v>
      </c>
      <c r="E1477" s="3" t="s">
        <v>729</v>
      </c>
      <c r="F1477" s="3"/>
      <c r="G1477" s="3"/>
      <c r="H1477" s="3"/>
      <c r="I1477" s="3" t="s">
        <v>3770</v>
      </c>
      <c r="J1477" s="3" t="s">
        <v>1700</v>
      </c>
      <c r="K1477" s="27" t="s">
        <v>12</v>
      </c>
    </row>
    <row r="1478" ht="18.6" customHeight="1" spans="1:11">
      <c r="A1478" s="3">
        <v>1477</v>
      </c>
      <c r="B1478" s="3" t="s">
        <v>2278</v>
      </c>
      <c r="C1478" s="3" t="s">
        <v>3528</v>
      </c>
      <c r="D1478" s="3" t="s">
        <v>692</v>
      </c>
      <c r="E1478" s="3" t="s">
        <v>693</v>
      </c>
      <c r="F1478" s="3"/>
      <c r="G1478" s="3"/>
      <c r="H1478" s="3"/>
      <c r="I1478" s="3" t="s">
        <v>3770</v>
      </c>
      <c r="J1478" s="3" t="s">
        <v>1700</v>
      </c>
      <c r="K1478" s="27" t="s">
        <v>12</v>
      </c>
    </row>
    <row r="1479" ht="18.6" customHeight="1" spans="1:11">
      <c r="A1479" s="3">
        <v>1478</v>
      </c>
      <c r="B1479" s="3" t="s">
        <v>2279</v>
      </c>
      <c r="C1479" s="3" t="s">
        <v>3528</v>
      </c>
      <c r="D1479" s="3" t="s">
        <v>692</v>
      </c>
      <c r="E1479" s="3" t="s">
        <v>1498</v>
      </c>
      <c r="F1479" s="3"/>
      <c r="G1479" s="3"/>
      <c r="H1479" s="3"/>
      <c r="I1479" s="3" t="s">
        <v>3775</v>
      </c>
      <c r="J1479" s="3" t="s">
        <v>1700</v>
      </c>
      <c r="K1479" s="27" t="s">
        <v>12</v>
      </c>
    </row>
    <row r="1480" ht="18.6" customHeight="1" spans="1:11">
      <c r="A1480" s="3">
        <v>1479</v>
      </c>
      <c r="B1480" s="3" t="s">
        <v>2280</v>
      </c>
      <c r="C1480" s="3" t="s">
        <v>3528</v>
      </c>
      <c r="D1480" s="3" t="s">
        <v>692</v>
      </c>
      <c r="E1480" s="3" t="s">
        <v>720</v>
      </c>
      <c r="F1480" s="3"/>
      <c r="G1480" s="3"/>
      <c r="H1480" s="3"/>
      <c r="I1480" s="3" t="s">
        <v>3775</v>
      </c>
      <c r="J1480" s="3" t="s">
        <v>1700</v>
      </c>
      <c r="K1480" s="27" t="s">
        <v>12</v>
      </c>
    </row>
    <row r="1481" ht="18.6" customHeight="1" spans="1:11">
      <c r="A1481" s="3">
        <v>1480</v>
      </c>
      <c r="B1481" s="3" t="s">
        <v>2281</v>
      </c>
      <c r="C1481" s="3" t="s">
        <v>3528</v>
      </c>
      <c r="D1481" s="3" t="s">
        <v>692</v>
      </c>
      <c r="E1481" s="3" t="s">
        <v>723</v>
      </c>
      <c r="F1481" s="3"/>
      <c r="G1481" s="3"/>
      <c r="H1481" s="3"/>
      <c r="I1481" s="3" t="s">
        <v>3775</v>
      </c>
      <c r="J1481" s="3" t="s">
        <v>1700</v>
      </c>
      <c r="K1481" s="27" t="s">
        <v>12</v>
      </c>
    </row>
    <row r="1482" ht="18.6" customHeight="1" spans="1:11">
      <c r="A1482" s="3">
        <v>1481</v>
      </c>
      <c r="B1482" s="3" t="s">
        <v>2282</v>
      </c>
      <c r="C1482" s="3" t="s">
        <v>3528</v>
      </c>
      <c r="D1482" s="3" t="s">
        <v>692</v>
      </c>
      <c r="E1482" s="3" t="s">
        <v>712</v>
      </c>
      <c r="F1482" s="3"/>
      <c r="G1482" s="3"/>
      <c r="H1482" s="3"/>
      <c r="I1482" s="3" t="s">
        <v>3769</v>
      </c>
      <c r="J1482" s="3" t="s">
        <v>1700</v>
      </c>
      <c r="K1482" s="27" t="s">
        <v>12</v>
      </c>
    </row>
    <row r="1483" ht="18.6" customHeight="1" spans="1:11">
      <c r="A1483" s="3">
        <v>1482</v>
      </c>
      <c r="B1483" s="3" t="s">
        <v>2283</v>
      </c>
      <c r="C1483" s="3" t="s">
        <v>3528</v>
      </c>
      <c r="D1483" s="3" t="s">
        <v>692</v>
      </c>
      <c r="E1483" s="3" t="s">
        <v>693</v>
      </c>
      <c r="F1483" s="3"/>
      <c r="G1483" s="3"/>
      <c r="H1483" s="3"/>
      <c r="I1483" s="3"/>
      <c r="J1483" s="3" t="s">
        <v>1700</v>
      </c>
      <c r="K1483" s="27" t="s">
        <v>12</v>
      </c>
    </row>
    <row r="1484" ht="18.6" customHeight="1" spans="1:11">
      <c r="A1484" s="3">
        <v>1483</v>
      </c>
      <c r="B1484" s="3" t="s">
        <v>2284</v>
      </c>
      <c r="C1484" s="3" t="s">
        <v>3528</v>
      </c>
      <c r="D1484" s="3" t="s">
        <v>692</v>
      </c>
      <c r="E1484" s="3" t="s">
        <v>723</v>
      </c>
      <c r="F1484" s="3"/>
      <c r="G1484" s="3"/>
      <c r="H1484" s="3"/>
      <c r="I1484" s="3" t="s">
        <v>3770</v>
      </c>
      <c r="J1484" s="3" t="s">
        <v>1700</v>
      </c>
      <c r="K1484" s="27" t="s">
        <v>12</v>
      </c>
    </row>
    <row r="1485" ht="18.6" customHeight="1" spans="1:11">
      <c r="A1485" s="3">
        <v>1484</v>
      </c>
      <c r="B1485" s="3" t="s">
        <v>2285</v>
      </c>
      <c r="C1485" s="3" t="s">
        <v>3528</v>
      </c>
      <c r="D1485" s="3" t="s">
        <v>692</v>
      </c>
      <c r="E1485" s="3" t="s">
        <v>693</v>
      </c>
      <c r="F1485" s="3"/>
      <c r="G1485" s="3"/>
      <c r="H1485" s="3"/>
      <c r="I1485" s="3" t="s">
        <v>3771</v>
      </c>
      <c r="J1485" s="3" t="s">
        <v>1700</v>
      </c>
      <c r="K1485" s="27" t="s">
        <v>12</v>
      </c>
    </row>
    <row r="1486" ht="18.6" customHeight="1" spans="1:11">
      <c r="A1486" s="3">
        <v>1485</v>
      </c>
      <c r="B1486" s="3" t="s">
        <v>2286</v>
      </c>
      <c r="C1486" s="3" t="s">
        <v>3528</v>
      </c>
      <c r="D1486" s="3" t="s">
        <v>692</v>
      </c>
      <c r="E1486" s="3" t="s">
        <v>693</v>
      </c>
      <c r="F1486" s="3"/>
      <c r="G1486" s="3"/>
      <c r="H1486" s="3"/>
      <c r="I1486" s="3" t="s">
        <v>3770</v>
      </c>
      <c r="J1486" s="3" t="s">
        <v>1700</v>
      </c>
      <c r="K1486" s="27" t="s">
        <v>12</v>
      </c>
    </row>
    <row r="1487" ht="18.6" customHeight="1" spans="1:11">
      <c r="A1487" s="3">
        <v>1486</v>
      </c>
      <c r="B1487" s="3" t="s">
        <v>2287</v>
      </c>
      <c r="C1487" s="3" t="s">
        <v>3528</v>
      </c>
      <c r="D1487" s="3" t="s">
        <v>692</v>
      </c>
      <c r="E1487" s="3" t="s">
        <v>693</v>
      </c>
      <c r="F1487" s="3"/>
      <c r="G1487" s="3"/>
      <c r="H1487" s="3"/>
      <c r="I1487" s="3" t="s">
        <v>3773</v>
      </c>
      <c r="J1487" s="3" t="s">
        <v>1700</v>
      </c>
      <c r="K1487" s="27" t="s">
        <v>12</v>
      </c>
    </row>
    <row r="1488" ht="18.6" customHeight="1" spans="1:11">
      <c r="A1488" s="3">
        <v>1487</v>
      </c>
      <c r="B1488" s="3" t="s">
        <v>2288</v>
      </c>
      <c r="C1488" s="3" t="s">
        <v>3528</v>
      </c>
      <c r="D1488" s="3" t="s">
        <v>692</v>
      </c>
      <c r="E1488" s="3" t="s">
        <v>693</v>
      </c>
      <c r="F1488" s="3"/>
      <c r="G1488" s="3"/>
      <c r="H1488" s="3"/>
      <c r="I1488" s="3" t="s">
        <v>3769</v>
      </c>
      <c r="J1488" s="3" t="s">
        <v>1700</v>
      </c>
      <c r="K1488" s="27" t="s">
        <v>12</v>
      </c>
    </row>
    <row r="1489" ht="18.6" customHeight="1" spans="1:11">
      <c r="A1489" s="3">
        <v>1488</v>
      </c>
      <c r="B1489" s="3" t="s">
        <v>2289</v>
      </c>
      <c r="C1489" s="3" t="s">
        <v>3528</v>
      </c>
      <c r="D1489" s="3" t="s">
        <v>692</v>
      </c>
      <c r="E1489" s="3" t="s">
        <v>693</v>
      </c>
      <c r="F1489" s="3"/>
      <c r="G1489" s="3"/>
      <c r="H1489" s="3"/>
      <c r="I1489" s="3" t="s">
        <v>3770</v>
      </c>
      <c r="J1489" s="3" t="s">
        <v>1700</v>
      </c>
      <c r="K1489" s="27" t="s">
        <v>12</v>
      </c>
    </row>
    <row r="1490" ht="18.6" customHeight="1" spans="1:11">
      <c r="A1490" s="3">
        <v>1489</v>
      </c>
      <c r="B1490" s="3" t="s">
        <v>2290</v>
      </c>
      <c r="C1490" s="3" t="s">
        <v>3528</v>
      </c>
      <c r="D1490" s="3" t="s">
        <v>692</v>
      </c>
      <c r="E1490" s="3" t="s">
        <v>693</v>
      </c>
      <c r="F1490" s="3"/>
      <c r="G1490" s="3"/>
      <c r="H1490" s="3"/>
      <c r="I1490" s="3" t="s">
        <v>3771</v>
      </c>
      <c r="J1490" s="3" t="s">
        <v>1700</v>
      </c>
      <c r="K1490" s="27" t="s">
        <v>12</v>
      </c>
    </row>
    <row r="1491" ht="18.6" customHeight="1" spans="1:11">
      <c r="A1491" s="3">
        <v>1490</v>
      </c>
      <c r="B1491" s="3" t="s">
        <v>2291</v>
      </c>
      <c r="C1491" s="3" t="s">
        <v>3528</v>
      </c>
      <c r="D1491" s="3" t="s">
        <v>692</v>
      </c>
      <c r="E1491" s="3" t="s">
        <v>700</v>
      </c>
      <c r="F1491" s="3"/>
      <c r="G1491" s="3"/>
      <c r="H1491" s="3"/>
      <c r="I1491" s="3" t="s">
        <v>3773</v>
      </c>
      <c r="J1491" s="3" t="s">
        <v>1700</v>
      </c>
      <c r="K1491" s="27" t="s">
        <v>12</v>
      </c>
    </row>
    <row r="1492" ht="18.6" customHeight="1" spans="1:11">
      <c r="A1492" s="3">
        <v>1491</v>
      </c>
      <c r="B1492" s="3" t="s">
        <v>2292</v>
      </c>
      <c r="C1492" s="3" t="s">
        <v>3528</v>
      </c>
      <c r="D1492" s="3" t="s">
        <v>692</v>
      </c>
      <c r="E1492" s="3" t="s">
        <v>693</v>
      </c>
      <c r="F1492" s="3"/>
      <c r="G1492" s="3"/>
      <c r="H1492" s="3"/>
      <c r="I1492" s="3" t="s">
        <v>3769</v>
      </c>
      <c r="J1492" s="3" t="s">
        <v>1700</v>
      </c>
      <c r="K1492" s="27" t="s">
        <v>12</v>
      </c>
    </row>
    <row r="1493" ht="18.6" customHeight="1" spans="1:11">
      <c r="A1493" s="3">
        <v>1492</v>
      </c>
      <c r="B1493" s="3" t="s">
        <v>2293</v>
      </c>
      <c r="C1493" s="3" t="s">
        <v>3528</v>
      </c>
      <c r="D1493" s="3" t="s">
        <v>692</v>
      </c>
      <c r="E1493" s="3" t="s">
        <v>693</v>
      </c>
      <c r="F1493" s="3"/>
      <c r="G1493" s="3"/>
      <c r="H1493" s="3"/>
      <c r="I1493" s="3" t="s">
        <v>3770</v>
      </c>
      <c r="J1493" s="3" t="s">
        <v>1700</v>
      </c>
      <c r="K1493" s="27" t="s">
        <v>12</v>
      </c>
    </row>
    <row r="1494" ht="18.6" customHeight="1" spans="1:11">
      <c r="A1494" s="3">
        <v>1493</v>
      </c>
      <c r="B1494" s="3" t="s">
        <v>2294</v>
      </c>
      <c r="C1494" s="3" t="s">
        <v>3528</v>
      </c>
      <c r="D1494" s="3" t="s">
        <v>692</v>
      </c>
      <c r="E1494" s="3" t="s">
        <v>716</v>
      </c>
      <c r="F1494" s="3"/>
      <c r="G1494" s="3"/>
      <c r="H1494" s="3"/>
      <c r="I1494" s="3" t="s">
        <v>3769</v>
      </c>
      <c r="J1494" s="3" t="s">
        <v>1700</v>
      </c>
      <c r="K1494" s="27" t="s">
        <v>12</v>
      </c>
    </row>
    <row r="1495" ht="18.6" customHeight="1" spans="1:11">
      <c r="A1495" s="3">
        <v>1494</v>
      </c>
      <c r="B1495" s="3" t="s">
        <v>2295</v>
      </c>
      <c r="C1495" s="3" t="s">
        <v>3528</v>
      </c>
      <c r="D1495" s="3" t="s">
        <v>692</v>
      </c>
      <c r="E1495" s="3" t="s">
        <v>704</v>
      </c>
      <c r="F1495" s="3"/>
      <c r="G1495" s="3"/>
      <c r="H1495" s="3"/>
      <c r="I1495" s="3" t="s">
        <v>3769</v>
      </c>
      <c r="J1495" s="3" t="s">
        <v>1700</v>
      </c>
      <c r="K1495" s="27" t="s">
        <v>12</v>
      </c>
    </row>
    <row r="1496" ht="18.6" customHeight="1" spans="1:11">
      <c r="A1496" s="3">
        <v>1495</v>
      </c>
      <c r="B1496" s="3" t="s">
        <v>2296</v>
      </c>
      <c r="C1496" s="3" t="s">
        <v>3528</v>
      </c>
      <c r="D1496" s="3" t="s">
        <v>692</v>
      </c>
      <c r="E1496" s="3" t="s">
        <v>727</v>
      </c>
      <c r="F1496" s="3"/>
      <c r="G1496" s="3"/>
      <c r="H1496" s="3"/>
      <c r="I1496" s="3" t="s">
        <v>3770</v>
      </c>
      <c r="J1496" s="3" t="s">
        <v>1700</v>
      </c>
      <c r="K1496" s="27" t="s">
        <v>12</v>
      </c>
    </row>
    <row r="1497" ht="18.6" customHeight="1" spans="1:11">
      <c r="A1497" s="3">
        <v>1496</v>
      </c>
      <c r="B1497" s="3" t="s">
        <v>2297</v>
      </c>
      <c r="C1497" s="3" t="s">
        <v>3528</v>
      </c>
      <c r="D1497" s="3" t="s">
        <v>692</v>
      </c>
      <c r="E1497" s="3" t="s">
        <v>709</v>
      </c>
      <c r="F1497" s="3"/>
      <c r="G1497" s="3"/>
      <c r="H1497" s="3"/>
      <c r="I1497" s="3" t="s">
        <v>3772</v>
      </c>
      <c r="J1497" s="3" t="s">
        <v>1700</v>
      </c>
      <c r="K1497" s="27" t="s">
        <v>12</v>
      </c>
    </row>
    <row r="1498" ht="18.6" customHeight="1" spans="1:11">
      <c r="A1498" s="3">
        <v>1497</v>
      </c>
      <c r="B1498" s="3" t="s">
        <v>2298</v>
      </c>
      <c r="C1498" s="3" t="s">
        <v>3528</v>
      </c>
      <c r="D1498" s="3" t="s">
        <v>692</v>
      </c>
      <c r="E1498" s="3" t="s">
        <v>693</v>
      </c>
      <c r="F1498" s="3"/>
      <c r="G1498" s="3"/>
      <c r="H1498" s="3"/>
      <c r="I1498" s="3" t="s">
        <v>3769</v>
      </c>
      <c r="J1498" s="3" t="s">
        <v>1700</v>
      </c>
      <c r="K1498" s="27" t="s">
        <v>12</v>
      </c>
    </row>
    <row r="1499" ht="18.6" customHeight="1" spans="1:11">
      <c r="A1499" s="3">
        <v>1498</v>
      </c>
      <c r="B1499" s="3" t="s">
        <v>2299</v>
      </c>
      <c r="C1499" s="3" t="s">
        <v>3528</v>
      </c>
      <c r="D1499" s="3" t="s">
        <v>692</v>
      </c>
      <c r="E1499" s="3" t="s">
        <v>693</v>
      </c>
      <c r="F1499" s="3"/>
      <c r="G1499" s="3"/>
      <c r="H1499" s="3"/>
      <c r="I1499" s="3" t="s">
        <v>3772</v>
      </c>
      <c r="J1499" s="3" t="s">
        <v>1700</v>
      </c>
      <c r="K1499" s="27" t="s">
        <v>12</v>
      </c>
    </row>
    <row r="1500" ht="18.6" customHeight="1" spans="1:11">
      <c r="A1500" s="3">
        <v>1499</v>
      </c>
      <c r="B1500" s="3" t="s">
        <v>2300</v>
      </c>
      <c r="C1500" s="3" t="s">
        <v>3528</v>
      </c>
      <c r="D1500" s="3" t="s">
        <v>692</v>
      </c>
      <c r="E1500" s="3" t="s">
        <v>693</v>
      </c>
      <c r="F1500" s="3"/>
      <c r="G1500" s="3"/>
      <c r="H1500" s="3"/>
      <c r="I1500" s="3" t="s">
        <v>3770</v>
      </c>
      <c r="J1500" s="3" t="s">
        <v>1700</v>
      </c>
      <c r="K1500" s="27" t="s">
        <v>12</v>
      </c>
    </row>
    <row r="1501" ht="18.6" customHeight="1" spans="1:11">
      <c r="A1501" s="3">
        <v>1500</v>
      </c>
      <c r="B1501" s="3" t="s">
        <v>2301</v>
      </c>
      <c r="C1501" s="3" t="s">
        <v>3528</v>
      </c>
      <c r="D1501" s="3" t="s">
        <v>692</v>
      </c>
      <c r="E1501" s="3" t="s">
        <v>716</v>
      </c>
      <c r="F1501" s="3"/>
      <c r="G1501" s="3"/>
      <c r="H1501" s="3"/>
      <c r="I1501" s="3" t="s">
        <v>3775</v>
      </c>
      <c r="J1501" s="3" t="s">
        <v>1700</v>
      </c>
      <c r="K1501" s="27" t="s">
        <v>12</v>
      </c>
    </row>
    <row r="1502" ht="18.6" customHeight="1" spans="1:11">
      <c r="A1502" s="3">
        <v>1501</v>
      </c>
      <c r="B1502" s="3" t="s">
        <v>2302</v>
      </c>
      <c r="C1502" s="3" t="s">
        <v>3528</v>
      </c>
      <c r="D1502" s="3" t="s">
        <v>692</v>
      </c>
      <c r="E1502" s="3" t="s">
        <v>718</v>
      </c>
      <c r="F1502" s="3"/>
      <c r="G1502" s="3"/>
      <c r="H1502" s="3"/>
      <c r="I1502" s="3" t="s">
        <v>3770</v>
      </c>
      <c r="J1502" s="3" t="s">
        <v>1700</v>
      </c>
      <c r="K1502" s="27" t="s">
        <v>12</v>
      </c>
    </row>
    <row r="1503" ht="18.6" customHeight="1" spans="1:11">
      <c r="A1503" s="3">
        <v>1502</v>
      </c>
      <c r="B1503" s="3" t="s">
        <v>2303</v>
      </c>
      <c r="C1503" s="3" t="s">
        <v>3528</v>
      </c>
      <c r="D1503" s="3" t="s">
        <v>692</v>
      </c>
      <c r="E1503" s="3" t="s">
        <v>700</v>
      </c>
      <c r="F1503" s="3"/>
      <c r="G1503" s="3"/>
      <c r="H1503" s="3"/>
      <c r="I1503" s="3"/>
      <c r="J1503" s="3" t="s">
        <v>1700</v>
      </c>
      <c r="K1503" s="27" t="s">
        <v>12</v>
      </c>
    </row>
    <row r="1504" ht="18.6" customHeight="1" spans="1:11">
      <c r="A1504" s="3">
        <v>1503</v>
      </c>
      <c r="B1504" s="3" t="s">
        <v>2304</v>
      </c>
      <c r="C1504" s="3" t="s">
        <v>3528</v>
      </c>
      <c r="D1504" s="3" t="s">
        <v>692</v>
      </c>
      <c r="E1504" s="3" t="s">
        <v>700</v>
      </c>
      <c r="F1504" s="3"/>
      <c r="G1504" s="3"/>
      <c r="H1504" s="3"/>
      <c r="I1504" s="3" t="s">
        <v>3769</v>
      </c>
      <c r="J1504" s="3" t="s">
        <v>1700</v>
      </c>
      <c r="K1504" s="27" t="s">
        <v>12</v>
      </c>
    </row>
    <row r="1505" ht="18.6" customHeight="1" spans="1:11">
      <c r="A1505" s="3">
        <v>1504</v>
      </c>
      <c r="B1505" s="3" t="s">
        <v>2305</v>
      </c>
      <c r="C1505" s="3" t="s">
        <v>3528</v>
      </c>
      <c r="D1505" s="3" t="s">
        <v>692</v>
      </c>
      <c r="E1505" s="3" t="s">
        <v>693</v>
      </c>
      <c r="F1505" s="3"/>
      <c r="G1505" s="3"/>
      <c r="H1505" s="3"/>
      <c r="I1505" s="3" t="s">
        <v>3776</v>
      </c>
      <c r="J1505" s="3" t="s">
        <v>1700</v>
      </c>
      <c r="K1505" s="27" t="s">
        <v>12</v>
      </c>
    </row>
    <row r="1506" ht="18.6" customHeight="1" spans="1:11">
      <c r="A1506" s="3">
        <v>1505</v>
      </c>
      <c r="B1506" s="3" t="s">
        <v>2306</v>
      </c>
      <c r="C1506" s="3" t="s">
        <v>3528</v>
      </c>
      <c r="D1506" s="3" t="s">
        <v>692</v>
      </c>
      <c r="E1506" s="3" t="s">
        <v>716</v>
      </c>
      <c r="F1506" s="3"/>
      <c r="G1506" s="3"/>
      <c r="H1506" s="3"/>
      <c r="I1506" s="3" t="s">
        <v>3776</v>
      </c>
      <c r="J1506" s="3" t="s">
        <v>1700</v>
      </c>
      <c r="K1506" s="27" t="s">
        <v>12</v>
      </c>
    </row>
    <row r="1507" ht="18.6" customHeight="1" spans="1:11">
      <c r="A1507" s="3">
        <v>1506</v>
      </c>
      <c r="B1507" s="3" t="s">
        <v>2307</v>
      </c>
      <c r="C1507" s="3" t="s">
        <v>3528</v>
      </c>
      <c r="D1507" s="3" t="s">
        <v>692</v>
      </c>
      <c r="E1507" s="3" t="s">
        <v>693</v>
      </c>
      <c r="F1507" s="3"/>
      <c r="G1507" s="3"/>
      <c r="H1507" s="3"/>
      <c r="I1507" s="3" t="s">
        <v>3775</v>
      </c>
      <c r="J1507" s="3" t="s">
        <v>1700</v>
      </c>
      <c r="K1507" s="27" t="s">
        <v>12</v>
      </c>
    </row>
    <row r="1508" ht="18.6" customHeight="1" spans="1:11">
      <c r="A1508" s="3">
        <v>1507</v>
      </c>
      <c r="B1508" s="3" t="s">
        <v>2308</v>
      </c>
      <c r="C1508" s="3" t="s">
        <v>3528</v>
      </c>
      <c r="D1508" s="3" t="s">
        <v>692</v>
      </c>
      <c r="E1508" s="3" t="s">
        <v>693</v>
      </c>
      <c r="F1508" s="3"/>
      <c r="G1508" s="3"/>
      <c r="H1508" s="3"/>
      <c r="I1508" s="3" t="s">
        <v>3771</v>
      </c>
      <c r="J1508" s="3" t="s">
        <v>1700</v>
      </c>
      <c r="K1508" s="27" t="s">
        <v>12</v>
      </c>
    </row>
    <row r="1509" ht="18.6" customHeight="1" spans="1:11">
      <c r="A1509" s="3">
        <v>1508</v>
      </c>
      <c r="B1509" s="3" t="s">
        <v>2309</v>
      </c>
      <c r="C1509" s="3" t="s">
        <v>3528</v>
      </c>
      <c r="D1509" s="3" t="s">
        <v>692</v>
      </c>
      <c r="E1509" s="3" t="s">
        <v>720</v>
      </c>
      <c r="F1509" s="3"/>
      <c r="G1509" s="3"/>
      <c r="H1509" s="3"/>
      <c r="I1509" s="3" t="s">
        <v>3773</v>
      </c>
      <c r="J1509" s="3" t="s">
        <v>1700</v>
      </c>
      <c r="K1509" s="27" t="s">
        <v>12</v>
      </c>
    </row>
    <row r="1510" ht="18.6" customHeight="1" spans="1:11">
      <c r="A1510" s="3">
        <v>1509</v>
      </c>
      <c r="B1510" s="3" t="s">
        <v>2311</v>
      </c>
      <c r="C1510" s="3" t="s">
        <v>3528</v>
      </c>
      <c r="D1510" s="3" t="s">
        <v>692</v>
      </c>
      <c r="E1510" s="3" t="s">
        <v>2262</v>
      </c>
      <c r="F1510" s="3"/>
      <c r="G1510" s="3"/>
      <c r="H1510" s="3"/>
      <c r="I1510" s="3" t="s">
        <v>3775</v>
      </c>
      <c r="J1510" s="3" t="s">
        <v>1700</v>
      </c>
      <c r="K1510" s="27" t="s">
        <v>12</v>
      </c>
    </row>
    <row r="1511" ht="18.6" customHeight="1" spans="1:11">
      <c r="A1511" s="3">
        <v>1510</v>
      </c>
      <c r="B1511" s="3" t="s">
        <v>2312</v>
      </c>
      <c r="C1511" s="3" t="s">
        <v>3528</v>
      </c>
      <c r="D1511" s="3" t="s">
        <v>692</v>
      </c>
      <c r="E1511" s="3" t="s">
        <v>727</v>
      </c>
      <c r="F1511" s="3"/>
      <c r="G1511" s="3"/>
      <c r="H1511" s="3"/>
      <c r="I1511" s="3" t="s">
        <v>3776</v>
      </c>
      <c r="J1511" s="3" t="s">
        <v>1700</v>
      </c>
      <c r="K1511" s="27" t="s">
        <v>12</v>
      </c>
    </row>
    <row r="1512" ht="18.6" customHeight="1" spans="1:11">
      <c r="A1512" s="3">
        <v>1511</v>
      </c>
      <c r="B1512" s="3" t="s">
        <v>2313</v>
      </c>
      <c r="C1512" s="3" t="s">
        <v>3528</v>
      </c>
      <c r="D1512" s="3" t="s">
        <v>692</v>
      </c>
      <c r="E1512" s="3" t="s">
        <v>2257</v>
      </c>
      <c r="F1512" s="3"/>
      <c r="G1512" s="3"/>
      <c r="H1512" s="3"/>
      <c r="I1512" s="3" t="s">
        <v>3769</v>
      </c>
      <c r="J1512" s="3" t="s">
        <v>1700</v>
      </c>
      <c r="K1512" s="27" t="s">
        <v>12</v>
      </c>
    </row>
    <row r="1513" ht="18.6" customHeight="1" spans="1:11">
      <c r="A1513" s="3">
        <v>1512</v>
      </c>
      <c r="B1513" s="3" t="s">
        <v>2314</v>
      </c>
      <c r="C1513" s="3" t="s">
        <v>3528</v>
      </c>
      <c r="D1513" s="3" t="s">
        <v>692</v>
      </c>
      <c r="E1513" s="3" t="s">
        <v>693</v>
      </c>
      <c r="F1513" s="3"/>
      <c r="G1513" s="3"/>
      <c r="H1513" s="3"/>
      <c r="I1513" s="3"/>
      <c r="J1513" s="3" t="s">
        <v>1700</v>
      </c>
      <c r="K1513" s="27" t="s">
        <v>12</v>
      </c>
    </row>
    <row r="1514" ht="18.6" customHeight="1" spans="1:11">
      <c r="A1514" s="3">
        <v>1513</v>
      </c>
      <c r="B1514" s="3" t="s">
        <v>2315</v>
      </c>
      <c r="C1514" s="3" t="s">
        <v>3528</v>
      </c>
      <c r="D1514" s="3" t="s">
        <v>692</v>
      </c>
      <c r="E1514" s="3" t="s">
        <v>693</v>
      </c>
      <c r="F1514" s="3"/>
      <c r="G1514" s="3"/>
      <c r="H1514" s="3"/>
      <c r="I1514" s="3" t="s">
        <v>3770</v>
      </c>
      <c r="J1514" s="3" t="s">
        <v>1700</v>
      </c>
      <c r="K1514" s="27" t="s">
        <v>12</v>
      </c>
    </row>
    <row r="1515" ht="18.6" customHeight="1" spans="1:11">
      <c r="A1515" s="3">
        <v>1514</v>
      </c>
      <c r="B1515" s="3" t="s">
        <v>2316</v>
      </c>
      <c r="C1515" s="3" t="s">
        <v>3528</v>
      </c>
      <c r="D1515" s="3" t="s">
        <v>692</v>
      </c>
      <c r="E1515" s="3" t="s">
        <v>693</v>
      </c>
      <c r="F1515" s="3"/>
      <c r="G1515" s="3"/>
      <c r="H1515" s="3"/>
      <c r="I1515" s="3"/>
      <c r="J1515" s="3" t="s">
        <v>1700</v>
      </c>
      <c r="K1515" s="27" t="s">
        <v>12</v>
      </c>
    </row>
    <row r="1516" ht="18.6" customHeight="1" spans="1:11">
      <c r="A1516" s="3">
        <v>1515</v>
      </c>
      <c r="B1516" s="3" t="s">
        <v>2317</v>
      </c>
      <c r="C1516" s="3" t="s">
        <v>3528</v>
      </c>
      <c r="D1516" s="3" t="s">
        <v>692</v>
      </c>
      <c r="E1516" s="3" t="s">
        <v>704</v>
      </c>
      <c r="F1516" s="3"/>
      <c r="G1516" s="3"/>
      <c r="H1516" s="3"/>
      <c r="I1516" s="3"/>
      <c r="J1516" s="3" t="s">
        <v>1700</v>
      </c>
      <c r="K1516" s="27" t="s">
        <v>12</v>
      </c>
    </row>
    <row r="1517" ht="18.6" customHeight="1" spans="1:11">
      <c r="A1517" s="3">
        <v>1516</v>
      </c>
      <c r="B1517" s="3" t="s">
        <v>2318</v>
      </c>
      <c r="C1517" s="3" t="s">
        <v>3528</v>
      </c>
      <c r="D1517" s="3" t="s">
        <v>692</v>
      </c>
      <c r="E1517" s="3" t="s">
        <v>693</v>
      </c>
      <c r="F1517" s="3"/>
      <c r="G1517" s="3"/>
      <c r="H1517" s="3"/>
      <c r="I1517" s="3"/>
      <c r="J1517" s="3" t="s">
        <v>1700</v>
      </c>
      <c r="K1517" s="27" t="s">
        <v>12</v>
      </c>
    </row>
    <row r="1518" ht="18.6" customHeight="1" spans="1:11">
      <c r="A1518" s="3">
        <v>1517</v>
      </c>
      <c r="B1518" s="3" t="s">
        <v>2319</v>
      </c>
      <c r="C1518" s="3" t="s">
        <v>3528</v>
      </c>
      <c r="D1518" s="3" t="s">
        <v>692</v>
      </c>
      <c r="E1518" s="3" t="s">
        <v>704</v>
      </c>
      <c r="F1518" s="3"/>
      <c r="G1518" s="3"/>
      <c r="H1518" s="3"/>
      <c r="I1518" s="3"/>
      <c r="J1518" s="3" t="s">
        <v>1700</v>
      </c>
      <c r="K1518" s="27" t="s">
        <v>12</v>
      </c>
    </row>
    <row r="1519" ht="18.6" customHeight="1" spans="1:11">
      <c r="A1519" s="3">
        <v>1518</v>
      </c>
      <c r="B1519" s="3" t="s">
        <v>2320</v>
      </c>
      <c r="C1519" s="3" t="s">
        <v>3528</v>
      </c>
      <c r="D1519" s="3" t="s">
        <v>692</v>
      </c>
      <c r="E1519" s="3" t="s">
        <v>709</v>
      </c>
      <c r="F1519" s="3"/>
      <c r="G1519" s="3"/>
      <c r="H1519" s="3"/>
      <c r="I1519" s="3"/>
      <c r="J1519" s="3" t="s">
        <v>1700</v>
      </c>
      <c r="K1519" s="27" t="s">
        <v>12</v>
      </c>
    </row>
    <row r="1520" ht="18.6" customHeight="1" spans="1:11">
      <c r="A1520" s="3">
        <v>1519</v>
      </c>
      <c r="B1520" s="3" t="s">
        <v>2321</v>
      </c>
      <c r="C1520" s="3" t="s">
        <v>3528</v>
      </c>
      <c r="D1520" s="3" t="s">
        <v>692</v>
      </c>
      <c r="E1520" s="3" t="s">
        <v>2262</v>
      </c>
      <c r="F1520" s="3"/>
      <c r="G1520" s="3"/>
      <c r="H1520" s="3"/>
      <c r="I1520" s="3"/>
      <c r="J1520" s="3" t="s">
        <v>1700</v>
      </c>
      <c r="K1520" s="27" t="s">
        <v>12</v>
      </c>
    </row>
    <row r="1521" ht="18.6" customHeight="1" spans="1:11">
      <c r="A1521" s="3">
        <v>1520</v>
      </c>
      <c r="B1521" s="3" t="s">
        <v>2322</v>
      </c>
      <c r="C1521" s="3" t="s">
        <v>3528</v>
      </c>
      <c r="D1521" s="3" t="s">
        <v>692</v>
      </c>
      <c r="E1521" s="3" t="s">
        <v>720</v>
      </c>
      <c r="F1521" s="3"/>
      <c r="G1521" s="3"/>
      <c r="H1521" s="3"/>
      <c r="I1521" s="3"/>
      <c r="J1521" s="3" t="s">
        <v>1700</v>
      </c>
      <c r="K1521" s="27" t="s">
        <v>12</v>
      </c>
    </row>
    <row r="1522" ht="18.6" customHeight="1" spans="1:11">
      <c r="A1522" s="3">
        <v>1521</v>
      </c>
      <c r="B1522" s="3" t="s">
        <v>2323</v>
      </c>
      <c r="C1522" s="3" t="s">
        <v>3528</v>
      </c>
      <c r="D1522" s="3" t="s">
        <v>692</v>
      </c>
      <c r="E1522" s="3" t="s">
        <v>709</v>
      </c>
      <c r="F1522" s="3"/>
      <c r="G1522" s="3"/>
      <c r="H1522" s="3"/>
      <c r="I1522" s="3"/>
      <c r="J1522" s="3" t="s">
        <v>1700</v>
      </c>
      <c r="K1522" s="27" t="s">
        <v>12</v>
      </c>
    </row>
    <row r="1523" ht="18.6" customHeight="1" spans="1:11">
      <c r="A1523" s="3">
        <v>1522</v>
      </c>
      <c r="B1523" s="3" t="s">
        <v>2324</v>
      </c>
      <c r="C1523" s="3" t="s">
        <v>3528</v>
      </c>
      <c r="D1523" s="3" t="s">
        <v>692</v>
      </c>
      <c r="E1523" s="3" t="s">
        <v>729</v>
      </c>
      <c r="F1523" s="3"/>
      <c r="G1523" s="3"/>
      <c r="H1523" s="3"/>
      <c r="I1523" s="3"/>
      <c r="J1523" s="3" t="s">
        <v>1700</v>
      </c>
      <c r="K1523" s="27" t="s">
        <v>12</v>
      </c>
    </row>
    <row r="1524" ht="18.6" customHeight="1" spans="1:11">
      <c r="A1524" s="3">
        <v>1523</v>
      </c>
      <c r="B1524" s="3" t="s">
        <v>2325</v>
      </c>
      <c r="C1524" s="3" t="s">
        <v>3528</v>
      </c>
      <c r="D1524" s="3" t="s">
        <v>692</v>
      </c>
      <c r="E1524" s="3" t="s">
        <v>700</v>
      </c>
      <c r="F1524" s="3"/>
      <c r="G1524" s="3"/>
      <c r="H1524" s="3"/>
      <c r="I1524" s="3"/>
      <c r="J1524" s="3" t="s">
        <v>1700</v>
      </c>
      <c r="K1524" s="27" t="s">
        <v>12</v>
      </c>
    </row>
    <row r="1525" ht="18.6" customHeight="1" spans="1:11">
      <c r="A1525" s="3">
        <v>1524</v>
      </c>
      <c r="B1525" s="3" t="s">
        <v>2326</v>
      </c>
      <c r="C1525" s="3" t="s">
        <v>3528</v>
      </c>
      <c r="D1525" s="3" t="s">
        <v>692</v>
      </c>
      <c r="E1525" s="3" t="s">
        <v>714</v>
      </c>
      <c r="F1525" s="3"/>
      <c r="G1525" s="3"/>
      <c r="H1525" s="3"/>
      <c r="I1525" s="3"/>
      <c r="J1525" s="3" t="s">
        <v>1700</v>
      </c>
      <c r="K1525" s="27" t="s">
        <v>12</v>
      </c>
    </row>
    <row r="1526" ht="18.6" customHeight="1" spans="1:11">
      <c r="A1526" s="3">
        <v>1525</v>
      </c>
      <c r="B1526" s="3" t="s">
        <v>2327</v>
      </c>
      <c r="C1526" s="3" t="s">
        <v>3528</v>
      </c>
      <c r="D1526" s="3" t="s">
        <v>692</v>
      </c>
      <c r="E1526" s="3" t="s">
        <v>712</v>
      </c>
      <c r="F1526" s="3"/>
      <c r="G1526" s="3"/>
      <c r="H1526" s="3"/>
      <c r="I1526" s="3"/>
      <c r="J1526" s="3" t="s">
        <v>1700</v>
      </c>
      <c r="K1526" s="27" t="s">
        <v>12</v>
      </c>
    </row>
    <row r="1527" ht="18.6" customHeight="1" spans="1:11">
      <c r="A1527" s="3">
        <v>1526</v>
      </c>
      <c r="B1527" s="3" t="s">
        <v>2328</v>
      </c>
      <c r="C1527" s="3" t="s">
        <v>3528</v>
      </c>
      <c r="D1527" s="3" t="s">
        <v>692</v>
      </c>
      <c r="E1527" s="3" t="s">
        <v>729</v>
      </c>
      <c r="F1527" s="3"/>
      <c r="G1527" s="3"/>
      <c r="H1527" s="3"/>
      <c r="I1527" s="3"/>
      <c r="J1527" s="3" t="s">
        <v>1700</v>
      </c>
      <c r="K1527" s="27" t="s">
        <v>12</v>
      </c>
    </row>
    <row r="1528" ht="18.6" customHeight="1" spans="1:11">
      <c r="A1528" s="3">
        <v>1527</v>
      </c>
      <c r="B1528" s="3" t="s">
        <v>3813</v>
      </c>
      <c r="C1528" s="3" t="s">
        <v>3550</v>
      </c>
      <c r="D1528" s="3" t="s">
        <v>746</v>
      </c>
      <c r="E1528" s="3" t="s">
        <v>747</v>
      </c>
      <c r="F1528" s="3"/>
      <c r="G1528" s="3"/>
      <c r="H1528" s="3"/>
      <c r="I1528" s="3" t="s">
        <v>3769</v>
      </c>
      <c r="J1528" s="3" t="s">
        <v>1700</v>
      </c>
      <c r="K1528" s="27" t="s">
        <v>12</v>
      </c>
    </row>
    <row r="1529" ht="18.6" customHeight="1" spans="1:11">
      <c r="A1529" s="3">
        <v>1528</v>
      </c>
      <c r="B1529" s="3" t="s">
        <v>3562</v>
      </c>
      <c r="C1529" s="3" t="s">
        <v>3550</v>
      </c>
      <c r="D1529" s="3" t="s">
        <v>746</v>
      </c>
      <c r="E1529" s="3" t="s">
        <v>765</v>
      </c>
      <c r="F1529" s="3"/>
      <c r="G1529" s="3"/>
      <c r="H1529" s="3"/>
      <c r="I1529" s="3" t="s">
        <v>3770</v>
      </c>
      <c r="J1529" s="3" t="s">
        <v>1700</v>
      </c>
      <c r="K1529" s="27" t="s">
        <v>12</v>
      </c>
    </row>
    <row r="1530" ht="18.6" customHeight="1" spans="1:11">
      <c r="A1530" s="3">
        <v>1529</v>
      </c>
      <c r="B1530" s="3" t="s">
        <v>2329</v>
      </c>
      <c r="C1530" s="3" t="s">
        <v>3550</v>
      </c>
      <c r="D1530" s="3" t="s">
        <v>746</v>
      </c>
      <c r="E1530" s="3" t="s">
        <v>747</v>
      </c>
      <c r="F1530" s="3"/>
      <c r="G1530" s="3"/>
      <c r="H1530" s="3"/>
      <c r="I1530" s="3" t="s">
        <v>3769</v>
      </c>
      <c r="J1530" s="3" t="s">
        <v>1700</v>
      </c>
      <c r="K1530" s="27" t="s">
        <v>12</v>
      </c>
    </row>
    <row r="1531" ht="18.6" customHeight="1" spans="1:11">
      <c r="A1531" s="3">
        <v>1530</v>
      </c>
      <c r="B1531" s="3" t="s">
        <v>2330</v>
      </c>
      <c r="C1531" s="3" t="s">
        <v>3550</v>
      </c>
      <c r="D1531" s="3" t="s">
        <v>746</v>
      </c>
      <c r="E1531" s="3" t="s">
        <v>751</v>
      </c>
      <c r="F1531" s="3"/>
      <c r="G1531" s="3"/>
      <c r="H1531" s="3"/>
      <c r="I1531" s="3" t="s">
        <v>3770</v>
      </c>
      <c r="J1531" s="3" t="s">
        <v>1700</v>
      </c>
      <c r="K1531" s="27" t="s">
        <v>12</v>
      </c>
    </row>
    <row r="1532" ht="18.6" customHeight="1" spans="1:11">
      <c r="A1532" s="3">
        <v>1531</v>
      </c>
      <c r="B1532" s="3" t="s">
        <v>2331</v>
      </c>
      <c r="C1532" s="3" t="s">
        <v>3550</v>
      </c>
      <c r="D1532" s="3" t="s">
        <v>746</v>
      </c>
      <c r="E1532" s="3" t="s">
        <v>769</v>
      </c>
      <c r="F1532" s="3"/>
      <c r="G1532" s="3"/>
      <c r="H1532" s="3"/>
      <c r="I1532" s="3" t="s">
        <v>3769</v>
      </c>
      <c r="J1532" s="3" t="s">
        <v>1700</v>
      </c>
      <c r="K1532" s="27" t="s">
        <v>12</v>
      </c>
    </row>
    <row r="1533" ht="18.6" customHeight="1" spans="1:11">
      <c r="A1533" s="3">
        <v>1532</v>
      </c>
      <c r="B1533" s="3" t="s">
        <v>2332</v>
      </c>
      <c r="C1533" s="3" t="s">
        <v>3550</v>
      </c>
      <c r="D1533" s="3" t="s">
        <v>746</v>
      </c>
      <c r="E1533" s="3" t="s">
        <v>2333</v>
      </c>
      <c r="F1533" s="3"/>
      <c r="G1533" s="3"/>
      <c r="H1533" s="3"/>
      <c r="I1533" s="3" t="s">
        <v>3769</v>
      </c>
      <c r="J1533" s="3" t="s">
        <v>1700</v>
      </c>
      <c r="K1533" s="27" t="s">
        <v>12</v>
      </c>
    </row>
    <row r="1534" ht="18.6" customHeight="1" spans="1:11">
      <c r="A1534" s="3">
        <v>1533</v>
      </c>
      <c r="B1534" s="3" t="s">
        <v>2334</v>
      </c>
      <c r="C1534" s="3" t="s">
        <v>3550</v>
      </c>
      <c r="D1534" s="3" t="s">
        <v>746</v>
      </c>
      <c r="E1534" s="3" t="s">
        <v>747</v>
      </c>
      <c r="F1534" s="3"/>
      <c r="G1534" s="3"/>
      <c r="H1534" s="3"/>
      <c r="I1534" s="3" t="s">
        <v>3769</v>
      </c>
      <c r="J1534" s="3" t="s">
        <v>1700</v>
      </c>
      <c r="K1534" s="27" t="s">
        <v>12</v>
      </c>
    </row>
    <row r="1535" ht="18.6" customHeight="1" spans="1:11">
      <c r="A1535" s="3">
        <v>1534</v>
      </c>
      <c r="B1535" s="3" t="s">
        <v>2335</v>
      </c>
      <c r="C1535" s="3" t="s">
        <v>3550</v>
      </c>
      <c r="D1535" s="3" t="s">
        <v>746</v>
      </c>
      <c r="E1535" s="3" t="s">
        <v>778</v>
      </c>
      <c r="F1535" s="3"/>
      <c r="G1535" s="3"/>
      <c r="H1535" s="3"/>
      <c r="I1535" s="3" t="s">
        <v>3769</v>
      </c>
      <c r="J1535" s="3" t="s">
        <v>1700</v>
      </c>
      <c r="K1535" s="27" t="s">
        <v>12</v>
      </c>
    </row>
    <row r="1536" ht="18.6" customHeight="1" spans="1:11">
      <c r="A1536" s="3">
        <v>1535</v>
      </c>
      <c r="B1536" s="3" t="s">
        <v>2336</v>
      </c>
      <c r="C1536" s="3" t="s">
        <v>3550</v>
      </c>
      <c r="D1536" s="3" t="s">
        <v>746</v>
      </c>
      <c r="E1536" s="3" t="s">
        <v>747</v>
      </c>
      <c r="F1536" s="3"/>
      <c r="G1536" s="3"/>
      <c r="H1536" s="3"/>
      <c r="I1536" s="3" t="s">
        <v>3770</v>
      </c>
      <c r="J1536" s="3" t="s">
        <v>1700</v>
      </c>
      <c r="K1536" s="27" t="s">
        <v>12</v>
      </c>
    </row>
    <row r="1537" ht="18.6" customHeight="1" spans="1:11">
      <c r="A1537" s="3">
        <v>1536</v>
      </c>
      <c r="B1537" s="3" t="s">
        <v>2337</v>
      </c>
      <c r="C1537" s="3" t="s">
        <v>3550</v>
      </c>
      <c r="D1537" s="3" t="s">
        <v>746</v>
      </c>
      <c r="E1537" s="3" t="s">
        <v>767</v>
      </c>
      <c r="F1537" s="3"/>
      <c r="G1537" s="3"/>
      <c r="H1537" s="3"/>
      <c r="I1537" s="3" t="s">
        <v>3769</v>
      </c>
      <c r="J1537" s="3" t="s">
        <v>1700</v>
      </c>
      <c r="K1537" s="27" t="s">
        <v>12</v>
      </c>
    </row>
    <row r="1538" ht="18.6" customHeight="1" spans="1:11">
      <c r="A1538" s="3">
        <v>1537</v>
      </c>
      <c r="B1538" s="3" t="s">
        <v>3564</v>
      </c>
      <c r="C1538" s="3" t="s">
        <v>3550</v>
      </c>
      <c r="D1538" s="3" t="s">
        <v>746</v>
      </c>
      <c r="E1538" s="3" t="s">
        <v>771</v>
      </c>
      <c r="F1538" s="3"/>
      <c r="G1538" s="3"/>
      <c r="H1538" s="3"/>
      <c r="I1538" s="3" t="s">
        <v>3769</v>
      </c>
      <c r="J1538" s="3" t="s">
        <v>1700</v>
      </c>
      <c r="K1538" s="27" t="s">
        <v>12</v>
      </c>
    </row>
    <row r="1539" ht="18.6" customHeight="1" spans="1:11">
      <c r="A1539" s="3">
        <v>1538</v>
      </c>
      <c r="B1539" s="3" t="s">
        <v>2338</v>
      </c>
      <c r="C1539" s="3" t="s">
        <v>3550</v>
      </c>
      <c r="D1539" s="3" t="s">
        <v>746</v>
      </c>
      <c r="E1539" s="3" t="s">
        <v>751</v>
      </c>
      <c r="F1539" s="3"/>
      <c r="G1539" s="3"/>
      <c r="H1539" s="3"/>
      <c r="I1539" s="3" t="s">
        <v>3769</v>
      </c>
      <c r="J1539" s="3" t="s">
        <v>1700</v>
      </c>
      <c r="K1539" s="27" t="s">
        <v>12</v>
      </c>
    </row>
    <row r="1540" ht="18.6" customHeight="1" spans="1:11">
      <c r="A1540" s="3">
        <v>1539</v>
      </c>
      <c r="B1540" s="3" t="s">
        <v>2339</v>
      </c>
      <c r="C1540" s="3" t="s">
        <v>3550</v>
      </c>
      <c r="D1540" s="3" t="s">
        <v>746</v>
      </c>
      <c r="E1540" s="3" t="s">
        <v>747</v>
      </c>
      <c r="F1540" s="3"/>
      <c r="G1540" s="3"/>
      <c r="H1540" s="3"/>
      <c r="I1540" s="3" t="s">
        <v>3770</v>
      </c>
      <c r="J1540" s="3" t="s">
        <v>1700</v>
      </c>
      <c r="K1540" s="27" t="s">
        <v>12</v>
      </c>
    </row>
    <row r="1541" ht="18.6" customHeight="1" spans="1:11">
      <c r="A1541" s="3">
        <v>1540</v>
      </c>
      <c r="B1541" s="3" t="s">
        <v>2340</v>
      </c>
      <c r="C1541" s="3" t="s">
        <v>3550</v>
      </c>
      <c r="D1541" s="3" t="s">
        <v>746</v>
      </c>
      <c r="E1541" s="3" t="s">
        <v>2341</v>
      </c>
      <c r="F1541" s="3"/>
      <c r="G1541" s="3"/>
      <c r="H1541" s="3"/>
      <c r="I1541" s="3" t="s">
        <v>3769</v>
      </c>
      <c r="J1541" s="3" t="s">
        <v>1700</v>
      </c>
      <c r="K1541" s="27" t="s">
        <v>12</v>
      </c>
    </row>
    <row r="1542" ht="18.6" customHeight="1" spans="1:11">
      <c r="A1542" s="3">
        <v>1541</v>
      </c>
      <c r="B1542" s="3" t="s">
        <v>2342</v>
      </c>
      <c r="C1542" s="3" t="s">
        <v>3550</v>
      </c>
      <c r="D1542" s="3" t="s">
        <v>746</v>
      </c>
      <c r="E1542" s="3" t="s">
        <v>747</v>
      </c>
      <c r="F1542" s="3"/>
      <c r="G1542" s="3"/>
      <c r="H1542" s="3"/>
      <c r="I1542" s="3" t="s">
        <v>3769</v>
      </c>
      <c r="J1542" s="3" t="s">
        <v>1700</v>
      </c>
      <c r="K1542" s="27" t="s">
        <v>12</v>
      </c>
    </row>
    <row r="1543" ht="18.6" customHeight="1" spans="1:11">
      <c r="A1543" s="3">
        <v>1542</v>
      </c>
      <c r="B1543" s="3" t="s">
        <v>2343</v>
      </c>
      <c r="C1543" s="3" t="s">
        <v>3550</v>
      </c>
      <c r="D1543" s="3" t="s">
        <v>746</v>
      </c>
      <c r="E1543" s="3" t="s">
        <v>747</v>
      </c>
      <c r="F1543" s="3"/>
      <c r="G1543" s="3"/>
      <c r="H1543" s="3"/>
      <c r="I1543" s="3" t="s">
        <v>3770</v>
      </c>
      <c r="J1543" s="3" t="s">
        <v>1700</v>
      </c>
      <c r="K1543" s="27" t="s">
        <v>12</v>
      </c>
    </row>
    <row r="1544" ht="18.6" customHeight="1" spans="1:11">
      <c r="A1544" s="3">
        <v>1543</v>
      </c>
      <c r="B1544" s="3" t="s">
        <v>2344</v>
      </c>
      <c r="C1544" s="3" t="s">
        <v>3550</v>
      </c>
      <c r="D1544" s="3" t="s">
        <v>746</v>
      </c>
      <c r="E1544" s="3" t="s">
        <v>751</v>
      </c>
      <c r="F1544" s="3"/>
      <c r="G1544" s="3"/>
      <c r="H1544" s="3"/>
      <c r="I1544" s="3" t="s">
        <v>3775</v>
      </c>
      <c r="J1544" s="3" t="s">
        <v>1700</v>
      </c>
      <c r="K1544" s="27" t="s">
        <v>12</v>
      </c>
    </row>
    <row r="1545" ht="18.6" customHeight="1" spans="1:11">
      <c r="A1545" s="3">
        <v>1544</v>
      </c>
      <c r="B1545" s="3" t="s">
        <v>2345</v>
      </c>
      <c r="C1545" s="3" t="s">
        <v>3550</v>
      </c>
      <c r="D1545" s="3" t="s">
        <v>746</v>
      </c>
      <c r="E1545" s="3" t="s">
        <v>747</v>
      </c>
      <c r="F1545" s="3"/>
      <c r="G1545" s="3"/>
      <c r="H1545" s="3"/>
      <c r="I1545" s="3" t="s">
        <v>3770</v>
      </c>
      <c r="J1545" s="3" t="s">
        <v>1700</v>
      </c>
      <c r="K1545" s="27" t="s">
        <v>12</v>
      </c>
    </row>
    <row r="1546" ht="18.6" customHeight="1" spans="1:11">
      <c r="A1546" s="3">
        <v>1545</v>
      </c>
      <c r="B1546" s="3" t="s">
        <v>2346</v>
      </c>
      <c r="C1546" s="3" t="s">
        <v>3550</v>
      </c>
      <c r="D1546" s="3" t="s">
        <v>746</v>
      </c>
      <c r="E1546" s="3" t="s">
        <v>747</v>
      </c>
      <c r="F1546" s="3"/>
      <c r="G1546" s="3"/>
      <c r="H1546" s="3"/>
      <c r="I1546" s="3" t="s">
        <v>3770</v>
      </c>
      <c r="J1546" s="3" t="s">
        <v>1700</v>
      </c>
      <c r="K1546" s="27" t="s">
        <v>12</v>
      </c>
    </row>
    <row r="1547" ht="18.6" customHeight="1" spans="1:11">
      <c r="A1547" s="3">
        <v>1546</v>
      </c>
      <c r="B1547" s="3" t="s">
        <v>2347</v>
      </c>
      <c r="C1547" s="3" t="s">
        <v>3550</v>
      </c>
      <c r="D1547" s="3" t="s">
        <v>746</v>
      </c>
      <c r="E1547" s="3" t="s">
        <v>747</v>
      </c>
      <c r="F1547" s="3"/>
      <c r="G1547" s="3"/>
      <c r="H1547" s="3"/>
      <c r="I1547" s="3" t="s">
        <v>3770</v>
      </c>
      <c r="J1547" s="3" t="s">
        <v>1700</v>
      </c>
      <c r="K1547" s="27" t="s">
        <v>12</v>
      </c>
    </row>
    <row r="1548" ht="18.6" customHeight="1" spans="1:11">
      <c r="A1548" s="3">
        <v>1547</v>
      </c>
      <c r="B1548" s="3" t="s">
        <v>2348</v>
      </c>
      <c r="C1548" s="3" t="s">
        <v>3550</v>
      </c>
      <c r="D1548" s="3" t="s">
        <v>746</v>
      </c>
      <c r="E1548" s="3" t="s">
        <v>785</v>
      </c>
      <c r="F1548" s="3"/>
      <c r="G1548" s="3"/>
      <c r="H1548" s="3"/>
      <c r="I1548" s="3" t="s">
        <v>3769</v>
      </c>
      <c r="J1548" s="3" t="s">
        <v>1700</v>
      </c>
      <c r="K1548" s="27" t="s">
        <v>12</v>
      </c>
    </row>
    <row r="1549" ht="18.6" customHeight="1" spans="1:11">
      <c r="A1549" s="3">
        <v>1548</v>
      </c>
      <c r="B1549" s="3" t="s">
        <v>2349</v>
      </c>
      <c r="C1549" s="3" t="s">
        <v>3550</v>
      </c>
      <c r="D1549" s="3" t="s">
        <v>746</v>
      </c>
      <c r="E1549" s="3" t="s">
        <v>2350</v>
      </c>
      <c r="F1549" s="3"/>
      <c r="G1549" s="3"/>
      <c r="H1549" s="3"/>
      <c r="I1549" s="3" t="s">
        <v>3769</v>
      </c>
      <c r="J1549" s="3" t="s">
        <v>1700</v>
      </c>
      <c r="K1549" s="27" t="s">
        <v>12</v>
      </c>
    </row>
    <row r="1550" ht="18.6" customHeight="1" spans="1:11">
      <c r="A1550" s="3">
        <v>1549</v>
      </c>
      <c r="B1550" s="3" t="s">
        <v>2351</v>
      </c>
      <c r="C1550" s="3" t="s">
        <v>3550</v>
      </c>
      <c r="D1550" s="3" t="s">
        <v>746</v>
      </c>
      <c r="E1550" s="3" t="s">
        <v>747</v>
      </c>
      <c r="F1550" s="3"/>
      <c r="G1550" s="3"/>
      <c r="H1550" s="3"/>
      <c r="I1550" s="3" t="s">
        <v>3770</v>
      </c>
      <c r="J1550" s="3" t="s">
        <v>1700</v>
      </c>
      <c r="K1550" s="27" t="s">
        <v>12</v>
      </c>
    </row>
    <row r="1551" ht="18.6" customHeight="1" spans="1:11">
      <c r="A1551" s="3">
        <v>1550</v>
      </c>
      <c r="B1551" s="3" t="s">
        <v>2352</v>
      </c>
      <c r="C1551" s="3" t="s">
        <v>3550</v>
      </c>
      <c r="D1551" s="3" t="s">
        <v>746</v>
      </c>
      <c r="E1551" s="3" t="s">
        <v>747</v>
      </c>
      <c r="F1551" s="3"/>
      <c r="G1551" s="3"/>
      <c r="H1551" s="3"/>
      <c r="I1551" s="3" t="s">
        <v>3770</v>
      </c>
      <c r="J1551" s="3" t="s">
        <v>1700</v>
      </c>
      <c r="K1551" s="27" t="s">
        <v>12</v>
      </c>
    </row>
    <row r="1552" ht="18.6" customHeight="1" spans="1:11">
      <c r="A1552" s="3">
        <v>1551</v>
      </c>
      <c r="B1552" s="3" t="s">
        <v>2353</v>
      </c>
      <c r="C1552" s="3" t="s">
        <v>3550</v>
      </c>
      <c r="D1552" s="3" t="s">
        <v>746</v>
      </c>
      <c r="E1552" s="3" t="s">
        <v>747</v>
      </c>
      <c r="F1552" s="3"/>
      <c r="G1552" s="3"/>
      <c r="H1552" s="3"/>
      <c r="I1552" s="3" t="s">
        <v>3770</v>
      </c>
      <c r="J1552" s="3" t="s">
        <v>1700</v>
      </c>
      <c r="K1552" s="27" t="s">
        <v>12</v>
      </c>
    </row>
    <row r="1553" ht="18.6" customHeight="1" spans="1:11">
      <c r="A1553" s="3">
        <v>1552</v>
      </c>
      <c r="B1553" s="3" t="s">
        <v>2354</v>
      </c>
      <c r="C1553" s="3" t="s">
        <v>3550</v>
      </c>
      <c r="D1553" s="3" t="s">
        <v>746</v>
      </c>
      <c r="E1553" s="3" t="s">
        <v>747</v>
      </c>
      <c r="F1553" s="3"/>
      <c r="G1553" s="3"/>
      <c r="H1553" s="3"/>
      <c r="I1553" s="3" t="s">
        <v>3779</v>
      </c>
      <c r="J1553" s="3" t="s">
        <v>1700</v>
      </c>
      <c r="K1553" s="27" t="s">
        <v>12</v>
      </c>
    </row>
    <row r="1554" ht="18.6" customHeight="1" spans="1:11">
      <c r="A1554" s="3">
        <v>1553</v>
      </c>
      <c r="B1554" s="3" t="s">
        <v>2355</v>
      </c>
      <c r="C1554" s="3" t="s">
        <v>3550</v>
      </c>
      <c r="D1554" s="3" t="s">
        <v>746</v>
      </c>
      <c r="E1554" s="3" t="s">
        <v>747</v>
      </c>
      <c r="F1554" s="3"/>
      <c r="G1554" s="3"/>
      <c r="H1554" s="3"/>
      <c r="I1554" s="3" t="s">
        <v>3770</v>
      </c>
      <c r="J1554" s="3" t="s">
        <v>1700</v>
      </c>
      <c r="K1554" s="27" t="s">
        <v>12</v>
      </c>
    </row>
    <row r="1555" ht="18.6" customHeight="1" spans="1:11">
      <c r="A1555" s="3">
        <v>1554</v>
      </c>
      <c r="B1555" s="3" t="s">
        <v>2356</v>
      </c>
      <c r="C1555" s="3" t="s">
        <v>3550</v>
      </c>
      <c r="D1555" s="3" t="s">
        <v>746</v>
      </c>
      <c r="E1555" s="3" t="s">
        <v>747</v>
      </c>
      <c r="F1555" s="3"/>
      <c r="G1555" s="3"/>
      <c r="H1555" s="3"/>
      <c r="I1555" s="3" t="s">
        <v>3772</v>
      </c>
      <c r="J1555" s="3" t="s">
        <v>1700</v>
      </c>
      <c r="K1555" s="27" t="s">
        <v>12</v>
      </c>
    </row>
    <row r="1556" ht="18.6" customHeight="1" spans="1:11">
      <c r="A1556" s="3">
        <v>1555</v>
      </c>
      <c r="B1556" s="3" t="s">
        <v>2357</v>
      </c>
      <c r="C1556" s="3" t="s">
        <v>3550</v>
      </c>
      <c r="D1556" s="3" t="s">
        <v>746</v>
      </c>
      <c r="E1556" s="3" t="s">
        <v>747</v>
      </c>
      <c r="F1556" s="3"/>
      <c r="G1556" s="3"/>
      <c r="H1556" s="3"/>
      <c r="I1556" s="3" t="s">
        <v>3770</v>
      </c>
      <c r="J1556" s="3" t="s">
        <v>1700</v>
      </c>
      <c r="K1556" s="27" t="s">
        <v>12</v>
      </c>
    </row>
    <row r="1557" ht="18.6" customHeight="1" spans="1:11">
      <c r="A1557" s="3">
        <v>1556</v>
      </c>
      <c r="B1557" s="3" t="s">
        <v>2358</v>
      </c>
      <c r="C1557" s="3" t="s">
        <v>3550</v>
      </c>
      <c r="D1557" s="3" t="s">
        <v>746</v>
      </c>
      <c r="E1557" s="3" t="s">
        <v>781</v>
      </c>
      <c r="F1557" s="3"/>
      <c r="G1557" s="3"/>
      <c r="H1557" s="3"/>
      <c r="I1557" s="3" t="s">
        <v>3769</v>
      </c>
      <c r="J1557" s="3" t="s">
        <v>1700</v>
      </c>
      <c r="K1557" s="27" t="s">
        <v>12</v>
      </c>
    </row>
    <row r="1558" ht="18.6" customHeight="1" spans="1:11">
      <c r="A1558" s="3">
        <v>1557</v>
      </c>
      <c r="B1558" s="3" t="s">
        <v>2359</v>
      </c>
      <c r="C1558" s="3" t="s">
        <v>3550</v>
      </c>
      <c r="D1558" s="3" t="s">
        <v>746</v>
      </c>
      <c r="E1558" s="3" t="s">
        <v>747</v>
      </c>
      <c r="F1558" s="3"/>
      <c r="G1558" s="3"/>
      <c r="H1558" s="3"/>
      <c r="I1558" s="3" t="s">
        <v>3770</v>
      </c>
      <c r="J1558" s="3" t="s">
        <v>1700</v>
      </c>
      <c r="K1558" s="27" t="s">
        <v>12</v>
      </c>
    </row>
    <row r="1559" ht="18.6" customHeight="1" spans="1:11">
      <c r="A1559" s="3">
        <v>1558</v>
      </c>
      <c r="B1559" s="3" t="s">
        <v>2360</v>
      </c>
      <c r="C1559" s="3" t="s">
        <v>3550</v>
      </c>
      <c r="D1559" s="3" t="s">
        <v>746</v>
      </c>
      <c r="E1559" s="3" t="s">
        <v>2361</v>
      </c>
      <c r="F1559" s="3"/>
      <c r="G1559" s="3"/>
      <c r="H1559" s="3"/>
      <c r="I1559" s="3" t="s">
        <v>3769</v>
      </c>
      <c r="J1559" s="3" t="s">
        <v>1700</v>
      </c>
      <c r="K1559" s="27" t="s">
        <v>12</v>
      </c>
    </row>
    <row r="1560" ht="18.6" customHeight="1" spans="1:11">
      <c r="A1560" s="3">
        <v>1559</v>
      </c>
      <c r="B1560" s="3" t="s">
        <v>2362</v>
      </c>
      <c r="C1560" s="3" t="s">
        <v>3550</v>
      </c>
      <c r="D1560" s="3" t="s">
        <v>746</v>
      </c>
      <c r="E1560" s="3" t="s">
        <v>747</v>
      </c>
      <c r="F1560" s="3"/>
      <c r="G1560" s="3"/>
      <c r="H1560" s="3"/>
      <c r="I1560" s="3" t="s">
        <v>3769</v>
      </c>
      <c r="J1560" s="3" t="s">
        <v>1700</v>
      </c>
      <c r="K1560" s="27" t="s">
        <v>12</v>
      </c>
    </row>
    <row r="1561" ht="18.6" customHeight="1" spans="1:11">
      <c r="A1561" s="3">
        <v>1560</v>
      </c>
      <c r="B1561" s="3" t="s">
        <v>2363</v>
      </c>
      <c r="C1561" s="3" t="s">
        <v>3550</v>
      </c>
      <c r="D1561" s="3" t="s">
        <v>746</v>
      </c>
      <c r="E1561" s="3" t="s">
        <v>765</v>
      </c>
      <c r="F1561" s="3"/>
      <c r="G1561" s="3"/>
      <c r="H1561" s="3"/>
      <c r="I1561" s="3"/>
      <c r="J1561" s="3" t="s">
        <v>1700</v>
      </c>
      <c r="K1561" s="27" t="s">
        <v>12</v>
      </c>
    </row>
    <row r="1562" ht="18.6" customHeight="1" spans="1:11">
      <c r="A1562" s="3">
        <v>1561</v>
      </c>
      <c r="B1562" s="3" t="s">
        <v>2364</v>
      </c>
      <c r="C1562" s="3" t="s">
        <v>3550</v>
      </c>
      <c r="D1562" s="3" t="s">
        <v>746</v>
      </c>
      <c r="E1562" s="3" t="s">
        <v>747</v>
      </c>
      <c r="F1562" s="3"/>
      <c r="G1562" s="3"/>
      <c r="H1562" s="3"/>
      <c r="I1562" s="3" t="s">
        <v>3771</v>
      </c>
      <c r="J1562" s="3" t="s">
        <v>1700</v>
      </c>
      <c r="K1562" s="27" t="s">
        <v>12</v>
      </c>
    </row>
    <row r="1563" ht="18.6" customHeight="1" spans="1:11">
      <c r="A1563" s="3">
        <v>1562</v>
      </c>
      <c r="B1563" s="3" t="s">
        <v>2365</v>
      </c>
      <c r="C1563" s="3" t="s">
        <v>3550</v>
      </c>
      <c r="D1563" s="3" t="s">
        <v>746</v>
      </c>
      <c r="E1563" s="3" t="s">
        <v>747</v>
      </c>
      <c r="F1563" s="3"/>
      <c r="G1563" s="3"/>
      <c r="H1563" s="3"/>
      <c r="I1563" s="3" t="s">
        <v>3770</v>
      </c>
      <c r="J1563" s="3" t="s">
        <v>1700</v>
      </c>
      <c r="K1563" s="27" t="s">
        <v>12</v>
      </c>
    </row>
    <row r="1564" ht="18.6" customHeight="1" spans="1:11">
      <c r="A1564" s="3">
        <v>1563</v>
      </c>
      <c r="B1564" s="3" t="s">
        <v>2366</v>
      </c>
      <c r="C1564" s="3" t="s">
        <v>3550</v>
      </c>
      <c r="D1564" s="3" t="s">
        <v>746</v>
      </c>
      <c r="E1564" s="3" t="s">
        <v>747</v>
      </c>
      <c r="F1564" s="3"/>
      <c r="G1564" s="3"/>
      <c r="H1564" s="3"/>
      <c r="I1564" s="3" t="s">
        <v>3769</v>
      </c>
      <c r="J1564" s="3" t="s">
        <v>1700</v>
      </c>
      <c r="K1564" s="27" t="s">
        <v>12</v>
      </c>
    </row>
    <row r="1565" ht="18.6" customHeight="1" spans="1:11">
      <c r="A1565" s="3">
        <v>1564</v>
      </c>
      <c r="B1565" s="3" t="s">
        <v>2367</v>
      </c>
      <c r="C1565" s="3" t="s">
        <v>3550</v>
      </c>
      <c r="D1565" s="3" t="s">
        <v>746</v>
      </c>
      <c r="E1565" s="3" t="s">
        <v>785</v>
      </c>
      <c r="F1565" s="3"/>
      <c r="G1565" s="3"/>
      <c r="H1565" s="3"/>
      <c r="I1565" s="3" t="s">
        <v>3770</v>
      </c>
      <c r="J1565" s="3" t="s">
        <v>1700</v>
      </c>
      <c r="K1565" s="27" t="s">
        <v>12</v>
      </c>
    </row>
    <row r="1566" ht="18.6" customHeight="1" spans="1:11">
      <c r="A1566" s="3">
        <v>1565</v>
      </c>
      <c r="B1566" s="3" t="s">
        <v>2368</v>
      </c>
      <c r="C1566" s="3" t="s">
        <v>3550</v>
      </c>
      <c r="D1566" s="3" t="s">
        <v>746</v>
      </c>
      <c r="E1566" s="3" t="s">
        <v>747</v>
      </c>
      <c r="F1566" s="3"/>
      <c r="G1566" s="3"/>
      <c r="H1566" s="3"/>
      <c r="I1566" s="3" t="s">
        <v>3769</v>
      </c>
      <c r="J1566" s="3" t="s">
        <v>1700</v>
      </c>
      <c r="K1566" s="27" t="s">
        <v>12</v>
      </c>
    </row>
    <row r="1567" ht="18.6" customHeight="1" spans="1:11">
      <c r="A1567" s="3">
        <v>1566</v>
      </c>
      <c r="B1567" s="3" t="s">
        <v>2369</v>
      </c>
      <c r="C1567" s="3" t="s">
        <v>3550</v>
      </c>
      <c r="D1567" s="3" t="s">
        <v>746</v>
      </c>
      <c r="E1567" s="3" t="s">
        <v>747</v>
      </c>
      <c r="F1567" s="3"/>
      <c r="G1567" s="3"/>
      <c r="H1567" s="3"/>
      <c r="I1567" s="3"/>
      <c r="J1567" s="3" t="s">
        <v>1700</v>
      </c>
      <c r="K1567" s="27" t="s">
        <v>12</v>
      </c>
    </row>
    <row r="1568" ht="18.6" customHeight="1" spans="1:11">
      <c r="A1568" s="3">
        <v>1567</v>
      </c>
      <c r="B1568" s="3" t="s">
        <v>2370</v>
      </c>
      <c r="C1568" s="3" t="s">
        <v>3550</v>
      </c>
      <c r="D1568" s="3" t="s">
        <v>746</v>
      </c>
      <c r="E1568" s="3" t="s">
        <v>763</v>
      </c>
      <c r="F1568" s="3"/>
      <c r="G1568" s="3"/>
      <c r="H1568" s="3"/>
      <c r="I1568" s="3" t="s">
        <v>3770</v>
      </c>
      <c r="J1568" s="3" t="s">
        <v>1700</v>
      </c>
      <c r="K1568" s="27" t="s">
        <v>12</v>
      </c>
    </row>
    <row r="1569" ht="18.6" customHeight="1" spans="1:11">
      <c r="A1569" s="3">
        <v>1568</v>
      </c>
      <c r="B1569" s="3" t="s">
        <v>2371</v>
      </c>
      <c r="C1569" s="3" t="s">
        <v>3550</v>
      </c>
      <c r="D1569" s="3" t="s">
        <v>746</v>
      </c>
      <c r="E1569" s="3" t="s">
        <v>785</v>
      </c>
      <c r="F1569" s="3"/>
      <c r="G1569" s="3"/>
      <c r="H1569" s="3"/>
      <c r="I1569" s="3" t="s">
        <v>3769</v>
      </c>
      <c r="J1569" s="3" t="s">
        <v>1700</v>
      </c>
      <c r="K1569" s="27" t="s">
        <v>12</v>
      </c>
    </row>
    <row r="1570" ht="18.6" customHeight="1" spans="1:11">
      <c r="A1570" s="3">
        <v>1569</v>
      </c>
      <c r="B1570" s="3" t="s">
        <v>2372</v>
      </c>
      <c r="C1570" s="3" t="s">
        <v>3550</v>
      </c>
      <c r="D1570" s="3" t="s">
        <v>746</v>
      </c>
      <c r="E1570" s="3" t="s">
        <v>2373</v>
      </c>
      <c r="F1570" s="3"/>
      <c r="G1570" s="3"/>
      <c r="H1570" s="3"/>
      <c r="I1570" s="3" t="s">
        <v>3769</v>
      </c>
      <c r="J1570" s="3" t="s">
        <v>1700</v>
      </c>
      <c r="K1570" s="27" t="s">
        <v>12</v>
      </c>
    </row>
    <row r="1571" ht="18.6" customHeight="1" spans="1:11">
      <c r="A1571" s="3">
        <v>1570</v>
      </c>
      <c r="B1571" s="3" t="s">
        <v>2374</v>
      </c>
      <c r="C1571" s="3" t="s">
        <v>3550</v>
      </c>
      <c r="D1571" s="3" t="s">
        <v>746</v>
      </c>
      <c r="E1571" s="3" t="s">
        <v>747</v>
      </c>
      <c r="F1571" s="3"/>
      <c r="G1571" s="3"/>
      <c r="H1571" s="3"/>
      <c r="I1571" s="3" t="s">
        <v>3777</v>
      </c>
      <c r="J1571" s="3" t="s">
        <v>1700</v>
      </c>
      <c r="K1571" s="27" t="s">
        <v>12</v>
      </c>
    </row>
    <row r="1572" ht="18.6" customHeight="1" spans="1:11">
      <c r="A1572" s="3">
        <v>1571</v>
      </c>
      <c r="B1572" s="3" t="s">
        <v>2375</v>
      </c>
      <c r="C1572" s="3" t="s">
        <v>3550</v>
      </c>
      <c r="D1572" s="3" t="s">
        <v>746</v>
      </c>
      <c r="E1572" s="3" t="s">
        <v>771</v>
      </c>
      <c r="F1572" s="3"/>
      <c r="G1572" s="3"/>
      <c r="H1572" s="3"/>
      <c r="I1572" s="3" t="s">
        <v>3770</v>
      </c>
      <c r="J1572" s="3" t="s">
        <v>1700</v>
      </c>
      <c r="K1572" s="27" t="s">
        <v>12</v>
      </c>
    </row>
    <row r="1573" ht="18.6" customHeight="1" spans="1:11">
      <c r="A1573" s="3">
        <v>1572</v>
      </c>
      <c r="B1573" s="3" t="s">
        <v>2376</v>
      </c>
      <c r="C1573" s="3" t="s">
        <v>3550</v>
      </c>
      <c r="D1573" s="3" t="s">
        <v>746</v>
      </c>
      <c r="E1573" s="3" t="s">
        <v>747</v>
      </c>
      <c r="F1573" s="3"/>
      <c r="G1573" s="3"/>
      <c r="H1573" s="3"/>
      <c r="I1573" s="3" t="s">
        <v>3776</v>
      </c>
      <c r="J1573" s="3" t="s">
        <v>1700</v>
      </c>
      <c r="K1573" s="27" t="s">
        <v>12</v>
      </c>
    </row>
    <row r="1574" ht="18.6" customHeight="1" spans="1:11">
      <c r="A1574" s="3">
        <v>1573</v>
      </c>
      <c r="B1574" s="3" t="s">
        <v>2377</v>
      </c>
      <c r="C1574" s="3" t="s">
        <v>3550</v>
      </c>
      <c r="D1574" s="3" t="s">
        <v>746</v>
      </c>
      <c r="E1574" s="3" t="s">
        <v>747</v>
      </c>
      <c r="F1574" s="3"/>
      <c r="G1574" s="3"/>
      <c r="H1574" s="3"/>
      <c r="I1574" s="3"/>
      <c r="J1574" s="3" t="s">
        <v>1700</v>
      </c>
      <c r="K1574" s="27" t="s">
        <v>12</v>
      </c>
    </row>
    <row r="1575" ht="18.6" customHeight="1" spans="1:11">
      <c r="A1575" s="3">
        <v>1574</v>
      </c>
      <c r="B1575" s="3" t="s">
        <v>2378</v>
      </c>
      <c r="C1575" s="3" t="s">
        <v>3550</v>
      </c>
      <c r="D1575" s="3" t="s">
        <v>746</v>
      </c>
      <c r="E1575" s="3" t="s">
        <v>747</v>
      </c>
      <c r="F1575" s="3"/>
      <c r="G1575" s="3"/>
      <c r="H1575" s="3"/>
      <c r="I1575" s="3"/>
      <c r="J1575" s="3" t="s">
        <v>1700</v>
      </c>
      <c r="K1575" s="27" t="s">
        <v>12</v>
      </c>
    </row>
    <row r="1576" ht="18.6" customHeight="1" spans="1:11">
      <c r="A1576" s="3">
        <v>1575</v>
      </c>
      <c r="B1576" s="3" t="s">
        <v>2379</v>
      </c>
      <c r="C1576" s="3" t="s">
        <v>3550</v>
      </c>
      <c r="D1576" s="3" t="s">
        <v>746</v>
      </c>
      <c r="E1576" s="3" t="s">
        <v>788</v>
      </c>
      <c r="F1576" s="3"/>
      <c r="G1576" s="3"/>
      <c r="H1576" s="3"/>
      <c r="I1576" s="3"/>
      <c r="J1576" s="3" t="s">
        <v>1700</v>
      </c>
      <c r="K1576" s="27" t="s">
        <v>12</v>
      </c>
    </row>
    <row r="1577" ht="18.6" customHeight="1" spans="1:11">
      <c r="A1577" s="3">
        <v>1576</v>
      </c>
      <c r="B1577" s="3" t="s">
        <v>2380</v>
      </c>
      <c r="C1577" s="3" t="s">
        <v>3550</v>
      </c>
      <c r="D1577" s="3" t="s">
        <v>746</v>
      </c>
      <c r="E1577" s="3" t="s">
        <v>747</v>
      </c>
      <c r="F1577" s="3"/>
      <c r="G1577" s="3"/>
      <c r="H1577" s="3"/>
      <c r="I1577" s="3"/>
      <c r="J1577" s="3" t="s">
        <v>1700</v>
      </c>
      <c r="K1577" s="27" t="s">
        <v>12</v>
      </c>
    </row>
    <row r="1578" ht="18.6" customHeight="1" spans="1:11">
      <c r="A1578" s="3">
        <v>1577</v>
      </c>
      <c r="B1578" s="3" t="s">
        <v>2381</v>
      </c>
      <c r="C1578" s="3" t="s">
        <v>3569</v>
      </c>
      <c r="D1578" s="3" t="s">
        <v>797</v>
      </c>
      <c r="E1578" s="3" t="s">
        <v>817</v>
      </c>
      <c r="F1578" s="3"/>
      <c r="G1578" s="3"/>
      <c r="H1578" s="3"/>
      <c r="I1578" s="3" t="s">
        <v>3776</v>
      </c>
      <c r="J1578" s="3" t="s">
        <v>1700</v>
      </c>
      <c r="K1578" s="27" t="s">
        <v>12</v>
      </c>
    </row>
    <row r="1579" ht="18.6" customHeight="1" spans="1:11">
      <c r="A1579" s="3">
        <v>1578</v>
      </c>
      <c r="B1579" s="3" t="s">
        <v>2382</v>
      </c>
      <c r="C1579" s="3" t="s">
        <v>3569</v>
      </c>
      <c r="D1579" s="3" t="s">
        <v>797</v>
      </c>
      <c r="E1579" s="3" t="s">
        <v>802</v>
      </c>
      <c r="F1579" s="3"/>
      <c r="G1579" s="3"/>
      <c r="H1579" s="3"/>
      <c r="I1579" s="3" t="s">
        <v>3769</v>
      </c>
      <c r="J1579" s="3" t="s">
        <v>1700</v>
      </c>
      <c r="K1579" s="27" t="s">
        <v>12</v>
      </c>
    </row>
    <row r="1580" ht="18.6" customHeight="1" spans="1:11">
      <c r="A1580" s="3">
        <v>1579</v>
      </c>
      <c r="B1580" s="3" t="s">
        <v>2383</v>
      </c>
      <c r="C1580" s="3" t="s">
        <v>3569</v>
      </c>
      <c r="D1580" s="3" t="s">
        <v>797</v>
      </c>
      <c r="E1580" s="3" t="s">
        <v>802</v>
      </c>
      <c r="F1580" s="3"/>
      <c r="G1580" s="3"/>
      <c r="H1580" s="3"/>
      <c r="I1580" s="3" t="s">
        <v>3770</v>
      </c>
      <c r="J1580" s="3" t="s">
        <v>1700</v>
      </c>
      <c r="K1580" s="27" t="s">
        <v>12</v>
      </c>
    </row>
    <row r="1581" ht="18.6" customHeight="1" spans="1:11">
      <c r="A1581" s="3">
        <v>1580</v>
      </c>
      <c r="B1581" s="3" t="s">
        <v>2384</v>
      </c>
      <c r="C1581" s="3" t="s">
        <v>3569</v>
      </c>
      <c r="D1581" s="3" t="s">
        <v>797</v>
      </c>
      <c r="E1581" s="3" t="s">
        <v>836</v>
      </c>
      <c r="F1581" s="3"/>
      <c r="G1581" s="3"/>
      <c r="H1581" s="3"/>
      <c r="I1581" s="3"/>
      <c r="J1581" s="3" t="s">
        <v>1700</v>
      </c>
      <c r="K1581" s="27" t="s">
        <v>12</v>
      </c>
    </row>
    <row r="1582" ht="18.6" customHeight="1" spans="1:11">
      <c r="A1582" s="3">
        <v>1581</v>
      </c>
      <c r="B1582" s="3" t="s">
        <v>2385</v>
      </c>
      <c r="C1582" s="3" t="s">
        <v>3569</v>
      </c>
      <c r="D1582" s="3" t="s">
        <v>797</v>
      </c>
      <c r="E1582" s="3" t="s">
        <v>802</v>
      </c>
      <c r="F1582" s="3"/>
      <c r="G1582" s="3"/>
      <c r="H1582" s="3"/>
      <c r="I1582" s="3" t="s">
        <v>3770</v>
      </c>
      <c r="J1582" s="3" t="s">
        <v>1700</v>
      </c>
      <c r="K1582" s="27" t="s">
        <v>12</v>
      </c>
    </row>
    <row r="1583" ht="18.6" customHeight="1" spans="1:11">
      <c r="A1583" s="3">
        <v>1582</v>
      </c>
      <c r="B1583" s="3" t="s">
        <v>2386</v>
      </c>
      <c r="C1583" s="3" t="s">
        <v>3569</v>
      </c>
      <c r="D1583" s="3" t="s">
        <v>797</v>
      </c>
      <c r="E1583" s="3" t="s">
        <v>802</v>
      </c>
      <c r="F1583" s="3"/>
      <c r="G1583" s="3"/>
      <c r="H1583" s="3"/>
      <c r="I1583" s="3"/>
      <c r="J1583" s="3" t="s">
        <v>1700</v>
      </c>
      <c r="K1583" s="27" t="s">
        <v>12</v>
      </c>
    </row>
    <row r="1584" ht="18.6" customHeight="1" spans="1:11">
      <c r="A1584" s="3">
        <v>1583</v>
      </c>
      <c r="B1584" s="3" t="s">
        <v>2387</v>
      </c>
      <c r="C1584" s="3" t="s">
        <v>3569</v>
      </c>
      <c r="D1584" s="3" t="s">
        <v>797</v>
      </c>
      <c r="E1584" s="3" t="s">
        <v>836</v>
      </c>
      <c r="F1584" s="3"/>
      <c r="G1584" s="3"/>
      <c r="H1584" s="3"/>
      <c r="I1584" s="3"/>
      <c r="J1584" s="3" t="s">
        <v>1700</v>
      </c>
      <c r="K1584" s="27" t="s">
        <v>12</v>
      </c>
    </row>
    <row r="1585" ht="18.6" customHeight="1" spans="1:11">
      <c r="A1585" s="3">
        <v>1584</v>
      </c>
      <c r="B1585" s="3" t="s">
        <v>2388</v>
      </c>
      <c r="C1585" s="3" t="s">
        <v>3586</v>
      </c>
      <c r="D1585" s="3" t="s">
        <v>797</v>
      </c>
      <c r="E1585" s="3" t="s">
        <v>802</v>
      </c>
      <c r="F1585" s="3"/>
      <c r="G1585" s="3"/>
      <c r="H1585" s="3"/>
      <c r="I1585" s="3" t="s">
        <v>3770</v>
      </c>
      <c r="J1585" s="3" t="s">
        <v>1700</v>
      </c>
      <c r="K1585" s="27" t="s">
        <v>12</v>
      </c>
    </row>
    <row r="1586" ht="18.6" customHeight="1" spans="1:11">
      <c r="A1586" s="3">
        <v>1585</v>
      </c>
      <c r="B1586" s="3" t="s">
        <v>2389</v>
      </c>
      <c r="C1586" s="3" t="s">
        <v>3569</v>
      </c>
      <c r="D1586" s="3" t="s">
        <v>797</v>
      </c>
      <c r="E1586" s="3" t="s">
        <v>802</v>
      </c>
      <c r="F1586" s="3"/>
      <c r="G1586" s="3"/>
      <c r="H1586" s="3"/>
      <c r="I1586" s="3" t="s">
        <v>3772</v>
      </c>
      <c r="J1586" s="3" t="s">
        <v>1700</v>
      </c>
      <c r="K1586" s="27" t="s">
        <v>12</v>
      </c>
    </row>
    <row r="1587" ht="18.6" customHeight="1" spans="1:11">
      <c r="A1587" s="3">
        <v>1586</v>
      </c>
      <c r="B1587" s="3" t="s">
        <v>2390</v>
      </c>
      <c r="C1587" s="3" t="s">
        <v>3569</v>
      </c>
      <c r="D1587" s="3" t="s">
        <v>797</v>
      </c>
      <c r="E1587" s="3" t="s">
        <v>823</v>
      </c>
      <c r="F1587" s="3"/>
      <c r="G1587" s="3"/>
      <c r="H1587" s="3"/>
      <c r="I1587" s="3" t="s">
        <v>3769</v>
      </c>
      <c r="J1587" s="3" t="s">
        <v>1700</v>
      </c>
      <c r="K1587" s="27" t="s">
        <v>12</v>
      </c>
    </row>
    <row r="1588" ht="18.6" customHeight="1" spans="1:11">
      <c r="A1588" s="3">
        <v>1587</v>
      </c>
      <c r="B1588" s="3" t="s">
        <v>2391</v>
      </c>
      <c r="C1588" s="3" t="s">
        <v>3569</v>
      </c>
      <c r="D1588" s="3" t="s">
        <v>797</v>
      </c>
      <c r="E1588" s="3" t="s">
        <v>836</v>
      </c>
      <c r="F1588" s="3"/>
      <c r="G1588" s="3"/>
      <c r="H1588" s="3"/>
      <c r="I1588" s="3" t="s">
        <v>3770</v>
      </c>
      <c r="J1588" s="3" t="s">
        <v>1700</v>
      </c>
      <c r="K1588" s="27" t="s">
        <v>12</v>
      </c>
    </row>
    <row r="1589" ht="18.6" customHeight="1" spans="1:11">
      <c r="A1589" s="3">
        <v>1588</v>
      </c>
      <c r="B1589" s="3" t="s">
        <v>2392</v>
      </c>
      <c r="C1589" s="3" t="s">
        <v>3569</v>
      </c>
      <c r="D1589" s="3" t="s">
        <v>797</v>
      </c>
      <c r="E1589" s="3" t="s">
        <v>802</v>
      </c>
      <c r="F1589" s="3"/>
      <c r="G1589" s="3"/>
      <c r="H1589" s="3"/>
      <c r="I1589" s="3" t="s">
        <v>3769</v>
      </c>
      <c r="J1589" s="3" t="s">
        <v>1700</v>
      </c>
      <c r="K1589" s="27" t="s">
        <v>12</v>
      </c>
    </row>
    <row r="1590" ht="18.6" customHeight="1" spans="1:11">
      <c r="A1590" s="3">
        <v>1589</v>
      </c>
      <c r="B1590" s="3" t="s">
        <v>2393</v>
      </c>
      <c r="C1590" s="3" t="s">
        <v>3569</v>
      </c>
      <c r="D1590" s="3" t="s">
        <v>797</v>
      </c>
      <c r="E1590" s="3" t="s">
        <v>802</v>
      </c>
      <c r="F1590" s="3"/>
      <c r="G1590" s="3"/>
      <c r="H1590" s="3"/>
      <c r="I1590" s="3" t="s">
        <v>3773</v>
      </c>
      <c r="J1590" s="3" t="s">
        <v>1700</v>
      </c>
      <c r="K1590" s="27" t="s">
        <v>12</v>
      </c>
    </row>
    <row r="1591" ht="18.6" customHeight="1" spans="1:11">
      <c r="A1591" s="3">
        <v>1590</v>
      </c>
      <c r="B1591" s="3" t="s">
        <v>2394</v>
      </c>
      <c r="C1591" s="3" t="s">
        <v>3569</v>
      </c>
      <c r="D1591" s="3" t="s">
        <v>797</v>
      </c>
      <c r="E1591" s="3" t="s">
        <v>802</v>
      </c>
      <c r="F1591" s="3"/>
      <c r="G1591" s="3"/>
      <c r="H1591" s="3"/>
      <c r="I1591" s="3" t="s">
        <v>3770</v>
      </c>
      <c r="J1591" s="3" t="s">
        <v>1700</v>
      </c>
      <c r="K1591" s="27" t="s">
        <v>12</v>
      </c>
    </row>
    <row r="1592" ht="18.6" customHeight="1" spans="1:11">
      <c r="A1592" s="3">
        <v>1591</v>
      </c>
      <c r="B1592" s="3" t="s">
        <v>2395</v>
      </c>
      <c r="C1592" s="3" t="s">
        <v>3569</v>
      </c>
      <c r="D1592" s="3" t="s">
        <v>797</v>
      </c>
      <c r="E1592" s="3" t="s">
        <v>802</v>
      </c>
      <c r="F1592" s="3"/>
      <c r="G1592" s="3"/>
      <c r="H1592" s="3"/>
      <c r="I1592" s="3" t="s">
        <v>3771</v>
      </c>
      <c r="J1592" s="3" t="s">
        <v>1700</v>
      </c>
      <c r="K1592" s="27" t="s">
        <v>12</v>
      </c>
    </row>
    <row r="1593" ht="18.6" customHeight="1" spans="1:11">
      <c r="A1593" s="3">
        <v>1592</v>
      </c>
      <c r="B1593" s="3" t="s">
        <v>2396</v>
      </c>
      <c r="C1593" s="3" t="s">
        <v>3569</v>
      </c>
      <c r="D1593" s="3" t="s">
        <v>797</v>
      </c>
      <c r="E1593" s="3" t="s">
        <v>802</v>
      </c>
      <c r="F1593" s="3"/>
      <c r="G1593" s="3"/>
      <c r="H1593" s="3"/>
      <c r="I1593" s="3" t="s">
        <v>3777</v>
      </c>
      <c r="J1593" s="3" t="s">
        <v>1700</v>
      </c>
      <c r="K1593" s="27" t="s">
        <v>12</v>
      </c>
    </row>
    <row r="1594" ht="18.6" customHeight="1" spans="1:11">
      <c r="A1594" s="3">
        <v>1593</v>
      </c>
      <c r="B1594" s="3" t="s">
        <v>2397</v>
      </c>
      <c r="C1594" s="3" t="s">
        <v>3569</v>
      </c>
      <c r="D1594" s="3" t="s">
        <v>797</v>
      </c>
      <c r="E1594" s="3" t="s">
        <v>802</v>
      </c>
      <c r="F1594" s="3"/>
      <c r="G1594" s="3"/>
      <c r="H1594" s="3"/>
      <c r="I1594" s="3" t="s">
        <v>3770</v>
      </c>
      <c r="J1594" s="3" t="s">
        <v>1700</v>
      </c>
      <c r="K1594" s="27" t="s">
        <v>12</v>
      </c>
    </row>
    <row r="1595" ht="18.6" customHeight="1" spans="1:11">
      <c r="A1595" s="3">
        <v>1594</v>
      </c>
      <c r="B1595" s="3" t="s">
        <v>2398</v>
      </c>
      <c r="C1595" s="3" t="s">
        <v>3569</v>
      </c>
      <c r="D1595" s="3" t="s">
        <v>797</v>
      </c>
      <c r="E1595" s="3" t="s">
        <v>802</v>
      </c>
      <c r="F1595" s="3"/>
      <c r="G1595" s="3"/>
      <c r="H1595" s="3"/>
      <c r="I1595" s="3"/>
      <c r="J1595" s="3" t="s">
        <v>1700</v>
      </c>
      <c r="K1595" s="27" t="s">
        <v>12</v>
      </c>
    </row>
    <row r="1596" ht="18.6" customHeight="1" spans="1:11">
      <c r="A1596" s="3">
        <v>1595</v>
      </c>
      <c r="B1596" s="3" t="s">
        <v>2399</v>
      </c>
      <c r="C1596" s="3" t="s">
        <v>3569</v>
      </c>
      <c r="D1596" s="3" t="s">
        <v>797</v>
      </c>
      <c r="E1596" s="3" t="s">
        <v>802</v>
      </c>
      <c r="F1596" s="3"/>
      <c r="G1596" s="3"/>
      <c r="H1596" s="3"/>
      <c r="I1596" s="3" t="s">
        <v>3771</v>
      </c>
      <c r="J1596" s="3" t="s">
        <v>1700</v>
      </c>
      <c r="K1596" s="27" t="s">
        <v>12</v>
      </c>
    </row>
    <row r="1597" ht="18.6" customHeight="1" spans="1:11">
      <c r="A1597" s="3">
        <v>1596</v>
      </c>
      <c r="B1597" s="3" t="s">
        <v>2400</v>
      </c>
      <c r="C1597" s="3" t="s">
        <v>3569</v>
      </c>
      <c r="D1597" s="3" t="s">
        <v>797</v>
      </c>
      <c r="E1597" s="3" t="s">
        <v>802</v>
      </c>
      <c r="F1597" s="3"/>
      <c r="G1597" s="3"/>
      <c r="H1597" s="3"/>
      <c r="I1597" s="3" t="s">
        <v>3769</v>
      </c>
      <c r="J1597" s="3" t="s">
        <v>1700</v>
      </c>
      <c r="K1597" s="27" t="s">
        <v>12</v>
      </c>
    </row>
    <row r="1598" ht="18.6" customHeight="1" spans="1:11">
      <c r="A1598" s="3">
        <v>1597</v>
      </c>
      <c r="B1598" s="3" t="s">
        <v>2401</v>
      </c>
      <c r="C1598" s="3" t="s">
        <v>3569</v>
      </c>
      <c r="D1598" s="3" t="s">
        <v>797</v>
      </c>
      <c r="E1598" s="3" t="s">
        <v>817</v>
      </c>
      <c r="F1598" s="3"/>
      <c r="G1598" s="3"/>
      <c r="H1598" s="3"/>
      <c r="I1598" s="3" t="s">
        <v>3769</v>
      </c>
      <c r="J1598" s="3" t="s">
        <v>1700</v>
      </c>
      <c r="K1598" s="27" t="s">
        <v>12</v>
      </c>
    </row>
    <row r="1599" ht="18.6" customHeight="1" spans="1:11">
      <c r="A1599" s="3">
        <v>1598</v>
      </c>
      <c r="B1599" s="3" t="s">
        <v>2402</v>
      </c>
      <c r="C1599" s="3" t="s">
        <v>3569</v>
      </c>
      <c r="D1599" s="3" t="s">
        <v>797</v>
      </c>
      <c r="E1599" s="3" t="s">
        <v>802</v>
      </c>
      <c r="F1599" s="3"/>
      <c r="G1599" s="3"/>
      <c r="H1599" s="3"/>
      <c r="I1599" s="3" t="s">
        <v>3779</v>
      </c>
      <c r="J1599" s="3" t="s">
        <v>1700</v>
      </c>
      <c r="K1599" s="27" t="s">
        <v>12</v>
      </c>
    </row>
    <row r="1600" ht="18.6" customHeight="1" spans="1:11">
      <c r="A1600" s="3">
        <v>1599</v>
      </c>
      <c r="B1600" s="3" t="s">
        <v>2403</v>
      </c>
      <c r="C1600" s="3" t="s">
        <v>3569</v>
      </c>
      <c r="D1600" s="3" t="s">
        <v>797</v>
      </c>
      <c r="E1600" s="3" t="s">
        <v>802</v>
      </c>
      <c r="F1600" s="3"/>
      <c r="G1600" s="3"/>
      <c r="H1600" s="3"/>
      <c r="I1600" s="3" t="s">
        <v>3769</v>
      </c>
      <c r="J1600" s="3" t="s">
        <v>1700</v>
      </c>
      <c r="K1600" s="27" t="s">
        <v>12</v>
      </c>
    </row>
    <row r="1601" ht="18.6" customHeight="1" spans="1:11">
      <c r="A1601" s="3">
        <v>1600</v>
      </c>
      <c r="B1601" s="3" t="s">
        <v>2404</v>
      </c>
      <c r="C1601" s="3" t="s">
        <v>3569</v>
      </c>
      <c r="D1601" s="3" t="s">
        <v>797</v>
      </c>
      <c r="E1601" s="3" t="s">
        <v>815</v>
      </c>
      <c r="F1601" s="3"/>
      <c r="G1601" s="3"/>
      <c r="H1601" s="3"/>
      <c r="I1601" s="3" t="s">
        <v>3773</v>
      </c>
      <c r="J1601" s="3" t="s">
        <v>1700</v>
      </c>
      <c r="K1601" s="27" t="s">
        <v>12</v>
      </c>
    </row>
    <row r="1602" ht="18.6" customHeight="1" spans="1:11">
      <c r="A1602" s="3">
        <v>1601</v>
      </c>
      <c r="B1602" s="3" t="s">
        <v>2405</v>
      </c>
      <c r="C1602" s="3" t="s">
        <v>3569</v>
      </c>
      <c r="D1602" s="3" t="s">
        <v>797</v>
      </c>
      <c r="E1602" s="3" t="s">
        <v>802</v>
      </c>
      <c r="F1602" s="3"/>
      <c r="G1602" s="3"/>
      <c r="H1602" s="3"/>
      <c r="I1602" s="3" t="s">
        <v>3770</v>
      </c>
      <c r="J1602" s="3" t="s">
        <v>1700</v>
      </c>
      <c r="K1602" s="27" t="s">
        <v>12</v>
      </c>
    </row>
    <row r="1603" ht="18.6" customHeight="1" spans="1:11">
      <c r="A1603" s="3">
        <v>1602</v>
      </c>
      <c r="B1603" s="3" t="s">
        <v>2406</v>
      </c>
      <c r="C1603" s="3" t="s">
        <v>3569</v>
      </c>
      <c r="D1603" s="3" t="s">
        <v>797</v>
      </c>
      <c r="E1603" s="3" t="s">
        <v>798</v>
      </c>
      <c r="F1603" s="3"/>
      <c r="G1603" s="3"/>
      <c r="H1603" s="3"/>
      <c r="I1603" s="3" t="s">
        <v>3775</v>
      </c>
      <c r="J1603" s="3" t="s">
        <v>1700</v>
      </c>
      <c r="K1603" s="27" t="s">
        <v>12</v>
      </c>
    </row>
    <row r="1604" ht="18.6" customHeight="1" spans="1:11">
      <c r="A1604" s="3">
        <v>1603</v>
      </c>
      <c r="B1604" s="3" t="s">
        <v>2407</v>
      </c>
      <c r="C1604" s="3" t="s">
        <v>3569</v>
      </c>
      <c r="D1604" s="3" t="s">
        <v>797</v>
      </c>
      <c r="E1604" s="3" t="s">
        <v>813</v>
      </c>
      <c r="F1604" s="3"/>
      <c r="G1604" s="3"/>
      <c r="H1604" s="3"/>
      <c r="I1604" s="3" t="s">
        <v>3769</v>
      </c>
      <c r="J1604" s="3" t="s">
        <v>1700</v>
      </c>
      <c r="K1604" s="27" t="s">
        <v>12</v>
      </c>
    </row>
    <row r="1605" ht="18.6" customHeight="1" spans="1:11">
      <c r="A1605" s="3">
        <v>1604</v>
      </c>
      <c r="B1605" s="3" t="s">
        <v>2408</v>
      </c>
      <c r="C1605" s="3" t="s">
        <v>3569</v>
      </c>
      <c r="D1605" s="3" t="s">
        <v>797</v>
      </c>
      <c r="E1605" s="3" t="s">
        <v>825</v>
      </c>
      <c r="F1605" s="3"/>
      <c r="G1605" s="3"/>
      <c r="H1605" s="3"/>
      <c r="I1605" s="3" t="s">
        <v>3769</v>
      </c>
      <c r="J1605" s="3" t="s">
        <v>1700</v>
      </c>
      <c r="K1605" s="27" t="s">
        <v>12</v>
      </c>
    </row>
    <row r="1606" ht="18.6" customHeight="1" spans="1:11">
      <c r="A1606" s="3">
        <v>1605</v>
      </c>
      <c r="B1606" s="3" t="s">
        <v>2409</v>
      </c>
      <c r="C1606" s="3" t="s">
        <v>3569</v>
      </c>
      <c r="D1606" s="3" t="s">
        <v>797</v>
      </c>
      <c r="E1606" s="3" t="s">
        <v>1546</v>
      </c>
      <c r="F1606" s="3"/>
      <c r="G1606" s="3"/>
      <c r="H1606" s="3"/>
      <c r="I1606" s="3" t="s">
        <v>3770</v>
      </c>
      <c r="J1606" s="3" t="s">
        <v>1700</v>
      </c>
      <c r="K1606" s="27" t="s">
        <v>12</v>
      </c>
    </row>
    <row r="1607" ht="18.6" customHeight="1" spans="1:11">
      <c r="A1607" s="3">
        <v>1606</v>
      </c>
      <c r="B1607" s="3" t="s">
        <v>2410</v>
      </c>
      <c r="C1607" s="3" t="s">
        <v>3569</v>
      </c>
      <c r="D1607" s="3" t="s">
        <v>797</v>
      </c>
      <c r="E1607" s="3" t="s">
        <v>802</v>
      </c>
      <c r="F1607" s="3"/>
      <c r="G1607" s="3"/>
      <c r="H1607" s="3"/>
      <c r="I1607" s="3" t="s">
        <v>3770</v>
      </c>
      <c r="J1607" s="3" t="s">
        <v>1700</v>
      </c>
      <c r="K1607" s="27" t="s">
        <v>12</v>
      </c>
    </row>
    <row r="1608" ht="18.6" customHeight="1" spans="1:11">
      <c r="A1608" s="3">
        <v>1607</v>
      </c>
      <c r="B1608" s="3" t="s">
        <v>2411</v>
      </c>
      <c r="C1608" s="3" t="s">
        <v>3569</v>
      </c>
      <c r="D1608" s="3" t="s">
        <v>797</v>
      </c>
      <c r="E1608" s="3" t="s">
        <v>802</v>
      </c>
      <c r="F1608" s="3"/>
      <c r="G1608" s="3"/>
      <c r="H1608" s="3"/>
      <c r="I1608" s="3" t="s">
        <v>3772</v>
      </c>
      <c r="J1608" s="3" t="s">
        <v>1700</v>
      </c>
      <c r="K1608" s="27" t="s">
        <v>12</v>
      </c>
    </row>
    <row r="1609" ht="18.6" customHeight="1" spans="1:11">
      <c r="A1609" s="3">
        <v>1608</v>
      </c>
      <c r="B1609" s="3" t="s">
        <v>2412</v>
      </c>
      <c r="C1609" s="3" t="s">
        <v>3569</v>
      </c>
      <c r="D1609" s="3" t="s">
        <v>797</v>
      </c>
      <c r="E1609" s="3" t="s">
        <v>802</v>
      </c>
      <c r="F1609" s="3"/>
      <c r="G1609" s="3"/>
      <c r="H1609" s="3"/>
      <c r="I1609" s="3" t="s">
        <v>3770</v>
      </c>
      <c r="J1609" s="3" t="s">
        <v>1700</v>
      </c>
      <c r="K1609" s="27" t="s">
        <v>12</v>
      </c>
    </row>
    <row r="1610" ht="18.6" customHeight="1" spans="1:11">
      <c r="A1610" s="3">
        <v>1609</v>
      </c>
      <c r="B1610" s="3" t="s">
        <v>2413</v>
      </c>
      <c r="C1610" s="3" t="s">
        <v>3569</v>
      </c>
      <c r="D1610" s="3" t="s">
        <v>797</v>
      </c>
      <c r="E1610" s="3" t="s">
        <v>802</v>
      </c>
      <c r="F1610" s="3"/>
      <c r="G1610" s="3"/>
      <c r="H1610" s="3"/>
      <c r="I1610" s="3" t="s">
        <v>3769</v>
      </c>
      <c r="J1610" s="3" t="s">
        <v>1700</v>
      </c>
      <c r="K1610" s="27" t="s">
        <v>12</v>
      </c>
    </row>
    <row r="1611" ht="18.6" customHeight="1" spans="1:11">
      <c r="A1611" s="3">
        <v>1610</v>
      </c>
      <c r="B1611" s="3" t="s">
        <v>2414</v>
      </c>
      <c r="C1611" s="3" t="s">
        <v>3569</v>
      </c>
      <c r="D1611" s="3" t="s">
        <v>797</v>
      </c>
      <c r="E1611" s="3" t="s">
        <v>819</v>
      </c>
      <c r="F1611" s="3"/>
      <c r="G1611" s="3"/>
      <c r="H1611" s="3"/>
      <c r="I1611" s="3" t="s">
        <v>3769</v>
      </c>
      <c r="J1611" s="3" t="s">
        <v>1700</v>
      </c>
      <c r="K1611" s="27" t="s">
        <v>12</v>
      </c>
    </row>
    <row r="1612" ht="18.6" customHeight="1" spans="1:11">
      <c r="A1612" s="3">
        <v>1611</v>
      </c>
      <c r="B1612" s="3" t="s">
        <v>2415</v>
      </c>
      <c r="C1612" s="3" t="s">
        <v>3569</v>
      </c>
      <c r="D1612" s="3" t="s">
        <v>797</v>
      </c>
      <c r="E1612" s="3" t="s">
        <v>811</v>
      </c>
      <c r="F1612" s="3"/>
      <c r="G1612" s="3"/>
      <c r="H1612" s="3"/>
      <c r="I1612" s="3" t="s">
        <v>3769</v>
      </c>
      <c r="J1612" s="3" t="s">
        <v>1700</v>
      </c>
      <c r="K1612" s="27" t="s">
        <v>12</v>
      </c>
    </row>
    <row r="1613" ht="18.6" customHeight="1" spans="1:11">
      <c r="A1613" s="3">
        <v>1612</v>
      </c>
      <c r="B1613" s="3" t="s">
        <v>2416</v>
      </c>
      <c r="C1613" s="3" t="s">
        <v>3569</v>
      </c>
      <c r="D1613" s="3" t="s">
        <v>797</v>
      </c>
      <c r="E1613" s="3" t="s">
        <v>821</v>
      </c>
      <c r="F1613" s="3"/>
      <c r="G1613" s="3"/>
      <c r="H1613" s="3"/>
      <c r="I1613" s="3" t="s">
        <v>3769</v>
      </c>
      <c r="J1613" s="3" t="s">
        <v>1700</v>
      </c>
      <c r="K1613" s="27" t="s">
        <v>12</v>
      </c>
    </row>
    <row r="1614" ht="18.6" customHeight="1" spans="1:11">
      <c r="A1614" s="3">
        <v>1613</v>
      </c>
      <c r="B1614" s="3" t="s">
        <v>2417</v>
      </c>
      <c r="C1614" s="3" t="s">
        <v>3569</v>
      </c>
      <c r="D1614" s="3" t="s">
        <v>797</v>
      </c>
      <c r="E1614" s="3" t="s">
        <v>836</v>
      </c>
      <c r="F1614" s="3"/>
      <c r="G1614" s="3"/>
      <c r="H1614" s="3"/>
      <c r="I1614" s="3" t="s">
        <v>3770</v>
      </c>
      <c r="J1614" s="3" t="s">
        <v>1700</v>
      </c>
      <c r="K1614" s="27" t="s">
        <v>12</v>
      </c>
    </row>
    <row r="1615" ht="18.6" customHeight="1" spans="1:11">
      <c r="A1615" s="3">
        <v>1614</v>
      </c>
      <c r="B1615" s="3" t="s">
        <v>2418</v>
      </c>
      <c r="C1615" s="3" t="s">
        <v>3569</v>
      </c>
      <c r="D1615" s="3" t="s">
        <v>797</v>
      </c>
      <c r="E1615" s="3" t="s">
        <v>798</v>
      </c>
      <c r="F1615" s="3"/>
      <c r="G1615" s="3"/>
      <c r="H1615" s="3"/>
      <c r="I1615" s="3" t="s">
        <v>3770</v>
      </c>
      <c r="J1615" s="3" t="s">
        <v>1700</v>
      </c>
      <c r="K1615" s="27" t="s">
        <v>12</v>
      </c>
    </row>
    <row r="1616" ht="18.6" customHeight="1" spans="1:11">
      <c r="A1616" s="3">
        <v>1615</v>
      </c>
      <c r="B1616" s="3" t="s">
        <v>2419</v>
      </c>
      <c r="C1616" s="3" t="s">
        <v>3569</v>
      </c>
      <c r="D1616" s="3" t="s">
        <v>797</v>
      </c>
      <c r="E1616" s="3" t="s">
        <v>811</v>
      </c>
      <c r="F1616" s="3"/>
      <c r="G1616" s="3"/>
      <c r="H1616" s="3"/>
      <c r="I1616" s="3" t="s">
        <v>3770</v>
      </c>
      <c r="J1616" s="3" t="s">
        <v>1700</v>
      </c>
      <c r="K1616" s="27" t="s">
        <v>12</v>
      </c>
    </row>
    <row r="1617" ht="18.6" customHeight="1" spans="1:11">
      <c r="A1617" s="3">
        <v>1616</v>
      </c>
      <c r="B1617" s="3" t="s">
        <v>2420</v>
      </c>
      <c r="C1617" s="3" t="s">
        <v>3569</v>
      </c>
      <c r="D1617" s="3" t="s">
        <v>797</v>
      </c>
      <c r="E1617" s="3" t="s">
        <v>836</v>
      </c>
      <c r="F1617" s="3"/>
      <c r="G1617" s="3"/>
      <c r="H1617" s="3"/>
      <c r="I1617" s="3" t="s">
        <v>3775</v>
      </c>
      <c r="J1617" s="3" t="s">
        <v>1700</v>
      </c>
      <c r="K1617" s="27" t="s">
        <v>12</v>
      </c>
    </row>
    <row r="1618" ht="18.6" customHeight="1" spans="1:11">
      <c r="A1618" s="3">
        <v>1617</v>
      </c>
      <c r="B1618" s="3" t="s">
        <v>2421</v>
      </c>
      <c r="C1618" s="3" t="s">
        <v>3569</v>
      </c>
      <c r="D1618" s="3" t="s">
        <v>797</v>
      </c>
      <c r="E1618" s="3" t="s">
        <v>811</v>
      </c>
      <c r="F1618" s="3"/>
      <c r="G1618" s="3"/>
      <c r="H1618" s="3"/>
      <c r="I1618" s="3" t="s">
        <v>3780</v>
      </c>
      <c r="J1618" s="3" t="s">
        <v>1700</v>
      </c>
      <c r="K1618" s="27" t="s">
        <v>12</v>
      </c>
    </row>
    <row r="1619" ht="18.6" customHeight="1" spans="1:11">
      <c r="A1619" s="3">
        <v>1618</v>
      </c>
      <c r="B1619" s="3" t="s">
        <v>2422</v>
      </c>
      <c r="C1619" s="3" t="s">
        <v>3569</v>
      </c>
      <c r="D1619" s="3" t="s">
        <v>797</v>
      </c>
      <c r="E1619" s="3" t="s">
        <v>800</v>
      </c>
      <c r="F1619" s="3"/>
      <c r="G1619" s="3"/>
      <c r="H1619" s="3"/>
      <c r="I1619" s="3" t="s">
        <v>3780</v>
      </c>
      <c r="J1619" s="3" t="s">
        <v>1700</v>
      </c>
      <c r="K1619" s="27" t="s">
        <v>12</v>
      </c>
    </row>
    <row r="1620" ht="18.6" customHeight="1" spans="1:11">
      <c r="A1620" s="3">
        <v>1619</v>
      </c>
      <c r="B1620" s="3" t="s">
        <v>2423</v>
      </c>
      <c r="C1620" s="3" t="s">
        <v>3569</v>
      </c>
      <c r="D1620" s="3" t="s">
        <v>797</v>
      </c>
      <c r="E1620" s="3" t="s">
        <v>815</v>
      </c>
      <c r="F1620" s="3"/>
      <c r="G1620" s="3"/>
      <c r="H1620" s="3"/>
      <c r="I1620" s="3" t="s">
        <v>3769</v>
      </c>
      <c r="J1620" s="3" t="s">
        <v>1700</v>
      </c>
      <c r="K1620" s="27" t="s">
        <v>12</v>
      </c>
    </row>
    <row r="1621" ht="18.6" customHeight="1" spans="1:11">
      <c r="A1621" s="3">
        <v>1620</v>
      </c>
      <c r="B1621" s="3" t="s">
        <v>2424</v>
      </c>
      <c r="C1621" s="3" t="s">
        <v>3569</v>
      </c>
      <c r="D1621" s="3" t="s">
        <v>797</v>
      </c>
      <c r="E1621" s="3" t="s">
        <v>831</v>
      </c>
      <c r="F1621" s="3"/>
      <c r="G1621" s="3"/>
      <c r="H1621" s="3"/>
      <c r="I1621" s="3" t="s">
        <v>3769</v>
      </c>
      <c r="J1621" s="3" t="s">
        <v>1700</v>
      </c>
      <c r="K1621" s="27" t="s">
        <v>12</v>
      </c>
    </row>
    <row r="1622" ht="18.6" customHeight="1" spans="1:11">
      <c r="A1622" s="3">
        <v>1621</v>
      </c>
      <c r="B1622" s="3" t="s">
        <v>2425</v>
      </c>
      <c r="C1622" s="3" t="s">
        <v>3569</v>
      </c>
      <c r="D1622" s="3" t="s">
        <v>797</v>
      </c>
      <c r="E1622" s="3" t="s">
        <v>831</v>
      </c>
      <c r="F1622" s="3"/>
      <c r="G1622" s="3"/>
      <c r="H1622" s="3"/>
      <c r="I1622" s="3" t="s">
        <v>3772</v>
      </c>
      <c r="J1622" s="3" t="s">
        <v>1700</v>
      </c>
      <c r="K1622" s="27" t="s">
        <v>12</v>
      </c>
    </row>
    <row r="1623" ht="18.6" customHeight="1" spans="1:11">
      <c r="A1623" s="3">
        <v>1622</v>
      </c>
      <c r="B1623" s="3" t="s">
        <v>2426</v>
      </c>
      <c r="C1623" s="3" t="s">
        <v>3569</v>
      </c>
      <c r="D1623" s="3" t="s">
        <v>797</v>
      </c>
      <c r="E1623" s="3" t="s">
        <v>823</v>
      </c>
      <c r="F1623" s="3"/>
      <c r="G1623" s="3"/>
      <c r="H1623" s="3"/>
      <c r="I1623" s="3"/>
      <c r="J1623" s="3" t="s">
        <v>1700</v>
      </c>
      <c r="K1623" s="27" t="s">
        <v>12</v>
      </c>
    </row>
    <row r="1624" ht="18.6" customHeight="1" spans="1:11">
      <c r="A1624" s="3">
        <v>1623</v>
      </c>
      <c r="B1624" s="3" t="s">
        <v>2427</v>
      </c>
      <c r="C1624" s="3" t="s">
        <v>3569</v>
      </c>
      <c r="D1624" s="3" t="s">
        <v>797</v>
      </c>
      <c r="E1624" s="3" t="s">
        <v>798</v>
      </c>
      <c r="F1624" s="3"/>
      <c r="G1624" s="3"/>
      <c r="H1624" s="3"/>
      <c r="I1624" s="3" t="s">
        <v>3770</v>
      </c>
      <c r="J1624" s="3" t="s">
        <v>1700</v>
      </c>
      <c r="K1624" s="27" t="s">
        <v>12</v>
      </c>
    </row>
    <row r="1625" ht="18.6" customHeight="1" spans="1:11">
      <c r="A1625" s="3">
        <v>1624</v>
      </c>
      <c r="B1625" s="3" t="s">
        <v>2428</v>
      </c>
      <c r="C1625" s="3" t="s">
        <v>3569</v>
      </c>
      <c r="D1625" s="3" t="s">
        <v>797</v>
      </c>
      <c r="E1625" s="3" t="s">
        <v>802</v>
      </c>
      <c r="F1625" s="3"/>
      <c r="G1625" s="3"/>
      <c r="H1625" s="3"/>
      <c r="I1625" s="3" t="s">
        <v>3770</v>
      </c>
      <c r="J1625" s="3" t="s">
        <v>1700</v>
      </c>
      <c r="K1625" s="27" t="s">
        <v>12</v>
      </c>
    </row>
    <row r="1626" ht="18.6" customHeight="1" spans="1:11">
      <c r="A1626" s="3">
        <v>1625</v>
      </c>
      <c r="B1626" s="3" t="s">
        <v>2429</v>
      </c>
      <c r="C1626" s="3" t="s">
        <v>3569</v>
      </c>
      <c r="D1626" s="3" t="s">
        <v>797</v>
      </c>
      <c r="E1626" s="3" t="s">
        <v>802</v>
      </c>
      <c r="F1626" s="3"/>
      <c r="G1626" s="3"/>
      <c r="H1626" s="3"/>
      <c r="I1626" s="3" t="s">
        <v>3770</v>
      </c>
      <c r="J1626" s="3" t="s">
        <v>1700</v>
      </c>
      <c r="K1626" s="27" t="s">
        <v>12</v>
      </c>
    </row>
    <row r="1627" ht="18.6" customHeight="1" spans="1:11">
      <c r="A1627" s="3">
        <v>1626</v>
      </c>
      <c r="B1627" s="3" t="s">
        <v>2430</v>
      </c>
      <c r="C1627" s="3" t="s">
        <v>3569</v>
      </c>
      <c r="D1627" s="3" t="s">
        <v>797</v>
      </c>
      <c r="E1627" s="3" t="s">
        <v>802</v>
      </c>
      <c r="F1627" s="3"/>
      <c r="G1627" s="3"/>
      <c r="H1627" s="3"/>
      <c r="I1627" s="3" t="s">
        <v>3769</v>
      </c>
      <c r="J1627" s="3" t="s">
        <v>1700</v>
      </c>
      <c r="K1627" s="27" t="s">
        <v>12</v>
      </c>
    </row>
    <row r="1628" ht="18.6" customHeight="1" spans="1:11">
      <c r="A1628" s="3">
        <v>1627</v>
      </c>
      <c r="B1628" s="3" t="s">
        <v>2431</v>
      </c>
      <c r="C1628" s="3" t="s">
        <v>3569</v>
      </c>
      <c r="D1628" s="3" t="s">
        <v>797</v>
      </c>
      <c r="E1628" s="3" t="s">
        <v>815</v>
      </c>
      <c r="F1628" s="3"/>
      <c r="G1628" s="3"/>
      <c r="H1628" s="3"/>
      <c r="I1628" s="3" t="s">
        <v>3770</v>
      </c>
      <c r="J1628" s="3" t="s">
        <v>1700</v>
      </c>
      <c r="K1628" s="27" t="s">
        <v>12</v>
      </c>
    </row>
    <row r="1629" ht="18.6" customHeight="1" spans="1:11">
      <c r="A1629" s="3">
        <v>1628</v>
      </c>
      <c r="B1629" s="3" t="s">
        <v>2432</v>
      </c>
      <c r="C1629" s="3" t="s">
        <v>3569</v>
      </c>
      <c r="D1629" s="3" t="s">
        <v>797</v>
      </c>
      <c r="E1629" s="3" t="s">
        <v>836</v>
      </c>
      <c r="F1629" s="3"/>
      <c r="G1629" s="3"/>
      <c r="H1629" s="3"/>
      <c r="I1629" s="3" t="s">
        <v>3770</v>
      </c>
      <c r="J1629" s="3" t="s">
        <v>1700</v>
      </c>
      <c r="K1629" s="27" t="s">
        <v>12</v>
      </c>
    </row>
    <row r="1630" ht="18.6" customHeight="1" spans="1:11">
      <c r="A1630" s="3">
        <v>1629</v>
      </c>
      <c r="B1630" s="3" t="s">
        <v>2433</v>
      </c>
      <c r="C1630" s="3" t="s">
        <v>3569</v>
      </c>
      <c r="D1630" s="3" t="s">
        <v>797</v>
      </c>
      <c r="E1630" s="3" t="s">
        <v>802</v>
      </c>
      <c r="F1630" s="3"/>
      <c r="G1630" s="3"/>
      <c r="H1630" s="3"/>
      <c r="I1630" s="3" t="s">
        <v>3770</v>
      </c>
      <c r="J1630" s="3" t="s">
        <v>1700</v>
      </c>
      <c r="K1630" s="27" t="s">
        <v>12</v>
      </c>
    </row>
    <row r="1631" ht="18.6" customHeight="1" spans="1:11">
      <c r="A1631" s="3">
        <v>1630</v>
      </c>
      <c r="B1631" s="3" t="s">
        <v>2434</v>
      </c>
      <c r="C1631" s="3" t="s">
        <v>3569</v>
      </c>
      <c r="D1631" s="3" t="s">
        <v>797</v>
      </c>
      <c r="E1631" s="3" t="s">
        <v>798</v>
      </c>
      <c r="F1631" s="3"/>
      <c r="G1631" s="3"/>
      <c r="H1631" s="3"/>
      <c r="I1631" s="3" t="s">
        <v>3770</v>
      </c>
      <c r="J1631" s="3" t="s">
        <v>1700</v>
      </c>
      <c r="K1631" s="27" t="s">
        <v>12</v>
      </c>
    </row>
    <row r="1632" ht="18.6" customHeight="1" spans="1:11">
      <c r="A1632" s="3">
        <v>1631</v>
      </c>
      <c r="B1632" s="3" t="s">
        <v>2435</v>
      </c>
      <c r="C1632" s="3" t="s">
        <v>3569</v>
      </c>
      <c r="D1632" s="3" t="s">
        <v>797</v>
      </c>
      <c r="E1632" s="3" t="s">
        <v>831</v>
      </c>
      <c r="F1632" s="3"/>
      <c r="G1632" s="3"/>
      <c r="H1632" s="3"/>
      <c r="I1632" s="3" t="s">
        <v>3775</v>
      </c>
      <c r="J1632" s="3" t="s">
        <v>1700</v>
      </c>
      <c r="K1632" s="27" t="s">
        <v>12</v>
      </c>
    </row>
    <row r="1633" ht="18.6" customHeight="1" spans="1:11">
      <c r="A1633" s="3">
        <v>1632</v>
      </c>
      <c r="B1633" s="3" t="s">
        <v>2436</v>
      </c>
      <c r="C1633" s="3" t="s">
        <v>3569</v>
      </c>
      <c r="D1633" s="3" t="s">
        <v>797</v>
      </c>
      <c r="E1633" s="3" t="s">
        <v>798</v>
      </c>
      <c r="F1633" s="3"/>
      <c r="G1633" s="3"/>
      <c r="H1633" s="3"/>
      <c r="I1633" s="3" t="s">
        <v>3770</v>
      </c>
      <c r="J1633" s="3" t="s">
        <v>1700</v>
      </c>
      <c r="K1633" s="27" t="s">
        <v>12</v>
      </c>
    </row>
    <row r="1634" ht="18.6" customHeight="1" spans="1:11">
      <c r="A1634" s="3">
        <v>1633</v>
      </c>
      <c r="B1634" s="3" t="s">
        <v>2437</v>
      </c>
      <c r="C1634" s="3" t="s">
        <v>3569</v>
      </c>
      <c r="D1634" s="3" t="s">
        <v>797</v>
      </c>
      <c r="E1634" s="3" t="s">
        <v>802</v>
      </c>
      <c r="F1634" s="3"/>
      <c r="G1634" s="3"/>
      <c r="H1634" s="3"/>
      <c r="I1634" s="3" t="s">
        <v>3775</v>
      </c>
      <c r="J1634" s="3" t="s">
        <v>1700</v>
      </c>
      <c r="K1634" s="27" t="s">
        <v>12</v>
      </c>
    </row>
    <row r="1635" ht="18.6" customHeight="1" spans="1:11">
      <c r="A1635" s="3">
        <v>1634</v>
      </c>
      <c r="B1635" s="3" t="s">
        <v>2438</v>
      </c>
      <c r="C1635" s="3" t="s">
        <v>3569</v>
      </c>
      <c r="D1635" s="3" t="s">
        <v>797</v>
      </c>
      <c r="E1635" s="3" t="s">
        <v>802</v>
      </c>
      <c r="F1635" s="3"/>
      <c r="G1635" s="3"/>
      <c r="H1635" s="3"/>
      <c r="I1635" s="3" t="s">
        <v>3775</v>
      </c>
      <c r="J1635" s="3" t="s">
        <v>1700</v>
      </c>
      <c r="K1635" s="27" t="s">
        <v>12</v>
      </c>
    </row>
    <row r="1636" ht="18.6" customHeight="1" spans="1:11">
      <c r="A1636" s="3">
        <v>1635</v>
      </c>
      <c r="B1636" s="3" t="s">
        <v>2439</v>
      </c>
      <c r="C1636" s="3" t="s">
        <v>3569</v>
      </c>
      <c r="D1636" s="3" t="s">
        <v>797</v>
      </c>
      <c r="E1636" s="3" t="s">
        <v>836</v>
      </c>
      <c r="F1636" s="3"/>
      <c r="G1636" s="3"/>
      <c r="H1636" s="3"/>
      <c r="I1636" s="3" t="s">
        <v>3770</v>
      </c>
      <c r="J1636" s="3" t="s">
        <v>1700</v>
      </c>
      <c r="K1636" s="27" t="s">
        <v>12</v>
      </c>
    </row>
    <row r="1637" ht="18.6" customHeight="1" spans="1:11">
      <c r="A1637" s="3">
        <v>1636</v>
      </c>
      <c r="B1637" s="3" t="s">
        <v>2440</v>
      </c>
      <c r="C1637" s="3" t="s">
        <v>3569</v>
      </c>
      <c r="D1637" s="3" t="s">
        <v>797</v>
      </c>
      <c r="E1637" s="3" t="s">
        <v>821</v>
      </c>
      <c r="F1637" s="3"/>
      <c r="G1637" s="3"/>
      <c r="H1637" s="3"/>
      <c r="I1637" s="3" t="s">
        <v>3776</v>
      </c>
      <c r="J1637" s="3" t="s">
        <v>1700</v>
      </c>
      <c r="K1637" s="27" t="s">
        <v>12</v>
      </c>
    </row>
    <row r="1638" ht="18.6" customHeight="1" spans="1:11">
      <c r="A1638" s="3">
        <v>1637</v>
      </c>
      <c r="B1638" s="3" t="s">
        <v>2441</v>
      </c>
      <c r="C1638" s="3" t="s">
        <v>3569</v>
      </c>
      <c r="D1638" s="3" t="s">
        <v>797</v>
      </c>
      <c r="E1638" s="3" t="s">
        <v>813</v>
      </c>
      <c r="F1638" s="3"/>
      <c r="G1638" s="3"/>
      <c r="H1638" s="3"/>
      <c r="I1638" s="3" t="s">
        <v>3776</v>
      </c>
      <c r="J1638" s="3" t="s">
        <v>1700</v>
      </c>
      <c r="K1638" s="27" t="s">
        <v>12</v>
      </c>
    </row>
    <row r="1639" ht="18.6" customHeight="1" spans="1:11">
      <c r="A1639" s="3">
        <v>1638</v>
      </c>
      <c r="B1639" s="3" t="s">
        <v>2442</v>
      </c>
      <c r="C1639" s="3" t="s">
        <v>3569</v>
      </c>
      <c r="D1639" s="3" t="s">
        <v>797</v>
      </c>
      <c r="E1639" s="3" t="s">
        <v>802</v>
      </c>
      <c r="F1639" s="3"/>
      <c r="G1639" s="3"/>
      <c r="H1639" s="3"/>
      <c r="I1639" s="3" t="s">
        <v>3769</v>
      </c>
      <c r="J1639" s="3" t="s">
        <v>1700</v>
      </c>
      <c r="K1639" s="27" t="s">
        <v>12</v>
      </c>
    </row>
    <row r="1640" ht="18.6" customHeight="1" spans="1:11">
      <c r="A1640" s="3">
        <v>1639</v>
      </c>
      <c r="B1640" s="3" t="s">
        <v>2443</v>
      </c>
      <c r="C1640" s="3" t="s">
        <v>3569</v>
      </c>
      <c r="D1640" s="3" t="s">
        <v>797</v>
      </c>
      <c r="E1640" s="3" t="s">
        <v>819</v>
      </c>
      <c r="F1640" s="3"/>
      <c r="G1640" s="3"/>
      <c r="H1640" s="3"/>
      <c r="I1640" s="3"/>
      <c r="J1640" s="3" t="s">
        <v>1700</v>
      </c>
      <c r="K1640" s="27" t="s">
        <v>12</v>
      </c>
    </row>
    <row r="1641" ht="18.6" customHeight="1" spans="1:11">
      <c r="A1641" s="3">
        <v>1640</v>
      </c>
      <c r="B1641" s="3" t="s">
        <v>2444</v>
      </c>
      <c r="C1641" s="3" t="s">
        <v>3569</v>
      </c>
      <c r="D1641" s="3" t="s">
        <v>797</v>
      </c>
      <c r="E1641" s="3" t="s">
        <v>823</v>
      </c>
      <c r="F1641" s="3"/>
      <c r="G1641" s="3"/>
      <c r="H1641" s="3"/>
      <c r="I1641" s="3"/>
      <c r="J1641" s="3" t="s">
        <v>1700</v>
      </c>
      <c r="K1641" s="27" t="s">
        <v>12</v>
      </c>
    </row>
    <row r="1642" ht="18.6" customHeight="1" spans="1:11">
      <c r="A1642" s="3">
        <v>1641</v>
      </c>
      <c r="B1642" s="3" t="s">
        <v>2445</v>
      </c>
      <c r="C1642" s="3" t="s">
        <v>3569</v>
      </c>
      <c r="D1642" s="3" t="s">
        <v>797</v>
      </c>
      <c r="E1642" s="3" t="s">
        <v>815</v>
      </c>
      <c r="F1642" s="3"/>
      <c r="G1642" s="3"/>
      <c r="H1642" s="3"/>
      <c r="I1642" s="3"/>
      <c r="J1642" s="3" t="s">
        <v>1700</v>
      </c>
      <c r="K1642" s="27" t="s">
        <v>12</v>
      </c>
    </row>
    <row r="1643" ht="18.6" customHeight="1" spans="1:11">
      <c r="A1643" s="3">
        <v>1642</v>
      </c>
      <c r="B1643" s="3" t="s">
        <v>2446</v>
      </c>
      <c r="C1643" s="3" t="s">
        <v>3569</v>
      </c>
      <c r="D1643" s="3" t="s">
        <v>797</v>
      </c>
      <c r="E1643" s="3" t="s">
        <v>802</v>
      </c>
      <c r="F1643" s="3"/>
      <c r="G1643" s="3"/>
      <c r="H1643" s="3"/>
      <c r="I1643" s="3"/>
      <c r="J1643" s="3" t="s">
        <v>1700</v>
      </c>
      <c r="K1643" s="27" t="s">
        <v>12</v>
      </c>
    </row>
    <row r="1644" ht="18.6" customHeight="1" spans="1:11">
      <c r="A1644" s="3">
        <v>1643</v>
      </c>
      <c r="B1644" s="3" t="s">
        <v>3814</v>
      </c>
      <c r="C1644" s="3" t="s">
        <v>3588</v>
      </c>
      <c r="D1644" s="3" t="s">
        <v>844</v>
      </c>
      <c r="E1644" s="3" t="s">
        <v>890</v>
      </c>
      <c r="F1644" s="3"/>
      <c r="G1644" s="3"/>
      <c r="H1644" s="3"/>
      <c r="I1644" s="3" t="s">
        <v>3769</v>
      </c>
      <c r="J1644" s="3" t="s">
        <v>1700</v>
      </c>
      <c r="K1644" s="27" t="s">
        <v>12</v>
      </c>
    </row>
    <row r="1645" ht="18.6" customHeight="1" spans="1:11">
      <c r="A1645" s="3">
        <v>1644</v>
      </c>
      <c r="B1645" s="3" t="s">
        <v>2447</v>
      </c>
      <c r="C1645" s="3" t="s">
        <v>3588</v>
      </c>
      <c r="D1645" s="3" t="s">
        <v>844</v>
      </c>
      <c r="E1645" s="3" t="s">
        <v>845</v>
      </c>
      <c r="F1645" s="3"/>
      <c r="G1645" s="3"/>
      <c r="H1645" s="3"/>
      <c r="I1645" s="3" t="s">
        <v>3770</v>
      </c>
      <c r="J1645" s="3" t="s">
        <v>1700</v>
      </c>
      <c r="K1645" s="27" t="s">
        <v>12</v>
      </c>
    </row>
    <row r="1646" ht="18.6" customHeight="1" spans="1:11">
      <c r="A1646" s="3">
        <v>1645</v>
      </c>
      <c r="B1646" s="3" t="s">
        <v>2448</v>
      </c>
      <c r="C1646" s="3" t="s">
        <v>3588</v>
      </c>
      <c r="D1646" s="3" t="s">
        <v>844</v>
      </c>
      <c r="E1646" s="3" t="s">
        <v>845</v>
      </c>
      <c r="F1646" s="3"/>
      <c r="G1646" s="3"/>
      <c r="H1646" s="3"/>
      <c r="I1646" s="3" t="s">
        <v>3770</v>
      </c>
      <c r="J1646" s="3" t="s">
        <v>1700</v>
      </c>
      <c r="K1646" s="27" t="s">
        <v>12</v>
      </c>
    </row>
    <row r="1647" ht="18.6" customHeight="1" spans="1:11">
      <c r="A1647" s="3">
        <v>1646</v>
      </c>
      <c r="B1647" s="3" t="s">
        <v>2449</v>
      </c>
      <c r="C1647" s="3" t="s">
        <v>3588</v>
      </c>
      <c r="D1647" s="3" t="s">
        <v>844</v>
      </c>
      <c r="E1647" s="3" t="s">
        <v>845</v>
      </c>
      <c r="F1647" s="3"/>
      <c r="G1647" s="3"/>
      <c r="H1647" s="3"/>
      <c r="I1647" s="3" t="s">
        <v>3771</v>
      </c>
      <c r="J1647" s="3" t="s">
        <v>1700</v>
      </c>
      <c r="K1647" s="27" t="s">
        <v>12</v>
      </c>
    </row>
    <row r="1648" ht="18.6" customHeight="1" spans="1:11">
      <c r="A1648" s="3">
        <v>1647</v>
      </c>
      <c r="B1648" s="3" t="s">
        <v>2450</v>
      </c>
      <c r="C1648" s="3" t="s">
        <v>3327</v>
      </c>
      <c r="D1648" s="3" t="s">
        <v>844</v>
      </c>
      <c r="E1648" s="3" t="s">
        <v>845</v>
      </c>
      <c r="F1648" s="3"/>
      <c r="G1648" s="3"/>
      <c r="H1648" s="3"/>
      <c r="I1648" s="3" t="s">
        <v>3770</v>
      </c>
      <c r="J1648" s="3" t="s">
        <v>1700</v>
      </c>
      <c r="K1648" s="27" t="s">
        <v>12</v>
      </c>
    </row>
    <row r="1649" ht="18.6" customHeight="1" spans="1:11">
      <c r="A1649" s="3">
        <v>1648</v>
      </c>
      <c r="B1649" s="3" t="s">
        <v>3815</v>
      </c>
      <c r="C1649" s="3" t="s">
        <v>3588</v>
      </c>
      <c r="D1649" s="3" t="s">
        <v>844</v>
      </c>
      <c r="E1649" s="3" t="s">
        <v>845</v>
      </c>
      <c r="F1649" s="3"/>
      <c r="G1649" s="3"/>
      <c r="H1649" s="3"/>
      <c r="I1649" s="3" t="s">
        <v>3769</v>
      </c>
      <c r="J1649" s="3" t="s">
        <v>1700</v>
      </c>
      <c r="K1649" s="27" t="s">
        <v>12</v>
      </c>
    </row>
    <row r="1650" ht="18.6" customHeight="1" spans="1:11">
      <c r="A1650" s="3">
        <v>1649</v>
      </c>
      <c r="B1650" s="3" t="s">
        <v>2451</v>
      </c>
      <c r="C1650" s="3" t="s">
        <v>3588</v>
      </c>
      <c r="D1650" s="3" t="s">
        <v>844</v>
      </c>
      <c r="E1650" s="3" t="s">
        <v>859</v>
      </c>
      <c r="F1650" s="3"/>
      <c r="G1650" s="3"/>
      <c r="H1650" s="3"/>
      <c r="I1650" s="3" t="s">
        <v>3770</v>
      </c>
      <c r="J1650" s="3" t="s">
        <v>1700</v>
      </c>
      <c r="K1650" s="27" t="s">
        <v>12</v>
      </c>
    </row>
    <row r="1651" ht="18.6" customHeight="1" spans="1:11">
      <c r="A1651" s="3">
        <v>1650</v>
      </c>
      <c r="B1651" s="3" t="s">
        <v>2452</v>
      </c>
      <c r="C1651" s="3" t="s">
        <v>3588</v>
      </c>
      <c r="D1651" s="3" t="s">
        <v>844</v>
      </c>
      <c r="E1651" s="3" t="s">
        <v>845</v>
      </c>
      <c r="F1651" s="3"/>
      <c r="G1651" s="3"/>
      <c r="H1651" s="3"/>
      <c r="I1651" s="3" t="s">
        <v>3769</v>
      </c>
      <c r="J1651" s="3" t="s">
        <v>1700</v>
      </c>
      <c r="K1651" s="27" t="s">
        <v>12</v>
      </c>
    </row>
    <row r="1652" ht="18.6" customHeight="1" spans="1:11">
      <c r="A1652" s="3">
        <v>1651</v>
      </c>
      <c r="B1652" s="3" t="s">
        <v>2453</v>
      </c>
      <c r="C1652" s="3" t="s">
        <v>3588</v>
      </c>
      <c r="D1652" s="3" t="s">
        <v>844</v>
      </c>
      <c r="E1652" s="3" t="s">
        <v>890</v>
      </c>
      <c r="F1652" s="3"/>
      <c r="G1652" s="3"/>
      <c r="H1652" s="3"/>
      <c r="I1652" s="3" t="s">
        <v>3769</v>
      </c>
      <c r="J1652" s="3" t="s">
        <v>1700</v>
      </c>
      <c r="K1652" s="27" t="s">
        <v>12</v>
      </c>
    </row>
    <row r="1653" ht="18.6" customHeight="1" spans="1:11">
      <c r="A1653" s="3">
        <v>1652</v>
      </c>
      <c r="B1653" s="3" t="s">
        <v>2454</v>
      </c>
      <c r="C1653" s="3" t="s">
        <v>3588</v>
      </c>
      <c r="D1653" s="3" t="s">
        <v>844</v>
      </c>
      <c r="E1653" s="3" t="s">
        <v>845</v>
      </c>
      <c r="F1653" s="3"/>
      <c r="G1653" s="3"/>
      <c r="H1653" s="3"/>
      <c r="I1653" s="3" t="s">
        <v>3769</v>
      </c>
      <c r="J1653" s="3" t="s">
        <v>1700</v>
      </c>
      <c r="K1653" s="27" t="s">
        <v>12</v>
      </c>
    </row>
    <row r="1654" ht="18.6" customHeight="1" spans="1:11">
      <c r="A1654" s="3">
        <v>1653</v>
      </c>
      <c r="B1654" s="3" t="s">
        <v>2455</v>
      </c>
      <c r="C1654" s="3" t="s">
        <v>3588</v>
      </c>
      <c r="D1654" s="3" t="s">
        <v>844</v>
      </c>
      <c r="E1654" s="3" t="s">
        <v>845</v>
      </c>
      <c r="F1654" s="3"/>
      <c r="G1654" s="3"/>
      <c r="H1654" s="3"/>
      <c r="I1654" s="3" t="s">
        <v>3775</v>
      </c>
      <c r="J1654" s="3" t="s">
        <v>1700</v>
      </c>
      <c r="K1654" s="27" t="s">
        <v>12</v>
      </c>
    </row>
    <row r="1655" ht="18.6" customHeight="1" spans="1:11">
      <c r="A1655" s="3">
        <v>1654</v>
      </c>
      <c r="B1655" s="3" t="s">
        <v>2456</v>
      </c>
      <c r="C1655" s="3" t="s">
        <v>3588</v>
      </c>
      <c r="D1655" s="3" t="s">
        <v>844</v>
      </c>
      <c r="E1655" s="3" t="s">
        <v>845</v>
      </c>
      <c r="F1655" s="3"/>
      <c r="G1655" s="3"/>
      <c r="H1655" s="3"/>
      <c r="I1655" s="3" t="s">
        <v>3769</v>
      </c>
      <c r="J1655" s="3" t="s">
        <v>1700</v>
      </c>
      <c r="K1655" s="27" t="s">
        <v>12</v>
      </c>
    </row>
    <row r="1656" ht="18.6" customHeight="1" spans="1:11">
      <c r="A1656" s="3">
        <v>1655</v>
      </c>
      <c r="B1656" s="3" t="s">
        <v>2457</v>
      </c>
      <c r="C1656" s="3" t="s">
        <v>3588</v>
      </c>
      <c r="D1656" s="3" t="s">
        <v>844</v>
      </c>
      <c r="E1656" s="3" t="s">
        <v>845</v>
      </c>
      <c r="F1656" s="3"/>
      <c r="G1656" s="3"/>
      <c r="H1656" s="3"/>
      <c r="I1656" s="3" t="s">
        <v>3777</v>
      </c>
      <c r="J1656" s="3" t="s">
        <v>1700</v>
      </c>
      <c r="K1656" s="27" t="s">
        <v>12</v>
      </c>
    </row>
    <row r="1657" ht="18.6" customHeight="1" spans="1:11">
      <c r="A1657" s="3">
        <v>1656</v>
      </c>
      <c r="B1657" s="3" t="s">
        <v>2458</v>
      </c>
      <c r="C1657" s="3" t="s">
        <v>3588</v>
      </c>
      <c r="D1657" s="3" t="s">
        <v>844</v>
      </c>
      <c r="E1657" s="3" t="s">
        <v>890</v>
      </c>
      <c r="F1657" s="3"/>
      <c r="G1657" s="3"/>
      <c r="H1657" s="3"/>
      <c r="I1657" s="3" t="s">
        <v>3769</v>
      </c>
      <c r="J1657" s="3" t="s">
        <v>1700</v>
      </c>
      <c r="K1657" s="27" t="s">
        <v>12</v>
      </c>
    </row>
    <row r="1658" ht="18.6" customHeight="1" spans="1:11">
      <c r="A1658" s="3">
        <v>1657</v>
      </c>
      <c r="B1658" s="3" t="s">
        <v>2459</v>
      </c>
      <c r="C1658" s="3" t="s">
        <v>3588</v>
      </c>
      <c r="D1658" s="3" t="s">
        <v>844</v>
      </c>
      <c r="E1658" s="3" t="s">
        <v>845</v>
      </c>
      <c r="F1658" s="3"/>
      <c r="G1658" s="3"/>
      <c r="H1658" s="3"/>
      <c r="I1658" s="3" t="s">
        <v>3770</v>
      </c>
      <c r="J1658" s="3" t="s">
        <v>1700</v>
      </c>
      <c r="K1658" s="27" t="s">
        <v>12</v>
      </c>
    </row>
    <row r="1659" ht="18.6" customHeight="1" spans="1:11">
      <c r="A1659" s="3">
        <v>1658</v>
      </c>
      <c r="B1659" s="3" t="s">
        <v>2460</v>
      </c>
      <c r="C1659" s="3" t="s">
        <v>3588</v>
      </c>
      <c r="D1659" s="3" t="s">
        <v>844</v>
      </c>
      <c r="E1659" s="3" t="s">
        <v>845</v>
      </c>
      <c r="F1659" s="3"/>
      <c r="G1659" s="3"/>
      <c r="H1659" s="3"/>
      <c r="I1659" s="3" t="s">
        <v>3769</v>
      </c>
      <c r="J1659" s="3" t="s">
        <v>1700</v>
      </c>
      <c r="K1659" s="27" t="s">
        <v>12</v>
      </c>
    </row>
    <row r="1660" ht="18.6" customHeight="1" spans="1:11">
      <c r="A1660" s="3">
        <v>1659</v>
      </c>
      <c r="B1660" s="3" t="s">
        <v>2461</v>
      </c>
      <c r="C1660" s="3" t="s">
        <v>3588</v>
      </c>
      <c r="D1660" s="3" t="s">
        <v>844</v>
      </c>
      <c r="E1660" s="3" t="s">
        <v>845</v>
      </c>
      <c r="F1660" s="3"/>
      <c r="G1660" s="3"/>
      <c r="H1660" s="3"/>
      <c r="I1660" s="3" t="s">
        <v>3770</v>
      </c>
      <c r="J1660" s="3" t="s">
        <v>1700</v>
      </c>
      <c r="K1660" s="27" t="s">
        <v>12</v>
      </c>
    </row>
    <row r="1661" ht="18.6" customHeight="1" spans="1:11">
      <c r="A1661" s="3">
        <v>1660</v>
      </c>
      <c r="B1661" s="3" t="s">
        <v>2462</v>
      </c>
      <c r="C1661" s="3" t="s">
        <v>3588</v>
      </c>
      <c r="D1661" s="3" t="s">
        <v>844</v>
      </c>
      <c r="E1661" s="3" t="s">
        <v>2463</v>
      </c>
      <c r="F1661" s="3"/>
      <c r="G1661" s="3"/>
      <c r="H1661" s="3"/>
      <c r="I1661" s="3" t="s">
        <v>3769</v>
      </c>
      <c r="J1661" s="3" t="s">
        <v>1700</v>
      </c>
      <c r="K1661" s="27" t="s">
        <v>12</v>
      </c>
    </row>
    <row r="1662" ht="18.6" customHeight="1" spans="1:11">
      <c r="A1662" s="3">
        <v>1661</v>
      </c>
      <c r="B1662" s="3" t="s">
        <v>2464</v>
      </c>
      <c r="C1662" s="3" t="s">
        <v>3588</v>
      </c>
      <c r="D1662" s="3" t="s">
        <v>844</v>
      </c>
      <c r="E1662" s="3" t="s">
        <v>2465</v>
      </c>
      <c r="F1662" s="3"/>
      <c r="G1662" s="3"/>
      <c r="H1662" s="3"/>
      <c r="I1662" s="3" t="s">
        <v>3769</v>
      </c>
      <c r="J1662" s="3" t="s">
        <v>1700</v>
      </c>
      <c r="K1662" s="27" t="s">
        <v>12</v>
      </c>
    </row>
    <row r="1663" ht="18.6" customHeight="1" spans="1:11">
      <c r="A1663" s="3">
        <v>1662</v>
      </c>
      <c r="B1663" s="3" t="s">
        <v>2466</v>
      </c>
      <c r="C1663" s="3" t="s">
        <v>3588</v>
      </c>
      <c r="D1663" s="3" t="s">
        <v>844</v>
      </c>
      <c r="E1663" s="3" t="s">
        <v>2467</v>
      </c>
      <c r="F1663" s="3"/>
      <c r="G1663" s="3"/>
      <c r="H1663" s="3"/>
      <c r="I1663" s="3" t="s">
        <v>3769</v>
      </c>
      <c r="J1663" s="3" t="s">
        <v>1700</v>
      </c>
      <c r="K1663" s="27" t="s">
        <v>12</v>
      </c>
    </row>
    <row r="1664" ht="18.6" customHeight="1" spans="1:11">
      <c r="A1664" s="3">
        <v>1663</v>
      </c>
      <c r="B1664" s="3" t="s">
        <v>2468</v>
      </c>
      <c r="C1664" s="3" t="s">
        <v>3588</v>
      </c>
      <c r="D1664" s="3" t="s">
        <v>844</v>
      </c>
      <c r="E1664" s="3" t="s">
        <v>2469</v>
      </c>
      <c r="F1664" s="3"/>
      <c r="G1664" s="3"/>
      <c r="H1664" s="3"/>
      <c r="I1664" s="3" t="s">
        <v>3769</v>
      </c>
      <c r="J1664" s="3" t="s">
        <v>1700</v>
      </c>
      <c r="K1664" s="27" t="s">
        <v>12</v>
      </c>
    </row>
    <row r="1665" ht="18.6" customHeight="1" spans="1:11">
      <c r="A1665" s="3">
        <v>1664</v>
      </c>
      <c r="B1665" s="3" t="s">
        <v>2470</v>
      </c>
      <c r="C1665" s="3" t="s">
        <v>3588</v>
      </c>
      <c r="D1665" s="3" t="s">
        <v>844</v>
      </c>
      <c r="E1665" s="3" t="s">
        <v>845</v>
      </c>
      <c r="F1665" s="3"/>
      <c r="G1665" s="3"/>
      <c r="H1665" s="3"/>
      <c r="I1665" s="3" t="s">
        <v>3770</v>
      </c>
      <c r="J1665" s="3" t="s">
        <v>1700</v>
      </c>
      <c r="K1665" s="27" t="s">
        <v>12</v>
      </c>
    </row>
    <row r="1666" ht="18.6" customHeight="1" spans="1:11">
      <c r="A1666" s="3">
        <v>1665</v>
      </c>
      <c r="B1666" s="3" t="s">
        <v>2471</v>
      </c>
      <c r="C1666" s="3" t="s">
        <v>3588</v>
      </c>
      <c r="D1666" s="3" t="s">
        <v>844</v>
      </c>
      <c r="E1666" s="3" t="s">
        <v>848</v>
      </c>
      <c r="F1666" s="3"/>
      <c r="G1666" s="3"/>
      <c r="H1666" s="3"/>
      <c r="I1666" s="3" t="s">
        <v>3769</v>
      </c>
      <c r="J1666" s="3" t="s">
        <v>1700</v>
      </c>
      <c r="K1666" s="27" t="s">
        <v>12</v>
      </c>
    </row>
    <row r="1667" ht="18.6" customHeight="1" spans="1:11">
      <c r="A1667" s="3">
        <v>1666</v>
      </c>
      <c r="B1667" s="3" t="s">
        <v>2472</v>
      </c>
      <c r="C1667" s="3" t="s">
        <v>3588</v>
      </c>
      <c r="D1667" s="3" t="s">
        <v>844</v>
      </c>
      <c r="E1667" s="3" t="s">
        <v>2473</v>
      </c>
      <c r="F1667" s="3"/>
      <c r="G1667" s="3"/>
      <c r="H1667" s="3"/>
      <c r="I1667" s="3" t="s">
        <v>3769</v>
      </c>
      <c r="J1667" s="3" t="s">
        <v>1700</v>
      </c>
      <c r="K1667" s="27" t="s">
        <v>12</v>
      </c>
    </row>
    <row r="1668" ht="18.6" customHeight="1" spans="1:11">
      <c r="A1668" s="3">
        <v>1667</v>
      </c>
      <c r="B1668" s="3" t="s">
        <v>3816</v>
      </c>
      <c r="C1668" s="3" t="s">
        <v>3588</v>
      </c>
      <c r="D1668" s="3" t="s">
        <v>844</v>
      </c>
      <c r="E1668" s="3" t="s">
        <v>874</v>
      </c>
      <c r="F1668" s="3"/>
      <c r="G1668" s="3"/>
      <c r="H1668" s="3"/>
      <c r="I1668" s="3" t="s">
        <v>3770</v>
      </c>
      <c r="J1668" s="3" t="s">
        <v>1700</v>
      </c>
      <c r="K1668" s="27" t="s">
        <v>12</v>
      </c>
    </row>
    <row r="1669" ht="18.6" customHeight="1" spans="1:11">
      <c r="A1669" s="3">
        <v>1668</v>
      </c>
      <c r="B1669" s="3" t="s">
        <v>2474</v>
      </c>
      <c r="C1669" s="3" t="s">
        <v>3588</v>
      </c>
      <c r="D1669" s="3" t="s">
        <v>844</v>
      </c>
      <c r="E1669" s="3" t="s">
        <v>2475</v>
      </c>
      <c r="F1669" s="3"/>
      <c r="G1669" s="3"/>
      <c r="H1669" s="3"/>
      <c r="I1669" s="3" t="s">
        <v>3769</v>
      </c>
      <c r="J1669" s="3" t="s">
        <v>1700</v>
      </c>
      <c r="K1669" s="27" t="s">
        <v>12</v>
      </c>
    </row>
    <row r="1670" ht="18.6" customHeight="1" spans="1:11">
      <c r="A1670" s="3">
        <v>1669</v>
      </c>
      <c r="B1670" s="3" t="s">
        <v>2476</v>
      </c>
      <c r="C1670" s="3" t="s">
        <v>3588</v>
      </c>
      <c r="D1670" s="3" t="s">
        <v>844</v>
      </c>
      <c r="E1670" s="3" t="s">
        <v>845</v>
      </c>
      <c r="F1670" s="3"/>
      <c r="G1670" s="3"/>
      <c r="H1670" s="3"/>
      <c r="I1670" s="3" t="s">
        <v>3770</v>
      </c>
      <c r="J1670" s="3" t="s">
        <v>1700</v>
      </c>
      <c r="K1670" s="27" t="s">
        <v>12</v>
      </c>
    </row>
    <row r="1671" ht="18.6" customHeight="1" spans="1:11">
      <c r="A1671" s="3">
        <v>1670</v>
      </c>
      <c r="B1671" s="3" t="s">
        <v>2477</v>
      </c>
      <c r="C1671" s="3" t="s">
        <v>3588</v>
      </c>
      <c r="D1671" s="3" t="s">
        <v>844</v>
      </c>
      <c r="E1671" s="3" t="s">
        <v>845</v>
      </c>
      <c r="F1671" s="3"/>
      <c r="G1671" s="3"/>
      <c r="H1671" s="3"/>
      <c r="I1671" s="3" t="s">
        <v>3779</v>
      </c>
      <c r="J1671" s="3" t="s">
        <v>1700</v>
      </c>
      <c r="K1671" s="27" t="s">
        <v>12</v>
      </c>
    </row>
    <row r="1672" ht="18.6" customHeight="1" spans="1:11">
      <c r="A1672" s="3">
        <v>1671</v>
      </c>
      <c r="B1672" s="3" t="s">
        <v>2478</v>
      </c>
      <c r="C1672" s="3" t="s">
        <v>3588</v>
      </c>
      <c r="D1672" s="3" t="s">
        <v>844</v>
      </c>
      <c r="E1672" s="3" t="s">
        <v>845</v>
      </c>
      <c r="F1672" s="3"/>
      <c r="G1672" s="3"/>
      <c r="H1672" s="3"/>
      <c r="I1672" s="3" t="s">
        <v>3769</v>
      </c>
      <c r="J1672" s="3" t="s">
        <v>1700</v>
      </c>
      <c r="K1672" s="27" t="s">
        <v>12</v>
      </c>
    </row>
    <row r="1673" ht="18.6" customHeight="1" spans="1:11">
      <c r="A1673" s="3">
        <v>1672</v>
      </c>
      <c r="B1673" s="3" t="s">
        <v>2479</v>
      </c>
      <c r="C1673" s="3" t="s">
        <v>3588</v>
      </c>
      <c r="D1673" s="3" t="s">
        <v>844</v>
      </c>
      <c r="E1673" s="3" t="s">
        <v>845</v>
      </c>
      <c r="F1673" s="3"/>
      <c r="G1673" s="3"/>
      <c r="H1673" s="3"/>
      <c r="I1673" s="3" t="s">
        <v>3772</v>
      </c>
      <c r="J1673" s="3" t="s">
        <v>1700</v>
      </c>
      <c r="K1673" s="27" t="s">
        <v>12</v>
      </c>
    </row>
    <row r="1674" ht="18.6" customHeight="1" spans="1:11">
      <c r="A1674" s="3">
        <v>1673</v>
      </c>
      <c r="B1674" s="3" t="s">
        <v>2480</v>
      </c>
      <c r="C1674" s="3" t="s">
        <v>3588</v>
      </c>
      <c r="D1674" s="3" t="s">
        <v>844</v>
      </c>
      <c r="E1674" s="3" t="s">
        <v>845</v>
      </c>
      <c r="F1674" s="3"/>
      <c r="G1674" s="3"/>
      <c r="H1674" s="3"/>
      <c r="I1674" s="3" t="s">
        <v>3777</v>
      </c>
      <c r="J1674" s="3" t="s">
        <v>1700</v>
      </c>
      <c r="K1674" s="27" t="s">
        <v>12</v>
      </c>
    </row>
    <row r="1675" ht="18.6" customHeight="1" spans="1:11">
      <c r="A1675" s="3">
        <v>1674</v>
      </c>
      <c r="B1675" s="3" t="s">
        <v>2481</v>
      </c>
      <c r="C1675" s="3" t="s">
        <v>3588</v>
      </c>
      <c r="D1675" s="3" t="s">
        <v>844</v>
      </c>
      <c r="E1675" s="3" t="s">
        <v>845</v>
      </c>
      <c r="F1675" s="3"/>
      <c r="G1675" s="3"/>
      <c r="H1675" s="3"/>
      <c r="I1675" s="3" t="s">
        <v>3769</v>
      </c>
      <c r="J1675" s="3" t="s">
        <v>1700</v>
      </c>
      <c r="K1675" s="27" t="s">
        <v>12</v>
      </c>
    </row>
    <row r="1676" ht="18.6" customHeight="1" spans="1:11">
      <c r="A1676" s="3">
        <v>1675</v>
      </c>
      <c r="B1676" s="3" t="s">
        <v>2482</v>
      </c>
      <c r="C1676" s="3" t="s">
        <v>3588</v>
      </c>
      <c r="D1676" s="3" t="s">
        <v>844</v>
      </c>
      <c r="E1676" s="3" t="s">
        <v>1554</v>
      </c>
      <c r="F1676" s="3"/>
      <c r="G1676" s="3"/>
      <c r="H1676" s="3"/>
      <c r="I1676" s="3" t="s">
        <v>3770</v>
      </c>
      <c r="J1676" s="3" t="s">
        <v>1700</v>
      </c>
      <c r="K1676" s="27" t="s">
        <v>12</v>
      </c>
    </row>
    <row r="1677" ht="18.6" customHeight="1" spans="1:11">
      <c r="A1677" s="3">
        <v>1676</v>
      </c>
      <c r="B1677" s="3" t="s">
        <v>2483</v>
      </c>
      <c r="C1677" s="3" t="s">
        <v>3588</v>
      </c>
      <c r="D1677" s="3" t="s">
        <v>844</v>
      </c>
      <c r="E1677" s="3" t="s">
        <v>881</v>
      </c>
      <c r="F1677" s="3"/>
      <c r="G1677" s="3"/>
      <c r="H1677" s="3"/>
      <c r="I1677" s="3" t="s">
        <v>3769</v>
      </c>
      <c r="J1677" s="3" t="s">
        <v>1700</v>
      </c>
      <c r="K1677" s="27" t="s">
        <v>12</v>
      </c>
    </row>
    <row r="1678" ht="18.6" customHeight="1" spans="1:11">
      <c r="A1678" s="3">
        <v>1677</v>
      </c>
      <c r="B1678" s="3" t="s">
        <v>2484</v>
      </c>
      <c r="C1678" s="3" t="s">
        <v>3588</v>
      </c>
      <c r="D1678" s="3" t="s">
        <v>844</v>
      </c>
      <c r="E1678" s="3" t="s">
        <v>884</v>
      </c>
      <c r="F1678" s="3"/>
      <c r="G1678" s="3"/>
      <c r="H1678" s="3"/>
      <c r="I1678" s="3" t="s">
        <v>3770</v>
      </c>
      <c r="J1678" s="3" t="s">
        <v>1700</v>
      </c>
      <c r="K1678" s="27" t="s">
        <v>12</v>
      </c>
    </row>
    <row r="1679" ht="18.6" customHeight="1" spans="1:11">
      <c r="A1679" s="3">
        <v>1678</v>
      </c>
      <c r="B1679" s="3" t="s">
        <v>2485</v>
      </c>
      <c r="C1679" s="3" t="s">
        <v>3588</v>
      </c>
      <c r="D1679" s="3" t="s">
        <v>844</v>
      </c>
      <c r="E1679" s="3" t="s">
        <v>1569</v>
      </c>
      <c r="F1679" s="3"/>
      <c r="G1679" s="3"/>
      <c r="H1679" s="3"/>
      <c r="I1679" s="3" t="s">
        <v>3769</v>
      </c>
      <c r="J1679" s="3" t="s">
        <v>1700</v>
      </c>
      <c r="K1679" s="27" t="s">
        <v>12</v>
      </c>
    </row>
    <row r="1680" ht="18.6" customHeight="1" spans="1:11">
      <c r="A1680" s="3">
        <v>1679</v>
      </c>
      <c r="B1680" s="3" t="s">
        <v>2486</v>
      </c>
      <c r="C1680" s="3" t="s">
        <v>3588</v>
      </c>
      <c r="D1680" s="3" t="s">
        <v>844</v>
      </c>
      <c r="E1680" s="3" t="s">
        <v>845</v>
      </c>
      <c r="F1680" s="3"/>
      <c r="G1680" s="3"/>
      <c r="H1680" s="3"/>
      <c r="I1680" s="3" t="s">
        <v>3770</v>
      </c>
      <c r="J1680" s="3" t="s">
        <v>1700</v>
      </c>
      <c r="K1680" s="27" t="s">
        <v>12</v>
      </c>
    </row>
    <row r="1681" ht="18.6" customHeight="1" spans="1:11">
      <c r="A1681" s="3">
        <v>1680</v>
      </c>
      <c r="B1681" s="3" t="s">
        <v>2487</v>
      </c>
      <c r="C1681" s="3" t="s">
        <v>3588</v>
      </c>
      <c r="D1681" s="3" t="s">
        <v>844</v>
      </c>
      <c r="E1681" s="3" t="s">
        <v>845</v>
      </c>
      <c r="F1681" s="3"/>
      <c r="G1681" s="3"/>
      <c r="H1681" s="3"/>
      <c r="I1681" s="3" t="s">
        <v>3769</v>
      </c>
      <c r="J1681" s="3" t="s">
        <v>1700</v>
      </c>
      <c r="K1681" s="27" t="s">
        <v>12</v>
      </c>
    </row>
    <row r="1682" ht="18.6" customHeight="1" spans="1:11">
      <c r="A1682" s="3">
        <v>1681</v>
      </c>
      <c r="B1682" s="3" t="s">
        <v>2488</v>
      </c>
      <c r="C1682" s="3" t="s">
        <v>3588</v>
      </c>
      <c r="D1682" s="3" t="s">
        <v>844</v>
      </c>
      <c r="E1682" s="3" t="s">
        <v>845</v>
      </c>
      <c r="F1682" s="3"/>
      <c r="G1682" s="3"/>
      <c r="H1682" s="3"/>
      <c r="I1682" s="3" t="s">
        <v>3770</v>
      </c>
      <c r="J1682" s="3" t="s">
        <v>1700</v>
      </c>
      <c r="K1682" s="27" t="s">
        <v>12</v>
      </c>
    </row>
    <row r="1683" ht="18.6" customHeight="1" spans="1:11">
      <c r="A1683" s="3">
        <v>1682</v>
      </c>
      <c r="B1683" s="3" t="s">
        <v>2489</v>
      </c>
      <c r="C1683" s="3" t="s">
        <v>3588</v>
      </c>
      <c r="D1683" s="3" t="s">
        <v>844</v>
      </c>
      <c r="E1683" s="3" t="s">
        <v>845</v>
      </c>
      <c r="F1683" s="3"/>
      <c r="G1683" s="3"/>
      <c r="H1683" s="3"/>
      <c r="I1683" s="3" t="s">
        <v>3770</v>
      </c>
      <c r="J1683" s="3" t="s">
        <v>1700</v>
      </c>
      <c r="K1683" s="27" t="s">
        <v>12</v>
      </c>
    </row>
    <row r="1684" ht="18.6" customHeight="1" spans="1:11">
      <c r="A1684" s="3">
        <v>1683</v>
      </c>
      <c r="B1684" s="3" t="s">
        <v>2490</v>
      </c>
      <c r="C1684" s="3" t="s">
        <v>3588</v>
      </c>
      <c r="D1684" s="3" t="s">
        <v>844</v>
      </c>
      <c r="E1684" s="3" t="s">
        <v>845</v>
      </c>
      <c r="F1684" s="3"/>
      <c r="G1684" s="3"/>
      <c r="H1684" s="3"/>
      <c r="I1684" s="3" t="s">
        <v>3769</v>
      </c>
      <c r="J1684" s="3" t="s">
        <v>1700</v>
      </c>
      <c r="K1684" s="27" t="s">
        <v>12</v>
      </c>
    </row>
    <row r="1685" ht="18.6" customHeight="1" spans="1:11">
      <c r="A1685" s="3">
        <v>1684</v>
      </c>
      <c r="B1685" s="3" t="s">
        <v>2491</v>
      </c>
      <c r="C1685" s="3" t="s">
        <v>3588</v>
      </c>
      <c r="D1685" s="3" t="s">
        <v>844</v>
      </c>
      <c r="E1685" s="3" t="s">
        <v>845</v>
      </c>
      <c r="F1685" s="3"/>
      <c r="G1685" s="3"/>
      <c r="H1685" s="3"/>
      <c r="I1685" s="3" t="s">
        <v>3769</v>
      </c>
      <c r="J1685" s="3" t="s">
        <v>1700</v>
      </c>
      <c r="K1685" s="27" t="s">
        <v>12</v>
      </c>
    </row>
    <row r="1686" ht="18.6" customHeight="1" spans="1:11">
      <c r="A1686" s="3">
        <v>1685</v>
      </c>
      <c r="B1686" s="3" t="s">
        <v>2492</v>
      </c>
      <c r="C1686" s="3" t="s">
        <v>3588</v>
      </c>
      <c r="D1686" s="3" t="s">
        <v>844</v>
      </c>
      <c r="E1686" s="3" t="s">
        <v>1554</v>
      </c>
      <c r="F1686" s="3"/>
      <c r="G1686" s="3"/>
      <c r="H1686" s="3"/>
      <c r="I1686" s="3" t="s">
        <v>3769</v>
      </c>
      <c r="J1686" s="3" t="s">
        <v>1700</v>
      </c>
      <c r="K1686" s="27" t="s">
        <v>12</v>
      </c>
    </row>
    <row r="1687" ht="18.6" customHeight="1" spans="1:11">
      <c r="A1687" s="3">
        <v>1686</v>
      </c>
      <c r="B1687" s="3" t="s">
        <v>2493</v>
      </c>
      <c r="C1687" s="3" t="s">
        <v>3588</v>
      </c>
      <c r="D1687" s="3" t="s">
        <v>844</v>
      </c>
      <c r="E1687" s="3" t="s">
        <v>886</v>
      </c>
      <c r="F1687" s="3"/>
      <c r="G1687" s="3"/>
      <c r="H1687" s="3"/>
      <c r="I1687" s="3" t="s">
        <v>3770</v>
      </c>
      <c r="J1687" s="3" t="s">
        <v>1700</v>
      </c>
      <c r="K1687" s="27" t="s">
        <v>12</v>
      </c>
    </row>
    <row r="1688" ht="18.6" customHeight="1" spans="1:11">
      <c r="A1688" s="3">
        <v>1687</v>
      </c>
      <c r="B1688" s="3" t="s">
        <v>2494</v>
      </c>
      <c r="C1688" s="3" t="s">
        <v>3588</v>
      </c>
      <c r="D1688" s="3" t="s">
        <v>844</v>
      </c>
      <c r="E1688" s="3" t="s">
        <v>890</v>
      </c>
      <c r="F1688" s="3"/>
      <c r="G1688" s="3"/>
      <c r="H1688" s="3"/>
      <c r="I1688" s="3" t="s">
        <v>3770</v>
      </c>
      <c r="J1688" s="3" t="s">
        <v>1700</v>
      </c>
      <c r="K1688" s="27" t="s">
        <v>12</v>
      </c>
    </row>
    <row r="1689" ht="18.6" customHeight="1" spans="1:11">
      <c r="A1689" s="3">
        <v>1688</v>
      </c>
      <c r="B1689" s="3" t="s">
        <v>2495</v>
      </c>
      <c r="C1689" s="3" t="s">
        <v>3588</v>
      </c>
      <c r="D1689" s="3" t="s">
        <v>844</v>
      </c>
      <c r="E1689" s="3" t="s">
        <v>845</v>
      </c>
      <c r="F1689" s="3"/>
      <c r="G1689" s="3"/>
      <c r="H1689" s="3"/>
      <c r="I1689" s="3" t="s">
        <v>3769</v>
      </c>
      <c r="J1689" s="3" t="s">
        <v>1700</v>
      </c>
      <c r="K1689" s="27" t="s">
        <v>12</v>
      </c>
    </row>
    <row r="1690" ht="18.6" customHeight="1" spans="1:11">
      <c r="A1690" s="3">
        <v>1689</v>
      </c>
      <c r="B1690" s="3" t="s">
        <v>2496</v>
      </c>
      <c r="C1690" s="3" t="s">
        <v>3588</v>
      </c>
      <c r="D1690" s="3" t="s">
        <v>844</v>
      </c>
      <c r="E1690" s="3" t="s">
        <v>845</v>
      </c>
      <c r="F1690" s="3"/>
      <c r="G1690" s="3"/>
      <c r="H1690" s="3"/>
      <c r="I1690" s="3"/>
      <c r="J1690" s="3" t="s">
        <v>1700</v>
      </c>
      <c r="K1690" s="27" t="s">
        <v>12</v>
      </c>
    </row>
    <row r="1691" ht="18.6" customHeight="1" spans="1:11">
      <c r="A1691" s="3">
        <v>1690</v>
      </c>
      <c r="B1691" s="3" t="s">
        <v>2497</v>
      </c>
      <c r="C1691" s="3" t="s">
        <v>3588</v>
      </c>
      <c r="D1691" s="3" t="s">
        <v>844</v>
      </c>
      <c r="E1691" s="3" t="s">
        <v>861</v>
      </c>
      <c r="F1691" s="3"/>
      <c r="G1691" s="3"/>
      <c r="H1691" s="3"/>
      <c r="I1691" s="3"/>
      <c r="J1691" s="3" t="s">
        <v>1700</v>
      </c>
      <c r="K1691" s="27" t="s">
        <v>12</v>
      </c>
    </row>
    <row r="1692" ht="18.6" customHeight="1" spans="1:11">
      <c r="A1692" s="3">
        <v>1691</v>
      </c>
      <c r="B1692" s="3" t="s">
        <v>2498</v>
      </c>
      <c r="C1692" s="3" t="s">
        <v>3588</v>
      </c>
      <c r="D1692" s="3" t="s">
        <v>844</v>
      </c>
      <c r="E1692" s="3" t="s">
        <v>845</v>
      </c>
      <c r="F1692" s="3"/>
      <c r="G1692" s="3"/>
      <c r="H1692" s="3"/>
      <c r="I1692" s="3" t="s">
        <v>3769</v>
      </c>
      <c r="J1692" s="3" t="s">
        <v>1700</v>
      </c>
      <c r="K1692" s="27" t="s">
        <v>12</v>
      </c>
    </row>
    <row r="1693" ht="18.6" customHeight="1" spans="1:11">
      <c r="A1693" s="3">
        <v>1692</v>
      </c>
      <c r="B1693" s="3" t="s">
        <v>2499</v>
      </c>
      <c r="C1693" s="3" t="s">
        <v>3588</v>
      </c>
      <c r="D1693" s="3" t="s">
        <v>844</v>
      </c>
      <c r="E1693" s="3" t="s">
        <v>861</v>
      </c>
      <c r="F1693" s="3"/>
      <c r="G1693" s="3"/>
      <c r="H1693" s="3"/>
      <c r="I1693" s="3" t="s">
        <v>3769</v>
      </c>
      <c r="J1693" s="3" t="s">
        <v>1700</v>
      </c>
      <c r="K1693" s="27" t="s">
        <v>12</v>
      </c>
    </row>
    <row r="1694" ht="18.6" customHeight="1" spans="1:11">
      <c r="A1694" s="3">
        <v>1693</v>
      </c>
      <c r="B1694" s="3" t="s">
        <v>2500</v>
      </c>
      <c r="C1694" s="3" t="s">
        <v>3588</v>
      </c>
      <c r="D1694" s="3" t="s">
        <v>844</v>
      </c>
      <c r="E1694" s="3" t="s">
        <v>884</v>
      </c>
      <c r="F1694" s="3"/>
      <c r="G1694" s="3"/>
      <c r="H1694" s="3"/>
      <c r="I1694" s="3"/>
      <c r="J1694" s="3" t="s">
        <v>1700</v>
      </c>
      <c r="K1694" s="27" t="s">
        <v>12</v>
      </c>
    </row>
    <row r="1695" ht="18.6" customHeight="1" spans="1:11">
      <c r="A1695" s="3">
        <v>1694</v>
      </c>
      <c r="B1695" s="3" t="s">
        <v>2501</v>
      </c>
      <c r="C1695" s="3" t="s">
        <v>3588</v>
      </c>
      <c r="D1695" s="3" t="s">
        <v>844</v>
      </c>
      <c r="E1695" s="3" t="s">
        <v>884</v>
      </c>
      <c r="F1695" s="3"/>
      <c r="G1695" s="3"/>
      <c r="H1695" s="3"/>
      <c r="I1695" s="3" t="s">
        <v>3776</v>
      </c>
      <c r="J1695" s="3" t="s">
        <v>1700</v>
      </c>
      <c r="K1695" s="27" t="s">
        <v>12</v>
      </c>
    </row>
    <row r="1696" ht="18.6" customHeight="1" spans="1:11">
      <c r="A1696" s="3">
        <v>1695</v>
      </c>
      <c r="B1696" s="3" t="s">
        <v>2502</v>
      </c>
      <c r="C1696" s="3" t="s">
        <v>3588</v>
      </c>
      <c r="D1696" s="3" t="s">
        <v>844</v>
      </c>
      <c r="E1696" s="3" t="s">
        <v>845</v>
      </c>
      <c r="F1696" s="3"/>
      <c r="G1696" s="3"/>
      <c r="H1696" s="3"/>
      <c r="I1696" s="3" t="s">
        <v>3775</v>
      </c>
      <c r="J1696" s="3" t="s">
        <v>1700</v>
      </c>
      <c r="K1696" s="27" t="s">
        <v>12</v>
      </c>
    </row>
    <row r="1697" ht="18.6" customHeight="1" spans="1:11">
      <c r="A1697" s="3">
        <v>1696</v>
      </c>
      <c r="B1697" s="3" t="s">
        <v>2503</v>
      </c>
      <c r="C1697" s="3" t="s">
        <v>3588</v>
      </c>
      <c r="D1697" s="3" t="s">
        <v>844</v>
      </c>
      <c r="E1697" s="3" t="s">
        <v>861</v>
      </c>
      <c r="F1697" s="3"/>
      <c r="G1697" s="3"/>
      <c r="H1697" s="3"/>
      <c r="I1697" s="3"/>
      <c r="J1697" s="3" t="s">
        <v>1700</v>
      </c>
      <c r="K1697" s="27" t="s">
        <v>12</v>
      </c>
    </row>
    <row r="1698" ht="18.6" customHeight="1" spans="1:11">
      <c r="A1698" s="3">
        <v>1697</v>
      </c>
      <c r="B1698" s="3" t="s">
        <v>2504</v>
      </c>
      <c r="C1698" s="3" t="s">
        <v>3588</v>
      </c>
      <c r="D1698" s="3" t="s">
        <v>844</v>
      </c>
      <c r="E1698" s="3" t="s">
        <v>881</v>
      </c>
      <c r="F1698" s="3"/>
      <c r="G1698" s="3"/>
      <c r="H1698" s="3"/>
      <c r="I1698" s="3" t="s">
        <v>3775</v>
      </c>
      <c r="J1698" s="3" t="s">
        <v>1700</v>
      </c>
      <c r="K1698" s="27" t="s">
        <v>12</v>
      </c>
    </row>
    <row r="1699" ht="18.6" customHeight="1" spans="1:11">
      <c r="A1699" s="3">
        <v>1698</v>
      </c>
      <c r="B1699" s="3" t="s">
        <v>2505</v>
      </c>
      <c r="C1699" s="3" t="s">
        <v>3588</v>
      </c>
      <c r="D1699" s="3" t="s">
        <v>844</v>
      </c>
      <c r="E1699" s="3" t="s">
        <v>884</v>
      </c>
      <c r="F1699" s="3"/>
      <c r="G1699" s="3"/>
      <c r="H1699" s="3"/>
      <c r="I1699" s="3"/>
      <c r="J1699" s="3" t="s">
        <v>1700</v>
      </c>
      <c r="K1699" s="27" t="s">
        <v>12</v>
      </c>
    </row>
    <row r="1700" ht="18.6" customHeight="1" spans="1:11">
      <c r="A1700" s="3">
        <v>1699</v>
      </c>
      <c r="B1700" s="3" t="s">
        <v>2506</v>
      </c>
      <c r="C1700" s="3" t="s">
        <v>3588</v>
      </c>
      <c r="D1700" s="3" t="s">
        <v>844</v>
      </c>
      <c r="E1700" s="3" t="s">
        <v>881</v>
      </c>
      <c r="F1700" s="3"/>
      <c r="G1700" s="3"/>
      <c r="H1700" s="3"/>
      <c r="I1700" s="3"/>
      <c r="J1700" s="3" t="s">
        <v>1700</v>
      </c>
      <c r="K1700" s="27" t="s">
        <v>12</v>
      </c>
    </row>
    <row r="1701" ht="18.6" customHeight="1" spans="1:11">
      <c r="A1701" s="3">
        <v>1700</v>
      </c>
      <c r="B1701" s="3" t="s">
        <v>2507</v>
      </c>
      <c r="C1701" s="3" t="s">
        <v>3588</v>
      </c>
      <c r="D1701" s="3" t="s">
        <v>844</v>
      </c>
      <c r="E1701" s="3" t="s">
        <v>2475</v>
      </c>
      <c r="F1701" s="3"/>
      <c r="G1701" s="3"/>
      <c r="H1701" s="3"/>
      <c r="I1701" s="3"/>
      <c r="J1701" s="3" t="s">
        <v>1700</v>
      </c>
      <c r="K1701" s="27" t="s">
        <v>12</v>
      </c>
    </row>
    <row r="1702" ht="18.6" customHeight="1" spans="1:11">
      <c r="A1702" s="3">
        <v>1701</v>
      </c>
      <c r="B1702" s="3" t="s">
        <v>2508</v>
      </c>
      <c r="C1702" s="3" t="s">
        <v>3588</v>
      </c>
      <c r="D1702" s="3" t="s">
        <v>844</v>
      </c>
      <c r="E1702" s="3" t="s">
        <v>845</v>
      </c>
      <c r="F1702" s="3"/>
      <c r="G1702" s="3"/>
      <c r="H1702" s="3"/>
      <c r="I1702" s="3"/>
      <c r="J1702" s="3" t="s">
        <v>1700</v>
      </c>
      <c r="K1702" s="27" t="s">
        <v>12</v>
      </c>
    </row>
    <row r="1703" ht="18.6" customHeight="1" spans="1:11">
      <c r="A1703" s="3">
        <v>1702</v>
      </c>
      <c r="B1703" s="3" t="s">
        <v>2509</v>
      </c>
      <c r="C1703" s="3" t="s">
        <v>3588</v>
      </c>
      <c r="D1703" s="3" t="s">
        <v>844</v>
      </c>
      <c r="E1703" s="3" t="s">
        <v>848</v>
      </c>
      <c r="F1703" s="3"/>
      <c r="G1703" s="3"/>
      <c r="H1703" s="3"/>
      <c r="I1703" s="3"/>
      <c r="J1703" s="3" t="s">
        <v>1700</v>
      </c>
      <c r="K1703" s="27" t="s">
        <v>12</v>
      </c>
    </row>
    <row r="1704" ht="18.6" customHeight="1" spans="1:11">
      <c r="A1704" s="3">
        <v>1703</v>
      </c>
      <c r="B1704" s="3" t="s">
        <v>2510</v>
      </c>
      <c r="C1704" s="3" t="s">
        <v>3588</v>
      </c>
      <c r="D1704" s="3" t="s">
        <v>844</v>
      </c>
      <c r="E1704" s="3" t="s">
        <v>868</v>
      </c>
      <c r="F1704" s="3"/>
      <c r="G1704" s="3"/>
      <c r="H1704" s="3"/>
      <c r="I1704" s="3"/>
      <c r="J1704" s="3" t="s">
        <v>1700</v>
      </c>
      <c r="K1704" s="27" t="s">
        <v>12</v>
      </c>
    </row>
    <row r="1705" ht="18.6" customHeight="1" spans="1:11">
      <c r="A1705" s="3">
        <v>1704</v>
      </c>
      <c r="B1705" s="3" t="s">
        <v>2511</v>
      </c>
      <c r="C1705" s="3" t="s">
        <v>3588</v>
      </c>
      <c r="D1705" s="3" t="s">
        <v>844</v>
      </c>
      <c r="E1705" s="3" t="s">
        <v>863</v>
      </c>
      <c r="F1705" s="3"/>
      <c r="G1705" s="3"/>
      <c r="H1705" s="3"/>
      <c r="I1705" s="3"/>
      <c r="J1705" s="3" t="s">
        <v>1700</v>
      </c>
      <c r="K1705" s="27" t="s">
        <v>12</v>
      </c>
    </row>
    <row r="1706" ht="18.6" customHeight="1" spans="1:11">
      <c r="A1706" s="3">
        <v>1705</v>
      </c>
      <c r="B1706" s="3" t="s">
        <v>2512</v>
      </c>
      <c r="C1706" s="3" t="s">
        <v>3588</v>
      </c>
      <c r="D1706" s="3" t="s">
        <v>844</v>
      </c>
      <c r="E1706" s="3" t="s">
        <v>2465</v>
      </c>
      <c r="F1706" s="3"/>
      <c r="G1706" s="3"/>
      <c r="H1706" s="3"/>
      <c r="I1706" s="3"/>
      <c r="J1706" s="3" t="s">
        <v>1700</v>
      </c>
      <c r="K1706" s="27" t="s">
        <v>12</v>
      </c>
    </row>
    <row r="1707" ht="18.6" customHeight="1" spans="1:11">
      <c r="A1707" s="3">
        <v>1706</v>
      </c>
      <c r="B1707" s="3" t="s">
        <v>2513</v>
      </c>
      <c r="C1707" s="3" t="s">
        <v>3588</v>
      </c>
      <c r="D1707" s="3" t="s">
        <v>844</v>
      </c>
      <c r="E1707" s="3" t="s">
        <v>852</v>
      </c>
      <c r="F1707" s="3"/>
      <c r="G1707" s="3"/>
      <c r="H1707" s="3"/>
      <c r="I1707" s="3"/>
      <c r="J1707" s="3" t="s">
        <v>1700</v>
      </c>
      <c r="K1707" s="27" t="s">
        <v>12</v>
      </c>
    </row>
    <row r="1708" ht="18.6" customHeight="1" spans="1:11">
      <c r="A1708" s="3">
        <v>1707</v>
      </c>
      <c r="B1708" s="3" t="s">
        <v>2514</v>
      </c>
      <c r="C1708" s="3" t="s">
        <v>3612</v>
      </c>
      <c r="D1708" s="3" t="s">
        <v>902</v>
      </c>
      <c r="E1708" s="3" t="s">
        <v>903</v>
      </c>
      <c r="F1708" s="3"/>
      <c r="G1708" s="3"/>
      <c r="H1708" s="3"/>
      <c r="I1708" s="3" t="s">
        <v>3770</v>
      </c>
      <c r="J1708" s="3" t="s">
        <v>1700</v>
      </c>
      <c r="K1708" s="27" t="s">
        <v>12</v>
      </c>
    </row>
    <row r="1709" ht="18.6" customHeight="1" spans="1:11">
      <c r="A1709" s="3">
        <v>1708</v>
      </c>
      <c r="B1709" s="3" t="s">
        <v>2515</v>
      </c>
      <c r="C1709" s="3" t="s">
        <v>3612</v>
      </c>
      <c r="D1709" s="3" t="s">
        <v>902</v>
      </c>
      <c r="E1709" s="3" t="s">
        <v>903</v>
      </c>
      <c r="F1709" s="3"/>
      <c r="G1709" s="3"/>
      <c r="H1709" s="3"/>
      <c r="I1709" s="3"/>
      <c r="J1709" s="3" t="s">
        <v>1700</v>
      </c>
      <c r="K1709" s="27" t="s">
        <v>12</v>
      </c>
    </row>
    <row r="1710" ht="18.6" customHeight="1" spans="1:11">
      <c r="A1710" s="3">
        <v>1709</v>
      </c>
      <c r="B1710" s="3" t="s">
        <v>2516</v>
      </c>
      <c r="C1710" s="3" t="s">
        <v>3612</v>
      </c>
      <c r="D1710" s="3" t="s">
        <v>902</v>
      </c>
      <c r="E1710" s="3" t="s">
        <v>903</v>
      </c>
      <c r="F1710" s="3"/>
      <c r="G1710" s="3"/>
      <c r="H1710" s="3"/>
      <c r="I1710" s="3" t="s">
        <v>3770</v>
      </c>
      <c r="J1710" s="3" t="s">
        <v>1700</v>
      </c>
      <c r="K1710" s="27" t="s">
        <v>12</v>
      </c>
    </row>
    <row r="1711" ht="18.6" customHeight="1" spans="1:11">
      <c r="A1711" s="3">
        <v>1710</v>
      </c>
      <c r="B1711" s="3" t="s">
        <v>3817</v>
      </c>
      <c r="C1711" s="3" t="s">
        <v>3612</v>
      </c>
      <c r="D1711" s="3" t="s">
        <v>902</v>
      </c>
      <c r="E1711" s="3" t="s">
        <v>907</v>
      </c>
      <c r="F1711" s="3"/>
      <c r="G1711" s="3"/>
      <c r="H1711" s="3"/>
      <c r="I1711" s="3" t="s">
        <v>3776</v>
      </c>
      <c r="J1711" s="3" t="s">
        <v>1700</v>
      </c>
      <c r="K1711" s="27" t="s">
        <v>12</v>
      </c>
    </row>
    <row r="1712" ht="18.6" customHeight="1" spans="1:11">
      <c r="A1712" s="3">
        <v>1711</v>
      </c>
      <c r="B1712" s="3" t="s">
        <v>2517</v>
      </c>
      <c r="C1712" s="3" t="s">
        <v>3612</v>
      </c>
      <c r="D1712" s="3" t="s">
        <v>902</v>
      </c>
      <c r="E1712" s="3" t="s">
        <v>903</v>
      </c>
      <c r="F1712" s="3"/>
      <c r="G1712" s="3"/>
      <c r="H1712" s="3"/>
      <c r="I1712" s="3" t="s">
        <v>3769</v>
      </c>
      <c r="J1712" s="3" t="s">
        <v>1700</v>
      </c>
      <c r="K1712" s="27" t="s">
        <v>12</v>
      </c>
    </row>
    <row r="1713" ht="18.6" customHeight="1" spans="1:11">
      <c r="A1713" s="3">
        <v>1712</v>
      </c>
      <c r="B1713" s="3" t="s">
        <v>2518</v>
      </c>
      <c r="C1713" s="3" t="s">
        <v>3612</v>
      </c>
      <c r="D1713" s="3" t="s">
        <v>902</v>
      </c>
      <c r="E1713" s="3" t="s">
        <v>905</v>
      </c>
      <c r="F1713" s="3"/>
      <c r="G1713" s="3"/>
      <c r="H1713" s="3"/>
      <c r="I1713" s="3" t="s">
        <v>3769</v>
      </c>
      <c r="J1713" s="3" t="s">
        <v>1700</v>
      </c>
      <c r="K1713" s="27" t="s">
        <v>12</v>
      </c>
    </row>
    <row r="1714" ht="18.6" customHeight="1" spans="1:11">
      <c r="A1714" s="3">
        <v>1713</v>
      </c>
      <c r="B1714" s="3" t="s">
        <v>2519</v>
      </c>
      <c r="C1714" s="3" t="s">
        <v>3612</v>
      </c>
      <c r="D1714" s="3" t="s">
        <v>902</v>
      </c>
      <c r="E1714" s="3" t="s">
        <v>903</v>
      </c>
      <c r="F1714" s="3"/>
      <c r="G1714" s="3"/>
      <c r="H1714" s="3"/>
      <c r="I1714" s="3" t="s">
        <v>3770</v>
      </c>
      <c r="J1714" s="3" t="s">
        <v>1700</v>
      </c>
      <c r="K1714" s="27" t="s">
        <v>12</v>
      </c>
    </row>
    <row r="1715" ht="18.6" customHeight="1" spans="1:11">
      <c r="A1715" s="3">
        <v>1714</v>
      </c>
      <c r="B1715" s="3" t="s">
        <v>2520</v>
      </c>
      <c r="C1715" s="3" t="s">
        <v>3612</v>
      </c>
      <c r="D1715" s="3" t="s">
        <v>902</v>
      </c>
      <c r="E1715" s="3" t="s">
        <v>903</v>
      </c>
      <c r="F1715" s="3"/>
      <c r="G1715" s="3"/>
      <c r="H1715" s="3"/>
      <c r="I1715" s="3" t="s">
        <v>3769</v>
      </c>
      <c r="J1715" s="3" t="s">
        <v>1700</v>
      </c>
      <c r="K1715" s="27" t="s">
        <v>12</v>
      </c>
    </row>
    <row r="1716" ht="18.6" customHeight="1" spans="1:11">
      <c r="A1716" s="3">
        <v>1715</v>
      </c>
      <c r="B1716" s="3" t="s">
        <v>2521</v>
      </c>
      <c r="C1716" s="3" t="s">
        <v>3612</v>
      </c>
      <c r="D1716" s="3" t="s">
        <v>902</v>
      </c>
      <c r="E1716" s="3" t="s">
        <v>903</v>
      </c>
      <c r="F1716" s="3"/>
      <c r="G1716" s="3"/>
      <c r="H1716" s="3"/>
      <c r="I1716" s="3" t="s">
        <v>3771</v>
      </c>
      <c r="J1716" s="3" t="s">
        <v>1700</v>
      </c>
      <c r="K1716" s="27" t="s">
        <v>12</v>
      </c>
    </row>
    <row r="1717" ht="18.6" customHeight="1" spans="1:11">
      <c r="A1717" s="3">
        <v>1716</v>
      </c>
      <c r="B1717" s="3" t="s">
        <v>2522</v>
      </c>
      <c r="C1717" s="3" t="s">
        <v>3612</v>
      </c>
      <c r="D1717" s="3" t="s">
        <v>902</v>
      </c>
      <c r="E1717" s="3" t="s">
        <v>905</v>
      </c>
      <c r="F1717" s="3"/>
      <c r="G1717" s="3"/>
      <c r="H1717" s="3"/>
      <c r="I1717" s="3" t="s">
        <v>3770</v>
      </c>
      <c r="J1717" s="3" t="s">
        <v>1700</v>
      </c>
      <c r="K1717" s="27" t="s">
        <v>12</v>
      </c>
    </row>
    <row r="1718" ht="18.6" customHeight="1" spans="1:11">
      <c r="A1718" s="3">
        <v>1717</v>
      </c>
      <c r="B1718" s="3" t="s">
        <v>2523</v>
      </c>
      <c r="C1718" s="3" t="s">
        <v>3612</v>
      </c>
      <c r="D1718" s="3" t="s">
        <v>902</v>
      </c>
      <c r="E1718" s="3" t="s">
        <v>903</v>
      </c>
      <c r="F1718" s="3"/>
      <c r="G1718" s="3"/>
      <c r="H1718" s="3"/>
      <c r="I1718" s="3" t="s">
        <v>3770</v>
      </c>
      <c r="J1718" s="3" t="s">
        <v>1700</v>
      </c>
      <c r="K1718" s="27" t="s">
        <v>12</v>
      </c>
    </row>
    <row r="1719" ht="18.6" customHeight="1" spans="1:11">
      <c r="A1719" s="3">
        <v>1718</v>
      </c>
      <c r="B1719" s="3" t="s">
        <v>2524</v>
      </c>
      <c r="C1719" s="3" t="s">
        <v>3612</v>
      </c>
      <c r="D1719" s="3" t="s">
        <v>902</v>
      </c>
      <c r="E1719" s="3" t="s">
        <v>919</v>
      </c>
      <c r="F1719" s="3"/>
      <c r="G1719" s="3"/>
      <c r="H1719" s="3"/>
      <c r="I1719" s="3" t="s">
        <v>3769</v>
      </c>
      <c r="J1719" s="3" t="s">
        <v>1700</v>
      </c>
      <c r="K1719" s="27" t="s">
        <v>12</v>
      </c>
    </row>
    <row r="1720" ht="18.6" customHeight="1" spans="1:11">
      <c r="A1720" s="3">
        <v>1719</v>
      </c>
      <c r="B1720" s="3" t="s">
        <v>2525</v>
      </c>
      <c r="C1720" s="3" t="s">
        <v>3612</v>
      </c>
      <c r="D1720" s="3" t="s">
        <v>902</v>
      </c>
      <c r="E1720" s="3" t="s">
        <v>1580</v>
      </c>
      <c r="F1720" s="3"/>
      <c r="G1720" s="3"/>
      <c r="H1720" s="3"/>
      <c r="I1720" s="3" t="s">
        <v>3769</v>
      </c>
      <c r="J1720" s="3" t="s">
        <v>1700</v>
      </c>
      <c r="K1720" s="27" t="s">
        <v>12</v>
      </c>
    </row>
    <row r="1721" ht="18.6" customHeight="1" spans="1:11">
      <c r="A1721" s="3">
        <v>1720</v>
      </c>
      <c r="B1721" s="3" t="s">
        <v>2526</v>
      </c>
      <c r="C1721" s="3" t="s">
        <v>3612</v>
      </c>
      <c r="D1721" s="3" t="s">
        <v>902</v>
      </c>
      <c r="E1721" s="3" t="s">
        <v>903</v>
      </c>
      <c r="F1721" s="3"/>
      <c r="G1721" s="3"/>
      <c r="H1721" s="3"/>
      <c r="I1721" s="3" t="s">
        <v>3771</v>
      </c>
      <c r="J1721" s="3" t="s">
        <v>1700</v>
      </c>
      <c r="K1721" s="27" t="s">
        <v>12</v>
      </c>
    </row>
    <row r="1722" ht="18.6" customHeight="1" spans="1:11">
      <c r="A1722" s="3">
        <v>1721</v>
      </c>
      <c r="B1722" s="3" t="s">
        <v>2527</v>
      </c>
      <c r="C1722" s="3" t="s">
        <v>3612</v>
      </c>
      <c r="D1722" s="3" t="s">
        <v>902</v>
      </c>
      <c r="E1722" s="3" t="s">
        <v>903</v>
      </c>
      <c r="F1722" s="3"/>
      <c r="G1722" s="3"/>
      <c r="H1722" s="3"/>
      <c r="I1722" s="3" t="s">
        <v>3771</v>
      </c>
      <c r="J1722" s="3" t="s">
        <v>1700</v>
      </c>
      <c r="K1722" s="27" t="s">
        <v>12</v>
      </c>
    </row>
    <row r="1723" ht="18.6" customHeight="1" spans="1:11">
      <c r="A1723" s="3">
        <v>1722</v>
      </c>
      <c r="B1723" s="3" t="s">
        <v>2528</v>
      </c>
      <c r="C1723" s="3" t="s">
        <v>3612</v>
      </c>
      <c r="D1723" s="3" t="s">
        <v>902</v>
      </c>
      <c r="E1723" s="3" t="s">
        <v>903</v>
      </c>
      <c r="F1723" s="3"/>
      <c r="G1723" s="3"/>
      <c r="H1723" s="3"/>
      <c r="I1723" s="3" t="s">
        <v>3770</v>
      </c>
      <c r="J1723" s="3" t="s">
        <v>1700</v>
      </c>
      <c r="K1723" s="27" t="s">
        <v>12</v>
      </c>
    </row>
    <row r="1724" ht="18.6" customHeight="1" spans="1:11">
      <c r="A1724" s="3">
        <v>1723</v>
      </c>
      <c r="B1724" s="3" t="s">
        <v>2529</v>
      </c>
      <c r="C1724" s="3" t="s">
        <v>3612</v>
      </c>
      <c r="D1724" s="3" t="s">
        <v>902</v>
      </c>
      <c r="E1724" s="3" t="s">
        <v>905</v>
      </c>
      <c r="F1724" s="3"/>
      <c r="G1724" s="3"/>
      <c r="H1724" s="3"/>
      <c r="I1724" s="3" t="s">
        <v>3769</v>
      </c>
      <c r="J1724" s="3" t="s">
        <v>1700</v>
      </c>
      <c r="K1724" s="27" t="s">
        <v>12</v>
      </c>
    </row>
    <row r="1725" ht="18.6" customHeight="1" spans="1:11">
      <c r="A1725" s="3">
        <v>1724</v>
      </c>
      <c r="B1725" s="3" t="s">
        <v>2530</v>
      </c>
      <c r="C1725" s="3" t="s">
        <v>3612</v>
      </c>
      <c r="D1725" s="3" t="s">
        <v>902</v>
      </c>
      <c r="E1725" s="3" t="s">
        <v>911</v>
      </c>
      <c r="F1725" s="3"/>
      <c r="G1725" s="3"/>
      <c r="H1725" s="3"/>
      <c r="I1725" s="3"/>
      <c r="J1725" s="3" t="s">
        <v>1700</v>
      </c>
      <c r="K1725" s="27" t="s">
        <v>12</v>
      </c>
    </row>
    <row r="1726" ht="18.6" customHeight="1" spans="1:11">
      <c r="A1726" s="3">
        <v>1725</v>
      </c>
      <c r="B1726" s="3" t="s">
        <v>2531</v>
      </c>
      <c r="C1726" s="3" t="s">
        <v>3612</v>
      </c>
      <c r="D1726" s="3" t="s">
        <v>902</v>
      </c>
      <c r="E1726" s="3" t="s">
        <v>926</v>
      </c>
      <c r="F1726" s="3"/>
      <c r="G1726" s="3"/>
      <c r="H1726" s="3"/>
      <c r="I1726" s="3" t="s">
        <v>3769</v>
      </c>
      <c r="J1726" s="3" t="s">
        <v>1700</v>
      </c>
      <c r="K1726" s="27" t="s">
        <v>12</v>
      </c>
    </row>
    <row r="1727" ht="18.6" customHeight="1" spans="1:11">
      <c r="A1727" s="3">
        <v>1726</v>
      </c>
      <c r="B1727" s="3" t="s">
        <v>2532</v>
      </c>
      <c r="C1727" s="3" t="s">
        <v>3612</v>
      </c>
      <c r="D1727" s="3" t="s">
        <v>902</v>
      </c>
      <c r="E1727" s="3" t="s">
        <v>903</v>
      </c>
      <c r="F1727" s="3"/>
      <c r="G1727" s="3"/>
      <c r="H1727" s="3"/>
      <c r="I1727" s="3" t="s">
        <v>3776</v>
      </c>
      <c r="J1727" s="3" t="s">
        <v>1700</v>
      </c>
      <c r="K1727" s="27" t="s">
        <v>12</v>
      </c>
    </row>
    <row r="1728" ht="18.6" customHeight="1" spans="1:11">
      <c r="A1728" s="3">
        <v>1727</v>
      </c>
      <c r="B1728" s="3" t="s">
        <v>2533</v>
      </c>
      <c r="C1728" s="3" t="s">
        <v>3612</v>
      </c>
      <c r="D1728" s="3" t="s">
        <v>902</v>
      </c>
      <c r="E1728" s="3" t="s">
        <v>903</v>
      </c>
      <c r="F1728" s="3"/>
      <c r="G1728" s="3"/>
      <c r="H1728" s="3"/>
      <c r="I1728" s="3" t="s">
        <v>3775</v>
      </c>
      <c r="J1728" s="3" t="s">
        <v>1700</v>
      </c>
      <c r="K1728" s="27" t="s">
        <v>12</v>
      </c>
    </row>
    <row r="1729" ht="18.6" customHeight="1" spans="1:11">
      <c r="A1729" s="3">
        <v>1728</v>
      </c>
      <c r="B1729" s="3" t="s">
        <v>2534</v>
      </c>
      <c r="C1729" s="3" t="s">
        <v>3612</v>
      </c>
      <c r="D1729" s="3" t="s">
        <v>902</v>
      </c>
      <c r="E1729" s="3" t="s">
        <v>903</v>
      </c>
      <c r="F1729" s="3"/>
      <c r="G1729" s="3"/>
      <c r="H1729" s="3"/>
      <c r="I1729" s="3" t="s">
        <v>3771</v>
      </c>
      <c r="J1729" s="3" t="s">
        <v>1700</v>
      </c>
      <c r="K1729" s="27" t="s">
        <v>12</v>
      </c>
    </row>
    <row r="1730" ht="18.6" customHeight="1" spans="1:11">
      <c r="A1730" s="3">
        <v>1729</v>
      </c>
      <c r="B1730" s="3" t="s">
        <v>2535</v>
      </c>
      <c r="C1730" s="3" t="s">
        <v>3612</v>
      </c>
      <c r="D1730" s="3" t="s">
        <v>902</v>
      </c>
      <c r="E1730" s="3" t="s">
        <v>903</v>
      </c>
      <c r="F1730" s="3"/>
      <c r="G1730" s="3"/>
      <c r="H1730" s="3"/>
      <c r="I1730" s="3"/>
      <c r="J1730" s="3" t="s">
        <v>1700</v>
      </c>
      <c r="K1730" s="27" t="s">
        <v>12</v>
      </c>
    </row>
    <row r="1731" ht="18.6" customHeight="1" spans="1:11">
      <c r="A1731" s="3">
        <v>1730</v>
      </c>
      <c r="B1731" s="3" t="s">
        <v>2536</v>
      </c>
      <c r="C1731" s="3" t="s">
        <v>3612</v>
      </c>
      <c r="D1731" s="3" t="s">
        <v>902</v>
      </c>
      <c r="E1731" s="3" t="s">
        <v>917</v>
      </c>
      <c r="F1731" s="3"/>
      <c r="G1731" s="3"/>
      <c r="H1731" s="3"/>
      <c r="I1731" s="3"/>
      <c r="J1731" s="3" t="s">
        <v>1700</v>
      </c>
      <c r="K1731" s="27" t="s">
        <v>12</v>
      </c>
    </row>
    <row r="1732" ht="18.6" customHeight="1" spans="1:11">
      <c r="A1732" s="3">
        <v>1731</v>
      </c>
      <c r="B1732" s="3" t="s">
        <v>2537</v>
      </c>
      <c r="C1732" s="3" t="s">
        <v>3612</v>
      </c>
      <c r="D1732" s="3" t="s">
        <v>902</v>
      </c>
      <c r="E1732" s="3" t="s">
        <v>931</v>
      </c>
      <c r="F1732" s="3"/>
      <c r="G1732" s="3"/>
      <c r="H1732" s="3"/>
      <c r="I1732" s="3"/>
      <c r="J1732" s="3" t="s">
        <v>1700</v>
      </c>
      <c r="K1732" s="27" t="s">
        <v>12</v>
      </c>
    </row>
    <row r="1733" ht="18.6" customHeight="1" spans="1:11">
      <c r="A1733" s="3">
        <v>1732</v>
      </c>
      <c r="B1733" s="3" t="s">
        <v>2538</v>
      </c>
      <c r="C1733" s="3" t="s">
        <v>3612</v>
      </c>
      <c r="D1733" s="3" t="s">
        <v>902</v>
      </c>
      <c r="E1733" s="3" t="s">
        <v>903</v>
      </c>
      <c r="F1733" s="3"/>
      <c r="G1733" s="3"/>
      <c r="H1733" s="3"/>
      <c r="I1733" s="3"/>
      <c r="J1733" s="3" t="s">
        <v>1700</v>
      </c>
      <c r="K1733" s="27" t="s">
        <v>12</v>
      </c>
    </row>
    <row r="1734" ht="18.6" customHeight="1" spans="1:11">
      <c r="A1734" s="3">
        <v>1733</v>
      </c>
      <c r="B1734" s="3" t="s">
        <v>2539</v>
      </c>
      <c r="C1734" s="3" t="s">
        <v>3612</v>
      </c>
      <c r="D1734" s="3" t="s">
        <v>902</v>
      </c>
      <c r="E1734" s="3" t="s">
        <v>2540</v>
      </c>
      <c r="F1734" s="3"/>
      <c r="G1734" s="3"/>
      <c r="H1734" s="3"/>
      <c r="I1734" s="3"/>
      <c r="J1734" s="3" t="s">
        <v>1700</v>
      </c>
      <c r="K1734" s="27" t="s">
        <v>12</v>
      </c>
    </row>
    <row r="1735" ht="18.6" customHeight="1" spans="1:11">
      <c r="A1735" s="3">
        <v>1734</v>
      </c>
      <c r="B1735" s="3" t="s">
        <v>2541</v>
      </c>
      <c r="C1735" s="3" t="s">
        <v>3612</v>
      </c>
      <c r="D1735" s="3" t="s">
        <v>902</v>
      </c>
      <c r="E1735" s="3" t="s">
        <v>2542</v>
      </c>
      <c r="F1735" s="3"/>
      <c r="G1735" s="3"/>
      <c r="H1735" s="3"/>
      <c r="I1735" s="3"/>
      <c r="J1735" s="3" t="s">
        <v>1700</v>
      </c>
      <c r="K1735" s="27" t="s">
        <v>12</v>
      </c>
    </row>
    <row r="1736" ht="18.6" customHeight="1" spans="1:11">
      <c r="A1736" s="3">
        <v>1735</v>
      </c>
      <c r="B1736" s="3" t="s">
        <v>2543</v>
      </c>
      <c r="C1736" s="3" t="s">
        <v>3612</v>
      </c>
      <c r="D1736" s="3" t="s">
        <v>902</v>
      </c>
      <c r="E1736" s="3" t="s">
        <v>903</v>
      </c>
      <c r="F1736" s="3"/>
      <c r="G1736" s="3"/>
      <c r="H1736" s="3"/>
      <c r="I1736" s="3"/>
      <c r="J1736" s="3" t="s">
        <v>1700</v>
      </c>
      <c r="K1736" s="27" t="s">
        <v>12</v>
      </c>
    </row>
    <row r="1737" ht="18.6" customHeight="1" spans="1:11">
      <c r="A1737" s="3">
        <v>1736</v>
      </c>
      <c r="B1737" s="3" t="s">
        <v>2544</v>
      </c>
      <c r="C1737" s="3" t="s">
        <v>3612</v>
      </c>
      <c r="D1737" s="3" t="s">
        <v>902</v>
      </c>
      <c r="E1737" s="3" t="s">
        <v>917</v>
      </c>
      <c r="F1737" s="3"/>
      <c r="G1737" s="3"/>
      <c r="H1737" s="3"/>
      <c r="I1737" s="3"/>
      <c r="J1737" s="3" t="s">
        <v>1700</v>
      </c>
      <c r="K1737" s="27" t="s">
        <v>12</v>
      </c>
    </row>
    <row r="1738" ht="18.6" customHeight="1" spans="1:11">
      <c r="A1738" s="3">
        <v>1737</v>
      </c>
      <c r="B1738" s="3" t="s">
        <v>2545</v>
      </c>
      <c r="C1738" s="3" t="s">
        <v>3612</v>
      </c>
      <c r="D1738" s="3" t="s">
        <v>902</v>
      </c>
      <c r="E1738" s="3" t="s">
        <v>917</v>
      </c>
      <c r="F1738" s="3"/>
      <c r="G1738" s="3"/>
      <c r="H1738" s="3"/>
      <c r="I1738" s="3"/>
      <c r="J1738" s="3" t="s">
        <v>1700</v>
      </c>
      <c r="K1738" s="27" t="s">
        <v>12</v>
      </c>
    </row>
    <row r="1739" ht="18.6" customHeight="1" spans="1:11">
      <c r="A1739" s="3">
        <v>1738</v>
      </c>
      <c r="B1739" s="3" t="s">
        <v>2546</v>
      </c>
      <c r="C1739" s="3" t="s">
        <v>3628</v>
      </c>
      <c r="D1739" s="3" t="s">
        <v>943</v>
      </c>
      <c r="E1739" s="3" t="s">
        <v>944</v>
      </c>
      <c r="F1739" s="3"/>
      <c r="G1739" s="3"/>
      <c r="H1739" s="3"/>
      <c r="I1739" s="3" t="s">
        <v>3769</v>
      </c>
      <c r="J1739" s="3" t="s">
        <v>1700</v>
      </c>
      <c r="K1739" s="27" t="s">
        <v>12</v>
      </c>
    </row>
    <row r="1740" ht="18.6" customHeight="1" spans="1:11">
      <c r="A1740" s="3">
        <v>1739</v>
      </c>
      <c r="B1740" s="3" t="s">
        <v>2547</v>
      </c>
      <c r="C1740" s="3" t="s">
        <v>3628</v>
      </c>
      <c r="D1740" s="3" t="s">
        <v>943</v>
      </c>
      <c r="E1740" s="3" t="s">
        <v>2548</v>
      </c>
      <c r="F1740" s="3"/>
      <c r="G1740" s="3"/>
      <c r="H1740" s="3"/>
      <c r="I1740" s="3" t="s">
        <v>3770</v>
      </c>
      <c r="J1740" s="3" t="s">
        <v>1700</v>
      </c>
      <c r="K1740" s="27" t="s">
        <v>12</v>
      </c>
    </row>
    <row r="1741" ht="18.6" customHeight="1" spans="1:11">
      <c r="A1741" s="3">
        <v>1740</v>
      </c>
      <c r="B1741" s="3" t="s">
        <v>2549</v>
      </c>
      <c r="C1741" s="3" t="s">
        <v>3628</v>
      </c>
      <c r="D1741" s="3" t="s">
        <v>943</v>
      </c>
      <c r="E1741" s="3" t="s">
        <v>944</v>
      </c>
      <c r="F1741" s="3"/>
      <c r="G1741" s="3"/>
      <c r="H1741" s="3"/>
      <c r="I1741" s="3" t="s">
        <v>3779</v>
      </c>
      <c r="J1741" s="3" t="s">
        <v>1700</v>
      </c>
      <c r="K1741" s="27" t="s">
        <v>12</v>
      </c>
    </row>
    <row r="1742" ht="18.6" customHeight="1" spans="1:11">
      <c r="A1742" s="3">
        <v>1741</v>
      </c>
      <c r="B1742" s="3" t="s">
        <v>2550</v>
      </c>
      <c r="C1742" s="3" t="s">
        <v>3628</v>
      </c>
      <c r="D1742" s="3" t="s">
        <v>943</v>
      </c>
      <c r="E1742" s="3" t="s">
        <v>2551</v>
      </c>
      <c r="F1742" s="3"/>
      <c r="G1742" s="3"/>
      <c r="H1742" s="3"/>
      <c r="I1742" s="3" t="s">
        <v>3778</v>
      </c>
      <c r="J1742" s="3" t="s">
        <v>1700</v>
      </c>
      <c r="K1742" s="27" t="s">
        <v>12</v>
      </c>
    </row>
    <row r="1743" ht="18.6" customHeight="1" spans="1:11">
      <c r="A1743" s="3">
        <v>1742</v>
      </c>
      <c r="B1743" s="3" t="s">
        <v>2552</v>
      </c>
      <c r="C1743" s="3" t="s">
        <v>3628</v>
      </c>
      <c r="D1743" s="3" t="s">
        <v>943</v>
      </c>
      <c r="E1743" s="3" t="s">
        <v>944</v>
      </c>
      <c r="F1743" s="3"/>
      <c r="G1743" s="3"/>
      <c r="H1743" s="3"/>
      <c r="I1743" s="3" t="s">
        <v>3771</v>
      </c>
      <c r="J1743" s="3" t="s">
        <v>1700</v>
      </c>
      <c r="K1743" s="27" t="s">
        <v>12</v>
      </c>
    </row>
    <row r="1744" ht="18.6" customHeight="1" spans="1:11">
      <c r="A1744" s="3">
        <v>1743</v>
      </c>
      <c r="B1744" s="3" t="s">
        <v>2553</v>
      </c>
      <c r="C1744" s="3" t="s">
        <v>3628</v>
      </c>
      <c r="D1744" s="3" t="s">
        <v>943</v>
      </c>
      <c r="E1744" s="3" t="s">
        <v>944</v>
      </c>
      <c r="F1744" s="3"/>
      <c r="G1744" s="3"/>
      <c r="H1744" s="3"/>
      <c r="I1744" s="3"/>
      <c r="J1744" s="3" t="s">
        <v>1700</v>
      </c>
      <c r="K1744" s="27" t="s">
        <v>12</v>
      </c>
    </row>
    <row r="1745" ht="18.6" customHeight="1" spans="1:11">
      <c r="A1745" s="3">
        <v>1744</v>
      </c>
      <c r="B1745" s="3" t="s">
        <v>2554</v>
      </c>
      <c r="C1745" s="3" t="s">
        <v>3628</v>
      </c>
      <c r="D1745" s="3" t="s">
        <v>943</v>
      </c>
      <c r="E1745" s="3" t="s">
        <v>944</v>
      </c>
      <c r="F1745" s="3"/>
      <c r="G1745" s="3"/>
      <c r="H1745" s="3"/>
      <c r="I1745" s="3"/>
      <c r="J1745" s="3" t="s">
        <v>1700</v>
      </c>
      <c r="K1745" s="27" t="s">
        <v>12</v>
      </c>
    </row>
    <row r="1746" ht="18.6" customHeight="1" spans="1:11">
      <c r="A1746" s="3">
        <v>1745</v>
      </c>
      <c r="B1746" s="3" t="s">
        <v>2555</v>
      </c>
      <c r="C1746" s="3" t="s">
        <v>3637</v>
      </c>
      <c r="D1746" s="3" t="s">
        <v>951</v>
      </c>
      <c r="E1746" s="3" t="s">
        <v>951</v>
      </c>
      <c r="F1746" s="3"/>
      <c r="G1746" s="3"/>
      <c r="H1746" s="3"/>
      <c r="I1746" s="3" t="s">
        <v>3770</v>
      </c>
      <c r="J1746" s="3" t="s">
        <v>1700</v>
      </c>
      <c r="K1746" s="27" t="s">
        <v>12</v>
      </c>
    </row>
    <row r="1747" ht="18.6" customHeight="1" spans="1:11">
      <c r="A1747" s="3">
        <v>1746</v>
      </c>
      <c r="B1747" s="3" t="s">
        <v>2556</v>
      </c>
      <c r="C1747" s="3" t="s">
        <v>3637</v>
      </c>
      <c r="D1747" s="3" t="s">
        <v>951</v>
      </c>
      <c r="E1747" s="3" t="s">
        <v>951</v>
      </c>
      <c r="F1747" s="3"/>
      <c r="G1747" s="3"/>
      <c r="H1747" s="3"/>
      <c r="I1747" s="3" t="s">
        <v>3770</v>
      </c>
      <c r="J1747" s="3" t="s">
        <v>1700</v>
      </c>
      <c r="K1747" s="27" t="s">
        <v>12</v>
      </c>
    </row>
    <row r="1748" ht="18.6" customHeight="1" spans="1:11">
      <c r="A1748" s="3">
        <v>1747</v>
      </c>
      <c r="B1748" s="3" t="s">
        <v>3818</v>
      </c>
      <c r="C1748" s="3" t="s">
        <v>3637</v>
      </c>
      <c r="D1748" s="3" t="s">
        <v>951</v>
      </c>
      <c r="E1748" s="3" t="s">
        <v>951</v>
      </c>
      <c r="F1748" s="3"/>
      <c r="G1748" s="3"/>
      <c r="H1748" s="3"/>
      <c r="I1748" s="3" t="s">
        <v>3770</v>
      </c>
      <c r="J1748" s="3" t="s">
        <v>1700</v>
      </c>
      <c r="K1748" s="27" t="s">
        <v>12</v>
      </c>
    </row>
    <row r="1749" ht="18.6" customHeight="1" spans="1:11">
      <c r="A1749" s="3">
        <v>1748</v>
      </c>
      <c r="B1749" s="3" t="s">
        <v>2557</v>
      </c>
      <c r="C1749" s="3" t="s">
        <v>3637</v>
      </c>
      <c r="D1749" s="3" t="s">
        <v>951</v>
      </c>
      <c r="E1749" s="3" t="s">
        <v>951</v>
      </c>
      <c r="F1749" s="3"/>
      <c r="G1749" s="3"/>
      <c r="H1749" s="3"/>
      <c r="I1749" s="3" t="s">
        <v>3769</v>
      </c>
      <c r="J1749" s="3" t="s">
        <v>1700</v>
      </c>
      <c r="K1749" s="27" t="s">
        <v>12</v>
      </c>
    </row>
    <row r="1750" ht="18.6" customHeight="1" spans="1:11">
      <c r="A1750" s="3">
        <v>1749</v>
      </c>
      <c r="B1750" s="3" t="s">
        <v>2558</v>
      </c>
      <c r="C1750" s="3" t="s">
        <v>3637</v>
      </c>
      <c r="D1750" s="3" t="s">
        <v>951</v>
      </c>
      <c r="E1750" s="3" t="s">
        <v>951</v>
      </c>
      <c r="F1750" s="3"/>
      <c r="G1750" s="3"/>
      <c r="H1750" s="3"/>
      <c r="I1750" s="3" t="s">
        <v>3770</v>
      </c>
      <c r="J1750" s="3" t="s">
        <v>1700</v>
      </c>
      <c r="K1750" s="27" t="s">
        <v>12</v>
      </c>
    </row>
    <row r="1751" ht="18.6" customHeight="1" spans="1:11">
      <c r="A1751" s="3">
        <v>1750</v>
      </c>
      <c r="B1751" s="3" t="s">
        <v>2559</v>
      </c>
      <c r="C1751" s="3" t="s">
        <v>3637</v>
      </c>
      <c r="D1751" s="3" t="s">
        <v>951</v>
      </c>
      <c r="E1751" s="3" t="s">
        <v>951</v>
      </c>
      <c r="F1751" s="3"/>
      <c r="G1751" s="3"/>
      <c r="H1751" s="3"/>
      <c r="I1751" s="3" t="s">
        <v>3769</v>
      </c>
      <c r="J1751" s="3" t="s">
        <v>1700</v>
      </c>
      <c r="K1751" s="27" t="s">
        <v>12</v>
      </c>
    </row>
    <row r="1752" ht="18.6" customHeight="1" spans="1:11">
      <c r="A1752" s="3">
        <v>1751</v>
      </c>
      <c r="B1752" s="3" t="s">
        <v>2560</v>
      </c>
      <c r="C1752" s="3" t="s">
        <v>3637</v>
      </c>
      <c r="D1752" s="3" t="s">
        <v>951</v>
      </c>
      <c r="E1752" s="3" t="s">
        <v>951</v>
      </c>
      <c r="F1752" s="3"/>
      <c r="G1752" s="3"/>
      <c r="H1752" s="3"/>
      <c r="I1752" s="3" t="s">
        <v>3770</v>
      </c>
      <c r="J1752" s="3" t="s">
        <v>1700</v>
      </c>
      <c r="K1752" s="27" t="s">
        <v>12</v>
      </c>
    </row>
    <row r="1753" ht="18.6" customHeight="1" spans="1:11">
      <c r="A1753" s="3">
        <v>1752</v>
      </c>
      <c r="B1753" s="3" t="s">
        <v>2561</v>
      </c>
      <c r="C1753" s="3" t="s">
        <v>3637</v>
      </c>
      <c r="D1753" s="3" t="s">
        <v>951</v>
      </c>
      <c r="E1753" s="3" t="s">
        <v>951</v>
      </c>
      <c r="F1753" s="3"/>
      <c r="G1753" s="3"/>
      <c r="H1753" s="3"/>
      <c r="I1753" s="3" t="s">
        <v>3769</v>
      </c>
      <c r="J1753" s="3" t="s">
        <v>1700</v>
      </c>
      <c r="K1753" s="27" t="s">
        <v>12</v>
      </c>
    </row>
    <row r="1754" ht="18.6" customHeight="1" spans="1:11">
      <c r="A1754" s="3">
        <v>1753</v>
      </c>
      <c r="B1754" s="3" t="s">
        <v>2562</v>
      </c>
      <c r="C1754" s="3" t="s">
        <v>3637</v>
      </c>
      <c r="D1754" s="3" t="s">
        <v>951</v>
      </c>
      <c r="E1754" s="3" t="s">
        <v>951</v>
      </c>
      <c r="F1754" s="3"/>
      <c r="G1754" s="3"/>
      <c r="H1754" s="3"/>
      <c r="I1754" s="3" t="s">
        <v>3770</v>
      </c>
      <c r="J1754" s="3" t="s">
        <v>1700</v>
      </c>
      <c r="K1754" s="27" t="s">
        <v>12</v>
      </c>
    </row>
    <row r="1755" ht="18.6" customHeight="1" spans="1:11">
      <c r="A1755" s="3">
        <v>1754</v>
      </c>
      <c r="B1755" s="3" t="s">
        <v>2563</v>
      </c>
      <c r="C1755" s="3" t="s">
        <v>3637</v>
      </c>
      <c r="D1755" s="3" t="s">
        <v>951</v>
      </c>
      <c r="E1755" s="3" t="s">
        <v>951</v>
      </c>
      <c r="F1755" s="3"/>
      <c r="G1755" s="3"/>
      <c r="H1755" s="3"/>
      <c r="I1755" s="3" t="s">
        <v>3769</v>
      </c>
      <c r="J1755" s="3" t="s">
        <v>1700</v>
      </c>
      <c r="K1755" s="27" t="s">
        <v>12</v>
      </c>
    </row>
    <row r="1756" ht="18.6" customHeight="1" spans="1:11">
      <c r="A1756" s="3">
        <v>1755</v>
      </c>
      <c r="B1756" s="3" t="s">
        <v>2564</v>
      </c>
      <c r="C1756" s="3" t="s">
        <v>3637</v>
      </c>
      <c r="D1756" s="3" t="s">
        <v>951</v>
      </c>
      <c r="E1756" s="3" t="s">
        <v>951</v>
      </c>
      <c r="F1756" s="3"/>
      <c r="G1756" s="3"/>
      <c r="H1756" s="3"/>
      <c r="I1756" s="3" t="s">
        <v>3775</v>
      </c>
      <c r="J1756" s="3" t="s">
        <v>1700</v>
      </c>
      <c r="K1756" s="27" t="s">
        <v>12</v>
      </c>
    </row>
    <row r="1757" ht="18.6" customHeight="1" spans="1:11">
      <c r="A1757" s="3">
        <v>1756</v>
      </c>
      <c r="B1757" s="3" t="s">
        <v>2565</v>
      </c>
      <c r="C1757" s="3" t="s">
        <v>3637</v>
      </c>
      <c r="D1757" s="3" t="s">
        <v>951</v>
      </c>
      <c r="E1757" s="3" t="s">
        <v>951</v>
      </c>
      <c r="F1757" s="3"/>
      <c r="G1757" s="3"/>
      <c r="H1757" s="3"/>
      <c r="I1757" s="3" t="s">
        <v>3775</v>
      </c>
      <c r="J1757" s="3" t="s">
        <v>1700</v>
      </c>
      <c r="K1757" s="27" t="s">
        <v>12</v>
      </c>
    </row>
    <row r="1758" ht="18.6" customHeight="1" spans="1:11">
      <c r="A1758" s="3">
        <v>1757</v>
      </c>
      <c r="B1758" s="3" t="s">
        <v>2566</v>
      </c>
      <c r="C1758" s="3" t="s">
        <v>3637</v>
      </c>
      <c r="D1758" s="3" t="s">
        <v>951</v>
      </c>
      <c r="E1758" s="3" t="s">
        <v>951</v>
      </c>
      <c r="F1758" s="3"/>
      <c r="G1758" s="3"/>
      <c r="H1758" s="3"/>
      <c r="I1758" s="3" t="s">
        <v>3769</v>
      </c>
      <c r="J1758" s="3" t="s">
        <v>1700</v>
      </c>
      <c r="K1758" s="27" t="s">
        <v>12</v>
      </c>
    </row>
    <row r="1759" ht="18.6" customHeight="1" spans="1:11">
      <c r="A1759" s="3">
        <v>1758</v>
      </c>
      <c r="B1759" s="3" t="s">
        <v>2567</v>
      </c>
      <c r="C1759" s="3" t="s">
        <v>3637</v>
      </c>
      <c r="D1759" s="3" t="s">
        <v>951</v>
      </c>
      <c r="E1759" s="3" t="s">
        <v>951</v>
      </c>
      <c r="F1759" s="3"/>
      <c r="G1759" s="3"/>
      <c r="H1759" s="3"/>
      <c r="I1759" s="3" t="s">
        <v>3771</v>
      </c>
      <c r="J1759" s="3" t="s">
        <v>1700</v>
      </c>
      <c r="K1759" s="27" t="s">
        <v>12</v>
      </c>
    </row>
    <row r="1760" ht="18.6" customHeight="1" spans="1:11">
      <c r="A1760" s="3">
        <v>1759</v>
      </c>
      <c r="B1760" s="3" t="s">
        <v>2568</v>
      </c>
      <c r="C1760" s="3" t="s">
        <v>3637</v>
      </c>
      <c r="D1760" s="3" t="s">
        <v>951</v>
      </c>
      <c r="E1760" s="3" t="s">
        <v>951</v>
      </c>
      <c r="F1760" s="3"/>
      <c r="G1760" s="3"/>
      <c r="H1760" s="3"/>
      <c r="I1760" s="3" t="s">
        <v>3770</v>
      </c>
      <c r="J1760" s="3" t="s">
        <v>1700</v>
      </c>
      <c r="K1760" s="27" t="s">
        <v>12</v>
      </c>
    </row>
    <row r="1761" ht="18.6" customHeight="1" spans="1:11">
      <c r="A1761" s="3">
        <v>1760</v>
      </c>
      <c r="B1761" s="3" t="s">
        <v>2569</v>
      </c>
      <c r="C1761" s="3" t="s">
        <v>3637</v>
      </c>
      <c r="D1761" s="3" t="s">
        <v>951</v>
      </c>
      <c r="E1761" s="3" t="s">
        <v>951</v>
      </c>
      <c r="F1761" s="3"/>
      <c r="G1761" s="3"/>
      <c r="H1761" s="3"/>
      <c r="I1761" s="3" t="s">
        <v>3771</v>
      </c>
      <c r="J1761" s="3" t="s">
        <v>1700</v>
      </c>
      <c r="K1761" s="27" t="s">
        <v>12</v>
      </c>
    </row>
    <row r="1762" ht="18.6" customHeight="1" spans="1:11">
      <c r="A1762" s="3">
        <v>1761</v>
      </c>
      <c r="B1762" s="3" t="s">
        <v>2570</v>
      </c>
      <c r="C1762" s="3" t="s">
        <v>3637</v>
      </c>
      <c r="D1762" s="3" t="s">
        <v>951</v>
      </c>
      <c r="E1762" s="3" t="s">
        <v>951</v>
      </c>
      <c r="F1762" s="3"/>
      <c r="G1762" s="3"/>
      <c r="H1762" s="3"/>
      <c r="I1762" s="3" t="s">
        <v>3770</v>
      </c>
      <c r="J1762" s="3" t="s">
        <v>1700</v>
      </c>
      <c r="K1762" s="27" t="s">
        <v>12</v>
      </c>
    </row>
    <row r="1763" ht="18.6" customHeight="1" spans="1:11">
      <c r="A1763" s="3">
        <v>1762</v>
      </c>
      <c r="B1763" s="3" t="s">
        <v>2571</v>
      </c>
      <c r="C1763" s="3" t="s">
        <v>3637</v>
      </c>
      <c r="D1763" s="3" t="s">
        <v>951</v>
      </c>
      <c r="E1763" s="3" t="s">
        <v>951</v>
      </c>
      <c r="F1763" s="3"/>
      <c r="G1763" s="3"/>
      <c r="H1763" s="3"/>
      <c r="I1763" s="3" t="s">
        <v>3769</v>
      </c>
      <c r="J1763" s="3" t="s">
        <v>1700</v>
      </c>
      <c r="K1763" s="27" t="s">
        <v>12</v>
      </c>
    </row>
    <row r="1764" ht="18.6" customHeight="1" spans="1:11">
      <c r="A1764" s="3">
        <v>1763</v>
      </c>
      <c r="B1764" s="3" t="s">
        <v>2572</v>
      </c>
      <c r="C1764" s="3" t="s">
        <v>3637</v>
      </c>
      <c r="D1764" s="3" t="s">
        <v>951</v>
      </c>
      <c r="E1764" s="3" t="s">
        <v>951</v>
      </c>
      <c r="F1764" s="3"/>
      <c r="G1764" s="3"/>
      <c r="H1764" s="3"/>
      <c r="I1764" s="3"/>
      <c r="J1764" s="3" t="s">
        <v>1700</v>
      </c>
      <c r="K1764" s="27" t="s">
        <v>12</v>
      </c>
    </row>
    <row r="1765" ht="18.6" customHeight="1" spans="1:11">
      <c r="A1765" s="3">
        <v>1764</v>
      </c>
      <c r="B1765" s="3" t="s">
        <v>2573</v>
      </c>
      <c r="C1765" s="3" t="s">
        <v>3637</v>
      </c>
      <c r="D1765" s="3" t="s">
        <v>951</v>
      </c>
      <c r="E1765" s="3" t="s">
        <v>951</v>
      </c>
      <c r="F1765" s="3"/>
      <c r="G1765" s="3"/>
      <c r="H1765" s="3"/>
      <c r="I1765" s="3" t="s">
        <v>3776</v>
      </c>
      <c r="J1765" s="3" t="s">
        <v>1700</v>
      </c>
      <c r="K1765" s="27" t="s">
        <v>12</v>
      </c>
    </row>
    <row r="1766" ht="18.6" customHeight="1" spans="1:11">
      <c r="A1766" s="3">
        <v>1765</v>
      </c>
      <c r="B1766" s="3" t="s">
        <v>2574</v>
      </c>
      <c r="C1766" s="3" t="s">
        <v>3637</v>
      </c>
      <c r="D1766" s="3" t="s">
        <v>951</v>
      </c>
      <c r="E1766" s="3" t="s">
        <v>951</v>
      </c>
      <c r="F1766" s="3"/>
      <c r="G1766" s="3"/>
      <c r="H1766" s="3"/>
      <c r="I1766" s="3" t="s">
        <v>3772</v>
      </c>
      <c r="J1766" s="3" t="s">
        <v>1700</v>
      </c>
      <c r="K1766" s="27" t="s">
        <v>12</v>
      </c>
    </row>
    <row r="1767" ht="18.6" customHeight="1" spans="1:11">
      <c r="A1767" s="3">
        <v>1766</v>
      </c>
      <c r="B1767" s="3" t="s">
        <v>2575</v>
      </c>
      <c r="C1767" s="3" t="s">
        <v>3637</v>
      </c>
      <c r="D1767" s="3" t="s">
        <v>951</v>
      </c>
      <c r="E1767" s="3" t="s">
        <v>951</v>
      </c>
      <c r="F1767" s="3"/>
      <c r="G1767" s="3"/>
      <c r="H1767" s="3"/>
      <c r="I1767" s="3"/>
      <c r="J1767" s="3" t="s">
        <v>1700</v>
      </c>
      <c r="K1767" s="27" t="s">
        <v>12</v>
      </c>
    </row>
    <row r="1768" ht="18.6" customHeight="1" spans="1:11">
      <c r="A1768" s="3">
        <v>1767</v>
      </c>
      <c r="B1768" s="3" t="s">
        <v>3658</v>
      </c>
      <c r="C1768" s="3" t="s">
        <v>3641</v>
      </c>
      <c r="D1768" s="3" t="s">
        <v>971</v>
      </c>
      <c r="E1768" s="3" t="s">
        <v>972</v>
      </c>
      <c r="F1768" s="3"/>
      <c r="G1768" s="3"/>
      <c r="H1768" s="3"/>
      <c r="I1768" s="3" t="s">
        <v>3770</v>
      </c>
      <c r="J1768" s="3" t="s">
        <v>1700</v>
      </c>
      <c r="K1768" s="27" t="s">
        <v>12</v>
      </c>
    </row>
    <row r="1769" ht="18.6" customHeight="1" spans="1:11">
      <c r="A1769" s="3">
        <v>1768</v>
      </c>
      <c r="B1769" s="3" t="s">
        <v>3819</v>
      </c>
      <c r="C1769" s="3" t="s">
        <v>3641</v>
      </c>
      <c r="D1769" s="3" t="s">
        <v>971</v>
      </c>
      <c r="E1769" s="3" t="s">
        <v>972</v>
      </c>
      <c r="F1769" s="3"/>
      <c r="G1769" s="3"/>
      <c r="H1769" s="3"/>
      <c r="I1769" s="3" t="s">
        <v>3770</v>
      </c>
      <c r="J1769" s="3" t="s">
        <v>1700</v>
      </c>
      <c r="K1769" s="27" t="s">
        <v>12</v>
      </c>
    </row>
    <row r="1770" ht="18.6" customHeight="1" spans="1:11">
      <c r="A1770" s="3">
        <v>1769</v>
      </c>
      <c r="B1770" s="3" t="s">
        <v>2576</v>
      </c>
      <c r="C1770" s="3" t="s">
        <v>3641</v>
      </c>
      <c r="D1770" s="3" t="s">
        <v>971</v>
      </c>
      <c r="E1770" s="3" t="s">
        <v>972</v>
      </c>
      <c r="F1770" s="3"/>
      <c r="G1770" s="3"/>
      <c r="H1770" s="3"/>
      <c r="I1770" s="3" t="s">
        <v>3770</v>
      </c>
      <c r="J1770" s="3" t="s">
        <v>1700</v>
      </c>
      <c r="K1770" s="27" t="s">
        <v>12</v>
      </c>
    </row>
    <row r="1771" ht="18.6" customHeight="1" spans="1:11">
      <c r="A1771" s="3">
        <v>1770</v>
      </c>
      <c r="B1771" s="3" t="s">
        <v>2577</v>
      </c>
      <c r="C1771" s="3" t="s">
        <v>3641</v>
      </c>
      <c r="D1771" s="3" t="s">
        <v>971</v>
      </c>
      <c r="E1771" s="3" t="s">
        <v>972</v>
      </c>
      <c r="F1771" s="3"/>
      <c r="G1771" s="3"/>
      <c r="H1771" s="3"/>
      <c r="I1771" s="3" t="s">
        <v>3769</v>
      </c>
      <c r="J1771" s="3" t="s">
        <v>1700</v>
      </c>
      <c r="K1771" s="27" t="s">
        <v>12</v>
      </c>
    </row>
    <row r="1772" ht="18.6" customHeight="1" spans="1:11">
      <c r="A1772" s="3">
        <v>1771</v>
      </c>
      <c r="B1772" s="3" t="s">
        <v>2578</v>
      </c>
      <c r="C1772" s="3" t="s">
        <v>3641</v>
      </c>
      <c r="D1772" s="3" t="s">
        <v>971</v>
      </c>
      <c r="E1772" s="3" t="s">
        <v>990</v>
      </c>
      <c r="F1772" s="3"/>
      <c r="G1772" s="3"/>
      <c r="H1772" s="3"/>
      <c r="I1772" s="3" t="s">
        <v>3770</v>
      </c>
      <c r="J1772" s="3" t="s">
        <v>1700</v>
      </c>
      <c r="K1772" s="27" t="s">
        <v>12</v>
      </c>
    </row>
    <row r="1773" ht="18.6" customHeight="1" spans="1:11">
      <c r="A1773" s="3">
        <v>1772</v>
      </c>
      <c r="B1773" s="3" t="s">
        <v>2579</v>
      </c>
      <c r="C1773" s="3" t="s">
        <v>3641</v>
      </c>
      <c r="D1773" s="3" t="s">
        <v>971</v>
      </c>
      <c r="E1773" s="3" t="s">
        <v>972</v>
      </c>
      <c r="F1773" s="3"/>
      <c r="G1773" s="3"/>
      <c r="H1773" s="3"/>
      <c r="I1773" s="3" t="s">
        <v>3770</v>
      </c>
      <c r="J1773" s="3" t="s">
        <v>1700</v>
      </c>
      <c r="K1773" s="27" t="s">
        <v>12</v>
      </c>
    </row>
    <row r="1774" ht="18.6" customHeight="1" spans="1:11">
      <c r="A1774" s="3">
        <v>1773</v>
      </c>
      <c r="B1774" s="3" t="s">
        <v>2580</v>
      </c>
      <c r="C1774" s="3" t="s">
        <v>3641</v>
      </c>
      <c r="D1774" s="3" t="s">
        <v>971</v>
      </c>
      <c r="E1774" s="3" t="s">
        <v>993</v>
      </c>
      <c r="F1774" s="3"/>
      <c r="G1774" s="3"/>
      <c r="H1774" s="3"/>
      <c r="I1774" s="3" t="s">
        <v>3769</v>
      </c>
      <c r="J1774" s="3" t="s">
        <v>1700</v>
      </c>
      <c r="K1774" s="27" t="s">
        <v>12</v>
      </c>
    </row>
    <row r="1775" ht="18.6" customHeight="1" spans="1:11">
      <c r="A1775" s="3">
        <v>1774</v>
      </c>
      <c r="B1775" s="3" t="s">
        <v>2581</v>
      </c>
      <c r="C1775" s="3" t="s">
        <v>3641</v>
      </c>
      <c r="D1775" s="3" t="s">
        <v>971</v>
      </c>
      <c r="E1775" s="3" t="s">
        <v>998</v>
      </c>
      <c r="F1775" s="3"/>
      <c r="G1775" s="3"/>
      <c r="H1775" s="3"/>
      <c r="I1775" s="3" t="s">
        <v>3769</v>
      </c>
      <c r="J1775" s="3" t="s">
        <v>1700</v>
      </c>
      <c r="K1775" s="27" t="s">
        <v>12</v>
      </c>
    </row>
    <row r="1776" ht="18.6" customHeight="1" spans="1:11">
      <c r="A1776" s="3">
        <v>1775</v>
      </c>
      <c r="B1776" s="3" t="s">
        <v>2582</v>
      </c>
      <c r="C1776" s="3" t="s">
        <v>3641</v>
      </c>
      <c r="D1776" s="3" t="s">
        <v>971</v>
      </c>
      <c r="E1776" s="3" t="s">
        <v>972</v>
      </c>
      <c r="F1776" s="3"/>
      <c r="G1776" s="3"/>
      <c r="H1776" s="3"/>
      <c r="I1776" s="3" t="s">
        <v>3770</v>
      </c>
      <c r="J1776" s="3" t="s">
        <v>1700</v>
      </c>
      <c r="K1776" s="27" t="s">
        <v>12</v>
      </c>
    </row>
    <row r="1777" ht="18.6" customHeight="1" spans="1:11">
      <c r="A1777" s="3">
        <v>1776</v>
      </c>
      <c r="B1777" s="3" t="s">
        <v>2583</v>
      </c>
      <c r="C1777" s="3" t="s">
        <v>3641</v>
      </c>
      <c r="D1777" s="3" t="s">
        <v>971</v>
      </c>
      <c r="E1777" s="3" t="s">
        <v>972</v>
      </c>
      <c r="F1777" s="3"/>
      <c r="G1777" s="3"/>
      <c r="H1777" s="3"/>
      <c r="I1777" s="3" t="s">
        <v>3770</v>
      </c>
      <c r="J1777" s="3" t="s">
        <v>1700</v>
      </c>
      <c r="K1777" s="27" t="s">
        <v>12</v>
      </c>
    </row>
    <row r="1778" ht="18.6" customHeight="1" spans="1:11">
      <c r="A1778" s="3">
        <v>1777</v>
      </c>
      <c r="B1778" s="3" t="s">
        <v>2584</v>
      </c>
      <c r="C1778" s="3" t="s">
        <v>3641</v>
      </c>
      <c r="D1778" s="3" t="s">
        <v>971</v>
      </c>
      <c r="E1778" s="3" t="s">
        <v>1014</v>
      </c>
      <c r="F1778" s="3"/>
      <c r="G1778" s="3"/>
      <c r="H1778" s="3"/>
      <c r="I1778" s="3" t="s">
        <v>3770</v>
      </c>
      <c r="J1778" s="3" t="s">
        <v>1700</v>
      </c>
      <c r="K1778" s="27" t="s">
        <v>12</v>
      </c>
    </row>
    <row r="1779" ht="18.6" customHeight="1" spans="1:11">
      <c r="A1779" s="3">
        <v>1778</v>
      </c>
      <c r="B1779" s="3" t="s">
        <v>2585</v>
      </c>
      <c r="C1779" s="3" t="s">
        <v>3641</v>
      </c>
      <c r="D1779" s="3" t="s">
        <v>971</v>
      </c>
      <c r="E1779" s="3" t="s">
        <v>978</v>
      </c>
      <c r="F1779" s="3"/>
      <c r="G1779" s="3"/>
      <c r="H1779" s="3"/>
      <c r="I1779" s="3" t="s">
        <v>3769</v>
      </c>
      <c r="J1779" s="3" t="s">
        <v>1700</v>
      </c>
      <c r="K1779" s="27" t="s">
        <v>12</v>
      </c>
    </row>
    <row r="1780" ht="18.6" customHeight="1" spans="1:11">
      <c r="A1780" s="3">
        <v>1779</v>
      </c>
      <c r="B1780" s="3" t="s">
        <v>2586</v>
      </c>
      <c r="C1780" s="3" t="s">
        <v>3641</v>
      </c>
      <c r="D1780" s="3" t="s">
        <v>971</v>
      </c>
      <c r="E1780" s="3" t="s">
        <v>972</v>
      </c>
      <c r="F1780" s="3"/>
      <c r="G1780" s="3"/>
      <c r="H1780" s="3"/>
      <c r="I1780" s="3" t="s">
        <v>3769</v>
      </c>
      <c r="J1780" s="3" t="s">
        <v>1700</v>
      </c>
      <c r="K1780" s="27" t="s">
        <v>12</v>
      </c>
    </row>
    <row r="1781" ht="18.6" customHeight="1" spans="1:11">
      <c r="A1781" s="3">
        <v>1780</v>
      </c>
      <c r="B1781" s="3" t="s">
        <v>2587</v>
      </c>
      <c r="C1781" s="3" t="s">
        <v>3641</v>
      </c>
      <c r="D1781" s="3" t="s">
        <v>971</v>
      </c>
      <c r="E1781" s="3" t="s">
        <v>972</v>
      </c>
      <c r="F1781" s="3"/>
      <c r="G1781" s="3"/>
      <c r="H1781" s="3"/>
      <c r="I1781" s="3" t="s">
        <v>3769</v>
      </c>
      <c r="J1781" s="3" t="s">
        <v>1700</v>
      </c>
      <c r="K1781" s="27" t="s">
        <v>12</v>
      </c>
    </row>
    <row r="1782" ht="18.6" customHeight="1" spans="1:11">
      <c r="A1782" s="3">
        <v>1781</v>
      </c>
      <c r="B1782" s="3" t="s">
        <v>3659</v>
      </c>
      <c r="C1782" s="3" t="s">
        <v>3641</v>
      </c>
      <c r="D1782" s="3" t="s">
        <v>971</v>
      </c>
      <c r="E1782" s="3" t="s">
        <v>984</v>
      </c>
      <c r="F1782" s="3"/>
      <c r="G1782" s="3"/>
      <c r="H1782" s="3"/>
      <c r="I1782" s="3" t="s">
        <v>3770</v>
      </c>
      <c r="J1782" s="3" t="s">
        <v>1700</v>
      </c>
      <c r="K1782" s="27" t="s">
        <v>12</v>
      </c>
    </row>
    <row r="1783" ht="18.6" customHeight="1" spans="1:11">
      <c r="A1783" s="3">
        <v>1782</v>
      </c>
      <c r="B1783" s="3" t="s">
        <v>2588</v>
      </c>
      <c r="C1783" s="3" t="s">
        <v>3641</v>
      </c>
      <c r="D1783" s="3" t="s">
        <v>971</v>
      </c>
      <c r="E1783" s="3" t="s">
        <v>1002</v>
      </c>
      <c r="F1783" s="3"/>
      <c r="G1783" s="3"/>
      <c r="H1783" s="3"/>
      <c r="I1783" s="3" t="s">
        <v>3769</v>
      </c>
      <c r="J1783" s="3" t="s">
        <v>1700</v>
      </c>
      <c r="K1783" s="27" t="s">
        <v>12</v>
      </c>
    </row>
    <row r="1784" ht="18.6" customHeight="1" spans="1:11">
      <c r="A1784" s="3">
        <v>1783</v>
      </c>
      <c r="B1784" s="3" t="s">
        <v>2589</v>
      </c>
      <c r="C1784" s="3" t="s">
        <v>3641</v>
      </c>
      <c r="D1784" s="3" t="s">
        <v>971</v>
      </c>
      <c r="E1784" s="3" t="s">
        <v>972</v>
      </c>
      <c r="F1784" s="3"/>
      <c r="G1784" s="3"/>
      <c r="H1784" s="3"/>
      <c r="I1784" s="3" t="s">
        <v>3769</v>
      </c>
      <c r="J1784" s="3" t="s">
        <v>1700</v>
      </c>
      <c r="K1784" s="27" t="s">
        <v>12</v>
      </c>
    </row>
    <row r="1785" ht="18.6" customHeight="1" spans="1:11">
      <c r="A1785" s="3">
        <v>1784</v>
      </c>
      <c r="B1785" s="3" t="s">
        <v>2590</v>
      </c>
      <c r="C1785" s="3" t="s">
        <v>3641</v>
      </c>
      <c r="D1785" s="3" t="s">
        <v>971</v>
      </c>
      <c r="E1785" s="3" t="s">
        <v>1000</v>
      </c>
      <c r="F1785" s="3"/>
      <c r="G1785" s="3"/>
      <c r="H1785" s="3"/>
      <c r="I1785" s="3" t="s">
        <v>3769</v>
      </c>
      <c r="J1785" s="3" t="s">
        <v>1700</v>
      </c>
      <c r="K1785" s="27" t="s">
        <v>12</v>
      </c>
    </row>
    <row r="1786" ht="18.6" customHeight="1" spans="1:11">
      <c r="A1786" s="3">
        <v>1785</v>
      </c>
      <c r="B1786" s="3" t="s">
        <v>2591</v>
      </c>
      <c r="C1786" s="3" t="s">
        <v>3641</v>
      </c>
      <c r="D1786" s="3" t="s">
        <v>971</v>
      </c>
      <c r="E1786" s="3" t="s">
        <v>990</v>
      </c>
      <c r="F1786" s="3"/>
      <c r="G1786" s="3"/>
      <c r="H1786" s="3"/>
      <c r="I1786" s="3" t="s">
        <v>3769</v>
      </c>
      <c r="J1786" s="3" t="s">
        <v>1700</v>
      </c>
      <c r="K1786" s="27" t="s">
        <v>12</v>
      </c>
    </row>
    <row r="1787" ht="18.6" customHeight="1" spans="1:11">
      <c r="A1787" s="3">
        <v>1786</v>
      </c>
      <c r="B1787" s="3" t="s">
        <v>2592</v>
      </c>
      <c r="C1787" s="3" t="s">
        <v>3641</v>
      </c>
      <c r="D1787" s="3" t="s">
        <v>971</v>
      </c>
      <c r="E1787" s="3" t="s">
        <v>1616</v>
      </c>
      <c r="F1787" s="3"/>
      <c r="G1787" s="3"/>
      <c r="H1787" s="3"/>
      <c r="I1787" s="3" t="s">
        <v>3769</v>
      </c>
      <c r="J1787" s="3" t="s">
        <v>1700</v>
      </c>
      <c r="K1787" s="27" t="s">
        <v>12</v>
      </c>
    </row>
    <row r="1788" ht="18.6" customHeight="1" spans="1:11">
      <c r="A1788" s="3">
        <v>1787</v>
      </c>
      <c r="B1788" s="3" t="s">
        <v>2593</v>
      </c>
      <c r="C1788" s="3" t="s">
        <v>3641</v>
      </c>
      <c r="D1788" s="3" t="s">
        <v>971</v>
      </c>
      <c r="E1788" s="3" t="s">
        <v>2594</v>
      </c>
      <c r="F1788" s="3"/>
      <c r="G1788" s="3"/>
      <c r="H1788" s="3"/>
      <c r="I1788" s="3" t="s">
        <v>3769</v>
      </c>
      <c r="J1788" s="3" t="s">
        <v>1700</v>
      </c>
      <c r="K1788" s="27" t="s">
        <v>12</v>
      </c>
    </row>
    <row r="1789" ht="18.6" customHeight="1" spans="1:11">
      <c r="A1789" s="3">
        <v>1788</v>
      </c>
      <c r="B1789" s="3" t="s">
        <v>2595</v>
      </c>
      <c r="C1789" s="3" t="s">
        <v>3641</v>
      </c>
      <c r="D1789" s="3" t="s">
        <v>971</v>
      </c>
      <c r="E1789" s="3" t="s">
        <v>1006</v>
      </c>
      <c r="F1789" s="3"/>
      <c r="G1789" s="3"/>
      <c r="H1789" s="3"/>
      <c r="I1789" s="3" t="s">
        <v>3769</v>
      </c>
      <c r="J1789" s="3" t="s">
        <v>1700</v>
      </c>
      <c r="K1789" s="27" t="s">
        <v>12</v>
      </c>
    </row>
    <row r="1790" ht="18.6" customHeight="1" spans="1:11">
      <c r="A1790" s="3">
        <v>1789</v>
      </c>
      <c r="B1790" s="3" t="s">
        <v>2596</v>
      </c>
      <c r="C1790" s="3" t="s">
        <v>3641</v>
      </c>
      <c r="D1790" s="3" t="s">
        <v>971</v>
      </c>
      <c r="E1790" s="3" t="s">
        <v>986</v>
      </c>
      <c r="F1790" s="3"/>
      <c r="G1790" s="3"/>
      <c r="H1790" s="3"/>
      <c r="I1790" s="3" t="s">
        <v>3769</v>
      </c>
      <c r="J1790" s="3" t="s">
        <v>1700</v>
      </c>
      <c r="K1790" s="27" t="s">
        <v>12</v>
      </c>
    </row>
    <row r="1791" ht="18.6" customHeight="1" spans="1:11">
      <c r="A1791" s="3">
        <v>1790</v>
      </c>
      <c r="B1791" s="3" t="s">
        <v>2597</v>
      </c>
      <c r="C1791" s="3" t="s">
        <v>3641</v>
      </c>
      <c r="D1791" s="3" t="s">
        <v>971</v>
      </c>
      <c r="E1791" s="3" t="s">
        <v>972</v>
      </c>
      <c r="F1791" s="3"/>
      <c r="G1791" s="3"/>
      <c r="H1791" s="3"/>
      <c r="I1791" s="3" t="s">
        <v>3771</v>
      </c>
      <c r="J1791" s="3" t="s">
        <v>1700</v>
      </c>
      <c r="K1791" s="27" t="s">
        <v>12</v>
      </c>
    </row>
    <row r="1792" ht="18.6" customHeight="1" spans="1:11">
      <c r="A1792" s="3">
        <v>1791</v>
      </c>
      <c r="B1792" s="3" t="s">
        <v>2598</v>
      </c>
      <c r="C1792" s="3" t="s">
        <v>3641</v>
      </c>
      <c r="D1792" s="3" t="s">
        <v>971</v>
      </c>
      <c r="E1792" s="3" t="s">
        <v>984</v>
      </c>
      <c r="F1792" s="3"/>
      <c r="G1792" s="3"/>
      <c r="H1792" s="3"/>
      <c r="I1792" s="3" t="s">
        <v>3779</v>
      </c>
      <c r="J1792" s="3" t="s">
        <v>1700</v>
      </c>
      <c r="K1792" s="27" t="s">
        <v>12</v>
      </c>
    </row>
    <row r="1793" ht="18.6" customHeight="1" spans="1:11">
      <c r="A1793" s="3">
        <v>1792</v>
      </c>
      <c r="B1793" s="3" t="s">
        <v>2599</v>
      </c>
      <c r="C1793" s="3" t="s">
        <v>3641</v>
      </c>
      <c r="D1793" s="3" t="s">
        <v>971</v>
      </c>
      <c r="E1793" s="3" t="s">
        <v>2600</v>
      </c>
      <c r="F1793" s="3"/>
      <c r="G1793" s="3"/>
      <c r="H1793" s="3"/>
      <c r="I1793" s="3" t="s">
        <v>3769</v>
      </c>
      <c r="J1793" s="3" t="s">
        <v>1700</v>
      </c>
      <c r="K1793" s="27" t="s">
        <v>12</v>
      </c>
    </row>
    <row r="1794" ht="18.6" customHeight="1" spans="1:11">
      <c r="A1794" s="3">
        <v>1793</v>
      </c>
      <c r="B1794" s="3" t="s">
        <v>2601</v>
      </c>
      <c r="C1794" s="3" t="s">
        <v>3641</v>
      </c>
      <c r="D1794" s="3" t="s">
        <v>971</v>
      </c>
      <c r="E1794" s="3" t="s">
        <v>2602</v>
      </c>
      <c r="F1794" s="3"/>
      <c r="G1794" s="3"/>
      <c r="H1794" s="3"/>
      <c r="I1794" s="3" t="s">
        <v>3770</v>
      </c>
      <c r="J1794" s="3" t="s">
        <v>1700</v>
      </c>
      <c r="K1794" s="27" t="s">
        <v>12</v>
      </c>
    </row>
    <row r="1795" ht="18.6" customHeight="1" spans="1:11">
      <c r="A1795" s="3">
        <v>1794</v>
      </c>
      <c r="B1795" s="3" t="s">
        <v>2603</v>
      </c>
      <c r="C1795" s="3" t="s">
        <v>3641</v>
      </c>
      <c r="D1795" s="3" t="s">
        <v>971</v>
      </c>
      <c r="E1795" s="3" t="s">
        <v>972</v>
      </c>
      <c r="F1795" s="3"/>
      <c r="G1795" s="3"/>
      <c r="H1795" s="3"/>
      <c r="I1795" s="3" t="s">
        <v>3770</v>
      </c>
      <c r="J1795" s="3" t="s">
        <v>1700</v>
      </c>
      <c r="K1795" s="27" t="s">
        <v>12</v>
      </c>
    </row>
    <row r="1796" ht="18.6" customHeight="1" spans="1:11">
      <c r="A1796" s="3">
        <v>1795</v>
      </c>
      <c r="B1796" s="3" t="s">
        <v>2604</v>
      </c>
      <c r="C1796" s="3" t="s">
        <v>3641</v>
      </c>
      <c r="D1796" s="3" t="s">
        <v>971</v>
      </c>
      <c r="E1796" s="3" t="s">
        <v>972</v>
      </c>
      <c r="F1796" s="3"/>
      <c r="G1796" s="3"/>
      <c r="H1796" s="3"/>
      <c r="I1796" s="3" t="s">
        <v>3772</v>
      </c>
      <c r="J1796" s="3" t="s">
        <v>1700</v>
      </c>
      <c r="K1796" s="27" t="s">
        <v>12</v>
      </c>
    </row>
    <row r="1797" ht="18.6" customHeight="1" spans="1:11">
      <c r="A1797" s="3">
        <v>1796</v>
      </c>
      <c r="B1797" s="3" t="s">
        <v>2605</v>
      </c>
      <c r="C1797" s="3" t="s">
        <v>3641</v>
      </c>
      <c r="D1797" s="3" t="s">
        <v>971</v>
      </c>
      <c r="E1797" s="3" t="s">
        <v>978</v>
      </c>
      <c r="F1797" s="3"/>
      <c r="G1797" s="3"/>
      <c r="H1797" s="3"/>
      <c r="I1797" s="3" t="s">
        <v>3775</v>
      </c>
      <c r="J1797" s="3" t="s">
        <v>1700</v>
      </c>
      <c r="K1797" s="27" t="s">
        <v>12</v>
      </c>
    </row>
    <row r="1798" ht="18.6" customHeight="1" spans="1:11">
      <c r="A1798" s="3">
        <v>1797</v>
      </c>
      <c r="B1798" s="3" t="s">
        <v>2606</v>
      </c>
      <c r="C1798" s="3" t="s">
        <v>3641</v>
      </c>
      <c r="D1798" s="3" t="s">
        <v>971</v>
      </c>
      <c r="E1798" s="3" t="s">
        <v>972</v>
      </c>
      <c r="F1798" s="3"/>
      <c r="G1798" s="3"/>
      <c r="H1798" s="3"/>
      <c r="I1798" s="3" t="s">
        <v>3769</v>
      </c>
      <c r="J1798" s="3" t="s">
        <v>1700</v>
      </c>
      <c r="K1798" s="27" t="s">
        <v>12</v>
      </c>
    </row>
    <row r="1799" ht="18.6" customHeight="1" spans="1:11">
      <c r="A1799" s="3">
        <v>1798</v>
      </c>
      <c r="B1799" s="3" t="s">
        <v>2607</v>
      </c>
      <c r="C1799" s="3" t="s">
        <v>3641</v>
      </c>
      <c r="D1799" s="3" t="s">
        <v>971</v>
      </c>
      <c r="E1799" s="3" t="s">
        <v>972</v>
      </c>
      <c r="F1799" s="3"/>
      <c r="G1799" s="3"/>
      <c r="H1799" s="3"/>
      <c r="I1799" s="3" t="s">
        <v>3771</v>
      </c>
      <c r="J1799" s="3" t="s">
        <v>1700</v>
      </c>
      <c r="K1799" s="27" t="s">
        <v>12</v>
      </c>
    </row>
    <row r="1800" ht="18.6" customHeight="1" spans="1:11">
      <c r="A1800" s="3">
        <v>1799</v>
      </c>
      <c r="B1800" s="3" t="s">
        <v>2608</v>
      </c>
      <c r="C1800" s="3" t="s">
        <v>3641</v>
      </c>
      <c r="D1800" s="3" t="s">
        <v>971</v>
      </c>
      <c r="E1800" s="3" t="s">
        <v>978</v>
      </c>
      <c r="F1800" s="3"/>
      <c r="G1800" s="3"/>
      <c r="H1800" s="3"/>
      <c r="I1800" s="3" t="s">
        <v>3776</v>
      </c>
      <c r="J1800" s="3" t="s">
        <v>1700</v>
      </c>
      <c r="K1800" s="27" t="s">
        <v>12</v>
      </c>
    </row>
    <row r="1801" ht="18.6" customHeight="1" spans="1:11">
      <c r="A1801" s="3">
        <v>1800</v>
      </c>
      <c r="B1801" s="3" t="s">
        <v>2609</v>
      </c>
      <c r="C1801" s="3" t="s">
        <v>3641</v>
      </c>
      <c r="D1801" s="3" t="s">
        <v>971</v>
      </c>
      <c r="E1801" s="3" t="s">
        <v>2602</v>
      </c>
      <c r="F1801" s="3"/>
      <c r="G1801" s="3"/>
      <c r="H1801" s="3"/>
      <c r="I1801" s="3" t="s">
        <v>3776</v>
      </c>
      <c r="J1801" s="3" t="s">
        <v>1700</v>
      </c>
      <c r="K1801" s="27" t="s">
        <v>12</v>
      </c>
    </row>
    <row r="1802" ht="18.6" customHeight="1" spans="1:11">
      <c r="A1802" s="3">
        <v>1801</v>
      </c>
      <c r="B1802" s="3" t="s">
        <v>2610</v>
      </c>
      <c r="C1802" s="3" t="s">
        <v>3641</v>
      </c>
      <c r="D1802" s="3" t="s">
        <v>971</v>
      </c>
      <c r="E1802" s="3" t="s">
        <v>981</v>
      </c>
      <c r="F1802" s="3"/>
      <c r="G1802" s="3"/>
      <c r="H1802" s="3"/>
      <c r="I1802" s="3" t="s">
        <v>3775</v>
      </c>
      <c r="J1802" s="3" t="s">
        <v>1700</v>
      </c>
      <c r="K1802" s="27" t="s">
        <v>12</v>
      </c>
    </row>
    <row r="1803" ht="18.6" customHeight="1" spans="1:11">
      <c r="A1803" s="3">
        <v>1802</v>
      </c>
      <c r="B1803" s="3" t="s">
        <v>2611</v>
      </c>
      <c r="C1803" s="3" t="s">
        <v>3641</v>
      </c>
      <c r="D1803" s="3" t="s">
        <v>971</v>
      </c>
      <c r="E1803" s="3" t="s">
        <v>998</v>
      </c>
      <c r="F1803" s="3"/>
      <c r="G1803" s="3"/>
      <c r="H1803" s="3"/>
      <c r="I1803" s="3" t="s">
        <v>3776</v>
      </c>
      <c r="J1803" s="3" t="s">
        <v>1700</v>
      </c>
      <c r="K1803" s="27" t="s">
        <v>12</v>
      </c>
    </row>
    <row r="1804" ht="18.6" customHeight="1" spans="1:11">
      <c r="A1804" s="3">
        <v>1803</v>
      </c>
      <c r="B1804" s="3" t="s">
        <v>2612</v>
      </c>
      <c r="C1804" s="3" t="s">
        <v>3641</v>
      </c>
      <c r="D1804" s="3" t="s">
        <v>971</v>
      </c>
      <c r="E1804" s="3" t="s">
        <v>984</v>
      </c>
      <c r="F1804" s="3"/>
      <c r="G1804" s="3"/>
      <c r="H1804" s="3"/>
      <c r="I1804" s="3" t="s">
        <v>3775</v>
      </c>
      <c r="J1804" s="3" t="s">
        <v>1700</v>
      </c>
      <c r="K1804" s="27" t="s">
        <v>12</v>
      </c>
    </row>
    <row r="1805" ht="18.6" customHeight="1" spans="1:11">
      <c r="A1805" s="3">
        <v>1804</v>
      </c>
      <c r="B1805" s="3" t="s">
        <v>2613</v>
      </c>
      <c r="C1805" s="3" t="s">
        <v>3641</v>
      </c>
      <c r="D1805" s="3" t="s">
        <v>971</v>
      </c>
      <c r="E1805" s="3" t="s">
        <v>972</v>
      </c>
      <c r="F1805" s="3"/>
      <c r="G1805" s="3"/>
      <c r="H1805" s="3"/>
      <c r="I1805" s="3" t="s">
        <v>3769</v>
      </c>
      <c r="J1805" s="3" t="s">
        <v>1700</v>
      </c>
      <c r="K1805" s="27" t="s">
        <v>12</v>
      </c>
    </row>
    <row r="1806" ht="18.6" customHeight="1" spans="1:11">
      <c r="A1806" s="3">
        <v>1805</v>
      </c>
      <c r="B1806" s="3" t="s">
        <v>2614</v>
      </c>
      <c r="C1806" s="3" t="s">
        <v>3641</v>
      </c>
      <c r="D1806" s="3" t="s">
        <v>971</v>
      </c>
      <c r="E1806" s="3" t="s">
        <v>972</v>
      </c>
      <c r="F1806" s="3"/>
      <c r="G1806" s="3"/>
      <c r="H1806" s="3"/>
      <c r="I1806" s="3" t="s">
        <v>3769</v>
      </c>
      <c r="J1806" s="3" t="s">
        <v>1700</v>
      </c>
      <c r="K1806" s="27" t="s">
        <v>12</v>
      </c>
    </row>
    <row r="1807" ht="18.6" customHeight="1" spans="1:11">
      <c r="A1807" s="3">
        <v>1806</v>
      </c>
      <c r="B1807" s="3" t="s">
        <v>2615</v>
      </c>
      <c r="C1807" s="3" t="s">
        <v>3641</v>
      </c>
      <c r="D1807" s="3" t="s">
        <v>971</v>
      </c>
      <c r="E1807" s="3" t="s">
        <v>988</v>
      </c>
      <c r="F1807" s="3"/>
      <c r="G1807" s="3"/>
      <c r="H1807" s="3"/>
      <c r="I1807" s="3"/>
      <c r="J1807" s="3" t="s">
        <v>1700</v>
      </c>
      <c r="K1807" s="27" t="s">
        <v>12</v>
      </c>
    </row>
    <row r="1808" ht="18.6" customHeight="1" spans="1:11">
      <c r="A1808" s="3">
        <v>1807</v>
      </c>
      <c r="B1808" s="3" t="s">
        <v>2616</v>
      </c>
      <c r="C1808" s="3" t="s">
        <v>3641</v>
      </c>
      <c r="D1808" s="3" t="s">
        <v>971</v>
      </c>
      <c r="E1808" s="3" t="s">
        <v>1004</v>
      </c>
      <c r="F1808" s="3"/>
      <c r="G1808" s="3"/>
      <c r="H1808" s="3"/>
      <c r="I1808" s="3"/>
      <c r="J1808" s="3" t="s">
        <v>1700</v>
      </c>
      <c r="K1808" s="27" t="s">
        <v>12</v>
      </c>
    </row>
    <row r="1809" ht="18.6" customHeight="1" spans="1:11">
      <c r="A1809" s="3">
        <v>1808</v>
      </c>
      <c r="B1809" s="3" t="s">
        <v>2617</v>
      </c>
      <c r="C1809" s="3" t="s">
        <v>3641</v>
      </c>
      <c r="D1809" s="3" t="s">
        <v>971</v>
      </c>
      <c r="E1809" s="3" t="s">
        <v>1002</v>
      </c>
      <c r="F1809" s="3"/>
      <c r="G1809" s="3"/>
      <c r="H1809" s="3"/>
      <c r="I1809" s="3"/>
      <c r="J1809" s="3" t="s">
        <v>1700</v>
      </c>
      <c r="K1809" s="27" t="s">
        <v>12</v>
      </c>
    </row>
    <row r="1810" ht="18.6" customHeight="1" spans="1:11">
      <c r="A1810" s="3">
        <v>1809</v>
      </c>
      <c r="B1810" s="3" t="s">
        <v>2618</v>
      </c>
      <c r="C1810" s="3" t="s">
        <v>3641</v>
      </c>
      <c r="D1810" s="3" t="s">
        <v>971</v>
      </c>
      <c r="E1810" s="3" t="s">
        <v>998</v>
      </c>
      <c r="F1810" s="3"/>
      <c r="G1810" s="3"/>
      <c r="H1810" s="3"/>
      <c r="I1810" s="3"/>
      <c r="J1810" s="3" t="s">
        <v>1700</v>
      </c>
      <c r="K1810" s="27" t="s">
        <v>12</v>
      </c>
    </row>
    <row r="1811" ht="18.6" customHeight="1" spans="1:11">
      <c r="A1811" s="3">
        <v>1810</v>
      </c>
      <c r="B1811" s="3" t="s">
        <v>2619</v>
      </c>
      <c r="C1811" s="3" t="s">
        <v>3641</v>
      </c>
      <c r="D1811" s="3" t="s">
        <v>971</v>
      </c>
      <c r="E1811" s="3" t="s">
        <v>993</v>
      </c>
      <c r="F1811" s="3"/>
      <c r="G1811" s="3"/>
      <c r="H1811" s="3"/>
      <c r="I1811" s="3"/>
      <c r="J1811" s="3" t="s">
        <v>1700</v>
      </c>
      <c r="K1811" s="27" t="s">
        <v>12</v>
      </c>
    </row>
    <row r="1812" ht="18.6" customHeight="1" spans="1:11">
      <c r="A1812" s="3">
        <v>1811</v>
      </c>
      <c r="B1812" s="3" t="s">
        <v>2620</v>
      </c>
      <c r="C1812" s="3" t="s">
        <v>3641</v>
      </c>
      <c r="D1812" s="3" t="s">
        <v>971</v>
      </c>
      <c r="E1812" s="3" t="s">
        <v>1017</v>
      </c>
      <c r="F1812" s="3"/>
      <c r="G1812" s="3"/>
      <c r="H1812" s="3"/>
      <c r="I1812" s="3"/>
      <c r="J1812" s="3" t="s">
        <v>1700</v>
      </c>
      <c r="K1812" s="27" t="s">
        <v>12</v>
      </c>
    </row>
    <row r="1813" ht="18.6" customHeight="1" spans="1:11">
      <c r="A1813" s="3">
        <v>1812</v>
      </c>
      <c r="B1813" s="3" t="s">
        <v>2621</v>
      </c>
      <c r="C1813" s="3" t="s">
        <v>3641</v>
      </c>
      <c r="D1813" s="3" t="s">
        <v>971</v>
      </c>
      <c r="E1813" s="3" t="s">
        <v>972</v>
      </c>
      <c r="F1813" s="3"/>
      <c r="G1813" s="3"/>
      <c r="H1813" s="3"/>
      <c r="I1813" s="3"/>
      <c r="J1813" s="3" t="s">
        <v>1700</v>
      </c>
      <c r="K1813" s="27" t="s">
        <v>12</v>
      </c>
    </row>
    <row r="1814" ht="18.6" customHeight="1" spans="1:11">
      <c r="A1814" s="3">
        <v>1813</v>
      </c>
      <c r="B1814" s="3" t="s">
        <v>2622</v>
      </c>
      <c r="C1814" s="3" t="s">
        <v>3666</v>
      </c>
      <c r="D1814" s="3" t="s">
        <v>1026</v>
      </c>
      <c r="E1814" s="3" t="s">
        <v>1045</v>
      </c>
      <c r="F1814" s="3"/>
      <c r="G1814" s="3"/>
      <c r="H1814" s="3"/>
      <c r="I1814" s="3" t="s">
        <v>3775</v>
      </c>
      <c r="J1814" s="3" t="s">
        <v>1700</v>
      </c>
      <c r="K1814" s="27" t="s">
        <v>12</v>
      </c>
    </row>
    <row r="1815" ht="18.6" customHeight="1" spans="1:11">
      <c r="A1815" s="3">
        <v>1814</v>
      </c>
      <c r="B1815" s="3" t="s">
        <v>2623</v>
      </c>
      <c r="C1815" s="3" t="s">
        <v>3666</v>
      </c>
      <c r="D1815" s="3" t="s">
        <v>1026</v>
      </c>
      <c r="E1815" s="3" t="s">
        <v>1030</v>
      </c>
      <c r="F1815" s="3"/>
      <c r="G1815" s="3"/>
      <c r="H1815" s="3"/>
      <c r="I1815" s="3" t="s">
        <v>3770</v>
      </c>
      <c r="J1815" s="3" t="s">
        <v>1700</v>
      </c>
      <c r="K1815" s="27" t="s">
        <v>12</v>
      </c>
    </row>
    <row r="1816" ht="18.6" customHeight="1" spans="1:11">
      <c r="A1816" s="3">
        <v>1815</v>
      </c>
      <c r="B1816" s="3" t="s">
        <v>2624</v>
      </c>
      <c r="C1816" s="3" t="s">
        <v>3666</v>
      </c>
      <c r="D1816" s="3" t="s">
        <v>1026</v>
      </c>
      <c r="E1816" s="3" t="s">
        <v>1043</v>
      </c>
      <c r="F1816" s="3"/>
      <c r="G1816" s="3"/>
      <c r="H1816" s="3"/>
      <c r="I1816" s="3" t="s">
        <v>3770</v>
      </c>
      <c r="J1816" s="3" t="s">
        <v>1700</v>
      </c>
      <c r="K1816" s="27" t="s">
        <v>12</v>
      </c>
    </row>
    <row r="1817" ht="18.6" customHeight="1" spans="1:11">
      <c r="A1817" s="3">
        <v>1816</v>
      </c>
      <c r="B1817" s="3" t="s">
        <v>2625</v>
      </c>
      <c r="C1817" s="3" t="s">
        <v>3666</v>
      </c>
      <c r="D1817" s="3" t="s">
        <v>1026</v>
      </c>
      <c r="E1817" s="3" t="s">
        <v>1039</v>
      </c>
      <c r="F1817" s="3"/>
      <c r="G1817" s="3"/>
      <c r="H1817" s="3"/>
      <c r="I1817" s="3" t="s">
        <v>3769</v>
      </c>
      <c r="J1817" s="3" t="s">
        <v>1700</v>
      </c>
      <c r="K1817" s="27" t="s">
        <v>12</v>
      </c>
    </row>
    <row r="1818" ht="18.6" customHeight="1" spans="1:11">
      <c r="A1818" s="3">
        <v>1817</v>
      </c>
      <c r="B1818" s="3" t="s">
        <v>2626</v>
      </c>
      <c r="C1818" s="3" t="s">
        <v>3666</v>
      </c>
      <c r="D1818" s="3" t="s">
        <v>1026</v>
      </c>
      <c r="E1818" s="3" t="s">
        <v>1043</v>
      </c>
      <c r="F1818" s="3"/>
      <c r="G1818" s="3"/>
      <c r="H1818" s="3"/>
      <c r="I1818" s="3" t="s">
        <v>3769</v>
      </c>
      <c r="J1818" s="3" t="s">
        <v>1700</v>
      </c>
      <c r="K1818" s="27" t="s">
        <v>12</v>
      </c>
    </row>
    <row r="1819" ht="18.6" customHeight="1" spans="1:11">
      <c r="A1819" s="3">
        <v>1818</v>
      </c>
      <c r="B1819" s="3" t="s">
        <v>2627</v>
      </c>
      <c r="C1819" s="3" t="s">
        <v>3666</v>
      </c>
      <c r="D1819" s="3" t="s">
        <v>1026</v>
      </c>
      <c r="E1819" s="3" t="s">
        <v>1045</v>
      </c>
      <c r="F1819" s="3"/>
      <c r="G1819" s="3"/>
      <c r="H1819" s="3"/>
      <c r="I1819" s="3" t="s">
        <v>3769</v>
      </c>
      <c r="J1819" s="3" t="s">
        <v>1700</v>
      </c>
      <c r="K1819" s="27" t="s">
        <v>12</v>
      </c>
    </row>
    <row r="1820" ht="18.6" customHeight="1" spans="1:11">
      <c r="A1820" s="3">
        <v>1819</v>
      </c>
      <c r="B1820" s="3" t="s">
        <v>2628</v>
      </c>
      <c r="C1820" s="3" t="s">
        <v>3666</v>
      </c>
      <c r="D1820" s="3" t="s">
        <v>1026</v>
      </c>
      <c r="E1820" s="3" t="s">
        <v>1030</v>
      </c>
      <c r="F1820" s="3"/>
      <c r="G1820" s="3"/>
      <c r="H1820" s="3"/>
      <c r="I1820" s="3" t="s">
        <v>3769</v>
      </c>
      <c r="J1820" s="3" t="s">
        <v>1700</v>
      </c>
      <c r="K1820" s="27" t="s">
        <v>12</v>
      </c>
    </row>
    <row r="1821" ht="18.6" customHeight="1" spans="1:11">
      <c r="A1821" s="3">
        <v>1820</v>
      </c>
      <c r="B1821" s="3" t="s">
        <v>2629</v>
      </c>
      <c r="C1821" s="3" t="s">
        <v>3666</v>
      </c>
      <c r="D1821" s="3" t="s">
        <v>1026</v>
      </c>
      <c r="E1821" s="3" t="s">
        <v>1027</v>
      </c>
      <c r="F1821" s="3"/>
      <c r="G1821" s="3"/>
      <c r="H1821" s="3"/>
      <c r="I1821" s="3" t="s">
        <v>3770</v>
      </c>
      <c r="J1821" s="3" t="s">
        <v>1700</v>
      </c>
      <c r="K1821" s="27" t="s">
        <v>12</v>
      </c>
    </row>
    <row r="1822" ht="18.6" customHeight="1" spans="1:11">
      <c r="A1822" s="3">
        <v>1821</v>
      </c>
      <c r="B1822" s="3" t="s">
        <v>2630</v>
      </c>
      <c r="C1822" s="3" t="s">
        <v>3666</v>
      </c>
      <c r="D1822" s="3" t="s">
        <v>1026</v>
      </c>
      <c r="E1822" s="3" t="s">
        <v>1027</v>
      </c>
      <c r="F1822" s="3"/>
      <c r="G1822" s="3"/>
      <c r="H1822" s="3"/>
      <c r="I1822" s="3"/>
      <c r="J1822" s="3" t="s">
        <v>1700</v>
      </c>
      <c r="K1822" s="27" t="s">
        <v>12</v>
      </c>
    </row>
    <row r="1823" ht="18.6" customHeight="1" spans="1:11">
      <c r="A1823" s="3">
        <v>1822</v>
      </c>
      <c r="B1823" s="3" t="s">
        <v>2631</v>
      </c>
      <c r="C1823" s="3" t="s">
        <v>3666</v>
      </c>
      <c r="D1823" s="3" t="s">
        <v>1026</v>
      </c>
      <c r="E1823" s="3" t="s">
        <v>1050</v>
      </c>
      <c r="F1823" s="3"/>
      <c r="G1823" s="3"/>
      <c r="H1823" s="3"/>
      <c r="I1823" s="3" t="s">
        <v>3769</v>
      </c>
      <c r="J1823" s="3" t="s">
        <v>1700</v>
      </c>
      <c r="K1823" s="27" t="s">
        <v>12</v>
      </c>
    </row>
    <row r="1824" ht="18.6" customHeight="1" spans="1:11">
      <c r="A1824" s="3">
        <v>1823</v>
      </c>
      <c r="B1824" s="3" t="s">
        <v>3820</v>
      </c>
      <c r="C1824" s="3" t="s">
        <v>3666</v>
      </c>
      <c r="D1824" s="3" t="s">
        <v>1026</v>
      </c>
      <c r="E1824" s="3" t="s">
        <v>1035</v>
      </c>
      <c r="F1824" s="3"/>
      <c r="G1824" s="3"/>
      <c r="H1824" s="3"/>
      <c r="I1824" s="3" t="s">
        <v>3769</v>
      </c>
      <c r="J1824" s="3" t="s">
        <v>1700</v>
      </c>
      <c r="K1824" s="27" t="s">
        <v>12</v>
      </c>
    </row>
    <row r="1825" ht="18.6" customHeight="1" spans="1:11">
      <c r="A1825" s="3">
        <v>1824</v>
      </c>
      <c r="B1825" s="3" t="s">
        <v>2632</v>
      </c>
      <c r="C1825" s="3" t="s">
        <v>3666</v>
      </c>
      <c r="D1825" s="3" t="s">
        <v>1026</v>
      </c>
      <c r="E1825" s="3" t="s">
        <v>1037</v>
      </c>
      <c r="F1825" s="3"/>
      <c r="G1825" s="3"/>
      <c r="H1825" s="3"/>
      <c r="I1825" s="3" t="s">
        <v>3769</v>
      </c>
      <c r="J1825" s="3" t="s">
        <v>1700</v>
      </c>
      <c r="K1825" s="27" t="s">
        <v>12</v>
      </c>
    </row>
    <row r="1826" ht="18.6" customHeight="1" spans="1:11">
      <c r="A1826" s="3">
        <v>1825</v>
      </c>
      <c r="B1826" s="3" t="s">
        <v>3821</v>
      </c>
      <c r="C1826" s="3" t="s">
        <v>3666</v>
      </c>
      <c r="D1826" s="3" t="s">
        <v>1026</v>
      </c>
      <c r="E1826" s="3" t="s">
        <v>1027</v>
      </c>
      <c r="F1826" s="3"/>
      <c r="G1826" s="3"/>
      <c r="H1826" s="3"/>
      <c r="I1826" s="3" t="s">
        <v>3769</v>
      </c>
      <c r="J1826" s="3" t="s">
        <v>1700</v>
      </c>
      <c r="K1826" s="27" t="s">
        <v>12</v>
      </c>
    </row>
    <row r="1827" ht="18.6" customHeight="1" spans="1:11">
      <c r="A1827" s="3">
        <v>1826</v>
      </c>
      <c r="B1827" s="3" t="s">
        <v>2633</v>
      </c>
      <c r="C1827" s="3" t="s">
        <v>3666</v>
      </c>
      <c r="D1827" s="3" t="s">
        <v>1026</v>
      </c>
      <c r="E1827" s="3" t="s">
        <v>1030</v>
      </c>
      <c r="F1827" s="3"/>
      <c r="G1827" s="3"/>
      <c r="H1827" s="3"/>
      <c r="I1827" s="3" t="s">
        <v>3775</v>
      </c>
      <c r="J1827" s="3" t="s">
        <v>1700</v>
      </c>
      <c r="K1827" s="27" t="s">
        <v>12</v>
      </c>
    </row>
    <row r="1828" ht="18.6" customHeight="1" spans="1:11">
      <c r="A1828" s="3">
        <v>1827</v>
      </c>
      <c r="B1828" s="3" t="s">
        <v>2634</v>
      </c>
      <c r="C1828" s="3" t="s">
        <v>3666</v>
      </c>
      <c r="D1828" s="3" t="s">
        <v>1026</v>
      </c>
      <c r="E1828" s="3" t="s">
        <v>1027</v>
      </c>
      <c r="F1828" s="3"/>
      <c r="G1828" s="3"/>
      <c r="H1828" s="3"/>
      <c r="I1828" s="3" t="s">
        <v>3769</v>
      </c>
      <c r="J1828" s="3" t="s">
        <v>1700</v>
      </c>
      <c r="K1828" s="27" t="s">
        <v>12</v>
      </c>
    </row>
    <row r="1829" ht="18.6" customHeight="1" spans="1:11">
      <c r="A1829" s="3">
        <v>1828</v>
      </c>
      <c r="B1829" s="3" t="s">
        <v>2635</v>
      </c>
      <c r="C1829" s="3" t="s">
        <v>3666</v>
      </c>
      <c r="D1829" s="3" t="s">
        <v>1026</v>
      </c>
      <c r="E1829" s="3" t="s">
        <v>1041</v>
      </c>
      <c r="F1829" s="3"/>
      <c r="G1829" s="3"/>
      <c r="H1829" s="3"/>
      <c r="I1829" s="3" t="s">
        <v>3769</v>
      </c>
      <c r="J1829" s="3" t="s">
        <v>1700</v>
      </c>
      <c r="K1829" s="27" t="s">
        <v>12</v>
      </c>
    </row>
    <row r="1830" ht="18.6" customHeight="1" spans="1:11">
      <c r="A1830" s="3">
        <v>1829</v>
      </c>
      <c r="B1830" s="3" t="s">
        <v>2636</v>
      </c>
      <c r="C1830" s="3" t="s">
        <v>3666</v>
      </c>
      <c r="D1830" s="3" t="s">
        <v>1026</v>
      </c>
      <c r="E1830" s="3" t="s">
        <v>1027</v>
      </c>
      <c r="F1830" s="3"/>
      <c r="G1830" s="3"/>
      <c r="H1830" s="3"/>
      <c r="I1830" s="3" t="s">
        <v>3769</v>
      </c>
      <c r="J1830" s="3" t="s">
        <v>1700</v>
      </c>
      <c r="K1830" s="27" t="s">
        <v>12</v>
      </c>
    </row>
    <row r="1831" ht="18.6" customHeight="1" spans="1:11">
      <c r="A1831" s="3">
        <v>1830</v>
      </c>
      <c r="B1831" s="3" t="s">
        <v>2637</v>
      </c>
      <c r="C1831" s="3" t="s">
        <v>3666</v>
      </c>
      <c r="D1831" s="3" t="s">
        <v>1026</v>
      </c>
      <c r="E1831" s="3" t="s">
        <v>1027</v>
      </c>
      <c r="F1831" s="3"/>
      <c r="G1831" s="3"/>
      <c r="H1831" s="3"/>
      <c r="I1831" s="3" t="s">
        <v>3776</v>
      </c>
      <c r="J1831" s="3" t="s">
        <v>1700</v>
      </c>
      <c r="K1831" s="27" t="s">
        <v>12</v>
      </c>
    </row>
    <row r="1832" ht="18.6" customHeight="1" spans="1:11">
      <c r="A1832" s="3">
        <v>1831</v>
      </c>
      <c r="B1832" s="3" t="s">
        <v>2638</v>
      </c>
      <c r="C1832" s="3" t="s">
        <v>3666</v>
      </c>
      <c r="D1832" s="3" t="s">
        <v>1026</v>
      </c>
      <c r="E1832" s="3" t="s">
        <v>1035</v>
      </c>
      <c r="F1832" s="3"/>
      <c r="G1832" s="3"/>
      <c r="H1832" s="3"/>
      <c r="I1832" s="3" t="s">
        <v>3776</v>
      </c>
      <c r="J1832" s="3" t="s">
        <v>1700</v>
      </c>
      <c r="K1832" s="27" t="s">
        <v>12</v>
      </c>
    </row>
    <row r="1833" ht="18.6" customHeight="1" spans="1:11">
      <c r="A1833" s="3">
        <v>1832</v>
      </c>
      <c r="B1833" s="3" t="s">
        <v>2639</v>
      </c>
      <c r="C1833" s="3" t="s">
        <v>3666</v>
      </c>
      <c r="D1833" s="3" t="s">
        <v>1026</v>
      </c>
      <c r="E1833" s="3" t="s">
        <v>1045</v>
      </c>
      <c r="F1833" s="3"/>
      <c r="G1833" s="3"/>
      <c r="H1833" s="3"/>
      <c r="I1833" s="3" t="s">
        <v>3776</v>
      </c>
      <c r="J1833" s="3" t="s">
        <v>1700</v>
      </c>
      <c r="K1833" s="27" t="s">
        <v>12</v>
      </c>
    </row>
    <row r="1834" ht="18.6" customHeight="1" spans="1:11">
      <c r="A1834" s="3">
        <v>1833</v>
      </c>
      <c r="B1834" s="3" t="s">
        <v>2640</v>
      </c>
      <c r="C1834" s="3" t="s">
        <v>3666</v>
      </c>
      <c r="D1834" s="3" t="s">
        <v>1026</v>
      </c>
      <c r="E1834" s="3" t="s">
        <v>1041</v>
      </c>
      <c r="F1834" s="3"/>
      <c r="G1834" s="3"/>
      <c r="H1834" s="3"/>
      <c r="I1834" s="3" t="s">
        <v>3775</v>
      </c>
      <c r="J1834" s="3" t="s">
        <v>1700</v>
      </c>
      <c r="K1834" s="27" t="s">
        <v>12</v>
      </c>
    </row>
    <row r="1835" ht="18.6" customHeight="1" spans="1:11">
      <c r="A1835" s="3">
        <v>1834</v>
      </c>
      <c r="B1835" s="3" t="s">
        <v>2641</v>
      </c>
      <c r="C1835" s="3" t="s">
        <v>3666</v>
      </c>
      <c r="D1835" s="3" t="s">
        <v>1026</v>
      </c>
      <c r="E1835" s="3" t="s">
        <v>1027</v>
      </c>
      <c r="F1835" s="3"/>
      <c r="G1835" s="3"/>
      <c r="H1835" s="3"/>
      <c r="I1835" s="3" t="s">
        <v>3770</v>
      </c>
      <c r="J1835" s="3" t="s">
        <v>1700</v>
      </c>
      <c r="K1835" s="27" t="s">
        <v>12</v>
      </c>
    </row>
    <row r="1836" ht="18.6" customHeight="1" spans="1:11">
      <c r="A1836" s="3">
        <v>1835</v>
      </c>
      <c r="B1836" s="3" t="s">
        <v>2642</v>
      </c>
      <c r="C1836" s="3" t="s">
        <v>3666</v>
      </c>
      <c r="D1836" s="3" t="s">
        <v>1026</v>
      </c>
      <c r="E1836" s="3" t="s">
        <v>1041</v>
      </c>
      <c r="F1836" s="3"/>
      <c r="G1836" s="3"/>
      <c r="H1836" s="3"/>
      <c r="I1836" s="3"/>
      <c r="J1836" s="3" t="s">
        <v>1700</v>
      </c>
      <c r="K1836" s="27" t="s">
        <v>12</v>
      </c>
    </row>
    <row r="1837" ht="18.6" customHeight="1" spans="1:11">
      <c r="A1837" s="3">
        <v>1836</v>
      </c>
      <c r="B1837" s="3" t="s">
        <v>2643</v>
      </c>
      <c r="C1837" s="3" t="s">
        <v>3666</v>
      </c>
      <c r="D1837" s="3" t="s">
        <v>1026</v>
      </c>
      <c r="E1837" s="3" t="s">
        <v>1027</v>
      </c>
      <c r="F1837" s="3"/>
      <c r="G1837" s="3"/>
      <c r="H1837" s="3"/>
      <c r="I1837" s="3" t="s">
        <v>3769</v>
      </c>
      <c r="J1837" s="3" t="s">
        <v>1700</v>
      </c>
      <c r="K1837" s="27" t="s">
        <v>12</v>
      </c>
    </row>
    <row r="1838" ht="18.6" customHeight="1" spans="1:11">
      <c r="A1838" s="3">
        <v>1837</v>
      </c>
      <c r="B1838" s="3" t="s">
        <v>2644</v>
      </c>
      <c r="C1838" s="3" t="s">
        <v>3666</v>
      </c>
      <c r="D1838" s="3" t="s">
        <v>1026</v>
      </c>
      <c r="E1838" s="3" t="s">
        <v>1027</v>
      </c>
      <c r="F1838" s="3"/>
      <c r="G1838" s="3"/>
      <c r="H1838" s="3"/>
      <c r="I1838" s="3" t="s">
        <v>3770</v>
      </c>
      <c r="J1838" s="3" t="s">
        <v>1700</v>
      </c>
      <c r="K1838" s="27" t="s">
        <v>12</v>
      </c>
    </row>
    <row r="1839" ht="18.6" customHeight="1" spans="1:11">
      <c r="A1839" s="3">
        <v>1838</v>
      </c>
      <c r="B1839" s="3" t="s">
        <v>2645</v>
      </c>
      <c r="C1839" s="3" t="s">
        <v>3666</v>
      </c>
      <c r="D1839" s="3" t="s">
        <v>1026</v>
      </c>
      <c r="E1839" s="3" t="s">
        <v>1027</v>
      </c>
      <c r="F1839" s="3"/>
      <c r="G1839" s="3"/>
      <c r="H1839" s="3"/>
      <c r="I1839" s="3"/>
      <c r="J1839" s="3" t="s">
        <v>1700</v>
      </c>
      <c r="K1839" s="27" t="s">
        <v>12</v>
      </c>
    </row>
    <row r="1840" ht="18.6" customHeight="1" spans="1:11">
      <c r="A1840" s="3">
        <v>1839</v>
      </c>
      <c r="B1840" s="3" t="s">
        <v>2646</v>
      </c>
      <c r="C1840" s="3" t="s">
        <v>3666</v>
      </c>
      <c r="D1840" s="3" t="s">
        <v>1026</v>
      </c>
      <c r="E1840" s="3" t="s">
        <v>1027</v>
      </c>
      <c r="F1840" s="3"/>
      <c r="G1840" s="3"/>
      <c r="H1840" s="3"/>
      <c r="I1840" s="3" t="s">
        <v>3770</v>
      </c>
      <c r="J1840" s="3" t="s">
        <v>1700</v>
      </c>
      <c r="K1840" s="27" t="s">
        <v>12</v>
      </c>
    </row>
    <row r="1841" ht="18.6" customHeight="1" spans="1:11">
      <c r="A1841" s="3">
        <v>1840</v>
      </c>
      <c r="B1841" s="3" t="s">
        <v>2647</v>
      </c>
      <c r="C1841" s="3" t="s">
        <v>3666</v>
      </c>
      <c r="D1841" s="3" t="s">
        <v>1026</v>
      </c>
      <c r="E1841" s="3" t="s">
        <v>1027</v>
      </c>
      <c r="F1841" s="3"/>
      <c r="G1841" s="3"/>
      <c r="H1841" s="3"/>
      <c r="I1841" s="3"/>
      <c r="J1841" s="3" t="s">
        <v>1700</v>
      </c>
      <c r="K1841" s="27" t="s">
        <v>12</v>
      </c>
    </row>
    <row r="1842" ht="18.6" customHeight="1" spans="1:11">
      <c r="A1842" s="3">
        <v>1841</v>
      </c>
      <c r="B1842" s="3" t="s">
        <v>2648</v>
      </c>
      <c r="C1842" s="3" t="s">
        <v>3666</v>
      </c>
      <c r="D1842" s="3" t="s">
        <v>1026</v>
      </c>
      <c r="E1842" s="3" t="s">
        <v>1035</v>
      </c>
      <c r="F1842" s="3"/>
      <c r="G1842" s="3"/>
      <c r="H1842" s="3"/>
      <c r="I1842" s="3"/>
      <c r="J1842" s="3" t="s">
        <v>1700</v>
      </c>
      <c r="K1842" s="27" t="s">
        <v>12</v>
      </c>
    </row>
    <row r="1843" ht="18.6" customHeight="1" spans="1:11">
      <c r="A1843" s="3">
        <v>1842</v>
      </c>
      <c r="B1843" s="3" t="s">
        <v>2649</v>
      </c>
      <c r="C1843" s="3" t="s">
        <v>3666</v>
      </c>
      <c r="D1843" s="3" t="s">
        <v>1026</v>
      </c>
      <c r="E1843" s="3" t="s">
        <v>1027</v>
      </c>
      <c r="F1843" s="3"/>
      <c r="G1843" s="3"/>
      <c r="H1843" s="3"/>
      <c r="I1843" s="3"/>
      <c r="J1843" s="3" t="s">
        <v>1700</v>
      </c>
      <c r="K1843" s="27" t="s">
        <v>12</v>
      </c>
    </row>
    <row r="1844" ht="18.6" customHeight="1" spans="1:11">
      <c r="A1844" s="3">
        <v>1843</v>
      </c>
      <c r="B1844" s="3" t="s">
        <v>2650</v>
      </c>
      <c r="C1844" s="3" t="s">
        <v>3666</v>
      </c>
      <c r="D1844" s="3" t="s">
        <v>1026</v>
      </c>
      <c r="E1844" s="3" t="s">
        <v>1045</v>
      </c>
      <c r="F1844" s="3"/>
      <c r="G1844" s="3"/>
      <c r="H1844" s="3"/>
      <c r="I1844" s="3"/>
      <c r="J1844" s="3" t="s">
        <v>1700</v>
      </c>
      <c r="K1844" s="27" t="s">
        <v>12</v>
      </c>
    </row>
    <row r="1845" ht="18.6" customHeight="1" spans="1:11">
      <c r="A1845" s="3">
        <v>1844</v>
      </c>
      <c r="B1845" s="3" t="s">
        <v>2651</v>
      </c>
      <c r="C1845" s="3" t="s">
        <v>3666</v>
      </c>
      <c r="D1845" s="3" t="s">
        <v>1026</v>
      </c>
      <c r="E1845" s="3" t="s">
        <v>1045</v>
      </c>
      <c r="F1845" s="3"/>
      <c r="G1845" s="3"/>
      <c r="H1845" s="3"/>
      <c r="I1845" s="3"/>
      <c r="J1845" s="3" t="s">
        <v>1700</v>
      </c>
      <c r="K1845" s="27" t="s">
        <v>12</v>
      </c>
    </row>
    <row r="1846" ht="18.6" customHeight="1" spans="1:11">
      <c r="A1846" s="3">
        <v>1845</v>
      </c>
      <c r="B1846" s="3" t="s">
        <v>2652</v>
      </c>
      <c r="C1846" s="3" t="s">
        <v>3666</v>
      </c>
      <c r="D1846" s="3" t="s">
        <v>1026</v>
      </c>
      <c r="E1846" s="3" t="s">
        <v>1050</v>
      </c>
      <c r="F1846" s="3"/>
      <c r="G1846" s="3"/>
      <c r="H1846" s="3"/>
      <c r="I1846" s="3"/>
      <c r="J1846" s="3" t="s">
        <v>1700</v>
      </c>
      <c r="K1846" s="27" t="s">
        <v>12</v>
      </c>
    </row>
    <row r="1847" ht="18.6" customHeight="1" spans="1:11">
      <c r="A1847" s="3">
        <v>1846</v>
      </c>
      <c r="B1847" s="3" t="s">
        <v>2653</v>
      </c>
      <c r="C1847" s="3" t="s">
        <v>3666</v>
      </c>
      <c r="D1847" s="3" t="s">
        <v>1026</v>
      </c>
      <c r="E1847" s="3" t="s">
        <v>1041</v>
      </c>
      <c r="F1847" s="3"/>
      <c r="G1847" s="3"/>
      <c r="H1847" s="3"/>
      <c r="I1847" s="3"/>
      <c r="J1847" s="3" t="s">
        <v>1700</v>
      </c>
      <c r="K1847" s="27" t="s">
        <v>12</v>
      </c>
    </row>
    <row r="1848" ht="18.6" customHeight="1" spans="1:11">
      <c r="A1848" s="3">
        <v>1847</v>
      </c>
      <c r="B1848" s="3" t="s">
        <v>2654</v>
      </c>
      <c r="C1848" s="3" t="s">
        <v>3666</v>
      </c>
      <c r="D1848" s="3" t="s">
        <v>1026</v>
      </c>
      <c r="E1848" s="3" t="s">
        <v>1045</v>
      </c>
      <c r="F1848" s="3"/>
      <c r="G1848" s="3"/>
      <c r="H1848" s="3"/>
      <c r="I1848" s="3"/>
      <c r="J1848" s="3" t="s">
        <v>1700</v>
      </c>
      <c r="K1848" s="27" t="s">
        <v>12</v>
      </c>
    </row>
    <row r="1849" ht="18.6" customHeight="1" spans="1:11">
      <c r="A1849" s="3">
        <v>1848</v>
      </c>
      <c r="B1849" s="3" t="s">
        <v>2655</v>
      </c>
      <c r="C1849" s="3" t="s">
        <v>3666</v>
      </c>
      <c r="D1849" s="3" t="s">
        <v>1026</v>
      </c>
      <c r="E1849" s="3" t="s">
        <v>1027</v>
      </c>
      <c r="F1849" s="3"/>
      <c r="G1849" s="3"/>
      <c r="H1849" s="3"/>
      <c r="I1849" s="3"/>
      <c r="J1849" s="3" t="s">
        <v>1700</v>
      </c>
      <c r="K1849" s="27" t="s">
        <v>12</v>
      </c>
    </row>
    <row r="1850" ht="18.6" customHeight="1" spans="1:11">
      <c r="A1850" s="3">
        <v>1849</v>
      </c>
      <c r="B1850" s="3" t="s">
        <v>2656</v>
      </c>
      <c r="C1850" s="3" t="s">
        <v>3666</v>
      </c>
      <c r="D1850" s="3" t="s">
        <v>1026</v>
      </c>
      <c r="E1850" s="3" t="s">
        <v>1027</v>
      </c>
      <c r="F1850" s="3"/>
      <c r="G1850" s="3"/>
      <c r="H1850" s="3"/>
      <c r="I1850" s="3"/>
      <c r="J1850" s="3" t="s">
        <v>1700</v>
      </c>
      <c r="K1850" s="27" t="s">
        <v>12</v>
      </c>
    </row>
    <row r="1851" ht="18.6" customHeight="1" spans="1:11">
      <c r="A1851" s="3">
        <v>1850</v>
      </c>
      <c r="B1851" s="3" t="s">
        <v>2657</v>
      </c>
      <c r="C1851" s="3" t="s">
        <v>3666</v>
      </c>
      <c r="D1851" s="3" t="s">
        <v>1026</v>
      </c>
      <c r="E1851" s="3" t="s">
        <v>1027</v>
      </c>
      <c r="F1851" s="3"/>
      <c r="G1851" s="3"/>
      <c r="H1851" s="3"/>
      <c r="I1851" s="3" t="s">
        <v>3770</v>
      </c>
      <c r="J1851" s="3" t="s">
        <v>1700</v>
      </c>
      <c r="K1851" s="27" t="s">
        <v>12</v>
      </c>
    </row>
    <row r="1852" ht="18.6" customHeight="1" spans="1:11">
      <c r="A1852" s="3">
        <v>1851</v>
      </c>
      <c r="B1852" s="3" t="s">
        <v>3693</v>
      </c>
      <c r="C1852" s="3" t="s">
        <v>3678</v>
      </c>
      <c r="D1852" s="3" t="s">
        <v>1060</v>
      </c>
      <c r="E1852" s="3" t="s">
        <v>1061</v>
      </c>
      <c r="F1852" s="3"/>
      <c r="G1852" s="3"/>
      <c r="H1852" s="3"/>
      <c r="I1852" s="3" t="s">
        <v>3770</v>
      </c>
      <c r="J1852" s="3" t="s">
        <v>1700</v>
      </c>
      <c r="K1852" s="27" t="s">
        <v>12</v>
      </c>
    </row>
    <row r="1853" ht="18.6" customHeight="1" spans="1:11">
      <c r="A1853" s="3">
        <v>1852</v>
      </c>
      <c r="B1853" s="3" t="s">
        <v>2658</v>
      </c>
      <c r="C1853" s="3" t="s">
        <v>3678</v>
      </c>
      <c r="D1853" s="3" t="s">
        <v>1060</v>
      </c>
      <c r="E1853" s="3" t="s">
        <v>1061</v>
      </c>
      <c r="F1853" s="3"/>
      <c r="G1853" s="3"/>
      <c r="H1853" s="3"/>
      <c r="I1853" s="3" t="s">
        <v>3770</v>
      </c>
      <c r="J1853" s="3" t="s">
        <v>1700</v>
      </c>
      <c r="K1853" s="27" t="s">
        <v>12</v>
      </c>
    </row>
    <row r="1854" ht="18.6" customHeight="1" spans="1:11">
      <c r="A1854" s="3">
        <v>1853</v>
      </c>
      <c r="B1854" s="3" t="s">
        <v>2659</v>
      </c>
      <c r="C1854" s="3" t="s">
        <v>3678</v>
      </c>
      <c r="D1854" s="3" t="s">
        <v>1060</v>
      </c>
      <c r="E1854" s="3" t="s">
        <v>1061</v>
      </c>
      <c r="F1854" s="3"/>
      <c r="G1854" s="3"/>
      <c r="H1854" s="3"/>
      <c r="I1854" s="3" t="s">
        <v>3770</v>
      </c>
      <c r="J1854" s="3" t="s">
        <v>1700</v>
      </c>
      <c r="K1854" s="27" t="s">
        <v>12</v>
      </c>
    </row>
    <row r="1855" ht="18.6" customHeight="1" spans="1:11">
      <c r="A1855" s="3">
        <v>1854</v>
      </c>
      <c r="B1855" s="3" t="s">
        <v>2660</v>
      </c>
      <c r="C1855" s="3" t="s">
        <v>3678</v>
      </c>
      <c r="D1855" s="3" t="s">
        <v>1060</v>
      </c>
      <c r="E1855" s="3" t="s">
        <v>1061</v>
      </c>
      <c r="F1855" s="3"/>
      <c r="G1855" s="3"/>
      <c r="H1855" s="3"/>
      <c r="I1855" s="3" t="s">
        <v>3770</v>
      </c>
      <c r="J1855" s="3" t="s">
        <v>1700</v>
      </c>
      <c r="K1855" s="27" t="s">
        <v>12</v>
      </c>
    </row>
    <row r="1856" ht="18.6" customHeight="1" spans="1:11">
      <c r="A1856" s="3">
        <v>1855</v>
      </c>
      <c r="B1856" s="3" t="s">
        <v>2661</v>
      </c>
      <c r="C1856" s="3" t="s">
        <v>3678</v>
      </c>
      <c r="D1856" s="3" t="s">
        <v>1060</v>
      </c>
      <c r="E1856" s="3" t="s">
        <v>1061</v>
      </c>
      <c r="F1856" s="3"/>
      <c r="G1856" s="3"/>
      <c r="H1856" s="3"/>
      <c r="I1856" s="3" t="s">
        <v>3773</v>
      </c>
      <c r="J1856" s="3" t="s">
        <v>1700</v>
      </c>
      <c r="K1856" s="27" t="s">
        <v>12</v>
      </c>
    </row>
    <row r="1857" ht="18.6" customHeight="1" spans="1:11">
      <c r="A1857" s="3">
        <v>1856</v>
      </c>
      <c r="B1857" s="3" t="s">
        <v>2662</v>
      </c>
      <c r="C1857" s="3" t="s">
        <v>3678</v>
      </c>
      <c r="D1857" s="3" t="s">
        <v>1060</v>
      </c>
      <c r="E1857" s="3" t="s">
        <v>1061</v>
      </c>
      <c r="F1857" s="3"/>
      <c r="G1857" s="3"/>
      <c r="H1857" s="3"/>
      <c r="I1857" s="3" t="s">
        <v>3779</v>
      </c>
      <c r="J1857" s="3" t="s">
        <v>1700</v>
      </c>
      <c r="K1857" s="27" t="s">
        <v>12</v>
      </c>
    </row>
    <row r="1858" ht="18.6" customHeight="1" spans="1:11">
      <c r="A1858" s="3">
        <v>1857</v>
      </c>
      <c r="B1858" s="3" t="s">
        <v>2663</v>
      </c>
      <c r="C1858" s="3" t="s">
        <v>3678</v>
      </c>
      <c r="D1858" s="3" t="s">
        <v>1060</v>
      </c>
      <c r="E1858" s="3" t="s">
        <v>1061</v>
      </c>
      <c r="F1858" s="3"/>
      <c r="G1858" s="3"/>
      <c r="H1858" s="3"/>
      <c r="I1858" s="3" t="s">
        <v>3772</v>
      </c>
      <c r="J1858" s="3" t="s">
        <v>1700</v>
      </c>
      <c r="K1858" s="27" t="s">
        <v>12</v>
      </c>
    </row>
    <row r="1859" ht="18.6" customHeight="1" spans="1:11">
      <c r="A1859" s="3">
        <v>1858</v>
      </c>
      <c r="B1859" s="3" t="s">
        <v>2664</v>
      </c>
      <c r="C1859" s="3" t="s">
        <v>3678</v>
      </c>
      <c r="D1859" s="3" t="s">
        <v>1060</v>
      </c>
      <c r="E1859" s="3" t="s">
        <v>1061</v>
      </c>
      <c r="F1859" s="3"/>
      <c r="G1859" s="3"/>
      <c r="H1859" s="3"/>
      <c r="I1859" s="3" t="s">
        <v>3777</v>
      </c>
      <c r="J1859" s="3" t="s">
        <v>1700</v>
      </c>
      <c r="K1859" s="27" t="s">
        <v>12</v>
      </c>
    </row>
    <row r="1860" ht="18.6" customHeight="1" spans="1:11">
      <c r="A1860" s="3">
        <v>1859</v>
      </c>
      <c r="B1860" s="3" t="s">
        <v>2665</v>
      </c>
      <c r="C1860" s="3" t="s">
        <v>3678</v>
      </c>
      <c r="D1860" s="3" t="s">
        <v>1060</v>
      </c>
      <c r="E1860" s="3" t="s">
        <v>2666</v>
      </c>
      <c r="F1860" s="3"/>
      <c r="G1860" s="3"/>
      <c r="H1860" s="3"/>
      <c r="I1860" s="3" t="s">
        <v>3769</v>
      </c>
      <c r="J1860" s="3" t="s">
        <v>1700</v>
      </c>
      <c r="K1860" s="27" t="s">
        <v>12</v>
      </c>
    </row>
    <row r="1861" ht="18.6" customHeight="1" spans="1:11">
      <c r="A1861" s="3">
        <v>1860</v>
      </c>
      <c r="B1861" s="3" t="s">
        <v>2667</v>
      </c>
      <c r="C1861" s="3" t="s">
        <v>3678</v>
      </c>
      <c r="D1861" s="3" t="s">
        <v>1060</v>
      </c>
      <c r="E1861" s="3" t="s">
        <v>1084</v>
      </c>
      <c r="F1861" s="3"/>
      <c r="G1861" s="3"/>
      <c r="H1861" s="3"/>
      <c r="I1861" s="3" t="s">
        <v>3773</v>
      </c>
      <c r="J1861" s="3" t="s">
        <v>1700</v>
      </c>
      <c r="K1861" s="27" t="s">
        <v>12</v>
      </c>
    </row>
    <row r="1862" ht="18.6" customHeight="1" spans="1:11">
      <c r="A1862" s="3">
        <v>1861</v>
      </c>
      <c r="B1862" s="3" t="s">
        <v>2668</v>
      </c>
      <c r="C1862" s="3" t="s">
        <v>3678</v>
      </c>
      <c r="D1862" s="3" t="s">
        <v>1060</v>
      </c>
      <c r="E1862" s="3" t="s">
        <v>1073</v>
      </c>
      <c r="F1862" s="3"/>
      <c r="G1862" s="3"/>
      <c r="H1862" s="3"/>
      <c r="I1862" s="3" t="s">
        <v>3770</v>
      </c>
      <c r="J1862" s="3" t="s">
        <v>1700</v>
      </c>
      <c r="K1862" s="27" t="s">
        <v>12</v>
      </c>
    </row>
    <row r="1863" ht="18.6" customHeight="1" spans="1:11">
      <c r="A1863" s="3">
        <v>1862</v>
      </c>
      <c r="B1863" s="3" t="s">
        <v>2669</v>
      </c>
      <c r="C1863" s="3" t="s">
        <v>3678</v>
      </c>
      <c r="D1863" s="3" t="s">
        <v>1060</v>
      </c>
      <c r="E1863" s="3" t="s">
        <v>1061</v>
      </c>
      <c r="F1863" s="3"/>
      <c r="G1863" s="3"/>
      <c r="H1863" s="3"/>
      <c r="I1863" s="3" t="s">
        <v>3770</v>
      </c>
      <c r="J1863" s="3" t="s">
        <v>1700</v>
      </c>
      <c r="K1863" s="27" t="s">
        <v>12</v>
      </c>
    </row>
    <row r="1864" ht="18.6" customHeight="1" spans="1:11">
      <c r="A1864" s="3">
        <v>1863</v>
      </c>
      <c r="B1864" s="3" t="s">
        <v>2670</v>
      </c>
      <c r="C1864" s="3" t="s">
        <v>3678</v>
      </c>
      <c r="D1864" s="3" t="s">
        <v>1060</v>
      </c>
      <c r="E1864" s="3" t="s">
        <v>1061</v>
      </c>
      <c r="F1864" s="3"/>
      <c r="G1864" s="3"/>
      <c r="H1864" s="3"/>
      <c r="I1864" s="3" t="s">
        <v>3770</v>
      </c>
      <c r="J1864" s="3" t="s">
        <v>1700</v>
      </c>
      <c r="K1864" s="27" t="s">
        <v>12</v>
      </c>
    </row>
    <row r="1865" ht="18.6" customHeight="1" spans="1:11">
      <c r="A1865" s="3">
        <v>1864</v>
      </c>
      <c r="B1865" s="3" t="s">
        <v>2671</v>
      </c>
      <c r="C1865" s="3" t="s">
        <v>3678</v>
      </c>
      <c r="D1865" s="3" t="s">
        <v>1060</v>
      </c>
      <c r="E1865" s="3" t="s">
        <v>1061</v>
      </c>
      <c r="F1865" s="3"/>
      <c r="G1865" s="3"/>
      <c r="H1865" s="3"/>
      <c r="I1865" s="3" t="s">
        <v>3773</v>
      </c>
      <c r="J1865" s="3" t="s">
        <v>1700</v>
      </c>
      <c r="K1865" s="27" t="s">
        <v>12</v>
      </c>
    </row>
    <row r="1866" ht="18.6" customHeight="1" spans="1:11">
      <c r="A1866" s="3">
        <v>1865</v>
      </c>
      <c r="B1866" s="3" t="s">
        <v>3822</v>
      </c>
      <c r="C1866" s="3" t="s">
        <v>3678</v>
      </c>
      <c r="D1866" s="3" t="s">
        <v>1060</v>
      </c>
      <c r="E1866" s="3" t="s">
        <v>1073</v>
      </c>
      <c r="F1866" s="3"/>
      <c r="G1866" s="3"/>
      <c r="H1866" s="3"/>
      <c r="I1866" s="3" t="s">
        <v>3775</v>
      </c>
      <c r="J1866" s="3" t="s">
        <v>1700</v>
      </c>
      <c r="K1866" s="27" t="s">
        <v>12</v>
      </c>
    </row>
    <row r="1867" ht="18.6" customHeight="1" spans="1:11">
      <c r="A1867" s="3">
        <v>1866</v>
      </c>
      <c r="B1867" s="3" t="s">
        <v>2672</v>
      </c>
      <c r="C1867" s="3" t="s">
        <v>3678</v>
      </c>
      <c r="D1867" s="3" t="s">
        <v>1060</v>
      </c>
      <c r="E1867" s="3" t="s">
        <v>1086</v>
      </c>
      <c r="F1867" s="3"/>
      <c r="G1867" s="3"/>
      <c r="H1867" s="3"/>
      <c r="I1867" s="3" t="s">
        <v>3775</v>
      </c>
      <c r="J1867" s="3" t="s">
        <v>1700</v>
      </c>
      <c r="K1867" s="27" t="s">
        <v>12</v>
      </c>
    </row>
    <row r="1868" ht="18.6" customHeight="1" spans="1:11">
      <c r="A1868" s="3">
        <v>1867</v>
      </c>
      <c r="B1868" s="3" t="s">
        <v>2673</v>
      </c>
      <c r="C1868" s="3" t="s">
        <v>3678</v>
      </c>
      <c r="D1868" s="3" t="s">
        <v>1060</v>
      </c>
      <c r="E1868" s="3" t="s">
        <v>1077</v>
      </c>
      <c r="F1868" s="3"/>
      <c r="G1868" s="3"/>
      <c r="H1868" s="3"/>
      <c r="I1868" s="3" t="s">
        <v>3775</v>
      </c>
      <c r="J1868" s="3" t="s">
        <v>1700</v>
      </c>
      <c r="K1868" s="27" t="s">
        <v>12</v>
      </c>
    </row>
    <row r="1869" ht="18.6" customHeight="1" spans="1:11">
      <c r="A1869" s="3">
        <v>1868</v>
      </c>
      <c r="B1869" s="3" t="s">
        <v>3823</v>
      </c>
      <c r="C1869" s="3" t="s">
        <v>3678</v>
      </c>
      <c r="D1869" s="3" t="s">
        <v>1060</v>
      </c>
      <c r="E1869" s="3" t="s">
        <v>1099</v>
      </c>
      <c r="F1869" s="3"/>
      <c r="G1869" s="3"/>
      <c r="H1869" s="3"/>
      <c r="I1869" s="3" t="s">
        <v>3776</v>
      </c>
      <c r="J1869" s="3" t="s">
        <v>1700</v>
      </c>
      <c r="K1869" s="27" t="s">
        <v>12</v>
      </c>
    </row>
    <row r="1870" ht="18.6" customHeight="1" spans="1:11">
      <c r="A1870" s="3">
        <v>1869</v>
      </c>
      <c r="B1870" s="3" t="s">
        <v>2674</v>
      </c>
      <c r="C1870" s="3" t="s">
        <v>3678</v>
      </c>
      <c r="D1870" s="3" t="s">
        <v>1060</v>
      </c>
      <c r="E1870" s="3" t="s">
        <v>1079</v>
      </c>
      <c r="F1870" s="3"/>
      <c r="G1870" s="3"/>
      <c r="H1870" s="3"/>
      <c r="I1870" s="3" t="s">
        <v>3770</v>
      </c>
      <c r="J1870" s="3" t="s">
        <v>1700</v>
      </c>
      <c r="K1870" s="27" t="s">
        <v>12</v>
      </c>
    </row>
    <row r="1871" ht="18.6" customHeight="1" spans="1:11">
      <c r="A1871" s="3">
        <v>1870</v>
      </c>
      <c r="B1871" s="3" t="s">
        <v>2675</v>
      </c>
      <c r="C1871" s="3" t="s">
        <v>3678</v>
      </c>
      <c r="D1871" s="3" t="s">
        <v>1060</v>
      </c>
      <c r="E1871" s="3" t="s">
        <v>1099</v>
      </c>
      <c r="F1871" s="3"/>
      <c r="G1871" s="3"/>
      <c r="H1871" s="3"/>
      <c r="I1871" s="3" t="s">
        <v>3769</v>
      </c>
      <c r="J1871" s="3" t="s">
        <v>1700</v>
      </c>
      <c r="K1871" s="27" t="s">
        <v>12</v>
      </c>
    </row>
    <row r="1872" ht="18.6" customHeight="1" spans="1:11">
      <c r="A1872" s="3">
        <v>1871</v>
      </c>
      <c r="B1872" s="3" t="s">
        <v>2676</v>
      </c>
      <c r="C1872" s="3" t="s">
        <v>3678</v>
      </c>
      <c r="D1872" s="3" t="s">
        <v>1060</v>
      </c>
      <c r="E1872" s="3" t="s">
        <v>1086</v>
      </c>
      <c r="F1872" s="3"/>
      <c r="G1872" s="3"/>
      <c r="H1872" s="3"/>
      <c r="I1872" s="3"/>
      <c r="J1872" s="3" t="s">
        <v>1700</v>
      </c>
      <c r="K1872" s="27" t="s">
        <v>12</v>
      </c>
    </row>
    <row r="1873" ht="18.6" customHeight="1" spans="1:11">
      <c r="A1873" s="3">
        <v>1872</v>
      </c>
      <c r="B1873" s="3" t="s">
        <v>2677</v>
      </c>
      <c r="C1873" s="3" t="s">
        <v>3678</v>
      </c>
      <c r="D1873" s="3" t="s">
        <v>1060</v>
      </c>
      <c r="E1873" s="3" t="s">
        <v>1061</v>
      </c>
      <c r="F1873" s="3"/>
      <c r="G1873" s="3"/>
      <c r="H1873" s="3"/>
      <c r="I1873" s="3" t="s">
        <v>3769</v>
      </c>
      <c r="J1873" s="3" t="s">
        <v>1700</v>
      </c>
      <c r="K1873" s="27" t="s">
        <v>12</v>
      </c>
    </row>
    <row r="1874" ht="18.6" customHeight="1" spans="1:11">
      <c r="A1874" s="3">
        <v>1873</v>
      </c>
      <c r="B1874" s="3" t="s">
        <v>2678</v>
      </c>
      <c r="C1874" s="3" t="s">
        <v>3678</v>
      </c>
      <c r="D1874" s="3" t="s">
        <v>1060</v>
      </c>
      <c r="E1874" s="3" t="s">
        <v>1079</v>
      </c>
      <c r="F1874" s="3"/>
      <c r="G1874" s="3"/>
      <c r="H1874" s="3"/>
      <c r="I1874" s="3" t="s">
        <v>3775</v>
      </c>
      <c r="J1874" s="3" t="s">
        <v>1700</v>
      </c>
      <c r="K1874" s="27" t="s">
        <v>12</v>
      </c>
    </row>
    <row r="1875" ht="18.6" customHeight="1" spans="1:11">
      <c r="A1875" s="3">
        <v>1874</v>
      </c>
      <c r="B1875" s="3" t="s">
        <v>2679</v>
      </c>
      <c r="C1875" s="3" t="s">
        <v>3678</v>
      </c>
      <c r="D1875" s="3" t="s">
        <v>1060</v>
      </c>
      <c r="E1875" s="3" t="s">
        <v>1067</v>
      </c>
      <c r="F1875" s="3"/>
      <c r="G1875" s="3"/>
      <c r="H1875" s="3"/>
      <c r="I1875" s="3" t="s">
        <v>3773</v>
      </c>
      <c r="J1875" s="3" t="s">
        <v>1700</v>
      </c>
      <c r="K1875" s="27" t="s">
        <v>12</v>
      </c>
    </row>
    <row r="1876" ht="18.6" customHeight="1" spans="1:11">
      <c r="A1876" s="3">
        <v>1875</v>
      </c>
      <c r="B1876" s="3" t="s">
        <v>2680</v>
      </c>
      <c r="C1876" s="3" t="s">
        <v>3314</v>
      </c>
      <c r="D1876" s="3" t="s">
        <v>1060</v>
      </c>
      <c r="E1876" s="3" t="s">
        <v>1061</v>
      </c>
      <c r="F1876" s="3"/>
      <c r="G1876" s="3"/>
      <c r="H1876" s="3"/>
      <c r="I1876" s="3" t="s">
        <v>3779</v>
      </c>
      <c r="J1876" s="3" t="s">
        <v>1700</v>
      </c>
      <c r="K1876" s="27" t="s">
        <v>12</v>
      </c>
    </row>
    <row r="1877" ht="18.6" customHeight="1" spans="1:11">
      <c r="A1877" s="3">
        <v>1876</v>
      </c>
      <c r="B1877" s="3" t="s">
        <v>2681</v>
      </c>
      <c r="C1877" s="3" t="s">
        <v>3678</v>
      </c>
      <c r="D1877" s="3" t="s">
        <v>1060</v>
      </c>
      <c r="E1877" s="3" t="s">
        <v>1061</v>
      </c>
      <c r="F1877" s="3"/>
      <c r="G1877" s="3"/>
      <c r="H1877" s="3"/>
      <c r="I1877" s="3" t="s">
        <v>3771</v>
      </c>
      <c r="J1877" s="3" t="s">
        <v>1700</v>
      </c>
      <c r="K1877" s="27" t="s">
        <v>12</v>
      </c>
    </row>
    <row r="1878" ht="18.6" customHeight="1" spans="1:11">
      <c r="A1878" s="3">
        <v>1877</v>
      </c>
      <c r="B1878" s="3" t="s">
        <v>2682</v>
      </c>
      <c r="C1878" s="3" t="s">
        <v>3678</v>
      </c>
      <c r="D1878" s="3" t="s">
        <v>1060</v>
      </c>
      <c r="E1878" s="3" t="s">
        <v>1061</v>
      </c>
      <c r="F1878" s="3"/>
      <c r="G1878" s="3"/>
      <c r="H1878" s="3"/>
      <c r="I1878" s="3" t="s">
        <v>3770</v>
      </c>
      <c r="J1878" s="3" t="s">
        <v>1700</v>
      </c>
      <c r="K1878" s="27" t="s">
        <v>12</v>
      </c>
    </row>
    <row r="1879" ht="18.6" customHeight="1" spans="1:11">
      <c r="A1879" s="3">
        <v>1878</v>
      </c>
      <c r="B1879" s="3" t="s">
        <v>2683</v>
      </c>
      <c r="C1879" s="3" t="s">
        <v>3678</v>
      </c>
      <c r="D1879" s="3" t="s">
        <v>1060</v>
      </c>
      <c r="E1879" s="3" t="s">
        <v>1071</v>
      </c>
      <c r="F1879" s="3"/>
      <c r="G1879" s="3"/>
      <c r="H1879" s="3"/>
      <c r="I1879" s="3"/>
      <c r="J1879" s="3" t="s">
        <v>1700</v>
      </c>
      <c r="K1879" s="27" t="s">
        <v>12</v>
      </c>
    </row>
    <row r="1880" ht="18.6" customHeight="1" spans="1:11">
      <c r="A1880" s="3">
        <v>1879</v>
      </c>
      <c r="B1880" s="3" t="s">
        <v>2684</v>
      </c>
      <c r="C1880" s="3" t="s">
        <v>3678</v>
      </c>
      <c r="D1880" s="3" t="s">
        <v>1060</v>
      </c>
      <c r="E1880" s="3" t="s">
        <v>1067</v>
      </c>
      <c r="F1880" s="3"/>
      <c r="G1880" s="3"/>
      <c r="H1880" s="3"/>
      <c r="I1880" s="3"/>
      <c r="J1880" s="3" t="s">
        <v>1700</v>
      </c>
      <c r="K1880" s="27" t="s">
        <v>12</v>
      </c>
    </row>
    <row r="1881" ht="18.6" customHeight="1" spans="1:11">
      <c r="A1881" s="3">
        <v>1880</v>
      </c>
      <c r="B1881" s="3" t="s">
        <v>2685</v>
      </c>
      <c r="C1881" s="3" t="s">
        <v>3678</v>
      </c>
      <c r="D1881" s="3" t="s">
        <v>1060</v>
      </c>
      <c r="E1881" s="3" t="s">
        <v>1061</v>
      </c>
      <c r="F1881" s="3"/>
      <c r="G1881" s="3"/>
      <c r="H1881" s="3"/>
      <c r="I1881" s="3" t="s">
        <v>3770</v>
      </c>
      <c r="J1881" s="3" t="s">
        <v>1700</v>
      </c>
      <c r="K1881" s="27" t="s">
        <v>12</v>
      </c>
    </row>
    <row r="1882" ht="18.6" customHeight="1" spans="1:11">
      <c r="A1882" s="3">
        <v>1881</v>
      </c>
      <c r="B1882" s="3" t="s">
        <v>2686</v>
      </c>
      <c r="C1882" s="3" t="s">
        <v>3678</v>
      </c>
      <c r="D1882" s="3" t="s">
        <v>1060</v>
      </c>
      <c r="E1882" s="3" t="s">
        <v>1061</v>
      </c>
      <c r="F1882" s="3"/>
      <c r="G1882" s="3"/>
      <c r="H1882" s="3"/>
      <c r="I1882" s="3"/>
      <c r="J1882" s="3" t="s">
        <v>1700</v>
      </c>
      <c r="K1882" s="27" t="s">
        <v>12</v>
      </c>
    </row>
    <row r="1883" ht="18.6" customHeight="1" spans="1:11">
      <c r="A1883" s="3">
        <v>1882</v>
      </c>
      <c r="B1883" s="3" t="s">
        <v>2687</v>
      </c>
      <c r="C1883" s="3" t="s">
        <v>3678</v>
      </c>
      <c r="D1883" s="3" t="s">
        <v>1060</v>
      </c>
      <c r="E1883" s="3" t="s">
        <v>1061</v>
      </c>
      <c r="F1883" s="3"/>
      <c r="G1883" s="3"/>
      <c r="H1883" s="3"/>
      <c r="I1883" s="3"/>
      <c r="J1883" s="3" t="s">
        <v>1700</v>
      </c>
      <c r="K1883" s="27" t="s">
        <v>12</v>
      </c>
    </row>
    <row r="1884" ht="18.6" customHeight="1" spans="1:11">
      <c r="A1884" s="3">
        <v>1883</v>
      </c>
      <c r="B1884" s="3" t="s">
        <v>2688</v>
      </c>
      <c r="C1884" s="3" t="s">
        <v>3678</v>
      </c>
      <c r="D1884" s="3" t="s">
        <v>1060</v>
      </c>
      <c r="E1884" s="3" t="s">
        <v>1061</v>
      </c>
      <c r="F1884" s="3"/>
      <c r="G1884" s="3"/>
      <c r="H1884" s="3"/>
      <c r="I1884" s="3" t="s">
        <v>3769</v>
      </c>
      <c r="J1884" s="3" t="s">
        <v>1700</v>
      </c>
      <c r="K1884" s="27" t="s">
        <v>12</v>
      </c>
    </row>
    <row r="1885" ht="18.6" customHeight="1" spans="1:11">
      <c r="A1885" s="3">
        <v>1884</v>
      </c>
      <c r="B1885" s="3" t="s">
        <v>2689</v>
      </c>
      <c r="C1885" s="3" t="s">
        <v>3678</v>
      </c>
      <c r="D1885" s="3" t="s">
        <v>1060</v>
      </c>
      <c r="E1885" s="3" t="s">
        <v>1061</v>
      </c>
      <c r="F1885" s="3"/>
      <c r="G1885" s="3"/>
      <c r="H1885" s="3"/>
      <c r="I1885" s="3" t="s">
        <v>3769</v>
      </c>
      <c r="J1885" s="3" t="s">
        <v>1700</v>
      </c>
      <c r="K1885" s="27" t="s">
        <v>12</v>
      </c>
    </row>
    <row r="1886" ht="18.6" customHeight="1" spans="1:11">
      <c r="A1886" s="3">
        <v>1885</v>
      </c>
      <c r="B1886" s="3" t="s">
        <v>2690</v>
      </c>
      <c r="C1886" s="3" t="s">
        <v>3678</v>
      </c>
      <c r="D1886" s="3" t="s">
        <v>1060</v>
      </c>
      <c r="E1886" s="3" t="s">
        <v>1061</v>
      </c>
      <c r="F1886" s="3"/>
      <c r="G1886" s="3"/>
      <c r="H1886" s="3"/>
      <c r="I1886" s="3"/>
      <c r="J1886" s="3" t="s">
        <v>1700</v>
      </c>
      <c r="K1886" s="27" t="s">
        <v>12</v>
      </c>
    </row>
    <row r="1887" ht="18.6" customHeight="1" spans="1:11">
      <c r="A1887" s="3">
        <v>1886</v>
      </c>
      <c r="B1887" s="3" t="s">
        <v>2691</v>
      </c>
      <c r="C1887" s="3" t="s">
        <v>3678</v>
      </c>
      <c r="D1887" s="3" t="s">
        <v>1060</v>
      </c>
      <c r="E1887" s="3" t="s">
        <v>1073</v>
      </c>
      <c r="F1887" s="3"/>
      <c r="G1887" s="3"/>
      <c r="H1887" s="3"/>
      <c r="I1887" s="3"/>
      <c r="J1887" s="3" t="s">
        <v>1700</v>
      </c>
      <c r="K1887" s="27" t="s">
        <v>12</v>
      </c>
    </row>
    <row r="1888" ht="18.6" customHeight="1" spans="1:11">
      <c r="A1888" s="3">
        <v>1887</v>
      </c>
      <c r="B1888" s="3" t="s">
        <v>2692</v>
      </c>
      <c r="C1888" s="3" t="s">
        <v>3678</v>
      </c>
      <c r="D1888" s="3" t="s">
        <v>1060</v>
      </c>
      <c r="E1888" s="3" t="s">
        <v>1079</v>
      </c>
      <c r="F1888" s="3"/>
      <c r="G1888" s="3"/>
      <c r="H1888" s="3"/>
      <c r="I1888" s="3"/>
      <c r="J1888" s="3" t="s">
        <v>1700</v>
      </c>
      <c r="K1888" s="27" t="s">
        <v>12</v>
      </c>
    </row>
    <row r="1889" ht="18.6" customHeight="1" spans="1:11">
      <c r="A1889" s="3">
        <v>1888</v>
      </c>
      <c r="B1889" s="3" t="s">
        <v>2693</v>
      </c>
      <c r="C1889" s="3" t="s">
        <v>3698</v>
      </c>
      <c r="D1889" s="3" t="s">
        <v>1101</v>
      </c>
      <c r="E1889" s="3" t="s">
        <v>1104</v>
      </c>
      <c r="F1889" s="3"/>
      <c r="G1889" s="3"/>
      <c r="H1889" s="3"/>
      <c r="I1889" s="3" t="s">
        <v>3779</v>
      </c>
      <c r="J1889" s="3" t="s">
        <v>1700</v>
      </c>
      <c r="K1889" s="27" t="s">
        <v>12</v>
      </c>
    </row>
    <row r="1890" ht="18.6" customHeight="1" spans="1:11">
      <c r="A1890" s="3">
        <v>1889</v>
      </c>
      <c r="B1890" s="3" t="s">
        <v>3824</v>
      </c>
      <c r="C1890" s="3" t="s">
        <v>3698</v>
      </c>
      <c r="D1890" s="3" t="s">
        <v>1101</v>
      </c>
      <c r="E1890" s="3" t="s">
        <v>1104</v>
      </c>
      <c r="F1890" s="3"/>
      <c r="G1890" s="3"/>
      <c r="H1890" s="3"/>
      <c r="I1890" s="3" t="s">
        <v>3776</v>
      </c>
      <c r="J1890" s="3" t="s">
        <v>1700</v>
      </c>
      <c r="K1890" s="27" t="s">
        <v>12</v>
      </c>
    </row>
    <row r="1891" ht="18.6" customHeight="1" spans="1:11">
      <c r="A1891" s="3">
        <v>1890</v>
      </c>
      <c r="B1891" s="3" t="s">
        <v>2694</v>
      </c>
      <c r="C1891" s="3" t="s">
        <v>3698</v>
      </c>
      <c r="D1891" s="3" t="s">
        <v>1101</v>
      </c>
      <c r="E1891" s="3" t="s">
        <v>1104</v>
      </c>
      <c r="F1891" s="3"/>
      <c r="G1891" s="3"/>
      <c r="H1891" s="3"/>
      <c r="I1891" s="3" t="s">
        <v>3769</v>
      </c>
      <c r="J1891" s="3" t="s">
        <v>1700</v>
      </c>
      <c r="K1891" s="27" t="s">
        <v>12</v>
      </c>
    </row>
    <row r="1892" ht="18.6" customHeight="1" spans="1:11">
      <c r="A1892" s="3">
        <v>1891</v>
      </c>
      <c r="B1892" s="3" t="s">
        <v>3825</v>
      </c>
      <c r="C1892" s="3" t="s">
        <v>3703</v>
      </c>
      <c r="D1892" s="3" t="s">
        <v>1106</v>
      </c>
      <c r="E1892" s="3" t="s">
        <v>1107</v>
      </c>
      <c r="F1892" s="3"/>
      <c r="G1892" s="3"/>
      <c r="H1892" s="3"/>
      <c r="I1892" s="3" t="s">
        <v>3769</v>
      </c>
      <c r="J1892" s="3" t="s">
        <v>1700</v>
      </c>
      <c r="K1892" s="27" t="s">
        <v>12</v>
      </c>
    </row>
    <row r="1893" ht="18.6" customHeight="1" spans="1:11">
      <c r="A1893" s="3">
        <v>1892</v>
      </c>
      <c r="B1893" s="3" t="s">
        <v>3826</v>
      </c>
      <c r="C1893" s="3" t="s">
        <v>3703</v>
      </c>
      <c r="D1893" s="3" t="s">
        <v>1106</v>
      </c>
      <c r="E1893" s="3" t="s">
        <v>1107</v>
      </c>
      <c r="F1893" s="3"/>
      <c r="G1893" s="3"/>
      <c r="H1893" s="3"/>
      <c r="I1893" s="3" t="s">
        <v>3769</v>
      </c>
      <c r="J1893" s="3" t="s">
        <v>1700</v>
      </c>
      <c r="K1893" s="27" t="s">
        <v>12</v>
      </c>
    </row>
    <row r="1894" ht="18.6" customHeight="1" spans="1:11">
      <c r="A1894" s="3">
        <v>1893</v>
      </c>
      <c r="B1894" s="3" t="s">
        <v>2695</v>
      </c>
      <c r="C1894" s="3" t="s">
        <v>3703</v>
      </c>
      <c r="D1894" s="3" t="s">
        <v>1106</v>
      </c>
      <c r="E1894" s="3" t="s">
        <v>1111</v>
      </c>
      <c r="F1894" s="3"/>
      <c r="G1894" s="3"/>
      <c r="H1894" s="3"/>
      <c r="I1894" s="3" t="s">
        <v>3770</v>
      </c>
      <c r="J1894" s="3" t="s">
        <v>1700</v>
      </c>
      <c r="K1894" s="27" t="s">
        <v>12</v>
      </c>
    </row>
    <row r="1895" ht="18.6" customHeight="1" spans="1:11">
      <c r="A1895" s="3">
        <v>1894</v>
      </c>
      <c r="B1895" s="3" t="s">
        <v>2696</v>
      </c>
      <c r="C1895" s="3" t="s">
        <v>3703</v>
      </c>
      <c r="D1895" s="3" t="s">
        <v>1106</v>
      </c>
      <c r="E1895" s="3" t="s">
        <v>1107</v>
      </c>
      <c r="F1895" s="3"/>
      <c r="G1895" s="3"/>
      <c r="H1895" s="3"/>
      <c r="I1895" s="3" t="s">
        <v>3770</v>
      </c>
      <c r="J1895" s="3" t="s">
        <v>1700</v>
      </c>
      <c r="K1895" s="27" t="s">
        <v>12</v>
      </c>
    </row>
    <row r="1896" ht="18.6" customHeight="1" spans="1:11">
      <c r="A1896" s="3">
        <v>1895</v>
      </c>
      <c r="B1896" s="3" t="s">
        <v>2697</v>
      </c>
      <c r="C1896" s="3" t="s">
        <v>3703</v>
      </c>
      <c r="D1896" s="3" t="s">
        <v>1106</v>
      </c>
      <c r="E1896" s="3" t="s">
        <v>1111</v>
      </c>
      <c r="F1896" s="3"/>
      <c r="G1896" s="3"/>
      <c r="H1896" s="3"/>
      <c r="I1896" s="3" t="s">
        <v>3770</v>
      </c>
      <c r="J1896" s="3" t="s">
        <v>1700</v>
      </c>
      <c r="K1896" s="27" t="s">
        <v>12</v>
      </c>
    </row>
    <row r="1897" ht="18.6" customHeight="1" spans="1:11">
      <c r="A1897" s="3">
        <v>1896</v>
      </c>
      <c r="B1897" s="3" t="s">
        <v>2698</v>
      </c>
      <c r="C1897" s="3" t="s">
        <v>3703</v>
      </c>
      <c r="D1897" s="3" t="s">
        <v>1106</v>
      </c>
      <c r="E1897" s="3" t="s">
        <v>1111</v>
      </c>
      <c r="F1897" s="3"/>
      <c r="G1897" s="3"/>
      <c r="H1897" s="3"/>
      <c r="I1897" s="3" t="s">
        <v>3770</v>
      </c>
      <c r="J1897" s="3" t="s">
        <v>1700</v>
      </c>
      <c r="K1897" s="27" t="s">
        <v>12</v>
      </c>
    </row>
    <row r="1898" ht="18.6" customHeight="1" spans="1:11">
      <c r="A1898" s="3">
        <v>1897</v>
      </c>
      <c r="B1898" s="3" t="s">
        <v>2699</v>
      </c>
      <c r="C1898" s="3" t="s">
        <v>3703</v>
      </c>
      <c r="D1898" s="3" t="s">
        <v>1106</v>
      </c>
      <c r="E1898" s="3" t="s">
        <v>1107</v>
      </c>
      <c r="F1898" s="3"/>
      <c r="G1898" s="3"/>
      <c r="H1898" s="3"/>
      <c r="I1898" s="3" t="s">
        <v>3771</v>
      </c>
      <c r="J1898" s="3" t="s">
        <v>1700</v>
      </c>
      <c r="K1898" s="27" t="s">
        <v>12</v>
      </c>
    </row>
    <row r="1899" ht="18.6" customHeight="1" spans="1:11">
      <c r="A1899" s="3">
        <v>1898</v>
      </c>
      <c r="B1899" s="3" t="s">
        <v>2700</v>
      </c>
      <c r="C1899" s="3" t="s">
        <v>3703</v>
      </c>
      <c r="D1899" s="3" t="s">
        <v>1106</v>
      </c>
      <c r="E1899" s="3" t="s">
        <v>1111</v>
      </c>
      <c r="F1899" s="3"/>
      <c r="G1899" s="3"/>
      <c r="H1899" s="3"/>
      <c r="I1899" s="3" t="s">
        <v>3770</v>
      </c>
      <c r="J1899" s="3" t="s">
        <v>1700</v>
      </c>
      <c r="K1899" s="27" t="s">
        <v>12</v>
      </c>
    </row>
    <row r="1900" ht="18.6" customHeight="1" spans="1:11">
      <c r="A1900" s="3">
        <v>1899</v>
      </c>
      <c r="B1900" s="3" t="s">
        <v>2701</v>
      </c>
      <c r="C1900" s="3" t="s">
        <v>3703</v>
      </c>
      <c r="D1900" s="3" t="s">
        <v>1106</v>
      </c>
      <c r="E1900" s="3" t="s">
        <v>1111</v>
      </c>
      <c r="F1900" s="3"/>
      <c r="G1900" s="3"/>
      <c r="H1900" s="3"/>
      <c r="I1900" s="3" t="s">
        <v>3769</v>
      </c>
      <c r="J1900" s="3" t="s">
        <v>1700</v>
      </c>
      <c r="K1900" s="27" t="s">
        <v>12</v>
      </c>
    </row>
    <row r="1901" ht="18.6" customHeight="1" spans="1:11">
      <c r="A1901" s="3">
        <v>1900</v>
      </c>
      <c r="B1901" s="3" t="s">
        <v>2702</v>
      </c>
      <c r="C1901" s="3" t="s">
        <v>3703</v>
      </c>
      <c r="D1901" s="3" t="s">
        <v>1106</v>
      </c>
      <c r="E1901" s="3" t="s">
        <v>1134</v>
      </c>
      <c r="F1901" s="3"/>
      <c r="G1901" s="3"/>
      <c r="H1901" s="3"/>
      <c r="I1901" s="3" t="s">
        <v>3770</v>
      </c>
      <c r="J1901" s="3" t="s">
        <v>1700</v>
      </c>
      <c r="K1901" s="27" t="s">
        <v>12</v>
      </c>
    </row>
    <row r="1902" ht="18.6" customHeight="1" spans="1:11">
      <c r="A1902" s="3">
        <v>1901</v>
      </c>
      <c r="B1902" s="3" t="s">
        <v>2703</v>
      </c>
      <c r="C1902" s="3" t="s">
        <v>3703</v>
      </c>
      <c r="D1902" s="3" t="s">
        <v>1106</v>
      </c>
      <c r="E1902" s="3" t="s">
        <v>1131</v>
      </c>
      <c r="F1902" s="3"/>
      <c r="G1902" s="3"/>
      <c r="H1902" s="3"/>
      <c r="I1902" s="3" t="s">
        <v>3769</v>
      </c>
      <c r="J1902" s="3" t="s">
        <v>1700</v>
      </c>
      <c r="K1902" s="27" t="s">
        <v>12</v>
      </c>
    </row>
    <row r="1903" ht="18.6" customHeight="1" spans="1:11">
      <c r="A1903" s="3">
        <v>1902</v>
      </c>
      <c r="B1903" s="3" t="s">
        <v>2704</v>
      </c>
      <c r="C1903" s="3" t="s">
        <v>3703</v>
      </c>
      <c r="D1903" s="3" t="s">
        <v>1106</v>
      </c>
      <c r="E1903" s="3" t="s">
        <v>1129</v>
      </c>
      <c r="F1903" s="3"/>
      <c r="G1903" s="3"/>
      <c r="H1903" s="3"/>
      <c r="I1903" s="3" t="s">
        <v>3770</v>
      </c>
      <c r="J1903" s="3" t="s">
        <v>1700</v>
      </c>
      <c r="K1903" s="27" t="s">
        <v>12</v>
      </c>
    </row>
    <row r="1904" ht="18.6" customHeight="1" spans="1:11">
      <c r="A1904" s="3">
        <v>1903</v>
      </c>
      <c r="B1904" s="3" t="s">
        <v>2705</v>
      </c>
      <c r="C1904" s="3" t="s">
        <v>3703</v>
      </c>
      <c r="D1904" s="3" t="s">
        <v>1106</v>
      </c>
      <c r="E1904" s="3" t="s">
        <v>1107</v>
      </c>
      <c r="F1904" s="3"/>
      <c r="G1904" s="3"/>
      <c r="H1904" s="3"/>
      <c r="I1904" s="3" t="s">
        <v>3770</v>
      </c>
      <c r="J1904" s="3" t="s">
        <v>1700</v>
      </c>
      <c r="K1904" s="27" t="s">
        <v>12</v>
      </c>
    </row>
    <row r="1905" ht="18.6" customHeight="1" spans="1:11">
      <c r="A1905" s="3">
        <v>1904</v>
      </c>
      <c r="B1905" s="3" t="s">
        <v>2706</v>
      </c>
      <c r="C1905" s="3" t="s">
        <v>3703</v>
      </c>
      <c r="D1905" s="3" t="s">
        <v>1106</v>
      </c>
      <c r="E1905" s="3" t="s">
        <v>1111</v>
      </c>
      <c r="F1905" s="3"/>
      <c r="G1905" s="3"/>
      <c r="H1905" s="3"/>
      <c r="I1905" s="3"/>
      <c r="J1905" s="3" t="s">
        <v>1700</v>
      </c>
      <c r="K1905" s="27" t="s">
        <v>12</v>
      </c>
    </row>
    <row r="1906" ht="18.6" customHeight="1" spans="1:11">
      <c r="A1906" s="3">
        <v>1905</v>
      </c>
      <c r="B1906" s="3" t="s">
        <v>2707</v>
      </c>
      <c r="C1906" s="3" t="s">
        <v>3703</v>
      </c>
      <c r="D1906" s="3" t="s">
        <v>1106</v>
      </c>
      <c r="E1906" s="3" t="s">
        <v>1111</v>
      </c>
      <c r="F1906" s="3"/>
      <c r="G1906" s="3"/>
      <c r="H1906" s="3"/>
      <c r="I1906" s="3" t="s">
        <v>3770</v>
      </c>
      <c r="J1906" s="3" t="s">
        <v>1700</v>
      </c>
      <c r="K1906" s="27" t="s">
        <v>12</v>
      </c>
    </row>
    <row r="1907" ht="18.6" customHeight="1" spans="1:11">
      <c r="A1907" s="3">
        <v>1906</v>
      </c>
      <c r="B1907" s="3" t="s">
        <v>2708</v>
      </c>
      <c r="C1907" s="3" t="s">
        <v>3703</v>
      </c>
      <c r="D1907" s="3" t="s">
        <v>1106</v>
      </c>
      <c r="E1907" s="3" t="s">
        <v>1107</v>
      </c>
      <c r="F1907" s="3"/>
      <c r="G1907" s="3"/>
      <c r="H1907" s="3"/>
      <c r="I1907" s="3" t="s">
        <v>3769</v>
      </c>
      <c r="J1907" s="3" t="s">
        <v>1700</v>
      </c>
      <c r="K1907" s="27" t="s">
        <v>12</v>
      </c>
    </row>
    <row r="1908" ht="18.6" customHeight="1" spans="1:11">
      <c r="A1908" s="3">
        <v>1907</v>
      </c>
      <c r="B1908" s="3" t="s">
        <v>2709</v>
      </c>
      <c r="C1908" s="3" t="s">
        <v>3703</v>
      </c>
      <c r="D1908" s="3" t="s">
        <v>1106</v>
      </c>
      <c r="E1908" s="3" t="s">
        <v>1111</v>
      </c>
      <c r="F1908" s="3"/>
      <c r="G1908" s="3"/>
      <c r="H1908" s="3"/>
      <c r="I1908" s="3" t="s">
        <v>3769</v>
      </c>
      <c r="J1908" s="3" t="s">
        <v>1700</v>
      </c>
      <c r="K1908" s="27" t="s">
        <v>12</v>
      </c>
    </row>
    <row r="1909" ht="18.6" customHeight="1" spans="1:11">
      <c r="A1909" s="3">
        <v>1908</v>
      </c>
      <c r="B1909" s="3" t="s">
        <v>2710</v>
      </c>
      <c r="C1909" s="3" t="s">
        <v>3703</v>
      </c>
      <c r="D1909" s="3" t="s">
        <v>1106</v>
      </c>
      <c r="E1909" s="3" t="s">
        <v>1144</v>
      </c>
      <c r="F1909" s="3"/>
      <c r="G1909" s="3"/>
      <c r="H1909" s="3"/>
      <c r="I1909" s="3" t="s">
        <v>3769</v>
      </c>
      <c r="J1909" s="3" t="s">
        <v>1700</v>
      </c>
      <c r="K1909" s="27" t="s">
        <v>12</v>
      </c>
    </row>
    <row r="1910" ht="18.6" customHeight="1" spans="1:11">
      <c r="A1910" s="3">
        <v>1909</v>
      </c>
      <c r="B1910" s="3" t="s">
        <v>2711</v>
      </c>
      <c r="C1910" s="3" t="s">
        <v>3703</v>
      </c>
      <c r="D1910" s="3" t="s">
        <v>1106</v>
      </c>
      <c r="E1910" s="3" t="s">
        <v>1129</v>
      </c>
      <c r="F1910" s="3"/>
      <c r="G1910" s="3"/>
      <c r="H1910" s="3"/>
      <c r="I1910" s="3" t="s">
        <v>3769</v>
      </c>
      <c r="J1910" s="3" t="s">
        <v>1700</v>
      </c>
      <c r="K1910" s="27" t="s">
        <v>12</v>
      </c>
    </row>
    <row r="1911" ht="18.6" customHeight="1" spans="1:11">
      <c r="A1911" s="3">
        <v>1910</v>
      </c>
      <c r="B1911" s="3" t="s">
        <v>2712</v>
      </c>
      <c r="C1911" s="3" t="s">
        <v>3703</v>
      </c>
      <c r="D1911" s="3" t="s">
        <v>1106</v>
      </c>
      <c r="E1911" s="3" t="s">
        <v>1127</v>
      </c>
      <c r="F1911" s="3"/>
      <c r="G1911" s="3"/>
      <c r="H1911" s="3"/>
      <c r="I1911" s="3" t="s">
        <v>3769</v>
      </c>
      <c r="J1911" s="3" t="s">
        <v>1700</v>
      </c>
      <c r="K1911" s="27" t="s">
        <v>12</v>
      </c>
    </row>
    <row r="1912" ht="18.6" customHeight="1" spans="1:11">
      <c r="A1912" s="3">
        <v>1911</v>
      </c>
      <c r="B1912" s="3" t="s">
        <v>2713</v>
      </c>
      <c r="C1912" s="3" t="s">
        <v>3703</v>
      </c>
      <c r="D1912" s="3" t="s">
        <v>1106</v>
      </c>
      <c r="E1912" s="3" t="s">
        <v>1134</v>
      </c>
      <c r="F1912" s="3"/>
      <c r="G1912" s="3"/>
      <c r="H1912" s="3"/>
      <c r="I1912" s="3" t="s">
        <v>3769</v>
      </c>
      <c r="J1912" s="3" t="s">
        <v>1700</v>
      </c>
      <c r="K1912" s="27" t="s">
        <v>12</v>
      </c>
    </row>
    <row r="1913" ht="18.6" customHeight="1" spans="1:11">
      <c r="A1913" s="3">
        <v>1912</v>
      </c>
      <c r="B1913" s="3" t="s">
        <v>2714</v>
      </c>
      <c r="C1913" s="3" t="s">
        <v>3703</v>
      </c>
      <c r="D1913" s="3" t="s">
        <v>1106</v>
      </c>
      <c r="E1913" s="3" t="s">
        <v>1146</v>
      </c>
      <c r="F1913" s="3"/>
      <c r="G1913" s="3"/>
      <c r="H1913" s="3"/>
      <c r="I1913" s="3" t="s">
        <v>3769</v>
      </c>
      <c r="J1913" s="3" t="s">
        <v>1700</v>
      </c>
      <c r="K1913" s="27" t="s">
        <v>12</v>
      </c>
    </row>
    <row r="1914" ht="18.6" customHeight="1" spans="1:11">
      <c r="A1914" s="3">
        <v>1913</v>
      </c>
      <c r="B1914" s="3" t="s">
        <v>2715</v>
      </c>
      <c r="C1914" s="3" t="s">
        <v>3703</v>
      </c>
      <c r="D1914" s="3" t="s">
        <v>1106</v>
      </c>
      <c r="E1914" s="3" t="s">
        <v>2716</v>
      </c>
      <c r="F1914" s="3"/>
      <c r="G1914" s="3"/>
      <c r="H1914" s="3"/>
      <c r="I1914" s="3" t="s">
        <v>3769</v>
      </c>
      <c r="J1914" s="3" t="s">
        <v>1700</v>
      </c>
      <c r="K1914" s="27" t="s">
        <v>12</v>
      </c>
    </row>
    <row r="1915" ht="18.6" customHeight="1" spans="1:11">
      <c r="A1915" s="3">
        <v>1914</v>
      </c>
      <c r="B1915" s="3" t="s">
        <v>2717</v>
      </c>
      <c r="C1915" s="3" t="s">
        <v>3703</v>
      </c>
      <c r="D1915" s="3" t="s">
        <v>1106</v>
      </c>
      <c r="E1915" s="3" t="s">
        <v>1111</v>
      </c>
      <c r="F1915" s="3"/>
      <c r="G1915" s="3"/>
      <c r="H1915" s="3"/>
      <c r="I1915" s="3" t="s">
        <v>3769</v>
      </c>
      <c r="J1915" s="3" t="s">
        <v>1700</v>
      </c>
      <c r="K1915" s="27" t="s">
        <v>12</v>
      </c>
    </row>
    <row r="1916" ht="18.6" customHeight="1" spans="1:11">
      <c r="A1916" s="3">
        <v>1915</v>
      </c>
      <c r="B1916" s="3" t="s">
        <v>2718</v>
      </c>
      <c r="C1916" s="3" t="s">
        <v>3703</v>
      </c>
      <c r="D1916" s="3" t="s">
        <v>1106</v>
      </c>
      <c r="E1916" s="3" t="s">
        <v>1111</v>
      </c>
      <c r="F1916" s="3"/>
      <c r="G1916" s="3"/>
      <c r="H1916" s="3"/>
      <c r="I1916" s="3" t="s">
        <v>3769</v>
      </c>
      <c r="J1916" s="3" t="s">
        <v>1700</v>
      </c>
      <c r="K1916" s="27" t="s">
        <v>12</v>
      </c>
    </row>
    <row r="1917" ht="18.6" customHeight="1" spans="1:11">
      <c r="A1917" s="3">
        <v>1916</v>
      </c>
      <c r="B1917" s="3" t="s">
        <v>2719</v>
      </c>
      <c r="C1917" s="3" t="s">
        <v>3703</v>
      </c>
      <c r="D1917" s="3" t="s">
        <v>1106</v>
      </c>
      <c r="E1917" s="3" t="s">
        <v>1142</v>
      </c>
      <c r="F1917" s="3"/>
      <c r="G1917" s="3"/>
      <c r="H1917" s="3"/>
      <c r="I1917" s="3" t="s">
        <v>3770</v>
      </c>
      <c r="J1917" s="3" t="s">
        <v>1700</v>
      </c>
      <c r="K1917" s="27" t="s">
        <v>12</v>
      </c>
    </row>
    <row r="1918" ht="18.6" customHeight="1" spans="1:11">
      <c r="A1918" s="3">
        <v>1917</v>
      </c>
      <c r="B1918" s="3" t="s">
        <v>2720</v>
      </c>
      <c r="C1918" s="3" t="s">
        <v>3703</v>
      </c>
      <c r="D1918" s="3" t="s">
        <v>1106</v>
      </c>
      <c r="E1918" s="3" t="s">
        <v>1111</v>
      </c>
      <c r="F1918" s="3"/>
      <c r="G1918" s="3"/>
      <c r="H1918" s="3"/>
      <c r="I1918" s="3" t="s">
        <v>3772</v>
      </c>
      <c r="J1918" s="3" t="s">
        <v>1700</v>
      </c>
      <c r="K1918" s="27" t="s">
        <v>12</v>
      </c>
    </row>
    <row r="1919" ht="18.6" customHeight="1" spans="1:11">
      <c r="A1919" s="3">
        <v>1918</v>
      </c>
      <c r="B1919" s="3" t="s">
        <v>2721</v>
      </c>
      <c r="C1919" s="3" t="s">
        <v>3703</v>
      </c>
      <c r="D1919" s="3" t="s">
        <v>1106</v>
      </c>
      <c r="E1919" s="3" t="s">
        <v>1142</v>
      </c>
      <c r="F1919" s="3"/>
      <c r="G1919" s="3"/>
      <c r="H1919" s="3"/>
      <c r="I1919" s="3"/>
      <c r="J1919" s="3" t="s">
        <v>1700</v>
      </c>
      <c r="K1919" s="27" t="s">
        <v>12</v>
      </c>
    </row>
    <row r="1920" ht="18.6" customHeight="1" spans="1:11">
      <c r="A1920" s="3">
        <v>1919</v>
      </c>
      <c r="B1920" s="3" t="s">
        <v>2722</v>
      </c>
      <c r="C1920" s="3" t="s">
        <v>3703</v>
      </c>
      <c r="D1920" s="3" t="s">
        <v>1106</v>
      </c>
      <c r="E1920" s="3" t="s">
        <v>1131</v>
      </c>
      <c r="F1920" s="3"/>
      <c r="G1920" s="3"/>
      <c r="H1920" s="3"/>
      <c r="I1920" s="3" t="s">
        <v>3770</v>
      </c>
      <c r="J1920" s="3" t="s">
        <v>1700</v>
      </c>
      <c r="K1920" s="27" t="s">
        <v>12</v>
      </c>
    </row>
    <row r="1921" ht="18.6" customHeight="1" spans="1:11">
      <c r="A1921" s="3">
        <v>1920</v>
      </c>
      <c r="B1921" s="3" t="s">
        <v>2723</v>
      </c>
      <c r="C1921" s="3" t="s">
        <v>3716</v>
      </c>
      <c r="D1921" s="3" t="s">
        <v>1156</v>
      </c>
      <c r="E1921" s="3" t="s">
        <v>2724</v>
      </c>
      <c r="F1921" s="3"/>
      <c r="G1921" s="3"/>
      <c r="H1921" s="3"/>
      <c r="I1921" s="3"/>
      <c r="J1921" s="3" t="s">
        <v>1700</v>
      </c>
      <c r="K1921" s="27" t="s">
        <v>12</v>
      </c>
    </row>
    <row r="1922" ht="18.6" customHeight="1" spans="1:11">
      <c r="A1922" s="3">
        <v>1921</v>
      </c>
      <c r="B1922" s="3" t="s">
        <v>2725</v>
      </c>
      <c r="C1922" s="3" t="s">
        <v>3716</v>
      </c>
      <c r="D1922" s="3" t="s">
        <v>1156</v>
      </c>
      <c r="E1922" s="3" t="s">
        <v>1157</v>
      </c>
      <c r="F1922" s="3"/>
      <c r="G1922" s="3"/>
      <c r="H1922" s="3"/>
      <c r="I1922" s="3" t="s">
        <v>3770</v>
      </c>
      <c r="J1922" s="3" t="s">
        <v>1700</v>
      </c>
      <c r="K1922" s="27" t="s">
        <v>12</v>
      </c>
    </row>
    <row r="1923" ht="18.6" customHeight="1" spans="1:11">
      <c r="A1923" s="3">
        <v>1922</v>
      </c>
      <c r="B1923" s="3" t="s">
        <v>3827</v>
      </c>
      <c r="C1923" s="3" t="s">
        <v>3716</v>
      </c>
      <c r="D1923" s="3" t="s">
        <v>1156</v>
      </c>
      <c r="E1923" s="3" t="s">
        <v>1184</v>
      </c>
      <c r="F1923" s="3"/>
      <c r="G1923" s="3"/>
      <c r="H1923" s="3"/>
      <c r="I1923" s="3" t="s">
        <v>3769</v>
      </c>
      <c r="J1923" s="3" t="s">
        <v>1700</v>
      </c>
      <c r="K1923" s="27" t="s">
        <v>12</v>
      </c>
    </row>
    <row r="1924" ht="18.6" customHeight="1" spans="1:11">
      <c r="A1924" s="3">
        <v>1923</v>
      </c>
      <c r="B1924" s="3" t="s">
        <v>2726</v>
      </c>
      <c r="C1924" s="3" t="s">
        <v>3716</v>
      </c>
      <c r="D1924" s="3" t="s">
        <v>1156</v>
      </c>
      <c r="E1924" s="3" t="s">
        <v>1157</v>
      </c>
      <c r="F1924" s="3"/>
      <c r="G1924" s="3"/>
      <c r="H1924" s="3"/>
      <c r="I1924" s="3" t="s">
        <v>3769</v>
      </c>
      <c r="J1924" s="3" t="s">
        <v>1700</v>
      </c>
      <c r="K1924" s="27" t="s">
        <v>12</v>
      </c>
    </row>
    <row r="1925" ht="18.6" customHeight="1" spans="1:11">
      <c r="A1925" s="3">
        <v>1924</v>
      </c>
      <c r="B1925" s="3" t="s">
        <v>3828</v>
      </c>
      <c r="C1925" s="3" t="s">
        <v>3716</v>
      </c>
      <c r="D1925" s="3" t="s">
        <v>1156</v>
      </c>
      <c r="E1925" s="3" t="s">
        <v>1167</v>
      </c>
      <c r="F1925" s="3"/>
      <c r="G1925" s="3"/>
      <c r="H1925" s="3"/>
      <c r="I1925" s="3" t="s">
        <v>3769</v>
      </c>
      <c r="J1925" s="3" t="s">
        <v>1700</v>
      </c>
      <c r="K1925" s="27" t="s">
        <v>12</v>
      </c>
    </row>
    <row r="1926" ht="18.6" customHeight="1" spans="1:11">
      <c r="A1926" s="3">
        <v>1925</v>
      </c>
      <c r="B1926" s="3" t="s">
        <v>3829</v>
      </c>
      <c r="C1926" s="3" t="s">
        <v>3716</v>
      </c>
      <c r="D1926" s="3" t="s">
        <v>1156</v>
      </c>
      <c r="E1926" s="3" t="s">
        <v>1189</v>
      </c>
      <c r="F1926" s="3"/>
      <c r="G1926" s="3"/>
      <c r="H1926" s="3"/>
      <c r="I1926" s="3" t="s">
        <v>3769</v>
      </c>
      <c r="J1926" s="3" t="s">
        <v>1700</v>
      </c>
      <c r="K1926" s="27" t="s">
        <v>12</v>
      </c>
    </row>
    <row r="1927" ht="18.6" customHeight="1" spans="1:11">
      <c r="A1927" s="3">
        <v>1926</v>
      </c>
      <c r="B1927" s="3" t="s">
        <v>2727</v>
      </c>
      <c r="C1927" s="3" t="s">
        <v>3716</v>
      </c>
      <c r="D1927" s="3" t="s">
        <v>1156</v>
      </c>
      <c r="E1927" s="3" t="s">
        <v>1157</v>
      </c>
      <c r="F1927" s="3"/>
      <c r="G1927" s="3"/>
      <c r="H1927" s="3"/>
      <c r="I1927" s="3" t="s">
        <v>3770</v>
      </c>
      <c r="J1927" s="3" t="s">
        <v>1700</v>
      </c>
      <c r="K1927" s="27" t="s">
        <v>12</v>
      </c>
    </row>
    <row r="1928" ht="18.6" customHeight="1" spans="1:11">
      <c r="A1928" s="3">
        <v>1927</v>
      </c>
      <c r="B1928" s="3" t="s">
        <v>2728</v>
      </c>
      <c r="C1928" s="3" t="s">
        <v>3716</v>
      </c>
      <c r="D1928" s="3" t="s">
        <v>1156</v>
      </c>
      <c r="E1928" s="3" t="s">
        <v>1157</v>
      </c>
      <c r="F1928" s="3"/>
      <c r="G1928" s="3"/>
      <c r="H1928" s="3"/>
      <c r="I1928" s="3" t="s">
        <v>3773</v>
      </c>
      <c r="J1928" s="3" t="s">
        <v>1700</v>
      </c>
      <c r="K1928" s="27" t="s">
        <v>12</v>
      </c>
    </row>
    <row r="1929" ht="18.6" customHeight="1" spans="1:11">
      <c r="A1929" s="3">
        <v>1928</v>
      </c>
      <c r="B1929" s="3" t="s">
        <v>2729</v>
      </c>
      <c r="C1929" s="3" t="s">
        <v>3716</v>
      </c>
      <c r="D1929" s="3" t="s">
        <v>1156</v>
      </c>
      <c r="E1929" s="3" t="s">
        <v>1189</v>
      </c>
      <c r="F1929" s="3"/>
      <c r="G1929" s="3"/>
      <c r="H1929" s="3"/>
      <c r="I1929" s="3" t="s">
        <v>3773</v>
      </c>
      <c r="J1929" s="3" t="s">
        <v>1700</v>
      </c>
      <c r="K1929" s="27" t="s">
        <v>12</v>
      </c>
    </row>
    <row r="1930" ht="18.6" customHeight="1" spans="1:11">
      <c r="A1930" s="3">
        <v>1929</v>
      </c>
      <c r="B1930" s="3" t="s">
        <v>2730</v>
      </c>
      <c r="C1930" s="3" t="s">
        <v>3716</v>
      </c>
      <c r="D1930" s="3" t="s">
        <v>1156</v>
      </c>
      <c r="E1930" s="3" t="s">
        <v>2731</v>
      </c>
      <c r="F1930" s="3"/>
      <c r="G1930" s="3"/>
      <c r="H1930" s="3"/>
      <c r="I1930" s="3" t="s">
        <v>3770</v>
      </c>
      <c r="J1930" s="3" t="s">
        <v>1700</v>
      </c>
      <c r="K1930" s="27" t="s">
        <v>12</v>
      </c>
    </row>
    <row r="1931" ht="18.6" customHeight="1" spans="1:11">
      <c r="A1931" s="3">
        <v>1930</v>
      </c>
      <c r="B1931" s="3" t="s">
        <v>3830</v>
      </c>
      <c r="C1931" s="3" t="s">
        <v>3716</v>
      </c>
      <c r="D1931" s="3" t="s">
        <v>1156</v>
      </c>
      <c r="E1931" s="3" t="s">
        <v>1167</v>
      </c>
      <c r="F1931" s="3"/>
      <c r="G1931" s="3"/>
      <c r="H1931" s="3"/>
      <c r="I1931" s="3" t="s">
        <v>3770</v>
      </c>
      <c r="J1931" s="3" t="s">
        <v>1700</v>
      </c>
      <c r="K1931" s="27" t="s">
        <v>12</v>
      </c>
    </row>
    <row r="1932" ht="18.6" customHeight="1" spans="1:11">
      <c r="A1932" s="3">
        <v>1931</v>
      </c>
      <c r="B1932" s="3" t="s">
        <v>2732</v>
      </c>
      <c r="C1932" s="3" t="s">
        <v>3716</v>
      </c>
      <c r="D1932" s="3" t="s">
        <v>1156</v>
      </c>
      <c r="E1932" s="3" t="s">
        <v>2733</v>
      </c>
      <c r="F1932" s="3"/>
      <c r="G1932" s="3"/>
      <c r="H1932" s="3"/>
      <c r="I1932" s="3" t="s">
        <v>3770</v>
      </c>
      <c r="J1932" s="3" t="s">
        <v>1700</v>
      </c>
      <c r="K1932" s="27" t="s">
        <v>12</v>
      </c>
    </row>
    <row r="1933" ht="18.6" customHeight="1" spans="1:11">
      <c r="A1933" s="3">
        <v>1932</v>
      </c>
      <c r="B1933" s="3" t="s">
        <v>2734</v>
      </c>
      <c r="C1933" s="3" t="s">
        <v>3716</v>
      </c>
      <c r="D1933" s="3" t="s">
        <v>1156</v>
      </c>
      <c r="E1933" s="3" t="s">
        <v>2735</v>
      </c>
      <c r="F1933" s="3"/>
      <c r="G1933" s="3"/>
      <c r="H1933" s="3"/>
      <c r="I1933" s="3" t="s">
        <v>3770</v>
      </c>
      <c r="J1933" s="3" t="s">
        <v>1700</v>
      </c>
      <c r="K1933" s="27" t="s">
        <v>12</v>
      </c>
    </row>
    <row r="1934" ht="18.6" customHeight="1" spans="1:11">
      <c r="A1934" s="3">
        <v>1933</v>
      </c>
      <c r="B1934" s="3" t="s">
        <v>2736</v>
      </c>
      <c r="C1934" s="3" t="s">
        <v>3716</v>
      </c>
      <c r="D1934" s="3" t="s">
        <v>1156</v>
      </c>
      <c r="E1934" s="3" t="s">
        <v>1157</v>
      </c>
      <c r="F1934" s="3"/>
      <c r="G1934" s="3"/>
      <c r="H1934" s="3"/>
      <c r="I1934" s="3" t="s">
        <v>3775</v>
      </c>
      <c r="J1934" s="3" t="s">
        <v>1700</v>
      </c>
      <c r="K1934" s="27" t="s">
        <v>12</v>
      </c>
    </row>
    <row r="1935" ht="18.6" customHeight="1" spans="1:11">
      <c r="A1935" s="3">
        <v>1934</v>
      </c>
      <c r="B1935" s="3" t="s">
        <v>2737</v>
      </c>
      <c r="C1935" s="3" t="s">
        <v>3716</v>
      </c>
      <c r="D1935" s="3" t="s">
        <v>1156</v>
      </c>
      <c r="E1935" s="3" t="s">
        <v>1165</v>
      </c>
      <c r="F1935" s="3"/>
      <c r="G1935" s="3"/>
      <c r="H1935" s="3"/>
      <c r="I1935" s="3"/>
      <c r="J1935" s="3" t="s">
        <v>1700</v>
      </c>
      <c r="K1935" s="27" t="s">
        <v>12</v>
      </c>
    </row>
    <row r="1936" ht="18.6" customHeight="1" spans="1:11">
      <c r="A1936" s="3">
        <v>1935</v>
      </c>
      <c r="B1936" s="3" t="s">
        <v>2738</v>
      </c>
      <c r="C1936" s="3" t="s">
        <v>3716</v>
      </c>
      <c r="D1936" s="3" t="s">
        <v>1156</v>
      </c>
      <c r="E1936" s="3" t="s">
        <v>2739</v>
      </c>
      <c r="F1936" s="3"/>
      <c r="G1936" s="3"/>
      <c r="H1936" s="3"/>
      <c r="I1936" s="3"/>
      <c r="J1936" s="3" t="s">
        <v>1700</v>
      </c>
      <c r="K1936" s="27" t="s">
        <v>12</v>
      </c>
    </row>
    <row r="1937" ht="18.6" customHeight="1" spans="1:11">
      <c r="A1937" s="3">
        <v>1936</v>
      </c>
      <c r="B1937" s="3" t="s">
        <v>2740</v>
      </c>
      <c r="C1937" s="3" t="s">
        <v>3716</v>
      </c>
      <c r="D1937" s="3" t="s">
        <v>1156</v>
      </c>
      <c r="E1937" s="3" t="s">
        <v>1157</v>
      </c>
      <c r="F1937" s="3"/>
      <c r="G1937" s="3"/>
      <c r="H1937" s="3"/>
      <c r="I1937" s="3" t="s">
        <v>3769</v>
      </c>
      <c r="J1937" s="3" t="s">
        <v>1700</v>
      </c>
      <c r="K1937" s="27" t="s">
        <v>12</v>
      </c>
    </row>
    <row r="1938" ht="18.6" customHeight="1" spans="1:11">
      <c r="A1938" s="3">
        <v>1937</v>
      </c>
      <c r="B1938" s="3" t="s">
        <v>2741</v>
      </c>
      <c r="C1938" s="3" t="s">
        <v>3716</v>
      </c>
      <c r="D1938" s="3" t="s">
        <v>1156</v>
      </c>
      <c r="E1938" s="3" t="s">
        <v>1177</v>
      </c>
      <c r="F1938" s="3"/>
      <c r="G1938" s="3"/>
      <c r="H1938" s="3"/>
      <c r="I1938" s="3" t="s">
        <v>3769</v>
      </c>
      <c r="J1938" s="3" t="s">
        <v>1700</v>
      </c>
      <c r="K1938" s="27" t="s">
        <v>12</v>
      </c>
    </row>
    <row r="1939" ht="18.6" customHeight="1" spans="1:11">
      <c r="A1939" s="3">
        <v>1938</v>
      </c>
      <c r="B1939" s="3" t="s">
        <v>2742</v>
      </c>
      <c r="C1939" s="3" t="s">
        <v>3716</v>
      </c>
      <c r="D1939" s="3" t="s">
        <v>1156</v>
      </c>
      <c r="E1939" s="3" t="s">
        <v>1169</v>
      </c>
      <c r="F1939" s="3"/>
      <c r="G1939" s="3"/>
      <c r="H1939" s="3"/>
      <c r="I1939" s="3"/>
      <c r="J1939" s="3" t="s">
        <v>1700</v>
      </c>
      <c r="K1939" s="27" t="s">
        <v>12</v>
      </c>
    </row>
    <row r="1940" ht="18.6" customHeight="1" spans="1:11">
      <c r="A1940" s="3">
        <v>1939</v>
      </c>
      <c r="B1940" s="3" t="s">
        <v>2743</v>
      </c>
      <c r="C1940" s="3" t="s">
        <v>3716</v>
      </c>
      <c r="D1940" s="3" t="s">
        <v>1156</v>
      </c>
      <c r="E1940" s="3" t="s">
        <v>1157</v>
      </c>
      <c r="F1940" s="3"/>
      <c r="G1940" s="3"/>
      <c r="H1940" s="3"/>
      <c r="I1940" s="3"/>
      <c r="J1940" s="3" t="s">
        <v>1700</v>
      </c>
      <c r="K1940" s="27" t="s">
        <v>12</v>
      </c>
    </row>
    <row r="1941" ht="18.6" customHeight="1" spans="1:11">
      <c r="A1941" s="3">
        <v>1940</v>
      </c>
      <c r="B1941" s="3" t="s">
        <v>2744</v>
      </c>
      <c r="C1941" s="3" t="s">
        <v>3716</v>
      </c>
      <c r="D1941" s="3" t="s">
        <v>1156</v>
      </c>
      <c r="E1941" s="3" t="s">
        <v>1157</v>
      </c>
      <c r="F1941" s="3"/>
      <c r="G1941" s="3"/>
      <c r="H1941" s="3"/>
      <c r="I1941" s="3" t="s">
        <v>3771</v>
      </c>
      <c r="J1941" s="3" t="s">
        <v>1700</v>
      </c>
      <c r="K1941" s="27" t="s">
        <v>12</v>
      </c>
    </row>
    <row r="1942" ht="18.6" customHeight="1" spans="1:11">
      <c r="A1942" s="3">
        <v>1941</v>
      </c>
      <c r="B1942" s="3" t="s">
        <v>2745</v>
      </c>
      <c r="C1942" s="3" t="s">
        <v>3731</v>
      </c>
      <c r="D1942" s="3" t="s">
        <v>1191</v>
      </c>
      <c r="E1942" s="3" t="s">
        <v>1192</v>
      </c>
      <c r="F1942" s="3"/>
      <c r="G1942" s="3"/>
      <c r="H1942" s="3"/>
      <c r="I1942" s="3" t="s">
        <v>3775</v>
      </c>
      <c r="J1942" s="3" t="s">
        <v>1700</v>
      </c>
      <c r="K1942" s="27" t="s">
        <v>12</v>
      </c>
    </row>
    <row r="1943" ht="18.6" customHeight="1" spans="1:11">
      <c r="A1943" s="3">
        <v>1942</v>
      </c>
      <c r="B1943" s="3" t="s">
        <v>2746</v>
      </c>
      <c r="C1943" s="3" t="s">
        <v>3731</v>
      </c>
      <c r="D1943" s="3" t="s">
        <v>1191</v>
      </c>
      <c r="E1943" s="3" t="s">
        <v>1192</v>
      </c>
      <c r="F1943" s="3"/>
      <c r="G1943" s="3"/>
      <c r="H1943" s="3"/>
      <c r="I1943" s="3" t="s">
        <v>3779</v>
      </c>
      <c r="J1943" s="3" t="s">
        <v>1700</v>
      </c>
      <c r="K1943" s="27" t="s">
        <v>12</v>
      </c>
    </row>
    <row r="1944" ht="18.6" customHeight="1" spans="1:11">
      <c r="A1944" s="3">
        <v>1943</v>
      </c>
      <c r="B1944" s="3" t="s">
        <v>2747</v>
      </c>
      <c r="C1944" s="3" t="s">
        <v>3731</v>
      </c>
      <c r="D1944" s="3" t="s">
        <v>1191</v>
      </c>
      <c r="E1944" s="3" t="s">
        <v>1192</v>
      </c>
      <c r="F1944" s="3"/>
      <c r="G1944" s="3"/>
      <c r="H1944" s="3"/>
      <c r="I1944" s="3" t="s">
        <v>3773</v>
      </c>
      <c r="J1944" s="3" t="s">
        <v>1700</v>
      </c>
      <c r="K1944" s="27" t="s">
        <v>12</v>
      </c>
    </row>
    <row r="1945" ht="18.6" customHeight="1" spans="1:11">
      <c r="A1945" s="3">
        <v>1944</v>
      </c>
      <c r="B1945" s="3" t="s">
        <v>2748</v>
      </c>
      <c r="C1945" s="3" t="s">
        <v>3731</v>
      </c>
      <c r="D1945" s="3" t="s">
        <v>1191</v>
      </c>
      <c r="E1945" s="3" t="s">
        <v>1192</v>
      </c>
      <c r="F1945" s="3"/>
      <c r="G1945" s="3"/>
      <c r="H1945" s="3"/>
      <c r="I1945" s="3" t="s">
        <v>3770</v>
      </c>
      <c r="J1945" s="3" t="s">
        <v>1700</v>
      </c>
      <c r="K1945" s="27" t="s">
        <v>12</v>
      </c>
    </row>
    <row r="1946" ht="18.6" customHeight="1" spans="1:11">
      <c r="A1946" s="3">
        <v>1945</v>
      </c>
      <c r="B1946" s="3" t="s">
        <v>2749</v>
      </c>
      <c r="C1946" s="3" t="s">
        <v>3731</v>
      </c>
      <c r="D1946" s="3" t="s">
        <v>1191</v>
      </c>
      <c r="E1946" s="3" t="s">
        <v>1192</v>
      </c>
      <c r="F1946" s="3"/>
      <c r="G1946" s="3"/>
      <c r="H1946" s="3"/>
      <c r="I1946" s="3" t="s">
        <v>3769</v>
      </c>
      <c r="J1946" s="3" t="s">
        <v>1700</v>
      </c>
      <c r="K1946" s="27" t="s">
        <v>12</v>
      </c>
    </row>
    <row r="1947" ht="18.6" customHeight="1" spans="1:11">
      <c r="A1947" s="3">
        <v>1946</v>
      </c>
      <c r="B1947" s="3" t="s">
        <v>2750</v>
      </c>
      <c r="C1947" s="3" t="s">
        <v>3731</v>
      </c>
      <c r="D1947" s="3" t="s">
        <v>1191</v>
      </c>
      <c r="E1947" s="3" t="s">
        <v>2751</v>
      </c>
      <c r="F1947" s="3"/>
      <c r="G1947" s="3"/>
      <c r="H1947" s="3"/>
      <c r="I1947" s="3" t="s">
        <v>3769</v>
      </c>
      <c r="J1947" s="3" t="s">
        <v>1700</v>
      </c>
      <c r="K1947" s="27" t="s">
        <v>12</v>
      </c>
    </row>
    <row r="1948" ht="18.6" customHeight="1" spans="1:11">
      <c r="A1948" s="3">
        <v>1947</v>
      </c>
      <c r="B1948" s="3" t="s">
        <v>2752</v>
      </c>
      <c r="C1948" s="3" t="s">
        <v>3731</v>
      </c>
      <c r="D1948" s="3" t="s">
        <v>1191</v>
      </c>
      <c r="E1948" s="3" t="s">
        <v>2753</v>
      </c>
      <c r="F1948" s="3"/>
      <c r="G1948" s="3"/>
      <c r="H1948" s="3"/>
      <c r="I1948" s="3"/>
      <c r="J1948" s="3" t="s">
        <v>1700</v>
      </c>
      <c r="K1948" s="27" t="s">
        <v>12</v>
      </c>
    </row>
    <row r="1949" ht="18.6" customHeight="1" spans="1:11">
      <c r="A1949" s="3">
        <v>1948</v>
      </c>
      <c r="B1949" s="3" t="s">
        <v>2754</v>
      </c>
      <c r="C1949" s="3" t="s">
        <v>3736</v>
      </c>
      <c r="D1949" s="3" t="s">
        <v>1197</v>
      </c>
      <c r="E1949" s="3" t="s">
        <v>2755</v>
      </c>
      <c r="F1949" s="3"/>
      <c r="G1949" s="3"/>
      <c r="H1949" s="3"/>
      <c r="I1949" s="3" t="s">
        <v>3769</v>
      </c>
      <c r="J1949" s="3" t="s">
        <v>1700</v>
      </c>
      <c r="K1949" s="27" t="s">
        <v>12</v>
      </c>
    </row>
    <row r="1950" ht="18.6" customHeight="1" spans="1:11">
      <c r="A1950" s="3">
        <v>1949</v>
      </c>
      <c r="B1950" s="3" t="s">
        <v>2756</v>
      </c>
      <c r="C1950" s="3" t="s">
        <v>3736</v>
      </c>
      <c r="D1950" s="3" t="s">
        <v>1197</v>
      </c>
      <c r="E1950" s="3" t="s">
        <v>1198</v>
      </c>
      <c r="F1950" s="3"/>
      <c r="G1950" s="3"/>
      <c r="H1950" s="3"/>
      <c r="I1950" s="3"/>
      <c r="J1950" s="3" t="s">
        <v>1700</v>
      </c>
      <c r="K1950" s="27" t="s">
        <v>12</v>
      </c>
    </row>
    <row r="1951" ht="18.6" customHeight="1" spans="1:11">
      <c r="A1951" s="3">
        <v>1950</v>
      </c>
      <c r="B1951" s="3" t="s">
        <v>3831</v>
      </c>
      <c r="C1951" s="3" t="s">
        <v>3736</v>
      </c>
      <c r="D1951" s="3" t="s">
        <v>1197</v>
      </c>
      <c r="E1951" s="3" t="s">
        <v>1198</v>
      </c>
      <c r="F1951" s="3"/>
      <c r="G1951" s="3"/>
      <c r="H1951" s="3"/>
      <c r="I1951" s="3" t="s">
        <v>3769</v>
      </c>
      <c r="J1951" s="3" t="s">
        <v>1700</v>
      </c>
      <c r="K1951" s="27" t="s">
        <v>12</v>
      </c>
    </row>
    <row r="1952" ht="18.6" customHeight="1" spans="1:11">
      <c r="A1952" s="3">
        <v>1951</v>
      </c>
      <c r="B1952" s="3" t="s">
        <v>3832</v>
      </c>
      <c r="C1952" s="3" t="s">
        <v>3736</v>
      </c>
      <c r="D1952" s="3" t="s">
        <v>1197</v>
      </c>
      <c r="E1952" s="3" t="s">
        <v>1198</v>
      </c>
      <c r="F1952" s="3"/>
      <c r="G1952" s="3"/>
      <c r="H1952" s="3"/>
      <c r="I1952" s="3" t="s">
        <v>3771</v>
      </c>
      <c r="J1952" s="3" t="s">
        <v>1700</v>
      </c>
      <c r="K1952" s="27" t="s">
        <v>12</v>
      </c>
    </row>
    <row r="1953" ht="18.6" customHeight="1" spans="1:11">
      <c r="A1953" s="3">
        <v>1952</v>
      </c>
      <c r="B1953" s="3" t="s">
        <v>2757</v>
      </c>
      <c r="C1953" s="3" t="s">
        <v>3736</v>
      </c>
      <c r="D1953" s="3" t="s">
        <v>1197</v>
      </c>
      <c r="E1953" s="3" t="s">
        <v>1198</v>
      </c>
      <c r="F1953" s="3"/>
      <c r="G1953" s="3"/>
      <c r="H1953" s="3"/>
      <c r="I1953" s="3" t="s">
        <v>3771</v>
      </c>
      <c r="J1953" s="3" t="s">
        <v>1700</v>
      </c>
      <c r="K1953" s="27" t="s">
        <v>12</v>
      </c>
    </row>
    <row r="1954" ht="18.6" customHeight="1" spans="1:11">
      <c r="A1954" s="3">
        <v>1953</v>
      </c>
      <c r="B1954" s="3" t="s">
        <v>2758</v>
      </c>
      <c r="C1954" s="3" t="s">
        <v>3736</v>
      </c>
      <c r="D1954" s="3" t="s">
        <v>1197</v>
      </c>
      <c r="E1954" s="3" t="s">
        <v>1198</v>
      </c>
      <c r="F1954" s="3"/>
      <c r="G1954" s="3"/>
      <c r="H1954" s="3"/>
      <c r="I1954" s="3" t="s">
        <v>3779</v>
      </c>
      <c r="J1954" s="3" t="s">
        <v>1700</v>
      </c>
      <c r="K1954" s="27" t="s">
        <v>12</v>
      </c>
    </row>
    <row r="1955" ht="18.6" customHeight="1" spans="1:11">
      <c r="A1955" s="3">
        <v>1954</v>
      </c>
      <c r="B1955" s="3" t="s">
        <v>2759</v>
      </c>
      <c r="C1955" s="3" t="s">
        <v>3736</v>
      </c>
      <c r="D1955" s="3" t="s">
        <v>1197</v>
      </c>
      <c r="E1955" s="3" t="s">
        <v>1198</v>
      </c>
      <c r="F1955" s="3"/>
      <c r="G1955" s="3"/>
      <c r="H1955" s="3"/>
      <c r="I1955" s="3" t="s">
        <v>3770</v>
      </c>
      <c r="J1955" s="3" t="s">
        <v>1700</v>
      </c>
      <c r="K1955" s="27" t="s">
        <v>12</v>
      </c>
    </row>
    <row r="1956" ht="18.6" customHeight="1" spans="1:11">
      <c r="A1956" s="3">
        <v>1955</v>
      </c>
      <c r="B1956" s="3" t="s">
        <v>2760</v>
      </c>
      <c r="C1956" s="3" t="s">
        <v>3736</v>
      </c>
      <c r="D1956" s="3" t="s">
        <v>1197</v>
      </c>
      <c r="E1956" s="3" t="s">
        <v>1198</v>
      </c>
      <c r="F1956" s="3"/>
      <c r="G1956" s="3"/>
      <c r="H1956" s="3"/>
      <c r="I1956" s="3"/>
      <c r="J1956" s="3" t="s">
        <v>1700</v>
      </c>
      <c r="K1956" s="27" t="s">
        <v>12</v>
      </c>
    </row>
    <row r="1957" ht="18.6" customHeight="1" spans="1:11">
      <c r="A1957" s="3">
        <v>1956</v>
      </c>
      <c r="B1957" s="3" t="s">
        <v>2761</v>
      </c>
      <c r="C1957" s="3" t="s">
        <v>3736</v>
      </c>
      <c r="D1957" s="3" t="s">
        <v>1197</v>
      </c>
      <c r="E1957" s="3" t="s">
        <v>1198</v>
      </c>
      <c r="F1957" s="3"/>
      <c r="G1957" s="3"/>
      <c r="H1957" s="3"/>
      <c r="I1957" s="3" t="s">
        <v>3776</v>
      </c>
      <c r="J1957" s="3" t="s">
        <v>1700</v>
      </c>
      <c r="K1957" s="27" t="s">
        <v>12</v>
      </c>
    </row>
    <row r="1958" ht="18.6" customHeight="1" spans="1:11">
      <c r="A1958" s="3">
        <v>1957</v>
      </c>
      <c r="B1958" s="3" t="s">
        <v>2762</v>
      </c>
      <c r="C1958" s="3" t="s">
        <v>3736</v>
      </c>
      <c r="D1958" s="3" t="s">
        <v>1197</v>
      </c>
      <c r="E1958" s="3" t="s">
        <v>1198</v>
      </c>
      <c r="F1958" s="3"/>
      <c r="G1958" s="3"/>
      <c r="H1958" s="3"/>
      <c r="I1958" s="3"/>
      <c r="J1958" s="3" t="s">
        <v>1700</v>
      </c>
      <c r="K1958" s="27" t="s">
        <v>12</v>
      </c>
    </row>
    <row r="1959" ht="18.6" customHeight="1" spans="1:11">
      <c r="A1959" s="3">
        <v>1958</v>
      </c>
      <c r="B1959" s="3" t="s">
        <v>2763</v>
      </c>
      <c r="C1959" s="3" t="s">
        <v>3736</v>
      </c>
      <c r="D1959" s="3" t="s">
        <v>1197</v>
      </c>
      <c r="E1959" s="3" t="s">
        <v>1198</v>
      </c>
      <c r="F1959" s="3"/>
      <c r="G1959" s="3"/>
      <c r="H1959" s="3"/>
      <c r="I1959" s="3"/>
      <c r="J1959" s="3" t="s">
        <v>1700</v>
      </c>
      <c r="K1959" s="27" t="s">
        <v>12</v>
      </c>
    </row>
    <row r="1960" ht="18.6" customHeight="1" spans="1:11">
      <c r="A1960" s="3">
        <v>1959</v>
      </c>
      <c r="B1960" s="3" t="s">
        <v>2764</v>
      </c>
      <c r="C1960" s="3" t="s">
        <v>3736</v>
      </c>
      <c r="D1960" s="3" t="s">
        <v>1197</v>
      </c>
      <c r="E1960" s="3" t="s">
        <v>1669</v>
      </c>
      <c r="F1960" s="3"/>
      <c r="G1960" s="3"/>
      <c r="H1960" s="3"/>
      <c r="I1960" s="3"/>
      <c r="J1960" s="3" t="s">
        <v>1700</v>
      </c>
      <c r="K1960" s="27" t="s">
        <v>12</v>
      </c>
    </row>
    <row r="1961" ht="18.6" customHeight="1" spans="1:11">
      <c r="A1961" s="3">
        <v>1960</v>
      </c>
      <c r="B1961" s="3" t="s">
        <v>1236</v>
      </c>
      <c r="C1961" s="3" t="s">
        <v>3742</v>
      </c>
      <c r="D1961" s="3" t="s">
        <v>1206</v>
      </c>
      <c r="E1961" s="3" t="s">
        <v>1207</v>
      </c>
      <c r="F1961" s="3"/>
      <c r="G1961" s="3"/>
      <c r="H1961" s="3"/>
      <c r="I1961" s="3" t="s">
        <v>3769</v>
      </c>
      <c r="J1961" s="3" t="s">
        <v>1700</v>
      </c>
      <c r="K1961" s="27" t="s">
        <v>12</v>
      </c>
    </row>
    <row r="1962" ht="18.6" customHeight="1" spans="1:11">
      <c r="A1962" s="3">
        <v>1961</v>
      </c>
      <c r="B1962" s="3" t="s">
        <v>2765</v>
      </c>
      <c r="C1962" s="3" t="s">
        <v>3742</v>
      </c>
      <c r="D1962" s="3" t="s">
        <v>1206</v>
      </c>
      <c r="E1962" s="3" t="s">
        <v>1207</v>
      </c>
      <c r="F1962" s="3"/>
      <c r="G1962" s="3"/>
      <c r="H1962" s="3"/>
      <c r="I1962" s="3"/>
      <c r="J1962" s="3" t="s">
        <v>1700</v>
      </c>
      <c r="K1962" s="27" t="s">
        <v>12</v>
      </c>
    </row>
    <row r="1963" ht="18.6" customHeight="1" spans="1:11">
      <c r="A1963" s="3">
        <v>1962</v>
      </c>
      <c r="B1963" s="3" t="s">
        <v>2766</v>
      </c>
      <c r="C1963" s="3" t="s">
        <v>3742</v>
      </c>
      <c r="D1963" s="3" t="s">
        <v>1206</v>
      </c>
      <c r="E1963" s="3" t="s">
        <v>1228</v>
      </c>
      <c r="F1963" s="3"/>
      <c r="G1963" s="3"/>
      <c r="H1963" s="3"/>
      <c r="I1963" s="3" t="s">
        <v>3770</v>
      </c>
      <c r="J1963" s="3" t="s">
        <v>1700</v>
      </c>
      <c r="K1963" s="27" t="s">
        <v>12</v>
      </c>
    </row>
    <row r="1964" ht="18.6" customHeight="1" spans="1:11">
      <c r="A1964" s="3">
        <v>1963</v>
      </c>
      <c r="B1964" s="3" t="s">
        <v>2767</v>
      </c>
      <c r="C1964" s="3" t="s">
        <v>3742</v>
      </c>
      <c r="D1964" s="3" t="s">
        <v>1206</v>
      </c>
      <c r="E1964" s="3" t="s">
        <v>1207</v>
      </c>
      <c r="F1964" s="3"/>
      <c r="G1964" s="3"/>
      <c r="H1964" s="3"/>
      <c r="I1964" s="3"/>
      <c r="J1964" s="3" t="s">
        <v>1700</v>
      </c>
      <c r="K1964" s="27" t="s">
        <v>12</v>
      </c>
    </row>
    <row r="1965" ht="18.6" customHeight="1" spans="1:11">
      <c r="A1965" s="3">
        <v>1964</v>
      </c>
      <c r="B1965" s="3" t="s">
        <v>2768</v>
      </c>
      <c r="C1965" s="3" t="s">
        <v>3742</v>
      </c>
      <c r="D1965" s="3" t="s">
        <v>1206</v>
      </c>
      <c r="E1965" s="3" t="s">
        <v>1207</v>
      </c>
      <c r="F1965" s="3"/>
      <c r="G1965" s="3"/>
      <c r="H1965" s="3"/>
      <c r="I1965" s="3" t="s">
        <v>3770</v>
      </c>
      <c r="J1965" s="3" t="s">
        <v>1700</v>
      </c>
      <c r="K1965" s="27" t="s">
        <v>12</v>
      </c>
    </row>
    <row r="1966" ht="18.6" customHeight="1" spans="1:11">
      <c r="A1966" s="3">
        <v>1965</v>
      </c>
      <c r="B1966" s="3" t="s">
        <v>2769</v>
      </c>
      <c r="C1966" s="3" t="s">
        <v>3742</v>
      </c>
      <c r="D1966" s="3" t="s">
        <v>1206</v>
      </c>
      <c r="E1966" s="3" t="s">
        <v>1223</v>
      </c>
      <c r="F1966" s="3"/>
      <c r="G1966" s="3"/>
      <c r="H1966" s="3"/>
      <c r="I1966" s="3" t="s">
        <v>3770</v>
      </c>
      <c r="J1966" s="3" t="s">
        <v>1700</v>
      </c>
      <c r="K1966" s="27" t="s">
        <v>12</v>
      </c>
    </row>
    <row r="1967" ht="18.6" customHeight="1" spans="1:11">
      <c r="A1967" s="3">
        <v>1966</v>
      </c>
      <c r="B1967" s="3" t="s">
        <v>2770</v>
      </c>
      <c r="C1967" s="3" t="s">
        <v>3742</v>
      </c>
      <c r="D1967" s="3" t="s">
        <v>1206</v>
      </c>
      <c r="E1967" s="3" t="s">
        <v>1218</v>
      </c>
      <c r="F1967" s="3"/>
      <c r="G1967" s="3"/>
      <c r="H1967" s="3"/>
      <c r="I1967" s="3" t="s">
        <v>3773</v>
      </c>
      <c r="J1967" s="3" t="s">
        <v>1700</v>
      </c>
      <c r="K1967" s="27" t="s">
        <v>12</v>
      </c>
    </row>
    <row r="1968" ht="18.6" customHeight="1" spans="1:11">
      <c r="A1968" s="3">
        <v>1967</v>
      </c>
      <c r="B1968" s="3" t="s">
        <v>2771</v>
      </c>
      <c r="C1968" s="3" t="s">
        <v>3742</v>
      </c>
      <c r="D1968" s="3" t="s">
        <v>1206</v>
      </c>
      <c r="E1968" s="3" t="s">
        <v>1226</v>
      </c>
      <c r="F1968" s="3"/>
      <c r="G1968" s="3"/>
      <c r="H1968" s="3"/>
      <c r="I1968" s="3" t="s">
        <v>3769</v>
      </c>
      <c r="J1968" s="3" t="s">
        <v>1700</v>
      </c>
      <c r="K1968" s="27" t="s">
        <v>12</v>
      </c>
    </row>
    <row r="1969" ht="18.6" customHeight="1" spans="1:11">
      <c r="A1969" s="3">
        <v>1968</v>
      </c>
      <c r="B1969" s="3" t="s">
        <v>2772</v>
      </c>
      <c r="C1969" s="3" t="s">
        <v>3742</v>
      </c>
      <c r="D1969" s="3" t="s">
        <v>1206</v>
      </c>
      <c r="E1969" s="3" t="s">
        <v>1230</v>
      </c>
      <c r="F1969" s="3"/>
      <c r="G1969" s="3"/>
      <c r="H1969" s="3"/>
      <c r="I1969" s="3" t="s">
        <v>3769</v>
      </c>
      <c r="J1969" s="3" t="s">
        <v>1700</v>
      </c>
      <c r="K1969" s="27" t="s">
        <v>12</v>
      </c>
    </row>
    <row r="1970" ht="18.6" customHeight="1" spans="1:11">
      <c r="A1970" s="3">
        <v>1969</v>
      </c>
      <c r="B1970" s="3" t="s">
        <v>2773</v>
      </c>
      <c r="C1970" s="3" t="s">
        <v>3742</v>
      </c>
      <c r="D1970" s="3" t="s">
        <v>1206</v>
      </c>
      <c r="E1970" s="3" t="s">
        <v>1207</v>
      </c>
      <c r="F1970" s="3"/>
      <c r="G1970" s="3"/>
      <c r="H1970" s="3"/>
      <c r="I1970" s="3" t="s">
        <v>3770</v>
      </c>
      <c r="J1970" s="3" t="s">
        <v>1700</v>
      </c>
      <c r="K1970" s="27" t="s">
        <v>12</v>
      </c>
    </row>
    <row r="1971" ht="18.6" customHeight="1" spans="1:11">
      <c r="A1971" s="3">
        <v>1970</v>
      </c>
      <c r="B1971" s="3" t="s">
        <v>3833</v>
      </c>
      <c r="C1971" s="3" t="s">
        <v>3742</v>
      </c>
      <c r="D1971" s="3" t="s">
        <v>1206</v>
      </c>
      <c r="E1971" s="3" t="s">
        <v>1207</v>
      </c>
      <c r="F1971" s="3"/>
      <c r="G1971" s="3"/>
      <c r="H1971" s="3"/>
      <c r="I1971" s="3" t="s">
        <v>3770</v>
      </c>
      <c r="J1971" s="3" t="s">
        <v>1700</v>
      </c>
      <c r="K1971" s="27" t="s">
        <v>12</v>
      </c>
    </row>
    <row r="1972" ht="18.6" customHeight="1" spans="1:11">
      <c r="A1972" s="3">
        <v>1971</v>
      </c>
      <c r="B1972" s="3" t="s">
        <v>2774</v>
      </c>
      <c r="C1972" s="3" t="s">
        <v>3744</v>
      </c>
      <c r="D1972" s="3" t="s">
        <v>1206</v>
      </c>
      <c r="E1972" s="3" t="s">
        <v>1212</v>
      </c>
      <c r="F1972" s="3"/>
      <c r="G1972" s="3"/>
      <c r="H1972" s="3"/>
      <c r="I1972" s="3" t="s">
        <v>3769</v>
      </c>
      <c r="J1972" s="3" t="s">
        <v>1700</v>
      </c>
      <c r="K1972" s="27" t="s">
        <v>12</v>
      </c>
    </row>
    <row r="1973" ht="18.6" customHeight="1" spans="1:11">
      <c r="A1973" s="3">
        <v>1972</v>
      </c>
      <c r="B1973" s="3" t="s">
        <v>2775</v>
      </c>
      <c r="C1973" s="3" t="s">
        <v>3742</v>
      </c>
      <c r="D1973" s="3" t="s">
        <v>1206</v>
      </c>
      <c r="E1973" s="3" t="s">
        <v>1207</v>
      </c>
      <c r="F1973" s="3"/>
      <c r="G1973" s="3"/>
      <c r="H1973" s="3"/>
      <c r="I1973" s="3" t="s">
        <v>3769</v>
      </c>
      <c r="J1973" s="3" t="s">
        <v>1700</v>
      </c>
      <c r="K1973" s="27" t="s">
        <v>12</v>
      </c>
    </row>
    <row r="1974" ht="18.6" customHeight="1" spans="1:11">
      <c r="A1974" s="3">
        <v>1973</v>
      </c>
      <c r="B1974" s="3" t="s">
        <v>2776</v>
      </c>
      <c r="C1974" s="3" t="s">
        <v>3742</v>
      </c>
      <c r="D1974" s="3" t="s">
        <v>1206</v>
      </c>
      <c r="E1974" s="3" t="s">
        <v>1207</v>
      </c>
      <c r="F1974" s="3"/>
      <c r="G1974" s="3"/>
      <c r="H1974" s="3"/>
      <c r="I1974" s="3"/>
      <c r="J1974" s="3" t="s">
        <v>1700</v>
      </c>
      <c r="K1974" s="27" t="s">
        <v>12</v>
      </c>
    </row>
    <row r="1975" ht="18.6" customHeight="1" spans="1:11">
      <c r="A1975" s="3">
        <v>1974</v>
      </c>
      <c r="B1975" s="3" t="s">
        <v>2777</v>
      </c>
      <c r="C1975" s="3" t="s">
        <v>3742</v>
      </c>
      <c r="D1975" s="3" t="s">
        <v>1206</v>
      </c>
      <c r="E1975" s="3" t="s">
        <v>1218</v>
      </c>
      <c r="F1975" s="3"/>
      <c r="G1975" s="3"/>
      <c r="H1975" s="3"/>
      <c r="I1975" s="3" t="s">
        <v>3769</v>
      </c>
      <c r="J1975" s="3" t="s">
        <v>1700</v>
      </c>
      <c r="K1975" s="27" t="s">
        <v>12</v>
      </c>
    </row>
    <row r="1976" ht="18.6" customHeight="1" spans="1:11">
      <c r="A1976" s="3">
        <v>1975</v>
      </c>
      <c r="B1976" s="3" t="s">
        <v>2778</v>
      </c>
      <c r="C1976" s="3" t="s">
        <v>3742</v>
      </c>
      <c r="D1976" s="3" t="s">
        <v>1206</v>
      </c>
      <c r="E1976" s="3" t="s">
        <v>1207</v>
      </c>
      <c r="F1976" s="3"/>
      <c r="G1976" s="3"/>
      <c r="H1976" s="3"/>
      <c r="I1976" s="3" t="s">
        <v>3776</v>
      </c>
      <c r="J1976" s="3" t="s">
        <v>1700</v>
      </c>
      <c r="K1976" s="27" t="s">
        <v>12</v>
      </c>
    </row>
    <row r="1977" ht="18.6" customHeight="1" spans="1:11">
      <c r="A1977" s="3">
        <v>1976</v>
      </c>
      <c r="B1977" s="3" t="s">
        <v>2779</v>
      </c>
      <c r="C1977" s="3" t="s">
        <v>3742</v>
      </c>
      <c r="D1977" s="3" t="s">
        <v>1206</v>
      </c>
      <c r="E1977" s="3" t="s">
        <v>1207</v>
      </c>
      <c r="F1977" s="3"/>
      <c r="G1977" s="3"/>
      <c r="H1977" s="3"/>
      <c r="I1977" s="3" t="s">
        <v>3770</v>
      </c>
      <c r="J1977" s="3" t="s">
        <v>1700</v>
      </c>
      <c r="K1977" s="27" t="s">
        <v>12</v>
      </c>
    </row>
    <row r="1978" ht="18.6" customHeight="1" spans="1:11">
      <c r="A1978" s="3">
        <v>1977</v>
      </c>
      <c r="B1978" s="3" t="s">
        <v>2780</v>
      </c>
      <c r="C1978" s="3" t="s">
        <v>3744</v>
      </c>
      <c r="D1978" s="3" t="s">
        <v>1206</v>
      </c>
      <c r="E1978" s="3" t="s">
        <v>1207</v>
      </c>
      <c r="F1978" s="3"/>
      <c r="G1978" s="3"/>
      <c r="H1978" s="3"/>
      <c r="I1978" s="3"/>
      <c r="J1978" s="3" t="s">
        <v>1700</v>
      </c>
      <c r="K1978" s="27" t="s">
        <v>12</v>
      </c>
    </row>
    <row r="1979" ht="18.6" customHeight="1" spans="1:11">
      <c r="A1979" s="3">
        <v>1978</v>
      </c>
      <c r="B1979" s="3" t="s">
        <v>2781</v>
      </c>
      <c r="C1979" s="3" t="s">
        <v>3742</v>
      </c>
      <c r="D1979" s="3" t="s">
        <v>1206</v>
      </c>
      <c r="E1979" s="3" t="s">
        <v>2782</v>
      </c>
      <c r="F1979" s="3"/>
      <c r="G1979" s="3"/>
      <c r="H1979" s="3"/>
      <c r="I1979" s="3"/>
      <c r="J1979" s="3" t="s">
        <v>1700</v>
      </c>
      <c r="K1979" s="27" t="s">
        <v>12</v>
      </c>
    </row>
    <row r="1980" ht="18.6" customHeight="1" spans="1:11">
      <c r="A1980" s="3">
        <v>1979</v>
      </c>
      <c r="B1980" s="3" t="s">
        <v>2783</v>
      </c>
      <c r="C1980" s="3" t="s">
        <v>3742</v>
      </c>
      <c r="D1980" s="3" t="s">
        <v>1206</v>
      </c>
      <c r="E1980" s="3" t="s">
        <v>2784</v>
      </c>
      <c r="F1980" s="3"/>
      <c r="G1980" s="3"/>
      <c r="H1980" s="3"/>
      <c r="I1980" s="3" t="s">
        <v>3769</v>
      </c>
      <c r="J1980" s="3" t="s">
        <v>1700</v>
      </c>
      <c r="K1980" s="27" t="s">
        <v>12</v>
      </c>
    </row>
    <row r="1981" ht="18.6" customHeight="1" spans="1:11">
      <c r="A1981" s="3">
        <v>1980</v>
      </c>
      <c r="B1981" s="3" t="s">
        <v>2785</v>
      </c>
      <c r="C1981" s="3" t="s">
        <v>3742</v>
      </c>
      <c r="D1981" s="3" t="s">
        <v>1206</v>
      </c>
      <c r="E1981" s="3" t="s">
        <v>2786</v>
      </c>
      <c r="F1981" s="3"/>
      <c r="G1981" s="3"/>
      <c r="H1981" s="3"/>
      <c r="I1981" s="3"/>
      <c r="J1981" s="3" t="s">
        <v>1700</v>
      </c>
      <c r="K1981" s="27" t="s">
        <v>12</v>
      </c>
    </row>
    <row r="1982" ht="18.6" customHeight="1" spans="1:11">
      <c r="A1982" s="3">
        <v>1981</v>
      </c>
      <c r="B1982" s="3" t="s">
        <v>2787</v>
      </c>
      <c r="C1982" s="3" t="s">
        <v>3742</v>
      </c>
      <c r="D1982" s="3" t="s">
        <v>1206</v>
      </c>
      <c r="E1982" s="3" t="s">
        <v>1234</v>
      </c>
      <c r="F1982" s="3"/>
      <c r="G1982" s="3"/>
      <c r="H1982" s="3"/>
      <c r="I1982" s="3"/>
      <c r="J1982" s="3" t="s">
        <v>1700</v>
      </c>
      <c r="K1982" s="27" t="s">
        <v>12</v>
      </c>
    </row>
    <row r="1983" ht="18.6" customHeight="1" spans="1:11">
      <c r="A1983" s="3">
        <v>1982</v>
      </c>
      <c r="B1983" s="3" t="s">
        <v>2788</v>
      </c>
      <c r="C1983" s="3" t="s">
        <v>3744</v>
      </c>
      <c r="D1983" s="3" t="s">
        <v>1206</v>
      </c>
      <c r="E1983" s="3" t="s">
        <v>1212</v>
      </c>
      <c r="F1983" s="3"/>
      <c r="G1983" s="3"/>
      <c r="H1983" s="3"/>
      <c r="I1983" s="3"/>
      <c r="J1983" s="3" t="s">
        <v>1700</v>
      </c>
      <c r="K1983" s="27" t="s">
        <v>12</v>
      </c>
    </row>
    <row r="1984" ht="18.6" customHeight="1" spans="1:11">
      <c r="A1984" s="3">
        <v>1983</v>
      </c>
      <c r="B1984" s="3" t="s">
        <v>2789</v>
      </c>
      <c r="C1984" s="3" t="s">
        <v>3742</v>
      </c>
      <c r="D1984" s="3" t="s">
        <v>1206</v>
      </c>
      <c r="E1984" s="3" t="s">
        <v>1216</v>
      </c>
      <c r="F1984" s="3"/>
      <c r="G1984" s="3"/>
      <c r="H1984" s="3"/>
      <c r="I1984" s="3" t="s">
        <v>3770</v>
      </c>
      <c r="J1984" s="3" t="s">
        <v>1700</v>
      </c>
      <c r="K1984" s="27" t="s">
        <v>12</v>
      </c>
    </row>
    <row r="1985" ht="18.6" customHeight="1" spans="1:11">
      <c r="A1985" s="3">
        <v>1984</v>
      </c>
      <c r="B1985" s="3" t="s">
        <v>2790</v>
      </c>
      <c r="C1985" s="3" t="s">
        <v>3742</v>
      </c>
      <c r="D1985" s="3" t="s">
        <v>1206</v>
      </c>
      <c r="E1985" s="3" t="s">
        <v>2791</v>
      </c>
      <c r="F1985" s="3"/>
      <c r="G1985" s="3"/>
      <c r="H1985" s="3"/>
      <c r="I1985" s="3"/>
      <c r="J1985" s="3" t="s">
        <v>1700</v>
      </c>
      <c r="K1985" s="27" t="s">
        <v>12</v>
      </c>
    </row>
    <row r="1986" ht="18.6" customHeight="1" spans="1:11">
      <c r="A1986" s="3">
        <v>1985</v>
      </c>
      <c r="B1986" s="3" t="s">
        <v>2792</v>
      </c>
      <c r="C1986" s="3" t="s">
        <v>3742</v>
      </c>
      <c r="D1986" s="3" t="s">
        <v>1206</v>
      </c>
      <c r="E1986" s="3" t="s">
        <v>2793</v>
      </c>
      <c r="F1986" s="3"/>
      <c r="G1986" s="3"/>
      <c r="H1986" s="3"/>
      <c r="I1986" s="3"/>
      <c r="J1986" s="3" t="s">
        <v>1700</v>
      </c>
      <c r="K1986" s="27" t="s">
        <v>12</v>
      </c>
    </row>
    <row r="1987" ht="18.6" customHeight="1" spans="1:11">
      <c r="A1987" s="3">
        <v>1986</v>
      </c>
      <c r="B1987" s="3" t="s">
        <v>2794</v>
      </c>
      <c r="C1987" s="3" t="s">
        <v>3742</v>
      </c>
      <c r="D1987" s="3" t="s">
        <v>1206</v>
      </c>
      <c r="E1987" s="3" t="s">
        <v>2795</v>
      </c>
      <c r="F1987" s="3"/>
      <c r="G1987" s="3"/>
      <c r="H1987" s="3"/>
      <c r="I1987" s="3"/>
      <c r="J1987" s="3" t="s">
        <v>1700</v>
      </c>
      <c r="K1987" s="27" t="s">
        <v>12</v>
      </c>
    </row>
    <row r="1988" ht="18.6" customHeight="1" spans="1:11">
      <c r="A1988" s="3">
        <v>1987</v>
      </c>
      <c r="B1988" s="3" t="s">
        <v>2796</v>
      </c>
      <c r="C1988" s="3" t="s">
        <v>3744</v>
      </c>
      <c r="D1988" s="3" t="s">
        <v>1206</v>
      </c>
      <c r="E1988" s="3" t="s">
        <v>1209</v>
      </c>
      <c r="F1988" s="3"/>
      <c r="G1988" s="3"/>
      <c r="H1988" s="3"/>
      <c r="I1988" s="3"/>
      <c r="J1988" s="3" t="s">
        <v>1700</v>
      </c>
      <c r="K1988" s="27" t="s">
        <v>12</v>
      </c>
    </row>
    <row r="1989" ht="18.6" customHeight="1" spans="1:11">
      <c r="A1989" s="3">
        <v>1988</v>
      </c>
      <c r="B1989" s="3" t="s">
        <v>2797</v>
      </c>
      <c r="C1989" s="3" t="s">
        <v>3742</v>
      </c>
      <c r="D1989" s="3" t="s">
        <v>1206</v>
      </c>
      <c r="E1989" s="3" t="s">
        <v>1207</v>
      </c>
      <c r="F1989" s="3"/>
      <c r="G1989" s="3"/>
      <c r="H1989" s="3"/>
      <c r="I1989" s="3" t="s">
        <v>3769</v>
      </c>
      <c r="J1989" s="3" t="s">
        <v>1700</v>
      </c>
      <c r="K1989" s="27" t="s">
        <v>12</v>
      </c>
    </row>
    <row r="1990" ht="18.6" customHeight="1" spans="1:11">
      <c r="A1990" s="3">
        <v>1989</v>
      </c>
      <c r="B1990" s="3" t="s">
        <v>2798</v>
      </c>
      <c r="C1990" s="3" t="s">
        <v>3744</v>
      </c>
      <c r="D1990" s="3" t="s">
        <v>1206</v>
      </c>
      <c r="E1990" s="3" t="s">
        <v>2799</v>
      </c>
      <c r="F1990" s="3"/>
      <c r="G1990" s="3"/>
      <c r="H1990" s="3"/>
      <c r="I1990" s="3"/>
      <c r="J1990" s="3" t="s">
        <v>1700</v>
      </c>
      <c r="K1990" s="27" t="s">
        <v>12</v>
      </c>
    </row>
    <row r="1991" ht="18.6" customHeight="1" spans="1:11">
      <c r="A1991" s="3">
        <v>1990</v>
      </c>
      <c r="B1991" s="3" t="s">
        <v>2800</v>
      </c>
      <c r="C1991" s="3" t="s">
        <v>3637</v>
      </c>
      <c r="D1991" s="3" t="s">
        <v>951</v>
      </c>
      <c r="E1991" s="3" t="s">
        <v>951</v>
      </c>
      <c r="F1991" s="3"/>
      <c r="G1991" s="3"/>
      <c r="H1991" s="3"/>
      <c r="I1991" s="3"/>
      <c r="J1991" s="3" t="s">
        <v>1700</v>
      </c>
      <c r="K1991" s="27" t="s">
        <v>12</v>
      </c>
    </row>
    <row r="1992" ht="18.6" customHeight="1" spans="1:11">
      <c r="A1992" s="3">
        <v>1991</v>
      </c>
      <c r="B1992" s="3" t="s">
        <v>2801</v>
      </c>
      <c r="C1992" s="3" t="s">
        <v>3330</v>
      </c>
      <c r="D1992" s="3" t="s">
        <v>98</v>
      </c>
      <c r="E1992" s="3" t="s">
        <v>103</v>
      </c>
      <c r="F1992" s="3"/>
      <c r="G1992" s="3"/>
      <c r="H1992" s="3"/>
      <c r="I1992" s="3"/>
      <c r="J1992" s="3" t="s">
        <v>1700</v>
      </c>
      <c r="K1992" s="27" t="s">
        <v>12</v>
      </c>
    </row>
    <row r="1993" ht="18.6" customHeight="1" spans="1:11">
      <c r="A1993" s="3">
        <v>1992</v>
      </c>
      <c r="B1993" s="3" t="s">
        <v>2802</v>
      </c>
      <c r="C1993" s="3" t="s">
        <v>3426</v>
      </c>
      <c r="D1993" s="3" t="s">
        <v>379</v>
      </c>
      <c r="E1993" s="3" t="s">
        <v>392</v>
      </c>
      <c r="F1993" s="3"/>
      <c r="G1993" s="3"/>
      <c r="H1993" s="3"/>
      <c r="I1993" s="3"/>
      <c r="J1993" s="3" t="s">
        <v>1700</v>
      </c>
      <c r="K1993" s="27" t="s">
        <v>12</v>
      </c>
    </row>
    <row r="1994" ht="18.6" customHeight="1" spans="1:11">
      <c r="A1994" s="3">
        <v>1993</v>
      </c>
      <c r="B1994" s="3" t="s">
        <v>2803</v>
      </c>
      <c r="C1994" s="3" t="s">
        <v>3569</v>
      </c>
      <c r="D1994" s="3" t="s">
        <v>797</v>
      </c>
      <c r="E1994" s="3" t="s">
        <v>831</v>
      </c>
      <c r="F1994" s="3"/>
      <c r="G1994" s="3"/>
      <c r="H1994" s="3"/>
      <c r="I1994" s="3"/>
      <c r="J1994" s="3" t="s">
        <v>1700</v>
      </c>
      <c r="K1994" s="27" t="s">
        <v>12</v>
      </c>
    </row>
    <row r="1995" ht="18.6" customHeight="1" spans="1:11">
      <c r="A1995" s="3">
        <v>1994</v>
      </c>
      <c r="B1995" s="3" t="s">
        <v>2804</v>
      </c>
      <c r="C1995" s="3" t="s">
        <v>3569</v>
      </c>
      <c r="D1995" s="3" t="s">
        <v>797</v>
      </c>
      <c r="E1995" s="3" t="s">
        <v>825</v>
      </c>
      <c r="F1995" s="3"/>
      <c r="G1995" s="3"/>
      <c r="H1995" s="3"/>
      <c r="I1995" s="3"/>
      <c r="J1995" s="3" t="s">
        <v>1700</v>
      </c>
      <c r="K1995" s="27" t="s">
        <v>12</v>
      </c>
    </row>
    <row r="1996" ht="18.6" customHeight="1" spans="1:11">
      <c r="A1996" s="3">
        <v>1995</v>
      </c>
      <c r="B1996" s="3" t="s">
        <v>2805</v>
      </c>
      <c r="C1996" s="3" t="s">
        <v>3347</v>
      </c>
      <c r="D1996" s="3" t="s">
        <v>151</v>
      </c>
      <c r="E1996" s="3" t="s">
        <v>174</v>
      </c>
      <c r="F1996" s="3"/>
      <c r="G1996" s="3"/>
      <c r="H1996" s="3"/>
      <c r="I1996" s="3"/>
      <c r="J1996" s="3" t="s">
        <v>1700</v>
      </c>
      <c r="K1996" s="27" t="s">
        <v>12</v>
      </c>
    </row>
    <row r="1997" ht="18.6" customHeight="1" spans="1:11">
      <c r="A1997" s="3">
        <v>1996</v>
      </c>
      <c r="B1997" s="3" t="s">
        <v>2806</v>
      </c>
      <c r="C1997" s="3" t="s">
        <v>3528</v>
      </c>
      <c r="D1997" s="3" t="s">
        <v>692</v>
      </c>
      <c r="E1997" s="3" t="s">
        <v>720</v>
      </c>
      <c r="F1997" s="3"/>
      <c r="G1997" s="3"/>
      <c r="H1997" s="3"/>
      <c r="I1997" s="3"/>
      <c r="J1997" s="3" t="s">
        <v>1700</v>
      </c>
      <c r="K1997" s="27" t="s">
        <v>12</v>
      </c>
    </row>
    <row r="1998" ht="18.6" customHeight="1" spans="1:11">
      <c r="A1998" s="3">
        <v>1997</v>
      </c>
      <c r="B1998" s="3" t="s">
        <v>2807</v>
      </c>
      <c r="C1998" s="3" t="s">
        <v>3528</v>
      </c>
      <c r="D1998" s="3" t="s">
        <v>692</v>
      </c>
      <c r="E1998" s="3" t="s">
        <v>2262</v>
      </c>
      <c r="F1998" s="3"/>
      <c r="G1998" s="3"/>
      <c r="H1998" s="3"/>
      <c r="I1998" s="3"/>
      <c r="J1998" s="3" t="s">
        <v>1700</v>
      </c>
      <c r="K1998" s="27" t="s">
        <v>12</v>
      </c>
    </row>
    <row r="1999" ht="18.6" customHeight="1" spans="1:11">
      <c r="A1999" s="3">
        <v>1998</v>
      </c>
      <c r="B1999" s="3" t="s">
        <v>2808</v>
      </c>
      <c r="C1999" s="3" t="s">
        <v>3528</v>
      </c>
      <c r="D1999" s="3" t="s">
        <v>692</v>
      </c>
      <c r="E1999" s="3" t="s">
        <v>723</v>
      </c>
      <c r="F1999" s="3"/>
      <c r="G1999" s="3"/>
      <c r="H1999" s="3"/>
      <c r="I1999" s="3"/>
      <c r="J1999" s="3" t="s">
        <v>1700</v>
      </c>
      <c r="K1999" s="27" t="s">
        <v>12</v>
      </c>
    </row>
    <row r="2000" ht="18.6" customHeight="1" spans="1:11">
      <c r="A2000" s="3">
        <v>1999</v>
      </c>
      <c r="B2000" s="3" t="s">
        <v>2809</v>
      </c>
      <c r="C2000" s="3" t="s">
        <v>3528</v>
      </c>
      <c r="D2000" s="3" t="s">
        <v>692</v>
      </c>
      <c r="E2000" s="3" t="s">
        <v>714</v>
      </c>
      <c r="F2000" s="3"/>
      <c r="G2000" s="3"/>
      <c r="H2000" s="3"/>
      <c r="I2000" s="3"/>
      <c r="J2000" s="3" t="s">
        <v>1700</v>
      </c>
      <c r="K2000" s="27" t="s">
        <v>12</v>
      </c>
    </row>
    <row r="2001" ht="18.6" customHeight="1" spans="1:11">
      <c r="A2001" s="3">
        <v>2000</v>
      </c>
      <c r="B2001" s="3" t="s">
        <v>2810</v>
      </c>
      <c r="C2001" s="3" t="s">
        <v>3420</v>
      </c>
      <c r="D2001" s="3" t="s">
        <v>347</v>
      </c>
      <c r="E2001" s="3" t="s">
        <v>347</v>
      </c>
      <c r="F2001" s="3"/>
      <c r="G2001" s="3"/>
      <c r="H2001" s="3"/>
      <c r="I2001" s="3"/>
      <c r="J2001" s="3" t="s">
        <v>1700</v>
      </c>
      <c r="K2001" s="27" t="s">
        <v>12</v>
      </c>
    </row>
    <row r="2002" ht="18.6" customHeight="1" spans="1:11">
      <c r="A2002" s="3">
        <v>2001</v>
      </c>
      <c r="B2002" s="3" t="s">
        <v>2811</v>
      </c>
      <c r="C2002" s="3" t="s">
        <v>3420</v>
      </c>
      <c r="D2002" s="3" t="s">
        <v>347</v>
      </c>
      <c r="E2002" s="3" t="s">
        <v>347</v>
      </c>
      <c r="F2002" s="3"/>
      <c r="G2002" s="3"/>
      <c r="H2002" s="3"/>
      <c r="I2002" s="3"/>
      <c r="J2002" s="3" t="s">
        <v>1700</v>
      </c>
      <c r="K2002" s="27" t="s">
        <v>12</v>
      </c>
    </row>
    <row r="2003" ht="18.6" customHeight="1" spans="1:11">
      <c r="A2003" s="3">
        <v>2002</v>
      </c>
      <c r="B2003" s="3" t="s">
        <v>2812</v>
      </c>
      <c r="C2003" s="3" t="s">
        <v>3420</v>
      </c>
      <c r="D2003" s="3" t="s">
        <v>347</v>
      </c>
      <c r="E2003" s="3" t="s">
        <v>347</v>
      </c>
      <c r="F2003" s="3"/>
      <c r="G2003" s="3"/>
      <c r="H2003" s="3"/>
      <c r="I2003" s="3"/>
      <c r="J2003" s="3" t="s">
        <v>1700</v>
      </c>
      <c r="K2003" s="27" t="s">
        <v>12</v>
      </c>
    </row>
    <row r="2004" ht="18.6" customHeight="1" spans="1:11">
      <c r="A2004" s="3">
        <v>2003</v>
      </c>
      <c r="B2004" s="3" t="s">
        <v>2813</v>
      </c>
      <c r="C2004" s="3" t="s">
        <v>3420</v>
      </c>
      <c r="D2004" s="3" t="s">
        <v>347</v>
      </c>
      <c r="E2004" s="3" t="s">
        <v>347</v>
      </c>
      <c r="F2004" s="3"/>
      <c r="G2004" s="3"/>
      <c r="H2004" s="3"/>
      <c r="I2004" s="3"/>
      <c r="J2004" s="3" t="s">
        <v>1700</v>
      </c>
      <c r="K2004" s="27" t="s">
        <v>12</v>
      </c>
    </row>
    <row r="2005" ht="18.6" customHeight="1" spans="1:11">
      <c r="A2005" s="3">
        <v>2004</v>
      </c>
      <c r="B2005" s="3" t="s">
        <v>2814</v>
      </c>
      <c r="C2005" s="3" t="s">
        <v>3678</v>
      </c>
      <c r="D2005" s="3" t="s">
        <v>1060</v>
      </c>
      <c r="E2005" s="3" t="s">
        <v>1084</v>
      </c>
      <c r="F2005" s="3"/>
      <c r="G2005" s="3"/>
      <c r="H2005" s="3"/>
      <c r="I2005" s="3"/>
      <c r="J2005" s="3" t="s">
        <v>1700</v>
      </c>
      <c r="K2005" s="27" t="s">
        <v>12</v>
      </c>
    </row>
    <row r="2006" ht="18.6" customHeight="1" spans="1:11">
      <c r="A2006" s="3">
        <v>2005</v>
      </c>
      <c r="B2006" s="3" t="s">
        <v>2815</v>
      </c>
      <c r="C2006" s="3" t="s">
        <v>3678</v>
      </c>
      <c r="D2006" s="3" t="s">
        <v>1060</v>
      </c>
      <c r="E2006" s="3" t="s">
        <v>1077</v>
      </c>
      <c r="F2006" s="3"/>
      <c r="G2006" s="3"/>
      <c r="H2006" s="3"/>
      <c r="I2006" s="3"/>
      <c r="J2006" s="3" t="s">
        <v>1700</v>
      </c>
      <c r="K2006" s="27" t="s">
        <v>12</v>
      </c>
    </row>
    <row r="2007" ht="18.6" customHeight="1" spans="1:11">
      <c r="A2007" s="3">
        <v>2006</v>
      </c>
      <c r="B2007" s="3" t="s">
        <v>2816</v>
      </c>
      <c r="C2007" s="3" t="s">
        <v>3678</v>
      </c>
      <c r="D2007" s="3" t="s">
        <v>1060</v>
      </c>
      <c r="E2007" s="3" t="s">
        <v>1071</v>
      </c>
      <c r="F2007" s="3"/>
      <c r="G2007" s="3"/>
      <c r="H2007" s="3"/>
      <c r="I2007" s="3"/>
      <c r="J2007" s="3" t="s">
        <v>1700</v>
      </c>
      <c r="K2007" s="27" t="s">
        <v>12</v>
      </c>
    </row>
    <row r="2008" ht="18.6" customHeight="1" spans="1:11">
      <c r="A2008" s="3">
        <v>2007</v>
      </c>
      <c r="B2008" s="3" t="s">
        <v>2817</v>
      </c>
      <c r="C2008" s="3" t="s">
        <v>3330</v>
      </c>
      <c r="D2008" s="3" t="s">
        <v>98</v>
      </c>
      <c r="E2008" s="3" t="s">
        <v>124</v>
      </c>
      <c r="F2008" s="3"/>
      <c r="G2008" s="3"/>
      <c r="H2008" s="3"/>
      <c r="I2008" s="3"/>
      <c r="J2008" s="3" t="s">
        <v>1700</v>
      </c>
      <c r="K2008" s="27" t="s">
        <v>12</v>
      </c>
    </row>
    <row r="2009" ht="18.6" customHeight="1" spans="1:11">
      <c r="A2009" s="3">
        <v>2008</v>
      </c>
      <c r="B2009" s="3" t="s">
        <v>2818</v>
      </c>
      <c r="C2009" s="3" t="s">
        <v>3330</v>
      </c>
      <c r="D2009" s="3" t="s">
        <v>98</v>
      </c>
      <c r="E2009" s="3" t="s">
        <v>132</v>
      </c>
      <c r="F2009" s="3"/>
      <c r="G2009" s="3"/>
      <c r="H2009" s="3"/>
      <c r="I2009" s="3"/>
      <c r="J2009" s="3" t="s">
        <v>1700</v>
      </c>
      <c r="K2009" s="27" t="s">
        <v>12</v>
      </c>
    </row>
    <row r="2010" ht="18.6" customHeight="1" spans="1:11">
      <c r="A2010" s="3">
        <v>2009</v>
      </c>
      <c r="B2010" s="3" t="s">
        <v>2819</v>
      </c>
      <c r="C2010" s="3" t="s">
        <v>3666</v>
      </c>
      <c r="D2010" s="3" t="s">
        <v>1026</v>
      </c>
      <c r="E2010" s="3" t="s">
        <v>1027</v>
      </c>
      <c r="F2010" s="3"/>
      <c r="G2010" s="3"/>
      <c r="H2010" s="3"/>
      <c r="I2010" s="3"/>
      <c r="J2010" s="3" t="s">
        <v>1700</v>
      </c>
      <c r="K2010" s="27" t="s">
        <v>12</v>
      </c>
    </row>
    <row r="2011" ht="18.6" customHeight="1" spans="1:11">
      <c r="A2011" s="3">
        <v>2010</v>
      </c>
      <c r="B2011" s="3" t="s">
        <v>2820</v>
      </c>
      <c r="C2011" s="3" t="s">
        <v>3678</v>
      </c>
      <c r="D2011" s="3" t="s">
        <v>1060</v>
      </c>
      <c r="E2011" s="3" t="s">
        <v>1090</v>
      </c>
      <c r="F2011" s="3"/>
      <c r="G2011" s="3"/>
      <c r="H2011" s="3"/>
      <c r="I2011" s="3"/>
      <c r="J2011" s="3" t="s">
        <v>1700</v>
      </c>
      <c r="K2011" s="27" t="s">
        <v>12</v>
      </c>
    </row>
    <row r="2012" ht="18.6" customHeight="1" spans="1:11">
      <c r="A2012" s="3">
        <v>2011</v>
      </c>
      <c r="B2012" s="3" t="s">
        <v>2821</v>
      </c>
      <c r="C2012" s="3" t="s">
        <v>3678</v>
      </c>
      <c r="D2012" s="3" t="s">
        <v>1060</v>
      </c>
      <c r="E2012" s="3" t="s">
        <v>1097</v>
      </c>
      <c r="F2012" s="3"/>
      <c r="G2012" s="3"/>
      <c r="H2012" s="3"/>
      <c r="I2012" s="3"/>
      <c r="J2012" s="3" t="s">
        <v>1700</v>
      </c>
      <c r="K2012" s="27" t="s">
        <v>12</v>
      </c>
    </row>
    <row r="2013" ht="18.6" customHeight="1" spans="1:11">
      <c r="A2013" s="3">
        <v>2012</v>
      </c>
      <c r="B2013" s="3" t="s">
        <v>2822</v>
      </c>
      <c r="C2013" s="3" t="s">
        <v>3678</v>
      </c>
      <c r="D2013" s="3" t="s">
        <v>1060</v>
      </c>
      <c r="E2013" s="3" t="s">
        <v>2823</v>
      </c>
      <c r="F2013" s="3"/>
      <c r="G2013" s="3"/>
      <c r="H2013" s="3"/>
      <c r="I2013" s="3"/>
      <c r="J2013" s="3" t="s">
        <v>1700</v>
      </c>
      <c r="K2013" s="27" t="s">
        <v>12</v>
      </c>
    </row>
    <row r="2014" ht="18.6" customHeight="1" spans="1:11">
      <c r="A2014" s="3">
        <v>2013</v>
      </c>
      <c r="B2014" s="3" t="s">
        <v>2824</v>
      </c>
      <c r="C2014" s="3" t="s">
        <v>3736</v>
      </c>
      <c r="D2014" s="3" t="s">
        <v>1197</v>
      </c>
      <c r="E2014" s="3" t="s">
        <v>1669</v>
      </c>
      <c r="F2014" s="3"/>
      <c r="G2014" s="3"/>
      <c r="H2014" s="3"/>
      <c r="I2014" s="3"/>
      <c r="J2014" s="3" t="s">
        <v>1700</v>
      </c>
      <c r="K2014" s="27" t="s">
        <v>12</v>
      </c>
    </row>
    <row r="2015" ht="18.6" customHeight="1" spans="1:11">
      <c r="A2015" s="3">
        <v>2014</v>
      </c>
      <c r="B2015" s="3" t="s">
        <v>2825</v>
      </c>
      <c r="C2015" s="3" t="s">
        <v>3742</v>
      </c>
      <c r="D2015" s="3" t="s">
        <v>1206</v>
      </c>
      <c r="E2015" s="3" t="s">
        <v>1207</v>
      </c>
      <c r="F2015" s="3"/>
      <c r="G2015" s="3"/>
      <c r="H2015" s="3"/>
      <c r="I2015" s="3"/>
      <c r="J2015" s="3" t="s">
        <v>1700</v>
      </c>
      <c r="K2015" s="27" t="s">
        <v>12</v>
      </c>
    </row>
    <row r="2016" ht="18.6" customHeight="1" spans="1:11">
      <c r="A2016" s="3">
        <v>2015</v>
      </c>
      <c r="B2016" s="3" t="s">
        <v>2826</v>
      </c>
      <c r="C2016" s="3" t="s">
        <v>3742</v>
      </c>
      <c r="D2016" s="3" t="s">
        <v>1206</v>
      </c>
      <c r="E2016" s="3" t="s">
        <v>1226</v>
      </c>
      <c r="F2016" s="3"/>
      <c r="G2016" s="3"/>
      <c r="H2016" s="3"/>
      <c r="I2016" s="3"/>
      <c r="J2016" s="3" t="s">
        <v>1700</v>
      </c>
      <c r="K2016" s="27" t="s">
        <v>12</v>
      </c>
    </row>
    <row r="2017" ht="18.6" customHeight="1" spans="1:11">
      <c r="A2017" s="3">
        <v>2016</v>
      </c>
      <c r="B2017" s="3" t="s">
        <v>2827</v>
      </c>
      <c r="C2017" s="3" t="s">
        <v>3491</v>
      </c>
      <c r="D2017" s="3" t="s">
        <v>587</v>
      </c>
      <c r="E2017" s="3" t="s">
        <v>607</v>
      </c>
      <c r="F2017" s="3"/>
      <c r="G2017" s="3"/>
      <c r="H2017" s="3"/>
      <c r="I2017" s="3"/>
      <c r="J2017" s="3" t="s">
        <v>1700</v>
      </c>
      <c r="K2017" s="27" t="s">
        <v>12</v>
      </c>
    </row>
    <row r="2018" ht="18.6" customHeight="1" spans="1:11">
      <c r="A2018" s="3">
        <v>2017</v>
      </c>
      <c r="B2018" s="3" t="s">
        <v>2828</v>
      </c>
      <c r="C2018" s="3" t="s">
        <v>3491</v>
      </c>
      <c r="D2018" s="3" t="s">
        <v>587</v>
      </c>
      <c r="E2018" s="3" t="s">
        <v>602</v>
      </c>
      <c r="F2018" s="3"/>
      <c r="G2018" s="3"/>
      <c r="H2018" s="3"/>
      <c r="I2018" s="3"/>
      <c r="J2018" s="3" t="s">
        <v>1700</v>
      </c>
      <c r="K2018" s="27" t="s">
        <v>12</v>
      </c>
    </row>
    <row r="2019" ht="18.6" customHeight="1" spans="1:11">
      <c r="A2019" s="3">
        <v>2018</v>
      </c>
      <c r="B2019" s="3" t="s">
        <v>2829</v>
      </c>
      <c r="C2019" s="3" t="s">
        <v>3509</v>
      </c>
      <c r="D2019" s="3" t="s">
        <v>628</v>
      </c>
      <c r="E2019" s="3" t="s">
        <v>660</v>
      </c>
      <c r="F2019" s="3"/>
      <c r="G2019" s="3"/>
      <c r="H2019" s="3"/>
      <c r="I2019" s="3"/>
      <c r="J2019" s="3" t="s">
        <v>1700</v>
      </c>
      <c r="K2019" s="27" t="s">
        <v>12</v>
      </c>
    </row>
    <row r="2020" ht="18.6" customHeight="1" spans="1:11">
      <c r="A2020" s="3">
        <v>2019</v>
      </c>
      <c r="B2020" s="3" t="s">
        <v>2830</v>
      </c>
      <c r="C2020" s="3" t="s">
        <v>3569</v>
      </c>
      <c r="D2020" s="3" t="s">
        <v>797</v>
      </c>
      <c r="E2020" s="3" t="s">
        <v>821</v>
      </c>
      <c r="F2020" s="3"/>
      <c r="G2020" s="3"/>
      <c r="H2020" s="3"/>
      <c r="I2020" s="3"/>
      <c r="J2020" s="3" t="s">
        <v>1700</v>
      </c>
      <c r="K2020" s="27" t="s">
        <v>12</v>
      </c>
    </row>
    <row r="2021" ht="18.6" customHeight="1" spans="1:11">
      <c r="A2021" s="3">
        <v>2020</v>
      </c>
      <c r="B2021" s="3" t="s">
        <v>2831</v>
      </c>
      <c r="C2021" s="3" t="s">
        <v>3569</v>
      </c>
      <c r="D2021" s="3" t="s">
        <v>797</v>
      </c>
      <c r="E2021" s="3" t="s">
        <v>817</v>
      </c>
      <c r="F2021" s="3"/>
      <c r="G2021" s="3"/>
      <c r="H2021" s="3"/>
      <c r="I2021" s="3"/>
      <c r="J2021" s="3" t="s">
        <v>1700</v>
      </c>
      <c r="K2021" s="27" t="s">
        <v>12</v>
      </c>
    </row>
    <row r="2022" ht="18.6" customHeight="1" spans="1:11">
      <c r="A2022" s="3">
        <v>2021</v>
      </c>
      <c r="B2022" s="3" t="s">
        <v>2832</v>
      </c>
      <c r="C2022" s="3" t="s">
        <v>3612</v>
      </c>
      <c r="D2022" s="3" t="s">
        <v>902</v>
      </c>
      <c r="E2022" s="3" t="s">
        <v>903</v>
      </c>
      <c r="F2022" s="3"/>
      <c r="G2022" s="3"/>
      <c r="H2022" s="3"/>
      <c r="I2022" s="3"/>
      <c r="J2022" s="3" t="s">
        <v>1700</v>
      </c>
      <c r="K2022" s="27" t="s">
        <v>12</v>
      </c>
    </row>
    <row r="2023" ht="18.6" customHeight="1" spans="1:11">
      <c r="A2023" s="3">
        <v>2022</v>
      </c>
      <c r="B2023" s="3" t="s">
        <v>2833</v>
      </c>
      <c r="C2023" s="3" t="s">
        <v>3716</v>
      </c>
      <c r="D2023" s="3" t="s">
        <v>1156</v>
      </c>
      <c r="E2023" s="3" t="s">
        <v>2724</v>
      </c>
      <c r="F2023" s="3"/>
      <c r="G2023" s="3"/>
      <c r="H2023" s="3"/>
      <c r="I2023" s="3"/>
      <c r="J2023" s="3" t="s">
        <v>1700</v>
      </c>
      <c r="K2023" s="27" t="s">
        <v>12</v>
      </c>
    </row>
    <row r="2024" ht="18.6" customHeight="1" spans="1:11">
      <c r="A2024" s="3">
        <v>2023</v>
      </c>
      <c r="B2024" s="3" t="s">
        <v>2834</v>
      </c>
      <c r="C2024" s="3" t="s">
        <v>3742</v>
      </c>
      <c r="D2024" s="3" t="s">
        <v>1206</v>
      </c>
      <c r="E2024" s="3" t="s">
        <v>1216</v>
      </c>
      <c r="F2024" s="3"/>
      <c r="G2024" s="3"/>
      <c r="H2024" s="3"/>
      <c r="I2024" s="3"/>
      <c r="J2024" s="3" t="s">
        <v>1700</v>
      </c>
      <c r="K2024" s="27" t="s">
        <v>12</v>
      </c>
    </row>
    <row r="2025" ht="18.6" customHeight="1" spans="1:11">
      <c r="A2025" s="3">
        <v>2024</v>
      </c>
      <c r="B2025" s="3" t="s">
        <v>2835</v>
      </c>
      <c r="C2025" s="3" t="s">
        <v>3744</v>
      </c>
      <c r="D2025" s="3" t="s">
        <v>1206</v>
      </c>
      <c r="E2025" s="3" t="s">
        <v>1232</v>
      </c>
      <c r="F2025" s="3"/>
      <c r="G2025" s="3"/>
      <c r="H2025" s="3"/>
      <c r="I2025" s="3"/>
      <c r="J2025" s="3" t="s">
        <v>1700</v>
      </c>
      <c r="K2025" s="27" t="s">
        <v>12</v>
      </c>
    </row>
    <row r="2026" ht="18.6" customHeight="1" spans="1:11">
      <c r="A2026" s="3">
        <v>2025</v>
      </c>
      <c r="B2026" s="3" t="s">
        <v>2836</v>
      </c>
      <c r="C2026" s="3" t="s">
        <v>3744</v>
      </c>
      <c r="D2026" s="3" t="s">
        <v>1206</v>
      </c>
      <c r="E2026" s="3" t="s">
        <v>2837</v>
      </c>
      <c r="F2026" s="3"/>
      <c r="G2026" s="3"/>
      <c r="H2026" s="3"/>
      <c r="I2026" s="3"/>
      <c r="J2026" s="3" t="s">
        <v>1700</v>
      </c>
      <c r="K2026" s="27" t="s">
        <v>12</v>
      </c>
    </row>
    <row r="2027" ht="18.6" customHeight="1" spans="1:11">
      <c r="A2027" s="3">
        <v>2026</v>
      </c>
      <c r="B2027" s="3" t="s">
        <v>2838</v>
      </c>
      <c r="C2027" s="3" t="s">
        <v>3744</v>
      </c>
      <c r="D2027" s="3" t="s">
        <v>1206</v>
      </c>
      <c r="E2027" s="3" t="s">
        <v>2839</v>
      </c>
      <c r="F2027" s="3"/>
      <c r="G2027" s="3"/>
      <c r="H2027" s="3"/>
      <c r="I2027" s="3"/>
      <c r="J2027" s="3" t="s">
        <v>1700</v>
      </c>
      <c r="K2027" s="27" t="s">
        <v>12</v>
      </c>
    </row>
    <row r="2028" ht="18.6" customHeight="1" spans="1:11">
      <c r="A2028" s="3">
        <v>2027</v>
      </c>
      <c r="B2028" s="3" t="s">
        <v>2840</v>
      </c>
      <c r="C2028" s="3" t="s">
        <v>3744</v>
      </c>
      <c r="D2028" s="3" t="s">
        <v>1206</v>
      </c>
      <c r="E2028" s="3" t="s">
        <v>2841</v>
      </c>
      <c r="F2028" s="3"/>
      <c r="G2028" s="3"/>
      <c r="H2028" s="3"/>
      <c r="I2028" s="3"/>
      <c r="J2028" s="3" t="s">
        <v>1700</v>
      </c>
      <c r="K2028" s="27" t="s">
        <v>12</v>
      </c>
    </row>
    <row r="2029" ht="18.6" customHeight="1" spans="1:11">
      <c r="A2029" s="3">
        <v>2028</v>
      </c>
      <c r="B2029" s="3" t="s">
        <v>2842</v>
      </c>
      <c r="C2029" s="3" t="s">
        <v>3550</v>
      </c>
      <c r="D2029" s="3" t="s">
        <v>746</v>
      </c>
      <c r="E2029" s="3" t="s">
        <v>771</v>
      </c>
      <c r="F2029" s="3"/>
      <c r="G2029" s="3"/>
      <c r="H2029" s="3"/>
      <c r="I2029" s="3"/>
      <c r="J2029" s="3" t="s">
        <v>1700</v>
      </c>
      <c r="K2029" s="27" t="s">
        <v>12</v>
      </c>
    </row>
    <row r="2030" ht="18.6" customHeight="1" spans="1:11">
      <c r="A2030" s="3">
        <v>2029</v>
      </c>
      <c r="B2030" s="3" t="s">
        <v>2843</v>
      </c>
      <c r="C2030" s="3" t="s">
        <v>3550</v>
      </c>
      <c r="D2030" s="3" t="s">
        <v>746</v>
      </c>
      <c r="E2030" s="3" t="s">
        <v>785</v>
      </c>
      <c r="F2030" s="3"/>
      <c r="G2030" s="3"/>
      <c r="H2030" s="3"/>
      <c r="I2030" s="3"/>
      <c r="J2030" s="3" t="s">
        <v>1700</v>
      </c>
      <c r="K2030" s="27" t="s">
        <v>12</v>
      </c>
    </row>
    <row r="2031" ht="18.6" customHeight="1" spans="1:11">
      <c r="A2031" s="3">
        <v>2030</v>
      </c>
      <c r="B2031" s="3" t="s">
        <v>2844</v>
      </c>
      <c r="C2031" s="3" t="s">
        <v>3420</v>
      </c>
      <c r="D2031" s="3" t="s">
        <v>347</v>
      </c>
      <c r="E2031" s="3" t="s">
        <v>347</v>
      </c>
      <c r="F2031" s="3"/>
      <c r="G2031" s="3"/>
      <c r="H2031" s="3"/>
      <c r="I2031" s="3"/>
      <c r="J2031" s="3" t="s">
        <v>1700</v>
      </c>
      <c r="K2031" s="27" t="s">
        <v>12</v>
      </c>
    </row>
    <row r="2032" ht="18.6" customHeight="1" spans="1:11">
      <c r="A2032" s="3">
        <v>2031</v>
      </c>
      <c r="B2032" s="3" t="s">
        <v>2845</v>
      </c>
      <c r="C2032" s="3" t="s">
        <v>3426</v>
      </c>
      <c r="D2032" s="3" t="s">
        <v>379</v>
      </c>
      <c r="E2032" s="3" t="s">
        <v>380</v>
      </c>
      <c r="F2032" s="3"/>
      <c r="G2032" s="3"/>
      <c r="H2032" s="3"/>
      <c r="I2032" s="3"/>
      <c r="J2032" s="3" t="s">
        <v>1700</v>
      </c>
      <c r="K2032" s="27" t="s">
        <v>12</v>
      </c>
    </row>
    <row r="2033" ht="18.6" customHeight="1" spans="1:11">
      <c r="A2033" s="3">
        <v>2032</v>
      </c>
      <c r="B2033" s="3" t="s">
        <v>2846</v>
      </c>
      <c r="C2033" s="3" t="s">
        <v>3588</v>
      </c>
      <c r="D2033" s="3" t="s">
        <v>844</v>
      </c>
      <c r="E2033" s="3" t="s">
        <v>874</v>
      </c>
      <c r="F2033" s="3"/>
      <c r="G2033" s="3"/>
      <c r="H2033" s="3"/>
      <c r="I2033" s="3"/>
      <c r="J2033" s="3" t="s">
        <v>1700</v>
      </c>
      <c r="K2033" s="27" t="s">
        <v>12</v>
      </c>
    </row>
    <row r="2034" ht="18.6" customHeight="1" spans="1:11">
      <c r="A2034" s="3">
        <v>2033</v>
      </c>
      <c r="B2034" s="3" t="s">
        <v>2847</v>
      </c>
      <c r="C2034" s="3" t="s">
        <v>3736</v>
      </c>
      <c r="D2034" s="3" t="s">
        <v>1197</v>
      </c>
      <c r="E2034" s="3" t="s">
        <v>1198</v>
      </c>
      <c r="F2034" s="3"/>
      <c r="G2034" s="3"/>
      <c r="H2034" s="3"/>
      <c r="I2034" s="3"/>
      <c r="J2034" s="3" t="s">
        <v>1700</v>
      </c>
      <c r="K2034" s="27" t="s">
        <v>12</v>
      </c>
    </row>
    <row r="2035" ht="18.6" customHeight="1" spans="1:11">
      <c r="A2035" s="3">
        <v>2034</v>
      </c>
      <c r="B2035" s="3" t="s">
        <v>2848</v>
      </c>
      <c r="C2035" s="3" t="s">
        <v>3666</v>
      </c>
      <c r="D2035" s="3" t="s">
        <v>1026</v>
      </c>
      <c r="E2035" s="3" t="s">
        <v>1027</v>
      </c>
      <c r="F2035" s="3"/>
      <c r="G2035" s="3"/>
      <c r="H2035" s="3"/>
      <c r="I2035" s="3"/>
      <c r="J2035" s="3" t="s">
        <v>1700</v>
      </c>
      <c r="K2035" s="27" t="s">
        <v>12</v>
      </c>
    </row>
    <row r="2036" ht="18.6" customHeight="1" spans="1:11">
      <c r="A2036" s="3">
        <v>2035</v>
      </c>
      <c r="B2036" s="3" t="s">
        <v>2849</v>
      </c>
      <c r="C2036" s="3" t="s">
        <v>3666</v>
      </c>
      <c r="D2036" s="3" t="s">
        <v>1026</v>
      </c>
      <c r="E2036" s="3" t="s">
        <v>1027</v>
      </c>
      <c r="F2036" s="3"/>
      <c r="G2036" s="3"/>
      <c r="H2036" s="3"/>
      <c r="I2036" s="3"/>
      <c r="J2036" s="3" t="s">
        <v>1700</v>
      </c>
      <c r="K2036" s="27" t="s">
        <v>12</v>
      </c>
    </row>
    <row r="2037" ht="18.6" customHeight="1" spans="1:11">
      <c r="A2037" s="3">
        <v>2036</v>
      </c>
      <c r="B2037" s="3" t="s">
        <v>2850</v>
      </c>
      <c r="C2037" s="3" t="s">
        <v>3666</v>
      </c>
      <c r="D2037" s="3" t="s">
        <v>1026</v>
      </c>
      <c r="E2037" s="3" t="s">
        <v>1043</v>
      </c>
      <c r="F2037" s="3"/>
      <c r="G2037" s="3"/>
      <c r="H2037" s="3"/>
      <c r="I2037" s="3"/>
      <c r="J2037" s="3" t="s">
        <v>1700</v>
      </c>
      <c r="K2037" s="27" t="s">
        <v>12</v>
      </c>
    </row>
    <row r="2038" ht="18.6" customHeight="1" spans="1:11">
      <c r="A2038" s="3">
        <v>2037</v>
      </c>
      <c r="B2038" s="3" t="s">
        <v>2851</v>
      </c>
      <c r="C2038" s="3" t="s">
        <v>3426</v>
      </c>
      <c r="D2038" s="3" t="s">
        <v>379</v>
      </c>
      <c r="E2038" s="3" t="s">
        <v>403</v>
      </c>
      <c r="F2038" s="3"/>
      <c r="G2038" s="3"/>
      <c r="H2038" s="3"/>
      <c r="I2038" s="3"/>
      <c r="J2038" s="3" t="s">
        <v>1700</v>
      </c>
      <c r="K2038" s="27" t="s">
        <v>12</v>
      </c>
    </row>
    <row r="2039" ht="18.6" customHeight="1" spans="1:11">
      <c r="A2039" s="3">
        <v>2038</v>
      </c>
      <c r="B2039" s="3" t="s">
        <v>2852</v>
      </c>
      <c r="C2039" s="3" t="s">
        <v>3426</v>
      </c>
      <c r="D2039" s="3" t="s">
        <v>379</v>
      </c>
      <c r="E2039" s="3" t="s">
        <v>440</v>
      </c>
      <c r="F2039" s="3"/>
      <c r="G2039" s="3"/>
      <c r="H2039" s="3"/>
      <c r="I2039" s="3"/>
      <c r="J2039" s="3" t="s">
        <v>1700</v>
      </c>
      <c r="K2039" s="27" t="s">
        <v>12</v>
      </c>
    </row>
    <row r="2040" ht="18.6" customHeight="1" spans="1:11">
      <c r="A2040" s="3">
        <v>2039</v>
      </c>
      <c r="B2040" s="3" t="s">
        <v>2853</v>
      </c>
      <c r="C2040" s="3" t="s">
        <v>3426</v>
      </c>
      <c r="D2040" s="3" t="s">
        <v>379</v>
      </c>
      <c r="E2040" s="3" t="s">
        <v>396</v>
      </c>
      <c r="F2040" s="3"/>
      <c r="G2040" s="3"/>
      <c r="H2040" s="3"/>
      <c r="I2040" s="3"/>
      <c r="J2040" s="3" t="s">
        <v>1700</v>
      </c>
      <c r="K2040" s="27" t="s">
        <v>12</v>
      </c>
    </row>
    <row r="2041" ht="18.6" customHeight="1" spans="1:11">
      <c r="A2041" s="3">
        <v>2040</v>
      </c>
      <c r="B2041" s="3" t="s">
        <v>2854</v>
      </c>
      <c r="C2041" s="3" t="s">
        <v>3509</v>
      </c>
      <c r="D2041" s="3" t="s">
        <v>628</v>
      </c>
      <c r="E2041" s="3" t="s">
        <v>660</v>
      </c>
      <c r="F2041" s="3"/>
      <c r="G2041" s="3"/>
      <c r="H2041" s="3"/>
      <c r="I2041" s="3"/>
      <c r="J2041" s="3" t="s">
        <v>1700</v>
      </c>
      <c r="K2041" s="27" t="s">
        <v>12</v>
      </c>
    </row>
    <row r="2042" ht="18.6" customHeight="1" spans="1:11">
      <c r="A2042" s="3">
        <v>2041</v>
      </c>
      <c r="B2042" s="3" t="s">
        <v>2855</v>
      </c>
      <c r="C2042" s="3" t="s">
        <v>3509</v>
      </c>
      <c r="D2042" s="3" t="s">
        <v>628</v>
      </c>
      <c r="E2042" s="3" t="s">
        <v>657</v>
      </c>
      <c r="F2042" s="3"/>
      <c r="G2042" s="3"/>
      <c r="H2042" s="3"/>
      <c r="I2042" s="3"/>
      <c r="J2042" s="3" t="s">
        <v>1700</v>
      </c>
      <c r="K2042" s="27" t="s">
        <v>12</v>
      </c>
    </row>
    <row r="2043" ht="18.6" customHeight="1" spans="1:11">
      <c r="A2043" s="3">
        <v>2042</v>
      </c>
      <c r="B2043" s="3" t="s">
        <v>2856</v>
      </c>
      <c r="C2043" s="3" t="s">
        <v>3528</v>
      </c>
      <c r="D2043" s="3" t="s">
        <v>692</v>
      </c>
      <c r="E2043" s="3" t="s">
        <v>727</v>
      </c>
      <c r="F2043" s="3"/>
      <c r="G2043" s="3"/>
      <c r="H2043" s="3"/>
      <c r="I2043" s="3"/>
      <c r="J2043" s="3" t="s">
        <v>1700</v>
      </c>
      <c r="K2043" s="27" t="s">
        <v>12</v>
      </c>
    </row>
    <row r="2044" ht="18.6" customHeight="1" spans="1:11">
      <c r="A2044" s="3">
        <v>2043</v>
      </c>
      <c r="B2044" s="3" t="s">
        <v>2857</v>
      </c>
      <c r="C2044" s="3" t="s">
        <v>3550</v>
      </c>
      <c r="D2044" s="3" t="s">
        <v>746</v>
      </c>
      <c r="E2044" s="3" t="s">
        <v>788</v>
      </c>
      <c r="F2044" s="3"/>
      <c r="G2044" s="3"/>
      <c r="H2044" s="3"/>
      <c r="I2044" s="3"/>
      <c r="J2044" s="3" t="s">
        <v>1700</v>
      </c>
      <c r="K2044" s="27" t="s">
        <v>12</v>
      </c>
    </row>
    <row r="2045" ht="18.6" customHeight="1" spans="1:11">
      <c r="A2045" s="3">
        <v>2044</v>
      </c>
      <c r="B2045" s="3" t="s">
        <v>2858</v>
      </c>
      <c r="C2045" s="3" t="s">
        <v>3569</v>
      </c>
      <c r="D2045" s="3" t="s">
        <v>797</v>
      </c>
      <c r="E2045" s="3" t="s">
        <v>819</v>
      </c>
      <c r="F2045" s="3"/>
      <c r="G2045" s="3"/>
      <c r="H2045" s="3"/>
      <c r="I2045" s="3"/>
      <c r="J2045" s="3" t="s">
        <v>1700</v>
      </c>
      <c r="K2045" s="27" t="s">
        <v>12</v>
      </c>
    </row>
    <row r="2046" ht="18.6" customHeight="1" spans="1:11">
      <c r="A2046" s="3">
        <v>2045</v>
      </c>
      <c r="B2046" s="3" t="s">
        <v>2859</v>
      </c>
      <c r="C2046" s="3" t="s">
        <v>3569</v>
      </c>
      <c r="D2046" s="3" t="s">
        <v>797</v>
      </c>
      <c r="E2046" s="3" t="s">
        <v>798</v>
      </c>
      <c r="F2046" s="3"/>
      <c r="G2046" s="3"/>
      <c r="H2046" s="3"/>
      <c r="I2046" s="3"/>
      <c r="J2046" s="3" t="s">
        <v>1700</v>
      </c>
      <c r="K2046" s="27" t="s">
        <v>12</v>
      </c>
    </row>
    <row r="2047" ht="18.6" customHeight="1" spans="1:11">
      <c r="A2047" s="3">
        <v>2046</v>
      </c>
      <c r="B2047" s="3" t="s">
        <v>2860</v>
      </c>
      <c r="C2047" s="3" t="s">
        <v>3612</v>
      </c>
      <c r="D2047" s="3" t="s">
        <v>902</v>
      </c>
      <c r="E2047" s="3" t="s">
        <v>921</v>
      </c>
      <c r="F2047" s="3"/>
      <c r="G2047" s="3"/>
      <c r="H2047" s="3"/>
      <c r="I2047" s="3"/>
      <c r="J2047" s="3" t="s">
        <v>1700</v>
      </c>
      <c r="K2047" s="27" t="s">
        <v>12</v>
      </c>
    </row>
    <row r="2048" ht="18.6" customHeight="1" spans="1:11">
      <c r="A2048" s="3">
        <v>2047</v>
      </c>
      <c r="B2048" s="3" t="s">
        <v>2861</v>
      </c>
      <c r="C2048" s="3" t="s">
        <v>3612</v>
      </c>
      <c r="D2048" s="3" t="s">
        <v>902</v>
      </c>
      <c r="E2048" s="3" t="s">
        <v>905</v>
      </c>
      <c r="F2048" s="3"/>
      <c r="G2048" s="3"/>
      <c r="H2048" s="3"/>
      <c r="I2048" s="3"/>
      <c r="J2048" s="3" t="s">
        <v>1700</v>
      </c>
      <c r="K2048" s="27" t="s">
        <v>12</v>
      </c>
    </row>
    <row r="2049" ht="18.6" customHeight="1" spans="1:11">
      <c r="A2049" s="3">
        <v>2048</v>
      </c>
      <c r="B2049" s="3" t="s">
        <v>2862</v>
      </c>
      <c r="C2049" s="3" t="s">
        <v>3628</v>
      </c>
      <c r="D2049" s="3" t="s">
        <v>943</v>
      </c>
      <c r="E2049" s="3" t="s">
        <v>944</v>
      </c>
      <c r="F2049" s="3"/>
      <c r="G2049" s="3"/>
      <c r="H2049" s="3"/>
      <c r="I2049" s="3"/>
      <c r="J2049" s="3" t="s">
        <v>1700</v>
      </c>
      <c r="K2049" s="27" t="s">
        <v>12</v>
      </c>
    </row>
    <row r="2050" ht="18.6" customHeight="1" spans="1:11">
      <c r="A2050" s="3">
        <v>2049</v>
      </c>
      <c r="B2050" s="3" t="s">
        <v>2863</v>
      </c>
      <c r="C2050" s="3" t="s">
        <v>3628</v>
      </c>
      <c r="D2050" s="3" t="s">
        <v>943</v>
      </c>
      <c r="E2050" s="3" t="s">
        <v>944</v>
      </c>
      <c r="F2050" s="3"/>
      <c r="G2050" s="3"/>
      <c r="H2050" s="3"/>
      <c r="I2050" s="3"/>
      <c r="J2050" s="3" t="s">
        <v>1700</v>
      </c>
      <c r="K2050" s="27" t="s">
        <v>12</v>
      </c>
    </row>
    <row r="2051" ht="18.6" customHeight="1" spans="1:11">
      <c r="A2051" s="3">
        <v>2050</v>
      </c>
      <c r="B2051" s="3" t="s">
        <v>2864</v>
      </c>
      <c r="C2051" s="3" t="s">
        <v>3641</v>
      </c>
      <c r="D2051" s="3" t="s">
        <v>971</v>
      </c>
      <c r="E2051" s="3" t="s">
        <v>2865</v>
      </c>
      <c r="F2051" s="3"/>
      <c r="G2051" s="3"/>
      <c r="H2051" s="3"/>
      <c r="I2051" s="3"/>
      <c r="J2051" s="3" t="s">
        <v>1700</v>
      </c>
      <c r="K2051" s="27" t="s">
        <v>12</v>
      </c>
    </row>
    <row r="2052" ht="18.6" customHeight="1" spans="1:11">
      <c r="A2052" s="3">
        <v>2051</v>
      </c>
      <c r="B2052" s="3" t="s">
        <v>2866</v>
      </c>
      <c r="C2052" s="3" t="s">
        <v>3678</v>
      </c>
      <c r="D2052" s="3" t="s">
        <v>1060</v>
      </c>
      <c r="E2052" s="3" t="s">
        <v>2867</v>
      </c>
      <c r="F2052" s="3"/>
      <c r="G2052" s="3"/>
      <c r="H2052" s="3"/>
      <c r="I2052" s="3"/>
      <c r="J2052" s="3" t="s">
        <v>1700</v>
      </c>
      <c r="K2052" s="27" t="s">
        <v>12</v>
      </c>
    </row>
    <row r="2053" ht="18.6" customHeight="1" spans="1:11">
      <c r="A2053" s="3">
        <v>2052</v>
      </c>
      <c r="B2053" s="3" t="s">
        <v>2868</v>
      </c>
      <c r="C2053" s="3" t="s">
        <v>3678</v>
      </c>
      <c r="D2053" s="3" t="s">
        <v>1060</v>
      </c>
      <c r="E2053" s="3" t="s">
        <v>1092</v>
      </c>
      <c r="F2053" s="3"/>
      <c r="G2053" s="3"/>
      <c r="H2053" s="3"/>
      <c r="I2053" s="3"/>
      <c r="J2053" s="3" t="s">
        <v>1700</v>
      </c>
      <c r="K2053" s="27" t="s">
        <v>12</v>
      </c>
    </row>
    <row r="2054" ht="18.6" customHeight="1" spans="1:11">
      <c r="A2054" s="3">
        <v>2053</v>
      </c>
      <c r="B2054" s="3" t="s">
        <v>2869</v>
      </c>
      <c r="C2054" s="3" t="s">
        <v>3678</v>
      </c>
      <c r="D2054" s="3" t="s">
        <v>1060</v>
      </c>
      <c r="E2054" s="3" t="s">
        <v>1073</v>
      </c>
      <c r="F2054" s="3"/>
      <c r="G2054" s="3"/>
      <c r="H2054" s="3"/>
      <c r="I2054" s="3"/>
      <c r="J2054" s="3" t="s">
        <v>1700</v>
      </c>
      <c r="K2054" s="27" t="s">
        <v>12</v>
      </c>
    </row>
    <row r="2055" ht="18.6" customHeight="1" spans="1:11">
      <c r="A2055" s="3">
        <v>2054</v>
      </c>
      <c r="B2055" s="3" t="s">
        <v>2870</v>
      </c>
      <c r="C2055" s="3" t="s">
        <v>3744</v>
      </c>
      <c r="D2055" s="3" t="s">
        <v>1206</v>
      </c>
      <c r="E2055" s="3" t="s">
        <v>2871</v>
      </c>
      <c r="F2055" s="3"/>
      <c r="G2055" s="3"/>
      <c r="H2055" s="3"/>
      <c r="I2055" s="3"/>
      <c r="J2055" s="3" t="s">
        <v>1700</v>
      </c>
      <c r="K2055" s="27" t="s">
        <v>12</v>
      </c>
    </row>
    <row r="2056" ht="18.6" customHeight="1" spans="1:11">
      <c r="A2056" s="3">
        <v>2055</v>
      </c>
      <c r="B2056" s="3" t="s">
        <v>1251</v>
      </c>
      <c r="C2056" s="3" t="s">
        <v>3320</v>
      </c>
      <c r="D2056" s="3" t="s">
        <v>10</v>
      </c>
      <c r="E2056" s="3" t="s">
        <v>10</v>
      </c>
      <c r="F2056" s="3"/>
      <c r="G2056" s="3"/>
      <c r="H2056" s="3"/>
      <c r="I2056" s="3"/>
      <c r="J2056" s="3" t="s">
        <v>11</v>
      </c>
      <c r="K2056" s="27" t="s">
        <v>1252</v>
      </c>
    </row>
    <row r="2057" ht="18.6" customHeight="1" spans="1:11">
      <c r="A2057" s="3">
        <v>2056</v>
      </c>
      <c r="B2057" s="3" t="s">
        <v>1253</v>
      </c>
      <c r="C2057" s="3" t="s">
        <v>3320</v>
      </c>
      <c r="D2057" s="3" t="s">
        <v>10</v>
      </c>
      <c r="E2057" s="3" t="s">
        <v>10</v>
      </c>
      <c r="F2057" s="3"/>
      <c r="G2057" s="3"/>
      <c r="H2057" s="3"/>
      <c r="I2057" s="3" t="s">
        <v>3772</v>
      </c>
      <c r="J2057" s="3" t="s">
        <v>11</v>
      </c>
      <c r="K2057" s="27" t="s">
        <v>3834</v>
      </c>
    </row>
    <row r="2058" ht="18.6" customHeight="1" spans="1:11">
      <c r="A2058" s="3">
        <v>2057</v>
      </c>
      <c r="B2058" s="3" t="s">
        <v>1254</v>
      </c>
      <c r="C2058" s="3" t="s">
        <v>3320</v>
      </c>
      <c r="D2058" s="3" t="s">
        <v>10</v>
      </c>
      <c r="E2058" s="3" t="s">
        <v>10</v>
      </c>
      <c r="F2058" s="3"/>
      <c r="G2058" s="3"/>
      <c r="H2058" s="3"/>
      <c r="I2058" s="3"/>
      <c r="J2058" s="3" t="s">
        <v>11</v>
      </c>
      <c r="K2058" s="27" t="s">
        <v>3834</v>
      </c>
    </row>
    <row r="2059" ht="18.6" customHeight="1" spans="1:11">
      <c r="A2059" s="3">
        <v>2058</v>
      </c>
      <c r="B2059" s="3" t="s">
        <v>1255</v>
      </c>
      <c r="C2059" s="3" t="s">
        <v>3320</v>
      </c>
      <c r="D2059" s="3" t="s">
        <v>10</v>
      </c>
      <c r="E2059" s="3" t="s">
        <v>10</v>
      </c>
      <c r="F2059" s="3"/>
      <c r="G2059" s="3"/>
      <c r="H2059" s="3"/>
      <c r="I2059" s="3" t="s">
        <v>3769</v>
      </c>
      <c r="J2059" s="3" t="s">
        <v>11</v>
      </c>
      <c r="K2059" s="27" t="s">
        <v>3834</v>
      </c>
    </row>
    <row r="2060" ht="18.6" customHeight="1" spans="1:11">
      <c r="A2060" s="3">
        <v>2059</v>
      </c>
      <c r="B2060" s="3" t="s">
        <v>1256</v>
      </c>
      <c r="C2060" s="3" t="s">
        <v>3320</v>
      </c>
      <c r="D2060" s="3" t="s">
        <v>10</v>
      </c>
      <c r="E2060" s="3" t="s">
        <v>10</v>
      </c>
      <c r="F2060" s="3"/>
      <c r="G2060" s="3"/>
      <c r="H2060" s="3"/>
      <c r="I2060" s="3" t="s">
        <v>3769</v>
      </c>
      <c r="J2060" s="3" t="s">
        <v>11</v>
      </c>
      <c r="K2060" s="27" t="s">
        <v>3834</v>
      </c>
    </row>
    <row r="2061" ht="18.6" customHeight="1" spans="1:11">
      <c r="A2061" s="3">
        <v>2060</v>
      </c>
      <c r="B2061" s="3" t="s">
        <v>1257</v>
      </c>
      <c r="C2061" s="3" t="s">
        <v>3320</v>
      </c>
      <c r="D2061" s="3" t="s">
        <v>10</v>
      </c>
      <c r="E2061" s="3" t="s">
        <v>10</v>
      </c>
      <c r="F2061" s="3"/>
      <c r="G2061" s="3"/>
      <c r="H2061" s="3"/>
      <c r="I2061" s="3" t="s">
        <v>3769</v>
      </c>
      <c r="J2061" s="3" t="s">
        <v>11</v>
      </c>
      <c r="K2061" s="27" t="s">
        <v>3834</v>
      </c>
    </row>
    <row r="2062" ht="18.6" customHeight="1" spans="1:11">
      <c r="A2062" s="3">
        <v>2061</v>
      </c>
      <c r="B2062" s="3" t="s">
        <v>1258</v>
      </c>
      <c r="C2062" s="3" t="s">
        <v>3328</v>
      </c>
      <c r="D2062" s="3" t="s">
        <v>76</v>
      </c>
      <c r="E2062" s="3" t="s">
        <v>76</v>
      </c>
      <c r="F2062" s="3"/>
      <c r="G2062" s="3"/>
      <c r="H2062" s="3"/>
      <c r="I2062" s="3"/>
      <c r="J2062" s="3" t="s">
        <v>11</v>
      </c>
      <c r="K2062" s="27" t="s">
        <v>3834</v>
      </c>
    </row>
    <row r="2063" ht="18.6" customHeight="1" spans="1:11">
      <c r="A2063" s="3">
        <v>2062</v>
      </c>
      <c r="B2063" s="3" t="s">
        <v>1259</v>
      </c>
      <c r="C2063" s="3" t="s">
        <v>3328</v>
      </c>
      <c r="D2063" s="3" t="s">
        <v>76</v>
      </c>
      <c r="E2063" s="3" t="s">
        <v>76</v>
      </c>
      <c r="F2063" s="3"/>
      <c r="G2063" s="3"/>
      <c r="H2063" s="3"/>
      <c r="I2063" s="3" t="s">
        <v>3778</v>
      </c>
      <c r="J2063" s="3" t="s">
        <v>11</v>
      </c>
      <c r="K2063" s="27" t="s">
        <v>3834</v>
      </c>
    </row>
    <row r="2064" ht="18.6" customHeight="1" spans="1:11">
      <c r="A2064" s="3">
        <v>2063</v>
      </c>
      <c r="B2064" s="3" t="s">
        <v>1260</v>
      </c>
      <c r="C2064" s="3" t="s">
        <v>3328</v>
      </c>
      <c r="D2064" s="3" t="s">
        <v>76</v>
      </c>
      <c r="E2064" s="3" t="s">
        <v>76</v>
      </c>
      <c r="F2064" s="3"/>
      <c r="G2064" s="3"/>
      <c r="H2064" s="3"/>
      <c r="I2064" s="3"/>
      <c r="J2064" s="3" t="s">
        <v>11</v>
      </c>
      <c r="K2064" s="27" t="s">
        <v>3834</v>
      </c>
    </row>
    <row r="2065" ht="18.6" customHeight="1" spans="1:11">
      <c r="A2065" s="3">
        <v>2064</v>
      </c>
      <c r="B2065" s="3" t="s">
        <v>1261</v>
      </c>
      <c r="C2065" s="3" t="s">
        <v>3328</v>
      </c>
      <c r="D2065" s="3" t="s">
        <v>76</v>
      </c>
      <c r="E2065" s="3" t="s">
        <v>76</v>
      </c>
      <c r="F2065" s="3"/>
      <c r="G2065" s="3"/>
      <c r="H2065" s="3"/>
      <c r="I2065" s="3" t="s">
        <v>3771</v>
      </c>
      <c r="J2065" s="3" t="s">
        <v>11</v>
      </c>
      <c r="K2065" s="27" t="s">
        <v>3834</v>
      </c>
    </row>
    <row r="2066" ht="18.6" customHeight="1" spans="1:11">
      <c r="A2066" s="3">
        <v>2065</v>
      </c>
      <c r="B2066" s="3" t="s">
        <v>1262</v>
      </c>
      <c r="C2066" s="3" t="s">
        <v>3328</v>
      </c>
      <c r="D2066" s="3" t="s">
        <v>76</v>
      </c>
      <c r="E2066" s="3" t="s">
        <v>76</v>
      </c>
      <c r="F2066" s="3"/>
      <c r="G2066" s="3"/>
      <c r="H2066" s="3"/>
      <c r="I2066" s="3" t="s">
        <v>3775</v>
      </c>
      <c r="J2066" s="3" t="s">
        <v>11</v>
      </c>
      <c r="K2066" s="27" t="s">
        <v>3834</v>
      </c>
    </row>
    <row r="2067" ht="18.6" customHeight="1" spans="1:11">
      <c r="A2067" s="3">
        <v>2066</v>
      </c>
      <c r="B2067" s="3" t="s">
        <v>1263</v>
      </c>
      <c r="C2067" s="3" t="s">
        <v>3328</v>
      </c>
      <c r="D2067" s="3" t="s">
        <v>76</v>
      </c>
      <c r="E2067" s="3" t="s">
        <v>76</v>
      </c>
      <c r="F2067" s="3"/>
      <c r="G2067" s="3"/>
      <c r="H2067" s="3"/>
      <c r="I2067" s="3" t="s">
        <v>3769</v>
      </c>
      <c r="J2067" s="3" t="s">
        <v>11</v>
      </c>
      <c r="K2067" s="27" t="s">
        <v>3834</v>
      </c>
    </row>
    <row r="2068" ht="18.6" customHeight="1" spans="1:11">
      <c r="A2068" s="3">
        <v>2067</v>
      </c>
      <c r="B2068" s="3" t="s">
        <v>1264</v>
      </c>
      <c r="C2068" s="3" t="s">
        <v>3328</v>
      </c>
      <c r="D2068" s="3" t="s">
        <v>76</v>
      </c>
      <c r="E2068" s="3" t="s">
        <v>76</v>
      </c>
      <c r="F2068" s="3"/>
      <c r="G2068" s="3"/>
      <c r="H2068" s="3"/>
      <c r="I2068" s="3"/>
      <c r="J2068" s="3" t="s">
        <v>11</v>
      </c>
      <c r="K2068" s="27" t="s">
        <v>3834</v>
      </c>
    </row>
    <row r="2069" ht="18.6" customHeight="1" spans="1:11">
      <c r="A2069" s="3">
        <v>2068</v>
      </c>
      <c r="B2069" s="3" t="s">
        <v>1265</v>
      </c>
      <c r="C2069" s="3" t="s">
        <v>3328</v>
      </c>
      <c r="D2069" s="3" t="s">
        <v>76</v>
      </c>
      <c r="E2069" s="3" t="s">
        <v>76</v>
      </c>
      <c r="F2069" s="3"/>
      <c r="G2069" s="3"/>
      <c r="H2069" s="3"/>
      <c r="I2069" s="3" t="s">
        <v>3769</v>
      </c>
      <c r="J2069" s="3" t="s">
        <v>11</v>
      </c>
      <c r="K2069" s="27" t="s">
        <v>3834</v>
      </c>
    </row>
    <row r="2070" ht="18.6" customHeight="1" spans="1:11">
      <c r="A2070" s="3">
        <v>2069</v>
      </c>
      <c r="B2070" s="3" t="s">
        <v>1266</v>
      </c>
      <c r="C2070" s="3" t="s">
        <v>3328</v>
      </c>
      <c r="D2070" s="3" t="s">
        <v>76</v>
      </c>
      <c r="E2070" s="3" t="s">
        <v>76</v>
      </c>
      <c r="F2070" s="3"/>
      <c r="G2070" s="3"/>
      <c r="H2070" s="3"/>
      <c r="I2070" s="3" t="s">
        <v>3769</v>
      </c>
      <c r="J2070" s="3" t="s">
        <v>11</v>
      </c>
      <c r="K2070" s="27" t="s">
        <v>3834</v>
      </c>
    </row>
    <row r="2071" ht="18.6" customHeight="1" spans="1:11">
      <c r="A2071" s="3">
        <v>2070</v>
      </c>
      <c r="B2071" s="3" t="s">
        <v>1267</v>
      </c>
      <c r="C2071" s="3" t="s">
        <v>3328</v>
      </c>
      <c r="D2071" s="3" t="s">
        <v>76</v>
      </c>
      <c r="E2071" s="3" t="s">
        <v>76</v>
      </c>
      <c r="F2071" s="3"/>
      <c r="G2071" s="3"/>
      <c r="H2071" s="3"/>
      <c r="I2071" s="3"/>
      <c r="J2071" s="3" t="s">
        <v>11</v>
      </c>
      <c r="K2071" s="27" t="s">
        <v>3834</v>
      </c>
    </row>
    <row r="2072" ht="18.6" customHeight="1" spans="1:11">
      <c r="A2072" s="3">
        <v>2071</v>
      </c>
      <c r="B2072" s="3" t="s">
        <v>1268</v>
      </c>
      <c r="C2072" s="3" t="s">
        <v>3328</v>
      </c>
      <c r="D2072" s="3" t="s">
        <v>76</v>
      </c>
      <c r="E2072" s="3" t="s">
        <v>76</v>
      </c>
      <c r="F2072" s="3"/>
      <c r="G2072" s="3"/>
      <c r="H2072" s="3"/>
      <c r="I2072" s="3" t="s">
        <v>3771</v>
      </c>
      <c r="J2072" s="3" t="s">
        <v>11</v>
      </c>
      <c r="K2072" s="27" t="s">
        <v>3834</v>
      </c>
    </row>
    <row r="2073" ht="18.6" customHeight="1" spans="1:11">
      <c r="A2073" s="3">
        <v>2072</v>
      </c>
      <c r="B2073" s="3" t="s">
        <v>1269</v>
      </c>
      <c r="C2073" s="3" t="s">
        <v>3346</v>
      </c>
      <c r="D2073" s="3" t="s">
        <v>98</v>
      </c>
      <c r="E2073" s="3" t="s">
        <v>103</v>
      </c>
      <c r="F2073" s="3"/>
      <c r="G2073" s="3"/>
      <c r="H2073" s="3"/>
      <c r="I2073" s="3"/>
      <c r="J2073" s="3" t="s">
        <v>11</v>
      </c>
      <c r="K2073" s="27" t="s">
        <v>3834</v>
      </c>
    </row>
    <row r="2074" ht="18.6" customHeight="1" spans="1:11">
      <c r="A2074" s="3">
        <v>2073</v>
      </c>
      <c r="B2074" s="3" t="s">
        <v>1270</v>
      </c>
      <c r="C2074" s="3" t="s">
        <v>3346</v>
      </c>
      <c r="D2074" s="3" t="s">
        <v>98</v>
      </c>
      <c r="E2074" s="3" t="s">
        <v>103</v>
      </c>
      <c r="F2074" s="3"/>
      <c r="G2074" s="3"/>
      <c r="H2074" s="3"/>
      <c r="I2074" s="3"/>
      <c r="J2074" s="3" t="s">
        <v>11</v>
      </c>
      <c r="K2074" s="27" t="s">
        <v>3834</v>
      </c>
    </row>
    <row r="2075" ht="18.6" customHeight="1" spans="1:11">
      <c r="A2075" s="3">
        <v>2074</v>
      </c>
      <c r="B2075" s="3" t="s">
        <v>1271</v>
      </c>
      <c r="C2075" s="3" t="s">
        <v>3346</v>
      </c>
      <c r="D2075" s="3" t="s">
        <v>98</v>
      </c>
      <c r="E2075" s="3" t="s">
        <v>103</v>
      </c>
      <c r="F2075" s="3"/>
      <c r="G2075" s="3"/>
      <c r="H2075" s="3"/>
      <c r="I2075" s="3"/>
      <c r="J2075" s="3" t="s">
        <v>11</v>
      </c>
      <c r="K2075" s="27" t="s">
        <v>3834</v>
      </c>
    </row>
    <row r="2076" ht="18.6" customHeight="1" spans="1:11">
      <c r="A2076" s="3">
        <v>2075</v>
      </c>
      <c r="B2076" s="3" t="s">
        <v>1272</v>
      </c>
      <c r="C2076" s="3" t="s">
        <v>3346</v>
      </c>
      <c r="D2076" s="3" t="s">
        <v>98</v>
      </c>
      <c r="E2076" s="3" t="s">
        <v>99</v>
      </c>
      <c r="F2076" s="3"/>
      <c r="G2076" s="3"/>
      <c r="H2076" s="3"/>
      <c r="I2076" s="3"/>
      <c r="J2076" s="3" t="s">
        <v>11</v>
      </c>
      <c r="K2076" s="27" t="s">
        <v>3834</v>
      </c>
    </row>
    <row r="2077" ht="18.6" customHeight="1" spans="1:11">
      <c r="A2077" s="3">
        <v>2076</v>
      </c>
      <c r="B2077" s="3" t="s">
        <v>1273</v>
      </c>
      <c r="C2077" s="3" t="s">
        <v>3346</v>
      </c>
      <c r="D2077" s="3" t="s">
        <v>98</v>
      </c>
      <c r="E2077" s="3" t="s">
        <v>103</v>
      </c>
      <c r="F2077" s="3"/>
      <c r="G2077" s="3"/>
      <c r="H2077" s="3"/>
      <c r="I2077" s="3"/>
      <c r="J2077" s="3" t="s">
        <v>11</v>
      </c>
      <c r="K2077" s="27" t="s">
        <v>3834</v>
      </c>
    </row>
    <row r="2078" ht="18.6" customHeight="1" spans="1:11">
      <c r="A2078" s="3">
        <v>2077</v>
      </c>
      <c r="B2078" s="3" t="s">
        <v>1274</v>
      </c>
      <c r="C2078" s="3" t="s">
        <v>3346</v>
      </c>
      <c r="D2078" s="3" t="s">
        <v>98</v>
      </c>
      <c r="E2078" s="3" t="s">
        <v>99</v>
      </c>
      <c r="F2078" s="3"/>
      <c r="G2078" s="3"/>
      <c r="H2078" s="3"/>
      <c r="I2078" s="3"/>
      <c r="J2078" s="3" t="s">
        <v>11</v>
      </c>
      <c r="K2078" s="27" t="s">
        <v>3834</v>
      </c>
    </row>
    <row r="2079" ht="18.6" customHeight="1" spans="1:11">
      <c r="A2079" s="3">
        <v>2078</v>
      </c>
      <c r="B2079" s="3" t="s">
        <v>1275</v>
      </c>
      <c r="C2079" s="3" t="s">
        <v>3346</v>
      </c>
      <c r="D2079" s="3" t="s">
        <v>98</v>
      </c>
      <c r="E2079" s="3" t="s">
        <v>106</v>
      </c>
      <c r="F2079" s="3"/>
      <c r="G2079" s="3"/>
      <c r="H2079" s="3"/>
      <c r="I2079" s="3" t="s">
        <v>3769</v>
      </c>
      <c r="J2079" s="3" t="s">
        <v>11</v>
      </c>
      <c r="K2079" s="27" t="s">
        <v>3834</v>
      </c>
    </row>
    <row r="2080" ht="18.6" customHeight="1" spans="1:11">
      <c r="A2080" s="3">
        <v>2079</v>
      </c>
      <c r="B2080" s="3" t="s">
        <v>1276</v>
      </c>
      <c r="C2080" s="3" t="s">
        <v>3346</v>
      </c>
      <c r="D2080" s="3" t="s">
        <v>98</v>
      </c>
      <c r="E2080" s="3" t="s">
        <v>103</v>
      </c>
      <c r="F2080" s="3"/>
      <c r="G2080" s="3"/>
      <c r="H2080" s="3"/>
      <c r="I2080" s="3" t="s">
        <v>3776</v>
      </c>
      <c r="J2080" s="3" t="s">
        <v>11</v>
      </c>
      <c r="K2080" s="27" t="s">
        <v>3834</v>
      </c>
    </row>
    <row r="2081" ht="18.6" customHeight="1" spans="1:11">
      <c r="A2081" s="3">
        <v>2080</v>
      </c>
      <c r="B2081" s="3" t="s">
        <v>1277</v>
      </c>
      <c r="C2081" s="3" t="s">
        <v>3346</v>
      </c>
      <c r="D2081" s="3" t="s">
        <v>98</v>
      </c>
      <c r="E2081" s="3" t="s">
        <v>103</v>
      </c>
      <c r="F2081" s="3"/>
      <c r="G2081" s="3"/>
      <c r="H2081" s="3"/>
      <c r="I2081" s="3" t="s">
        <v>3771</v>
      </c>
      <c r="J2081" s="3" t="s">
        <v>11</v>
      </c>
      <c r="K2081" s="27" t="s">
        <v>3834</v>
      </c>
    </row>
    <row r="2082" ht="18.6" customHeight="1" spans="1:11">
      <c r="A2082" s="3">
        <v>2081</v>
      </c>
      <c r="B2082" s="3" t="s">
        <v>1278</v>
      </c>
      <c r="C2082" s="3" t="s">
        <v>3346</v>
      </c>
      <c r="D2082" s="3" t="s">
        <v>98</v>
      </c>
      <c r="E2082" s="3" t="s">
        <v>103</v>
      </c>
      <c r="F2082" s="3"/>
      <c r="G2082" s="3"/>
      <c r="H2082" s="3"/>
      <c r="I2082" s="3" t="s">
        <v>3775</v>
      </c>
      <c r="J2082" s="3" t="s">
        <v>11</v>
      </c>
      <c r="K2082" s="27" t="s">
        <v>3834</v>
      </c>
    </row>
    <row r="2083" ht="18.6" customHeight="1" spans="1:11">
      <c r="A2083" s="3">
        <v>2082</v>
      </c>
      <c r="B2083" s="3" t="s">
        <v>1279</v>
      </c>
      <c r="C2083" s="3" t="s">
        <v>3346</v>
      </c>
      <c r="D2083" s="3" t="s">
        <v>98</v>
      </c>
      <c r="E2083" s="3" t="s">
        <v>101</v>
      </c>
      <c r="F2083" s="3"/>
      <c r="G2083" s="3"/>
      <c r="H2083" s="3"/>
      <c r="I2083" s="3" t="s">
        <v>3769</v>
      </c>
      <c r="J2083" s="3" t="s">
        <v>11</v>
      </c>
      <c r="K2083" s="27" t="s">
        <v>3834</v>
      </c>
    </row>
    <row r="2084" ht="18.6" customHeight="1" spans="1:11">
      <c r="A2084" s="3">
        <v>2083</v>
      </c>
      <c r="B2084" s="3" t="s">
        <v>1280</v>
      </c>
      <c r="C2084" s="3" t="s">
        <v>3346</v>
      </c>
      <c r="D2084" s="3" t="s">
        <v>98</v>
      </c>
      <c r="E2084" s="3" t="s">
        <v>132</v>
      </c>
      <c r="F2084" s="3"/>
      <c r="G2084" s="3"/>
      <c r="H2084" s="3"/>
      <c r="I2084" s="3"/>
      <c r="J2084" s="3" t="s">
        <v>11</v>
      </c>
      <c r="K2084" s="27" t="s">
        <v>3834</v>
      </c>
    </row>
    <row r="2085" ht="18.6" customHeight="1" spans="1:11">
      <c r="A2085" s="3">
        <v>2084</v>
      </c>
      <c r="B2085" s="3" t="s">
        <v>1281</v>
      </c>
      <c r="C2085" s="3" t="s">
        <v>3346</v>
      </c>
      <c r="D2085" s="3" t="s">
        <v>98</v>
      </c>
      <c r="E2085" s="3" t="s">
        <v>103</v>
      </c>
      <c r="F2085" s="3"/>
      <c r="G2085" s="3"/>
      <c r="H2085" s="3"/>
      <c r="I2085" s="3" t="s">
        <v>3769</v>
      </c>
      <c r="J2085" s="3" t="s">
        <v>11</v>
      </c>
      <c r="K2085" s="27" t="s">
        <v>3834</v>
      </c>
    </row>
    <row r="2086" ht="18.6" customHeight="1" spans="1:11">
      <c r="A2086" s="3">
        <v>2085</v>
      </c>
      <c r="B2086" s="3" t="s">
        <v>1282</v>
      </c>
      <c r="C2086" s="3" t="s">
        <v>3346</v>
      </c>
      <c r="D2086" s="3" t="s">
        <v>98</v>
      </c>
      <c r="E2086" s="3" t="s">
        <v>103</v>
      </c>
      <c r="F2086" s="3"/>
      <c r="G2086" s="3"/>
      <c r="H2086" s="3"/>
      <c r="I2086" s="3" t="s">
        <v>3771</v>
      </c>
      <c r="J2086" s="3" t="s">
        <v>11</v>
      </c>
      <c r="K2086" s="27" t="s">
        <v>3834</v>
      </c>
    </row>
    <row r="2087" ht="18.6" customHeight="1" spans="1:11">
      <c r="A2087" s="3">
        <v>2086</v>
      </c>
      <c r="B2087" s="3" t="s">
        <v>1283</v>
      </c>
      <c r="C2087" s="3" t="s">
        <v>3346</v>
      </c>
      <c r="D2087" s="3" t="s">
        <v>98</v>
      </c>
      <c r="E2087" s="3" t="s">
        <v>99</v>
      </c>
      <c r="F2087" s="3"/>
      <c r="G2087" s="3"/>
      <c r="H2087" s="3"/>
      <c r="I2087" s="3" t="s">
        <v>3769</v>
      </c>
      <c r="J2087" s="3" t="s">
        <v>11</v>
      </c>
      <c r="K2087" s="27" t="s">
        <v>3834</v>
      </c>
    </row>
    <row r="2088" ht="18.6" customHeight="1" spans="1:11">
      <c r="A2088" s="3">
        <v>2087</v>
      </c>
      <c r="B2088" s="3" t="s">
        <v>1284</v>
      </c>
      <c r="C2088" s="3" t="s">
        <v>3346</v>
      </c>
      <c r="D2088" s="3" t="s">
        <v>98</v>
      </c>
      <c r="E2088" s="3" t="s">
        <v>106</v>
      </c>
      <c r="F2088" s="3"/>
      <c r="G2088" s="3"/>
      <c r="H2088" s="3"/>
      <c r="I2088" s="3" t="s">
        <v>3775</v>
      </c>
      <c r="J2088" s="3" t="s">
        <v>11</v>
      </c>
      <c r="K2088" s="27" t="s">
        <v>3834</v>
      </c>
    </row>
    <row r="2089" ht="18.6" customHeight="1" spans="1:11">
      <c r="A2089" s="3">
        <v>2088</v>
      </c>
      <c r="B2089" s="3" t="s">
        <v>1285</v>
      </c>
      <c r="C2089" s="3" t="s">
        <v>3346</v>
      </c>
      <c r="D2089" s="3" t="s">
        <v>98</v>
      </c>
      <c r="E2089" s="3" t="s">
        <v>99</v>
      </c>
      <c r="F2089" s="3"/>
      <c r="G2089" s="3"/>
      <c r="H2089" s="3"/>
      <c r="I2089" s="3"/>
      <c r="J2089" s="3" t="s">
        <v>11</v>
      </c>
      <c r="K2089" s="27" t="s">
        <v>3834</v>
      </c>
    </row>
    <row r="2090" ht="18.6" customHeight="1" spans="1:11">
      <c r="A2090" s="3">
        <v>2089</v>
      </c>
      <c r="B2090" s="3" t="s">
        <v>1286</v>
      </c>
      <c r="C2090" s="3" t="s">
        <v>3346</v>
      </c>
      <c r="D2090" s="3" t="s">
        <v>98</v>
      </c>
      <c r="E2090" s="3" t="s">
        <v>122</v>
      </c>
      <c r="F2090" s="3"/>
      <c r="G2090" s="3"/>
      <c r="H2090" s="3"/>
      <c r="I2090" s="3"/>
      <c r="J2090" s="3" t="s">
        <v>11</v>
      </c>
      <c r="K2090" s="27" t="s">
        <v>3834</v>
      </c>
    </row>
    <row r="2091" ht="18.6" customHeight="1" spans="1:11">
      <c r="A2091" s="3">
        <v>2090</v>
      </c>
      <c r="B2091" s="3" t="s">
        <v>1287</v>
      </c>
      <c r="C2091" s="3" t="s">
        <v>3346</v>
      </c>
      <c r="D2091" s="3" t="s">
        <v>98</v>
      </c>
      <c r="E2091" s="3" t="s">
        <v>122</v>
      </c>
      <c r="F2091" s="3"/>
      <c r="G2091" s="3"/>
      <c r="H2091" s="3"/>
      <c r="I2091" s="3" t="s">
        <v>3775</v>
      </c>
      <c r="J2091" s="3" t="s">
        <v>11</v>
      </c>
      <c r="K2091" s="27" t="s">
        <v>3834</v>
      </c>
    </row>
    <row r="2092" ht="18.6" customHeight="1" spans="1:11">
      <c r="A2092" s="3">
        <v>2091</v>
      </c>
      <c r="B2092" s="3" t="s">
        <v>1288</v>
      </c>
      <c r="C2092" s="3" t="s">
        <v>3346</v>
      </c>
      <c r="D2092" s="3" t="s">
        <v>98</v>
      </c>
      <c r="E2092" s="3" t="s">
        <v>111</v>
      </c>
      <c r="F2092" s="3"/>
      <c r="G2092" s="3"/>
      <c r="H2092" s="3"/>
      <c r="I2092" s="3"/>
      <c r="J2092" s="3" t="s">
        <v>11</v>
      </c>
      <c r="K2092" s="27" t="s">
        <v>3834</v>
      </c>
    </row>
    <row r="2093" ht="18.6" customHeight="1" spans="1:11">
      <c r="A2093" s="3">
        <v>2092</v>
      </c>
      <c r="B2093" s="3" t="s">
        <v>1289</v>
      </c>
      <c r="C2093" s="3" t="s">
        <v>3346</v>
      </c>
      <c r="D2093" s="3" t="s">
        <v>98</v>
      </c>
      <c r="E2093" s="3" t="s">
        <v>122</v>
      </c>
      <c r="F2093" s="3"/>
      <c r="G2093" s="3"/>
      <c r="H2093" s="3"/>
      <c r="I2093" s="3"/>
      <c r="J2093" s="3" t="s">
        <v>11</v>
      </c>
      <c r="K2093" s="27" t="s">
        <v>3834</v>
      </c>
    </row>
    <row r="2094" ht="18.6" customHeight="1" spans="1:11">
      <c r="A2094" s="3">
        <v>2093</v>
      </c>
      <c r="B2094" s="3" t="s">
        <v>1290</v>
      </c>
      <c r="C2094" s="3" t="s">
        <v>3355</v>
      </c>
      <c r="D2094" s="3" t="s">
        <v>151</v>
      </c>
      <c r="E2094" s="3" t="s">
        <v>152</v>
      </c>
      <c r="F2094" s="3"/>
      <c r="G2094" s="3"/>
      <c r="H2094" s="3"/>
      <c r="I2094" s="3"/>
      <c r="J2094" s="3" t="s">
        <v>11</v>
      </c>
      <c r="K2094" s="27" t="s">
        <v>3834</v>
      </c>
    </row>
    <row r="2095" ht="18.6" customHeight="1" spans="1:11">
      <c r="A2095" s="3">
        <v>2094</v>
      </c>
      <c r="B2095" s="3" t="s">
        <v>1291</v>
      </c>
      <c r="C2095" s="3" t="s">
        <v>3355</v>
      </c>
      <c r="D2095" s="3" t="s">
        <v>151</v>
      </c>
      <c r="E2095" s="3" t="s">
        <v>157</v>
      </c>
      <c r="F2095" s="3"/>
      <c r="G2095" s="3"/>
      <c r="H2095" s="3"/>
      <c r="I2095" s="3"/>
      <c r="J2095" s="3" t="s">
        <v>11</v>
      </c>
      <c r="K2095" s="27" t="s">
        <v>3834</v>
      </c>
    </row>
    <row r="2096" ht="18.6" customHeight="1" spans="1:11">
      <c r="A2096" s="3">
        <v>2095</v>
      </c>
      <c r="B2096" s="3" t="s">
        <v>1292</v>
      </c>
      <c r="C2096" s="3" t="s">
        <v>3355</v>
      </c>
      <c r="D2096" s="3" t="s">
        <v>151</v>
      </c>
      <c r="E2096" s="3" t="s">
        <v>157</v>
      </c>
      <c r="F2096" s="3"/>
      <c r="G2096" s="3"/>
      <c r="H2096" s="3"/>
      <c r="I2096" s="3"/>
      <c r="J2096" s="3" t="s">
        <v>11</v>
      </c>
      <c r="K2096" s="27" t="s">
        <v>3834</v>
      </c>
    </row>
    <row r="2097" ht="18.6" customHeight="1" spans="1:11">
      <c r="A2097" s="3">
        <v>2096</v>
      </c>
      <c r="B2097" s="3" t="s">
        <v>3835</v>
      </c>
      <c r="C2097" s="3" t="s">
        <v>3355</v>
      </c>
      <c r="D2097" s="3" t="s">
        <v>151</v>
      </c>
      <c r="E2097" s="3" t="s">
        <v>152</v>
      </c>
      <c r="F2097" s="3"/>
      <c r="G2097" s="3"/>
      <c r="H2097" s="3"/>
      <c r="I2097" s="3"/>
      <c r="J2097" s="3" t="s">
        <v>11</v>
      </c>
      <c r="K2097" s="27" t="s">
        <v>3834</v>
      </c>
    </row>
    <row r="2098" ht="18.6" customHeight="1" spans="1:11">
      <c r="A2098" s="3">
        <v>2097</v>
      </c>
      <c r="B2098" s="3" t="s">
        <v>1294</v>
      </c>
      <c r="C2098" s="3" t="s">
        <v>3355</v>
      </c>
      <c r="D2098" s="3" t="s">
        <v>151</v>
      </c>
      <c r="E2098" s="3" t="s">
        <v>152</v>
      </c>
      <c r="F2098" s="3"/>
      <c r="G2098" s="3"/>
      <c r="H2098" s="3"/>
      <c r="I2098" s="3"/>
      <c r="J2098" s="3" t="s">
        <v>11</v>
      </c>
      <c r="K2098" s="27" t="s">
        <v>3834</v>
      </c>
    </row>
    <row r="2099" ht="18.6" customHeight="1" spans="1:11">
      <c r="A2099" s="3">
        <v>2098</v>
      </c>
      <c r="B2099" s="3" t="s">
        <v>1295</v>
      </c>
      <c r="C2099" s="3" t="s">
        <v>3355</v>
      </c>
      <c r="D2099" s="3" t="s">
        <v>151</v>
      </c>
      <c r="E2099" s="3" t="s">
        <v>152</v>
      </c>
      <c r="F2099" s="3"/>
      <c r="G2099" s="3"/>
      <c r="H2099" s="3"/>
      <c r="I2099" s="3"/>
      <c r="J2099" s="3" t="s">
        <v>11</v>
      </c>
      <c r="K2099" s="27" t="s">
        <v>3834</v>
      </c>
    </row>
    <row r="2100" ht="18.6" customHeight="1" spans="1:11">
      <c r="A2100" s="3">
        <v>2099</v>
      </c>
      <c r="B2100" s="3" t="s">
        <v>1296</v>
      </c>
      <c r="C2100" s="3" t="s">
        <v>3355</v>
      </c>
      <c r="D2100" s="3" t="s">
        <v>151</v>
      </c>
      <c r="E2100" s="3" t="s">
        <v>168</v>
      </c>
      <c r="F2100" s="3"/>
      <c r="G2100" s="3"/>
      <c r="H2100" s="3"/>
      <c r="I2100" s="3"/>
      <c r="J2100" s="3" t="s">
        <v>11</v>
      </c>
      <c r="K2100" s="27" t="s">
        <v>3834</v>
      </c>
    </row>
    <row r="2101" ht="18.6" customHeight="1" spans="1:11">
      <c r="A2101" s="3">
        <v>2100</v>
      </c>
      <c r="B2101" s="3" t="s">
        <v>1297</v>
      </c>
      <c r="C2101" s="3" t="s">
        <v>3369</v>
      </c>
      <c r="D2101" s="3" t="s">
        <v>191</v>
      </c>
      <c r="E2101" s="3" t="s">
        <v>192</v>
      </c>
      <c r="F2101" s="3"/>
      <c r="G2101" s="3"/>
      <c r="H2101" s="3"/>
      <c r="I2101" s="3" t="s">
        <v>3769</v>
      </c>
      <c r="J2101" s="3" t="s">
        <v>11</v>
      </c>
      <c r="K2101" s="27" t="s">
        <v>3834</v>
      </c>
    </row>
    <row r="2102" ht="18.6" customHeight="1" spans="1:11">
      <c r="A2102" s="3">
        <v>2101</v>
      </c>
      <c r="B2102" s="3" t="s">
        <v>1298</v>
      </c>
      <c r="C2102" s="3" t="s">
        <v>3369</v>
      </c>
      <c r="D2102" s="3" t="s">
        <v>191</v>
      </c>
      <c r="E2102" s="3" t="s">
        <v>192</v>
      </c>
      <c r="F2102" s="3"/>
      <c r="G2102" s="3"/>
      <c r="H2102" s="3"/>
      <c r="I2102" s="3"/>
      <c r="J2102" s="3" t="s">
        <v>11</v>
      </c>
      <c r="K2102" s="27" t="s">
        <v>3834</v>
      </c>
    </row>
    <row r="2103" ht="18.6" customHeight="1" spans="1:11">
      <c r="A2103" s="3">
        <v>2102</v>
      </c>
      <c r="B2103" s="3" t="s">
        <v>1299</v>
      </c>
      <c r="C2103" s="3" t="s">
        <v>3383</v>
      </c>
      <c r="D2103" s="3" t="s">
        <v>220</v>
      </c>
      <c r="E2103" s="3" t="s">
        <v>223</v>
      </c>
      <c r="F2103" s="3"/>
      <c r="G2103" s="3"/>
      <c r="H2103" s="3"/>
      <c r="I2103" s="3"/>
      <c r="J2103" s="3" t="s">
        <v>11</v>
      </c>
      <c r="K2103" s="27" t="s">
        <v>3834</v>
      </c>
    </row>
    <row r="2104" ht="18.6" customHeight="1" spans="1:11">
      <c r="A2104" s="3">
        <v>2103</v>
      </c>
      <c r="B2104" s="3" t="s">
        <v>1300</v>
      </c>
      <c r="C2104" s="3" t="s">
        <v>3383</v>
      </c>
      <c r="D2104" s="3" t="s">
        <v>220</v>
      </c>
      <c r="E2104" s="3" t="s">
        <v>240</v>
      </c>
      <c r="F2104" s="3"/>
      <c r="G2104" s="3"/>
      <c r="H2104" s="3"/>
      <c r="I2104" s="3"/>
      <c r="J2104" s="3" t="s">
        <v>11</v>
      </c>
      <c r="K2104" s="27" t="s">
        <v>3834</v>
      </c>
    </row>
    <row r="2105" ht="18.6" customHeight="1" spans="1:11">
      <c r="A2105" s="3">
        <v>2104</v>
      </c>
      <c r="B2105" s="3" t="s">
        <v>1301</v>
      </c>
      <c r="C2105" s="3" t="s">
        <v>3383</v>
      </c>
      <c r="D2105" s="3" t="s">
        <v>220</v>
      </c>
      <c r="E2105" s="3" t="s">
        <v>223</v>
      </c>
      <c r="F2105" s="3"/>
      <c r="G2105" s="3"/>
      <c r="H2105" s="3"/>
      <c r="I2105" s="3" t="s">
        <v>3770</v>
      </c>
      <c r="J2105" s="3" t="s">
        <v>11</v>
      </c>
      <c r="K2105" s="27" t="s">
        <v>3834</v>
      </c>
    </row>
    <row r="2106" ht="18.6" customHeight="1" spans="1:11">
      <c r="A2106" s="3">
        <v>2105</v>
      </c>
      <c r="B2106" s="3" t="s">
        <v>1302</v>
      </c>
      <c r="C2106" s="3" t="s">
        <v>3383</v>
      </c>
      <c r="D2106" s="3" t="s">
        <v>220</v>
      </c>
      <c r="E2106" s="3" t="s">
        <v>1303</v>
      </c>
      <c r="F2106" s="3"/>
      <c r="G2106" s="3"/>
      <c r="H2106" s="3"/>
      <c r="I2106" s="3"/>
      <c r="J2106" s="3" t="s">
        <v>11</v>
      </c>
      <c r="K2106" s="27" t="s">
        <v>3834</v>
      </c>
    </row>
    <row r="2107" ht="18.6" customHeight="1" spans="1:11">
      <c r="A2107" s="3">
        <v>2106</v>
      </c>
      <c r="B2107" s="3" t="s">
        <v>1304</v>
      </c>
      <c r="C2107" s="3" t="s">
        <v>3383</v>
      </c>
      <c r="D2107" s="3" t="s">
        <v>220</v>
      </c>
      <c r="E2107" s="3" t="s">
        <v>221</v>
      </c>
      <c r="F2107" s="3"/>
      <c r="G2107" s="3"/>
      <c r="H2107" s="3"/>
      <c r="I2107" s="3"/>
      <c r="J2107" s="3" t="s">
        <v>11</v>
      </c>
      <c r="K2107" s="27" t="s">
        <v>3834</v>
      </c>
    </row>
    <row r="2108" ht="18.6" customHeight="1" spans="1:11">
      <c r="A2108" s="3">
        <v>2107</v>
      </c>
      <c r="B2108" s="3" t="s">
        <v>1305</v>
      </c>
      <c r="C2108" s="3" t="s">
        <v>3383</v>
      </c>
      <c r="D2108" s="3" t="s">
        <v>220</v>
      </c>
      <c r="E2108" s="3" t="s">
        <v>233</v>
      </c>
      <c r="F2108" s="3"/>
      <c r="G2108" s="3"/>
      <c r="H2108" s="3"/>
      <c r="I2108" s="3"/>
      <c r="J2108" s="3" t="s">
        <v>11</v>
      </c>
      <c r="K2108" s="27" t="s">
        <v>3834</v>
      </c>
    </row>
    <row r="2109" ht="18.6" customHeight="1" spans="1:11">
      <c r="A2109" s="3">
        <v>2108</v>
      </c>
      <c r="B2109" s="3" t="s">
        <v>1306</v>
      </c>
      <c r="C2109" s="3" t="s">
        <v>3383</v>
      </c>
      <c r="D2109" s="3" t="s">
        <v>220</v>
      </c>
      <c r="E2109" s="3" t="s">
        <v>223</v>
      </c>
      <c r="F2109" s="3"/>
      <c r="G2109" s="3"/>
      <c r="H2109" s="3"/>
      <c r="I2109" s="3" t="s">
        <v>3770</v>
      </c>
      <c r="J2109" s="3" t="s">
        <v>11</v>
      </c>
      <c r="K2109" s="27" t="s">
        <v>3834</v>
      </c>
    </row>
    <row r="2110" ht="18.6" customHeight="1" spans="1:11">
      <c r="A2110" s="3">
        <v>2109</v>
      </c>
      <c r="B2110" s="3" t="s">
        <v>1307</v>
      </c>
      <c r="C2110" s="3" t="s">
        <v>3383</v>
      </c>
      <c r="D2110" s="3" t="s">
        <v>220</v>
      </c>
      <c r="E2110" s="3" t="s">
        <v>223</v>
      </c>
      <c r="F2110" s="3"/>
      <c r="G2110" s="3"/>
      <c r="H2110" s="3"/>
      <c r="I2110" s="3"/>
      <c r="J2110" s="3" t="s">
        <v>11</v>
      </c>
      <c r="K2110" s="27" t="s">
        <v>3834</v>
      </c>
    </row>
    <row r="2111" ht="18.6" customHeight="1" spans="1:11">
      <c r="A2111" s="3">
        <v>2110</v>
      </c>
      <c r="B2111" s="3" t="s">
        <v>1308</v>
      </c>
      <c r="C2111" s="3" t="s">
        <v>3383</v>
      </c>
      <c r="D2111" s="3" t="s">
        <v>220</v>
      </c>
      <c r="E2111" s="3" t="s">
        <v>221</v>
      </c>
      <c r="F2111" s="3"/>
      <c r="G2111" s="3"/>
      <c r="H2111" s="3"/>
      <c r="I2111" s="3"/>
      <c r="J2111" s="3" t="s">
        <v>11</v>
      </c>
      <c r="K2111" s="27" t="s">
        <v>3834</v>
      </c>
    </row>
    <row r="2112" ht="18.6" customHeight="1" spans="1:11">
      <c r="A2112" s="3">
        <v>2111</v>
      </c>
      <c r="B2112" s="3" t="s">
        <v>1309</v>
      </c>
      <c r="C2112" s="3" t="s">
        <v>3383</v>
      </c>
      <c r="D2112" s="3" t="s">
        <v>220</v>
      </c>
      <c r="E2112" s="3" t="s">
        <v>223</v>
      </c>
      <c r="F2112" s="3"/>
      <c r="G2112" s="3"/>
      <c r="H2112" s="3"/>
      <c r="I2112" s="3" t="s">
        <v>3775</v>
      </c>
      <c r="J2112" s="3" t="s">
        <v>11</v>
      </c>
      <c r="K2112" s="27" t="s">
        <v>3834</v>
      </c>
    </row>
    <row r="2113" ht="18.6" customHeight="1" spans="1:11">
      <c r="A2113" s="3">
        <v>2112</v>
      </c>
      <c r="B2113" s="3" t="s">
        <v>1310</v>
      </c>
      <c r="C2113" s="3" t="s">
        <v>3383</v>
      </c>
      <c r="D2113" s="3" t="s">
        <v>220</v>
      </c>
      <c r="E2113" s="3" t="s">
        <v>240</v>
      </c>
      <c r="F2113" s="3"/>
      <c r="G2113" s="3"/>
      <c r="H2113" s="3"/>
      <c r="I2113" s="3" t="s">
        <v>3775</v>
      </c>
      <c r="J2113" s="3" t="s">
        <v>11</v>
      </c>
      <c r="K2113" s="27" t="s">
        <v>3834</v>
      </c>
    </row>
    <row r="2114" ht="18.6" customHeight="1" spans="1:11">
      <c r="A2114" s="3">
        <v>2113</v>
      </c>
      <c r="B2114" s="3" t="s">
        <v>1311</v>
      </c>
      <c r="C2114" s="3" t="s">
        <v>3383</v>
      </c>
      <c r="D2114" s="3" t="s">
        <v>220</v>
      </c>
      <c r="E2114" s="3" t="s">
        <v>223</v>
      </c>
      <c r="F2114" s="3"/>
      <c r="G2114" s="3"/>
      <c r="H2114" s="3"/>
      <c r="I2114" s="3" t="s">
        <v>3769</v>
      </c>
      <c r="J2114" s="3" t="s">
        <v>11</v>
      </c>
      <c r="K2114" s="27" t="s">
        <v>3834</v>
      </c>
    </row>
    <row r="2115" ht="18.6" customHeight="1" spans="1:11">
      <c r="A2115" s="3">
        <v>2114</v>
      </c>
      <c r="B2115" s="3" t="s">
        <v>1312</v>
      </c>
      <c r="C2115" s="3" t="s">
        <v>3383</v>
      </c>
      <c r="D2115" s="3" t="s">
        <v>220</v>
      </c>
      <c r="E2115" s="3" t="s">
        <v>240</v>
      </c>
      <c r="F2115" s="3"/>
      <c r="G2115" s="3"/>
      <c r="H2115" s="3"/>
      <c r="I2115" s="3"/>
      <c r="J2115" s="3" t="s">
        <v>11</v>
      </c>
      <c r="K2115" s="27" t="s">
        <v>3834</v>
      </c>
    </row>
    <row r="2116" ht="18.6" customHeight="1" spans="1:11">
      <c r="A2116" s="3">
        <v>2115</v>
      </c>
      <c r="B2116" s="3" t="s">
        <v>1313</v>
      </c>
      <c r="C2116" s="3" t="s">
        <v>3383</v>
      </c>
      <c r="D2116" s="3" t="s">
        <v>220</v>
      </c>
      <c r="E2116" s="3" t="s">
        <v>223</v>
      </c>
      <c r="F2116" s="3"/>
      <c r="G2116" s="3"/>
      <c r="H2116" s="3"/>
      <c r="I2116" s="3"/>
      <c r="J2116" s="3" t="s">
        <v>11</v>
      </c>
      <c r="K2116" s="27" t="s">
        <v>3834</v>
      </c>
    </row>
    <row r="2117" ht="18.6" customHeight="1" spans="1:11">
      <c r="A2117" s="3">
        <v>2116</v>
      </c>
      <c r="B2117" s="3" t="s">
        <v>1314</v>
      </c>
      <c r="C2117" s="3" t="s">
        <v>3383</v>
      </c>
      <c r="D2117" s="3" t="s">
        <v>220</v>
      </c>
      <c r="E2117" s="3" t="s">
        <v>221</v>
      </c>
      <c r="F2117" s="3"/>
      <c r="G2117" s="3"/>
      <c r="H2117" s="3"/>
      <c r="I2117" s="3"/>
      <c r="J2117" s="3" t="s">
        <v>11</v>
      </c>
      <c r="K2117" s="27" t="s">
        <v>3834</v>
      </c>
    </row>
    <row r="2118" ht="18.6" customHeight="1" spans="1:11">
      <c r="A2118" s="3">
        <v>2117</v>
      </c>
      <c r="B2118" s="3" t="s">
        <v>1315</v>
      </c>
      <c r="C2118" s="3" t="s">
        <v>3383</v>
      </c>
      <c r="D2118" s="3" t="s">
        <v>220</v>
      </c>
      <c r="E2118" s="3" t="s">
        <v>223</v>
      </c>
      <c r="F2118" s="3"/>
      <c r="G2118" s="3"/>
      <c r="H2118" s="3"/>
      <c r="I2118" s="3"/>
      <c r="J2118" s="3" t="s">
        <v>11</v>
      </c>
      <c r="K2118" s="27" t="s">
        <v>3834</v>
      </c>
    </row>
    <row r="2119" ht="18.6" customHeight="1" spans="1:11">
      <c r="A2119" s="3">
        <v>2118</v>
      </c>
      <c r="B2119" s="3" t="s">
        <v>1316</v>
      </c>
      <c r="C2119" s="3" t="s">
        <v>3383</v>
      </c>
      <c r="D2119" s="3" t="s">
        <v>220</v>
      </c>
      <c r="E2119" s="3" t="s">
        <v>221</v>
      </c>
      <c r="F2119" s="3"/>
      <c r="G2119" s="3"/>
      <c r="H2119" s="3"/>
      <c r="I2119" s="3" t="s">
        <v>3775</v>
      </c>
      <c r="J2119" s="3" t="s">
        <v>11</v>
      </c>
      <c r="K2119" s="27" t="s">
        <v>3834</v>
      </c>
    </row>
    <row r="2120" ht="18.6" customHeight="1" spans="1:11">
      <c r="A2120" s="3">
        <v>2119</v>
      </c>
      <c r="B2120" s="3" t="s">
        <v>1317</v>
      </c>
      <c r="C2120" s="3" t="s">
        <v>3383</v>
      </c>
      <c r="D2120" s="3" t="s">
        <v>220</v>
      </c>
      <c r="E2120" s="3" t="s">
        <v>221</v>
      </c>
      <c r="F2120" s="3"/>
      <c r="G2120" s="3"/>
      <c r="H2120" s="3"/>
      <c r="I2120" s="3"/>
      <c r="J2120" s="3" t="s">
        <v>11</v>
      </c>
      <c r="K2120" s="27" t="s">
        <v>3834</v>
      </c>
    </row>
    <row r="2121" ht="18.6" customHeight="1" spans="1:11">
      <c r="A2121" s="3">
        <v>2120</v>
      </c>
      <c r="B2121" s="3" t="s">
        <v>1318</v>
      </c>
      <c r="C2121" s="3" t="s">
        <v>3383</v>
      </c>
      <c r="D2121" s="3" t="s">
        <v>220</v>
      </c>
      <c r="E2121" s="3" t="s">
        <v>221</v>
      </c>
      <c r="F2121" s="3"/>
      <c r="G2121" s="3"/>
      <c r="H2121" s="3"/>
      <c r="I2121" s="3"/>
      <c r="J2121" s="3" t="s">
        <v>11</v>
      </c>
      <c r="K2121" s="27" t="s">
        <v>3834</v>
      </c>
    </row>
    <row r="2122" ht="18.6" customHeight="1" spans="1:11">
      <c r="A2122" s="3">
        <v>2121</v>
      </c>
      <c r="B2122" s="3" t="s">
        <v>1319</v>
      </c>
      <c r="C2122" s="3" t="s">
        <v>3383</v>
      </c>
      <c r="D2122" s="3" t="s">
        <v>220</v>
      </c>
      <c r="E2122" s="3" t="s">
        <v>223</v>
      </c>
      <c r="F2122" s="3"/>
      <c r="G2122" s="3"/>
      <c r="H2122" s="3"/>
      <c r="I2122" s="3"/>
      <c r="J2122" s="3" t="s">
        <v>11</v>
      </c>
      <c r="K2122" s="27" t="s">
        <v>3834</v>
      </c>
    </row>
    <row r="2123" ht="18.6" customHeight="1" spans="1:11">
      <c r="A2123" s="3">
        <v>2122</v>
      </c>
      <c r="B2123" s="3" t="s">
        <v>1320</v>
      </c>
      <c r="C2123" s="3" t="s">
        <v>3383</v>
      </c>
      <c r="D2123" s="3" t="s">
        <v>220</v>
      </c>
      <c r="E2123" s="3" t="s">
        <v>1321</v>
      </c>
      <c r="F2123" s="3"/>
      <c r="G2123" s="3"/>
      <c r="H2123" s="3"/>
      <c r="I2123" s="3"/>
      <c r="J2123" s="3" t="s">
        <v>11</v>
      </c>
      <c r="K2123" s="27" t="s">
        <v>3834</v>
      </c>
    </row>
    <row r="2124" ht="18.6" customHeight="1" spans="1:11">
      <c r="A2124" s="3">
        <v>2123</v>
      </c>
      <c r="B2124" s="3" t="s">
        <v>1322</v>
      </c>
      <c r="C2124" s="3" t="s">
        <v>3383</v>
      </c>
      <c r="D2124" s="3" t="s">
        <v>220</v>
      </c>
      <c r="E2124" s="3" t="s">
        <v>221</v>
      </c>
      <c r="F2124" s="3"/>
      <c r="G2124" s="3"/>
      <c r="H2124" s="3"/>
      <c r="I2124" s="3"/>
      <c r="J2124" s="3" t="s">
        <v>11</v>
      </c>
      <c r="K2124" s="27" t="s">
        <v>3834</v>
      </c>
    </row>
    <row r="2125" ht="18.6" customHeight="1" spans="1:11">
      <c r="A2125" s="3">
        <v>2124</v>
      </c>
      <c r="B2125" s="3" t="s">
        <v>1323</v>
      </c>
      <c r="C2125" s="3" t="s">
        <v>3399</v>
      </c>
      <c r="D2125" s="3" t="s">
        <v>273</v>
      </c>
      <c r="E2125" s="3" t="s">
        <v>274</v>
      </c>
      <c r="F2125" s="3"/>
      <c r="G2125" s="3"/>
      <c r="H2125" s="3"/>
      <c r="I2125" s="3"/>
      <c r="J2125" s="3" t="s">
        <v>11</v>
      </c>
      <c r="K2125" s="27" t="s">
        <v>3834</v>
      </c>
    </row>
    <row r="2126" ht="18.6" customHeight="1" spans="1:11">
      <c r="A2126" s="3">
        <v>2125</v>
      </c>
      <c r="B2126" s="3" t="s">
        <v>1324</v>
      </c>
      <c r="C2126" s="3" t="s">
        <v>3399</v>
      </c>
      <c r="D2126" s="3" t="s">
        <v>273</v>
      </c>
      <c r="E2126" s="3" t="s">
        <v>274</v>
      </c>
      <c r="F2126" s="3"/>
      <c r="G2126" s="3"/>
      <c r="H2126" s="3"/>
      <c r="I2126" s="3"/>
      <c r="J2126" s="3" t="s">
        <v>11</v>
      </c>
      <c r="K2126" s="27" t="s">
        <v>3834</v>
      </c>
    </row>
    <row r="2127" ht="18.6" customHeight="1" spans="1:11">
      <c r="A2127" s="3">
        <v>2126</v>
      </c>
      <c r="B2127" s="3" t="s">
        <v>1325</v>
      </c>
      <c r="C2127" s="3" t="s">
        <v>3399</v>
      </c>
      <c r="D2127" s="3" t="s">
        <v>273</v>
      </c>
      <c r="E2127" s="3" t="s">
        <v>274</v>
      </c>
      <c r="F2127" s="3"/>
      <c r="G2127" s="3"/>
      <c r="H2127" s="3"/>
      <c r="I2127" s="3" t="s">
        <v>3769</v>
      </c>
      <c r="J2127" s="3" t="s">
        <v>11</v>
      </c>
      <c r="K2127" s="27" t="s">
        <v>3834</v>
      </c>
    </row>
    <row r="2128" ht="18.6" customHeight="1" spans="1:11">
      <c r="A2128" s="3">
        <v>2127</v>
      </c>
      <c r="B2128" s="3" t="s">
        <v>1326</v>
      </c>
      <c r="C2128" s="3" t="s">
        <v>3399</v>
      </c>
      <c r="D2128" s="3" t="s">
        <v>273</v>
      </c>
      <c r="E2128" s="3" t="s">
        <v>274</v>
      </c>
      <c r="F2128" s="3"/>
      <c r="G2128" s="3"/>
      <c r="H2128" s="3"/>
      <c r="I2128" s="3"/>
      <c r="J2128" s="3" t="s">
        <v>11</v>
      </c>
      <c r="K2128" s="27" t="s">
        <v>3834</v>
      </c>
    </row>
    <row r="2129" ht="18.6" customHeight="1" spans="1:11">
      <c r="A2129" s="3">
        <v>2128</v>
      </c>
      <c r="B2129" s="3" t="s">
        <v>1327</v>
      </c>
      <c r="C2129" s="3" t="s">
        <v>3399</v>
      </c>
      <c r="D2129" s="3" t="s">
        <v>273</v>
      </c>
      <c r="E2129" s="3" t="s">
        <v>274</v>
      </c>
      <c r="F2129" s="3"/>
      <c r="G2129" s="3"/>
      <c r="H2129" s="3"/>
      <c r="I2129" s="3"/>
      <c r="J2129" s="3" t="s">
        <v>11</v>
      </c>
      <c r="K2129" s="27" t="s">
        <v>3834</v>
      </c>
    </row>
    <row r="2130" ht="18.6" customHeight="1" spans="1:11">
      <c r="A2130" s="3">
        <v>2129</v>
      </c>
      <c r="B2130" s="3" t="s">
        <v>1328</v>
      </c>
      <c r="C2130" s="3" t="s">
        <v>3399</v>
      </c>
      <c r="D2130" s="3" t="s">
        <v>273</v>
      </c>
      <c r="E2130" s="3" t="s">
        <v>274</v>
      </c>
      <c r="F2130" s="3"/>
      <c r="G2130" s="3"/>
      <c r="H2130" s="3"/>
      <c r="I2130" s="3"/>
      <c r="J2130" s="3" t="s">
        <v>11</v>
      </c>
      <c r="K2130" s="27" t="s">
        <v>3834</v>
      </c>
    </row>
    <row r="2131" ht="18.6" customHeight="1" spans="1:11">
      <c r="A2131" s="3">
        <v>2130</v>
      </c>
      <c r="B2131" s="3" t="s">
        <v>1329</v>
      </c>
      <c r="C2131" s="3" t="s">
        <v>3399</v>
      </c>
      <c r="D2131" s="3" t="s">
        <v>273</v>
      </c>
      <c r="E2131" s="3" t="s">
        <v>274</v>
      </c>
      <c r="F2131" s="3"/>
      <c r="G2131" s="3"/>
      <c r="H2131" s="3"/>
      <c r="I2131" s="3"/>
      <c r="J2131" s="3" t="s">
        <v>11</v>
      </c>
      <c r="K2131" s="27" t="s">
        <v>3834</v>
      </c>
    </row>
    <row r="2132" ht="18.6" customHeight="1" spans="1:11">
      <c r="A2132" s="3">
        <v>2131</v>
      </c>
      <c r="B2132" s="3" t="s">
        <v>1330</v>
      </c>
      <c r="C2132" s="3" t="s">
        <v>3399</v>
      </c>
      <c r="D2132" s="3" t="s">
        <v>273</v>
      </c>
      <c r="E2132" s="3" t="s">
        <v>274</v>
      </c>
      <c r="F2132" s="3"/>
      <c r="G2132" s="3"/>
      <c r="H2132" s="3"/>
      <c r="I2132" s="3"/>
      <c r="J2132" s="3" t="s">
        <v>11</v>
      </c>
      <c r="K2132" s="27" t="s">
        <v>3834</v>
      </c>
    </row>
    <row r="2133" ht="18.6" customHeight="1" spans="1:11">
      <c r="A2133" s="3">
        <v>2132</v>
      </c>
      <c r="B2133" s="3" t="s">
        <v>1331</v>
      </c>
      <c r="C2133" s="3" t="s">
        <v>3399</v>
      </c>
      <c r="D2133" s="3" t="s">
        <v>273</v>
      </c>
      <c r="E2133" s="3" t="s">
        <v>274</v>
      </c>
      <c r="F2133" s="3"/>
      <c r="G2133" s="3"/>
      <c r="H2133" s="3"/>
      <c r="I2133" s="3"/>
      <c r="J2133" s="3" t="s">
        <v>11</v>
      </c>
      <c r="K2133" s="27" t="s">
        <v>3834</v>
      </c>
    </row>
    <row r="2134" ht="18.6" customHeight="1" spans="1:11">
      <c r="A2134" s="3">
        <v>2133</v>
      </c>
      <c r="B2134" s="3" t="s">
        <v>1332</v>
      </c>
      <c r="C2134" s="3" t="s">
        <v>3399</v>
      </c>
      <c r="D2134" s="3" t="s">
        <v>273</v>
      </c>
      <c r="E2134" s="3" t="s">
        <v>290</v>
      </c>
      <c r="F2134" s="3"/>
      <c r="G2134" s="3"/>
      <c r="H2134" s="3"/>
      <c r="I2134" s="3" t="s">
        <v>3769</v>
      </c>
      <c r="J2134" s="3" t="s">
        <v>11</v>
      </c>
      <c r="K2134" s="27" t="s">
        <v>3834</v>
      </c>
    </row>
    <row r="2135" ht="18.6" customHeight="1" spans="1:11">
      <c r="A2135" s="3">
        <v>2134</v>
      </c>
      <c r="B2135" s="3" t="s">
        <v>1333</v>
      </c>
      <c r="C2135" s="3" t="s">
        <v>3399</v>
      </c>
      <c r="D2135" s="3" t="s">
        <v>273</v>
      </c>
      <c r="E2135" s="3" t="s">
        <v>274</v>
      </c>
      <c r="F2135" s="3"/>
      <c r="G2135" s="3"/>
      <c r="H2135" s="3"/>
      <c r="I2135" s="3" t="s">
        <v>3769</v>
      </c>
      <c r="J2135" s="3" t="s">
        <v>11</v>
      </c>
      <c r="K2135" s="27" t="s">
        <v>3834</v>
      </c>
    </row>
    <row r="2136" ht="18.6" customHeight="1" spans="1:11">
      <c r="A2136" s="3">
        <v>2135</v>
      </c>
      <c r="B2136" s="3" t="s">
        <v>1334</v>
      </c>
      <c r="C2136" s="3" t="s">
        <v>3399</v>
      </c>
      <c r="D2136" s="3" t="s">
        <v>273</v>
      </c>
      <c r="E2136" s="3" t="s">
        <v>274</v>
      </c>
      <c r="F2136" s="3"/>
      <c r="G2136" s="3"/>
      <c r="H2136" s="3"/>
      <c r="I2136" s="3"/>
      <c r="J2136" s="3" t="s">
        <v>11</v>
      </c>
      <c r="K2136" s="27" t="s">
        <v>3834</v>
      </c>
    </row>
    <row r="2137" ht="18.6" customHeight="1" spans="1:11">
      <c r="A2137" s="3">
        <v>2136</v>
      </c>
      <c r="B2137" s="3" t="s">
        <v>1335</v>
      </c>
      <c r="C2137" s="3" t="s">
        <v>3411</v>
      </c>
      <c r="D2137" s="3" t="s">
        <v>308</v>
      </c>
      <c r="E2137" s="3" t="s">
        <v>309</v>
      </c>
      <c r="F2137" s="3"/>
      <c r="G2137" s="3"/>
      <c r="H2137" s="3"/>
      <c r="I2137" s="3"/>
      <c r="J2137" s="3" t="s">
        <v>11</v>
      </c>
      <c r="K2137" s="27" t="s">
        <v>3834</v>
      </c>
    </row>
    <row r="2138" ht="18.6" customHeight="1" spans="1:11">
      <c r="A2138" s="3">
        <v>2137</v>
      </c>
      <c r="B2138" s="3" t="s">
        <v>1336</v>
      </c>
      <c r="C2138" s="3" t="s">
        <v>3411</v>
      </c>
      <c r="D2138" s="3" t="s">
        <v>308</v>
      </c>
      <c r="E2138" s="3" t="s">
        <v>309</v>
      </c>
      <c r="F2138" s="3"/>
      <c r="G2138" s="3"/>
      <c r="H2138" s="3"/>
      <c r="I2138" s="3"/>
      <c r="J2138" s="3" t="s">
        <v>11</v>
      </c>
      <c r="K2138" s="27" t="s">
        <v>3834</v>
      </c>
    </row>
    <row r="2139" ht="18.6" customHeight="1" spans="1:11">
      <c r="A2139" s="3">
        <v>2138</v>
      </c>
      <c r="B2139" s="3" t="s">
        <v>1337</v>
      </c>
      <c r="C2139" s="3" t="s">
        <v>3411</v>
      </c>
      <c r="D2139" s="3" t="s">
        <v>308</v>
      </c>
      <c r="E2139" s="3" t="s">
        <v>327</v>
      </c>
      <c r="F2139" s="3"/>
      <c r="G2139" s="3"/>
      <c r="H2139" s="3"/>
      <c r="I2139" s="3"/>
      <c r="J2139" s="3" t="s">
        <v>11</v>
      </c>
      <c r="K2139" s="27" t="s">
        <v>3834</v>
      </c>
    </row>
    <row r="2140" ht="18.6" customHeight="1" spans="1:11">
      <c r="A2140" s="3">
        <v>2139</v>
      </c>
      <c r="B2140" s="3" t="s">
        <v>1338</v>
      </c>
      <c r="C2140" s="3" t="s">
        <v>3411</v>
      </c>
      <c r="D2140" s="3" t="s">
        <v>308</v>
      </c>
      <c r="E2140" s="3" t="s">
        <v>309</v>
      </c>
      <c r="F2140" s="3"/>
      <c r="G2140" s="3"/>
      <c r="H2140" s="3"/>
      <c r="I2140" s="3"/>
      <c r="J2140" s="3" t="s">
        <v>11</v>
      </c>
      <c r="K2140" s="27" t="s">
        <v>3834</v>
      </c>
    </row>
    <row r="2141" ht="18.6" customHeight="1" spans="1:11">
      <c r="A2141" s="3">
        <v>2140</v>
      </c>
      <c r="B2141" s="3" t="s">
        <v>1339</v>
      </c>
      <c r="C2141" s="3" t="s">
        <v>3411</v>
      </c>
      <c r="D2141" s="3" t="s">
        <v>308</v>
      </c>
      <c r="E2141" s="3" t="s">
        <v>309</v>
      </c>
      <c r="F2141" s="3"/>
      <c r="G2141" s="3"/>
      <c r="H2141" s="3"/>
      <c r="I2141" s="3"/>
      <c r="J2141" s="3" t="s">
        <v>11</v>
      </c>
      <c r="K2141" s="27" t="s">
        <v>3834</v>
      </c>
    </row>
    <row r="2142" ht="18.6" customHeight="1" spans="1:11">
      <c r="A2142" s="3">
        <v>2141</v>
      </c>
      <c r="B2142" s="3" t="s">
        <v>1340</v>
      </c>
      <c r="C2142" s="3" t="s">
        <v>3411</v>
      </c>
      <c r="D2142" s="3" t="s">
        <v>308</v>
      </c>
      <c r="E2142" s="3" t="s">
        <v>309</v>
      </c>
      <c r="F2142" s="3"/>
      <c r="G2142" s="3"/>
      <c r="H2142" s="3"/>
      <c r="I2142" s="3"/>
      <c r="J2142" s="3" t="s">
        <v>11</v>
      </c>
      <c r="K2142" s="27" t="s">
        <v>3834</v>
      </c>
    </row>
    <row r="2143" ht="18.6" customHeight="1" spans="1:11">
      <c r="A2143" s="3">
        <v>2142</v>
      </c>
      <c r="B2143" s="3" t="s">
        <v>1341</v>
      </c>
      <c r="C2143" s="3" t="s">
        <v>3411</v>
      </c>
      <c r="D2143" s="3" t="s">
        <v>308</v>
      </c>
      <c r="E2143" s="3" t="s">
        <v>309</v>
      </c>
      <c r="F2143" s="3"/>
      <c r="G2143" s="3"/>
      <c r="H2143" s="3"/>
      <c r="I2143" s="3"/>
      <c r="J2143" s="3" t="s">
        <v>11</v>
      </c>
      <c r="K2143" s="27" t="s">
        <v>3834</v>
      </c>
    </row>
    <row r="2144" ht="18.6" customHeight="1" spans="1:11">
      <c r="A2144" s="3">
        <v>2143</v>
      </c>
      <c r="B2144" s="3" t="s">
        <v>1342</v>
      </c>
      <c r="C2144" s="3" t="s">
        <v>3411</v>
      </c>
      <c r="D2144" s="3" t="s">
        <v>308</v>
      </c>
      <c r="E2144" s="3" t="s">
        <v>309</v>
      </c>
      <c r="F2144" s="3"/>
      <c r="G2144" s="3"/>
      <c r="H2144" s="3"/>
      <c r="I2144" s="3"/>
      <c r="J2144" s="3" t="s">
        <v>11</v>
      </c>
      <c r="K2144" s="27" t="s">
        <v>3834</v>
      </c>
    </row>
    <row r="2145" ht="18.6" customHeight="1" spans="1:11">
      <c r="A2145" s="3">
        <v>2144</v>
      </c>
      <c r="B2145" s="3" t="s">
        <v>1343</v>
      </c>
      <c r="C2145" s="3" t="s">
        <v>3411</v>
      </c>
      <c r="D2145" s="3" t="s">
        <v>308</v>
      </c>
      <c r="E2145" s="3" t="s">
        <v>309</v>
      </c>
      <c r="F2145" s="3"/>
      <c r="G2145" s="3"/>
      <c r="H2145" s="3"/>
      <c r="I2145" s="3"/>
      <c r="J2145" s="3" t="s">
        <v>11</v>
      </c>
      <c r="K2145" s="27" t="s">
        <v>3834</v>
      </c>
    </row>
    <row r="2146" ht="18.6" customHeight="1" spans="1:11">
      <c r="A2146" s="3">
        <v>2145</v>
      </c>
      <c r="B2146" s="3" t="s">
        <v>1344</v>
      </c>
      <c r="C2146" s="3" t="s">
        <v>3411</v>
      </c>
      <c r="D2146" s="3" t="s">
        <v>308</v>
      </c>
      <c r="E2146" s="3" t="s">
        <v>309</v>
      </c>
      <c r="F2146" s="3"/>
      <c r="G2146" s="3"/>
      <c r="H2146" s="3"/>
      <c r="I2146" s="3" t="s">
        <v>3769</v>
      </c>
      <c r="J2146" s="3" t="s">
        <v>11</v>
      </c>
      <c r="K2146" s="27" t="s">
        <v>3834</v>
      </c>
    </row>
    <row r="2147" ht="18.6" customHeight="1" spans="1:11">
      <c r="A2147" s="3">
        <v>2146</v>
      </c>
      <c r="B2147" s="3" t="s">
        <v>1345</v>
      </c>
      <c r="C2147" s="3" t="s">
        <v>3411</v>
      </c>
      <c r="D2147" s="3" t="s">
        <v>308</v>
      </c>
      <c r="E2147" s="3" t="s">
        <v>309</v>
      </c>
      <c r="F2147" s="3"/>
      <c r="G2147" s="3"/>
      <c r="H2147" s="3"/>
      <c r="I2147" s="3"/>
      <c r="J2147" s="3" t="s">
        <v>11</v>
      </c>
      <c r="K2147" s="27" t="s">
        <v>3834</v>
      </c>
    </row>
    <row r="2148" ht="18.6" customHeight="1" spans="1:11">
      <c r="A2148" s="3">
        <v>2147</v>
      </c>
      <c r="B2148" s="3" t="s">
        <v>1346</v>
      </c>
      <c r="C2148" s="3" t="s">
        <v>3411</v>
      </c>
      <c r="D2148" s="3" t="s">
        <v>308</v>
      </c>
      <c r="E2148" s="3" t="s">
        <v>309</v>
      </c>
      <c r="F2148" s="3"/>
      <c r="G2148" s="3"/>
      <c r="H2148" s="3"/>
      <c r="I2148" s="3"/>
      <c r="J2148" s="3" t="s">
        <v>11</v>
      </c>
      <c r="K2148" s="27" t="s">
        <v>3834</v>
      </c>
    </row>
    <row r="2149" ht="18.6" customHeight="1" spans="1:11">
      <c r="A2149" s="3">
        <v>2148</v>
      </c>
      <c r="B2149" s="3" t="s">
        <v>1347</v>
      </c>
      <c r="C2149" s="3" t="s">
        <v>3422</v>
      </c>
      <c r="D2149" s="3" t="s">
        <v>347</v>
      </c>
      <c r="E2149" s="3" t="s">
        <v>347</v>
      </c>
      <c r="F2149" s="3"/>
      <c r="G2149" s="3"/>
      <c r="H2149" s="3"/>
      <c r="I2149" s="3"/>
      <c r="J2149" s="3" t="s">
        <v>11</v>
      </c>
      <c r="K2149" s="27" t="s">
        <v>3834</v>
      </c>
    </row>
    <row r="2150" ht="18.6" customHeight="1" spans="1:11">
      <c r="A2150" s="3">
        <v>2149</v>
      </c>
      <c r="B2150" s="3" t="s">
        <v>1348</v>
      </c>
      <c r="C2150" s="3" t="s">
        <v>3422</v>
      </c>
      <c r="D2150" s="3" t="s">
        <v>347</v>
      </c>
      <c r="E2150" s="3" t="s">
        <v>347</v>
      </c>
      <c r="F2150" s="3"/>
      <c r="G2150" s="3"/>
      <c r="H2150" s="3"/>
      <c r="I2150" s="3"/>
      <c r="J2150" s="3" t="s">
        <v>11</v>
      </c>
      <c r="K2150" s="27" t="s">
        <v>3834</v>
      </c>
    </row>
    <row r="2151" ht="18.6" customHeight="1" spans="1:11">
      <c r="A2151" s="3">
        <v>2150</v>
      </c>
      <c r="B2151" s="3" t="s">
        <v>1349</v>
      </c>
      <c r="C2151" s="3" t="s">
        <v>3422</v>
      </c>
      <c r="D2151" s="3" t="s">
        <v>347</v>
      </c>
      <c r="E2151" s="3" t="s">
        <v>347</v>
      </c>
      <c r="F2151" s="3"/>
      <c r="G2151" s="3"/>
      <c r="H2151" s="3"/>
      <c r="I2151" s="3"/>
      <c r="J2151" s="3" t="s">
        <v>11</v>
      </c>
      <c r="K2151" s="27" t="s">
        <v>3834</v>
      </c>
    </row>
    <row r="2152" ht="18.6" customHeight="1" spans="1:11">
      <c r="A2152" s="3">
        <v>2151</v>
      </c>
      <c r="B2152" s="3" t="s">
        <v>1350</v>
      </c>
      <c r="C2152" s="3" t="s">
        <v>3422</v>
      </c>
      <c r="D2152" s="3" t="s">
        <v>347</v>
      </c>
      <c r="E2152" s="3" t="s">
        <v>347</v>
      </c>
      <c r="F2152" s="3"/>
      <c r="G2152" s="3"/>
      <c r="H2152" s="3"/>
      <c r="I2152" s="3"/>
      <c r="J2152" s="3" t="s">
        <v>11</v>
      </c>
      <c r="K2152" s="27" t="s">
        <v>3834</v>
      </c>
    </row>
    <row r="2153" ht="18.6" customHeight="1" spans="1:11">
      <c r="A2153" s="3">
        <v>2152</v>
      </c>
      <c r="B2153" s="3" t="s">
        <v>1351</v>
      </c>
      <c r="C2153" s="3" t="s">
        <v>3422</v>
      </c>
      <c r="D2153" s="3" t="s">
        <v>347</v>
      </c>
      <c r="E2153" s="3" t="s">
        <v>347</v>
      </c>
      <c r="F2153" s="3"/>
      <c r="G2153" s="3"/>
      <c r="H2153" s="3"/>
      <c r="I2153" s="3"/>
      <c r="J2153" s="3" t="s">
        <v>11</v>
      </c>
      <c r="K2153" s="27" t="s">
        <v>3834</v>
      </c>
    </row>
    <row r="2154" ht="18.6" customHeight="1" spans="1:11">
      <c r="A2154" s="3">
        <v>2153</v>
      </c>
      <c r="B2154" s="3" t="s">
        <v>1352</v>
      </c>
      <c r="C2154" s="3" t="s">
        <v>3422</v>
      </c>
      <c r="D2154" s="3" t="s">
        <v>347</v>
      </c>
      <c r="E2154" s="3" t="s">
        <v>347</v>
      </c>
      <c r="F2154" s="3"/>
      <c r="G2154" s="3"/>
      <c r="H2154" s="3"/>
      <c r="I2154" s="3"/>
      <c r="J2154" s="3" t="s">
        <v>11</v>
      </c>
      <c r="K2154" s="27" t="s">
        <v>3834</v>
      </c>
    </row>
    <row r="2155" ht="18.6" customHeight="1" spans="1:11">
      <c r="A2155" s="3">
        <v>2154</v>
      </c>
      <c r="B2155" s="3" t="s">
        <v>1353</v>
      </c>
      <c r="C2155" s="3" t="s">
        <v>3422</v>
      </c>
      <c r="D2155" s="3" t="s">
        <v>347</v>
      </c>
      <c r="E2155" s="3" t="s">
        <v>347</v>
      </c>
      <c r="F2155" s="3"/>
      <c r="G2155" s="3"/>
      <c r="H2155" s="3"/>
      <c r="I2155" s="3" t="s">
        <v>3778</v>
      </c>
      <c r="J2155" s="3" t="s">
        <v>11</v>
      </c>
      <c r="K2155" s="27" t="s">
        <v>3834</v>
      </c>
    </row>
    <row r="2156" ht="18.6" customHeight="1" spans="1:11">
      <c r="A2156" s="3">
        <v>2155</v>
      </c>
      <c r="B2156" s="3" t="s">
        <v>1354</v>
      </c>
      <c r="C2156" s="3" t="s">
        <v>3422</v>
      </c>
      <c r="D2156" s="3" t="s">
        <v>347</v>
      </c>
      <c r="E2156" s="3" t="s">
        <v>347</v>
      </c>
      <c r="F2156" s="3"/>
      <c r="G2156" s="3"/>
      <c r="H2156" s="3"/>
      <c r="I2156" s="3" t="s">
        <v>3776</v>
      </c>
      <c r="J2156" s="3" t="s">
        <v>11</v>
      </c>
      <c r="K2156" s="27" t="s">
        <v>3834</v>
      </c>
    </row>
    <row r="2157" ht="18.6" customHeight="1" spans="1:11">
      <c r="A2157" s="3">
        <v>2156</v>
      </c>
      <c r="B2157" s="3" t="s">
        <v>1355</v>
      </c>
      <c r="C2157" s="3" t="s">
        <v>3437</v>
      </c>
      <c r="D2157" s="3" t="s">
        <v>379</v>
      </c>
      <c r="E2157" s="3" t="s">
        <v>380</v>
      </c>
      <c r="F2157" s="3"/>
      <c r="G2157" s="3"/>
      <c r="H2157" s="3"/>
      <c r="I2157" s="3"/>
      <c r="J2157" s="3" t="s">
        <v>11</v>
      </c>
      <c r="K2157" s="27" t="s">
        <v>3834</v>
      </c>
    </row>
    <row r="2158" ht="18.6" customHeight="1" spans="1:11">
      <c r="A2158" s="3">
        <v>2157</v>
      </c>
      <c r="B2158" s="3" t="s">
        <v>1356</v>
      </c>
      <c r="C2158" s="3" t="s">
        <v>3437</v>
      </c>
      <c r="D2158" s="3" t="s">
        <v>379</v>
      </c>
      <c r="E2158" s="3" t="s">
        <v>401</v>
      </c>
      <c r="F2158" s="3"/>
      <c r="G2158" s="3"/>
      <c r="H2158" s="3"/>
      <c r="I2158" s="3"/>
      <c r="J2158" s="3" t="s">
        <v>11</v>
      </c>
      <c r="K2158" s="27" t="s">
        <v>3834</v>
      </c>
    </row>
    <row r="2159" ht="18.6" customHeight="1" spans="1:11">
      <c r="A2159" s="3">
        <v>2158</v>
      </c>
      <c r="B2159" s="3" t="s">
        <v>1357</v>
      </c>
      <c r="C2159" s="3" t="s">
        <v>3437</v>
      </c>
      <c r="D2159" s="3" t="s">
        <v>379</v>
      </c>
      <c r="E2159" s="3" t="s">
        <v>380</v>
      </c>
      <c r="F2159" s="3"/>
      <c r="G2159" s="3"/>
      <c r="H2159" s="3"/>
      <c r="I2159" s="3" t="s">
        <v>3769</v>
      </c>
      <c r="J2159" s="3" t="s">
        <v>11</v>
      </c>
      <c r="K2159" s="27" t="s">
        <v>3834</v>
      </c>
    </row>
    <row r="2160" ht="18.6" customHeight="1" spans="1:11">
      <c r="A2160" s="3">
        <v>2159</v>
      </c>
      <c r="B2160" s="3" t="s">
        <v>1358</v>
      </c>
      <c r="C2160" s="3" t="s">
        <v>3437</v>
      </c>
      <c r="D2160" s="3" t="s">
        <v>379</v>
      </c>
      <c r="E2160" s="3" t="s">
        <v>396</v>
      </c>
      <c r="F2160" s="3"/>
      <c r="G2160" s="3"/>
      <c r="H2160" s="3"/>
      <c r="I2160" s="3"/>
      <c r="J2160" s="3" t="s">
        <v>11</v>
      </c>
      <c r="K2160" s="27" t="s">
        <v>3834</v>
      </c>
    </row>
    <row r="2161" ht="18.6" customHeight="1" spans="1:11">
      <c r="A2161" s="3">
        <v>2160</v>
      </c>
      <c r="B2161" s="3" t="s">
        <v>1359</v>
      </c>
      <c r="C2161" s="3" t="s">
        <v>3437</v>
      </c>
      <c r="D2161" s="3" t="s">
        <v>379</v>
      </c>
      <c r="E2161" s="3" t="s">
        <v>389</v>
      </c>
      <c r="F2161" s="3"/>
      <c r="G2161" s="3"/>
      <c r="H2161" s="3"/>
      <c r="I2161" s="3" t="s">
        <v>3769</v>
      </c>
      <c r="J2161" s="3" t="s">
        <v>11</v>
      </c>
      <c r="K2161" s="27" t="s">
        <v>3834</v>
      </c>
    </row>
    <row r="2162" ht="18.6" customHeight="1" spans="1:11">
      <c r="A2162" s="3">
        <v>2161</v>
      </c>
      <c r="B2162" s="3" t="s">
        <v>1360</v>
      </c>
      <c r="C2162" s="3" t="s">
        <v>3437</v>
      </c>
      <c r="D2162" s="3" t="s">
        <v>379</v>
      </c>
      <c r="E2162" s="3" t="s">
        <v>380</v>
      </c>
      <c r="F2162" s="3"/>
      <c r="G2162" s="3"/>
      <c r="H2162" s="3"/>
      <c r="I2162" s="3"/>
      <c r="J2162" s="3" t="s">
        <v>11</v>
      </c>
      <c r="K2162" s="27" t="s">
        <v>3834</v>
      </c>
    </row>
    <row r="2163" ht="18.6" customHeight="1" spans="1:11">
      <c r="A2163" s="3">
        <v>2162</v>
      </c>
      <c r="B2163" s="3" t="s">
        <v>1361</v>
      </c>
      <c r="C2163" s="3" t="s">
        <v>3437</v>
      </c>
      <c r="D2163" s="3" t="s">
        <v>379</v>
      </c>
      <c r="E2163" s="3" t="s">
        <v>380</v>
      </c>
      <c r="F2163" s="3"/>
      <c r="G2163" s="3"/>
      <c r="H2163" s="3"/>
      <c r="I2163" s="3" t="s">
        <v>3769</v>
      </c>
      <c r="J2163" s="3" t="s">
        <v>11</v>
      </c>
      <c r="K2163" s="27" t="s">
        <v>3834</v>
      </c>
    </row>
    <row r="2164" ht="18.6" customHeight="1" spans="1:11">
      <c r="A2164" s="3">
        <v>2163</v>
      </c>
      <c r="B2164" s="3" t="s">
        <v>1362</v>
      </c>
      <c r="C2164" s="3" t="s">
        <v>3437</v>
      </c>
      <c r="D2164" s="3" t="s">
        <v>379</v>
      </c>
      <c r="E2164" s="3" t="s">
        <v>380</v>
      </c>
      <c r="F2164" s="3"/>
      <c r="G2164" s="3"/>
      <c r="H2164" s="3"/>
      <c r="I2164" s="3" t="s">
        <v>3769</v>
      </c>
      <c r="J2164" s="3" t="s">
        <v>11</v>
      </c>
      <c r="K2164" s="27" t="s">
        <v>3834</v>
      </c>
    </row>
    <row r="2165" ht="18.6" customHeight="1" spans="1:11">
      <c r="A2165" s="3">
        <v>2164</v>
      </c>
      <c r="B2165" s="3" t="s">
        <v>1363</v>
      </c>
      <c r="C2165" s="3" t="s">
        <v>3437</v>
      </c>
      <c r="D2165" s="3" t="s">
        <v>379</v>
      </c>
      <c r="E2165" s="3" t="s">
        <v>380</v>
      </c>
      <c r="F2165" s="3"/>
      <c r="G2165" s="3"/>
      <c r="H2165" s="3"/>
      <c r="I2165" s="3"/>
      <c r="J2165" s="3" t="s">
        <v>11</v>
      </c>
      <c r="K2165" s="27" t="s">
        <v>3834</v>
      </c>
    </row>
    <row r="2166" ht="18.6" customHeight="1" spans="1:11">
      <c r="A2166" s="3">
        <v>2165</v>
      </c>
      <c r="B2166" s="3" t="s">
        <v>1364</v>
      </c>
      <c r="C2166" s="3" t="s">
        <v>3437</v>
      </c>
      <c r="D2166" s="3" t="s">
        <v>379</v>
      </c>
      <c r="E2166" s="3" t="s">
        <v>435</v>
      </c>
      <c r="F2166" s="3"/>
      <c r="G2166" s="3"/>
      <c r="H2166" s="3"/>
      <c r="I2166" s="3" t="s">
        <v>3769</v>
      </c>
      <c r="J2166" s="3" t="s">
        <v>11</v>
      </c>
      <c r="K2166" s="27" t="s">
        <v>3834</v>
      </c>
    </row>
    <row r="2167" ht="18.6" customHeight="1" spans="1:11">
      <c r="A2167" s="3">
        <v>2166</v>
      </c>
      <c r="B2167" s="3" t="s">
        <v>1365</v>
      </c>
      <c r="C2167" s="3" t="s">
        <v>3437</v>
      </c>
      <c r="D2167" s="3" t="s">
        <v>379</v>
      </c>
      <c r="E2167" s="3" t="s">
        <v>435</v>
      </c>
      <c r="F2167" s="3"/>
      <c r="G2167" s="3"/>
      <c r="H2167" s="3"/>
      <c r="I2167" s="3" t="s">
        <v>3776</v>
      </c>
      <c r="J2167" s="3" t="s">
        <v>11</v>
      </c>
      <c r="K2167" s="27" t="s">
        <v>3834</v>
      </c>
    </row>
    <row r="2168" ht="18.6" customHeight="1" spans="1:11">
      <c r="A2168" s="3">
        <v>2167</v>
      </c>
      <c r="B2168" s="3" t="s">
        <v>1366</v>
      </c>
      <c r="C2168" s="3" t="s">
        <v>3437</v>
      </c>
      <c r="D2168" s="3" t="s">
        <v>379</v>
      </c>
      <c r="E2168" s="3" t="s">
        <v>380</v>
      </c>
      <c r="F2168" s="3"/>
      <c r="G2168" s="3"/>
      <c r="H2168" s="3"/>
      <c r="I2168" s="3" t="s">
        <v>3769</v>
      </c>
      <c r="J2168" s="3" t="s">
        <v>11</v>
      </c>
      <c r="K2168" s="27" t="s">
        <v>3834</v>
      </c>
    </row>
    <row r="2169" ht="18.6" customHeight="1" spans="1:11">
      <c r="A2169" s="3">
        <v>2168</v>
      </c>
      <c r="B2169" s="3" t="s">
        <v>1367</v>
      </c>
      <c r="C2169" s="3" t="s">
        <v>3437</v>
      </c>
      <c r="D2169" s="3" t="s">
        <v>379</v>
      </c>
      <c r="E2169" s="3" t="s">
        <v>387</v>
      </c>
      <c r="F2169" s="3"/>
      <c r="G2169" s="3"/>
      <c r="H2169" s="3"/>
      <c r="I2169" s="3" t="s">
        <v>3769</v>
      </c>
      <c r="J2169" s="3" t="s">
        <v>11</v>
      </c>
      <c r="K2169" s="27" t="s">
        <v>3834</v>
      </c>
    </row>
    <row r="2170" ht="18.6" customHeight="1" spans="1:11">
      <c r="A2170" s="3">
        <v>2169</v>
      </c>
      <c r="B2170" s="3" t="s">
        <v>1368</v>
      </c>
      <c r="C2170" s="3" t="s">
        <v>3437</v>
      </c>
      <c r="D2170" s="3" t="s">
        <v>379</v>
      </c>
      <c r="E2170" s="3" t="s">
        <v>430</v>
      </c>
      <c r="F2170" s="3"/>
      <c r="G2170" s="3"/>
      <c r="H2170" s="3"/>
      <c r="I2170" s="3" t="s">
        <v>3775</v>
      </c>
      <c r="J2170" s="3" t="s">
        <v>11</v>
      </c>
      <c r="K2170" s="27" t="s">
        <v>3834</v>
      </c>
    </row>
    <row r="2171" ht="18.6" customHeight="1" spans="1:11">
      <c r="A2171" s="3">
        <v>2170</v>
      </c>
      <c r="B2171" s="3" t="s">
        <v>1369</v>
      </c>
      <c r="C2171" s="3" t="s">
        <v>3437</v>
      </c>
      <c r="D2171" s="3" t="s">
        <v>379</v>
      </c>
      <c r="E2171" s="3" t="s">
        <v>435</v>
      </c>
      <c r="F2171" s="3"/>
      <c r="G2171" s="3"/>
      <c r="H2171" s="3"/>
      <c r="I2171" s="3"/>
      <c r="J2171" s="3" t="s">
        <v>11</v>
      </c>
      <c r="K2171" s="27" t="s">
        <v>3834</v>
      </c>
    </row>
    <row r="2172" ht="18.6" customHeight="1" spans="1:11">
      <c r="A2172" s="3">
        <v>2171</v>
      </c>
      <c r="B2172" s="3" t="s">
        <v>1370</v>
      </c>
      <c r="C2172" s="3" t="s">
        <v>3437</v>
      </c>
      <c r="D2172" s="3" t="s">
        <v>379</v>
      </c>
      <c r="E2172" s="3" t="s">
        <v>382</v>
      </c>
      <c r="F2172" s="3"/>
      <c r="G2172" s="3"/>
      <c r="H2172" s="3"/>
      <c r="I2172" s="3" t="s">
        <v>3769</v>
      </c>
      <c r="J2172" s="3" t="s">
        <v>11</v>
      </c>
      <c r="K2172" s="27" t="s">
        <v>3834</v>
      </c>
    </row>
    <row r="2173" ht="18.6" customHeight="1" spans="1:11">
      <c r="A2173" s="3">
        <v>2172</v>
      </c>
      <c r="B2173" s="3" t="s">
        <v>1371</v>
      </c>
      <c r="C2173" s="3" t="s">
        <v>3437</v>
      </c>
      <c r="D2173" s="3" t="s">
        <v>379</v>
      </c>
      <c r="E2173" s="3" t="s">
        <v>382</v>
      </c>
      <c r="F2173" s="3"/>
      <c r="G2173" s="3"/>
      <c r="H2173" s="3"/>
      <c r="I2173" s="3" t="s">
        <v>3769</v>
      </c>
      <c r="J2173" s="3" t="s">
        <v>11</v>
      </c>
      <c r="K2173" s="27" t="s">
        <v>3834</v>
      </c>
    </row>
    <row r="2174" ht="18.6" customHeight="1" spans="1:11">
      <c r="A2174" s="3">
        <v>2173</v>
      </c>
      <c r="B2174" s="3" t="s">
        <v>1372</v>
      </c>
      <c r="C2174" s="3" t="s">
        <v>3437</v>
      </c>
      <c r="D2174" s="3" t="s">
        <v>379</v>
      </c>
      <c r="E2174" s="3" t="s">
        <v>387</v>
      </c>
      <c r="F2174" s="3"/>
      <c r="G2174" s="3"/>
      <c r="H2174" s="3"/>
      <c r="I2174" s="3" t="s">
        <v>3769</v>
      </c>
      <c r="J2174" s="3" t="s">
        <v>11</v>
      </c>
      <c r="K2174" s="27" t="s">
        <v>3834</v>
      </c>
    </row>
    <row r="2175" ht="18.6" customHeight="1" spans="1:11">
      <c r="A2175" s="3">
        <v>2174</v>
      </c>
      <c r="B2175" s="3" t="s">
        <v>1373</v>
      </c>
      <c r="C2175" s="3" t="s">
        <v>3437</v>
      </c>
      <c r="D2175" s="3" t="s">
        <v>379</v>
      </c>
      <c r="E2175" s="3" t="s">
        <v>424</v>
      </c>
      <c r="F2175" s="3"/>
      <c r="G2175" s="3"/>
      <c r="H2175" s="3"/>
      <c r="I2175" s="3" t="s">
        <v>3769</v>
      </c>
      <c r="J2175" s="3" t="s">
        <v>11</v>
      </c>
      <c r="K2175" s="27" t="s">
        <v>3834</v>
      </c>
    </row>
    <row r="2176" ht="18.6" customHeight="1" spans="1:11">
      <c r="A2176" s="3">
        <v>2175</v>
      </c>
      <c r="B2176" s="3" t="s">
        <v>1374</v>
      </c>
      <c r="C2176" s="3" t="s">
        <v>3437</v>
      </c>
      <c r="D2176" s="3" t="s">
        <v>379</v>
      </c>
      <c r="E2176" s="3" t="s">
        <v>389</v>
      </c>
      <c r="F2176" s="3"/>
      <c r="G2176" s="3"/>
      <c r="H2176" s="3"/>
      <c r="I2176" s="3" t="s">
        <v>3776</v>
      </c>
      <c r="J2176" s="3" t="s">
        <v>11</v>
      </c>
      <c r="K2176" s="27" t="s">
        <v>3834</v>
      </c>
    </row>
    <row r="2177" ht="18.6" customHeight="1" spans="1:11">
      <c r="A2177" s="3">
        <v>2176</v>
      </c>
      <c r="B2177" s="3" t="s">
        <v>1375</v>
      </c>
      <c r="C2177" s="3" t="s">
        <v>3437</v>
      </c>
      <c r="D2177" s="3" t="s">
        <v>379</v>
      </c>
      <c r="E2177" s="3" t="s">
        <v>424</v>
      </c>
      <c r="F2177" s="3"/>
      <c r="G2177" s="3"/>
      <c r="H2177" s="3"/>
      <c r="I2177" s="3" t="s">
        <v>3769</v>
      </c>
      <c r="J2177" s="3" t="s">
        <v>11</v>
      </c>
      <c r="K2177" s="27" t="s">
        <v>3834</v>
      </c>
    </row>
    <row r="2178" ht="18.6" customHeight="1" spans="1:11">
      <c r="A2178" s="3">
        <v>2177</v>
      </c>
      <c r="B2178" s="3" t="s">
        <v>1376</v>
      </c>
      <c r="C2178" s="3" t="s">
        <v>3437</v>
      </c>
      <c r="D2178" s="3" t="s">
        <v>379</v>
      </c>
      <c r="E2178" s="3" t="s">
        <v>387</v>
      </c>
      <c r="F2178" s="3"/>
      <c r="G2178" s="3"/>
      <c r="H2178" s="3"/>
      <c r="I2178" s="3" t="s">
        <v>3771</v>
      </c>
      <c r="J2178" s="3" t="s">
        <v>11</v>
      </c>
      <c r="K2178" s="27" t="s">
        <v>3834</v>
      </c>
    </row>
    <row r="2179" ht="18.6" customHeight="1" spans="1:11">
      <c r="A2179" s="3">
        <v>2178</v>
      </c>
      <c r="B2179" s="3" t="s">
        <v>1377</v>
      </c>
      <c r="C2179" s="3" t="s">
        <v>3437</v>
      </c>
      <c r="D2179" s="3" t="s">
        <v>379</v>
      </c>
      <c r="E2179" s="3" t="s">
        <v>382</v>
      </c>
      <c r="F2179" s="3"/>
      <c r="G2179" s="3"/>
      <c r="H2179" s="3"/>
      <c r="I2179" s="3" t="s">
        <v>3769</v>
      </c>
      <c r="J2179" s="3" t="s">
        <v>11</v>
      </c>
      <c r="K2179" s="27" t="s">
        <v>3834</v>
      </c>
    </row>
    <row r="2180" ht="18.6" customHeight="1" spans="1:11">
      <c r="A2180" s="3">
        <v>2179</v>
      </c>
      <c r="B2180" s="3" t="s">
        <v>1378</v>
      </c>
      <c r="C2180" s="3" t="s">
        <v>3437</v>
      </c>
      <c r="D2180" s="3" t="s">
        <v>379</v>
      </c>
      <c r="E2180" s="3" t="s">
        <v>435</v>
      </c>
      <c r="F2180" s="3"/>
      <c r="G2180" s="3"/>
      <c r="H2180" s="3"/>
      <c r="I2180" s="3" t="s">
        <v>3769</v>
      </c>
      <c r="J2180" s="3" t="s">
        <v>11</v>
      </c>
      <c r="K2180" s="27" t="s">
        <v>3834</v>
      </c>
    </row>
    <row r="2181" ht="18.6" customHeight="1" spans="1:11">
      <c r="A2181" s="3">
        <v>2180</v>
      </c>
      <c r="B2181" s="3" t="s">
        <v>1379</v>
      </c>
      <c r="C2181" s="3" t="s">
        <v>3437</v>
      </c>
      <c r="D2181" s="3" t="s">
        <v>379</v>
      </c>
      <c r="E2181" s="3" t="s">
        <v>401</v>
      </c>
      <c r="F2181" s="3"/>
      <c r="G2181" s="3"/>
      <c r="H2181" s="3"/>
      <c r="I2181" s="3" t="s">
        <v>3769</v>
      </c>
      <c r="J2181" s="3" t="s">
        <v>11</v>
      </c>
      <c r="K2181" s="27" t="s">
        <v>3834</v>
      </c>
    </row>
    <row r="2182" ht="18.6" customHeight="1" spans="1:11">
      <c r="A2182" s="3">
        <v>2181</v>
      </c>
      <c r="B2182" s="3" t="s">
        <v>1380</v>
      </c>
      <c r="C2182" s="3" t="s">
        <v>3437</v>
      </c>
      <c r="D2182" s="3" t="s">
        <v>379</v>
      </c>
      <c r="E2182" s="3" t="s">
        <v>380</v>
      </c>
      <c r="F2182" s="3"/>
      <c r="G2182" s="3"/>
      <c r="H2182" s="3"/>
      <c r="I2182" s="3" t="s">
        <v>3769</v>
      </c>
      <c r="J2182" s="3" t="s">
        <v>11</v>
      </c>
      <c r="K2182" s="27" t="s">
        <v>3834</v>
      </c>
    </row>
    <row r="2183" ht="18.6" customHeight="1" spans="1:11">
      <c r="A2183" s="3">
        <v>2182</v>
      </c>
      <c r="B2183" s="3" t="s">
        <v>1381</v>
      </c>
      <c r="C2183" s="3" t="s">
        <v>3457</v>
      </c>
      <c r="D2183" s="3" t="s">
        <v>448</v>
      </c>
      <c r="E2183" s="3" t="s">
        <v>449</v>
      </c>
      <c r="F2183" s="3"/>
      <c r="G2183" s="3"/>
      <c r="H2183" s="3"/>
      <c r="I2183" s="3"/>
      <c r="J2183" s="3" t="s">
        <v>11</v>
      </c>
      <c r="K2183" s="27" t="s">
        <v>3834</v>
      </c>
    </row>
    <row r="2184" ht="18.6" customHeight="1" spans="1:11">
      <c r="A2184" s="3">
        <v>2183</v>
      </c>
      <c r="B2184" s="3" t="s">
        <v>1382</v>
      </c>
      <c r="C2184" s="3" t="s">
        <v>3457</v>
      </c>
      <c r="D2184" s="3" t="s">
        <v>448</v>
      </c>
      <c r="E2184" s="3" t="s">
        <v>465</v>
      </c>
      <c r="F2184" s="3"/>
      <c r="G2184" s="3"/>
      <c r="H2184" s="3"/>
      <c r="I2184" s="3"/>
      <c r="J2184" s="3" t="s">
        <v>11</v>
      </c>
      <c r="K2184" s="27" t="s">
        <v>3834</v>
      </c>
    </row>
    <row r="2185" ht="18.6" customHeight="1" spans="1:11">
      <c r="A2185" s="3">
        <v>2184</v>
      </c>
      <c r="B2185" s="3" t="s">
        <v>1383</v>
      </c>
      <c r="C2185" s="3" t="s">
        <v>3457</v>
      </c>
      <c r="D2185" s="3" t="s">
        <v>448</v>
      </c>
      <c r="E2185" s="3" t="s">
        <v>477</v>
      </c>
      <c r="F2185" s="3"/>
      <c r="G2185" s="3"/>
      <c r="H2185" s="3"/>
      <c r="I2185" s="3"/>
      <c r="J2185" s="3" t="s">
        <v>11</v>
      </c>
      <c r="K2185" s="27" t="s">
        <v>3834</v>
      </c>
    </row>
    <row r="2186" ht="18.6" customHeight="1" spans="1:11">
      <c r="A2186" s="3">
        <v>2185</v>
      </c>
      <c r="B2186" s="3" t="s">
        <v>1384</v>
      </c>
      <c r="C2186" s="3" t="s">
        <v>3457</v>
      </c>
      <c r="D2186" s="3" t="s">
        <v>448</v>
      </c>
      <c r="E2186" s="3" t="s">
        <v>460</v>
      </c>
      <c r="F2186" s="3"/>
      <c r="G2186" s="3"/>
      <c r="H2186" s="3"/>
      <c r="I2186" s="3"/>
      <c r="J2186" s="3" t="s">
        <v>11</v>
      </c>
      <c r="K2186" s="27" t="s">
        <v>3834</v>
      </c>
    </row>
    <row r="2187" ht="18.6" customHeight="1" spans="1:11">
      <c r="A2187" s="3">
        <v>2186</v>
      </c>
      <c r="B2187" s="3" t="s">
        <v>1385</v>
      </c>
      <c r="C2187" s="3" t="s">
        <v>3457</v>
      </c>
      <c r="D2187" s="3" t="s">
        <v>448</v>
      </c>
      <c r="E2187" s="3" t="s">
        <v>449</v>
      </c>
      <c r="F2187" s="3"/>
      <c r="G2187" s="3"/>
      <c r="H2187" s="3"/>
      <c r="I2187" s="3" t="s">
        <v>3770</v>
      </c>
      <c r="J2187" s="3" t="s">
        <v>11</v>
      </c>
      <c r="K2187" s="27" t="s">
        <v>3834</v>
      </c>
    </row>
    <row r="2188" ht="18.6" customHeight="1" spans="1:11">
      <c r="A2188" s="3">
        <v>2187</v>
      </c>
      <c r="B2188" s="3" t="s">
        <v>1386</v>
      </c>
      <c r="C2188" s="3" t="s">
        <v>3457</v>
      </c>
      <c r="D2188" s="3" t="s">
        <v>448</v>
      </c>
      <c r="E2188" s="3" t="s">
        <v>460</v>
      </c>
      <c r="F2188" s="3"/>
      <c r="G2188" s="3"/>
      <c r="H2188" s="3"/>
      <c r="I2188" s="3" t="s">
        <v>3769</v>
      </c>
      <c r="J2188" s="3" t="s">
        <v>11</v>
      </c>
      <c r="K2188" s="27" t="s">
        <v>3834</v>
      </c>
    </row>
    <row r="2189" ht="18.6" customHeight="1" spans="1:11">
      <c r="A2189" s="3">
        <v>2188</v>
      </c>
      <c r="B2189" s="3" t="s">
        <v>1387</v>
      </c>
      <c r="C2189" s="3" t="s">
        <v>3457</v>
      </c>
      <c r="D2189" s="3" t="s">
        <v>448</v>
      </c>
      <c r="E2189" s="3" t="s">
        <v>477</v>
      </c>
      <c r="F2189" s="3"/>
      <c r="G2189" s="3"/>
      <c r="H2189" s="3"/>
      <c r="I2189" s="3" t="s">
        <v>3769</v>
      </c>
      <c r="J2189" s="3" t="s">
        <v>11</v>
      </c>
      <c r="K2189" s="27" t="s">
        <v>3834</v>
      </c>
    </row>
    <row r="2190" ht="18.6" customHeight="1" spans="1:11">
      <c r="A2190" s="3">
        <v>2189</v>
      </c>
      <c r="B2190" s="3" t="s">
        <v>1388</v>
      </c>
      <c r="C2190" s="3" t="s">
        <v>3457</v>
      </c>
      <c r="D2190" s="3" t="s">
        <v>448</v>
      </c>
      <c r="E2190" s="3" t="s">
        <v>449</v>
      </c>
      <c r="F2190" s="3"/>
      <c r="G2190" s="3"/>
      <c r="H2190" s="3"/>
      <c r="I2190" s="3" t="s">
        <v>3770</v>
      </c>
      <c r="J2190" s="3" t="s">
        <v>11</v>
      </c>
      <c r="K2190" s="27" t="s">
        <v>1252</v>
      </c>
    </row>
    <row r="2191" ht="18.6" customHeight="1" spans="1:11">
      <c r="A2191" s="3">
        <v>2190</v>
      </c>
      <c r="B2191" s="3" t="s">
        <v>1389</v>
      </c>
      <c r="C2191" s="3" t="s">
        <v>3457</v>
      </c>
      <c r="D2191" s="3" t="s">
        <v>448</v>
      </c>
      <c r="E2191" s="3" t="s">
        <v>449</v>
      </c>
      <c r="F2191" s="3"/>
      <c r="G2191" s="3"/>
      <c r="H2191" s="3"/>
      <c r="I2191" s="3" t="s">
        <v>3770</v>
      </c>
      <c r="J2191" s="3" t="s">
        <v>11</v>
      </c>
      <c r="K2191" s="27" t="s">
        <v>1252</v>
      </c>
    </row>
    <row r="2192" ht="18.6" customHeight="1" spans="1:11">
      <c r="A2192" s="3">
        <v>2191</v>
      </c>
      <c r="B2192" s="3" t="s">
        <v>1390</v>
      </c>
      <c r="C2192" s="3" t="s">
        <v>3457</v>
      </c>
      <c r="D2192" s="3" t="s">
        <v>448</v>
      </c>
      <c r="E2192" s="3" t="s">
        <v>465</v>
      </c>
      <c r="F2192" s="3"/>
      <c r="G2192" s="3"/>
      <c r="H2192" s="3"/>
      <c r="I2192" s="3" t="s">
        <v>3769</v>
      </c>
      <c r="J2192" s="3" t="s">
        <v>11</v>
      </c>
      <c r="K2192" s="27" t="s">
        <v>1252</v>
      </c>
    </row>
    <row r="2193" ht="18.6" customHeight="1" spans="1:11">
      <c r="A2193" s="3">
        <v>2192</v>
      </c>
      <c r="B2193" s="3" t="s">
        <v>1391</v>
      </c>
      <c r="C2193" s="3" t="s">
        <v>3457</v>
      </c>
      <c r="D2193" s="3" t="s">
        <v>448</v>
      </c>
      <c r="E2193" s="3" t="s">
        <v>457</v>
      </c>
      <c r="F2193" s="3"/>
      <c r="G2193" s="3"/>
      <c r="H2193" s="3"/>
      <c r="I2193" s="3" t="s">
        <v>3775</v>
      </c>
      <c r="J2193" s="3" t="s">
        <v>11</v>
      </c>
      <c r="K2193" s="27" t="s">
        <v>1252</v>
      </c>
    </row>
    <row r="2194" ht="18.6" customHeight="1" spans="1:11">
      <c r="A2194" s="3">
        <v>2193</v>
      </c>
      <c r="B2194" s="3" t="s">
        <v>1392</v>
      </c>
      <c r="C2194" s="3" t="s">
        <v>3457</v>
      </c>
      <c r="D2194" s="3" t="s">
        <v>448</v>
      </c>
      <c r="E2194" s="3" t="s">
        <v>449</v>
      </c>
      <c r="F2194" s="3"/>
      <c r="G2194" s="3"/>
      <c r="H2194" s="3"/>
      <c r="I2194" s="3"/>
      <c r="J2194" s="3" t="s">
        <v>11</v>
      </c>
      <c r="K2194" s="27" t="s">
        <v>1252</v>
      </c>
    </row>
    <row r="2195" ht="18.6" customHeight="1" spans="1:11">
      <c r="A2195" s="3">
        <v>2194</v>
      </c>
      <c r="B2195" s="3" t="s">
        <v>1393</v>
      </c>
      <c r="C2195" s="3" t="s">
        <v>3457</v>
      </c>
      <c r="D2195" s="3" t="s">
        <v>448</v>
      </c>
      <c r="E2195" s="3" t="s">
        <v>449</v>
      </c>
      <c r="F2195" s="3"/>
      <c r="G2195" s="3"/>
      <c r="H2195" s="3"/>
      <c r="I2195" s="3"/>
      <c r="J2195" s="3" t="s">
        <v>11</v>
      </c>
      <c r="K2195" s="27" t="s">
        <v>1252</v>
      </c>
    </row>
    <row r="2196" ht="18.6" customHeight="1" spans="1:11">
      <c r="A2196" s="3">
        <v>2195</v>
      </c>
      <c r="B2196" s="3" t="s">
        <v>3836</v>
      </c>
      <c r="C2196" s="3" t="s">
        <v>3457</v>
      </c>
      <c r="D2196" s="3" t="s">
        <v>448</v>
      </c>
      <c r="E2196" s="3" t="s">
        <v>465</v>
      </c>
      <c r="F2196" s="3"/>
      <c r="G2196" s="3"/>
      <c r="H2196" s="3"/>
      <c r="I2196" s="3" t="s">
        <v>3769</v>
      </c>
      <c r="J2196" s="3" t="s">
        <v>11</v>
      </c>
      <c r="K2196" s="27" t="s">
        <v>1252</v>
      </c>
    </row>
    <row r="2197" ht="18.6" customHeight="1" spans="1:11">
      <c r="A2197" s="3">
        <v>2196</v>
      </c>
      <c r="B2197" s="3" t="s">
        <v>1394</v>
      </c>
      <c r="C2197" s="3" t="s">
        <v>3457</v>
      </c>
      <c r="D2197" s="3" t="s">
        <v>448</v>
      </c>
      <c r="E2197" s="3" t="s">
        <v>449</v>
      </c>
      <c r="F2197" s="3"/>
      <c r="G2197" s="3"/>
      <c r="H2197" s="3"/>
      <c r="I2197" s="3" t="s">
        <v>3771</v>
      </c>
      <c r="J2197" s="3" t="s">
        <v>11</v>
      </c>
      <c r="K2197" s="27" t="s">
        <v>1252</v>
      </c>
    </row>
    <row r="2198" ht="18.6" customHeight="1" spans="1:11">
      <c r="A2198" s="3">
        <v>2197</v>
      </c>
      <c r="B2198" s="3" t="s">
        <v>1395</v>
      </c>
      <c r="C2198" s="3" t="s">
        <v>3457</v>
      </c>
      <c r="D2198" s="3" t="s">
        <v>448</v>
      </c>
      <c r="E2198" s="3" t="s">
        <v>449</v>
      </c>
      <c r="F2198" s="3"/>
      <c r="G2198" s="3"/>
      <c r="H2198" s="3"/>
      <c r="I2198" s="3" t="s">
        <v>3770</v>
      </c>
      <c r="J2198" s="3" t="s">
        <v>11</v>
      </c>
      <c r="K2198" s="27" t="s">
        <v>1252</v>
      </c>
    </row>
    <row r="2199" ht="18.6" customHeight="1" spans="1:11">
      <c r="A2199" s="3">
        <v>2198</v>
      </c>
      <c r="B2199" s="3" t="s">
        <v>1396</v>
      </c>
      <c r="C2199" s="3" t="s">
        <v>3457</v>
      </c>
      <c r="D2199" s="3" t="s">
        <v>448</v>
      </c>
      <c r="E2199" s="3" t="s">
        <v>473</v>
      </c>
      <c r="F2199" s="3"/>
      <c r="G2199" s="3"/>
      <c r="H2199" s="3"/>
      <c r="I2199" s="3" t="s">
        <v>3771</v>
      </c>
      <c r="J2199" s="3" t="s">
        <v>11</v>
      </c>
      <c r="K2199" s="27" t="s">
        <v>1252</v>
      </c>
    </row>
    <row r="2200" ht="18.6" customHeight="1" spans="1:11">
      <c r="A2200" s="3">
        <v>2199</v>
      </c>
      <c r="B2200" s="3" t="s">
        <v>1397</v>
      </c>
      <c r="C2200" s="3" t="s">
        <v>3457</v>
      </c>
      <c r="D2200" s="3" t="s">
        <v>448</v>
      </c>
      <c r="E2200" s="3" t="s">
        <v>457</v>
      </c>
      <c r="F2200" s="3"/>
      <c r="G2200" s="3"/>
      <c r="H2200" s="3"/>
      <c r="I2200" s="3"/>
      <c r="J2200" s="3" t="s">
        <v>11</v>
      </c>
      <c r="K2200" s="27" t="s">
        <v>1252</v>
      </c>
    </row>
    <row r="2201" ht="18.6" customHeight="1" spans="1:11">
      <c r="A2201" s="3">
        <v>2200</v>
      </c>
      <c r="B2201" s="3" t="s">
        <v>1398</v>
      </c>
      <c r="C2201" s="3" t="s">
        <v>3457</v>
      </c>
      <c r="D2201" s="3" t="s">
        <v>448</v>
      </c>
      <c r="E2201" s="3" t="s">
        <v>473</v>
      </c>
      <c r="F2201" s="3"/>
      <c r="G2201" s="3"/>
      <c r="H2201" s="3"/>
      <c r="I2201" s="3"/>
      <c r="J2201" s="3" t="s">
        <v>11</v>
      </c>
      <c r="K2201" s="27" t="s">
        <v>1252</v>
      </c>
    </row>
    <row r="2202" ht="18.6" customHeight="1" spans="1:11">
      <c r="A2202" s="3">
        <v>2201</v>
      </c>
      <c r="B2202" s="3" t="s">
        <v>1399</v>
      </c>
      <c r="C2202" s="3" t="s">
        <v>3457</v>
      </c>
      <c r="D2202" s="3" t="s">
        <v>448</v>
      </c>
      <c r="E2202" s="3" t="s">
        <v>460</v>
      </c>
      <c r="F2202" s="3"/>
      <c r="G2202" s="3"/>
      <c r="H2202" s="3"/>
      <c r="I2202" s="3" t="s">
        <v>3771</v>
      </c>
      <c r="J2202" s="3" t="s">
        <v>11</v>
      </c>
      <c r="K2202" s="27" t="s">
        <v>1252</v>
      </c>
    </row>
    <row r="2203" ht="18.6" customHeight="1" spans="1:11">
      <c r="A2203" s="3">
        <v>2202</v>
      </c>
      <c r="B2203" s="3" t="s">
        <v>1400</v>
      </c>
      <c r="C2203" s="3" t="s">
        <v>3457</v>
      </c>
      <c r="D2203" s="3" t="s">
        <v>448</v>
      </c>
      <c r="E2203" s="3" t="s">
        <v>449</v>
      </c>
      <c r="F2203" s="3"/>
      <c r="G2203" s="3"/>
      <c r="H2203" s="3"/>
      <c r="I2203" s="3"/>
      <c r="J2203" s="3" t="s">
        <v>11</v>
      </c>
      <c r="K2203" s="27" t="s">
        <v>1252</v>
      </c>
    </row>
    <row r="2204" ht="18.6" customHeight="1" spans="1:11">
      <c r="A2204" s="3">
        <v>2203</v>
      </c>
      <c r="B2204" s="3" t="s">
        <v>1401</v>
      </c>
      <c r="C2204" s="3" t="s">
        <v>3474</v>
      </c>
      <c r="D2204" s="3" t="s">
        <v>502</v>
      </c>
      <c r="E2204" s="3" t="s">
        <v>503</v>
      </c>
      <c r="F2204" s="3"/>
      <c r="G2204" s="3"/>
      <c r="H2204" s="3"/>
      <c r="I2204" s="3"/>
      <c r="J2204" s="3" t="s">
        <v>11</v>
      </c>
      <c r="K2204" s="27" t="s">
        <v>1252</v>
      </c>
    </row>
    <row r="2205" ht="18.6" customHeight="1" spans="1:11">
      <c r="A2205" s="3">
        <v>2204</v>
      </c>
      <c r="B2205" s="3" t="s">
        <v>1402</v>
      </c>
      <c r="C2205" s="3" t="s">
        <v>3474</v>
      </c>
      <c r="D2205" s="3" t="s">
        <v>502</v>
      </c>
      <c r="E2205" s="3" t="s">
        <v>503</v>
      </c>
      <c r="F2205" s="3"/>
      <c r="G2205" s="3"/>
      <c r="H2205" s="3"/>
      <c r="I2205" s="3"/>
      <c r="J2205" s="3" t="s">
        <v>11</v>
      </c>
      <c r="K2205" s="27" t="s">
        <v>1252</v>
      </c>
    </row>
    <row r="2206" ht="18.6" customHeight="1" spans="1:11">
      <c r="A2206" s="3">
        <v>2205</v>
      </c>
      <c r="B2206" s="3" t="s">
        <v>1403</v>
      </c>
      <c r="C2206" s="3" t="s">
        <v>3474</v>
      </c>
      <c r="D2206" s="3" t="s">
        <v>502</v>
      </c>
      <c r="E2206" s="3" t="s">
        <v>503</v>
      </c>
      <c r="F2206" s="3"/>
      <c r="G2206" s="3"/>
      <c r="H2206" s="3"/>
      <c r="I2206" s="3"/>
      <c r="J2206" s="3" t="s">
        <v>11</v>
      </c>
      <c r="K2206" s="27" t="s">
        <v>1252</v>
      </c>
    </row>
    <row r="2207" ht="18.6" customHeight="1" spans="1:11">
      <c r="A2207" s="3">
        <v>2206</v>
      </c>
      <c r="B2207" s="3" t="s">
        <v>1404</v>
      </c>
      <c r="C2207" s="3" t="s">
        <v>3474</v>
      </c>
      <c r="D2207" s="3" t="s">
        <v>502</v>
      </c>
      <c r="E2207" s="3" t="s">
        <v>503</v>
      </c>
      <c r="F2207" s="3"/>
      <c r="G2207" s="3"/>
      <c r="H2207" s="3"/>
      <c r="I2207" s="3"/>
      <c r="J2207" s="3" t="s">
        <v>11</v>
      </c>
      <c r="K2207" s="27" t="s">
        <v>1252</v>
      </c>
    </row>
    <row r="2208" ht="18.6" customHeight="1" spans="1:11">
      <c r="A2208" s="3">
        <v>2207</v>
      </c>
      <c r="B2208" s="3" t="s">
        <v>1405</v>
      </c>
      <c r="C2208" s="3" t="s">
        <v>3474</v>
      </c>
      <c r="D2208" s="3" t="s">
        <v>502</v>
      </c>
      <c r="E2208" s="3" t="s">
        <v>515</v>
      </c>
      <c r="F2208" s="3"/>
      <c r="G2208" s="3"/>
      <c r="H2208" s="3"/>
      <c r="I2208" s="3"/>
      <c r="J2208" s="3" t="s">
        <v>11</v>
      </c>
      <c r="K2208" s="27" t="s">
        <v>1252</v>
      </c>
    </row>
    <row r="2209" ht="18.6" customHeight="1" spans="1:11">
      <c r="A2209" s="3">
        <v>2208</v>
      </c>
      <c r="B2209" s="3" t="s">
        <v>1406</v>
      </c>
      <c r="C2209" s="3" t="s">
        <v>3474</v>
      </c>
      <c r="D2209" s="3" t="s">
        <v>502</v>
      </c>
      <c r="E2209" s="3" t="s">
        <v>511</v>
      </c>
      <c r="F2209" s="3"/>
      <c r="G2209" s="3"/>
      <c r="H2209" s="3"/>
      <c r="I2209" s="3"/>
      <c r="J2209" s="3" t="s">
        <v>11</v>
      </c>
      <c r="K2209" s="27" t="s">
        <v>1252</v>
      </c>
    </row>
    <row r="2210" ht="18.6" customHeight="1" spans="1:11">
      <c r="A2210" s="3">
        <v>2209</v>
      </c>
      <c r="B2210" s="3" t="s">
        <v>1407</v>
      </c>
      <c r="C2210" s="3" t="s">
        <v>3474</v>
      </c>
      <c r="D2210" s="3" t="s">
        <v>502</v>
      </c>
      <c r="E2210" s="3" t="s">
        <v>507</v>
      </c>
      <c r="F2210" s="3"/>
      <c r="G2210" s="3"/>
      <c r="H2210" s="3"/>
      <c r="I2210" s="3"/>
      <c r="J2210" s="3" t="s">
        <v>11</v>
      </c>
      <c r="K2210" s="27" t="s">
        <v>1252</v>
      </c>
    </row>
    <row r="2211" ht="18.6" customHeight="1" spans="1:11">
      <c r="A2211" s="3">
        <v>2210</v>
      </c>
      <c r="B2211" s="3" t="s">
        <v>1408</v>
      </c>
      <c r="C2211" s="3" t="s">
        <v>3474</v>
      </c>
      <c r="D2211" s="3" t="s">
        <v>502</v>
      </c>
      <c r="E2211" s="3" t="s">
        <v>503</v>
      </c>
      <c r="F2211" s="3"/>
      <c r="G2211" s="3"/>
      <c r="H2211" s="3"/>
      <c r="I2211" s="3"/>
      <c r="J2211" s="3" t="s">
        <v>11</v>
      </c>
      <c r="K2211" s="27" t="s">
        <v>1252</v>
      </c>
    </row>
    <row r="2212" ht="18.6" customHeight="1" spans="1:11">
      <c r="A2212" s="3">
        <v>2211</v>
      </c>
      <c r="B2212" s="3" t="s">
        <v>1409</v>
      </c>
      <c r="C2212" s="3" t="s">
        <v>3474</v>
      </c>
      <c r="D2212" s="3" t="s">
        <v>502</v>
      </c>
      <c r="E2212" s="3" t="s">
        <v>503</v>
      </c>
      <c r="F2212" s="3"/>
      <c r="G2212" s="3"/>
      <c r="H2212" s="3"/>
      <c r="I2212" s="3"/>
      <c r="J2212" s="3" t="s">
        <v>11</v>
      </c>
      <c r="K2212" s="27" t="s">
        <v>1252</v>
      </c>
    </row>
    <row r="2213" ht="18.6" customHeight="1" spans="1:11">
      <c r="A2213" s="3">
        <v>2212</v>
      </c>
      <c r="B2213" s="3" t="s">
        <v>1410</v>
      </c>
      <c r="C2213" s="3" t="s">
        <v>3474</v>
      </c>
      <c r="D2213" s="3" t="s">
        <v>502</v>
      </c>
      <c r="E2213" s="3" t="s">
        <v>511</v>
      </c>
      <c r="F2213" s="3"/>
      <c r="G2213" s="3"/>
      <c r="H2213" s="3"/>
      <c r="I2213" s="3"/>
      <c r="J2213" s="3" t="s">
        <v>11</v>
      </c>
      <c r="K2213" s="27" t="s">
        <v>1252</v>
      </c>
    </row>
    <row r="2214" ht="18.6" customHeight="1" spans="1:11">
      <c r="A2214" s="3">
        <v>2213</v>
      </c>
      <c r="B2214" s="3" t="s">
        <v>1411</v>
      </c>
      <c r="C2214" s="3" t="s">
        <v>3474</v>
      </c>
      <c r="D2214" s="3" t="s">
        <v>502</v>
      </c>
      <c r="E2214" s="3" t="s">
        <v>503</v>
      </c>
      <c r="F2214" s="3"/>
      <c r="G2214" s="3"/>
      <c r="H2214" s="3"/>
      <c r="I2214" s="3" t="s">
        <v>3775</v>
      </c>
      <c r="J2214" s="3" t="s">
        <v>11</v>
      </c>
      <c r="K2214" s="27" t="s">
        <v>1252</v>
      </c>
    </row>
    <row r="2215" ht="18.6" customHeight="1" spans="1:11">
      <c r="A2215" s="3">
        <v>2214</v>
      </c>
      <c r="B2215" s="3" t="s">
        <v>1412</v>
      </c>
      <c r="C2215" s="3" t="s">
        <v>3474</v>
      </c>
      <c r="D2215" s="3" t="s">
        <v>502</v>
      </c>
      <c r="E2215" s="3" t="s">
        <v>520</v>
      </c>
      <c r="F2215" s="3"/>
      <c r="G2215" s="3"/>
      <c r="H2215" s="3"/>
      <c r="I2215" s="3"/>
      <c r="J2215" s="3" t="s">
        <v>11</v>
      </c>
      <c r="K2215" s="27" t="s">
        <v>1252</v>
      </c>
    </row>
    <row r="2216" ht="18.6" customHeight="1" spans="1:11">
      <c r="A2216" s="3">
        <v>2215</v>
      </c>
      <c r="B2216" s="3" t="s">
        <v>1413</v>
      </c>
      <c r="C2216" s="3" t="s">
        <v>3474</v>
      </c>
      <c r="D2216" s="3" t="s">
        <v>502</v>
      </c>
      <c r="E2216" s="3" t="s">
        <v>524</v>
      </c>
      <c r="F2216" s="3"/>
      <c r="G2216" s="3"/>
      <c r="H2216" s="3"/>
      <c r="I2216" s="3"/>
      <c r="J2216" s="3" t="s">
        <v>11</v>
      </c>
      <c r="K2216" s="27" t="s">
        <v>1252</v>
      </c>
    </row>
    <row r="2217" ht="18.6" customHeight="1" spans="1:11">
      <c r="A2217" s="3">
        <v>2216</v>
      </c>
      <c r="B2217" s="3" t="s">
        <v>1414</v>
      </c>
      <c r="C2217" s="3" t="s">
        <v>3474</v>
      </c>
      <c r="D2217" s="3" t="s">
        <v>502</v>
      </c>
      <c r="E2217" s="3" t="s">
        <v>507</v>
      </c>
      <c r="F2217" s="3"/>
      <c r="G2217" s="3"/>
      <c r="H2217" s="3"/>
      <c r="I2217" s="3"/>
      <c r="J2217" s="3" t="s">
        <v>11</v>
      </c>
      <c r="K2217" s="27" t="s">
        <v>1252</v>
      </c>
    </row>
    <row r="2218" ht="18.6" customHeight="1" spans="1:11">
      <c r="A2218" s="3">
        <v>2217</v>
      </c>
      <c r="B2218" s="3" t="s">
        <v>1415</v>
      </c>
      <c r="C2218" s="3" t="s">
        <v>3490</v>
      </c>
      <c r="D2218" s="3" t="s">
        <v>553</v>
      </c>
      <c r="E2218" s="3" t="s">
        <v>556</v>
      </c>
      <c r="F2218" s="3"/>
      <c r="G2218" s="3"/>
      <c r="H2218" s="3"/>
      <c r="I2218" s="3"/>
      <c r="J2218" s="3" t="s">
        <v>11</v>
      </c>
      <c r="K2218" s="27" t="s">
        <v>1252</v>
      </c>
    </row>
    <row r="2219" ht="18.6" customHeight="1" spans="1:11">
      <c r="A2219" s="3">
        <v>2218</v>
      </c>
      <c r="B2219" s="3" t="s">
        <v>1416</v>
      </c>
      <c r="C2219" s="3" t="s">
        <v>3490</v>
      </c>
      <c r="D2219" s="3" t="s">
        <v>553</v>
      </c>
      <c r="E2219" s="3" t="s">
        <v>554</v>
      </c>
      <c r="F2219" s="3"/>
      <c r="G2219" s="3"/>
      <c r="H2219" s="3"/>
      <c r="I2219" s="3"/>
      <c r="J2219" s="3" t="s">
        <v>11</v>
      </c>
      <c r="K2219" s="27" t="s">
        <v>1252</v>
      </c>
    </row>
    <row r="2220" ht="18.6" customHeight="1" spans="1:11">
      <c r="A2220" s="3">
        <v>2219</v>
      </c>
      <c r="B2220" s="3" t="s">
        <v>1417</v>
      </c>
      <c r="C2220" s="3" t="s">
        <v>3490</v>
      </c>
      <c r="D2220" s="3" t="s">
        <v>553</v>
      </c>
      <c r="E2220" s="3" t="s">
        <v>556</v>
      </c>
      <c r="F2220" s="3"/>
      <c r="G2220" s="3"/>
      <c r="H2220" s="3"/>
      <c r="I2220" s="3"/>
      <c r="J2220" s="3" t="s">
        <v>11</v>
      </c>
      <c r="K2220" s="27" t="s">
        <v>1252</v>
      </c>
    </row>
    <row r="2221" ht="18.6" customHeight="1" spans="1:11">
      <c r="A2221" s="3">
        <v>2220</v>
      </c>
      <c r="B2221" s="3" t="s">
        <v>1418</v>
      </c>
      <c r="C2221" s="3" t="s">
        <v>3490</v>
      </c>
      <c r="D2221" s="3" t="s">
        <v>553</v>
      </c>
      <c r="E2221" s="3" t="s">
        <v>556</v>
      </c>
      <c r="F2221" s="3"/>
      <c r="G2221" s="3"/>
      <c r="H2221" s="3"/>
      <c r="I2221" s="3"/>
      <c r="J2221" s="3" t="s">
        <v>11</v>
      </c>
      <c r="K2221" s="27" t="s">
        <v>1252</v>
      </c>
    </row>
    <row r="2222" ht="18.6" customHeight="1" spans="1:11">
      <c r="A2222" s="3">
        <v>2221</v>
      </c>
      <c r="B2222" s="3" t="s">
        <v>1419</v>
      </c>
      <c r="C2222" s="3" t="s">
        <v>3490</v>
      </c>
      <c r="D2222" s="3" t="s">
        <v>553</v>
      </c>
      <c r="E2222" s="3" t="s">
        <v>556</v>
      </c>
      <c r="F2222" s="3"/>
      <c r="G2222" s="3"/>
      <c r="H2222" s="3"/>
      <c r="I2222" s="3"/>
      <c r="J2222" s="3" t="s">
        <v>11</v>
      </c>
      <c r="K2222" s="27" t="s">
        <v>1252</v>
      </c>
    </row>
    <row r="2223" ht="18.6" customHeight="1" spans="1:11">
      <c r="A2223" s="3">
        <v>2222</v>
      </c>
      <c r="B2223" s="3" t="s">
        <v>1420</v>
      </c>
      <c r="C2223" s="3" t="s">
        <v>3490</v>
      </c>
      <c r="D2223" s="3" t="s">
        <v>553</v>
      </c>
      <c r="E2223" s="3" t="s">
        <v>558</v>
      </c>
      <c r="F2223" s="3"/>
      <c r="G2223" s="3"/>
      <c r="H2223" s="3"/>
      <c r="I2223" s="3"/>
      <c r="J2223" s="3" t="s">
        <v>11</v>
      </c>
      <c r="K2223" s="27" t="s">
        <v>1252</v>
      </c>
    </row>
    <row r="2224" ht="18.6" customHeight="1" spans="1:11">
      <c r="A2224" s="3">
        <v>2223</v>
      </c>
      <c r="B2224" s="3" t="s">
        <v>1421</v>
      </c>
      <c r="C2224" s="3" t="s">
        <v>3490</v>
      </c>
      <c r="D2224" s="3" t="s">
        <v>553</v>
      </c>
      <c r="E2224" s="3" t="s">
        <v>554</v>
      </c>
      <c r="F2224" s="3"/>
      <c r="G2224" s="3"/>
      <c r="H2224" s="3"/>
      <c r="I2224" s="3"/>
      <c r="J2224" s="3" t="s">
        <v>11</v>
      </c>
      <c r="K2224" s="27" t="s">
        <v>1252</v>
      </c>
    </row>
    <row r="2225" ht="18.6" customHeight="1" spans="1:11">
      <c r="A2225" s="3">
        <v>2224</v>
      </c>
      <c r="B2225" s="3" t="s">
        <v>1422</v>
      </c>
      <c r="C2225" s="3" t="s">
        <v>3490</v>
      </c>
      <c r="D2225" s="3" t="s">
        <v>553</v>
      </c>
      <c r="E2225" s="3" t="s">
        <v>558</v>
      </c>
      <c r="F2225" s="3"/>
      <c r="G2225" s="3"/>
      <c r="H2225" s="3"/>
      <c r="I2225" s="3"/>
      <c r="J2225" s="3" t="s">
        <v>11</v>
      </c>
      <c r="K2225" s="27" t="s">
        <v>1252</v>
      </c>
    </row>
    <row r="2226" ht="18.6" customHeight="1" spans="1:11">
      <c r="A2226" s="3">
        <v>2225</v>
      </c>
      <c r="B2226" s="3" t="s">
        <v>1423</v>
      </c>
      <c r="C2226" s="3" t="s">
        <v>3490</v>
      </c>
      <c r="D2226" s="3" t="s">
        <v>553</v>
      </c>
      <c r="E2226" s="3" t="s">
        <v>572</v>
      </c>
      <c r="F2226" s="3"/>
      <c r="G2226" s="3"/>
      <c r="H2226" s="3"/>
      <c r="I2226" s="3" t="s">
        <v>3769</v>
      </c>
      <c r="J2226" s="3" t="s">
        <v>11</v>
      </c>
      <c r="K2226" s="27" t="s">
        <v>1252</v>
      </c>
    </row>
    <row r="2227" ht="18.6" customHeight="1" spans="1:11">
      <c r="A2227" s="3">
        <v>2226</v>
      </c>
      <c r="B2227" s="3" t="s">
        <v>1424</v>
      </c>
      <c r="C2227" s="3" t="s">
        <v>3490</v>
      </c>
      <c r="D2227" s="3" t="s">
        <v>553</v>
      </c>
      <c r="E2227" s="3" t="s">
        <v>558</v>
      </c>
      <c r="F2227" s="3"/>
      <c r="G2227" s="3"/>
      <c r="H2227" s="3"/>
      <c r="I2227" s="3" t="s">
        <v>3769</v>
      </c>
      <c r="J2227" s="3" t="s">
        <v>11</v>
      </c>
      <c r="K2227" s="27" t="s">
        <v>1252</v>
      </c>
    </row>
    <row r="2228" ht="18.6" customHeight="1" spans="1:11">
      <c r="A2228" s="3">
        <v>2227</v>
      </c>
      <c r="B2228" s="3" t="s">
        <v>1425</v>
      </c>
      <c r="C2228" s="3" t="s">
        <v>3490</v>
      </c>
      <c r="D2228" s="3" t="s">
        <v>553</v>
      </c>
      <c r="E2228" s="3" t="s">
        <v>554</v>
      </c>
      <c r="F2228" s="3"/>
      <c r="G2228" s="3"/>
      <c r="H2228" s="3"/>
      <c r="I2228" s="3" t="s">
        <v>3769</v>
      </c>
      <c r="J2228" s="3" t="s">
        <v>11</v>
      </c>
      <c r="K2228" s="27" t="s">
        <v>1252</v>
      </c>
    </row>
    <row r="2229" ht="18.6" customHeight="1" spans="1:11">
      <c r="A2229" s="3">
        <v>2228</v>
      </c>
      <c r="B2229" s="3" t="s">
        <v>1426</v>
      </c>
      <c r="C2229" s="3" t="s">
        <v>3490</v>
      </c>
      <c r="D2229" s="3" t="s">
        <v>553</v>
      </c>
      <c r="E2229" s="3" t="s">
        <v>558</v>
      </c>
      <c r="F2229" s="3"/>
      <c r="G2229" s="3"/>
      <c r="H2229" s="3"/>
      <c r="I2229" s="3" t="s">
        <v>3769</v>
      </c>
      <c r="J2229" s="3" t="s">
        <v>11</v>
      </c>
      <c r="K2229" s="27" t="s">
        <v>1252</v>
      </c>
    </row>
    <row r="2230" ht="18.6" customHeight="1" spans="1:11">
      <c r="A2230" s="3">
        <v>2229</v>
      </c>
      <c r="B2230" s="3" t="s">
        <v>1427</v>
      </c>
      <c r="C2230" s="3" t="s">
        <v>3490</v>
      </c>
      <c r="D2230" s="3" t="s">
        <v>553</v>
      </c>
      <c r="E2230" s="3" t="s">
        <v>558</v>
      </c>
      <c r="F2230" s="3"/>
      <c r="G2230" s="3"/>
      <c r="H2230" s="3"/>
      <c r="I2230" s="3"/>
      <c r="J2230" s="3" t="s">
        <v>11</v>
      </c>
      <c r="K2230" s="27" t="s">
        <v>1252</v>
      </c>
    </row>
    <row r="2231" ht="18.6" customHeight="1" spans="1:11">
      <c r="A2231" s="3">
        <v>2230</v>
      </c>
      <c r="B2231" s="3" t="s">
        <v>1428</v>
      </c>
      <c r="C2231" s="3" t="s">
        <v>3490</v>
      </c>
      <c r="D2231" s="3" t="s">
        <v>553</v>
      </c>
      <c r="E2231" s="3" t="s">
        <v>556</v>
      </c>
      <c r="F2231" s="3"/>
      <c r="G2231" s="3"/>
      <c r="H2231" s="3"/>
      <c r="I2231" s="3"/>
      <c r="J2231" s="3" t="s">
        <v>11</v>
      </c>
      <c r="K2231" s="27" t="s">
        <v>1252</v>
      </c>
    </row>
    <row r="2232" ht="18.6" customHeight="1" spans="1:11">
      <c r="A2232" s="3">
        <v>2231</v>
      </c>
      <c r="B2232" s="3" t="s">
        <v>1429</v>
      </c>
      <c r="C2232" s="3" t="s">
        <v>3490</v>
      </c>
      <c r="D2232" s="3" t="s">
        <v>553</v>
      </c>
      <c r="E2232" s="3" t="s">
        <v>558</v>
      </c>
      <c r="F2232" s="3"/>
      <c r="G2232" s="3"/>
      <c r="H2232" s="3"/>
      <c r="I2232" s="3"/>
      <c r="J2232" s="3" t="s">
        <v>11</v>
      </c>
      <c r="K2232" s="27" t="s">
        <v>1252</v>
      </c>
    </row>
    <row r="2233" ht="18.6" customHeight="1" spans="1:11">
      <c r="A2233" s="3">
        <v>2232</v>
      </c>
      <c r="B2233" s="3" t="s">
        <v>1430</v>
      </c>
      <c r="C2233" s="3" t="s">
        <v>3490</v>
      </c>
      <c r="D2233" s="3" t="s">
        <v>553</v>
      </c>
      <c r="E2233" s="3" t="s">
        <v>558</v>
      </c>
      <c r="F2233" s="3"/>
      <c r="G2233" s="3"/>
      <c r="H2233" s="3"/>
      <c r="I2233" s="3" t="s">
        <v>3769</v>
      </c>
      <c r="J2233" s="3" t="s">
        <v>11</v>
      </c>
      <c r="K2233" s="27" t="s">
        <v>1252</v>
      </c>
    </row>
    <row r="2234" ht="18.6" customHeight="1" spans="1:11">
      <c r="A2234" s="3">
        <v>2233</v>
      </c>
      <c r="B2234" s="3" t="s">
        <v>1431</v>
      </c>
      <c r="C2234" s="3" t="s">
        <v>3499</v>
      </c>
      <c r="D2234" s="3" t="s">
        <v>587</v>
      </c>
      <c r="E2234" s="3" t="s">
        <v>588</v>
      </c>
      <c r="F2234" s="3"/>
      <c r="G2234" s="3"/>
      <c r="H2234" s="3"/>
      <c r="I2234" s="3"/>
      <c r="J2234" s="3" t="s">
        <v>11</v>
      </c>
      <c r="K2234" s="27" t="s">
        <v>1252</v>
      </c>
    </row>
    <row r="2235" ht="18.6" customHeight="1" spans="1:11">
      <c r="A2235" s="3">
        <v>2234</v>
      </c>
      <c r="B2235" s="3" t="s">
        <v>1432</v>
      </c>
      <c r="C2235" s="3" t="s">
        <v>3499</v>
      </c>
      <c r="D2235" s="3" t="s">
        <v>587</v>
      </c>
      <c r="E2235" s="3" t="s">
        <v>616</v>
      </c>
      <c r="F2235" s="3"/>
      <c r="G2235" s="3"/>
      <c r="H2235" s="3"/>
      <c r="I2235" s="3"/>
      <c r="J2235" s="3" t="s">
        <v>11</v>
      </c>
      <c r="K2235" s="27" t="s">
        <v>1252</v>
      </c>
    </row>
    <row r="2236" ht="18.6" customHeight="1" spans="1:11">
      <c r="A2236" s="3">
        <v>2235</v>
      </c>
      <c r="B2236" s="3" t="s">
        <v>1433</v>
      </c>
      <c r="C2236" s="3" t="s">
        <v>3499</v>
      </c>
      <c r="D2236" s="3" t="s">
        <v>587</v>
      </c>
      <c r="E2236" s="3" t="s">
        <v>588</v>
      </c>
      <c r="F2236" s="3"/>
      <c r="G2236" s="3"/>
      <c r="H2236" s="3"/>
      <c r="I2236" s="3"/>
      <c r="J2236" s="3" t="s">
        <v>11</v>
      </c>
      <c r="K2236" s="27" t="s">
        <v>1252</v>
      </c>
    </row>
    <row r="2237" ht="18.6" customHeight="1" spans="1:11">
      <c r="A2237" s="3">
        <v>2236</v>
      </c>
      <c r="B2237" s="3" t="s">
        <v>1434</v>
      </c>
      <c r="C2237" s="3" t="s">
        <v>3499</v>
      </c>
      <c r="D2237" s="3" t="s">
        <v>587</v>
      </c>
      <c r="E2237" s="3" t="s">
        <v>588</v>
      </c>
      <c r="F2237" s="3"/>
      <c r="G2237" s="3"/>
      <c r="H2237" s="3"/>
      <c r="I2237" s="3"/>
      <c r="J2237" s="3" t="s">
        <v>11</v>
      </c>
      <c r="K2237" s="27" t="s">
        <v>1252</v>
      </c>
    </row>
    <row r="2238" ht="18.6" customHeight="1" spans="1:11">
      <c r="A2238" s="3">
        <v>2237</v>
      </c>
      <c r="B2238" s="3" t="s">
        <v>1435</v>
      </c>
      <c r="C2238" s="3" t="s">
        <v>3499</v>
      </c>
      <c r="D2238" s="3" t="s">
        <v>587</v>
      </c>
      <c r="E2238" s="3" t="s">
        <v>588</v>
      </c>
      <c r="F2238" s="3"/>
      <c r="G2238" s="3"/>
      <c r="H2238" s="3"/>
      <c r="I2238" s="3"/>
      <c r="J2238" s="3" t="s">
        <v>11</v>
      </c>
      <c r="K2238" s="27" t="s">
        <v>1252</v>
      </c>
    </row>
    <row r="2239" ht="18.6" customHeight="1" spans="1:11">
      <c r="A2239" s="3">
        <v>2238</v>
      </c>
      <c r="B2239" s="3" t="s">
        <v>1436</v>
      </c>
      <c r="C2239" s="3" t="s">
        <v>3499</v>
      </c>
      <c r="D2239" s="3" t="s">
        <v>587</v>
      </c>
      <c r="E2239" s="3" t="s">
        <v>588</v>
      </c>
      <c r="F2239" s="3"/>
      <c r="G2239" s="3"/>
      <c r="H2239" s="3"/>
      <c r="I2239" s="3"/>
      <c r="J2239" s="3" t="s">
        <v>11</v>
      </c>
      <c r="K2239" s="27" t="s">
        <v>1252</v>
      </c>
    </row>
    <row r="2240" ht="18.6" customHeight="1" spans="1:11">
      <c r="A2240" s="3">
        <v>2239</v>
      </c>
      <c r="B2240" s="3" t="s">
        <v>1437</v>
      </c>
      <c r="C2240" s="3" t="s">
        <v>3499</v>
      </c>
      <c r="D2240" s="3" t="s">
        <v>587</v>
      </c>
      <c r="E2240" s="3" t="s">
        <v>588</v>
      </c>
      <c r="F2240" s="3"/>
      <c r="G2240" s="3"/>
      <c r="H2240" s="3"/>
      <c r="I2240" s="3"/>
      <c r="J2240" s="3" t="s">
        <v>11</v>
      </c>
      <c r="K2240" s="27" t="s">
        <v>1252</v>
      </c>
    </row>
    <row r="2241" ht="18.6" customHeight="1" spans="1:11">
      <c r="A2241" s="3">
        <v>2240</v>
      </c>
      <c r="B2241" s="3" t="s">
        <v>1438</v>
      </c>
      <c r="C2241" s="3" t="s">
        <v>3499</v>
      </c>
      <c r="D2241" s="3" t="s">
        <v>587</v>
      </c>
      <c r="E2241" s="3" t="s">
        <v>588</v>
      </c>
      <c r="F2241" s="3"/>
      <c r="G2241" s="3"/>
      <c r="H2241" s="3"/>
      <c r="I2241" s="3" t="s">
        <v>3769</v>
      </c>
      <c r="J2241" s="3" t="s">
        <v>11</v>
      </c>
      <c r="K2241" s="27" t="s">
        <v>1252</v>
      </c>
    </row>
    <row r="2242" ht="18.6" customHeight="1" spans="1:11">
      <c r="A2242" s="3">
        <v>2241</v>
      </c>
      <c r="B2242" s="3" t="s">
        <v>1439</v>
      </c>
      <c r="C2242" s="3" t="s">
        <v>3499</v>
      </c>
      <c r="D2242" s="3" t="s">
        <v>587</v>
      </c>
      <c r="E2242" s="3" t="s">
        <v>618</v>
      </c>
      <c r="F2242" s="3"/>
      <c r="G2242" s="3"/>
      <c r="H2242" s="3"/>
      <c r="I2242" s="3" t="s">
        <v>3769</v>
      </c>
      <c r="J2242" s="3" t="s">
        <v>11</v>
      </c>
      <c r="K2242" s="27" t="s">
        <v>1252</v>
      </c>
    </row>
    <row r="2243" ht="18.6" customHeight="1" spans="1:11">
      <c r="A2243" s="3">
        <v>2242</v>
      </c>
      <c r="B2243" s="3" t="s">
        <v>1440</v>
      </c>
      <c r="C2243" s="3" t="s">
        <v>3499</v>
      </c>
      <c r="D2243" s="3" t="s">
        <v>587</v>
      </c>
      <c r="E2243" s="3" t="s">
        <v>588</v>
      </c>
      <c r="F2243" s="3"/>
      <c r="G2243" s="3"/>
      <c r="H2243" s="3"/>
      <c r="I2243" s="3"/>
      <c r="J2243" s="3" t="s">
        <v>11</v>
      </c>
      <c r="K2243" s="27" t="s">
        <v>1252</v>
      </c>
    </row>
    <row r="2244" ht="18.6" customHeight="1" spans="1:11">
      <c r="A2244" s="3">
        <v>2243</v>
      </c>
      <c r="B2244" s="3" t="s">
        <v>1441</v>
      </c>
      <c r="C2244" s="3" t="s">
        <v>3499</v>
      </c>
      <c r="D2244" s="3" t="s">
        <v>587</v>
      </c>
      <c r="E2244" s="3" t="s">
        <v>588</v>
      </c>
      <c r="F2244" s="3"/>
      <c r="G2244" s="3"/>
      <c r="H2244" s="3"/>
      <c r="I2244" s="3" t="s">
        <v>3770</v>
      </c>
      <c r="J2244" s="3" t="s">
        <v>11</v>
      </c>
      <c r="K2244" s="27" t="s">
        <v>1252</v>
      </c>
    </row>
    <row r="2245" ht="18.6" customHeight="1" spans="1:11">
      <c r="A2245" s="3">
        <v>2244</v>
      </c>
      <c r="B2245" s="3" t="s">
        <v>1442</v>
      </c>
      <c r="C2245" s="3" t="s">
        <v>3499</v>
      </c>
      <c r="D2245" s="3" t="s">
        <v>587</v>
      </c>
      <c r="E2245" s="3" t="s">
        <v>596</v>
      </c>
      <c r="F2245" s="3"/>
      <c r="G2245" s="3"/>
      <c r="H2245" s="3"/>
      <c r="I2245" s="3"/>
      <c r="J2245" s="3" t="s">
        <v>11</v>
      </c>
      <c r="K2245" s="27" t="s">
        <v>1252</v>
      </c>
    </row>
    <row r="2246" ht="18.6" customHeight="1" spans="1:11">
      <c r="A2246" s="3">
        <v>2245</v>
      </c>
      <c r="B2246" s="3" t="s">
        <v>1443</v>
      </c>
      <c r="C2246" s="3" t="s">
        <v>3499</v>
      </c>
      <c r="D2246" s="3" t="s">
        <v>587</v>
      </c>
      <c r="E2246" s="3" t="s">
        <v>588</v>
      </c>
      <c r="F2246" s="3"/>
      <c r="G2246" s="3"/>
      <c r="H2246" s="3"/>
      <c r="I2246" s="3" t="s">
        <v>3769</v>
      </c>
      <c r="J2246" s="3" t="s">
        <v>11</v>
      </c>
      <c r="K2246" s="27" t="s">
        <v>1252</v>
      </c>
    </row>
    <row r="2247" ht="18.6" customHeight="1" spans="1:11">
      <c r="A2247" s="3">
        <v>2246</v>
      </c>
      <c r="B2247" s="3" t="s">
        <v>1444</v>
      </c>
      <c r="C2247" s="3" t="s">
        <v>3499</v>
      </c>
      <c r="D2247" s="3" t="s">
        <v>587</v>
      </c>
      <c r="E2247" s="3" t="s">
        <v>588</v>
      </c>
      <c r="F2247" s="3"/>
      <c r="G2247" s="3"/>
      <c r="H2247" s="3"/>
      <c r="I2247" s="3" t="s">
        <v>3769</v>
      </c>
      <c r="J2247" s="3" t="s">
        <v>11</v>
      </c>
      <c r="K2247" s="27" t="s">
        <v>1252</v>
      </c>
    </row>
    <row r="2248" ht="18.6" customHeight="1" spans="1:11">
      <c r="A2248" s="3">
        <v>2247</v>
      </c>
      <c r="B2248" s="3" t="s">
        <v>1445</v>
      </c>
      <c r="C2248" s="3" t="s">
        <v>3499</v>
      </c>
      <c r="D2248" s="3" t="s">
        <v>587</v>
      </c>
      <c r="E2248" s="3" t="s">
        <v>594</v>
      </c>
      <c r="F2248" s="3"/>
      <c r="G2248" s="3"/>
      <c r="H2248" s="3"/>
      <c r="I2248" s="3" t="s">
        <v>3769</v>
      </c>
      <c r="J2248" s="3" t="s">
        <v>11</v>
      </c>
      <c r="K2248" s="27" t="s">
        <v>1252</v>
      </c>
    </row>
    <row r="2249" ht="18.6" customHeight="1" spans="1:11">
      <c r="A2249" s="3">
        <v>2248</v>
      </c>
      <c r="B2249" s="3" t="s">
        <v>1446</v>
      </c>
      <c r="C2249" s="3" t="s">
        <v>3499</v>
      </c>
      <c r="D2249" s="3" t="s">
        <v>587</v>
      </c>
      <c r="E2249" s="3" t="s">
        <v>588</v>
      </c>
      <c r="F2249" s="3"/>
      <c r="G2249" s="3"/>
      <c r="H2249" s="3"/>
      <c r="I2249" s="3"/>
      <c r="J2249" s="3" t="s">
        <v>11</v>
      </c>
      <c r="K2249" s="27" t="s">
        <v>1252</v>
      </c>
    </row>
    <row r="2250" ht="18.6" customHeight="1" spans="1:11">
      <c r="A2250" s="3">
        <v>2249</v>
      </c>
      <c r="B2250" s="3" t="s">
        <v>1447</v>
      </c>
      <c r="C2250" s="3" t="s">
        <v>3499</v>
      </c>
      <c r="D2250" s="3" t="s">
        <v>587</v>
      </c>
      <c r="E2250" s="3" t="s">
        <v>588</v>
      </c>
      <c r="F2250" s="3"/>
      <c r="G2250" s="3"/>
      <c r="H2250" s="3"/>
      <c r="I2250" s="3" t="s">
        <v>3771</v>
      </c>
      <c r="J2250" s="3" t="s">
        <v>11</v>
      </c>
      <c r="K2250" s="27" t="s">
        <v>1252</v>
      </c>
    </row>
    <row r="2251" ht="18.6" customHeight="1" spans="1:11">
      <c r="A2251" s="3">
        <v>2250</v>
      </c>
      <c r="B2251" s="3" t="s">
        <v>1448</v>
      </c>
      <c r="C2251" s="3" t="s">
        <v>3499</v>
      </c>
      <c r="D2251" s="3" t="s">
        <v>587</v>
      </c>
      <c r="E2251" s="3" t="s">
        <v>588</v>
      </c>
      <c r="F2251" s="3"/>
      <c r="G2251" s="3"/>
      <c r="H2251" s="3"/>
      <c r="I2251" s="3"/>
      <c r="J2251" s="3" t="s">
        <v>11</v>
      </c>
      <c r="K2251" s="27" t="s">
        <v>1252</v>
      </c>
    </row>
    <row r="2252" ht="18.6" customHeight="1" spans="1:11">
      <c r="A2252" s="3">
        <v>2251</v>
      </c>
      <c r="B2252" s="3" t="s">
        <v>1451</v>
      </c>
      <c r="C2252" s="3" t="s">
        <v>3521</v>
      </c>
      <c r="D2252" s="3" t="s">
        <v>628</v>
      </c>
      <c r="E2252" s="3" t="s">
        <v>640</v>
      </c>
      <c r="F2252" s="3"/>
      <c r="G2252" s="3"/>
      <c r="H2252" s="3"/>
      <c r="I2252" s="3"/>
      <c r="J2252" s="3" t="s">
        <v>11</v>
      </c>
      <c r="K2252" s="27" t="s">
        <v>1252</v>
      </c>
    </row>
    <row r="2253" ht="18.6" customHeight="1" spans="1:11">
      <c r="A2253" s="3">
        <v>2252</v>
      </c>
      <c r="B2253" s="3" t="s">
        <v>1452</v>
      </c>
      <c r="C2253" s="3" t="s">
        <v>3521</v>
      </c>
      <c r="D2253" s="3" t="s">
        <v>628</v>
      </c>
      <c r="E2253" s="3" t="s">
        <v>631</v>
      </c>
      <c r="F2253" s="3"/>
      <c r="G2253" s="3"/>
      <c r="H2253" s="3"/>
      <c r="I2253" s="3"/>
      <c r="J2253" s="3" t="s">
        <v>11</v>
      </c>
      <c r="K2253" s="27" t="s">
        <v>1252</v>
      </c>
    </row>
    <row r="2254" ht="18.6" customHeight="1" spans="1:11">
      <c r="A2254" s="3">
        <v>2253</v>
      </c>
      <c r="B2254" s="3" t="s">
        <v>1453</v>
      </c>
      <c r="C2254" s="3" t="s">
        <v>3521</v>
      </c>
      <c r="D2254" s="3" t="s">
        <v>628</v>
      </c>
      <c r="E2254" s="3" t="s">
        <v>660</v>
      </c>
      <c r="F2254" s="3"/>
      <c r="G2254" s="3"/>
      <c r="H2254" s="3"/>
      <c r="I2254" s="3"/>
      <c r="J2254" s="3" t="s">
        <v>11</v>
      </c>
      <c r="K2254" s="27" t="s">
        <v>1252</v>
      </c>
    </row>
    <row r="2255" ht="18.6" customHeight="1" spans="1:11">
      <c r="A2255" s="3">
        <v>2254</v>
      </c>
      <c r="B2255" s="3" t="s">
        <v>1454</v>
      </c>
      <c r="C2255" s="3" t="s">
        <v>3521</v>
      </c>
      <c r="D2255" s="3" t="s">
        <v>628</v>
      </c>
      <c r="E2255" s="3" t="s">
        <v>645</v>
      </c>
      <c r="F2255" s="3"/>
      <c r="G2255" s="3"/>
      <c r="H2255" s="3"/>
      <c r="I2255" s="3"/>
      <c r="J2255" s="3" t="s">
        <v>11</v>
      </c>
      <c r="K2255" s="27" t="s">
        <v>1252</v>
      </c>
    </row>
    <row r="2256" ht="18.6" customHeight="1" spans="1:11">
      <c r="A2256" s="3">
        <v>2255</v>
      </c>
      <c r="B2256" s="3" t="s">
        <v>1455</v>
      </c>
      <c r="C2256" s="3" t="s">
        <v>3521</v>
      </c>
      <c r="D2256" s="3" t="s">
        <v>628</v>
      </c>
      <c r="E2256" s="3" t="s">
        <v>629</v>
      </c>
      <c r="F2256" s="3"/>
      <c r="G2256" s="3"/>
      <c r="H2256" s="3"/>
      <c r="I2256" s="3"/>
      <c r="J2256" s="3" t="s">
        <v>11</v>
      </c>
      <c r="K2256" s="27" t="s">
        <v>1252</v>
      </c>
    </row>
    <row r="2257" ht="18.6" customHeight="1" spans="1:11">
      <c r="A2257" s="3">
        <v>2256</v>
      </c>
      <c r="B2257" s="3" t="s">
        <v>1456</v>
      </c>
      <c r="C2257" s="3" t="s">
        <v>3521</v>
      </c>
      <c r="D2257" s="3" t="s">
        <v>628</v>
      </c>
      <c r="E2257" s="3" t="s">
        <v>631</v>
      </c>
      <c r="F2257" s="3"/>
      <c r="G2257" s="3"/>
      <c r="H2257" s="3"/>
      <c r="I2257" s="3"/>
      <c r="J2257" s="3" t="s">
        <v>11</v>
      </c>
      <c r="K2257" s="27" t="s">
        <v>1252</v>
      </c>
    </row>
    <row r="2258" ht="18.6" customHeight="1" spans="1:11">
      <c r="A2258" s="3">
        <v>2257</v>
      </c>
      <c r="B2258" s="3" t="s">
        <v>1457</v>
      </c>
      <c r="C2258" s="3" t="s">
        <v>3521</v>
      </c>
      <c r="D2258" s="3" t="s">
        <v>628</v>
      </c>
      <c r="E2258" s="3" t="s">
        <v>631</v>
      </c>
      <c r="F2258" s="3"/>
      <c r="G2258" s="3"/>
      <c r="H2258" s="3"/>
      <c r="I2258" s="3"/>
      <c r="J2258" s="3" t="s">
        <v>11</v>
      </c>
      <c r="K2258" s="27" t="s">
        <v>1252</v>
      </c>
    </row>
    <row r="2259" ht="18.6" customHeight="1" spans="1:11">
      <c r="A2259" s="3">
        <v>2258</v>
      </c>
      <c r="B2259" s="3" t="s">
        <v>1458</v>
      </c>
      <c r="C2259" s="3" t="s">
        <v>3521</v>
      </c>
      <c r="D2259" s="3" t="s">
        <v>628</v>
      </c>
      <c r="E2259" s="3" t="s">
        <v>629</v>
      </c>
      <c r="F2259" s="3"/>
      <c r="G2259" s="3"/>
      <c r="H2259" s="3"/>
      <c r="I2259" s="3"/>
      <c r="J2259" s="3" t="s">
        <v>11</v>
      </c>
      <c r="K2259" s="27" t="s">
        <v>1252</v>
      </c>
    </row>
    <row r="2260" ht="18.6" customHeight="1" spans="1:11">
      <c r="A2260" s="3">
        <v>2259</v>
      </c>
      <c r="B2260" s="3" t="s">
        <v>1459</v>
      </c>
      <c r="C2260" s="3" t="s">
        <v>3521</v>
      </c>
      <c r="D2260" s="3" t="s">
        <v>628</v>
      </c>
      <c r="E2260" s="3" t="s">
        <v>629</v>
      </c>
      <c r="F2260" s="3"/>
      <c r="G2260" s="3"/>
      <c r="H2260" s="3"/>
      <c r="I2260" s="3"/>
      <c r="J2260" s="3" t="s">
        <v>11</v>
      </c>
      <c r="K2260" s="27" t="s">
        <v>1252</v>
      </c>
    </row>
    <row r="2261" ht="18.6" customHeight="1" spans="1:11">
      <c r="A2261" s="3">
        <v>2260</v>
      </c>
      <c r="B2261" s="3" t="s">
        <v>1460</v>
      </c>
      <c r="C2261" s="3" t="s">
        <v>3521</v>
      </c>
      <c r="D2261" s="3" t="s">
        <v>628</v>
      </c>
      <c r="E2261" s="3" t="s">
        <v>629</v>
      </c>
      <c r="F2261" s="3"/>
      <c r="G2261" s="3"/>
      <c r="H2261" s="3"/>
      <c r="I2261" s="3"/>
      <c r="J2261" s="3" t="s">
        <v>11</v>
      </c>
      <c r="K2261" s="27" t="s">
        <v>1252</v>
      </c>
    </row>
    <row r="2262" ht="18.6" customHeight="1" spans="1:11">
      <c r="A2262" s="3">
        <v>2261</v>
      </c>
      <c r="B2262" s="3" t="s">
        <v>1461</v>
      </c>
      <c r="C2262" s="3" t="s">
        <v>3521</v>
      </c>
      <c r="D2262" s="3" t="s">
        <v>628</v>
      </c>
      <c r="E2262" s="3" t="s">
        <v>660</v>
      </c>
      <c r="F2262" s="3"/>
      <c r="G2262" s="3"/>
      <c r="H2262" s="3"/>
      <c r="I2262" s="3"/>
      <c r="J2262" s="3" t="s">
        <v>11</v>
      </c>
      <c r="K2262" s="27" t="s">
        <v>1252</v>
      </c>
    </row>
    <row r="2263" ht="18.6" customHeight="1" spans="1:11">
      <c r="A2263" s="3">
        <v>2262</v>
      </c>
      <c r="B2263" s="3" t="s">
        <v>1462</v>
      </c>
      <c r="C2263" s="3" t="s">
        <v>3521</v>
      </c>
      <c r="D2263" s="3" t="s">
        <v>628</v>
      </c>
      <c r="E2263" s="3" t="s">
        <v>655</v>
      </c>
      <c r="F2263" s="3"/>
      <c r="G2263" s="3"/>
      <c r="H2263" s="3"/>
      <c r="I2263" s="3" t="s">
        <v>3769</v>
      </c>
      <c r="J2263" s="3" t="s">
        <v>11</v>
      </c>
      <c r="K2263" s="27" t="s">
        <v>1252</v>
      </c>
    </row>
    <row r="2264" ht="18.6" customHeight="1" spans="1:11">
      <c r="A2264" s="3">
        <v>2263</v>
      </c>
      <c r="B2264" s="3" t="s">
        <v>1463</v>
      </c>
      <c r="C2264" s="3" t="s">
        <v>3521</v>
      </c>
      <c r="D2264" s="3" t="s">
        <v>628</v>
      </c>
      <c r="E2264" s="3" t="s">
        <v>631</v>
      </c>
      <c r="F2264" s="3"/>
      <c r="G2264" s="3"/>
      <c r="H2264" s="3"/>
      <c r="I2264" s="3"/>
      <c r="J2264" s="3" t="s">
        <v>11</v>
      </c>
      <c r="K2264" s="27" t="s">
        <v>1252</v>
      </c>
    </row>
    <row r="2265" ht="18.6" customHeight="1" spans="1:11">
      <c r="A2265" s="3">
        <v>2264</v>
      </c>
      <c r="B2265" s="3" t="s">
        <v>1464</v>
      </c>
      <c r="C2265" s="3" t="s">
        <v>3521</v>
      </c>
      <c r="D2265" s="3" t="s">
        <v>628</v>
      </c>
      <c r="E2265" s="3" t="s">
        <v>645</v>
      </c>
      <c r="F2265" s="3"/>
      <c r="G2265" s="3"/>
      <c r="H2265" s="3"/>
      <c r="I2265" s="3"/>
      <c r="J2265" s="3" t="s">
        <v>11</v>
      </c>
      <c r="K2265" s="27" t="s">
        <v>1252</v>
      </c>
    </row>
    <row r="2266" ht="18.6" customHeight="1" spans="1:11">
      <c r="A2266" s="3">
        <v>2265</v>
      </c>
      <c r="B2266" s="3" t="s">
        <v>1465</v>
      </c>
      <c r="C2266" s="3" t="s">
        <v>3521</v>
      </c>
      <c r="D2266" s="3" t="s">
        <v>628</v>
      </c>
      <c r="E2266" s="3" t="s">
        <v>629</v>
      </c>
      <c r="F2266" s="3"/>
      <c r="G2266" s="3"/>
      <c r="H2266" s="3"/>
      <c r="I2266" s="3" t="s">
        <v>3771</v>
      </c>
      <c r="J2266" s="3" t="s">
        <v>11</v>
      </c>
      <c r="K2266" s="27" t="s">
        <v>1252</v>
      </c>
    </row>
    <row r="2267" ht="18.6" customHeight="1" spans="1:11">
      <c r="A2267" s="3">
        <v>2266</v>
      </c>
      <c r="B2267" s="3" t="s">
        <v>1466</v>
      </c>
      <c r="C2267" s="3" t="s">
        <v>3521</v>
      </c>
      <c r="D2267" s="3" t="s">
        <v>628</v>
      </c>
      <c r="E2267" s="3" t="s">
        <v>688</v>
      </c>
      <c r="F2267" s="3"/>
      <c r="G2267" s="3"/>
      <c r="H2267" s="3"/>
      <c r="I2267" s="3"/>
      <c r="J2267" s="3" t="s">
        <v>11</v>
      </c>
      <c r="K2267" s="27" t="s">
        <v>1252</v>
      </c>
    </row>
    <row r="2268" ht="18.6" customHeight="1" spans="1:11">
      <c r="A2268" s="3">
        <v>2267</v>
      </c>
      <c r="B2268" s="3" t="s">
        <v>1467</v>
      </c>
      <c r="C2268" s="3" t="s">
        <v>3521</v>
      </c>
      <c r="D2268" s="3" t="s">
        <v>628</v>
      </c>
      <c r="E2268" s="3" t="s">
        <v>642</v>
      </c>
      <c r="F2268" s="3"/>
      <c r="G2268" s="3"/>
      <c r="H2268" s="3"/>
      <c r="I2268" s="3"/>
      <c r="J2268" s="3" t="s">
        <v>11</v>
      </c>
      <c r="K2268" s="27" t="s">
        <v>1252</v>
      </c>
    </row>
    <row r="2269" ht="18.6" customHeight="1" spans="1:11">
      <c r="A2269" s="3">
        <v>2268</v>
      </c>
      <c r="B2269" s="3" t="s">
        <v>1468</v>
      </c>
      <c r="C2269" s="3" t="s">
        <v>3521</v>
      </c>
      <c r="D2269" s="3" t="s">
        <v>628</v>
      </c>
      <c r="E2269" s="3" t="s">
        <v>657</v>
      </c>
      <c r="F2269" s="3"/>
      <c r="G2269" s="3"/>
      <c r="H2269" s="3"/>
      <c r="I2269" s="3"/>
      <c r="J2269" s="3" t="s">
        <v>11</v>
      </c>
      <c r="K2269" s="27" t="s">
        <v>1252</v>
      </c>
    </row>
    <row r="2270" ht="18.6" customHeight="1" spans="1:11">
      <c r="A2270" s="3">
        <v>2269</v>
      </c>
      <c r="B2270" s="3" t="s">
        <v>1469</v>
      </c>
      <c r="C2270" s="3" t="s">
        <v>3521</v>
      </c>
      <c r="D2270" s="3" t="s">
        <v>628</v>
      </c>
      <c r="E2270" s="3" t="s">
        <v>1470</v>
      </c>
      <c r="F2270" s="3"/>
      <c r="G2270" s="3"/>
      <c r="H2270" s="3"/>
      <c r="I2270" s="3"/>
      <c r="J2270" s="3" t="s">
        <v>11</v>
      </c>
      <c r="K2270" s="27" t="s">
        <v>1252</v>
      </c>
    </row>
    <row r="2271" ht="18.6" customHeight="1" spans="1:11">
      <c r="A2271" s="3">
        <v>2270</v>
      </c>
      <c r="B2271" s="3" t="s">
        <v>1471</v>
      </c>
      <c r="C2271" s="3" t="s">
        <v>3521</v>
      </c>
      <c r="D2271" s="3" t="s">
        <v>628</v>
      </c>
      <c r="E2271" s="3" t="s">
        <v>631</v>
      </c>
      <c r="F2271" s="3"/>
      <c r="G2271" s="3"/>
      <c r="H2271" s="3"/>
      <c r="I2271" s="3"/>
      <c r="J2271" s="3" t="s">
        <v>11</v>
      </c>
      <c r="K2271" s="27" t="s">
        <v>1252</v>
      </c>
    </row>
    <row r="2272" ht="18.6" customHeight="1" spans="1:11">
      <c r="A2272" s="3">
        <v>2271</v>
      </c>
      <c r="B2272" s="3" t="s">
        <v>1472</v>
      </c>
      <c r="C2272" s="3" t="s">
        <v>3521</v>
      </c>
      <c r="D2272" s="3" t="s">
        <v>628</v>
      </c>
      <c r="E2272" s="3" t="s">
        <v>660</v>
      </c>
      <c r="F2272" s="3"/>
      <c r="G2272" s="3"/>
      <c r="H2272" s="3"/>
      <c r="I2272" s="3" t="s">
        <v>3769</v>
      </c>
      <c r="J2272" s="3" t="s">
        <v>11</v>
      </c>
      <c r="K2272" s="27" t="s">
        <v>1252</v>
      </c>
    </row>
    <row r="2273" ht="18.6" customHeight="1" spans="1:11">
      <c r="A2273" s="3">
        <v>2272</v>
      </c>
      <c r="B2273" s="3" t="s">
        <v>1473</v>
      </c>
      <c r="C2273" s="3" t="s">
        <v>3521</v>
      </c>
      <c r="D2273" s="3" t="s">
        <v>628</v>
      </c>
      <c r="E2273" s="3" t="s">
        <v>629</v>
      </c>
      <c r="F2273" s="3"/>
      <c r="G2273" s="3"/>
      <c r="H2273" s="3"/>
      <c r="I2273" s="3"/>
      <c r="J2273" s="3" t="s">
        <v>11</v>
      </c>
      <c r="K2273" s="27" t="s">
        <v>1252</v>
      </c>
    </row>
    <row r="2274" ht="18.6" customHeight="1" spans="1:11">
      <c r="A2274" s="3">
        <v>2273</v>
      </c>
      <c r="B2274" s="3" t="s">
        <v>1474</v>
      </c>
      <c r="C2274" s="3" t="s">
        <v>3521</v>
      </c>
      <c r="D2274" s="3" t="s">
        <v>628</v>
      </c>
      <c r="E2274" s="3" t="s">
        <v>642</v>
      </c>
      <c r="F2274" s="3"/>
      <c r="G2274" s="3"/>
      <c r="H2274" s="3"/>
      <c r="I2274" s="3" t="s">
        <v>3769</v>
      </c>
      <c r="J2274" s="3" t="s">
        <v>11</v>
      </c>
      <c r="K2274" s="27" t="s">
        <v>1252</v>
      </c>
    </row>
    <row r="2275" ht="18.6" customHeight="1" spans="1:11">
      <c r="A2275" s="3">
        <v>2274</v>
      </c>
      <c r="B2275" s="3" t="s">
        <v>1475</v>
      </c>
      <c r="C2275" s="3" t="s">
        <v>3521</v>
      </c>
      <c r="D2275" s="3" t="s">
        <v>628</v>
      </c>
      <c r="E2275" s="3" t="s">
        <v>660</v>
      </c>
      <c r="F2275" s="3"/>
      <c r="G2275" s="3"/>
      <c r="H2275" s="3"/>
      <c r="I2275" s="3"/>
      <c r="J2275" s="3" t="s">
        <v>11</v>
      </c>
      <c r="K2275" s="27" t="s">
        <v>1252</v>
      </c>
    </row>
    <row r="2276" ht="18.6" customHeight="1" spans="1:11">
      <c r="A2276" s="3">
        <v>2275</v>
      </c>
      <c r="B2276" s="3" t="s">
        <v>1476</v>
      </c>
      <c r="C2276" s="3" t="s">
        <v>3521</v>
      </c>
      <c r="D2276" s="3" t="s">
        <v>628</v>
      </c>
      <c r="E2276" s="3" t="s">
        <v>631</v>
      </c>
      <c r="F2276" s="3"/>
      <c r="G2276" s="3"/>
      <c r="H2276" s="3"/>
      <c r="I2276" s="3"/>
      <c r="J2276" s="3" t="s">
        <v>11</v>
      </c>
      <c r="K2276" s="27" t="s">
        <v>1252</v>
      </c>
    </row>
    <row r="2277" ht="18.6" customHeight="1" spans="1:11">
      <c r="A2277" s="3">
        <v>2276</v>
      </c>
      <c r="B2277" s="3" t="s">
        <v>1477</v>
      </c>
      <c r="C2277" s="3" t="s">
        <v>3542</v>
      </c>
      <c r="D2277" s="3" t="s">
        <v>692</v>
      </c>
      <c r="E2277" s="3" t="s">
        <v>693</v>
      </c>
      <c r="F2277" s="3"/>
      <c r="G2277" s="3"/>
      <c r="H2277" s="3"/>
      <c r="I2277" s="3"/>
      <c r="J2277" s="3" t="s">
        <v>11</v>
      </c>
      <c r="K2277" s="27" t="s">
        <v>1252</v>
      </c>
    </row>
    <row r="2278" ht="18.6" customHeight="1" spans="1:11">
      <c r="A2278" s="3">
        <v>2277</v>
      </c>
      <c r="B2278" s="3" t="s">
        <v>1478</v>
      </c>
      <c r="C2278" s="3" t="s">
        <v>3542</v>
      </c>
      <c r="D2278" s="3" t="s">
        <v>692</v>
      </c>
      <c r="E2278" s="3" t="s">
        <v>693</v>
      </c>
      <c r="F2278" s="3"/>
      <c r="G2278" s="3"/>
      <c r="H2278" s="3"/>
      <c r="I2278" s="3"/>
      <c r="J2278" s="3" t="s">
        <v>11</v>
      </c>
      <c r="K2278" s="27" t="s">
        <v>1252</v>
      </c>
    </row>
    <row r="2279" ht="18.6" customHeight="1" spans="1:11">
      <c r="A2279" s="3">
        <v>2278</v>
      </c>
      <c r="B2279" s="3" t="s">
        <v>1479</v>
      </c>
      <c r="C2279" s="3" t="s">
        <v>3542</v>
      </c>
      <c r="D2279" s="3" t="s">
        <v>692</v>
      </c>
      <c r="E2279" s="3" t="s">
        <v>693</v>
      </c>
      <c r="F2279" s="3"/>
      <c r="G2279" s="3"/>
      <c r="H2279" s="3"/>
      <c r="I2279" s="3"/>
      <c r="J2279" s="3" t="s">
        <v>11</v>
      </c>
      <c r="K2279" s="27" t="s">
        <v>1252</v>
      </c>
    </row>
    <row r="2280" ht="18.6" customHeight="1" spans="1:11">
      <c r="A2280" s="3">
        <v>2279</v>
      </c>
      <c r="B2280" s="3" t="s">
        <v>1480</v>
      </c>
      <c r="C2280" s="3" t="s">
        <v>3542</v>
      </c>
      <c r="D2280" s="3" t="s">
        <v>692</v>
      </c>
      <c r="E2280" s="3" t="s">
        <v>693</v>
      </c>
      <c r="F2280" s="3"/>
      <c r="G2280" s="3"/>
      <c r="H2280" s="3"/>
      <c r="I2280" s="3"/>
      <c r="J2280" s="3" t="s">
        <v>11</v>
      </c>
      <c r="K2280" s="27" t="s">
        <v>1252</v>
      </c>
    </row>
    <row r="2281" ht="18.6" customHeight="1" spans="1:11">
      <c r="A2281" s="3">
        <v>2280</v>
      </c>
      <c r="B2281" s="3" t="s">
        <v>1481</v>
      </c>
      <c r="C2281" s="3" t="s">
        <v>3542</v>
      </c>
      <c r="D2281" s="3" t="s">
        <v>692</v>
      </c>
      <c r="E2281" s="3" t="s">
        <v>696</v>
      </c>
      <c r="F2281" s="3"/>
      <c r="G2281" s="3"/>
      <c r="H2281" s="3"/>
      <c r="I2281" s="3"/>
      <c r="J2281" s="3" t="s">
        <v>11</v>
      </c>
      <c r="K2281" s="27" t="s">
        <v>1252</v>
      </c>
    </row>
    <row r="2282" ht="18.6" customHeight="1" spans="1:11">
      <c r="A2282" s="3">
        <v>2281</v>
      </c>
      <c r="B2282" s="3" t="s">
        <v>1482</v>
      </c>
      <c r="C2282" s="3" t="s">
        <v>3542</v>
      </c>
      <c r="D2282" s="3" t="s">
        <v>692</v>
      </c>
      <c r="E2282" s="3" t="s">
        <v>723</v>
      </c>
      <c r="F2282" s="3"/>
      <c r="G2282" s="3"/>
      <c r="H2282" s="3"/>
      <c r="I2282" s="3"/>
      <c r="J2282" s="3" t="s">
        <v>11</v>
      </c>
      <c r="K2282" s="27" t="s">
        <v>1252</v>
      </c>
    </row>
    <row r="2283" ht="18.6" customHeight="1" spans="1:11">
      <c r="A2283" s="3">
        <v>2282</v>
      </c>
      <c r="B2283" s="3" t="s">
        <v>1483</v>
      </c>
      <c r="C2283" s="3" t="s">
        <v>3542</v>
      </c>
      <c r="D2283" s="3" t="s">
        <v>692</v>
      </c>
      <c r="E2283" s="3" t="s">
        <v>709</v>
      </c>
      <c r="F2283" s="3"/>
      <c r="G2283" s="3"/>
      <c r="H2283" s="3"/>
      <c r="I2283" s="3"/>
      <c r="J2283" s="3" t="s">
        <v>11</v>
      </c>
      <c r="K2283" s="27" t="s">
        <v>1252</v>
      </c>
    </row>
    <row r="2284" ht="18.6" customHeight="1" spans="1:11">
      <c r="A2284" s="3">
        <v>2283</v>
      </c>
      <c r="B2284" s="3" t="s">
        <v>1484</v>
      </c>
      <c r="C2284" s="3" t="s">
        <v>3542</v>
      </c>
      <c r="D2284" s="3" t="s">
        <v>692</v>
      </c>
      <c r="E2284" s="3" t="s">
        <v>693</v>
      </c>
      <c r="F2284" s="3"/>
      <c r="G2284" s="3"/>
      <c r="H2284" s="3"/>
      <c r="I2284" s="3"/>
      <c r="J2284" s="3" t="s">
        <v>11</v>
      </c>
      <c r="K2284" s="27" t="s">
        <v>1252</v>
      </c>
    </row>
    <row r="2285" ht="18.6" customHeight="1" spans="1:11">
      <c r="A2285" s="3">
        <v>2284</v>
      </c>
      <c r="B2285" s="3" t="s">
        <v>1485</v>
      </c>
      <c r="C2285" s="3" t="s">
        <v>3542</v>
      </c>
      <c r="D2285" s="3" t="s">
        <v>692</v>
      </c>
      <c r="E2285" s="3" t="s">
        <v>712</v>
      </c>
      <c r="F2285" s="3"/>
      <c r="G2285" s="3"/>
      <c r="H2285" s="3"/>
      <c r="I2285" s="3"/>
      <c r="J2285" s="3" t="s">
        <v>11</v>
      </c>
      <c r="K2285" s="27" t="s">
        <v>1252</v>
      </c>
    </row>
    <row r="2286" ht="18.6" customHeight="1" spans="1:11">
      <c r="A2286" s="3">
        <v>2285</v>
      </c>
      <c r="B2286" s="3" t="s">
        <v>1486</v>
      </c>
      <c r="C2286" s="3" t="s">
        <v>3542</v>
      </c>
      <c r="D2286" s="3" t="s">
        <v>692</v>
      </c>
      <c r="E2286" s="3" t="s">
        <v>716</v>
      </c>
      <c r="F2286" s="3"/>
      <c r="G2286" s="3"/>
      <c r="H2286" s="3"/>
      <c r="I2286" s="3"/>
      <c r="J2286" s="3" t="s">
        <v>11</v>
      </c>
      <c r="K2286" s="27" t="s">
        <v>1252</v>
      </c>
    </row>
    <row r="2287" ht="18.6" customHeight="1" spans="1:11">
      <c r="A2287" s="3">
        <v>2286</v>
      </c>
      <c r="B2287" s="3" t="s">
        <v>3837</v>
      </c>
      <c r="C2287" s="3" t="s">
        <v>3542</v>
      </c>
      <c r="D2287" s="3" t="s">
        <v>692</v>
      </c>
      <c r="E2287" s="3" t="s">
        <v>704</v>
      </c>
      <c r="F2287" s="3"/>
      <c r="G2287" s="3"/>
      <c r="H2287" s="3"/>
      <c r="I2287" s="3" t="s">
        <v>3775</v>
      </c>
      <c r="J2287" s="3" t="s">
        <v>11</v>
      </c>
      <c r="K2287" s="27" t="s">
        <v>1252</v>
      </c>
    </row>
    <row r="2288" ht="18.6" customHeight="1" spans="1:11">
      <c r="A2288" s="3">
        <v>2287</v>
      </c>
      <c r="B2288" s="3" t="s">
        <v>1488</v>
      </c>
      <c r="C2288" s="3" t="s">
        <v>3542</v>
      </c>
      <c r="D2288" s="3" t="s">
        <v>692</v>
      </c>
      <c r="E2288" s="3" t="s">
        <v>704</v>
      </c>
      <c r="F2288" s="3"/>
      <c r="G2288" s="3"/>
      <c r="H2288" s="3"/>
      <c r="I2288" s="3"/>
      <c r="J2288" s="3" t="s">
        <v>11</v>
      </c>
      <c r="K2288" s="27" t="s">
        <v>1252</v>
      </c>
    </row>
    <row r="2289" ht="18.6" customHeight="1" spans="1:11">
      <c r="A2289" s="3">
        <v>2288</v>
      </c>
      <c r="B2289" s="3" t="s">
        <v>1489</v>
      </c>
      <c r="C2289" s="3" t="s">
        <v>3542</v>
      </c>
      <c r="D2289" s="3" t="s">
        <v>692</v>
      </c>
      <c r="E2289" s="3" t="s">
        <v>693</v>
      </c>
      <c r="F2289" s="3"/>
      <c r="G2289" s="3"/>
      <c r="H2289" s="3"/>
      <c r="I2289" s="3"/>
      <c r="J2289" s="3" t="s">
        <v>11</v>
      </c>
      <c r="K2289" s="27" t="s">
        <v>1252</v>
      </c>
    </row>
    <row r="2290" ht="18.6" customHeight="1" spans="1:11">
      <c r="A2290" s="3">
        <v>2289</v>
      </c>
      <c r="B2290" s="3" t="s">
        <v>1490</v>
      </c>
      <c r="C2290" s="3" t="s">
        <v>3542</v>
      </c>
      <c r="D2290" s="3" t="s">
        <v>692</v>
      </c>
      <c r="E2290" s="3" t="s">
        <v>693</v>
      </c>
      <c r="F2290" s="3"/>
      <c r="G2290" s="3"/>
      <c r="H2290" s="3"/>
      <c r="I2290" s="3"/>
      <c r="J2290" s="3" t="s">
        <v>11</v>
      </c>
      <c r="K2290" s="27" t="s">
        <v>1252</v>
      </c>
    </row>
    <row r="2291" ht="18.6" customHeight="1" spans="1:11">
      <c r="A2291" s="3">
        <v>2290</v>
      </c>
      <c r="B2291" s="3" t="s">
        <v>1491</v>
      </c>
      <c r="C2291" s="3" t="s">
        <v>3542</v>
      </c>
      <c r="D2291" s="3" t="s">
        <v>692</v>
      </c>
      <c r="E2291" s="3" t="s">
        <v>723</v>
      </c>
      <c r="F2291" s="3"/>
      <c r="G2291" s="3"/>
      <c r="H2291" s="3"/>
      <c r="I2291" s="3"/>
      <c r="J2291" s="3" t="s">
        <v>11</v>
      </c>
      <c r="K2291" s="27" t="s">
        <v>1252</v>
      </c>
    </row>
    <row r="2292" ht="18.6" customHeight="1" spans="1:11">
      <c r="A2292" s="3">
        <v>2291</v>
      </c>
      <c r="B2292" s="3" t="s">
        <v>1492</v>
      </c>
      <c r="C2292" s="3" t="s">
        <v>3542</v>
      </c>
      <c r="D2292" s="3" t="s">
        <v>692</v>
      </c>
      <c r="E2292" s="3" t="s">
        <v>693</v>
      </c>
      <c r="F2292" s="3"/>
      <c r="G2292" s="3"/>
      <c r="H2292" s="3"/>
      <c r="I2292" s="3"/>
      <c r="J2292" s="3" t="s">
        <v>11</v>
      </c>
      <c r="K2292" s="27" t="s">
        <v>1252</v>
      </c>
    </row>
    <row r="2293" ht="18.6" customHeight="1" spans="1:11">
      <c r="A2293" s="3">
        <v>2292</v>
      </c>
      <c r="B2293" s="3" t="s">
        <v>1493</v>
      </c>
      <c r="C2293" s="3" t="s">
        <v>3542</v>
      </c>
      <c r="D2293" s="3" t="s">
        <v>692</v>
      </c>
      <c r="E2293" s="3" t="s">
        <v>714</v>
      </c>
      <c r="F2293" s="3"/>
      <c r="G2293" s="3"/>
      <c r="H2293" s="3"/>
      <c r="I2293" s="3"/>
      <c r="J2293" s="3" t="s">
        <v>11</v>
      </c>
      <c r="K2293" s="27" t="s">
        <v>1252</v>
      </c>
    </row>
    <row r="2294" ht="18.6" customHeight="1" spans="1:11">
      <c r="A2294" s="3">
        <v>2293</v>
      </c>
      <c r="B2294" s="3" t="s">
        <v>1494</v>
      </c>
      <c r="C2294" s="3" t="s">
        <v>3542</v>
      </c>
      <c r="D2294" s="3" t="s">
        <v>692</v>
      </c>
      <c r="E2294" s="3" t="s">
        <v>693</v>
      </c>
      <c r="F2294" s="3"/>
      <c r="G2294" s="3"/>
      <c r="H2294" s="3"/>
      <c r="I2294" s="3"/>
      <c r="J2294" s="3" t="s">
        <v>11</v>
      </c>
      <c r="K2294" s="27" t="s">
        <v>1252</v>
      </c>
    </row>
    <row r="2295" ht="18.6" customHeight="1" spans="1:11">
      <c r="A2295" s="3">
        <v>2294</v>
      </c>
      <c r="B2295" s="3" t="s">
        <v>1495</v>
      </c>
      <c r="C2295" s="3" t="s">
        <v>3542</v>
      </c>
      <c r="D2295" s="3" t="s">
        <v>692</v>
      </c>
      <c r="E2295" s="3" t="s">
        <v>693</v>
      </c>
      <c r="F2295" s="3"/>
      <c r="G2295" s="3"/>
      <c r="H2295" s="3"/>
      <c r="I2295" s="3"/>
      <c r="J2295" s="3" t="s">
        <v>11</v>
      </c>
      <c r="K2295" s="27" t="s">
        <v>1252</v>
      </c>
    </row>
    <row r="2296" ht="18.6" customHeight="1" spans="1:11">
      <c r="A2296" s="3">
        <v>2295</v>
      </c>
      <c r="B2296" s="3" t="s">
        <v>1497</v>
      </c>
      <c r="C2296" s="3" t="s">
        <v>3542</v>
      </c>
      <c r="D2296" s="3" t="s">
        <v>692</v>
      </c>
      <c r="E2296" s="3" t="s">
        <v>1498</v>
      </c>
      <c r="F2296" s="3"/>
      <c r="G2296" s="3"/>
      <c r="H2296" s="3"/>
      <c r="I2296" s="3"/>
      <c r="J2296" s="3" t="s">
        <v>11</v>
      </c>
      <c r="K2296" s="27" t="s">
        <v>1252</v>
      </c>
    </row>
    <row r="2297" ht="18.6" customHeight="1" spans="1:11">
      <c r="A2297" s="3">
        <v>2296</v>
      </c>
      <c r="B2297" s="3" t="s">
        <v>1499</v>
      </c>
      <c r="C2297" s="3" t="s">
        <v>3561</v>
      </c>
      <c r="D2297" s="3" t="s">
        <v>746</v>
      </c>
      <c r="E2297" s="3" t="s">
        <v>747</v>
      </c>
      <c r="F2297" s="3"/>
      <c r="G2297" s="3"/>
      <c r="H2297" s="3"/>
      <c r="I2297" s="3"/>
      <c r="J2297" s="3" t="s">
        <v>11</v>
      </c>
      <c r="K2297" s="27" t="s">
        <v>1252</v>
      </c>
    </row>
    <row r="2298" ht="18.6" customHeight="1" spans="1:11">
      <c r="A2298" s="3">
        <v>2297</v>
      </c>
      <c r="B2298" s="3" t="s">
        <v>1500</v>
      </c>
      <c r="C2298" s="3" t="s">
        <v>3561</v>
      </c>
      <c r="D2298" s="3" t="s">
        <v>746</v>
      </c>
      <c r="E2298" s="3" t="s">
        <v>747</v>
      </c>
      <c r="F2298" s="3"/>
      <c r="G2298" s="3"/>
      <c r="H2298" s="3"/>
      <c r="I2298" s="3"/>
      <c r="J2298" s="3" t="s">
        <v>11</v>
      </c>
      <c r="K2298" s="27" t="s">
        <v>1252</v>
      </c>
    </row>
    <row r="2299" ht="18.6" customHeight="1" spans="1:11">
      <c r="A2299" s="3">
        <v>2298</v>
      </c>
      <c r="B2299" s="3" t="s">
        <v>1501</v>
      </c>
      <c r="C2299" s="3" t="s">
        <v>3561</v>
      </c>
      <c r="D2299" s="3" t="s">
        <v>746</v>
      </c>
      <c r="E2299" s="3" t="s">
        <v>747</v>
      </c>
      <c r="F2299" s="3"/>
      <c r="G2299" s="3"/>
      <c r="H2299" s="3"/>
      <c r="I2299" s="3"/>
      <c r="J2299" s="3" t="s">
        <v>11</v>
      </c>
      <c r="K2299" s="27" t="s">
        <v>1252</v>
      </c>
    </row>
    <row r="2300" ht="18.6" customHeight="1" spans="1:11">
      <c r="A2300" s="3">
        <v>2299</v>
      </c>
      <c r="B2300" s="3" t="s">
        <v>1502</v>
      </c>
      <c r="C2300" s="3" t="s">
        <v>3561</v>
      </c>
      <c r="D2300" s="3" t="s">
        <v>746</v>
      </c>
      <c r="E2300" s="3" t="s">
        <v>747</v>
      </c>
      <c r="F2300" s="3"/>
      <c r="G2300" s="3"/>
      <c r="H2300" s="3"/>
      <c r="I2300" s="3"/>
      <c r="J2300" s="3" t="s">
        <v>11</v>
      </c>
      <c r="K2300" s="27" t="s">
        <v>1252</v>
      </c>
    </row>
    <row r="2301" ht="18.6" customHeight="1" spans="1:11">
      <c r="A2301" s="3">
        <v>2300</v>
      </c>
      <c r="B2301" s="3" t="s">
        <v>1503</v>
      </c>
      <c r="C2301" s="3" t="s">
        <v>3561</v>
      </c>
      <c r="D2301" s="3" t="s">
        <v>746</v>
      </c>
      <c r="E2301" s="3" t="s">
        <v>747</v>
      </c>
      <c r="F2301" s="3"/>
      <c r="G2301" s="3"/>
      <c r="H2301" s="3"/>
      <c r="I2301" s="3"/>
      <c r="J2301" s="3" t="s">
        <v>11</v>
      </c>
      <c r="K2301" s="27" t="s">
        <v>1252</v>
      </c>
    </row>
    <row r="2302" ht="18.6" customHeight="1" spans="1:11">
      <c r="A2302" s="3">
        <v>2301</v>
      </c>
      <c r="B2302" s="3" t="s">
        <v>1504</v>
      </c>
      <c r="C2302" s="3" t="s">
        <v>3561</v>
      </c>
      <c r="D2302" s="3" t="s">
        <v>746</v>
      </c>
      <c r="E2302" s="3" t="s">
        <v>747</v>
      </c>
      <c r="F2302" s="3"/>
      <c r="G2302" s="3"/>
      <c r="H2302" s="3"/>
      <c r="I2302" s="3"/>
      <c r="J2302" s="3" t="s">
        <v>11</v>
      </c>
      <c r="K2302" s="27" t="s">
        <v>1252</v>
      </c>
    </row>
    <row r="2303" ht="18.6" customHeight="1" spans="1:11">
      <c r="A2303" s="3">
        <v>2302</v>
      </c>
      <c r="B2303" s="3" t="s">
        <v>1505</v>
      </c>
      <c r="C2303" s="3" t="s">
        <v>3561</v>
      </c>
      <c r="D2303" s="3" t="s">
        <v>746</v>
      </c>
      <c r="E2303" s="3" t="s">
        <v>747</v>
      </c>
      <c r="F2303" s="3"/>
      <c r="G2303" s="3"/>
      <c r="H2303" s="3"/>
      <c r="I2303" s="3" t="s">
        <v>3769</v>
      </c>
      <c r="J2303" s="3" t="s">
        <v>11</v>
      </c>
      <c r="K2303" s="27" t="s">
        <v>1252</v>
      </c>
    </row>
    <row r="2304" ht="18.6" customHeight="1" spans="1:11">
      <c r="A2304" s="3">
        <v>2303</v>
      </c>
      <c r="B2304" s="3" t="s">
        <v>1506</v>
      </c>
      <c r="C2304" s="3" t="s">
        <v>3561</v>
      </c>
      <c r="D2304" s="3" t="s">
        <v>746</v>
      </c>
      <c r="E2304" s="3" t="s">
        <v>747</v>
      </c>
      <c r="F2304" s="3"/>
      <c r="G2304" s="3"/>
      <c r="H2304" s="3"/>
      <c r="I2304" s="3"/>
      <c r="J2304" s="3" t="s">
        <v>11</v>
      </c>
      <c r="K2304" s="27" t="s">
        <v>1252</v>
      </c>
    </row>
    <row r="2305" ht="18.6" customHeight="1" spans="1:11">
      <c r="A2305" s="3">
        <v>2304</v>
      </c>
      <c r="B2305" s="3" t="s">
        <v>1507</v>
      </c>
      <c r="C2305" s="3" t="s">
        <v>3561</v>
      </c>
      <c r="D2305" s="3" t="s">
        <v>746</v>
      </c>
      <c r="E2305" s="3" t="s">
        <v>785</v>
      </c>
      <c r="F2305" s="3"/>
      <c r="G2305" s="3"/>
      <c r="H2305" s="3"/>
      <c r="I2305" s="3" t="s">
        <v>3769</v>
      </c>
      <c r="J2305" s="3" t="s">
        <v>11</v>
      </c>
      <c r="K2305" s="27" t="s">
        <v>1252</v>
      </c>
    </row>
    <row r="2306" ht="18.6" customHeight="1" spans="1:11">
      <c r="A2306" s="3">
        <v>2305</v>
      </c>
      <c r="B2306" s="3" t="s">
        <v>1508</v>
      </c>
      <c r="C2306" s="3" t="s">
        <v>3561</v>
      </c>
      <c r="D2306" s="3" t="s">
        <v>746</v>
      </c>
      <c r="E2306" s="3" t="s">
        <v>747</v>
      </c>
      <c r="F2306" s="3"/>
      <c r="G2306" s="3"/>
      <c r="H2306" s="3"/>
      <c r="I2306" s="3"/>
      <c r="J2306" s="3" t="s">
        <v>11</v>
      </c>
      <c r="K2306" s="27" t="s">
        <v>1252</v>
      </c>
    </row>
    <row r="2307" ht="18.6" customHeight="1" spans="1:11">
      <c r="A2307" s="3">
        <v>2306</v>
      </c>
      <c r="B2307" s="3" t="s">
        <v>1509</v>
      </c>
      <c r="C2307" s="3" t="s">
        <v>3561</v>
      </c>
      <c r="D2307" s="3" t="s">
        <v>746</v>
      </c>
      <c r="E2307" s="3" t="s">
        <v>747</v>
      </c>
      <c r="F2307" s="3"/>
      <c r="G2307" s="3"/>
      <c r="H2307" s="3"/>
      <c r="I2307" s="3" t="s">
        <v>3770</v>
      </c>
      <c r="J2307" s="3" t="s">
        <v>11</v>
      </c>
      <c r="K2307" s="27" t="s">
        <v>1252</v>
      </c>
    </row>
    <row r="2308" ht="18.6" customHeight="1" spans="1:11">
      <c r="A2308" s="3">
        <v>2307</v>
      </c>
      <c r="B2308" s="3" t="s">
        <v>1510</v>
      </c>
      <c r="C2308" s="3" t="s">
        <v>3561</v>
      </c>
      <c r="D2308" s="3" t="s">
        <v>746</v>
      </c>
      <c r="E2308" s="3" t="s">
        <v>747</v>
      </c>
      <c r="F2308" s="3"/>
      <c r="G2308" s="3"/>
      <c r="H2308" s="3"/>
      <c r="I2308" s="3" t="s">
        <v>3770</v>
      </c>
      <c r="J2308" s="3" t="s">
        <v>11</v>
      </c>
      <c r="K2308" s="27" t="s">
        <v>1252</v>
      </c>
    </row>
    <row r="2309" ht="18.6" customHeight="1" spans="1:11">
      <c r="A2309" s="3">
        <v>2308</v>
      </c>
      <c r="B2309" s="3" t="s">
        <v>1511</v>
      </c>
      <c r="C2309" s="3" t="s">
        <v>3561</v>
      </c>
      <c r="D2309" s="3" t="s">
        <v>746</v>
      </c>
      <c r="E2309" s="3" t="s">
        <v>747</v>
      </c>
      <c r="F2309" s="3"/>
      <c r="G2309" s="3"/>
      <c r="H2309" s="3"/>
      <c r="I2309" s="3" t="s">
        <v>3769</v>
      </c>
      <c r="J2309" s="3" t="s">
        <v>11</v>
      </c>
      <c r="K2309" s="27" t="s">
        <v>1252</v>
      </c>
    </row>
    <row r="2310" ht="18.6" customHeight="1" spans="1:11">
      <c r="A2310" s="3">
        <v>2309</v>
      </c>
      <c r="B2310" s="3" t="s">
        <v>1512</v>
      </c>
      <c r="C2310" s="3" t="s">
        <v>3561</v>
      </c>
      <c r="D2310" s="3" t="s">
        <v>746</v>
      </c>
      <c r="E2310" s="3" t="s">
        <v>747</v>
      </c>
      <c r="F2310" s="3"/>
      <c r="G2310" s="3"/>
      <c r="H2310" s="3"/>
      <c r="I2310" s="3"/>
      <c r="J2310" s="3" t="s">
        <v>11</v>
      </c>
      <c r="K2310" s="27" t="s">
        <v>1252</v>
      </c>
    </row>
    <row r="2311" ht="18.6" customHeight="1" spans="1:11">
      <c r="A2311" s="3">
        <v>2310</v>
      </c>
      <c r="B2311" s="3" t="s">
        <v>1513</v>
      </c>
      <c r="C2311" s="3" t="s">
        <v>3561</v>
      </c>
      <c r="D2311" s="3" t="s">
        <v>746</v>
      </c>
      <c r="E2311" s="3" t="s">
        <v>747</v>
      </c>
      <c r="F2311" s="3"/>
      <c r="G2311" s="3"/>
      <c r="H2311" s="3"/>
      <c r="I2311" s="3"/>
      <c r="J2311" s="3" t="s">
        <v>11</v>
      </c>
      <c r="K2311" s="27" t="s">
        <v>1252</v>
      </c>
    </row>
    <row r="2312" ht="18.6" customHeight="1" spans="1:11">
      <c r="A2312" s="3">
        <v>2311</v>
      </c>
      <c r="B2312" s="3" t="s">
        <v>1514</v>
      </c>
      <c r="C2312" s="3" t="s">
        <v>3561</v>
      </c>
      <c r="D2312" s="3" t="s">
        <v>746</v>
      </c>
      <c r="E2312" s="3" t="s">
        <v>751</v>
      </c>
      <c r="F2312" s="3"/>
      <c r="G2312" s="3"/>
      <c r="H2312" s="3"/>
      <c r="I2312" s="3"/>
      <c r="J2312" s="3" t="s">
        <v>11</v>
      </c>
      <c r="K2312" s="27" t="s">
        <v>1252</v>
      </c>
    </row>
    <row r="2313" ht="18.6" customHeight="1" spans="1:11">
      <c r="A2313" s="3">
        <v>2312</v>
      </c>
      <c r="B2313" s="3" t="s">
        <v>1515</v>
      </c>
      <c r="C2313" s="3" t="s">
        <v>3561</v>
      </c>
      <c r="D2313" s="3" t="s">
        <v>746</v>
      </c>
      <c r="E2313" s="3" t="s">
        <v>751</v>
      </c>
      <c r="F2313" s="3"/>
      <c r="G2313" s="3"/>
      <c r="H2313" s="3"/>
      <c r="I2313" s="3" t="s">
        <v>3769</v>
      </c>
      <c r="J2313" s="3" t="s">
        <v>11</v>
      </c>
      <c r="K2313" s="27" t="s">
        <v>1252</v>
      </c>
    </row>
    <row r="2314" ht="18.6" customHeight="1" spans="1:11">
      <c r="A2314" s="3">
        <v>2313</v>
      </c>
      <c r="B2314" s="3" t="s">
        <v>1516</v>
      </c>
      <c r="C2314" s="3" t="s">
        <v>3561</v>
      </c>
      <c r="D2314" s="3" t="s">
        <v>746</v>
      </c>
      <c r="E2314" s="3" t="s">
        <v>747</v>
      </c>
      <c r="F2314" s="3"/>
      <c r="G2314" s="3"/>
      <c r="H2314" s="3"/>
      <c r="I2314" s="3"/>
      <c r="J2314" s="3" t="s">
        <v>11</v>
      </c>
      <c r="K2314" s="27" t="s">
        <v>1252</v>
      </c>
    </row>
    <row r="2315" ht="18.6" customHeight="1" spans="1:11">
      <c r="A2315" s="3">
        <v>2314</v>
      </c>
      <c r="B2315" s="3" t="s">
        <v>1517</v>
      </c>
      <c r="C2315" s="3" t="s">
        <v>3561</v>
      </c>
      <c r="D2315" s="3" t="s">
        <v>746</v>
      </c>
      <c r="E2315" s="3" t="s">
        <v>769</v>
      </c>
      <c r="F2315" s="3"/>
      <c r="G2315" s="3"/>
      <c r="H2315" s="3"/>
      <c r="I2315" s="3"/>
      <c r="J2315" s="3" t="s">
        <v>11</v>
      </c>
      <c r="K2315" s="27" t="s">
        <v>1252</v>
      </c>
    </row>
    <row r="2316" ht="18.6" customHeight="1" spans="1:11">
      <c r="A2316" s="3">
        <v>2315</v>
      </c>
      <c r="B2316" s="3" t="s">
        <v>1518</v>
      </c>
      <c r="C2316" s="3" t="s">
        <v>3561</v>
      </c>
      <c r="D2316" s="3" t="s">
        <v>746</v>
      </c>
      <c r="E2316" s="3" t="s">
        <v>769</v>
      </c>
      <c r="F2316" s="3"/>
      <c r="G2316" s="3"/>
      <c r="H2316" s="3"/>
      <c r="I2316" s="3" t="s">
        <v>3775</v>
      </c>
      <c r="J2316" s="3" t="s">
        <v>11</v>
      </c>
      <c r="K2316" s="27" t="s">
        <v>1252</v>
      </c>
    </row>
    <row r="2317" ht="18.6" customHeight="1" spans="1:11">
      <c r="A2317" s="3">
        <v>2316</v>
      </c>
      <c r="B2317" s="3" t="s">
        <v>1519</v>
      </c>
      <c r="C2317" s="3" t="s">
        <v>3561</v>
      </c>
      <c r="D2317" s="3" t="s">
        <v>746</v>
      </c>
      <c r="E2317" s="3" t="s">
        <v>767</v>
      </c>
      <c r="F2317" s="3"/>
      <c r="G2317" s="3"/>
      <c r="H2317" s="3"/>
      <c r="I2317" s="3"/>
      <c r="J2317" s="3" t="s">
        <v>11</v>
      </c>
      <c r="K2317" s="27" t="s">
        <v>1252</v>
      </c>
    </row>
    <row r="2318" ht="18.6" customHeight="1" spans="1:11">
      <c r="A2318" s="3">
        <v>2317</v>
      </c>
      <c r="B2318" s="3" t="s">
        <v>1520</v>
      </c>
      <c r="C2318" s="3" t="s">
        <v>3561</v>
      </c>
      <c r="D2318" s="3" t="s">
        <v>746</v>
      </c>
      <c r="E2318" s="3" t="s">
        <v>747</v>
      </c>
      <c r="F2318" s="3"/>
      <c r="G2318" s="3"/>
      <c r="H2318" s="3"/>
      <c r="I2318" s="3" t="s">
        <v>3771</v>
      </c>
      <c r="J2318" s="3" t="s">
        <v>11</v>
      </c>
      <c r="K2318" s="27" t="s">
        <v>1252</v>
      </c>
    </row>
    <row r="2319" ht="18.6" customHeight="1" spans="1:11">
      <c r="A2319" s="3">
        <v>2318</v>
      </c>
      <c r="B2319" s="3" t="s">
        <v>1521</v>
      </c>
      <c r="C2319" s="3" t="s">
        <v>3561</v>
      </c>
      <c r="D2319" s="3" t="s">
        <v>746</v>
      </c>
      <c r="E2319" s="3" t="s">
        <v>747</v>
      </c>
      <c r="F2319" s="3"/>
      <c r="G2319" s="3"/>
      <c r="H2319" s="3"/>
      <c r="I2319" s="3" t="s">
        <v>3777</v>
      </c>
      <c r="J2319" s="3" t="s">
        <v>11</v>
      </c>
      <c r="K2319" s="27" t="s">
        <v>1252</v>
      </c>
    </row>
    <row r="2320" ht="18.6" customHeight="1" spans="1:11">
      <c r="A2320" s="3">
        <v>2319</v>
      </c>
      <c r="B2320" s="3" t="s">
        <v>1522</v>
      </c>
      <c r="C2320" s="3" t="s">
        <v>3561</v>
      </c>
      <c r="D2320" s="3" t="s">
        <v>746</v>
      </c>
      <c r="E2320" s="3" t="s">
        <v>763</v>
      </c>
      <c r="F2320" s="3"/>
      <c r="G2320" s="3"/>
      <c r="H2320" s="3"/>
      <c r="I2320" s="3" t="s">
        <v>3776</v>
      </c>
      <c r="J2320" s="3" t="s">
        <v>11</v>
      </c>
      <c r="K2320" s="27" t="s">
        <v>1252</v>
      </c>
    </row>
    <row r="2321" ht="18.6" customHeight="1" spans="1:11">
      <c r="A2321" s="3">
        <v>2320</v>
      </c>
      <c r="B2321" s="3" t="s">
        <v>1523</v>
      </c>
      <c r="C2321" s="3" t="s">
        <v>3561</v>
      </c>
      <c r="D2321" s="3" t="s">
        <v>746</v>
      </c>
      <c r="E2321" s="3" t="s">
        <v>771</v>
      </c>
      <c r="F2321" s="3"/>
      <c r="G2321" s="3"/>
      <c r="H2321" s="3"/>
      <c r="I2321" s="3" t="s">
        <v>3770</v>
      </c>
      <c r="J2321" s="3" t="s">
        <v>11</v>
      </c>
      <c r="K2321" s="27" t="s">
        <v>1252</v>
      </c>
    </row>
    <row r="2322" ht="18.6" customHeight="1" spans="1:11">
      <c r="A2322" s="3">
        <v>2321</v>
      </c>
      <c r="B2322" s="3" t="s">
        <v>1524</v>
      </c>
      <c r="C2322" s="3" t="s">
        <v>3561</v>
      </c>
      <c r="D2322" s="3" t="s">
        <v>746</v>
      </c>
      <c r="E2322" s="3" t="s">
        <v>778</v>
      </c>
      <c r="F2322" s="3"/>
      <c r="G2322" s="3"/>
      <c r="H2322" s="3"/>
      <c r="I2322" s="3" t="s">
        <v>3769</v>
      </c>
      <c r="J2322" s="3" t="s">
        <v>11</v>
      </c>
      <c r="K2322" s="27" t="s">
        <v>1252</v>
      </c>
    </row>
    <row r="2323" ht="18.6" customHeight="1" spans="1:11">
      <c r="A2323" s="3">
        <v>2322</v>
      </c>
      <c r="B2323" s="3" t="s">
        <v>1525</v>
      </c>
      <c r="C2323" s="3" t="s">
        <v>3561</v>
      </c>
      <c r="D2323" s="3" t="s">
        <v>746</v>
      </c>
      <c r="E2323" s="3" t="s">
        <v>747</v>
      </c>
      <c r="F2323" s="3"/>
      <c r="G2323" s="3"/>
      <c r="H2323" s="3"/>
      <c r="I2323" s="3"/>
      <c r="J2323" s="3" t="s">
        <v>11</v>
      </c>
      <c r="K2323" s="27" t="s">
        <v>1252</v>
      </c>
    </row>
    <row r="2324" ht="18.6" customHeight="1" spans="1:11">
      <c r="A2324" s="3">
        <v>2323</v>
      </c>
      <c r="B2324" s="3" t="s">
        <v>1526</v>
      </c>
      <c r="C2324" s="3" t="s">
        <v>3561</v>
      </c>
      <c r="D2324" s="3" t="s">
        <v>746</v>
      </c>
      <c r="E2324" s="3" t="s">
        <v>747</v>
      </c>
      <c r="F2324" s="3"/>
      <c r="G2324" s="3"/>
      <c r="H2324" s="3"/>
      <c r="I2324" s="3"/>
      <c r="J2324" s="3" t="s">
        <v>11</v>
      </c>
      <c r="K2324" s="27" t="s">
        <v>1252</v>
      </c>
    </row>
    <row r="2325" ht="18.6" customHeight="1" spans="1:11">
      <c r="A2325" s="3">
        <v>2324</v>
      </c>
      <c r="B2325" s="3" t="s">
        <v>1527</v>
      </c>
      <c r="C2325" s="3" t="s">
        <v>3561</v>
      </c>
      <c r="D2325" s="3" t="s">
        <v>746</v>
      </c>
      <c r="E2325" s="3" t="s">
        <v>747</v>
      </c>
      <c r="F2325" s="3"/>
      <c r="G2325" s="3"/>
      <c r="H2325" s="3"/>
      <c r="I2325" s="3"/>
      <c r="J2325" s="3" t="s">
        <v>11</v>
      </c>
      <c r="K2325" s="27" t="s">
        <v>1252</v>
      </c>
    </row>
    <row r="2326" ht="18.6" customHeight="1" spans="1:11">
      <c r="A2326" s="3">
        <v>2325</v>
      </c>
      <c r="B2326" s="3" t="s">
        <v>1528</v>
      </c>
      <c r="C2326" s="3" t="s">
        <v>3561</v>
      </c>
      <c r="D2326" s="3" t="s">
        <v>746</v>
      </c>
      <c r="E2326" s="3" t="s">
        <v>747</v>
      </c>
      <c r="F2326" s="3"/>
      <c r="G2326" s="3"/>
      <c r="H2326" s="3"/>
      <c r="I2326" s="3"/>
      <c r="J2326" s="3" t="s">
        <v>11</v>
      </c>
      <c r="K2326" s="27" t="s">
        <v>1252</v>
      </c>
    </row>
    <row r="2327" ht="18.6" customHeight="1" spans="1:11">
      <c r="A2327" s="3">
        <v>2326</v>
      </c>
      <c r="B2327" s="3" t="s">
        <v>1529</v>
      </c>
      <c r="C2327" s="3" t="s">
        <v>3561</v>
      </c>
      <c r="D2327" s="3" t="s">
        <v>746</v>
      </c>
      <c r="E2327" s="3" t="s">
        <v>747</v>
      </c>
      <c r="F2327" s="3"/>
      <c r="G2327" s="3"/>
      <c r="H2327" s="3"/>
      <c r="I2327" s="3"/>
      <c r="J2327" s="3" t="s">
        <v>11</v>
      </c>
      <c r="K2327" s="27" t="s">
        <v>1252</v>
      </c>
    </row>
    <row r="2328" ht="18.6" customHeight="1" spans="1:11">
      <c r="A2328" s="3">
        <v>2327</v>
      </c>
      <c r="B2328" s="3" t="s">
        <v>1530</v>
      </c>
      <c r="C2328" s="3" t="s">
        <v>3561</v>
      </c>
      <c r="D2328" s="3" t="s">
        <v>746</v>
      </c>
      <c r="E2328" s="3" t="s">
        <v>747</v>
      </c>
      <c r="F2328" s="3"/>
      <c r="G2328" s="3"/>
      <c r="H2328" s="3"/>
      <c r="I2328" s="3"/>
      <c r="J2328" s="3" t="s">
        <v>11</v>
      </c>
      <c r="K2328" s="27" t="s">
        <v>1252</v>
      </c>
    </row>
    <row r="2329" ht="18.6" customHeight="1" spans="1:11">
      <c r="A2329" s="3">
        <v>2328</v>
      </c>
      <c r="B2329" s="3" t="s">
        <v>1531</v>
      </c>
      <c r="C2329" s="3" t="s">
        <v>3582</v>
      </c>
      <c r="D2329" s="3" t="s">
        <v>797</v>
      </c>
      <c r="E2329" s="3" t="s">
        <v>802</v>
      </c>
      <c r="F2329" s="3"/>
      <c r="G2329" s="3"/>
      <c r="H2329" s="3"/>
      <c r="I2329" s="3"/>
      <c r="J2329" s="3" t="s">
        <v>11</v>
      </c>
      <c r="K2329" s="27" t="s">
        <v>1252</v>
      </c>
    </row>
    <row r="2330" ht="18.6" customHeight="1" spans="1:11">
      <c r="A2330" s="3">
        <v>2329</v>
      </c>
      <c r="B2330" s="3" t="s">
        <v>1532</v>
      </c>
      <c r="C2330" s="3" t="s">
        <v>3582</v>
      </c>
      <c r="D2330" s="3" t="s">
        <v>797</v>
      </c>
      <c r="E2330" s="3" t="s">
        <v>802</v>
      </c>
      <c r="F2330" s="3"/>
      <c r="G2330" s="3"/>
      <c r="H2330" s="3"/>
      <c r="I2330" s="3"/>
      <c r="J2330" s="3" t="s">
        <v>11</v>
      </c>
      <c r="K2330" s="27" t="s">
        <v>1252</v>
      </c>
    </row>
    <row r="2331" ht="18.6" customHeight="1" spans="1:11">
      <c r="A2331" s="3">
        <v>2330</v>
      </c>
      <c r="B2331" s="3" t="s">
        <v>1533</v>
      </c>
      <c r="C2331" s="3" t="s">
        <v>3582</v>
      </c>
      <c r="D2331" s="3" t="s">
        <v>797</v>
      </c>
      <c r="E2331" s="3" t="s">
        <v>798</v>
      </c>
      <c r="F2331" s="3"/>
      <c r="G2331" s="3"/>
      <c r="H2331" s="3"/>
      <c r="I2331" s="3" t="s">
        <v>3769</v>
      </c>
      <c r="J2331" s="3" t="s">
        <v>11</v>
      </c>
      <c r="K2331" s="27" t="s">
        <v>1252</v>
      </c>
    </row>
    <row r="2332" ht="18.6" customHeight="1" spans="1:11">
      <c r="A2332" s="3">
        <v>2331</v>
      </c>
      <c r="B2332" s="3" t="s">
        <v>1534</v>
      </c>
      <c r="C2332" s="3" t="s">
        <v>3582</v>
      </c>
      <c r="D2332" s="3" t="s">
        <v>797</v>
      </c>
      <c r="E2332" s="3" t="s">
        <v>836</v>
      </c>
      <c r="F2332" s="3"/>
      <c r="G2332" s="3"/>
      <c r="H2332" s="3"/>
      <c r="I2332" s="3" t="s">
        <v>3769</v>
      </c>
      <c r="J2332" s="3" t="s">
        <v>11</v>
      </c>
      <c r="K2332" s="27" t="s">
        <v>1252</v>
      </c>
    </row>
    <row r="2333" ht="18.6" customHeight="1" spans="1:11">
      <c r="A2333" s="3">
        <v>2332</v>
      </c>
      <c r="B2333" s="3" t="s">
        <v>1535</v>
      </c>
      <c r="C2333" s="3" t="s">
        <v>3582</v>
      </c>
      <c r="D2333" s="3" t="s">
        <v>797</v>
      </c>
      <c r="E2333" s="3" t="s">
        <v>798</v>
      </c>
      <c r="F2333" s="3"/>
      <c r="G2333" s="3"/>
      <c r="H2333" s="3"/>
      <c r="I2333" s="3" t="s">
        <v>3769</v>
      </c>
      <c r="J2333" s="3" t="s">
        <v>11</v>
      </c>
      <c r="K2333" s="27" t="s">
        <v>1252</v>
      </c>
    </row>
    <row r="2334" ht="18.6" customHeight="1" spans="1:11">
      <c r="A2334" s="3">
        <v>2333</v>
      </c>
      <c r="B2334" s="3" t="s">
        <v>1536</v>
      </c>
      <c r="C2334" s="3" t="s">
        <v>3582</v>
      </c>
      <c r="D2334" s="3" t="s">
        <v>797</v>
      </c>
      <c r="E2334" s="3" t="s">
        <v>815</v>
      </c>
      <c r="F2334" s="3"/>
      <c r="G2334" s="3"/>
      <c r="H2334" s="3"/>
      <c r="I2334" s="3" t="s">
        <v>3769</v>
      </c>
      <c r="J2334" s="3" t="s">
        <v>11</v>
      </c>
      <c r="K2334" s="27" t="s">
        <v>1252</v>
      </c>
    </row>
    <row r="2335" ht="18.6" customHeight="1" spans="1:11">
      <c r="A2335" s="3">
        <v>2334</v>
      </c>
      <c r="B2335" s="3" t="s">
        <v>1537</v>
      </c>
      <c r="C2335" s="3" t="s">
        <v>3582</v>
      </c>
      <c r="D2335" s="3" t="s">
        <v>797</v>
      </c>
      <c r="E2335" s="3" t="s">
        <v>798</v>
      </c>
      <c r="F2335" s="3"/>
      <c r="G2335" s="3"/>
      <c r="H2335" s="3"/>
      <c r="I2335" s="3"/>
      <c r="J2335" s="3" t="s">
        <v>11</v>
      </c>
      <c r="K2335" s="27" t="s">
        <v>1252</v>
      </c>
    </row>
    <row r="2336" ht="18.6" customHeight="1" spans="1:11">
      <c r="A2336" s="3">
        <v>2335</v>
      </c>
      <c r="B2336" s="3" t="s">
        <v>1538</v>
      </c>
      <c r="C2336" s="3" t="s">
        <v>3582</v>
      </c>
      <c r="D2336" s="3" t="s">
        <v>797</v>
      </c>
      <c r="E2336" s="3" t="s">
        <v>802</v>
      </c>
      <c r="F2336" s="3"/>
      <c r="G2336" s="3"/>
      <c r="H2336" s="3"/>
      <c r="I2336" s="3" t="s">
        <v>3769</v>
      </c>
      <c r="J2336" s="3" t="s">
        <v>11</v>
      </c>
      <c r="K2336" s="27" t="s">
        <v>1252</v>
      </c>
    </row>
    <row r="2337" ht="18.6" customHeight="1" spans="1:11">
      <c r="A2337" s="3">
        <v>2336</v>
      </c>
      <c r="B2337" s="3" t="s">
        <v>1539</v>
      </c>
      <c r="C2337" s="3" t="s">
        <v>3582</v>
      </c>
      <c r="D2337" s="3" t="s">
        <v>797</v>
      </c>
      <c r="E2337" s="3" t="s">
        <v>802</v>
      </c>
      <c r="F2337" s="3"/>
      <c r="G2337" s="3"/>
      <c r="H2337" s="3"/>
      <c r="I2337" s="3" t="s">
        <v>3769</v>
      </c>
      <c r="J2337" s="3" t="s">
        <v>11</v>
      </c>
      <c r="K2337" s="27" t="s">
        <v>1252</v>
      </c>
    </row>
    <row r="2338" ht="18.6" customHeight="1" spans="1:11">
      <c r="A2338" s="3">
        <v>2337</v>
      </c>
      <c r="B2338" s="3" t="s">
        <v>3838</v>
      </c>
      <c r="C2338" s="3" t="s">
        <v>3582</v>
      </c>
      <c r="D2338" s="3" t="s">
        <v>797</v>
      </c>
      <c r="E2338" s="3" t="s">
        <v>821</v>
      </c>
      <c r="F2338" s="3"/>
      <c r="G2338" s="3"/>
      <c r="H2338" s="3"/>
      <c r="I2338" s="3" t="s">
        <v>3769</v>
      </c>
      <c r="J2338" s="3" t="s">
        <v>11</v>
      </c>
      <c r="K2338" s="27" t="s">
        <v>1252</v>
      </c>
    </row>
    <row r="2339" ht="18.6" customHeight="1" spans="1:11">
      <c r="A2339" s="3">
        <v>2338</v>
      </c>
      <c r="B2339" s="3" t="s">
        <v>3839</v>
      </c>
      <c r="C2339" s="3" t="s">
        <v>3582</v>
      </c>
      <c r="D2339" s="3" t="s">
        <v>797</v>
      </c>
      <c r="E2339" s="3" t="s">
        <v>811</v>
      </c>
      <c r="F2339" s="3"/>
      <c r="G2339" s="3"/>
      <c r="H2339" s="3"/>
      <c r="I2339" s="3" t="s">
        <v>3770</v>
      </c>
      <c r="J2339" s="3" t="s">
        <v>11</v>
      </c>
      <c r="K2339" s="27" t="s">
        <v>1252</v>
      </c>
    </row>
    <row r="2340" ht="18.6" customHeight="1" spans="1:11">
      <c r="A2340" s="3">
        <v>2339</v>
      </c>
      <c r="B2340" s="3" t="s">
        <v>1542</v>
      </c>
      <c r="C2340" s="3" t="s">
        <v>3582</v>
      </c>
      <c r="D2340" s="3" t="s">
        <v>797</v>
      </c>
      <c r="E2340" s="3" t="s">
        <v>815</v>
      </c>
      <c r="F2340" s="3"/>
      <c r="G2340" s="3"/>
      <c r="H2340" s="3"/>
      <c r="I2340" s="3" t="s">
        <v>3769</v>
      </c>
      <c r="J2340" s="3" t="s">
        <v>11</v>
      </c>
      <c r="K2340" s="27" t="s">
        <v>1252</v>
      </c>
    </row>
    <row r="2341" ht="18.6" customHeight="1" spans="1:11">
      <c r="A2341" s="3">
        <v>2340</v>
      </c>
      <c r="B2341" s="3" t="s">
        <v>1543</v>
      </c>
      <c r="C2341" s="3" t="s">
        <v>3582</v>
      </c>
      <c r="D2341" s="3" t="s">
        <v>797</v>
      </c>
      <c r="E2341" s="3" t="s">
        <v>798</v>
      </c>
      <c r="F2341" s="3"/>
      <c r="G2341" s="3"/>
      <c r="H2341" s="3"/>
      <c r="I2341" s="3" t="s">
        <v>3770</v>
      </c>
      <c r="J2341" s="3" t="s">
        <v>11</v>
      </c>
      <c r="K2341" s="27" t="s">
        <v>1252</v>
      </c>
    </row>
    <row r="2342" ht="18.6" customHeight="1" spans="1:11">
      <c r="A2342" s="3">
        <v>2341</v>
      </c>
      <c r="B2342" s="3" t="s">
        <v>1544</v>
      </c>
      <c r="C2342" s="3" t="s">
        <v>3582</v>
      </c>
      <c r="D2342" s="3" t="s">
        <v>797</v>
      </c>
      <c r="E2342" s="3" t="s">
        <v>802</v>
      </c>
      <c r="F2342" s="3"/>
      <c r="G2342" s="3"/>
      <c r="H2342" s="3"/>
      <c r="I2342" s="3" t="s">
        <v>3775</v>
      </c>
      <c r="J2342" s="3" t="s">
        <v>11</v>
      </c>
      <c r="K2342" s="27" t="s">
        <v>1252</v>
      </c>
    </row>
    <row r="2343" ht="18.6" customHeight="1" spans="1:11">
      <c r="A2343" s="3">
        <v>2342</v>
      </c>
      <c r="B2343" s="3" t="s">
        <v>1545</v>
      </c>
      <c r="C2343" s="3" t="s">
        <v>3582</v>
      </c>
      <c r="D2343" s="3" t="s">
        <v>797</v>
      </c>
      <c r="E2343" s="3" t="s">
        <v>1546</v>
      </c>
      <c r="F2343" s="3"/>
      <c r="G2343" s="3"/>
      <c r="H2343" s="3"/>
      <c r="I2343" s="3"/>
      <c r="J2343" s="3" t="s">
        <v>11</v>
      </c>
      <c r="K2343" s="27" t="s">
        <v>1252</v>
      </c>
    </row>
    <row r="2344" ht="18.6" customHeight="1" spans="1:11">
      <c r="A2344" s="3">
        <v>2343</v>
      </c>
      <c r="B2344" s="3" t="s">
        <v>1547</v>
      </c>
      <c r="C2344" s="3" t="s">
        <v>3582</v>
      </c>
      <c r="D2344" s="3" t="s">
        <v>797</v>
      </c>
      <c r="E2344" s="3" t="s">
        <v>802</v>
      </c>
      <c r="F2344" s="3"/>
      <c r="G2344" s="3"/>
      <c r="H2344" s="3"/>
      <c r="I2344" s="3"/>
      <c r="J2344" s="3" t="s">
        <v>11</v>
      </c>
      <c r="K2344" s="27" t="s">
        <v>1252</v>
      </c>
    </row>
    <row r="2345" ht="18.6" customHeight="1" spans="1:11">
      <c r="A2345" s="3">
        <v>2344</v>
      </c>
      <c r="B2345" s="3" t="s">
        <v>1548</v>
      </c>
      <c r="C2345" s="3" t="s">
        <v>3582</v>
      </c>
      <c r="D2345" s="3" t="s">
        <v>797</v>
      </c>
      <c r="E2345" s="3" t="s">
        <v>821</v>
      </c>
      <c r="F2345" s="3"/>
      <c r="G2345" s="3"/>
      <c r="H2345" s="3"/>
      <c r="I2345" s="3"/>
      <c r="J2345" s="3" t="s">
        <v>11</v>
      </c>
      <c r="K2345" s="27" t="s">
        <v>1252</v>
      </c>
    </row>
    <row r="2346" ht="18.6" customHeight="1" spans="1:11">
      <c r="A2346" s="3">
        <v>2345</v>
      </c>
      <c r="B2346" s="3" t="s">
        <v>1549</v>
      </c>
      <c r="C2346" s="3" t="s">
        <v>3582</v>
      </c>
      <c r="D2346" s="3" t="s">
        <v>797</v>
      </c>
      <c r="E2346" s="3" t="s">
        <v>802</v>
      </c>
      <c r="F2346" s="3"/>
      <c r="G2346" s="3"/>
      <c r="H2346" s="3"/>
      <c r="I2346" s="3"/>
      <c r="J2346" s="3" t="s">
        <v>11</v>
      </c>
      <c r="K2346" s="27" t="s">
        <v>1252</v>
      </c>
    </row>
    <row r="2347" ht="18.6" customHeight="1" spans="1:11">
      <c r="A2347" s="3">
        <v>2346</v>
      </c>
      <c r="B2347" s="3" t="s">
        <v>1550</v>
      </c>
      <c r="C2347" s="3" t="s">
        <v>3582</v>
      </c>
      <c r="D2347" s="3" t="s">
        <v>797</v>
      </c>
      <c r="E2347" s="3" t="s">
        <v>815</v>
      </c>
      <c r="F2347" s="3"/>
      <c r="G2347" s="3"/>
      <c r="H2347" s="3"/>
      <c r="I2347" s="3"/>
      <c r="J2347" s="3" t="s">
        <v>11</v>
      </c>
      <c r="K2347" s="27" t="s">
        <v>1252</v>
      </c>
    </row>
    <row r="2348" ht="18.6" customHeight="1" spans="1:11">
      <c r="A2348" s="3">
        <v>2347</v>
      </c>
      <c r="B2348" s="3" t="s">
        <v>1551</v>
      </c>
      <c r="C2348" s="3" t="s">
        <v>3582</v>
      </c>
      <c r="D2348" s="3" t="s">
        <v>797</v>
      </c>
      <c r="E2348" s="3" t="s">
        <v>798</v>
      </c>
      <c r="F2348" s="3"/>
      <c r="G2348" s="3"/>
      <c r="H2348" s="3"/>
      <c r="I2348" s="3"/>
      <c r="J2348" s="3" t="s">
        <v>11</v>
      </c>
      <c r="K2348" s="27" t="s">
        <v>1252</v>
      </c>
    </row>
    <row r="2349" ht="18.6" customHeight="1" spans="1:11">
      <c r="A2349" s="3">
        <v>2348</v>
      </c>
      <c r="B2349" s="3" t="s">
        <v>1552</v>
      </c>
      <c r="C2349" s="3" t="s">
        <v>3597</v>
      </c>
      <c r="D2349" s="3" t="s">
        <v>844</v>
      </c>
      <c r="E2349" s="3" t="s">
        <v>845</v>
      </c>
      <c r="F2349" s="3"/>
      <c r="G2349" s="3"/>
      <c r="H2349" s="3"/>
      <c r="I2349" s="3"/>
      <c r="J2349" s="3" t="s">
        <v>11</v>
      </c>
      <c r="K2349" s="27" t="s">
        <v>1252</v>
      </c>
    </row>
    <row r="2350" ht="18.6" customHeight="1" spans="1:11">
      <c r="A2350" s="3">
        <v>2349</v>
      </c>
      <c r="B2350" s="3" t="s">
        <v>1553</v>
      </c>
      <c r="C2350" s="3" t="s">
        <v>3597</v>
      </c>
      <c r="D2350" s="3" t="s">
        <v>844</v>
      </c>
      <c r="E2350" s="3" t="s">
        <v>1554</v>
      </c>
      <c r="F2350" s="3"/>
      <c r="G2350" s="3"/>
      <c r="H2350" s="3"/>
      <c r="I2350" s="3"/>
      <c r="J2350" s="3" t="s">
        <v>11</v>
      </c>
      <c r="K2350" s="27" t="s">
        <v>1252</v>
      </c>
    </row>
    <row r="2351" ht="18.6" customHeight="1" spans="1:11">
      <c r="A2351" s="3">
        <v>2350</v>
      </c>
      <c r="B2351" s="3" t="s">
        <v>1555</v>
      </c>
      <c r="C2351" s="3" t="s">
        <v>3597</v>
      </c>
      <c r="D2351" s="3" t="s">
        <v>844</v>
      </c>
      <c r="E2351" s="3" t="s">
        <v>845</v>
      </c>
      <c r="F2351" s="3"/>
      <c r="G2351" s="3"/>
      <c r="H2351" s="3"/>
      <c r="I2351" s="3"/>
      <c r="J2351" s="3" t="s">
        <v>11</v>
      </c>
      <c r="K2351" s="27" t="s">
        <v>1252</v>
      </c>
    </row>
    <row r="2352" ht="18.6" customHeight="1" spans="1:11">
      <c r="A2352" s="3">
        <v>2351</v>
      </c>
      <c r="B2352" s="3" t="s">
        <v>1556</v>
      </c>
      <c r="C2352" s="3" t="s">
        <v>3597</v>
      </c>
      <c r="D2352" s="3" t="s">
        <v>844</v>
      </c>
      <c r="E2352" s="3" t="s">
        <v>890</v>
      </c>
      <c r="F2352" s="3"/>
      <c r="G2352" s="3"/>
      <c r="H2352" s="3"/>
      <c r="I2352" s="3"/>
      <c r="J2352" s="3" t="s">
        <v>11</v>
      </c>
      <c r="K2352" s="27" t="s">
        <v>1252</v>
      </c>
    </row>
    <row r="2353" ht="18.6" customHeight="1" spans="1:11">
      <c r="A2353" s="3">
        <v>2352</v>
      </c>
      <c r="B2353" s="3" t="s">
        <v>1557</v>
      </c>
      <c r="C2353" s="3" t="s">
        <v>3597</v>
      </c>
      <c r="D2353" s="3" t="s">
        <v>844</v>
      </c>
      <c r="E2353" s="3" t="s">
        <v>845</v>
      </c>
      <c r="F2353" s="3"/>
      <c r="G2353" s="3"/>
      <c r="H2353" s="3"/>
      <c r="I2353" s="3"/>
      <c r="J2353" s="3" t="s">
        <v>11</v>
      </c>
      <c r="K2353" s="27" t="s">
        <v>1252</v>
      </c>
    </row>
    <row r="2354" ht="18.6" customHeight="1" spans="1:11">
      <c r="A2354" s="3">
        <v>2353</v>
      </c>
      <c r="B2354" s="3" t="s">
        <v>1558</v>
      </c>
      <c r="C2354" s="3" t="s">
        <v>3597</v>
      </c>
      <c r="D2354" s="3" t="s">
        <v>844</v>
      </c>
      <c r="E2354" s="3" t="s">
        <v>845</v>
      </c>
      <c r="F2354" s="3"/>
      <c r="G2354" s="3"/>
      <c r="H2354" s="3"/>
      <c r="I2354" s="3"/>
      <c r="J2354" s="3" t="s">
        <v>11</v>
      </c>
      <c r="K2354" s="27" t="s">
        <v>1252</v>
      </c>
    </row>
    <row r="2355" ht="18.6" customHeight="1" spans="1:11">
      <c r="A2355" s="3">
        <v>2354</v>
      </c>
      <c r="B2355" s="3" t="s">
        <v>1559</v>
      </c>
      <c r="C2355" s="3" t="s">
        <v>3597</v>
      </c>
      <c r="D2355" s="3" t="s">
        <v>844</v>
      </c>
      <c r="E2355" s="3" t="s">
        <v>845</v>
      </c>
      <c r="F2355" s="3"/>
      <c r="G2355" s="3"/>
      <c r="H2355" s="3"/>
      <c r="I2355" s="3"/>
      <c r="J2355" s="3" t="s">
        <v>11</v>
      </c>
      <c r="K2355" s="27" t="s">
        <v>1252</v>
      </c>
    </row>
    <row r="2356" ht="18.6" customHeight="1" spans="1:11">
      <c r="A2356" s="3">
        <v>2355</v>
      </c>
      <c r="B2356" s="3" t="s">
        <v>1560</v>
      </c>
      <c r="C2356" s="3" t="s">
        <v>3597</v>
      </c>
      <c r="D2356" s="3" t="s">
        <v>844</v>
      </c>
      <c r="E2356" s="3" t="s">
        <v>845</v>
      </c>
      <c r="F2356" s="3"/>
      <c r="G2356" s="3"/>
      <c r="H2356" s="3"/>
      <c r="I2356" s="3" t="s">
        <v>3769</v>
      </c>
      <c r="J2356" s="3" t="s">
        <v>11</v>
      </c>
      <c r="K2356" s="27" t="s">
        <v>1252</v>
      </c>
    </row>
    <row r="2357" ht="18.6" customHeight="1" spans="1:11">
      <c r="A2357" s="3">
        <v>2356</v>
      </c>
      <c r="B2357" s="3" t="s">
        <v>1561</v>
      </c>
      <c r="C2357" s="3" t="s">
        <v>3597</v>
      </c>
      <c r="D2357" s="3" t="s">
        <v>844</v>
      </c>
      <c r="E2357" s="3" t="s">
        <v>845</v>
      </c>
      <c r="F2357" s="3"/>
      <c r="G2357" s="3"/>
      <c r="H2357" s="3"/>
      <c r="I2357" s="3"/>
      <c r="J2357" s="3" t="s">
        <v>11</v>
      </c>
      <c r="K2357" s="27" t="s">
        <v>1252</v>
      </c>
    </row>
    <row r="2358" ht="18.6" customHeight="1" spans="1:11">
      <c r="A2358" s="3">
        <v>2357</v>
      </c>
      <c r="B2358" s="3" t="s">
        <v>1562</v>
      </c>
      <c r="C2358" s="3" t="s">
        <v>3597</v>
      </c>
      <c r="D2358" s="3" t="s">
        <v>844</v>
      </c>
      <c r="E2358" s="3" t="s">
        <v>852</v>
      </c>
      <c r="F2358" s="3"/>
      <c r="G2358" s="3"/>
      <c r="H2358" s="3"/>
      <c r="I2358" s="3"/>
      <c r="J2358" s="3" t="s">
        <v>11</v>
      </c>
      <c r="K2358" s="27" t="s">
        <v>1252</v>
      </c>
    </row>
    <row r="2359" ht="18.6" customHeight="1" spans="1:11">
      <c r="A2359" s="3">
        <v>2358</v>
      </c>
      <c r="B2359" s="3" t="s">
        <v>1563</v>
      </c>
      <c r="C2359" s="3" t="s">
        <v>3597</v>
      </c>
      <c r="D2359" s="3" t="s">
        <v>844</v>
      </c>
      <c r="E2359" s="3" t="s">
        <v>845</v>
      </c>
      <c r="F2359" s="3"/>
      <c r="G2359" s="3"/>
      <c r="H2359" s="3"/>
      <c r="I2359" s="3" t="s">
        <v>3769</v>
      </c>
      <c r="J2359" s="3" t="s">
        <v>11</v>
      </c>
      <c r="K2359" s="27" t="s">
        <v>1252</v>
      </c>
    </row>
    <row r="2360" ht="18.6" customHeight="1" spans="1:11">
      <c r="A2360" s="3">
        <v>2359</v>
      </c>
      <c r="B2360" s="3" t="s">
        <v>1564</v>
      </c>
      <c r="C2360" s="3" t="s">
        <v>3597</v>
      </c>
      <c r="D2360" s="3" t="s">
        <v>844</v>
      </c>
      <c r="E2360" s="3" t="s">
        <v>845</v>
      </c>
      <c r="F2360" s="3"/>
      <c r="G2360" s="3"/>
      <c r="H2360" s="3"/>
      <c r="I2360" s="3"/>
      <c r="J2360" s="3" t="s">
        <v>11</v>
      </c>
      <c r="K2360" s="27" t="s">
        <v>1252</v>
      </c>
    </row>
    <row r="2361" ht="18.6" customHeight="1" spans="1:11">
      <c r="A2361" s="3">
        <v>2360</v>
      </c>
      <c r="B2361" s="3" t="s">
        <v>1565</v>
      </c>
      <c r="C2361" s="3" t="s">
        <v>3597</v>
      </c>
      <c r="D2361" s="3" t="s">
        <v>844</v>
      </c>
      <c r="E2361" s="3" t="s">
        <v>845</v>
      </c>
      <c r="F2361" s="3"/>
      <c r="G2361" s="3"/>
      <c r="H2361" s="3"/>
      <c r="I2361" s="3"/>
      <c r="J2361" s="3" t="s">
        <v>11</v>
      </c>
      <c r="K2361" s="27" t="s">
        <v>1252</v>
      </c>
    </row>
    <row r="2362" ht="18.6" customHeight="1" spans="1:11">
      <c r="A2362" s="3">
        <v>2361</v>
      </c>
      <c r="B2362" s="3" t="s">
        <v>1566</v>
      </c>
      <c r="C2362" s="3" t="s">
        <v>3597</v>
      </c>
      <c r="D2362" s="3" t="s">
        <v>844</v>
      </c>
      <c r="E2362" s="3" t="s">
        <v>845</v>
      </c>
      <c r="F2362" s="3"/>
      <c r="G2362" s="3"/>
      <c r="H2362" s="3"/>
      <c r="I2362" s="3"/>
      <c r="J2362" s="3" t="s">
        <v>11</v>
      </c>
      <c r="K2362" s="27" t="s">
        <v>1252</v>
      </c>
    </row>
    <row r="2363" ht="18.6" customHeight="1" spans="1:11">
      <c r="A2363" s="3">
        <v>2362</v>
      </c>
      <c r="B2363" s="3" t="s">
        <v>1567</v>
      </c>
      <c r="C2363" s="3" t="s">
        <v>3597</v>
      </c>
      <c r="D2363" s="3" t="s">
        <v>844</v>
      </c>
      <c r="E2363" s="3" t="s">
        <v>845</v>
      </c>
      <c r="F2363" s="3"/>
      <c r="G2363" s="3"/>
      <c r="H2363" s="3"/>
      <c r="I2363" s="3"/>
      <c r="J2363" s="3" t="s">
        <v>11</v>
      </c>
      <c r="K2363" s="27" t="s">
        <v>1252</v>
      </c>
    </row>
    <row r="2364" ht="18.6" customHeight="1" spans="1:11">
      <c r="A2364" s="3">
        <v>2363</v>
      </c>
      <c r="B2364" s="3" t="s">
        <v>1568</v>
      </c>
      <c r="C2364" s="3" t="s">
        <v>3597</v>
      </c>
      <c r="D2364" s="3" t="s">
        <v>844</v>
      </c>
      <c r="E2364" s="3" t="s">
        <v>1569</v>
      </c>
      <c r="F2364" s="3"/>
      <c r="G2364" s="3"/>
      <c r="H2364" s="3"/>
      <c r="I2364" s="3"/>
      <c r="J2364" s="3" t="s">
        <v>11</v>
      </c>
      <c r="K2364" s="27" t="s">
        <v>1252</v>
      </c>
    </row>
    <row r="2365" ht="18.6" customHeight="1" spans="1:11">
      <c r="A2365" s="3">
        <v>2364</v>
      </c>
      <c r="B2365" s="3" t="s">
        <v>1570</v>
      </c>
      <c r="C2365" s="3" t="s">
        <v>3597</v>
      </c>
      <c r="D2365" s="3" t="s">
        <v>844</v>
      </c>
      <c r="E2365" s="3" t="s">
        <v>1569</v>
      </c>
      <c r="F2365" s="3"/>
      <c r="G2365" s="3"/>
      <c r="H2365" s="3"/>
      <c r="I2365" s="3"/>
      <c r="J2365" s="3" t="s">
        <v>11</v>
      </c>
      <c r="K2365" s="27" t="s">
        <v>1252</v>
      </c>
    </row>
    <row r="2366" ht="18.6" customHeight="1" spans="1:11">
      <c r="A2366" s="3">
        <v>2365</v>
      </c>
      <c r="B2366" s="3" t="s">
        <v>1571</v>
      </c>
      <c r="C2366" s="3" t="s">
        <v>3597</v>
      </c>
      <c r="D2366" s="3" t="s">
        <v>844</v>
      </c>
      <c r="E2366" s="3" t="s">
        <v>845</v>
      </c>
      <c r="F2366" s="3"/>
      <c r="G2366" s="3"/>
      <c r="H2366" s="3"/>
      <c r="I2366" s="3"/>
      <c r="J2366" s="3" t="s">
        <v>11</v>
      </c>
      <c r="K2366" s="27" t="s">
        <v>1252</v>
      </c>
    </row>
    <row r="2367" ht="18.6" customHeight="1" spans="1:11">
      <c r="A2367" s="3">
        <v>2366</v>
      </c>
      <c r="B2367" s="3" t="s">
        <v>1572</v>
      </c>
      <c r="C2367" s="3" t="s">
        <v>3597</v>
      </c>
      <c r="D2367" s="3" t="s">
        <v>844</v>
      </c>
      <c r="E2367" s="3" t="s">
        <v>845</v>
      </c>
      <c r="F2367" s="3"/>
      <c r="G2367" s="3"/>
      <c r="H2367" s="3"/>
      <c r="I2367" s="3"/>
      <c r="J2367" s="3" t="s">
        <v>11</v>
      </c>
      <c r="K2367" s="27" t="s">
        <v>1252</v>
      </c>
    </row>
    <row r="2368" ht="18.6" customHeight="1" spans="1:11">
      <c r="A2368" s="3">
        <v>2367</v>
      </c>
      <c r="B2368" s="3" t="s">
        <v>1573</v>
      </c>
      <c r="C2368" s="3" t="s">
        <v>3597</v>
      </c>
      <c r="D2368" s="3" t="s">
        <v>844</v>
      </c>
      <c r="E2368" s="3" t="s">
        <v>886</v>
      </c>
      <c r="F2368" s="3"/>
      <c r="G2368" s="3"/>
      <c r="H2368" s="3"/>
      <c r="I2368" s="3"/>
      <c r="J2368" s="3" t="s">
        <v>11</v>
      </c>
      <c r="K2368" s="27" t="s">
        <v>1252</v>
      </c>
    </row>
    <row r="2369" ht="18.6" customHeight="1" spans="1:11">
      <c r="A2369" s="3">
        <v>2368</v>
      </c>
      <c r="B2369" s="3" t="s">
        <v>1574</v>
      </c>
      <c r="C2369" s="3" t="s">
        <v>3597</v>
      </c>
      <c r="D2369" s="3" t="s">
        <v>844</v>
      </c>
      <c r="E2369" s="3" t="s">
        <v>866</v>
      </c>
      <c r="F2369" s="3"/>
      <c r="G2369" s="3"/>
      <c r="H2369" s="3"/>
      <c r="I2369" s="3"/>
      <c r="J2369" s="3" t="s">
        <v>11</v>
      </c>
      <c r="K2369" s="27" t="s">
        <v>1252</v>
      </c>
    </row>
    <row r="2370" ht="18.6" customHeight="1" spans="1:11">
      <c r="A2370" s="3">
        <v>2369</v>
      </c>
      <c r="B2370" s="3" t="s">
        <v>1575</v>
      </c>
      <c r="C2370" s="3" t="s">
        <v>3597</v>
      </c>
      <c r="D2370" s="3" t="s">
        <v>844</v>
      </c>
      <c r="E2370" s="3" t="s">
        <v>866</v>
      </c>
      <c r="F2370" s="3"/>
      <c r="G2370" s="3"/>
      <c r="H2370" s="3"/>
      <c r="I2370" s="3"/>
      <c r="J2370" s="3" t="s">
        <v>11</v>
      </c>
      <c r="K2370" s="27" t="s">
        <v>1252</v>
      </c>
    </row>
    <row r="2371" ht="18.6" customHeight="1" spans="1:11">
      <c r="A2371" s="3">
        <v>2370</v>
      </c>
      <c r="B2371" s="3" t="s">
        <v>1576</v>
      </c>
      <c r="C2371" s="3" t="s">
        <v>3597</v>
      </c>
      <c r="D2371" s="3" t="s">
        <v>844</v>
      </c>
      <c r="E2371" s="3" t="s">
        <v>886</v>
      </c>
      <c r="F2371" s="3"/>
      <c r="G2371" s="3"/>
      <c r="H2371" s="3"/>
      <c r="I2371" s="3"/>
      <c r="J2371" s="3" t="s">
        <v>11</v>
      </c>
      <c r="K2371" s="27" t="s">
        <v>1252</v>
      </c>
    </row>
    <row r="2372" ht="18.6" customHeight="1" spans="1:11">
      <c r="A2372" s="3">
        <v>2371</v>
      </c>
      <c r="B2372" s="3" t="s">
        <v>1577</v>
      </c>
      <c r="C2372" s="3" t="s">
        <v>3597</v>
      </c>
      <c r="D2372" s="3" t="s">
        <v>844</v>
      </c>
      <c r="E2372" s="3" t="s">
        <v>845</v>
      </c>
      <c r="F2372" s="3"/>
      <c r="G2372" s="3"/>
      <c r="H2372" s="3"/>
      <c r="I2372" s="3"/>
      <c r="J2372" s="3" t="s">
        <v>11</v>
      </c>
      <c r="K2372" s="27" t="s">
        <v>1252</v>
      </c>
    </row>
    <row r="2373" ht="18.6" customHeight="1" spans="1:11">
      <c r="A2373" s="3">
        <v>2372</v>
      </c>
      <c r="B2373" s="3" t="s">
        <v>1578</v>
      </c>
      <c r="C2373" s="3" t="s">
        <v>3622</v>
      </c>
      <c r="D2373" s="3" t="s">
        <v>902</v>
      </c>
      <c r="E2373" s="3" t="s">
        <v>903</v>
      </c>
      <c r="F2373" s="3"/>
      <c r="G2373" s="3"/>
      <c r="H2373" s="3"/>
      <c r="I2373" s="3"/>
      <c r="J2373" s="3" t="s">
        <v>11</v>
      </c>
      <c r="K2373" s="27" t="s">
        <v>1252</v>
      </c>
    </row>
    <row r="2374" ht="18.6" customHeight="1" spans="1:11">
      <c r="A2374" s="3">
        <v>2373</v>
      </c>
      <c r="B2374" s="3" t="s">
        <v>1579</v>
      </c>
      <c r="C2374" s="3" t="s">
        <v>3622</v>
      </c>
      <c r="D2374" s="3" t="s">
        <v>902</v>
      </c>
      <c r="E2374" s="3" t="s">
        <v>1580</v>
      </c>
      <c r="F2374" s="3"/>
      <c r="G2374" s="3"/>
      <c r="H2374" s="3"/>
      <c r="I2374" s="3"/>
      <c r="J2374" s="3" t="s">
        <v>11</v>
      </c>
      <c r="K2374" s="27" t="s">
        <v>1252</v>
      </c>
    </row>
    <row r="2375" ht="18.6" customHeight="1" spans="1:11">
      <c r="A2375" s="3">
        <v>2374</v>
      </c>
      <c r="B2375" s="3" t="s">
        <v>1581</v>
      </c>
      <c r="C2375" s="3" t="s">
        <v>3622</v>
      </c>
      <c r="D2375" s="3" t="s">
        <v>902</v>
      </c>
      <c r="E2375" s="3" t="s">
        <v>905</v>
      </c>
      <c r="F2375" s="3"/>
      <c r="G2375" s="3"/>
      <c r="H2375" s="3"/>
      <c r="I2375" s="3"/>
      <c r="J2375" s="3" t="s">
        <v>11</v>
      </c>
      <c r="K2375" s="27" t="s">
        <v>1252</v>
      </c>
    </row>
    <row r="2376" ht="18.6" customHeight="1" spans="1:11">
      <c r="A2376" s="3">
        <v>2375</v>
      </c>
      <c r="B2376" s="3" t="s">
        <v>1582</v>
      </c>
      <c r="C2376" s="3" t="s">
        <v>3622</v>
      </c>
      <c r="D2376" s="3" t="s">
        <v>902</v>
      </c>
      <c r="E2376" s="3" t="s">
        <v>903</v>
      </c>
      <c r="F2376" s="3"/>
      <c r="G2376" s="3"/>
      <c r="H2376" s="3"/>
      <c r="I2376" s="3" t="s">
        <v>3769</v>
      </c>
      <c r="J2376" s="3" t="s">
        <v>11</v>
      </c>
      <c r="K2376" s="27" t="s">
        <v>1252</v>
      </c>
    </row>
    <row r="2377" ht="18.6" customHeight="1" spans="1:11">
      <c r="A2377" s="3">
        <v>2376</v>
      </c>
      <c r="B2377" s="3" t="s">
        <v>1583</v>
      </c>
      <c r="C2377" s="3" t="s">
        <v>3622</v>
      </c>
      <c r="D2377" s="3" t="s">
        <v>902</v>
      </c>
      <c r="E2377" s="3" t="s">
        <v>907</v>
      </c>
      <c r="F2377" s="3"/>
      <c r="G2377" s="3"/>
      <c r="H2377" s="3"/>
      <c r="I2377" s="3"/>
      <c r="J2377" s="3" t="s">
        <v>11</v>
      </c>
      <c r="K2377" s="27" t="s">
        <v>1252</v>
      </c>
    </row>
    <row r="2378" ht="18.6" customHeight="1" spans="1:11">
      <c r="A2378" s="3">
        <v>2377</v>
      </c>
      <c r="B2378" s="3" t="s">
        <v>1584</v>
      </c>
      <c r="C2378" s="3" t="s">
        <v>3622</v>
      </c>
      <c r="D2378" s="3" t="s">
        <v>902</v>
      </c>
      <c r="E2378" s="3" t="s">
        <v>903</v>
      </c>
      <c r="F2378" s="3"/>
      <c r="G2378" s="3"/>
      <c r="H2378" s="3"/>
      <c r="I2378" s="3" t="s">
        <v>3769</v>
      </c>
      <c r="J2378" s="3" t="s">
        <v>11</v>
      </c>
      <c r="K2378" s="27" t="s">
        <v>1252</v>
      </c>
    </row>
    <row r="2379" ht="18.6" customHeight="1" spans="1:11">
      <c r="A2379" s="3">
        <v>2378</v>
      </c>
      <c r="B2379" s="3" t="s">
        <v>1585</v>
      </c>
      <c r="C2379" s="3" t="s">
        <v>3622</v>
      </c>
      <c r="D2379" s="3" t="s">
        <v>902</v>
      </c>
      <c r="E2379" s="3" t="s">
        <v>903</v>
      </c>
      <c r="F2379" s="3"/>
      <c r="G2379" s="3"/>
      <c r="H2379" s="3"/>
      <c r="I2379" s="3" t="s">
        <v>3775</v>
      </c>
      <c r="J2379" s="3" t="s">
        <v>11</v>
      </c>
      <c r="K2379" s="27" t="s">
        <v>1252</v>
      </c>
    </row>
    <row r="2380" ht="18.6" customHeight="1" spans="1:11">
      <c r="A2380" s="3">
        <v>2379</v>
      </c>
      <c r="B2380" s="3" t="s">
        <v>1586</v>
      </c>
      <c r="C2380" s="3" t="s">
        <v>3622</v>
      </c>
      <c r="D2380" s="3" t="s">
        <v>902</v>
      </c>
      <c r="E2380" s="3" t="s">
        <v>907</v>
      </c>
      <c r="F2380" s="3"/>
      <c r="G2380" s="3"/>
      <c r="H2380" s="3"/>
      <c r="I2380" s="3"/>
      <c r="J2380" s="3" t="s">
        <v>11</v>
      </c>
      <c r="K2380" s="27" t="s">
        <v>1252</v>
      </c>
    </row>
    <row r="2381" ht="18.6" customHeight="1" spans="1:11">
      <c r="A2381" s="3">
        <v>2380</v>
      </c>
      <c r="B2381" s="3" t="s">
        <v>1587</v>
      </c>
      <c r="C2381" s="3" t="s">
        <v>3622</v>
      </c>
      <c r="D2381" s="3" t="s">
        <v>902</v>
      </c>
      <c r="E2381" s="3" t="s">
        <v>907</v>
      </c>
      <c r="F2381" s="3"/>
      <c r="G2381" s="3"/>
      <c r="H2381" s="3"/>
      <c r="I2381" s="3"/>
      <c r="J2381" s="3" t="s">
        <v>11</v>
      </c>
      <c r="K2381" s="27" t="s">
        <v>1252</v>
      </c>
    </row>
    <row r="2382" ht="18.6" customHeight="1" spans="1:11">
      <c r="A2382" s="3">
        <v>2381</v>
      </c>
      <c r="B2382" s="3" t="s">
        <v>1588</v>
      </c>
      <c r="C2382" s="3" t="s">
        <v>3622</v>
      </c>
      <c r="D2382" s="3" t="s">
        <v>902</v>
      </c>
      <c r="E2382" s="3" t="s">
        <v>903</v>
      </c>
      <c r="F2382" s="3"/>
      <c r="G2382" s="3"/>
      <c r="H2382" s="3"/>
      <c r="I2382" s="3"/>
      <c r="J2382" s="3" t="s">
        <v>11</v>
      </c>
      <c r="K2382" s="27" t="s">
        <v>1252</v>
      </c>
    </row>
    <row r="2383" ht="18.6" customHeight="1" spans="1:11">
      <c r="A2383" s="3">
        <v>2382</v>
      </c>
      <c r="B2383" s="3" t="s">
        <v>1589</v>
      </c>
      <c r="C2383" s="3" t="s">
        <v>3622</v>
      </c>
      <c r="D2383" s="3" t="s">
        <v>902</v>
      </c>
      <c r="E2383" s="3" t="s">
        <v>1580</v>
      </c>
      <c r="F2383" s="3"/>
      <c r="G2383" s="3"/>
      <c r="H2383" s="3"/>
      <c r="I2383" s="3"/>
      <c r="J2383" s="3" t="s">
        <v>11</v>
      </c>
      <c r="K2383" s="27" t="s">
        <v>1252</v>
      </c>
    </row>
    <row r="2384" ht="18.6" customHeight="1" spans="1:11">
      <c r="A2384" s="3">
        <v>2383</v>
      </c>
      <c r="B2384" s="3" t="s">
        <v>1590</v>
      </c>
      <c r="C2384" s="3" t="s">
        <v>3622</v>
      </c>
      <c r="D2384" s="3" t="s">
        <v>902</v>
      </c>
      <c r="E2384" s="3" t="s">
        <v>917</v>
      </c>
      <c r="F2384" s="3"/>
      <c r="G2384" s="3"/>
      <c r="H2384" s="3"/>
      <c r="I2384" s="3"/>
      <c r="J2384" s="3" t="s">
        <v>11</v>
      </c>
      <c r="K2384" s="27" t="s">
        <v>1252</v>
      </c>
    </row>
    <row r="2385" ht="18.6" customHeight="1" spans="1:11">
      <c r="A2385" s="3">
        <v>2384</v>
      </c>
      <c r="B2385" s="3" t="s">
        <v>1591</v>
      </c>
      <c r="C2385" s="3" t="s">
        <v>3631</v>
      </c>
      <c r="D2385" s="3" t="s">
        <v>943</v>
      </c>
      <c r="E2385" s="3" t="s">
        <v>944</v>
      </c>
      <c r="F2385" s="3"/>
      <c r="G2385" s="3"/>
      <c r="H2385" s="3"/>
      <c r="I2385" s="3"/>
      <c r="J2385" s="3" t="s">
        <v>11</v>
      </c>
      <c r="K2385" s="27" t="s">
        <v>1252</v>
      </c>
    </row>
    <row r="2386" ht="18.6" customHeight="1" spans="1:11">
      <c r="A2386" s="3">
        <v>2385</v>
      </c>
      <c r="B2386" s="3" t="s">
        <v>1592</v>
      </c>
      <c r="C2386" s="3" t="s">
        <v>3631</v>
      </c>
      <c r="D2386" s="3" t="s">
        <v>943</v>
      </c>
      <c r="E2386" s="3" t="s">
        <v>946</v>
      </c>
      <c r="F2386" s="3"/>
      <c r="G2386" s="3"/>
      <c r="H2386" s="3"/>
      <c r="I2386" s="3"/>
      <c r="J2386" s="3" t="s">
        <v>11</v>
      </c>
      <c r="K2386" s="27" t="s">
        <v>1252</v>
      </c>
    </row>
    <row r="2387" ht="18.6" customHeight="1" spans="1:11">
      <c r="A2387" s="3">
        <v>2386</v>
      </c>
      <c r="B2387" s="3" t="s">
        <v>1593</v>
      </c>
      <c r="C2387" s="3" t="s">
        <v>3631</v>
      </c>
      <c r="D2387" s="3" t="s">
        <v>943</v>
      </c>
      <c r="E2387" s="3" t="s">
        <v>944</v>
      </c>
      <c r="F2387" s="3"/>
      <c r="G2387" s="3"/>
      <c r="H2387" s="3"/>
      <c r="I2387" s="3"/>
      <c r="J2387" s="3" t="s">
        <v>11</v>
      </c>
      <c r="K2387" s="27" t="s">
        <v>1252</v>
      </c>
    </row>
    <row r="2388" ht="18.6" customHeight="1" spans="1:11">
      <c r="A2388" s="3">
        <v>2387</v>
      </c>
      <c r="B2388" s="3" t="s">
        <v>1594</v>
      </c>
      <c r="C2388" s="3" t="s">
        <v>3639</v>
      </c>
      <c r="D2388" s="3" t="s">
        <v>951</v>
      </c>
      <c r="E2388" s="3" t="s">
        <v>951</v>
      </c>
      <c r="F2388" s="3"/>
      <c r="G2388" s="3"/>
      <c r="H2388" s="3"/>
      <c r="I2388" s="3"/>
      <c r="J2388" s="3" t="s">
        <v>11</v>
      </c>
      <c r="K2388" s="27" t="s">
        <v>1252</v>
      </c>
    </row>
    <row r="2389" ht="18.6" customHeight="1" spans="1:11">
      <c r="A2389" s="3">
        <v>2388</v>
      </c>
      <c r="B2389" s="3" t="s">
        <v>1595</v>
      </c>
      <c r="C2389" s="3" t="s">
        <v>3639</v>
      </c>
      <c r="D2389" s="3" t="s">
        <v>951</v>
      </c>
      <c r="E2389" s="3" t="s">
        <v>951</v>
      </c>
      <c r="F2389" s="3"/>
      <c r="G2389" s="3"/>
      <c r="H2389" s="3"/>
      <c r="I2389" s="3"/>
      <c r="J2389" s="3" t="s">
        <v>11</v>
      </c>
      <c r="K2389" s="27" t="s">
        <v>1252</v>
      </c>
    </row>
    <row r="2390" ht="18.6" customHeight="1" spans="1:11">
      <c r="A2390" s="3">
        <v>2389</v>
      </c>
      <c r="B2390" s="3" t="s">
        <v>1596</v>
      </c>
      <c r="C2390" s="3" t="s">
        <v>3639</v>
      </c>
      <c r="D2390" s="3" t="s">
        <v>951</v>
      </c>
      <c r="E2390" s="3" t="s">
        <v>951</v>
      </c>
      <c r="F2390" s="3"/>
      <c r="G2390" s="3"/>
      <c r="H2390" s="3"/>
      <c r="I2390" s="3"/>
      <c r="J2390" s="3" t="s">
        <v>11</v>
      </c>
      <c r="K2390" s="27" t="s">
        <v>1252</v>
      </c>
    </row>
    <row r="2391" ht="18.6" customHeight="1" spans="1:11">
      <c r="A2391" s="3">
        <v>2390</v>
      </c>
      <c r="B2391" s="3" t="s">
        <v>1597</v>
      </c>
      <c r="C2391" s="3" t="s">
        <v>3639</v>
      </c>
      <c r="D2391" s="3" t="s">
        <v>951</v>
      </c>
      <c r="E2391" s="3" t="s">
        <v>951</v>
      </c>
      <c r="F2391" s="3"/>
      <c r="G2391" s="3"/>
      <c r="H2391" s="3"/>
      <c r="I2391" s="3"/>
      <c r="J2391" s="3" t="s">
        <v>11</v>
      </c>
      <c r="K2391" s="27" t="s">
        <v>1252</v>
      </c>
    </row>
    <row r="2392" ht="18.6" customHeight="1" spans="1:11">
      <c r="A2392" s="3">
        <v>2391</v>
      </c>
      <c r="B2392" s="3" t="s">
        <v>1598</v>
      </c>
      <c r="C2392" s="3" t="s">
        <v>3639</v>
      </c>
      <c r="D2392" s="3" t="s">
        <v>951</v>
      </c>
      <c r="E2392" s="3" t="s">
        <v>951</v>
      </c>
      <c r="F2392" s="3"/>
      <c r="G2392" s="3"/>
      <c r="H2392" s="3"/>
      <c r="I2392" s="3"/>
      <c r="J2392" s="3" t="s">
        <v>11</v>
      </c>
      <c r="K2392" s="27" t="s">
        <v>1252</v>
      </c>
    </row>
    <row r="2393" ht="18.6" customHeight="1" spans="1:11">
      <c r="A2393" s="3">
        <v>2392</v>
      </c>
      <c r="B2393" s="3" t="s">
        <v>1599</v>
      </c>
      <c r="C2393" s="3" t="s">
        <v>3639</v>
      </c>
      <c r="D2393" s="3" t="s">
        <v>951</v>
      </c>
      <c r="E2393" s="3" t="s">
        <v>951</v>
      </c>
      <c r="F2393" s="3"/>
      <c r="G2393" s="3"/>
      <c r="H2393" s="3"/>
      <c r="I2393" s="3"/>
      <c r="J2393" s="3" t="s">
        <v>11</v>
      </c>
      <c r="K2393" s="27" t="s">
        <v>1252</v>
      </c>
    </row>
    <row r="2394" ht="18.6" customHeight="1" spans="1:11">
      <c r="A2394" s="3">
        <v>2393</v>
      </c>
      <c r="B2394" s="3" t="s">
        <v>1600</v>
      </c>
      <c r="C2394" s="3" t="s">
        <v>3639</v>
      </c>
      <c r="D2394" s="3" t="s">
        <v>951</v>
      </c>
      <c r="E2394" s="3" t="s">
        <v>951</v>
      </c>
      <c r="F2394" s="3"/>
      <c r="G2394" s="3"/>
      <c r="H2394" s="3"/>
      <c r="I2394" s="3"/>
      <c r="J2394" s="3" t="s">
        <v>11</v>
      </c>
      <c r="K2394" s="27" t="s">
        <v>1252</v>
      </c>
    </row>
    <row r="2395" ht="18.6" customHeight="1" spans="1:11">
      <c r="A2395" s="3">
        <v>2394</v>
      </c>
      <c r="B2395" s="3" t="s">
        <v>1601</v>
      </c>
      <c r="C2395" s="3" t="s">
        <v>3639</v>
      </c>
      <c r="D2395" s="3" t="s">
        <v>951</v>
      </c>
      <c r="E2395" s="3" t="s">
        <v>951</v>
      </c>
      <c r="F2395" s="3"/>
      <c r="G2395" s="3"/>
      <c r="H2395" s="3"/>
      <c r="I2395" s="3" t="s">
        <v>3771</v>
      </c>
      <c r="J2395" s="3" t="s">
        <v>11</v>
      </c>
      <c r="K2395" s="27" t="s">
        <v>1252</v>
      </c>
    </row>
    <row r="2396" ht="18.6" customHeight="1" spans="1:11">
      <c r="A2396" s="3">
        <v>2395</v>
      </c>
      <c r="B2396" s="3" t="s">
        <v>1602</v>
      </c>
      <c r="C2396" s="3" t="s">
        <v>3639</v>
      </c>
      <c r="D2396" s="3" t="s">
        <v>951</v>
      </c>
      <c r="E2396" s="3" t="s">
        <v>951</v>
      </c>
      <c r="F2396" s="3"/>
      <c r="G2396" s="3"/>
      <c r="H2396" s="3"/>
      <c r="I2396" s="3"/>
      <c r="J2396" s="3" t="s">
        <v>11</v>
      </c>
      <c r="K2396" s="27" t="s">
        <v>1252</v>
      </c>
    </row>
    <row r="2397" ht="18.6" customHeight="1" spans="1:11">
      <c r="A2397" s="3">
        <v>2396</v>
      </c>
      <c r="B2397" s="3" t="s">
        <v>1603</v>
      </c>
      <c r="C2397" s="3" t="s">
        <v>3656</v>
      </c>
      <c r="D2397" s="3" t="s">
        <v>971</v>
      </c>
      <c r="E2397" s="3" t="s">
        <v>972</v>
      </c>
      <c r="F2397" s="3"/>
      <c r="G2397" s="3"/>
      <c r="H2397" s="3"/>
      <c r="I2397" s="3"/>
      <c r="J2397" s="3" t="s">
        <v>11</v>
      </c>
      <c r="K2397" s="27" t="s">
        <v>1252</v>
      </c>
    </row>
    <row r="2398" ht="18.6" customHeight="1" spans="1:11">
      <c r="A2398" s="3">
        <v>2397</v>
      </c>
      <c r="B2398" s="3" t="s">
        <v>1604</v>
      </c>
      <c r="C2398" s="3" t="s">
        <v>3656</v>
      </c>
      <c r="D2398" s="3" t="s">
        <v>971</v>
      </c>
      <c r="E2398" s="3" t="s">
        <v>972</v>
      </c>
      <c r="F2398" s="3"/>
      <c r="G2398" s="3"/>
      <c r="H2398" s="3"/>
      <c r="I2398" s="3"/>
      <c r="J2398" s="3" t="s">
        <v>11</v>
      </c>
      <c r="K2398" s="27" t="s">
        <v>1252</v>
      </c>
    </row>
    <row r="2399" ht="18.6" customHeight="1" spans="1:11">
      <c r="A2399" s="3">
        <v>2398</v>
      </c>
      <c r="B2399" s="3" t="s">
        <v>1605</v>
      </c>
      <c r="C2399" s="3" t="s">
        <v>3656</v>
      </c>
      <c r="D2399" s="3" t="s">
        <v>971</v>
      </c>
      <c r="E2399" s="3" t="s">
        <v>972</v>
      </c>
      <c r="F2399" s="3"/>
      <c r="G2399" s="3"/>
      <c r="H2399" s="3"/>
      <c r="I2399" s="3" t="s">
        <v>3769</v>
      </c>
      <c r="J2399" s="3" t="s">
        <v>11</v>
      </c>
      <c r="K2399" s="27" t="s">
        <v>1252</v>
      </c>
    </row>
    <row r="2400" ht="18.6" customHeight="1" spans="1:11">
      <c r="A2400" s="3">
        <v>2399</v>
      </c>
      <c r="B2400" s="3" t="s">
        <v>1606</v>
      </c>
      <c r="C2400" s="3" t="s">
        <v>3656</v>
      </c>
      <c r="D2400" s="3" t="s">
        <v>971</v>
      </c>
      <c r="E2400" s="3" t="s">
        <v>1006</v>
      </c>
      <c r="F2400" s="3"/>
      <c r="G2400" s="3"/>
      <c r="H2400" s="3"/>
      <c r="I2400" s="3" t="s">
        <v>3770</v>
      </c>
      <c r="J2400" s="3" t="s">
        <v>11</v>
      </c>
      <c r="K2400" s="27" t="s">
        <v>1252</v>
      </c>
    </row>
    <row r="2401" ht="18.6" customHeight="1" spans="1:11">
      <c r="A2401" s="3">
        <v>2400</v>
      </c>
      <c r="B2401" s="3" t="s">
        <v>1607</v>
      </c>
      <c r="C2401" s="3" t="s">
        <v>3656</v>
      </c>
      <c r="D2401" s="3" t="s">
        <v>971</v>
      </c>
      <c r="E2401" s="3" t="s">
        <v>972</v>
      </c>
      <c r="F2401" s="3"/>
      <c r="G2401" s="3"/>
      <c r="H2401" s="3"/>
      <c r="I2401" s="3"/>
      <c r="J2401" s="3" t="s">
        <v>11</v>
      </c>
      <c r="K2401" s="27" t="s">
        <v>1252</v>
      </c>
    </row>
    <row r="2402" ht="18.6" customHeight="1" spans="1:11">
      <c r="A2402" s="3">
        <v>2401</v>
      </c>
      <c r="B2402" s="3" t="s">
        <v>1608</v>
      </c>
      <c r="C2402" s="3" t="s">
        <v>3656</v>
      </c>
      <c r="D2402" s="3" t="s">
        <v>971</v>
      </c>
      <c r="E2402" s="3" t="s">
        <v>972</v>
      </c>
      <c r="F2402" s="3"/>
      <c r="G2402" s="3"/>
      <c r="H2402" s="3"/>
      <c r="I2402" s="3"/>
      <c r="J2402" s="3" t="s">
        <v>11</v>
      </c>
      <c r="K2402" s="27" t="s">
        <v>1252</v>
      </c>
    </row>
    <row r="2403" ht="18.6" customHeight="1" spans="1:11">
      <c r="A2403" s="3">
        <v>2402</v>
      </c>
      <c r="B2403" s="3" t="s">
        <v>1609</v>
      </c>
      <c r="C2403" s="3" t="s">
        <v>3656</v>
      </c>
      <c r="D2403" s="3" t="s">
        <v>971</v>
      </c>
      <c r="E2403" s="3" t="s">
        <v>972</v>
      </c>
      <c r="F2403" s="3"/>
      <c r="G2403" s="3"/>
      <c r="H2403" s="3"/>
      <c r="I2403" s="3"/>
      <c r="J2403" s="3" t="s">
        <v>11</v>
      </c>
      <c r="K2403" s="27" t="s">
        <v>1252</v>
      </c>
    </row>
    <row r="2404" ht="18.6" customHeight="1" spans="1:11">
      <c r="A2404" s="3">
        <v>2403</v>
      </c>
      <c r="B2404" s="3" t="s">
        <v>1610</v>
      </c>
      <c r="C2404" s="3" t="s">
        <v>3656</v>
      </c>
      <c r="D2404" s="3" t="s">
        <v>971</v>
      </c>
      <c r="E2404" s="3" t="s">
        <v>972</v>
      </c>
      <c r="F2404" s="3"/>
      <c r="G2404" s="3"/>
      <c r="H2404" s="3"/>
      <c r="I2404" s="3"/>
      <c r="J2404" s="3" t="s">
        <v>11</v>
      </c>
      <c r="K2404" s="27" t="s">
        <v>1252</v>
      </c>
    </row>
    <row r="2405" ht="18.6" customHeight="1" spans="1:11">
      <c r="A2405" s="3">
        <v>2404</v>
      </c>
      <c r="B2405" s="3" t="s">
        <v>1611</v>
      </c>
      <c r="C2405" s="3" t="s">
        <v>3656</v>
      </c>
      <c r="D2405" s="3" t="s">
        <v>971</v>
      </c>
      <c r="E2405" s="3" t="s">
        <v>972</v>
      </c>
      <c r="F2405" s="3"/>
      <c r="G2405" s="3"/>
      <c r="H2405" s="3"/>
      <c r="I2405" s="3"/>
      <c r="J2405" s="3" t="s">
        <v>11</v>
      </c>
      <c r="K2405" s="27" t="s">
        <v>1252</v>
      </c>
    </row>
    <row r="2406" ht="18.6" customHeight="1" spans="1:11">
      <c r="A2406" s="3">
        <v>2405</v>
      </c>
      <c r="B2406" s="3" t="s">
        <v>1612</v>
      </c>
      <c r="C2406" s="3" t="s">
        <v>3656</v>
      </c>
      <c r="D2406" s="3" t="s">
        <v>971</v>
      </c>
      <c r="E2406" s="3" t="s">
        <v>984</v>
      </c>
      <c r="F2406" s="3"/>
      <c r="G2406" s="3"/>
      <c r="H2406" s="3"/>
      <c r="I2406" s="3"/>
      <c r="J2406" s="3" t="s">
        <v>11</v>
      </c>
      <c r="K2406" s="27" t="s">
        <v>1252</v>
      </c>
    </row>
    <row r="2407" ht="18.6" customHeight="1" spans="1:11">
      <c r="A2407" s="3">
        <v>2406</v>
      </c>
      <c r="B2407" s="3" t="s">
        <v>1613</v>
      </c>
      <c r="C2407" s="3" t="s">
        <v>3656</v>
      </c>
      <c r="D2407" s="3" t="s">
        <v>971</v>
      </c>
      <c r="E2407" s="3" t="s">
        <v>972</v>
      </c>
      <c r="F2407" s="3"/>
      <c r="G2407" s="3"/>
      <c r="H2407" s="3"/>
      <c r="I2407" s="3"/>
      <c r="J2407" s="3" t="s">
        <v>11</v>
      </c>
      <c r="K2407" s="27" t="s">
        <v>1252</v>
      </c>
    </row>
    <row r="2408" ht="18.6" customHeight="1" spans="1:11">
      <c r="A2408" s="3">
        <v>2407</v>
      </c>
      <c r="B2408" s="3" t="s">
        <v>1614</v>
      </c>
      <c r="C2408" s="3" t="s">
        <v>3656</v>
      </c>
      <c r="D2408" s="3" t="s">
        <v>971</v>
      </c>
      <c r="E2408" s="3" t="s">
        <v>978</v>
      </c>
      <c r="F2408" s="3"/>
      <c r="G2408" s="3"/>
      <c r="H2408" s="3"/>
      <c r="I2408" s="3" t="s">
        <v>3769</v>
      </c>
      <c r="J2408" s="3" t="s">
        <v>11</v>
      </c>
      <c r="K2408" s="27" t="s">
        <v>1252</v>
      </c>
    </row>
    <row r="2409" ht="18.6" customHeight="1" spans="1:11">
      <c r="A2409" s="3">
        <v>2408</v>
      </c>
      <c r="B2409" s="3" t="s">
        <v>1615</v>
      </c>
      <c r="C2409" s="3" t="s">
        <v>3656</v>
      </c>
      <c r="D2409" s="3" t="s">
        <v>971</v>
      </c>
      <c r="E2409" s="3" t="s">
        <v>1616</v>
      </c>
      <c r="F2409" s="3"/>
      <c r="G2409" s="3"/>
      <c r="H2409" s="3"/>
      <c r="I2409" s="3" t="s">
        <v>3769</v>
      </c>
      <c r="J2409" s="3" t="s">
        <v>11</v>
      </c>
      <c r="K2409" s="27" t="s">
        <v>1252</v>
      </c>
    </row>
    <row r="2410" ht="18.6" customHeight="1" spans="1:11">
      <c r="A2410" s="3">
        <v>2409</v>
      </c>
      <c r="B2410" s="3" t="s">
        <v>1617</v>
      </c>
      <c r="C2410" s="3" t="s">
        <v>3656</v>
      </c>
      <c r="D2410" s="3" t="s">
        <v>971</v>
      </c>
      <c r="E2410" s="3" t="s">
        <v>978</v>
      </c>
      <c r="F2410" s="3"/>
      <c r="G2410" s="3"/>
      <c r="H2410" s="3"/>
      <c r="I2410" s="3"/>
      <c r="J2410" s="3" t="s">
        <v>11</v>
      </c>
      <c r="K2410" s="27" t="s">
        <v>1252</v>
      </c>
    </row>
    <row r="2411" ht="18.6" customHeight="1" spans="1:11">
      <c r="A2411" s="3">
        <v>2410</v>
      </c>
      <c r="B2411" s="3" t="s">
        <v>1618</v>
      </c>
      <c r="C2411" s="3" t="s">
        <v>3656</v>
      </c>
      <c r="D2411" s="3" t="s">
        <v>971</v>
      </c>
      <c r="E2411" s="3" t="s">
        <v>978</v>
      </c>
      <c r="F2411" s="3"/>
      <c r="G2411" s="3"/>
      <c r="H2411" s="3"/>
      <c r="I2411" s="3"/>
      <c r="J2411" s="3" t="s">
        <v>11</v>
      </c>
      <c r="K2411" s="27" t="s">
        <v>1252</v>
      </c>
    </row>
    <row r="2412" ht="18.6" customHeight="1" spans="1:11">
      <c r="A2412" s="3">
        <v>2411</v>
      </c>
      <c r="B2412" s="3" t="s">
        <v>1619</v>
      </c>
      <c r="C2412" s="3" t="s">
        <v>3656</v>
      </c>
      <c r="D2412" s="3" t="s">
        <v>971</v>
      </c>
      <c r="E2412" s="3" t="s">
        <v>993</v>
      </c>
      <c r="F2412" s="3"/>
      <c r="G2412" s="3"/>
      <c r="H2412" s="3"/>
      <c r="I2412" s="3" t="s">
        <v>3770</v>
      </c>
      <c r="J2412" s="3" t="s">
        <v>11</v>
      </c>
      <c r="K2412" s="27" t="s">
        <v>1252</v>
      </c>
    </row>
    <row r="2413" ht="18.6" customHeight="1" spans="1:11">
      <c r="A2413" s="3">
        <v>2412</v>
      </c>
      <c r="B2413" s="3" t="s">
        <v>1620</v>
      </c>
      <c r="C2413" s="3" t="s">
        <v>3656</v>
      </c>
      <c r="D2413" s="3" t="s">
        <v>971</v>
      </c>
      <c r="E2413" s="3" t="s">
        <v>972</v>
      </c>
      <c r="F2413" s="3"/>
      <c r="G2413" s="3"/>
      <c r="H2413" s="3"/>
      <c r="I2413" s="3"/>
      <c r="J2413" s="3" t="s">
        <v>11</v>
      </c>
      <c r="K2413" s="27" t="s">
        <v>1252</v>
      </c>
    </row>
    <row r="2414" ht="18.6" customHeight="1" spans="1:11">
      <c r="A2414" s="3">
        <v>2413</v>
      </c>
      <c r="B2414" s="3" t="s">
        <v>1621</v>
      </c>
      <c r="C2414" s="3" t="s">
        <v>3656</v>
      </c>
      <c r="D2414" s="3" t="s">
        <v>971</v>
      </c>
      <c r="E2414" s="3" t="s">
        <v>972</v>
      </c>
      <c r="F2414" s="3"/>
      <c r="G2414" s="3"/>
      <c r="H2414" s="3"/>
      <c r="I2414" s="3"/>
      <c r="J2414" s="3" t="s">
        <v>11</v>
      </c>
      <c r="K2414" s="27" t="s">
        <v>1252</v>
      </c>
    </row>
    <row r="2415" ht="18.6" customHeight="1" spans="1:11">
      <c r="A2415" s="3">
        <v>2414</v>
      </c>
      <c r="B2415" s="3" t="s">
        <v>1622</v>
      </c>
      <c r="C2415" s="3" t="s">
        <v>3676</v>
      </c>
      <c r="D2415" s="3" t="s">
        <v>1026</v>
      </c>
      <c r="E2415" s="3" t="s">
        <v>1027</v>
      </c>
      <c r="F2415" s="3"/>
      <c r="G2415" s="3"/>
      <c r="H2415" s="3"/>
      <c r="I2415" s="3" t="s">
        <v>3775</v>
      </c>
      <c r="J2415" s="3" t="s">
        <v>11</v>
      </c>
      <c r="K2415" s="27" t="s">
        <v>1252</v>
      </c>
    </row>
    <row r="2416" ht="18.6" customHeight="1" spans="1:11">
      <c r="A2416" s="3">
        <v>2415</v>
      </c>
      <c r="B2416" s="3" t="s">
        <v>1623</v>
      </c>
      <c r="C2416" s="3" t="s">
        <v>3676</v>
      </c>
      <c r="D2416" s="3" t="s">
        <v>1026</v>
      </c>
      <c r="E2416" s="3" t="s">
        <v>1045</v>
      </c>
      <c r="F2416" s="3"/>
      <c r="G2416" s="3"/>
      <c r="H2416" s="3"/>
      <c r="I2416" s="3"/>
      <c r="J2416" s="3" t="s">
        <v>11</v>
      </c>
      <c r="K2416" s="27" t="s">
        <v>1252</v>
      </c>
    </row>
    <row r="2417" ht="18.6" customHeight="1" spans="1:11">
      <c r="A2417" s="3">
        <v>2416</v>
      </c>
      <c r="B2417" s="3" t="s">
        <v>1624</v>
      </c>
      <c r="C2417" s="3" t="s">
        <v>3676</v>
      </c>
      <c r="D2417" s="3" t="s">
        <v>1026</v>
      </c>
      <c r="E2417" s="3" t="s">
        <v>1045</v>
      </c>
      <c r="F2417" s="3"/>
      <c r="G2417" s="3"/>
      <c r="H2417" s="3"/>
      <c r="I2417" s="3"/>
      <c r="J2417" s="3" t="s">
        <v>11</v>
      </c>
      <c r="K2417" s="27" t="s">
        <v>1252</v>
      </c>
    </row>
    <row r="2418" ht="18.6" customHeight="1" spans="1:11">
      <c r="A2418" s="3">
        <v>2417</v>
      </c>
      <c r="B2418" s="3" t="s">
        <v>1625</v>
      </c>
      <c r="C2418" s="3" t="s">
        <v>3676</v>
      </c>
      <c r="D2418" s="3" t="s">
        <v>1026</v>
      </c>
      <c r="E2418" s="3" t="s">
        <v>1027</v>
      </c>
      <c r="F2418" s="3"/>
      <c r="G2418" s="3"/>
      <c r="H2418" s="3"/>
      <c r="I2418" s="3"/>
      <c r="J2418" s="3" t="s">
        <v>11</v>
      </c>
      <c r="K2418" s="27" t="s">
        <v>1252</v>
      </c>
    </row>
    <row r="2419" ht="18.6" customHeight="1" spans="1:11">
      <c r="A2419" s="3">
        <v>2418</v>
      </c>
      <c r="B2419" s="3" t="s">
        <v>1626</v>
      </c>
      <c r="C2419" s="3" t="s">
        <v>3676</v>
      </c>
      <c r="D2419" s="3" t="s">
        <v>1026</v>
      </c>
      <c r="E2419" s="3" t="s">
        <v>1027</v>
      </c>
      <c r="F2419" s="3"/>
      <c r="G2419" s="3"/>
      <c r="H2419" s="3"/>
      <c r="I2419" s="3"/>
      <c r="J2419" s="3" t="s">
        <v>11</v>
      </c>
      <c r="K2419" s="27" t="s">
        <v>1252</v>
      </c>
    </row>
    <row r="2420" ht="18.6" customHeight="1" spans="1:11">
      <c r="A2420" s="3">
        <v>2419</v>
      </c>
      <c r="B2420" s="3" t="s">
        <v>1627</v>
      </c>
      <c r="C2420" s="3" t="s">
        <v>3676</v>
      </c>
      <c r="D2420" s="3" t="s">
        <v>1026</v>
      </c>
      <c r="E2420" s="3" t="s">
        <v>1030</v>
      </c>
      <c r="F2420" s="3"/>
      <c r="G2420" s="3"/>
      <c r="H2420" s="3"/>
      <c r="I2420" s="3" t="s">
        <v>3775</v>
      </c>
      <c r="J2420" s="3" t="s">
        <v>11</v>
      </c>
      <c r="K2420" s="27" t="s">
        <v>1252</v>
      </c>
    </row>
    <row r="2421" ht="18.6" customHeight="1" spans="1:11">
      <c r="A2421" s="3">
        <v>2420</v>
      </c>
      <c r="B2421" s="3" t="s">
        <v>1628</v>
      </c>
      <c r="C2421" s="3" t="s">
        <v>3676</v>
      </c>
      <c r="D2421" s="3" t="s">
        <v>1026</v>
      </c>
      <c r="E2421" s="3" t="s">
        <v>1027</v>
      </c>
      <c r="F2421" s="3"/>
      <c r="G2421" s="3"/>
      <c r="H2421" s="3"/>
      <c r="I2421" s="3" t="s">
        <v>3775</v>
      </c>
      <c r="J2421" s="3" t="s">
        <v>11</v>
      </c>
      <c r="K2421" s="27" t="s">
        <v>1252</v>
      </c>
    </row>
    <row r="2422" ht="18.6" customHeight="1" spans="1:11">
      <c r="A2422" s="3">
        <v>2421</v>
      </c>
      <c r="B2422" s="3" t="s">
        <v>1629</v>
      </c>
      <c r="C2422" s="3" t="s">
        <v>3676</v>
      </c>
      <c r="D2422" s="3" t="s">
        <v>1026</v>
      </c>
      <c r="E2422" s="3" t="s">
        <v>1030</v>
      </c>
      <c r="F2422" s="3"/>
      <c r="G2422" s="3"/>
      <c r="H2422" s="3"/>
      <c r="I2422" s="3"/>
      <c r="J2422" s="3" t="s">
        <v>11</v>
      </c>
      <c r="K2422" s="27" t="s">
        <v>1252</v>
      </c>
    </row>
    <row r="2423" ht="18.6" customHeight="1" spans="1:11">
      <c r="A2423" s="3">
        <v>2422</v>
      </c>
      <c r="B2423" s="3" t="s">
        <v>1631</v>
      </c>
      <c r="C2423" s="3" t="s">
        <v>3689</v>
      </c>
      <c r="D2423" s="3" t="s">
        <v>1060</v>
      </c>
      <c r="E2423" s="3" t="s">
        <v>1061</v>
      </c>
      <c r="F2423" s="3"/>
      <c r="G2423" s="3"/>
      <c r="H2423" s="3"/>
      <c r="I2423" s="3"/>
      <c r="J2423" s="3" t="s">
        <v>11</v>
      </c>
      <c r="K2423" s="27" t="s">
        <v>1252</v>
      </c>
    </row>
    <row r="2424" ht="18.6" customHeight="1" spans="1:11">
      <c r="A2424" s="3">
        <v>2423</v>
      </c>
      <c r="B2424" s="3" t="s">
        <v>1632</v>
      </c>
      <c r="C2424" s="3" t="s">
        <v>3689</v>
      </c>
      <c r="D2424" s="3" t="s">
        <v>1060</v>
      </c>
      <c r="E2424" s="3" t="s">
        <v>1061</v>
      </c>
      <c r="F2424" s="3"/>
      <c r="G2424" s="3"/>
      <c r="H2424" s="3"/>
      <c r="I2424" s="3"/>
      <c r="J2424" s="3" t="s">
        <v>11</v>
      </c>
      <c r="K2424" s="27" t="s">
        <v>1252</v>
      </c>
    </row>
    <row r="2425" ht="18.6" customHeight="1" spans="1:11">
      <c r="A2425" s="3">
        <v>2424</v>
      </c>
      <c r="B2425" s="3" t="s">
        <v>1633</v>
      </c>
      <c r="C2425" s="3" t="s">
        <v>3689</v>
      </c>
      <c r="D2425" s="3" t="s">
        <v>1060</v>
      </c>
      <c r="E2425" s="3" t="s">
        <v>1097</v>
      </c>
      <c r="F2425" s="3"/>
      <c r="G2425" s="3"/>
      <c r="H2425" s="3"/>
      <c r="I2425" s="3"/>
      <c r="J2425" s="3" t="s">
        <v>11</v>
      </c>
      <c r="K2425" s="27" t="s">
        <v>1252</v>
      </c>
    </row>
    <row r="2426" ht="18.6" customHeight="1" spans="1:11">
      <c r="A2426" s="3">
        <v>2425</v>
      </c>
      <c r="B2426" s="3" t="s">
        <v>1634</v>
      </c>
      <c r="C2426" s="3" t="s">
        <v>3689</v>
      </c>
      <c r="D2426" s="3" t="s">
        <v>1060</v>
      </c>
      <c r="E2426" s="3" t="s">
        <v>1061</v>
      </c>
      <c r="F2426" s="3"/>
      <c r="G2426" s="3"/>
      <c r="H2426" s="3"/>
      <c r="I2426" s="3" t="s">
        <v>3770</v>
      </c>
      <c r="J2426" s="3" t="s">
        <v>11</v>
      </c>
      <c r="K2426" s="27" t="s">
        <v>1252</v>
      </c>
    </row>
    <row r="2427" ht="18.6" customHeight="1" spans="1:11">
      <c r="A2427" s="3">
        <v>2426</v>
      </c>
      <c r="B2427" s="3" t="s">
        <v>1635</v>
      </c>
      <c r="C2427" s="3" t="s">
        <v>3689</v>
      </c>
      <c r="D2427" s="3" t="s">
        <v>1060</v>
      </c>
      <c r="E2427" s="3" t="s">
        <v>1061</v>
      </c>
      <c r="F2427" s="3"/>
      <c r="G2427" s="3"/>
      <c r="H2427" s="3"/>
      <c r="I2427" s="3"/>
      <c r="J2427" s="3" t="s">
        <v>11</v>
      </c>
      <c r="K2427" s="27" t="s">
        <v>1252</v>
      </c>
    </row>
    <row r="2428" ht="18.6" customHeight="1" spans="1:11">
      <c r="A2428" s="3">
        <v>2427</v>
      </c>
      <c r="B2428" s="3" t="s">
        <v>1636</v>
      </c>
      <c r="C2428" s="3" t="s">
        <v>3689</v>
      </c>
      <c r="D2428" s="3" t="s">
        <v>1060</v>
      </c>
      <c r="E2428" s="3" t="s">
        <v>1061</v>
      </c>
      <c r="F2428" s="3"/>
      <c r="G2428" s="3"/>
      <c r="H2428" s="3"/>
      <c r="I2428" s="3"/>
      <c r="J2428" s="3" t="s">
        <v>11</v>
      </c>
      <c r="K2428" s="27" t="s">
        <v>1252</v>
      </c>
    </row>
    <row r="2429" ht="18.6" customHeight="1" spans="1:11">
      <c r="A2429" s="3">
        <v>2428</v>
      </c>
      <c r="B2429" s="3" t="s">
        <v>1637</v>
      </c>
      <c r="C2429" s="3" t="s">
        <v>3689</v>
      </c>
      <c r="D2429" s="3" t="s">
        <v>1060</v>
      </c>
      <c r="E2429" s="3" t="s">
        <v>1061</v>
      </c>
      <c r="F2429" s="3"/>
      <c r="G2429" s="3"/>
      <c r="H2429" s="3"/>
      <c r="I2429" s="3" t="s">
        <v>3775</v>
      </c>
      <c r="J2429" s="3" t="s">
        <v>11</v>
      </c>
      <c r="K2429" s="27" t="s">
        <v>1252</v>
      </c>
    </row>
    <row r="2430" ht="18.6" customHeight="1" spans="1:11">
      <c r="A2430" s="3">
        <v>2429</v>
      </c>
      <c r="B2430" s="3" t="s">
        <v>1638</v>
      </c>
      <c r="C2430" s="3" t="s">
        <v>3689</v>
      </c>
      <c r="D2430" s="3" t="s">
        <v>1060</v>
      </c>
      <c r="E2430" s="3" t="s">
        <v>1061</v>
      </c>
      <c r="F2430" s="3"/>
      <c r="G2430" s="3"/>
      <c r="H2430" s="3"/>
      <c r="I2430" s="3"/>
      <c r="J2430" s="3" t="s">
        <v>11</v>
      </c>
      <c r="K2430" s="27" t="s">
        <v>1252</v>
      </c>
    </row>
    <row r="2431" ht="18.6" customHeight="1" spans="1:11">
      <c r="A2431" s="3">
        <v>2430</v>
      </c>
      <c r="B2431" s="3" t="s">
        <v>1639</v>
      </c>
      <c r="C2431" s="3" t="s">
        <v>3689</v>
      </c>
      <c r="D2431" s="3" t="s">
        <v>1060</v>
      </c>
      <c r="E2431" s="3" t="s">
        <v>1061</v>
      </c>
      <c r="F2431" s="3"/>
      <c r="G2431" s="3"/>
      <c r="H2431" s="3"/>
      <c r="I2431" s="3"/>
      <c r="J2431" s="3" t="s">
        <v>11</v>
      </c>
      <c r="K2431" s="27" t="s">
        <v>1252</v>
      </c>
    </row>
    <row r="2432" ht="18.6" customHeight="1" spans="1:11">
      <c r="A2432" s="3">
        <v>2431</v>
      </c>
      <c r="B2432" s="3" t="s">
        <v>1641</v>
      </c>
      <c r="C2432" s="3" t="s">
        <v>3713</v>
      </c>
      <c r="D2432" s="3" t="s">
        <v>1106</v>
      </c>
      <c r="E2432" s="3" t="s">
        <v>1111</v>
      </c>
      <c r="F2432" s="3"/>
      <c r="G2432" s="3"/>
      <c r="H2432" s="3"/>
      <c r="I2432" s="3"/>
      <c r="J2432" s="3" t="s">
        <v>11</v>
      </c>
      <c r="K2432" s="27" t="s">
        <v>1252</v>
      </c>
    </row>
    <row r="2433" ht="18.6" customHeight="1" spans="1:11">
      <c r="A2433" s="3">
        <v>2432</v>
      </c>
      <c r="B2433" s="3" t="s">
        <v>1642</v>
      </c>
      <c r="C2433" s="3" t="s">
        <v>3713</v>
      </c>
      <c r="D2433" s="3" t="s">
        <v>1106</v>
      </c>
      <c r="E2433" s="3" t="s">
        <v>1111</v>
      </c>
      <c r="F2433" s="3"/>
      <c r="G2433" s="3"/>
      <c r="H2433" s="3"/>
      <c r="I2433" s="3"/>
      <c r="J2433" s="3" t="s">
        <v>11</v>
      </c>
      <c r="K2433" s="27" t="s">
        <v>1252</v>
      </c>
    </row>
    <row r="2434" ht="18.6" customHeight="1" spans="1:11">
      <c r="A2434" s="3">
        <v>2433</v>
      </c>
      <c r="B2434" s="3" t="s">
        <v>1643</v>
      </c>
      <c r="C2434" s="3" t="s">
        <v>3713</v>
      </c>
      <c r="D2434" s="3" t="s">
        <v>1106</v>
      </c>
      <c r="E2434" s="3" t="s">
        <v>1111</v>
      </c>
      <c r="F2434" s="3"/>
      <c r="G2434" s="3"/>
      <c r="H2434" s="3"/>
      <c r="I2434" s="3"/>
      <c r="J2434" s="3" t="s">
        <v>11</v>
      </c>
      <c r="K2434" s="27" t="s">
        <v>1252</v>
      </c>
    </row>
    <row r="2435" ht="18.6" customHeight="1" spans="1:11">
      <c r="A2435" s="3">
        <v>2434</v>
      </c>
      <c r="B2435" s="3" t="s">
        <v>1644</v>
      </c>
      <c r="C2435" s="3" t="s">
        <v>3713</v>
      </c>
      <c r="D2435" s="3" t="s">
        <v>1106</v>
      </c>
      <c r="E2435" s="3" t="s">
        <v>1111</v>
      </c>
      <c r="F2435" s="3"/>
      <c r="G2435" s="3"/>
      <c r="H2435" s="3"/>
      <c r="I2435" s="3"/>
      <c r="J2435" s="3" t="s">
        <v>11</v>
      </c>
      <c r="K2435" s="27" t="s">
        <v>1252</v>
      </c>
    </row>
    <row r="2436" ht="18.6" customHeight="1" spans="1:11">
      <c r="A2436" s="3">
        <v>2435</v>
      </c>
      <c r="B2436" s="3" t="s">
        <v>1645</v>
      </c>
      <c r="C2436" s="3" t="s">
        <v>3713</v>
      </c>
      <c r="D2436" s="3" t="s">
        <v>1106</v>
      </c>
      <c r="E2436" s="3" t="s">
        <v>1111</v>
      </c>
      <c r="F2436" s="3"/>
      <c r="G2436" s="3"/>
      <c r="H2436" s="3"/>
      <c r="I2436" s="3"/>
      <c r="J2436" s="3" t="s">
        <v>11</v>
      </c>
      <c r="K2436" s="27" t="s">
        <v>1252</v>
      </c>
    </row>
    <row r="2437" ht="18.6" customHeight="1" spans="1:11">
      <c r="A2437" s="3">
        <v>2436</v>
      </c>
      <c r="B2437" s="3" t="s">
        <v>1646</v>
      </c>
      <c r="C2437" s="3" t="s">
        <v>3713</v>
      </c>
      <c r="D2437" s="3" t="s">
        <v>1106</v>
      </c>
      <c r="E2437" s="3" t="s">
        <v>1111</v>
      </c>
      <c r="F2437" s="3"/>
      <c r="G2437" s="3"/>
      <c r="H2437" s="3"/>
      <c r="I2437" s="3"/>
      <c r="J2437" s="3" t="s">
        <v>11</v>
      </c>
      <c r="K2437" s="27" t="s">
        <v>1252</v>
      </c>
    </row>
    <row r="2438" ht="18.6" customHeight="1" spans="1:11">
      <c r="A2438" s="3">
        <v>2437</v>
      </c>
      <c r="B2438" s="3" t="s">
        <v>1647</v>
      </c>
      <c r="C2438" s="3" t="s">
        <v>3713</v>
      </c>
      <c r="D2438" s="3" t="s">
        <v>1106</v>
      </c>
      <c r="E2438" s="3" t="s">
        <v>1107</v>
      </c>
      <c r="F2438" s="3"/>
      <c r="G2438" s="3"/>
      <c r="H2438" s="3"/>
      <c r="I2438" s="3"/>
      <c r="J2438" s="3" t="s">
        <v>11</v>
      </c>
      <c r="K2438" s="27" t="s">
        <v>1252</v>
      </c>
    </row>
    <row r="2439" ht="18.6" customHeight="1" spans="1:11">
      <c r="A2439" s="3">
        <v>2438</v>
      </c>
      <c r="B2439" s="3" t="s">
        <v>1648</v>
      </c>
      <c r="C2439" s="3" t="s">
        <v>3713</v>
      </c>
      <c r="D2439" s="3" t="s">
        <v>1106</v>
      </c>
      <c r="E2439" s="3" t="s">
        <v>1107</v>
      </c>
      <c r="F2439" s="3"/>
      <c r="G2439" s="3"/>
      <c r="H2439" s="3"/>
      <c r="I2439" s="3"/>
      <c r="J2439" s="3" t="s">
        <v>11</v>
      </c>
      <c r="K2439" s="27" t="s">
        <v>1252</v>
      </c>
    </row>
    <row r="2440" ht="18.6" customHeight="1" spans="1:11">
      <c r="A2440" s="3">
        <v>2439</v>
      </c>
      <c r="B2440" s="3" t="s">
        <v>1649</v>
      </c>
      <c r="C2440" s="3" t="s">
        <v>3713</v>
      </c>
      <c r="D2440" s="3" t="s">
        <v>1106</v>
      </c>
      <c r="E2440" s="3" t="s">
        <v>1111</v>
      </c>
      <c r="F2440" s="3"/>
      <c r="G2440" s="3"/>
      <c r="H2440" s="3"/>
      <c r="I2440" s="3"/>
      <c r="J2440" s="3" t="s">
        <v>11</v>
      </c>
      <c r="K2440" s="27" t="s">
        <v>1252</v>
      </c>
    </row>
    <row r="2441" ht="18.6" customHeight="1" spans="1:11">
      <c r="A2441" s="3">
        <v>2440</v>
      </c>
      <c r="B2441" s="3" t="s">
        <v>1650</v>
      </c>
      <c r="C2441" s="3" t="s">
        <v>3713</v>
      </c>
      <c r="D2441" s="3" t="s">
        <v>1106</v>
      </c>
      <c r="E2441" s="3" t="s">
        <v>1111</v>
      </c>
      <c r="F2441" s="3"/>
      <c r="G2441" s="3"/>
      <c r="H2441" s="3"/>
      <c r="I2441" s="3" t="s">
        <v>3769</v>
      </c>
      <c r="J2441" s="3" t="s">
        <v>11</v>
      </c>
      <c r="K2441" s="27" t="s">
        <v>1252</v>
      </c>
    </row>
    <row r="2442" ht="18.6" customHeight="1" spans="1:11">
      <c r="A2442" s="3">
        <v>2441</v>
      </c>
      <c r="B2442" s="3" t="s">
        <v>1651</v>
      </c>
      <c r="C2442" s="3" t="s">
        <v>3713</v>
      </c>
      <c r="D2442" s="3" t="s">
        <v>1106</v>
      </c>
      <c r="E2442" s="3" t="s">
        <v>1111</v>
      </c>
      <c r="F2442" s="3"/>
      <c r="G2442" s="3"/>
      <c r="H2442" s="3"/>
      <c r="I2442" s="3" t="s">
        <v>3769</v>
      </c>
      <c r="J2442" s="3" t="s">
        <v>11</v>
      </c>
      <c r="K2442" s="27" t="s">
        <v>1252</v>
      </c>
    </row>
    <row r="2443" ht="18.6" customHeight="1" spans="1:11">
      <c r="A2443" s="3">
        <v>2442</v>
      </c>
      <c r="B2443" s="3" t="s">
        <v>1652</v>
      </c>
      <c r="C2443" s="3" t="s">
        <v>3713</v>
      </c>
      <c r="D2443" s="3" t="s">
        <v>1106</v>
      </c>
      <c r="E2443" s="3" t="s">
        <v>1111</v>
      </c>
      <c r="F2443" s="3"/>
      <c r="G2443" s="3"/>
      <c r="H2443" s="3"/>
      <c r="I2443" s="3" t="s">
        <v>3770</v>
      </c>
      <c r="J2443" s="3" t="s">
        <v>11</v>
      </c>
      <c r="K2443" s="27" t="s">
        <v>1252</v>
      </c>
    </row>
    <row r="2444" ht="18.6" customHeight="1" spans="1:11">
      <c r="A2444" s="3">
        <v>2443</v>
      </c>
      <c r="B2444" s="3" t="s">
        <v>1653</v>
      </c>
      <c r="C2444" s="3" t="s">
        <v>3713</v>
      </c>
      <c r="D2444" s="3" t="s">
        <v>1106</v>
      </c>
      <c r="E2444" s="3" t="s">
        <v>1111</v>
      </c>
      <c r="F2444" s="3"/>
      <c r="G2444" s="3"/>
      <c r="H2444" s="3"/>
      <c r="I2444" s="3" t="s">
        <v>3771</v>
      </c>
      <c r="J2444" s="3" t="s">
        <v>11</v>
      </c>
      <c r="K2444" s="27" t="s">
        <v>1252</v>
      </c>
    </row>
    <row r="2445" ht="18.6" customHeight="1" spans="1:11">
      <c r="A2445" s="3">
        <v>2444</v>
      </c>
      <c r="B2445" s="3" t="s">
        <v>1654</v>
      </c>
      <c r="C2445" s="3" t="s">
        <v>3713</v>
      </c>
      <c r="D2445" s="3" t="s">
        <v>1106</v>
      </c>
      <c r="E2445" s="3" t="s">
        <v>1107</v>
      </c>
      <c r="F2445" s="3"/>
      <c r="G2445" s="3"/>
      <c r="H2445" s="3"/>
      <c r="I2445" s="3" t="s">
        <v>3769</v>
      </c>
      <c r="J2445" s="3" t="s">
        <v>11</v>
      </c>
      <c r="K2445" s="27" t="s">
        <v>1252</v>
      </c>
    </row>
    <row r="2446" ht="18.6" customHeight="1" spans="1:11">
      <c r="A2446" s="3">
        <v>2445</v>
      </c>
      <c r="B2446" s="3" t="s">
        <v>1655</v>
      </c>
      <c r="C2446" s="3" t="s">
        <v>3713</v>
      </c>
      <c r="D2446" s="3" t="s">
        <v>1106</v>
      </c>
      <c r="E2446" s="3" t="s">
        <v>1111</v>
      </c>
      <c r="F2446" s="3"/>
      <c r="G2446" s="3"/>
      <c r="H2446" s="3"/>
      <c r="I2446" s="3"/>
      <c r="J2446" s="3" t="s">
        <v>11</v>
      </c>
      <c r="K2446" s="27" t="s">
        <v>1252</v>
      </c>
    </row>
    <row r="2447" ht="18.6" customHeight="1" spans="1:11">
      <c r="A2447" s="3">
        <v>2446</v>
      </c>
      <c r="B2447" s="3" t="s">
        <v>1656</v>
      </c>
      <c r="C2447" s="3" t="s">
        <v>3713</v>
      </c>
      <c r="D2447" s="3" t="s">
        <v>1106</v>
      </c>
      <c r="E2447" s="3" t="s">
        <v>1111</v>
      </c>
      <c r="F2447" s="3"/>
      <c r="G2447" s="3"/>
      <c r="H2447" s="3"/>
      <c r="I2447" s="3" t="s">
        <v>3769</v>
      </c>
      <c r="J2447" s="3" t="s">
        <v>11</v>
      </c>
      <c r="K2447" s="27" t="s">
        <v>1252</v>
      </c>
    </row>
    <row r="2448" ht="18.6" customHeight="1" spans="1:11">
      <c r="A2448" s="3">
        <v>2447</v>
      </c>
      <c r="B2448" s="3" t="s">
        <v>1657</v>
      </c>
      <c r="C2448" s="3" t="s">
        <v>3713</v>
      </c>
      <c r="D2448" s="3" t="s">
        <v>1106</v>
      </c>
      <c r="E2448" s="3" t="s">
        <v>1111</v>
      </c>
      <c r="F2448" s="3"/>
      <c r="G2448" s="3"/>
      <c r="H2448" s="3"/>
      <c r="I2448" s="3"/>
      <c r="J2448" s="3" t="s">
        <v>11</v>
      </c>
      <c r="K2448" s="27" t="s">
        <v>1252</v>
      </c>
    </row>
    <row r="2449" ht="18.6" customHeight="1" spans="1:11">
      <c r="A2449" s="3">
        <v>2448</v>
      </c>
      <c r="B2449" s="3" t="s">
        <v>1658</v>
      </c>
      <c r="C2449" s="3" t="s">
        <v>3713</v>
      </c>
      <c r="D2449" s="3" t="s">
        <v>1106</v>
      </c>
      <c r="E2449" s="3" t="s">
        <v>1111</v>
      </c>
      <c r="F2449" s="3"/>
      <c r="G2449" s="3"/>
      <c r="H2449" s="3"/>
      <c r="I2449" s="3"/>
      <c r="J2449" s="3" t="s">
        <v>11</v>
      </c>
      <c r="K2449" s="27" t="s">
        <v>1252</v>
      </c>
    </row>
    <row r="2450" ht="18.6" customHeight="1" spans="1:11">
      <c r="A2450" s="3">
        <v>2449</v>
      </c>
      <c r="B2450" s="3" t="s">
        <v>1659</v>
      </c>
      <c r="C2450" s="3" t="s">
        <v>3713</v>
      </c>
      <c r="D2450" s="3" t="s">
        <v>1106</v>
      </c>
      <c r="E2450" s="3" t="s">
        <v>1111</v>
      </c>
      <c r="F2450" s="3"/>
      <c r="G2450" s="3"/>
      <c r="H2450" s="3"/>
      <c r="I2450" s="3"/>
      <c r="J2450" s="3" t="s">
        <v>11</v>
      </c>
      <c r="K2450" s="27" t="s">
        <v>1252</v>
      </c>
    </row>
    <row r="2451" ht="18.6" customHeight="1" spans="1:11">
      <c r="A2451" s="3">
        <v>2450</v>
      </c>
      <c r="B2451" s="3" t="s">
        <v>1660</v>
      </c>
      <c r="C2451" s="3" t="s">
        <v>3713</v>
      </c>
      <c r="D2451" s="3" t="s">
        <v>1106</v>
      </c>
      <c r="E2451" s="3" t="s">
        <v>1111</v>
      </c>
      <c r="F2451" s="3"/>
      <c r="G2451" s="3"/>
      <c r="H2451" s="3"/>
      <c r="I2451" s="3"/>
      <c r="J2451" s="3" t="s">
        <v>11</v>
      </c>
      <c r="K2451" s="27" t="s">
        <v>1252</v>
      </c>
    </row>
    <row r="2452" ht="18.6" customHeight="1" spans="1:11">
      <c r="A2452" s="3">
        <v>2451</v>
      </c>
      <c r="B2452" s="3" t="s">
        <v>1661</v>
      </c>
      <c r="C2452" s="3" t="s">
        <v>3713</v>
      </c>
      <c r="D2452" s="3" t="s">
        <v>1106</v>
      </c>
      <c r="E2452" s="3" t="s">
        <v>1111</v>
      </c>
      <c r="F2452" s="3"/>
      <c r="G2452" s="3"/>
      <c r="H2452" s="3"/>
      <c r="I2452" s="3"/>
      <c r="J2452" s="3" t="s">
        <v>11</v>
      </c>
      <c r="K2452" s="27" t="s">
        <v>1252</v>
      </c>
    </row>
    <row r="2453" ht="18.6" customHeight="1" spans="1:11">
      <c r="A2453" s="3">
        <v>2452</v>
      </c>
      <c r="B2453" s="3" t="s">
        <v>1662</v>
      </c>
      <c r="C2453" s="3" t="s">
        <v>3713</v>
      </c>
      <c r="D2453" s="3" t="s">
        <v>1106</v>
      </c>
      <c r="E2453" s="3" t="s">
        <v>1111</v>
      </c>
      <c r="F2453" s="3"/>
      <c r="G2453" s="3"/>
      <c r="H2453" s="3"/>
      <c r="I2453" s="3" t="s">
        <v>3770</v>
      </c>
      <c r="J2453" s="3" t="s">
        <v>11</v>
      </c>
      <c r="K2453" s="27" t="s">
        <v>1252</v>
      </c>
    </row>
    <row r="2454" ht="18.6" customHeight="1" spans="1:11">
      <c r="A2454" s="3">
        <v>2453</v>
      </c>
      <c r="B2454" s="3" t="s">
        <v>1663</v>
      </c>
      <c r="C2454" s="3" t="s">
        <v>3713</v>
      </c>
      <c r="D2454" s="3" t="s">
        <v>1106</v>
      </c>
      <c r="E2454" s="3" t="s">
        <v>1111</v>
      </c>
      <c r="F2454" s="3"/>
      <c r="G2454" s="3"/>
      <c r="H2454" s="3"/>
      <c r="I2454" s="3" t="s">
        <v>3770</v>
      </c>
      <c r="J2454" s="3" t="s">
        <v>11</v>
      </c>
      <c r="K2454" s="27" t="s">
        <v>1252</v>
      </c>
    </row>
    <row r="2455" ht="18.6" customHeight="1" spans="1:11">
      <c r="A2455" s="3">
        <v>2454</v>
      </c>
      <c r="B2455" s="3" t="s">
        <v>1664</v>
      </c>
      <c r="C2455" s="3" t="s">
        <v>3722</v>
      </c>
      <c r="D2455" s="3" t="s">
        <v>1156</v>
      </c>
      <c r="E2455" s="3" t="s">
        <v>1157</v>
      </c>
      <c r="F2455" s="3"/>
      <c r="G2455" s="3"/>
      <c r="H2455" s="3"/>
      <c r="I2455" s="3"/>
      <c r="J2455" s="3" t="s">
        <v>11</v>
      </c>
      <c r="K2455" s="27" t="s">
        <v>1252</v>
      </c>
    </row>
    <row r="2456" ht="18.6" customHeight="1" spans="1:11">
      <c r="A2456" s="3">
        <v>2455</v>
      </c>
      <c r="B2456" s="3" t="s">
        <v>1665</v>
      </c>
      <c r="C2456" s="3" t="s">
        <v>3722</v>
      </c>
      <c r="D2456" s="3" t="s">
        <v>1156</v>
      </c>
      <c r="E2456" s="3" t="s">
        <v>1157</v>
      </c>
      <c r="F2456" s="3"/>
      <c r="G2456" s="3"/>
      <c r="H2456" s="3"/>
      <c r="I2456" s="3"/>
      <c r="J2456" s="3" t="s">
        <v>11</v>
      </c>
      <c r="K2456" s="27" t="s">
        <v>1252</v>
      </c>
    </row>
    <row r="2457" ht="18.6" customHeight="1" spans="1:11">
      <c r="A2457" s="3">
        <v>2456</v>
      </c>
      <c r="B2457" s="3" t="s">
        <v>1666</v>
      </c>
      <c r="C2457" s="3" t="s">
        <v>3722</v>
      </c>
      <c r="D2457" s="3" t="s">
        <v>1156</v>
      </c>
      <c r="E2457" s="3" t="s">
        <v>1157</v>
      </c>
      <c r="F2457" s="3"/>
      <c r="G2457" s="3"/>
      <c r="H2457" s="3"/>
      <c r="I2457" s="3"/>
      <c r="J2457" s="3" t="s">
        <v>11</v>
      </c>
      <c r="K2457" s="27" t="s">
        <v>1252</v>
      </c>
    </row>
    <row r="2458" ht="18.6" customHeight="1" spans="1:11">
      <c r="A2458" s="3">
        <v>2457</v>
      </c>
      <c r="B2458" s="3" t="s">
        <v>1667</v>
      </c>
      <c r="C2458" s="3" t="s">
        <v>3733</v>
      </c>
      <c r="D2458" s="3" t="s">
        <v>1191</v>
      </c>
      <c r="E2458" s="3" t="s">
        <v>1192</v>
      </c>
      <c r="F2458" s="3"/>
      <c r="G2458" s="3"/>
      <c r="H2458" s="3"/>
      <c r="I2458" s="3" t="s">
        <v>3769</v>
      </c>
      <c r="J2458" s="3" t="s">
        <v>11</v>
      </c>
      <c r="K2458" s="27" t="s">
        <v>1252</v>
      </c>
    </row>
    <row r="2459" ht="18.6" customHeight="1" spans="1:11">
      <c r="A2459" s="3">
        <v>2458</v>
      </c>
      <c r="B2459" s="3" t="s">
        <v>1668</v>
      </c>
      <c r="C2459" s="3" t="s">
        <v>3739</v>
      </c>
      <c r="D2459" s="3" t="s">
        <v>1197</v>
      </c>
      <c r="E2459" s="3" t="s">
        <v>1669</v>
      </c>
      <c r="F2459" s="3"/>
      <c r="G2459" s="3"/>
      <c r="H2459" s="3"/>
      <c r="I2459" s="3"/>
      <c r="J2459" s="3" t="s">
        <v>11</v>
      </c>
      <c r="K2459" s="27" t="s">
        <v>1252</v>
      </c>
    </row>
    <row r="2460" ht="18.6" customHeight="1" spans="1:11">
      <c r="A2460" s="3">
        <v>2459</v>
      </c>
      <c r="B2460" s="3" t="s">
        <v>1670</v>
      </c>
      <c r="C2460" s="3" t="s">
        <v>3739</v>
      </c>
      <c r="D2460" s="3" t="s">
        <v>1197</v>
      </c>
      <c r="E2460" s="3" t="s">
        <v>1198</v>
      </c>
      <c r="F2460" s="3"/>
      <c r="G2460" s="3"/>
      <c r="H2460" s="3"/>
      <c r="I2460" s="3" t="s">
        <v>3769</v>
      </c>
      <c r="J2460" s="3" t="s">
        <v>11</v>
      </c>
      <c r="K2460" s="27" t="s">
        <v>1252</v>
      </c>
    </row>
    <row r="2461" ht="18.6" customHeight="1" spans="1:11">
      <c r="A2461" s="3">
        <v>2460</v>
      </c>
      <c r="B2461" s="3" t="s">
        <v>1671</v>
      </c>
      <c r="C2461" s="3" t="s">
        <v>3739</v>
      </c>
      <c r="D2461" s="3" t="s">
        <v>1197</v>
      </c>
      <c r="E2461" s="3" t="s">
        <v>1198</v>
      </c>
      <c r="F2461" s="3"/>
      <c r="G2461" s="3"/>
      <c r="H2461" s="3"/>
      <c r="I2461" s="3"/>
      <c r="J2461" s="3" t="s">
        <v>11</v>
      </c>
      <c r="K2461" s="27" t="s">
        <v>1252</v>
      </c>
    </row>
    <row r="2462" ht="18.6" customHeight="1" spans="1:11">
      <c r="A2462" s="3">
        <v>2461</v>
      </c>
      <c r="B2462" s="3" t="s">
        <v>1672</v>
      </c>
      <c r="C2462" s="3" t="s">
        <v>3739</v>
      </c>
      <c r="D2462" s="3" t="s">
        <v>1197</v>
      </c>
      <c r="E2462" s="3" t="s">
        <v>1198</v>
      </c>
      <c r="F2462" s="3"/>
      <c r="G2462" s="3"/>
      <c r="H2462" s="3"/>
      <c r="I2462" s="3"/>
      <c r="J2462" s="3" t="s">
        <v>11</v>
      </c>
      <c r="K2462" s="27" t="s">
        <v>1252</v>
      </c>
    </row>
    <row r="2463" ht="18.6" customHeight="1" spans="1:11">
      <c r="A2463" s="3">
        <v>2462</v>
      </c>
      <c r="B2463" s="3" t="s">
        <v>1673</v>
      </c>
      <c r="C2463" s="3" t="s">
        <v>3751</v>
      </c>
      <c r="D2463" s="3" t="s">
        <v>1206</v>
      </c>
      <c r="E2463" s="3" t="s">
        <v>1207</v>
      </c>
      <c r="F2463" s="3"/>
      <c r="G2463" s="3"/>
      <c r="H2463" s="3"/>
      <c r="I2463" s="3"/>
      <c r="J2463" s="3" t="s">
        <v>11</v>
      </c>
      <c r="K2463" s="27" t="s">
        <v>1252</v>
      </c>
    </row>
    <row r="2464" ht="18.6" customHeight="1" spans="1:11">
      <c r="A2464" s="3">
        <v>2463</v>
      </c>
      <c r="B2464" s="3" t="s">
        <v>1674</v>
      </c>
      <c r="C2464" s="3" t="s">
        <v>3751</v>
      </c>
      <c r="D2464" s="3" t="s">
        <v>1206</v>
      </c>
      <c r="E2464" s="3" t="s">
        <v>1207</v>
      </c>
      <c r="F2464" s="3"/>
      <c r="G2464" s="3"/>
      <c r="H2464" s="3"/>
      <c r="I2464" s="3"/>
      <c r="J2464" s="3" t="s">
        <v>11</v>
      </c>
      <c r="K2464" s="27" t="s">
        <v>1252</v>
      </c>
    </row>
    <row r="2465" ht="18.6" customHeight="1" spans="1:11">
      <c r="A2465" s="3">
        <v>2464</v>
      </c>
      <c r="B2465" s="3" t="s">
        <v>1675</v>
      </c>
      <c r="C2465" s="3" t="s">
        <v>3542</v>
      </c>
      <c r="D2465" s="3" t="s">
        <v>692</v>
      </c>
      <c r="E2465" s="3" t="s">
        <v>693</v>
      </c>
      <c r="F2465" s="3"/>
      <c r="G2465" s="3"/>
      <c r="H2465" s="3"/>
      <c r="I2465" s="3"/>
      <c r="J2465" s="3" t="s">
        <v>11</v>
      </c>
      <c r="K2465" s="27" t="s">
        <v>1252</v>
      </c>
    </row>
    <row r="2466" ht="18.6" customHeight="1" spans="1:11">
      <c r="A2466" s="3">
        <v>2465</v>
      </c>
      <c r="B2466" s="3" t="s">
        <v>2888</v>
      </c>
      <c r="C2466" s="3" t="s">
        <v>3320</v>
      </c>
      <c r="D2466" s="3" t="s">
        <v>10</v>
      </c>
      <c r="E2466" s="3" t="s">
        <v>10</v>
      </c>
      <c r="F2466" s="3"/>
      <c r="G2466" s="3"/>
      <c r="H2466" s="3"/>
      <c r="I2466" s="3"/>
      <c r="J2466" s="3" t="s">
        <v>1700</v>
      </c>
      <c r="K2466" s="27" t="s">
        <v>1252</v>
      </c>
    </row>
    <row r="2467" ht="18.6" customHeight="1" spans="1:11">
      <c r="A2467" s="3">
        <v>2466</v>
      </c>
      <c r="B2467" s="3" t="s">
        <v>2889</v>
      </c>
      <c r="C2467" s="3" t="s">
        <v>3320</v>
      </c>
      <c r="D2467" s="3" t="s">
        <v>10</v>
      </c>
      <c r="E2467" s="3" t="s">
        <v>10</v>
      </c>
      <c r="F2467" s="3"/>
      <c r="G2467" s="3"/>
      <c r="H2467" s="3"/>
      <c r="I2467" s="3"/>
      <c r="J2467" s="3" t="s">
        <v>1700</v>
      </c>
      <c r="K2467" s="27" t="s">
        <v>1252</v>
      </c>
    </row>
    <row r="2468" ht="18.6" customHeight="1" spans="1:11">
      <c r="A2468" s="3">
        <v>2467</v>
      </c>
      <c r="B2468" s="3" t="s">
        <v>2890</v>
      </c>
      <c r="C2468" s="3" t="s">
        <v>3320</v>
      </c>
      <c r="D2468" s="3" t="s">
        <v>10</v>
      </c>
      <c r="E2468" s="3" t="s">
        <v>10</v>
      </c>
      <c r="F2468" s="3"/>
      <c r="G2468" s="3"/>
      <c r="H2468" s="3"/>
      <c r="I2468" s="3"/>
      <c r="J2468" s="3" t="s">
        <v>1700</v>
      </c>
      <c r="K2468" s="27" t="s">
        <v>1252</v>
      </c>
    </row>
    <row r="2469" ht="18.6" customHeight="1" spans="1:11">
      <c r="A2469" s="3">
        <v>2468</v>
      </c>
      <c r="B2469" s="3" t="s">
        <v>2891</v>
      </c>
      <c r="C2469" s="3" t="s">
        <v>3320</v>
      </c>
      <c r="D2469" s="3" t="s">
        <v>10</v>
      </c>
      <c r="E2469" s="3" t="s">
        <v>10</v>
      </c>
      <c r="F2469" s="3"/>
      <c r="G2469" s="3"/>
      <c r="H2469" s="3"/>
      <c r="I2469" s="3"/>
      <c r="J2469" s="3" t="s">
        <v>1700</v>
      </c>
      <c r="K2469" s="27" t="s">
        <v>1252</v>
      </c>
    </row>
    <row r="2470" ht="18.6" customHeight="1" spans="1:11">
      <c r="A2470" s="3">
        <v>2469</v>
      </c>
      <c r="B2470" s="3" t="s">
        <v>2892</v>
      </c>
      <c r="C2470" s="3" t="s">
        <v>3320</v>
      </c>
      <c r="D2470" s="3" t="s">
        <v>10</v>
      </c>
      <c r="E2470" s="3" t="s">
        <v>10</v>
      </c>
      <c r="F2470" s="3"/>
      <c r="G2470" s="3"/>
      <c r="H2470" s="3"/>
      <c r="I2470" s="3"/>
      <c r="J2470" s="3" t="s">
        <v>1700</v>
      </c>
      <c r="K2470" s="27" t="s">
        <v>1252</v>
      </c>
    </row>
    <row r="2471" ht="18.6" customHeight="1" spans="1:11">
      <c r="A2471" s="3">
        <v>2470</v>
      </c>
      <c r="B2471" s="3" t="s">
        <v>2893</v>
      </c>
      <c r="C2471" s="3" t="s">
        <v>3320</v>
      </c>
      <c r="D2471" s="3" t="s">
        <v>10</v>
      </c>
      <c r="E2471" s="3" t="s">
        <v>10</v>
      </c>
      <c r="F2471" s="3"/>
      <c r="G2471" s="3"/>
      <c r="H2471" s="3"/>
      <c r="I2471" s="3" t="s">
        <v>3769</v>
      </c>
      <c r="J2471" s="3" t="s">
        <v>1700</v>
      </c>
      <c r="K2471" s="27" t="s">
        <v>1252</v>
      </c>
    </row>
    <row r="2472" ht="18.6" customHeight="1" spans="1:11">
      <c r="A2472" s="3">
        <v>2471</v>
      </c>
      <c r="B2472" s="3" t="s">
        <v>2894</v>
      </c>
      <c r="C2472" s="3" t="s">
        <v>3320</v>
      </c>
      <c r="D2472" s="3" t="s">
        <v>10</v>
      </c>
      <c r="E2472" s="3" t="s">
        <v>10</v>
      </c>
      <c r="F2472" s="3"/>
      <c r="G2472" s="3"/>
      <c r="H2472" s="3"/>
      <c r="I2472" s="3"/>
      <c r="J2472" s="3" t="s">
        <v>1700</v>
      </c>
      <c r="K2472" s="27" t="s">
        <v>1252</v>
      </c>
    </row>
    <row r="2473" ht="18.6" customHeight="1" spans="1:11">
      <c r="A2473" s="3">
        <v>2472</v>
      </c>
      <c r="B2473" s="3" t="s">
        <v>2895</v>
      </c>
      <c r="C2473" s="3" t="s">
        <v>3320</v>
      </c>
      <c r="D2473" s="3" t="s">
        <v>10</v>
      </c>
      <c r="E2473" s="3" t="s">
        <v>10</v>
      </c>
      <c r="F2473" s="3"/>
      <c r="G2473" s="3"/>
      <c r="H2473" s="3"/>
      <c r="I2473" s="3"/>
      <c r="J2473" s="3" t="s">
        <v>1700</v>
      </c>
      <c r="K2473" s="27" t="s">
        <v>1252</v>
      </c>
    </row>
    <row r="2474" ht="18.6" customHeight="1" spans="1:11">
      <c r="A2474" s="3">
        <v>2473</v>
      </c>
      <c r="B2474" s="3" t="s">
        <v>2896</v>
      </c>
      <c r="C2474" s="3" t="s">
        <v>3320</v>
      </c>
      <c r="D2474" s="3" t="s">
        <v>10</v>
      </c>
      <c r="E2474" s="3" t="s">
        <v>10</v>
      </c>
      <c r="F2474" s="3"/>
      <c r="G2474" s="3"/>
      <c r="H2474" s="3"/>
      <c r="I2474" s="3"/>
      <c r="J2474" s="3" t="s">
        <v>1700</v>
      </c>
      <c r="K2474" s="27" t="s">
        <v>1252</v>
      </c>
    </row>
    <row r="2475" ht="18.6" customHeight="1" spans="1:11">
      <c r="A2475" s="3">
        <v>2474</v>
      </c>
      <c r="B2475" s="3" t="s">
        <v>2897</v>
      </c>
      <c r="C2475" s="3" t="s">
        <v>3328</v>
      </c>
      <c r="D2475" s="3" t="s">
        <v>76</v>
      </c>
      <c r="E2475" s="3" t="s">
        <v>76</v>
      </c>
      <c r="F2475" s="3"/>
      <c r="G2475" s="3"/>
      <c r="H2475" s="3"/>
      <c r="I2475" s="3"/>
      <c r="J2475" s="3" t="s">
        <v>1700</v>
      </c>
      <c r="K2475" s="27" t="s">
        <v>1252</v>
      </c>
    </row>
    <row r="2476" ht="18.6" customHeight="1" spans="1:11">
      <c r="A2476" s="3">
        <v>2475</v>
      </c>
      <c r="B2476" s="3" t="s">
        <v>2898</v>
      </c>
      <c r="C2476" s="3" t="s">
        <v>3346</v>
      </c>
      <c r="D2476" s="3" t="s">
        <v>98</v>
      </c>
      <c r="E2476" s="3" t="s">
        <v>103</v>
      </c>
      <c r="F2476" s="3"/>
      <c r="G2476" s="3"/>
      <c r="H2476" s="3"/>
      <c r="I2476" s="3" t="s">
        <v>3770</v>
      </c>
      <c r="J2476" s="3" t="s">
        <v>1700</v>
      </c>
      <c r="K2476" s="27" t="s">
        <v>1252</v>
      </c>
    </row>
    <row r="2477" ht="18.6" customHeight="1" spans="1:11">
      <c r="A2477" s="3">
        <v>2476</v>
      </c>
      <c r="B2477" s="3" t="s">
        <v>2899</v>
      </c>
      <c r="C2477" s="3" t="s">
        <v>3346</v>
      </c>
      <c r="D2477" s="3" t="s">
        <v>98</v>
      </c>
      <c r="E2477" s="3" t="s">
        <v>103</v>
      </c>
      <c r="F2477" s="3"/>
      <c r="G2477" s="3"/>
      <c r="H2477" s="3"/>
      <c r="I2477" s="3"/>
      <c r="J2477" s="3" t="s">
        <v>1700</v>
      </c>
      <c r="K2477" s="27" t="s">
        <v>1252</v>
      </c>
    </row>
    <row r="2478" ht="18.6" customHeight="1" spans="1:11">
      <c r="A2478" s="3">
        <v>2477</v>
      </c>
      <c r="B2478" s="3" t="s">
        <v>2900</v>
      </c>
      <c r="C2478" s="3" t="s">
        <v>3346</v>
      </c>
      <c r="D2478" s="3" t="s">
        <v>98</v>
      </c>
      <c r="E2478" s="3" t="s">
        <v>103</v>
      </c>
      <c r="F2478" s="3"/>
      <c r="G2478" s="3"/>
      <c r="H2478" s="3"/>
      <c r="I2478" s="3" t="s">
        <v>3771</v>
      </c>
      <c r="J2478" s="3" t="s">
        <v>1700</v>
      </c>
      <c r="K2478" s="27" t="s">
        <v>1252</v>
      </c>
    </row>
    <row r="2479" ht="18.6" customHeight="1" spans="1:11">
      <c r="A2479" s="3">
        <v>2478</v>
      </c>
      <c r="B2479" s="3" t="s">
        <v>2901</v>
      </c>
      <c r="C2479" s="3" t="s">
        <v>3346</v>
      </c>
      <c r="D2479" s="3" t="s">
        <v>98</v>
      </c>
      <c r="E2479" s="3" t="s">
        <v>103</v>
      </c>
      <c r="F2479" s="3"/>
      <c r="G2479" s="3"/>
      <c r="H2479" s="3"/>
      <c r="I2479" s="3"/>
      <c r="J2479" s="3" t="s">
        <v>1700</v>
      </c>
      <c r="K2479" s="27" t="s">
        <v>1252</v>
      </c>
    </row>
    <row r="2480" ht="18.6" customHeight="1" spans="1:11">
      <c r="A2480" s="3">
        <v>2479</v>
      </c>
      <c r="B2480" s="3" t="s">
        <v>2902</v>
      </c>
      <c r="C2480" s="3" t="s">
        <v>3346</v>
      </c>
      <c r="D2480" s="3" t="s">
        <v>98</v>
      </c>
      <c r="E2480" s="3" t="s">
        <v>103</v>
      </c>
      <c r="F2480" s="3"/>
      <c r="G2480" s="3"/>
      <c r="H2480" s="3"/>
      <c r="I2480" s="3"/>
      <c r="J2480" s="3" t="s">
        <v>1700</v>
      </c>
      <c r="K2480" s="27" t="s">
        <v>1252</v>
      </c>
    </row>
    <row r="2481" ht="18.6" customHeight="1" spans="1:11">
      <c r="A2481" s="3">
        <v>2480</v>
      </c>
      <c r="B2481" s="3" t="s">
        <v>2903</v>
      </c>
      <c r="C2481" s="3" t="s">
        <v>3346</v>
      </c>
      <c r="D2481" s="3" t="s">
        <v>98</v>
      </c>
      <c r="E2481" s="3" t="s">
        <v>103</v>
      </c>
      <c r="F2481" s="3"/>
      <c r="G2481" s="3"/>
      <c r="H2481" s="3"/>
      <c r="I2481" s="3" t="s">
        <v>3770</v>
      </c>
      <c r="J2481" s="3" t="s">
        <v>1700</v>
      </c>
      <c r="K2481" s="27" t="s">
        <v>1252</v>
      </c>
    </row>
    <row r="2482" ht="18.6" customHeight="1" spans="1:11">
      <c r="A2482" s="3">
        <v>2481</v>
      </c>
      <c r="B2482" s="3" t="s">
        <v>2904</v>
      </c>
      <c r="C2482" s="3" t="s">
        <v>3346</v>
      </c>
      <c r="D2482" s="3" t="s">
        <v>98</v>
      </c>
      <c r="E2482" s="3" t="s">
        <v>103</v>
      </c>
      <c r="F2482" s="3"/>
      <c r="G2482" s="3"/>
      <c r="H2482" s="3"/>
      <c r="I2482" s="3" t="s">
        <v>3775</v>
      </c>
      <c r="J2482" s="3" t="s">
        <v>1700</v>
      </c>
      <c r="K2482" s="27" t="s">
        <v>1252</v>
      </c>
    </row>
    <row r="2483" ht="18.6" customHeight="1" spans="1:11">
      <c r="A2483" s="3">
        <v>2482</v>
      </c>
      <c r="B2483" s="3" t="s">
        <v>2905</v>
      </c>
      <c r="C2483" s="3" t="s">
        <v>3346</v>
      </c>
      <c r="D2483" s="3" t="s">
        <v>98</v>
      </c>
      <c r="E2483" s="3" t="s">
        <v>103</v>
      </c>
      <c r="F2483" s="3"/>
      <c r="G2483" s="3"/>
      <c r="H2483" s="3"/>
      <c r="I2483" s="3" t="s">
        <v>3769</v>
      </c>
      <c r="J2483" s="3" t="s">
        <v>1700</v>
      </c>
      <c r="K2483" s="27" t="s">
        <v>1252</v>
      </c>
    </row>
    <row r="2484" ht="18.6" customHeight="1" spans="1:11">
      <c r="A2484" s="3">
        <v>2483</v>
      </c>
      <c r="B2484" s="3" t="s">
        <v>2906</v>
      </c>
      <c r="C2484" s="3" t="s">
        <v>3346</v>
      </c>
      <c r="D2484" s="3" t="s">
        <v>98</v>
      </c>
      <c r="E2484" s="3" t="s">
        <v>103</v>
      </c>
      <c r="F2484" s="3"/>
      <c r="G2484" s="3"/>
      <c r="H2484" s="3"/>
      <c r="I2484" s="3"/>
      <c r="J2484" s="3" t="s">
        <v>1700</v>
      </c>
      <c r="K2484" s="27" t="s">
        <v>1252</v>
      </c>
    </row>
    <row r="2485" ht="18.6" customHeight="1" spans="1:11">
      <c r="A2485" s="3">
        <v>2484</v>
      </c>
      <c r="B2485" s="3" t="s">
        <v>2907</v>
      </c>
      <c r="C2485" s="3" t="s">
        <v>3346</v>
      </c>
      <c r="D2485" s="3" t="s">
        <v>98</v>
      </c>
      <c r="E2485" s="3" t="s">
        <v>103</v>
      </c>
      <c r="F2485" s="3"/>
      <c r="G2485" s="3"/>
      <c r="H2485" s="3"/>
      <c r="I2485" s="3"/>
      <c r="J2485" s="3" t="s">
        <v>1700</v>
      </c>
      <c r="K2485" s="27" t="s">
        <v>1252</v>
      </c>
    </row>
    <row r="2486" ht="18.6" customHeight="1" spans="1:11">
      <c r="A2486" s="3">
        <v>2485</v>
      </c>
      <c r="B2486" s="3" t="s">
        <v>2908</v>
      </c>
      <c r="C2486" s="3" t="s">
        <v>3346</v>
      </c>
      <c r="D2486" s="3" t="s">
        <v>98</v>
      </c>
      <c r="E2486" s="3" t="s">
        <v>111</v>
      </c>
      <c r="F2486" s="3"/>
      <c r="G2486" s="3"/>
      <c r="H2486" s="3"/>
      <c r="I2486" s="3"/>
      <c r="J2486" s="3" t="s">
        <v>1700</v>
      </c>
      <c r="K2486" s="27" t="s">
        <v>1252</v>
      </c>
    </row>
    <row r="2487" ht="18.6" customHeight="1" spans="1:11">
      <c r="A2487" s="3">
        <v>2486</v>
      </c>
      <c r="B2487" s="3" t="s">
        <v>2909</v>
      </c>
      <c r="C2487" s="3" t="s">
        <v>3346</v>
      </c>
      <c r="D2487" s="3" t="s">
        <v>98</v>
      </c>
      <c r="E2487" s="3" t="s">
        <v>106</v>
      </c>
      <c r="F2487" s="3"/>
      <c r="G2487" s="3"/>
      <c r="H2487" s="3"/>
      <c r="I2487" s="3"/>
      <c r="J2487" s="3" t="s">
        <v>1700</v>
      </c>
      <c r="K2487" s="27" t="s">
        <v>1252</v>
      </c>
    </row>
    <row r="2488" ht="18.6" customHeight="1" spans="1:11">
      <c r="A2488" s="3">
        <v>2487</v>
      </c>
      <c r="B2488" s="3" t="s">
        <v>2910</v>
      </c>
      <c r="C2488" s="3" t="s">
        <v>3346</v>
      </c>
      <c r="D2488" s="3" t="s">
        <v>98</v>
      </c>
      <c r="E2488" s="3" t="s">
        <v>106</v>
      </c>
      <c r="F2488" s="3"/>
      <c r="G2488" s="3"/>
      <c r="H2488" s="3"/>
      <c r="I2488" s="3"/>
      <c r="J2488" s="3" t="s">
        <v>1700</v>
      </c>
      <c r="K2488" s="27" t="s">
        <v>1252</v>
      </c>
    </row>
    <row r="2489" ht="18.6" customHeight="1" spans="1:11">
      <c r="A2489" s="3">
        <v>2488</v>
      </c>
      <c r="B2489" s="3" t="s">
        <v>2911</v>
      </c>
      <c r="C2489" s="3" t="s">
        <v>3346</v>
      </c>
      <c r="D2489" s="3" t="s">
        <v>98</v>
      </c>
      <c r="E2489" s="3" t="s">
        <v>128</v>
      </c>
      <c r="F2489" s="3"/>
      <c r="G2489" s="3"/>
      <c r="H2489" s="3"/>
      <c r="I2489" s="3"/>
      <c r="J2489" s="3" t="s">
        <v>1700</v>
      </c>
      <c r="K2489" s="27" t="s">
        <v>1252</v>
      </c>
    </row>
    <row r="2490" ht="18.6" customHeight="1" spans="1:11">
      <c r="A2490" s="3">
        <v>2489</v>
      </c>
      <c r="B2490" s="3" t="s">
        <v>2912</v>
      </c>
      <c r="C2490" s="3" t="s">
        <v>3355</v>
      </c>
      <c r="D2490" s="3" t="s">
        <v>151</v>
      </c>
      <c r="E2490" s="3" t="s">
        <v>181</v>
      </c>
      <c r="F2490" s="3"/>
      <c r="G2490" s="3"/>
      <c r="H2490" s="3"/>
      <c r="I2490" s="3"/>
      <c r="J2490" s="3" t="s">
        <v>1700</v>
      </c>
      <c r="K2490" s="27" t="s">
        <v>1252</v>
      </c>
    </row>
    <row r="2491" ht="18.6" customHeight="1" spans="1:11">
      <c r="A2491" s="3">
        <v>2490</v>
      </c>
      <c r="B2491" s="3" t="s">
        <v>2913</v>
      </c>
      <c r="C2491" s="3" t="s">
        <v>3355</v>
      </c>
      <c r="D2491" s="3" t="s">
        <v>151</v>
      </c>
      <c r="E2491" s="3" t="s">
        <v>157</v>
      </c>
      <c r="F2491" s="3"/>
      <c r="G2491" s="3"/>
      <c r="H2491" s="3"/>
      <c r="I2491" s="3"/>
      <c r="J2491" s="3" t="s">
        <v>1700</v>
      </c>
      <c r="K2491" s="27" t="s">
        <v>1252</v>
      </c>
    </row>
    <row r="2492" ht="18.6" customHeight="1" spans="1:11">
      <c r="A2492" s="3">
        <v>2491</v>
      </c>
      <c r="B2492" s="3" t="s">
        <v>2914</v>
      </c>
      <c r="C2492" s="3" t="s">
        <v>3355</v>
      </c>
      <c r="D2492" s="3" t="s">
        <v>151</v>
      </c>
      <c r="E2492" s="3" t="s">
        <v>157</v>
      </c>
      <c r="F2492" s="3"/>
      <c r="G2492" s="3"/>
      <c r="H2492" s="3"/>
      <c r="I2492" s="3"/>
      <c r="J2492" s="3" t="s">
        <v>1700</v>
      </c>
      <c r="K2492" s="27" t="s">
        <v>1252</v>
      </c>
    </row>
    <row r="2493" ht="18.6" customHeight="1" spans="1:11">
      <c r="A2493" s="3">
        <v>2492</v>
      </c>
      <c r="B2493" s="3" t="s">
        <v>2915</v>
      </c>
      <c r="C2493" s="3" t="s">
        <v>3355</v>
      </c>
      <c r="D2493" s="3" t="s">
        <v>151</v>
      </c>
      <c r="E2493" s="3" t="s">
        <v>152</v>
      </c>
      <c r="F2493" s="3"/>
      <c r="G2493" s="3"/>
      <c r="H2493" s="3"/>
      <c r="I2493" s="3"/>
      <c r="J2493" s="3" t="s">
        <v>1700</v>
      </c>
      <c r="K2493" s="27" t="s">
        <v>1252</v>
      </c>
    </row>
    <row r="2494" ht="18.6" customHeight="1" spans="1:11">
      <c r="A2494" s="3">
        <v>2493</v>
      </c>
      <c r="B2494" s="3" t="s">
        <v>2916</v>
      </c>
      <c r="C2494" s="3" t="s">
        <v>3369</v>
      </c>
      <c r="D2494" s="3" t="s">
        <v>191</v>
      </c>
      <c r="E2494" s="3" t="s">
        <v>192</v>
      </c>
      <c r="F2494" s="3"/>
      <c r="G2494" s="3"/>
      <c r="H2494" s="3"/>
      <c r="I2494" s="3"/>
      <c r="J2494" s="3" t="s">
        <v>1700</v>
      </c>
      <c r="K2494" s="27" t="s">
        <v>1252</v>
      </c>
    </row>
    <row r="2495" ht="18.6" customHeight="1" spans="1:11">
      <c r="A2495" s="3">
        <v>2494</v>
      </c>
      <c r="B2495" s="3" t="s">
        <v>2917</v>
      </c>
      <c r="C2495" s="3" t="s">
        <v>3369</v>
      </c>
      <c r="D2495" s="3" t="s">
        <v>191</v>
      </c>
      <c r="E2495" s="3" t="s">
        <v>192</v>
      </c>
      <c r="F2495" s="3"/>
      <c r="G2495" s="3"/>
      <c r="H2495" s="3"/>
      <c r="I2495" s="3"/>
      <c r="J2495" s="3" t="s">
        <v>1700</v>
      </c>
      <c r="K2495" s="27" t="s">
        <v>1252</v>
      </c>
    </row>
    <row r="2496" ht="18.6" customHeight="1" spans="1:11">
      <c r="A2496" s="3">
        <v>2495</v>
      </c>
      <c r="B2496" s="3" t="s">
        <v>2918</v>
      </c>
      <c r="C2496" s="3" t="s">
        <v>3369</v>
      </c>
      <c r="D2496" s="3" t="s">
        <v>191</v>
      </c>
      <c r="E2496" s="3" t="s">
        <v>192</v>
      </c>
      <c r="F2496" s="3"/>
      <c r="G2496" s="3"/>
      <c r="H2496" s="3"/>
      <c r="I2496" s="3"/>
      <c r="J2496" s="3" t="s">
        <v>1700</v>
      </c>
      <c r="K2496" s="27" t="s">
        <v>1252</v>
      </c>
    </row>
    <row r="2497" ht="18.6" customHeight="1" spans="1:11">
      <c r="A2497" s="3">
        <v>2496</v>
      </c>
      <c r="B2497" s="3" t="s">
        <v>2919</v>
      </c>
      <c r="C2497" s="3" t="s">
        <v>3369</v>
      </c>
      <c r="D2497" s="3" t="s">
        <v>191</v>
      </c>
      <c r="E2497" s="3" t="s">
        <v>202</v>
      </c>
      <c r="F2497" s="3"/>
      <c r="G2497" s="3"/>
      <c r="H2497" s="3"/>
      <c r="I2497" s="3"/>
      <c r="J2497" s="3" t="s">
        <v>1700</v>
      </c>
      <c r="K2497" s="27" t="s">
        <v>1252</v>
      </c>
    </row>
    <row r="2498" ht="18.6" customHeight="1" spans="1:11">
      <c r="A2498" s="3">
        <v>2497</v>
      </c>
      <c r="B2498" s="3" t="s">
        <v>2920</v>
      </c>
      <c r="C2498" s="3" t="s">
        <v>3369</v>
      </c>
      <c r="D2498" s="3" t="s">
        <v>191</v>
      </c>
      <c r="E2498" s="3" t="s">
        <v>192</v>
      </c>
      <c r="F2498" s="3"/>
      <c r="G2498" s="3"/>
      <c r="H2498" s="3"/>
      <c r="I2498" s="3"/>
      <c r="J2498" s="3" t="s">
        <v>1700</v>
      </c>
      <c r="K2498" s="27" t="s">
        <v>1252</v>
      </c>
    </row>
    <row r="2499" ht="18.6" customHeight="1" spans="1:11">
      <c r="A2499" s="3">
        <v>2498</v>
      </c>
      <c r="B2499" s="3" t="s">
        <v>2921</v>
      </c>
      <c r="C2499" s="3" t="s">
        <v>3369</v>
      </c>
      <c r="D2499" s="3" t="s">
        <v>191</v>
      </c>
      <c r="E2499" s="3" t="s">
        <v>192</v>
      </c>
      <c r="F2499" s="3"/>
      <c r="G2499" s="3"/>
      <c r="H2499" s="3"/>
      <c r="I2499" s="3"/>
      <c r="J2499" s="3" t="s">
        <v>1700</v>
      </c>
      <c r="K2499" s="27" t="s">
        <v>1252</v>
      </c>
    </row>
    <row r="2500" ht="18.6" customHeight="1" spans="1:11">
      <c r="A2500" s="3">
        <v>2499</v>
      </c>
      <c r="B2500" s="3" t="s">
        <v>2922</v>
      </c>
      <c r="C2500" s="3" t="s">
        <v>3369</v>
      </c>
      <c r="D2500" s="3" t="s">
        <v>191</v>
      </c>
      <c r="E2500" s="3" t="s">
        <v>192</v>
      </c>
      <c r="F2500" s="3"/>
      <c r="G2500" s="3"/>
      <c r="H2500" s="3"/>
      <c r="I2500" s="3"/>
      <c r="J2500" s="3" t="s">
        <v>1700</v>
      </c>
      <c r="K2500" s="27" t="s">
        <v>1252</v>
      </c>
    </row>
    <row r="2501" ht="18.6" customHeight="1" spans="1:11">
      <c r="A2501" s="3">
        <v>2500</v>
      </c>
      <c r="B2501" s="3" t="s">
        <v>2923</v>
      </c>
      <c r="C2501" s="3" t="s">
        <v>3369</v>
      </c>
      <c r="D2501" s="3" t="s">
        <v>191</v>
      </c>
      <c r="E2501" s="3" t="s">
        <v>209</v>
      </c>
      <c r="F2501" s="3"/>
      <c r="G2501" s="3"/>
      <c r="H2501" s="3"/>
      <c r="I2501" s="3"/>
      <c r="J2501" s="3" t="s">
        <v>1700</v>
      </c>
      <c r="K2501" s="27" t="s">
        <v>1252</v>
      </c>
    </row>
    <row r="2502" ht="18.6" customHeight="1" spans="1:11">
      <c r="A2502" s="3">
        <v>2501</v>
      </c>
      <c r="B2502" s="3" t="s">
        <v>2924</v>
      </c>
      <c r="C2502" s="3" t="s">
        <v>3383</v>
      </c>
      <c r="D2502" s="3" t="s">
        <v>220</v>
      </c>
      <c r="E2502" s="3" t="s">
        <v>223</v>
      </c>
      <c r="F2502" s="3"/>
      <c r="G2502" s="3"/>
      <c r="H2502" s="3"/>
      <c r="I2502" s="3"/>
      <c r="J2502" s="3" t="s">
        <v>1700</v>
      </c>
      <c r="K2502" s="27" t="s">
        <v>1252</v>
      </c>
    </row>
    <row r="2503" ht="18.6" customHeight="1" spans="1:11">
      <c r="A2503" s="3">
        <v>2502</v>
      </c>
      <c r="B2503" s="3" t="s">
        <v>2925</v>
      </c>
      <c r="C2503" s="3" t="s">
        <v>3383</v>
      </c>
      <c r="D2503" s="3" t="s">
        <v>220</v>
      </c>
      <c r="E2503" s="3" t="s">
        <v>221</v>
      </c>
      <c r="F2503" s="3"/>
      <c r="G2503" s="3"/>
      <c r="H2503" s="3"/>
      <c r="I2503" s="3"/>
      <c r="J2503" s="3" t="s">
        <v>1700</v>
      </c>
      <c r="K2503" s="27" t="s">
        <v>1252</v>
      </c>
    </row>
    <row r="2504" ht="18.6" customHeight="1" spans="1:11">
      <c r="A2504" s="3">
        <v>2503</v>
      </c>
      <c r="B2504" s="3" t="s">
        <v>2926</v>
      </c>
      <c r="C2504" s="3" t="s">
        <v>3383</v>
      </c>
      <c r="D2504" s="3" t="s">
        <v>220</v>
      </c>
      <c r="E2504" s="3" t="s">
        <v>223</v>
      </c>
      <c r="F2504" s="3"/>
      <c r="G2504" s="3"/>
      <c r="H2504" s="3"/>
      <c r="I2504" s="3"/>
      <c r="J2504" s="3" t="s">
        <v>1700</v>
      </c>
      <c r="K2504" s="27" t="s">
        <v>1252</v>
      </c>
    </row>
    <row r="2505" ht="18.6" customHeight="1" spans="1:11">
      <c r="A2505" s="3">
        <v>2504</v>
      </c>
      <c r="B2505" s="3" t="s">
        <v>2927</v>
      </c>
      <c r="C2505" s="3" t="s">
        <v>3383</v>
      </c>
      <c r="D2505" s="3" t="s">
        <v>220</v>
      </c>
      <c r="E2505" s="3" t="s">
        <v>223</v>
      </c>
      <c r="F2505" s="3"/>
      <c r="G2505" s="3"/>
      <c r="H2505" s="3"/>
      <c r="I2505" s="3"/>
      <c r="J2505" s="3" t="s">
        <v>1700</v>
      </c>
      <c r="K2505" s="27" t="s">
        <v>1252</v>
      </c>
    </row>
    <row r="2506" ht="18.6" customHeight="1" spans="1:11">
      <c r="A2506" s="3">
        <v>2505</v>
      </c>
      <c r="B2506" s="3" t="s">
        <v>2928</v>
      </c>
      <c r="C2506" s="3" t="s">
        <v>3383</v>
      </c>
      <c r="D2506" s="3" t="s">
        <v>220</v>
      </c>
      <c r="E2506" s="3" t="s">
        <v>223</v>
      </c>
      <c r="F2506" s="3"/>
      <c r="G2506" s="3"/>
      <c r="H2506" s="3"/>
      <c r="I2506" s="3"/>
      <c r="J2506" s="3" t="s">
        <v>1700</v>
      </c>
      <c r="K2506" s="27" t="s">
        <v>1252</v>
      </c>
    </row>
    <row r="2507" ht="18.6" customHeight="1" spans="1:11">
      <c r="A2507" s="3">
        <v>2506</v>
      </c>
      <c r="B2507" s="3" t="s">
        <v>2929</v>
      </c>
      <c r="C2507" s="3" t="s">
        <v>3383</v>
      </c>
      <c r="D2507" s="3" t="s">
        <v>220</v>
      </c>
      <c r="E2507" s="3" t="s">
        <v>223</v>
      </c>
      <c r="F2507" s="3"/>
      <c r="G2507" s="3"/>
      <c r="H2507" s="3"/>
      <c r="I2507" s="3"/>
      <c r="J2507" s="3" t="s">
        <v>1700</v>
      </c>
      <c r="K2507" s="27" t="s">
        <v>1252</v>
      </c>
    </row>
    <row r="2508" ht="18.6" customHeight="1" spans="1:11">
      <c r="A2508" s="3">
        <v>2507</v>
      </c>
      <c r="B2508" s="3" t="s">
        <v>2930</v>
      </c>
      <c r="C2508" s="3" t="s">
        <v>3383</v>
      </c>
      <c r="D2508" s="3" t="s">
        <v>220</v>
      </c>
      <c r="E2508" s="3" t="s">
        <v>223</v>
      </c>
      <c r="F2508" s="3"/>
      <c r="G2508" s="3"/>
      <c r="H2508" s="3"/>
      <c r="I2508" s="3"/>
      <c r="J2508" s="3" t="s">
        <v>1700</v>
      </c>
      <c r="K2508" s="27" t="s">
        <v>1252</v>
      </c>
    </row>
    <row r="2509" ht="18.6" customHeight="1" spans="1:11">
      <c r="A2509" s="3">
        <v>2508</v>
      </c>
      <c r="B2509" s="3" t="s">
        <v>2931</v>
      </c>
      <c r="C2509" s="3" t="s">
        <v>3383</v>
      </c>
      <c r="D2509" s="3" t="s">
        <v>220</v>
      </c>
      <c r="E2509" s="3" t="s">
        <v>223</v>
      </c>
      <c r="F2509" s="3"/>
      <c r="G2509" s="3"/>
      <c r="H2509" s="3"/>
      <c r="I2509" s="3"/>
      <c r="J2509" s="3" t="s">
        <v>1700</v>
      </c>
      <c r="K2509" s="27" t="s">
        <v>1252</v>
      </c>
    </row>
    <row r="2510" ht="18.6" customHeight="1" spans="1:11">
      <c r="A2510" s="3">
        <v>2509</v>
      </c>
      <c r="B2510" s="3" t="s">
        <v>2932</v>
      </c>
      <c r="C2510" s="3" t="s">
        <v>3383</v>
      </c>
      <c r="D2510" s="3" t="s">
        <v>220</v>
      </c>
      <c r="E2510" s="3" t="s">
        <v>221</v>
      </c>
      <c r="F2510" s="3"/>
      <c r="G2510" s="3"/>
      <c r="H2510" s="3"/>
      <c r="I2510" s="3"/>
      <c r="J2510" s="3" t="s">
        <v>1700</v>
      </c>
      <c r="K2510" s="27" t="s">
        <v>1252</v>
      </c>
    </row>
    <row r="2511" ht="18.6" customHeight="1" spans="1:11">
      <c r="A2511" s="3">
        <v>2510</v>
      </c>
      <c r="B2511" s="3" t="s">
        <v>2933</v>
      </c>
      <c r="C2511" s="3" t="s">
        <v>3399</v>
      </c>
      <c r="D2511" s="3" t="s">
        <v>273</v>
      </c>
      <c r="E2511" s="3" t="s">
        <v>274</v>
      </c>
      <c r="F2511" s="3"/>
      <c r="G2511" s="3"/>
      <c r="H2511" s="3"/>
      <c r="I2511" s="3"/>
      <c r="J2511" s="3" t="s">
        <v>1700</v>
      </c>
      <c r="K2511" s="27" t="s">
        <v>1252</v>
      </c>
    </row>
    <row r="2512" ht="18.6" customHeight="1" spans="1:11">
      <c r="A2512" s="3">
        <v>2511</v>
      </c>
      <c r="B2512" s="3" t="s">
        <v>2934</v>
      </c>
      <c r="C2512" s="3" t="s">
        <v>3399</v>
      </c>
      <c r="D2512" s="3" t="s">
        <v>273</v>
      </c>
      <c r="E2512" s="3" t="s">
        <v>274</v>
      </c>
      <c r="F2512" s="3"/>
      <c r="G2512" s="3"/>
      <c r="H2512" s="3"/>
      <c r="I2512" s="3"/>
      <c r="J2512" s="3" t="s">
        <v>1700</v>
      </c>
      <c r="K2512" s="27" t="s">
        <v>1252</v>
      </c>
    </row>
    <row r="2513" ht="18.6" customHeight="1" spans="1:11">
      <c r="A2513" s="3">
        <v>2512</v>
      </c>
      <c r="B2513" s="3" t="s">
        <v>2935</v>
      </c>
      <c r="C2513" s="3" t="s">
        <v>3399</v>
      </c>
      <c r="D2513" s="3" t="s">
        <v>273</v>
      </c>
      <c r="E2513" s="3" t="s">
        <v>274</v>
      </c>
      <c r="F2513" s="3"/>
      <c r="G2513" s="3"/>
      <c r="H2513" s="3"/>
      <c r="I2513" s="3"/>
      <c r="J2513" s="3" t="s">
        <v>1700</v>
      </c>
      <c r="K2513" s="27" t="s">
        <v>1252</v>
      </c>
    </row>
    <row r="2514" ht="18.6" customHeight="1" spans="1:11">
      <c r="A2514" s="3">
        <v>2513</v>
      </c>
      <c r="B2514" s="3" t="s">
        <v>2936</v>
      </c>
      <c r="C2514" s="3" t="s">
        <v>3399</v>
      </c>
      <c r="D2514" s="3" t="s">
        <v>273</v>
      </c>
      <c r="E2514" s="3" t="s">
        <v>274</v>
      </c>
      <c r="F2514" s="3"/>
      <c r="G2514" s="3"/>
      <c r="H2514" s="3"/>
      <c r="I2514" s="3"/>
      <c r="J2514" s="3" t="s">
        <v>1700</v>
      </c>
      <c r="K2514" s="27" t="s">
        <v>1252</v>
      </c>
    </row>
    <row r="2515" ht="18.6" customHeight="1" spans="1:11">
      <c r="A2515" s="3">
        <v>2514</v>
      </c>
      <c r="B2515" s="3" t="s">
        <v>2937</v>
      </c>
      <c r="C2515" s="3" t="s">
        <v>3399</v>
      </c>
      <c r="D2515" s="3" t="s">
        <v>273</v>
      </c>
      <c r="E2515" s="3" t="s">
        <v>276</v>
      </c>
      <c r="F2515" s="3"/>
      <c r="G2515" s="3"/>
      <c r="H2515" s="3"/>
      <c r="I2515" s="3"/>
      <c r="J2515" s="3" t="s">
        <v>1700</v>
      </c>
      <c r="K2515" s="27" t="s">
        <v>1252</v>
      </c>
    </row>
    <row r="2516" ht="18.6" customHeight="1" spans="1:11">
      <c r="A2516" s="3">
        <v>2515</v>
      </c>
      <c r="B2516" s="3" t="s">
        <v>2938</v>
      </c>
      <c r="C2516" s="3" t="s">
        <v>3399</v>
      </c>
      <c r="D2516" s="3" t="s">
        <v>273</v>
      </c>
      <c r="E2516" s="3" t="s">
        <v>274</v>
      </c>
      <c r="F2516" s="3"/>
      <c r="G2516" s="3"/>
      <c r="H2516" s="3"/>
      <c r="I2516" s="3"/>
      <c r="J2516" s="3" t="s">
        <v>1700</v>
      </c>
      <c r="K2516" s="27" t="s">
        <v>1252</v>
      </c>
    </row>
    <row r="2517" ht="18.6" customHeight="1" spans="1:11">
      <c r="A2517" s="3">
        <v>2516</v>
      </c>
      <c r="B2517" s="3" t="s">
        <v>2939</v>
      </c>
      <c r="C2517" s="3" t="s">
        <v>3399</v>
      </c>
      <c r="D2517" s="3" t="s">
        <v>273</v>
      </c>
      <c r="E2517" s="3" t="s">
        <v>274</v>
      </c>
      <c r="F2517" s="3"/>
      <c r="G2517" s="3"/>
      <c r="H2517" s="3"/>
      <c r="I2517" s="3"/>
      <c r="J2517" s="3" t="s">
        <v>1700</v>
      </c>
      <c r="K2517" s="27" t="s">
        <v>1252</v>
      </c>
    </row>
    <row r="2518" ht="18.6" customHeight="1" spans="1:11">
      <c r="A2518" s="3">
        <v>2517</v>
      </c>
      <c r="B2518" s="3" t="s">
        <v>2940</v>
      </c>
      <c r="C2518" s="3" t="s">
        <v>3399</v>
      </c>
      <c r="D2518" s="3" t="s">
        <v>273</v>
      </c>
      <c r="E2518" s="3" t="s">
        <v>288</v>
      </c>
      <c r="F2518" s="3"/>
      <c r="G2518" s="3"/>
      <c r="H2518" s="3"/>
      <c r="I2518" s="3"/>
      <c r="J2518" s="3" t="s">
        <v>1700</v>
      </c>
      <c r="K2518" s="27" t="s">
        <v>1252</v>
      </c>
    </row>
    <row r="2519" ht="18.6" customHeight="1" spans="1:11">
      <c r="A2519" s="3">
        <v>2518</v>
      </c>
      <c r="B2519" s="3" t="s">
        <v>2941</v>
      </c>
      <c r="C2519" s="3" t="s">
        <v>3411</v>
      </c>
      <c r="D2519" s="3" t="s">
        <v>308</v>
      </c>
      <c r="E2519" s="3" t="s">
        <v>309</v>
      </c>
      <c r="F2519" s="3"/>
      <c r="G2519" s="3"/>
      <c r="H2519" s="3"/>
      <c r="I2519" s="3"/>
      <c r="J2519" s="3" t="s">
        <v>1700</v>
      </c>
      <c r="K2519" s="27" t="s">
        <v>1252</v>
      </c>
    </row>
    <row r="2520" ht="18.6" customHeight="1" spans="1:11">
      <c r="A2520" s="3">
        <v>2519</v>
      </c>
      <c r="B2520" s="3" t="s">
        <v>2942</v>
      </c>
      <c r="C2520" s="3" t="s">
        <v>3411</v>
      </c>
      <c r="D2520" s="3" t="s">
        <v>308</v>
      </c>
      <c r="E2520" s="3" t="s">
        <v>309</v>
      </c>
      <c r="F2520" s="3"/>
      <c r="G2520" s="3"/>
      <c r="H2520" s="3"/>
      <c r="I2520" s="3"/>
      <c r="J2520" s="3" t="s">
        <v>1700</v>
      </c>
      <c r="K2520" s="27" t="s">
        <v>1252</v>
      </c>
    </row>
    <row r="2521" ht="18.6" customHeight="1" spans="1:11">
      <c r="A2521" s="3">
        <v>2520</v>
      </c>
      <c r="B2521" s="3" t="s">
        <v>2943</v>
      </c>
      <c r="C2521" s="3" t="s">
        <v>3411</v>
      </c>
      <c r="D2521" s="3" t="s">
        <v>308</v>
      </c>
      <c r="E2521" s="3" t="s">
        <v>317</v>
      </c>
      <c r="F2521" s="3"/>
      <c r="G2521" s="3"/>
      <c r="H2521" s="3"/>
      <c r="I2521" s="3"/>
      <c r="J2521" s="3" t="s">
        <v>1700</v>
      </c>
      <c r="K2521" s="27" t="s">
        <v>1252</v>
      </c>
    </row>
    <row r="2522" ht="18.6" customHeight="1" spans="1:11">
      <c r="A2522" s="3">
        <v>2521</v>
      </c>
      <c r="B2522" s="3" t="s">
        <v>2944</v>
      </c>
      <c r="C2522" s="3" t="s">
        <v>3411</v>
      </c>
      <c r="D2522" s="3" t="s">
        <v>308</v>
      </c>
      <c r="E2522" s="3" t="s">
        <v>309</v>
      </c>
      <c r="F2522" s="3"/>
      <c r="G2522" s="3"/>
      <c r="H2522" s="3"/>
      <c r="I2522" s="3"/>
      <c r="J2522" s="3" t="s">
        <v>1700</v>
      </c>
      <c r="K2522" s="27" t="s">
        <v>1252</v>
      </c>
    </row>
    <row r="2523" ht="18.6" customHeight="1" spans="1:11">
      <c r="A2523" s="3">
        <v>2522</v>
      </c>
      <c r="B2523" s="3" t="s">
        <v>2945</v>
      </c>
      <c r="C2523" s="3" t="s">
        <v>3411</v>
      </c>
      <c r="D2523" s="3" t="s">
        <v>308</v>
      </c>
      <c r="E2523" s="3" t="s">
        <v>327</v>
      </c>
      <c r="F2523" s="3"/>
      <c r="G2523" s="3"/>
      <c r="H2523" s="3"/>
      <c r="I2523" s="3"/>
      <c r="J2523" s="3" t="s">
        <v>1700</v>
      </c>
      <c r="K2523" s="27" t="s">
        <v>1252</v>
      </c>
    </row>
    <row r="2524" ht="18.6" customHeight="1" spans="1:11">
      <c r="A2524" s="3">
        <v>2523</v>
      </c>
      <c r="B2524" s="3" t="s">
        <v>2946</v>
      </c>
      <c r="C2524" s="3" t="s">
        <v>3411</v>
      </c>
      <c r="D2524" s="3" t="s">
        <v>308</v>
      </c>
      <c r="E2524" s="3" t="s">
        <v>309</v>
      </c>
      <c r="F2524" s="3"/>
      <c r="G2524" s="3"/>
      <c r="H2524" s="3"/>
      <c r="I2524" s="3"/>
      <c r="J2524" s="3" t="s">
        <v>1700</v>
      </c>
      <c r="K2524" s="27" t="s">
        <v>1252</v>
      </c>
    </row>
    <row r="2525" ht="18.6" customHeight="1" spans="1:11">
      <c r="A2525" s="3">
        <v>2524</v>
      </c>
      <c r="B2525" s="3" t="s">
        <v>2947</v>
      </c>
      <c r="C2525" s="3" t="s">
        <v>3422</v>
      </c>
      <c r="D2525" s="3" t="s">
        <v>347</v>
      </c>
      <c r="E2525" s="3" t="s">
        <v>347</v>
      </c>
      <c r="F2525" s="3"/>
      <c r="G2525" s="3"/>
      <c r="H2525" s="3"/>
      <c r="I2525" s="3" t="s">
        <v>3769</v>
      </c>
      <c r="J2525" s="3" t="s">
        <v>1700</v>
      </c>
      <c r="K2525" s="27" t="s">
        <v>1252</v>
      </c>
    </row>
    <row r="2526" ht="18.6" customHeight="1" spans="1:11">
      <c r="A2526" s="3">
        <v>2525</v>
      </c>
      <c r="B2526" s="3" t="s">
        <v>2948</v>
      </c>
      <c r="C2526" s="3" t="s">
        <v>3422</v>
      </c>
      <c r="D2526" s="3" t="s">
        <v>347</v>
      </c>
      <c r="E2526" s="3" t="s">
        <v>347</v>
      </c>
      <c r="F2526" s="3"/>
      <c r="G2526" s="3"/>
      <c r="H2526" s="3"/>
      <c r="I2526" s="3" t="s">
        <v>3769</v>
      </c>
      <c r="J2526" s="3" t="s">
        <v>1700</v>
      </c>
      <c r="K2526" s="27" t="s">
        <v>1252</v>
      </c>
    </row>
    <row r="2527" ht="18.6" customHeight="1" spans="1:11">
      <c r="A2527" s="3">
        <v>2526</v>
      </c>
      <c r="B2527" s="3" t="s">
        <v>2949</v>
      </c>
      <c r="C2527" s="3" t="s">
        <v>3422</v>
      </c>
      <c r="D2527" s="3" t="s">
        <v>347</v>
      </c>
      <c r="E2527" s="3" t="s">
        <v>347</v>
      </c>
      <c r="F2527" s="3"/>
      <c r="G2527" s="3"/>
      <c r="H2527" s="3"/>
      <c r="I2527" s="3" t="s">
        <v>3769</v>
      </c>
      <c r="J2527" s="3" t="s">
        <v>1700</v>
      </c>
      <c r="K2527" s="27" t="s">
        <v>1252</v>
      </c>
    </row>
    <row r="2528" ht="18.6" customHeight="1" spans="1:11">
      <c r="A2528" s="3">
        <v>2527</v>
      </c>
      <c r="B2528" s="3" t="s">
        <v>2950</v>
      </c>
      <c r="C2528" s="3" t="s">
        <v>3422</v>
      </c>
      <c r="D2528" s="3" t="s">
        <v>347</v>
      </c>
      <c r="E2528" s="3" t="s">
        <v>347</v>
      </c>
      <c r="F2528" s="3"/>
      <c r="G2528" s="3"/>
      <c r="H2528" s="3"/>
      <c r="I2528" s="3"/>
      <c r="J2528" s="3" t="s">
        <v>1700</v>
      </c>
      <c r="K2528" s="27" t="s">
        <v>1252</v>
      </c>
    </row>
    <row r="2529" ht="18.6" customHeight="1" spans="1:11">
      <c r="A2529" s="3">
        <v>2528</v>
      </c>
      <c r="B2529" s="3" t="s">
        <v>2951</v>
      </c>
      <c r="C2529" s="3" t="s">
        <v>3422</v>
      </c>
      <c r="D2529" s="3" t="s">
        <v>347</v>
      </c>
      <c r="E2529" s="3" t="s">
        <v>347</v>
      </c>
      <c r="F2529" s="3"/>
      <c r="G2529" s="3"/>
      <c r="H2529" s="3"/>
      <c r="I2529" s="3"/>
      <c r="J2529" s="3" t="s">
        <v>1700</v>
      </c>
      <c r="K2529" s="27" t="s">
        <v>1252</v>
      </c>
    </row>
    <row r="2530" ht="18.6" customHeight="1" spans="1:11">
      <c r="A2530" s="3">
        <v>2529</v>
      </c>
      <c r="B2530" s="3" t="s">
        <v>2952</v>
      </c>
      <c r="C2530" s="3" t="s">
        <v>3422</v>
      </c>
      <c r="D2530" s="3" t="s">
        <v>347</v>
      </c>
      <c r="E2530" s="3" t="s">
        <v>347</v>
      </c>
      <c r="F2530" s="3"/>
      <c r="G2530" s="3"/>
      <c r="H2530" s="3"/>
      <c r="I2530" s="3"/>
      <c r="J2530" s="3" t="s">
        <v>1700</v>
      </c>
      <c r="K2530" s="27" t="s">
        <v>1252</v>
      </c>
    </row>
    <row r="2531" ht="18.6" customHeight="1" spans="1:11">
      <c r="A2531" s="3">
        <v>2530</v>
      </c>
      <c r="B2531" s="3" t="s">
        <v>2953</v>
      </c>
      <c r="C2531" s="3" t="s">
        <v>3422</v>
      </c>
      <c r="D2531" s="3" t="s">
        <v>347</v>
      </c>
      <c r="E2531" s="3" t="s">
        <v>347</v>
      </c>
      <c r="F2531" s="3"/>
      <c r="G2531" s="3"/>
      <c r="H2531" s="3"/>
      <c r="I2531" s="3"/>
      <c r="J2531" s="3" t="s">
        <v>1700</v>
      </c>
      <c r="K2531" s="27" t="s">
        <v>1252</v>
      </c>
    </row>
    <row r="2532" ht="18.6" customHeight="1" spans="1:11">
      <c r="A2532" s="3">
        <v>2531</v>
      </c>
      <c r="B2532" s="3" t="s">
        <v>2954</v>
      </c>
      <c r="C2532" s="3" t="s">
        <v>3422</v>
      </c>
      <c r="D2532" s="3" t="s">
        <v>347</v>
      </c>
      <c r="E2532" s="3" t="s">
        <v>347</v>
      </c>
      <c r="F2532" s="3"/>
      <c r="G2532" s="3"/>
      <c r="H2532" s="3"/>
      <c r="I2532" s="3" t="s">
        <v>3778</v>
      </c>
      <c r="J2532" s="3" t="s">
        <v>1700</v>
      </c>
      <c r="K2532" s="27" t="s">
        <v>1252</v>
      </c>
    </row>
    <row r="2533" ht="18.6" customHeight="1" spans="1:11">
      <c r="A2533" s="3">
        <v>2532</v>
      </c>
      <c r="B2533" s="3" t="s">
        <v>2955</v>
      </c>
      <c r="C2533" s="3" t="s">
        <v>3422</v>
      </c>
      <c r="D2533" s="3" t="s">
        <v>347</v>
      </c>
      <c r="E2533" s="3" t="s">
        <v>347</v>
      </c>
      <c r="F2533" s="3"/>
      <c r="G2533" s="3"/>
      <c r="H2533" s="3"/>
      <c r="I2533" s="3"/>
      <c r="J2533" s="3" t="s">
        <v>1700</v>
      </c>
      <c r="K2533" s="27" t="s">
        <v>1252</v>
      </c>
    </row>
    <row r="2534" ht="18.6" customHeight="1" spans="1:11">
      <c r="A2534" s="3">
        <v>2533</v>
      </c>
      <c r="B2534" s="3" t="s">
        <v>2956</v>
      </c>
      <c r="C2534" s="3" t="s">
        <v>3422</v>
      </c>
      <c r="D2534" s="3" t="s">
        <v>347</v>
      </c>
      <c r="E2534" s="3" t="s">
        <v>347</v>
      </c>
      <c r="F2534" s="3"/>
      <c r="G2534" s="3"/>
      <c r="H2534" s="3"/>
      <c r="I2534" s="3" t="s">
        <v>3772</v>
      </c>
      <c r="J2534" s="3" t="s">
        <v>1700</v>
      </c>
      <c r="K2534" s="27" t="s">
        <v>1252</v>
      </c>
    </row>
    <row r="2535" ht="18.6" customHeight="1" spans="1:11">
      <c r="A2535" s="3">
        <v>2534</v>
      </c>
      <c r="B2535" s="3" t="s">
        <v>2957</v>
      </c>
      <c r="C2535" s="3" t="s">
        <v>3422</v>
      </c>
      <c r="D2535" s="3" t="s">
        <v>347</v>
      </c>
      <c r="E2535" s="3" t="s">
        <v>347</v>
      </c>
      <c r="F2535" s="3"/>
      <c r="G2535" s="3"/>
      <c r="H2535" s="3"/>
      <c r="I2535" s="3"/>
      <c r="J2535" s="3" t="s">
        <v>1700</v>
      </c>
      <c r="K2535" s="27" t="s">
        <v>1252</v>
      </c>
    </row>
    <row r="2536" ht="18.6" customHeight="1" spans="1:11">
      <c r="A2536" s="3">
        <v>2535</v>
      </c>
      <c r="B2536" s="3" t="s">
        <v>2958</v>
      </c>
      <c r="C2536" s="3" t="s">
        <v>3437</v>
      </c>
      <c r="D2536" s="3" t="s">
        <v>379</v>
      </c>
      <c r="E2536" s="3" t="s">
        <v>403</v>
      </c>
      <c r="F2536" s="3"/>
      <c r="G2536" s="3"/>
      <c r="H2536" s="3"/>
      <c r="I2536" s="3"/>
      <c r="J2536" s="3" t="s">
        <v>1700</v>
      </c>
      <c r="K2536" s="27" t="s">
        <v>1252</v>
      </c>
    </row>
    <row r="2537" ht="18.6" customHeight="1" spans="1:11">
      <c r="A2537" s="3">
        <v>2536</v>
      </c>
      <c r="B2537" s="3" t="s">
        <v>2959</v>
      </c>
      <c r="C2537" s="3" t="s">
        <v>3437</v>
      </c>
      <c r="D2537" s="3" t="s">
        <v>379</v>
      </c>
      <c r="E2537" s="3" t="s">
        <v>389</v>
      </c>
      <c r="F2537" s="3"/>
      <c r="G2537" s="3"/>
      <c r="H2537" s="3"/>
      <c r="I2537" s="3"/>
      <c r="J2537" s="3" t="s">
        <v>1700</v>
      </c>
      <c r="K2537" s="27" t="s">
        <v>1252</v>
      </c>
    </row>
    <row r="2538" ht="18.6" customHeight="1" spans="1:11">
      <c r="A2538" s="3">
        <v>2537</v>
      </c>
      <c r="B2538" s="3" t="s">
        <v>2960</v>
      </c>
      <c r="C2538" s="3" t="s">
        <v>3437</v>
      </c>
      <c r="D2538" s="3" t="s">
        <v>379</v>
      </c>
      <c r="E2538" s="3" t="s">
        <v>382</v>
      </c>
      <c r="F2538" s="3"/>
      <c r="G2538" s="3"/>
      <c r="H2538" s="3"/>
      <c r="I2538" s="3"/>
      <c r="J2538" s="3" t="s">
        <v>1700</v>
      </c>
      <c r="K2538" s="27" t="s">
        <v>1252</v>
      </c>
    </row>
    <row r="2539" ht="18.6" customHeight="1" spans="1:11">
      <c r="A2539" s="3">
        <v>2538</v>
      </c>
      <c r="B2539" s="3" t="s">
        <v>2961</v>
      </c>
      <c r="C2539" s="3" t="s">
        <v>3437</v>
      </c>
      <c r="D2539" s="3" t="s">
        <v>379</v>
      </c>
      <c r="E2539" s="3" t="s">
        <v>380</v>
      </c>
      <c r="F2539" s="3"/>
      <c r="G2539" s="3"/>
      <c r="H2539" s="3"/>
      <c r="I2539" s="3"/>
      <c r="J2539" s="3" t="s">
        <v>1700</v>
      </c>
      <c r="K2539" s="27" t="s">
        <v>1252</v>
      </c>
    </row>
    <row r="2540" ht="18.6" customHeight="1" spans="1:11">
      <c r="A2540" s="3">
        <v>2539</v>
      </c>
      <c r="B2540" s="3" t="s">
        <v>2962</v>
      </c>
      <c r="C2540" s="3" t="s">
        <v>3437</v>
      </c>
      <c r="D2540" s="3" t="s">
        <v>379</v>
      </c>
      <c r="E2540" s="3" t="s">
        <v>382</v>
      </c>
      <c r="F2540" s="3"/>
      <c r="G2540" s="3"/>
      <c r="H2540" s="3"/>
      <c r="I2540" s="3"/>
      <c r="J2540" s="3" t="s">
        <v>1700</v>
      </c>
      <c r="K2540" s="27" t="s">
        <v>1252</v>
      </c>
    </row>
    <row r="2541" ht="18.6" customHeight="1" spans="1:11">
      <c r="A2541" s="3">
        <v>2540</v>
      </c>
      <c r="B2541" s="3" t="s">
        <v>2963</v>
      </c>
      <c r="C2541" s="3" t="s">
        <v>3437</v>
      </c>
      <c r="D2541" s="3" t="s">
        <v>379</v>
      </c>
      <c r="E2541" s="3" t="s">
        <v>396</v>
      </c>
      <c r="F2541" s="3"/>
      <c r="G2541" s="3"/>
      <c r="H2541" s="3"/>
      <c r="I2541" s="3"/>
      <c r="J2541" s="3" t="s">
        <v>1700</v>
      </c>
      <c r="K2541" s="27" t="s">
        <v>1252</v>
      </c>
    </row>
    <row r="2542" ht="18.6" customHeight="1" spans="1:11">
      <c r="A2542" s="3">
        <v>2541</v>
      </c>
      <c r="B2542" s="3" t="s">
        <v>2964</v>
      </c>
      <c r="C2542" s="3" t="s">
        <v>3437</v>
      </c>
      <c r="D2542" s="3" t="s">
        <v>379</v>
      </c>
      <c r="E2542" s="3" t="s">
        <v>412</v>
      </c>
      <c r="F2542" s="3"/>
      <c r="G2542" s="3"/>
      <c r="H2542" s="3"/>
      <c r="I2542" s="3"/>
      <c r="J2542" s="3" t="s">
        <v>1700</v>
      </c>
      <c r="K2542" s="27" t="s">
        <v>1252</v>
      </c>
    </row>
    <row r="2543" ht="18.6" customHeight="1" spans="1:11">
      <c r="A2543" s="3">
        <v>2542</v>
      </c>
      <c r="B2543" s="3" t="s">
        <v>2965</v>
      </c>
      <c r="C2543" s="3" t="s">
        <v>3437</v>
      </c>
      <c r="D2543" s="3" t="s">
        <v>379</v>
      </c>
      <c r="E2543" s="3" t="s">
        <v>380</v>
      </c>
      <c r="F2543" s="3"/>
      <c r="G2543" s="3"/>
      <c r="H2543" s="3"/>
      <c r="I2543" s="3"/>
      <c r="J2543" s="3" t="s">
        <v>1700</v>
      </c>
      <c r="K2543" s="27" t="s">
        <v>1252</v>
      </c>
    </row>
    <row r="2544" ht="18.6" customHeight="1" spans="1:11">
      <c r="A2544" s="3">
        <v>2543</v>
      </c>
      <c r="B2544" s="3" t="s">
        <v>2966</v>
      </c>
      <c r="C2544" s="3" t="s">
        <v>3437</v>
      </c>
      <c r="D2544" s="3" t="s">
        <v>379</v>
      </c>
      <c r="E2544" s="3" t="s">
        <v>380</v>
      </c>
      <c r="F2544" s="3"/>
      <c r="G2544" s="3"/>
      <c r="H2544" s="3"/>
      <c r="I2544" s="3"/>
      <c r="J2544" s="3" t="s">
        <v>1700</v>
      </c>
      <c r="K2544" s="27" t="s">
        <v>1252</v>
      </c>
    </row>
    <row r="2545" ht="18.6" customHeight="1" spans="1:11">
      <c r="A2545" s="3">
        <v>2544</v>
      </c>
      <c r="B2545" s="3" t="s">
        <v>2967</v>
      </c>
      <c r="C2545" s="3" t="s">
        <v>3437</v>
      </c>
      <c r="D2545" s="3" t="s">
        <v>379</v>
      </c>
      <c r="E2545" s="3" t="s">
        <v>396</v>
      </c>
      <c r="F2545" s="3"/>
      <c r="G2545" s="3"/>
      <c r="H2545" s="3"/>
      <c r="I2545" s="3" t="s">
        <v>3769</v>
      </c>
      <c r="J2545" s="3" t="s">
        <v>1700</v>
      </c>
      <c r="K2545" s="27" t="s">
        <v>1252</v>
      </c>
    </row>
    <row r="2546" ht="18.6" customHeight="1" spans="1:11">
      <c r="A2546" s="3">
        <v>2545</v>
      </c>
      <c r="B2546" s="3" t="s">
        <v>2968</v>
      </c>
      <c r="C2546" s="3" t="s">
        <v>3437</v>
      </c>
      <c r="D2546" s="3" t="s">
        <v>379</v>
      </c>
      <c r="E2546" s="3" t="s">
        <v>396</v>
      </c>
      <c r="F2546" s="3"/>
      <c r="G2546" s="3"/>
      <c r="H2546" s="3"/>
      <c r="I2546" s="3" t="s">
        <v>3772</v>
      </c>
      <c r="J2546" s="3" t="s">
        <v>1700</v>
      </c>
      <c r="K2546" s="27" t="s">
        <v>1252</v>
      </c>
    </row>
    <row r="2547" ht="18.6" customHeight="1" spans="1:11">
      <c r="A2547" s="3">
        <v>2546</v>
      </c>
      <c r="B2547" s="3" t="s">
        <v>2969</v>
      </c>
      <c r="C2547" s="3" t="s">
        <v>3437</v>
      </c>
      <c r="D2547" s="3" t="s">
        <v>379</v>
      </c>
      <c r="E2547" s="3" t="s">
        <v>380</v>
      </c>
      <c r="F2547" s="3"/>
      <c r="G2547" s="3"/>
      <c r="H2547" s="3"/>
      <c r="I2547" s="3"/>
      <c r="J2547" s="3" t="s">
        <v>1700</v>
      </c>
      <c r="K2547" s="27" t="s">
        <v>1252</v>
      </c>
    </row>
    <row r="2548" ht="18.6" customHeight="1" spans="1:11">
      <c r="A2548" s="3">
        <v>2547</v>
      </c>
      <c r="B2548" s="3" t="s">
        <v>2970</v>
      </c>
      <c r="C2548" s="3" t="s">
        <v>3437</v>
      </c>
      <c r="D2548" s="3" t="s">
        <v>379</v>
      </c>
      <c r="E2548" s="3" t="s">
        <v>392</v>
      </c>
      <c r="F2548" s="3"/>
      <c r="G2548" s="3"/>
      <c r="H2548" s="3"/>
      <c r="I2548" s="3"/>
      <c r="J2548" s="3" t="s">
        <v>1700</v>
      </c>
      <c r="K2548" s="27" t="s">
        <v>1252</v>
      </c>
    </row>
    <row r="2549" ht="18.6" customHeight="1" spans="1:11">
      <c r="A2549" s="3">
        <v>2548</v>
      </c>
      <c r="B2549" s="3" t="s">
        <v>2971</v>
      </c>
      <c r="C2549" s="3" t="s">
        <v>3437</v>
      </c>
      <c r="D2549" s="3" t="s">
        <v>379</v>
      </c>
      <c r="E2549" s="3" t="s">
        <v>424</v>
      </c>
      <c r="F2549" s="3"/>
      <c r="G2549" s="3"/>
      <c r="H2549" s="3"/>
      <c r="I2549" s="3"/>
      <c r="J2549" s="3" t="s">
        <v>1700</v>
      </c>
      <c r="K2549" s="27" t="s">
        <v>1252</v>
      </c>
    </row>
    <row r="2550" ht="18.6" customHeight="1" spans="1:11">
      <c r="A2550" s="3">
        <v>2549</v>
      </c>
      <c r="B2550" s="3" t="s">
        <v>2972</v>
      </c>
      <c r="C2550" s="3" t="s">
        <v>3437</v>
      </c>
      <c r="D2550" s="3" t="s">
        <v>379</v>
      </c>
      <c r="E2550" s="3" t="s">
        <v>387</v>
      </c>
      <c r="F2550" s="3"/>
      <c r="G2550" s="3"/>
      <c r="H2550" s="3"/>
      <c r="I2550" s="3"/>
      <c r="J2550" s="3" t="s">
        <v>1700</v>
      </c>
      <c r="K2550" s="27" t="s">
        <v>1252</v>
      </c>
    </row>
    <row r="2551" ht="18.6" customHeight="1" spans="1:11">
      <c r="A2551" s="3">
        <v>2550</v>
      </c>
      <c r="B2551" s="3" t="s">
        <v>2973</v>
      </c>
      <c r="C2551" s="3" t="s">
        <v>3437</v>
      </c>
      <c r="D2551" s="3" t="s">
        <v>379</v>
      </c>
      <c r="E2551" s="3" t="s">
        <v>382</v>
      </c>
      <c r="F2551" s="3"/>
      <c r="G2551" s="3"/>
      <c r="H2551" s="3"/>
      <c r="I2551" s="3"/>
      <c r="J2551" s="3" t="s">
        <v>1700</v>
      </c>
      <c r="K2551" s="27" t="s">
        <v>1252</v>
      </c>
    </row>
    <row r="2552" ht="18.6" customHeight="1" spans="1:11">
      <c r="A2552" s="3">
        <v>2551</v>
      </c>
      <c r="B2552" s="3" t="s">
        <v>2974</v>
      </c>
      <c r="C2552" s="3" t="s">
        <v>3437</v>
      </c>
      <c r="D2552" s="3" t="s">
        <v>379</v>
      </c>
      <c r="E2552" s="3" t="s">
        <v>380</v>
      </c>
      <c r="F2552" s="3"/>
      <c r="G2552" s="3"/>
      <c r="H2552" s="3"/>
      <c r="I2552" s="3" t="s">
        <v>3772</v>
      </c>
      <c r="J2552" s="3" t="s">
        <v>1700</v>
      </c>
      <c r="K2552" s="27" t="s">
        <v>1252</v>
      </c>
    </row>
    <row r="2553" ht="18.6" customHeight="1" spans="1:11">
      <c r="A2553" s="3">
        <v>2552</v>
      </c>
      <c r="B2553" s="3" t="s">
        <v>2975</v>
      </c>
      <c r="C2553" s="3" t="s">
        <v>3437</v>
      </c>
      <c r="D2553" s="3" t="s">
        <v>379</v>
      </c>
      <c r="E2553" s="3" t="s">
        <v>382</v>
      </c>
      <c r="F2553" s="3"/>
      <c r="G2553" s="3"/>
      <c r="H2553" s="3"/>
      <c r="I2553" s="3"/>
      <c r="J2553" s="3" t="s">
        <v>1700</v>
      </c>
      <c r="K2553" s="27" t="s">
        <v>1252</v>
      </c>
    </row>
    <row r="2554" ht="18.6" customHeight="1" spans="1:11">
      <c r="A2554" s="3">
        <v>2553</v>
      </c>
      <c r="B2554" s="3" t="s">
        <v>2976</v>
      </c>
      <c r="C2554" s="3" t="s">
        <v>3437</v>
      </c>
      <c r="D2554" s="3" t="s">
        <v>379</v>
      </c>
      <c r="E2554" s="3" t="s">
        <v>440</v>
      </c>
      <c r="F2554" s="3"/>
      <c r="G2554" s="3"/>
      <c r="H2554" s="3"/>
      <c r="I2554" s="3"/>
      <c r="J2554" s="3" t="s">
        <v>1700</v>
      </c>
      <c r="K2554" s="27" t="s">
        <v>1252</v>
      </c>
    </row>
    <row r="2555" ht="18.6" customHeight="1" spans="1:11">
      <c r="A2555" s="3">
        <v>2554</v>
      </c>
      <c r="B2555" s="3" t="s">
        <v>2977</v>
      </c>
      <c r="C2555" s="3" t="s">
        <v>3437</v>
      </c>
      <c r="D2555" s="3" t="s">
        <v>379</v>
      </c>
      <c r="E2555" s="3" t="s">
        <v>424</v>
      </c>
      <c r="F2555" s="3"/>
      <c r="G2555" s="3"/>
      <c r="H2555" s="3"/>
      <c r="I2555" s="3"/>
      <c r="J2555" s="3" t="s">
        <v>1700</v>
      </c>
      <c r="K2555" s="27" t="s">
        <v>1252</v>
      </c>
    </row>
    <row r="2556" ht="18.6" customHeight="1" spans="1:11">
      <c r="A2556" s="3">
        <v>2555</v>
      </c>
      <c r="B2556" s="3" t="s">
        <v>2978</v>
      </c>
      <c r="C2556" s="3" t="s">
        <v>3457</v>
      </c>
      <c r="D2556" s="3" t="s">
        <v>448</v>
      </c>
      <c r="E2556" s="3" t="s">
        <v>449</v>
      </c>
      <c r="F2556" s="3"/>
      <c r="G2556" s="3"/>
      <c r="H2556" s="3"/>
      <c r="I2556" s="3"/>
      <c r="J2556" s="3" t="s">
        <v>1700</v>
      </c>
      <c r="K2556" s="27" t="s">
        <v>1252</v>
      </c>
    </row>
    <row r="2557" ht="18.6" customHeight="1" spans="1:11">
      <c r="A2557" s="3">
        <v>2556</v>
      </c>
      <c r="B2557" s="3" t="s">
        <v>2979</v>
      </c>
      <c r="C2557" s="3" t="s">
        <v>3457</v>
      </c>
      <c r="D2557" s="3" t="s">
        <v>448</v>
      </c>
      <c r="E2557" s="3" t="s">
        <v>465</v>
      </c>
      <c r="F2557" s="3"/>
      <c r="G2557" s="3"/>
      <c r="H2557" s="3"/>
      <c r="I2557" s="3" t="s">
        <v>3769</v>
      </c>
      <c r="J2557" s="3" t="s">
        <v>1700</v>
      </c>
      <c r="K2557" s="27" t="s">
        <v>1252</v>
      </c>
    </row>
    <row r="2558" ht="18.6" customHeight="1" spans="1:11">
      <c r="A2558" s="3">
        <v>2557</v>
      </c>
      <c r="B2558" s="3" t="s">
        <v>2980</v>
      </c>
      <c r="C2558" s="3" t="s">
        <v>3457</v>
      </c>
      <c r="D2558" s="3" t="s">
        <v>448</v>
      </c>
      <c r="E2558" s="3" t="s">
        <v>457</v>
      </c>
      <c r="F2558" s="3"/>
      <c r="G2558" s="3"/>
      <c r="H2558" s="3"/>
      <c r="I2558" s="3" t="s">
        <v>3769</v>
      </c>
      <c r="J2558" s="3" t="s">
        <v>1700</v>
      </c>
      <c r="K2558" s="27" t="s">
        <v>1252</v>
      </c>
    </row>
    <row r="2559" ht="18.6" customHeight="1" spans="1:11">
      <c r="A2559" s="3">
        <v>2558</v>
      </c>
      <c r="B2559" s="3" t="s">
        <v>2981</v>
      </c>
      <c r="C2559" s="3" t="s">
        <v>3457</v>
      </c>
      <c r="D2559" s="3" t="s">
        <v>448</v>
      </c>
      <c r="E2559" s="3" t="s">
        <v>449</v>
      </c>
      <c r="F2559" s="3"/>
      <c r="G2559" s="3"/>
      <c r="H2559" s="3"/>
      <c r="I2559" s="3"/>
      <c r="J2559" s="3" t="s">
        <v>1700</v>
      </c>
      <c r="K2559" s="27" t="s">
        <v>1252</v>
      </c>
    </row>
    <row r="2560" ht="18.6" customHeight="1" spans="1:11">
      <c r="A2560" s="3">
        <v>2559</v>
      </c>
      <c r="B2560" s="3" t="s">
        <v>2982</v>
      </c>
      <c r="C2560" s="3" t="s">
        <v>3457</v>
      </c>
      <c r="D2560" s="3" t="s">
        <v>448</v>
      </c>
      <c r="E2560" s="3" t="s">
        <v>473</v>
      </c>
      <c r="F2560" s="3"/>
      <c r="G2560" s="3"/>
      <c r="H2560" s="3"/>
      <c r="I2560" s="3" t="s">
        <v>3769</v>
      </c>
      <c r="J2560" s="3" t="s">
        <v>1700</v>
      </c>
      <c r="K2560" s="27" t="s">
        <v>1252</v>
      </c>
    </row>
    <row r="2561" ht="18.6" customHeight="1" spans="1:11">
      <c r="A2561" s="3">
        <v>2560</v>
      </c>
      <c r="B2561" s="3" t="s">
        <v>2983</v>
      </c>
      <c r="C2561" s="3" t="s">
        <v>3457</v>
      </c>
      <c r="D2561" s="3" t="s">
        <v>448</v>
      </c>
      <c r="E2561" s="3" t="s">
        <v>449</v>
      </c>
      <c r="F2561" s="3"/>
      <c r="G2561" s="3"/>
      <c r="H2561" s="3"/>
      <c r="I2561" s="3"/>
      <c r="J2561" s="3" t="s">
        <v>1700</v>
      </c>
      <c r="K2561" s="27" t="s">
        <v>1252</v>
      </c>
    </row>
    <row r="2562" ht="18.6" customHeight="1" spans="1:11">
      <c r="A2562" s="3">
        <v>2561</v>
      </c>
      <c r="B2562" s="3" t="s">
        <v>2984</v>
      </c>
      <c r="C2562" s="3" t="s">
        <v>3457</v>
      </c>
      <c r="D2562" s="3" t="s">
        <v>448</v>
      </c>
      <c r="E2562" s="3" t="s">
        <v>467</v>
      </c>
      <c r="F2562" s="3"/>
      <c r="G2562" s="3"/>
      <c r="H2562" s="3"/>
      <c r="I2562" s="3"/>
      <c r="J2562" s="3" t="s">
        <v>1700</v>
      </c>
      <c r="K2562" s="27" t="s">
        <v>1252</v>
      </c>
    </row>
    <row r="2563" ht="18.6" customHeight="1" spans="1:11">
      <c r="A2563" s="3">
        <v>2562</v>
      </c>
      <c r="B2563" s="3" t="s">
        <v>2985</v>
      </c>
      <c r="C2563" s="3" t="s">
        <v>3457</v>
      </c>
      <c r="D2563" s="3" t="s">
        <v>448</v>
      </c>
      <c r="E2563" s="3" t="s">
        <v>460</v>
      </c>
      <c r="F2563" s="3"/>
      <c r="G2563" s="3"/>
      <c r="H2563" s="3"/>
      <c r="I2563" s="3"/>
      <c r="J2563" s="3" t="s">
        <v>1700</v>
      </c>
      <c r="K2563" s="27" t="s">
        <v>1252</v>
      </c>
    </row>
    <row r="2564" ht="18.6" customHeight="1" spans="1:11">
      <c r="A2564" s="3">
        <v>2563</v>
      </c>
      <c r="B2564" s="3" t="s">
        <v>2986</v>
      </c>
      <c r="C2564" s="3" t="s">
        <v>3457</v>
      </c>
      <c r="D2564" s="3" t="s">
        <v>448</v>
      </c>
      <c r="E2564" s="3" t="s">
        <v>463</v>
      </c>
      <c r="F2564" s="3"/>
      <c r="G2564" s="3"/>
      <c r="H2564" s="3"/>
      <c r="I2564" s="3"/>
      <c r="J2564" s="3" t="s">
        <v>1700</v>
      </c>
      <c r="K2564" s="27" t="s">
        <v>1252</v>
      </c>
    </row>
    <row r="2565" ht="18.6" customHeight="1" spans="1:11">
      <c r="A2565" s="3">
        <v>2564</v>
      </c>
      <c r="B2565" s="3" t="s">
        <v>2987</v>
      </c>
      <c r="C2565" s="3" t="s">
        <v>3457</v>
      </c>
      <c r="D2565" s="3" t="s">
        <v>448</v>
      </c>
      <c r="E2565" s="3" t="s">
        <v>460</v>
      </c>
      <c r="F2565" s="3"/>
      <c r="G2565" s="3"/>
      <c r="H2565" s="3"/>
      <c r="I2565" s="3"/>
      <c r="J2565" s="3" t="s">
        <v>1700</v>
      </c>
      <c r="K2565" s="27" t="s">
        <v>1252</v>
      </c>
    </row>
    <row r="2566" ht="18.6" customHeight="1" spans="1:11">
      <c r="A2566" s="3">
        <v>2565</v>
      </c>
      <c r="B2566" s="3" t="s">
        <v>2988</v>
      </c>
      <c r="C2566" s="3" t="s">
        <v>3474</v>
      </c>
      <c r="D2566" s="3" t="s">
        <v>502</v>
      </c>
      <c r="E2566" s="3" t="s">
        <v>503</v>
      </c>
      <c r="F2566" s="3"/>
      <c r="G2566" s="3"/>
      <c r="H2566" s="3"/>
      <c r="I2566" s="3"/>
      <c r="J2566" s="3" t="s">
        <v>1700</v>
      </c>
      <c r="K2566" s="27" t="s">
        <v>1252</v>
      </c>
    </row>
    <row r="2567" ht="18.6" customHeight="1" spans="1:11">
      <c r="A2567" s="3">
        <v>2566</v>
      </c>
      <c r="B2567" s="3" t="s">
        <v>2989</v>
      </c>
      <c r="C2567" s="3" t="s">
        <v>3474</v>
      </c>
      <c r="D2567" s="3" t="s">
        <v>502</v>
      </c>
      <c r="E2567" s="3" t="s">
        <v>503</v>
      </c>
      <c r="F2567" s="3"/>
      <c r="G2567" s="3"/>
      <c r="H2567" s="3"/>
      <c r="I2567" s="3" t="s">
        <v>3771</v>
      </c>
      <c r="J2567" s="3" t="s">
        <v>1700</v>
      </c>
      <c r="K2567" s="27" t="s">
        <v>1252</v>
      </c>
    </row>
    <row r="2568" ht="18.6" customHeight="1" spans="1:11">
      <c r="A2568" s="3">
        <v>2567</v>
      </c>
      <c r="B2568" s="3" t="s">
        <v>2990</v>
      </c>
      <c r="C2568" s="3" t="s">
        <v>3474</v>
      </c>
      <c r="D2568" s="3" t="s">
        <v>502</v>
      </c>
      <c r="E2568" s="3" t="s">
        <v>503</v>
      </c>
      <c r="F2568" s="3"/>
      <c r="G2568" s="3"/>
      <c r="H2568" s="3"/>
      <c r="I2568" s="3"/>
      <c r="J2568" s="3" t="s">
        <v>1700</v>
      </c>
      <c r="K2568" s="27" t="s">
        <v>1252</v>
      </c>
    </row>
    <row r="2569" ht="18.6" customHeight="1" spans="1:11">
      <c r="A2569" s="3">
        <v>2568</v>
      </c>
      <c r="B2569" s="3" t="s">
        <v>2991</v>
      </c>
      <c r="C2569" s="3" t="s">
        <v>3474</v>
      </c>
      <c r="D2569" s="3" t="s">
        <v>502</v>
      </c>
      <c r="E2569" s="3" t="s">
        <v>520</v>
      </c>
      <c r="F2569" s="3"/>
      <c r="G2569" s="3"/>
      <c r="H2569" s="3"/>
      <c r="I2569" s="3"/>
      <c r="J2569" s="3" t="s">
        <v>1700</v>
      </c>
      <c r="K2569" s="27" t="s">
        <v>1252</v>
      </c>
    </row>
    <row r="2570" ht="18.6" customHeight="1" spans="1:11">
      <c r="A2570" s="3">
        <v>2569</v>
      </c>
      <c r="B2570" s="3" t="s">
        <v>2992</v>
      </c>
      <c r="C2570" s="3" t="s">
        <v>3474</v>
      </c>
      <c r="D2570" s="3" t="s">
        <v>502</v>
      </c>
      <c r="E2570" s="3" t="s">
        <v>503</v>
      </c>
      <c r="F2570" s="3"/>
      <c r="G2570" s="3"/>
      <c r="H2570" s="3"/>
      <c r="I2570" s="3" t="s">
        <v>3771</v>
      </c>
      <c r="J2570" s="3" t="s">
        <v>1700</v>
      </c>
      <c r="K2570" s="27" t="s">
        <v>1252</v>
      </c>
    </row>
    <row r="2571" ht="18.6" customHeight="1" spans="1:11">
      <c r="A2571" s="3">
        <v>2570</v>
      </c>
      <c r="B2571" s="3" t="s">
        <v>2993</v>
      </c>
      <c r="C2571" s="3" t="s">
        <v>3474</v>
      </c>
      <c r="D2571" s="3" t="s">
        <v>502</v>
      </c>
      <c r="E2571" s="3" t="s">
        <v>503</v>
      </c>
      <c r="F2571" s="3"/>
      <c r="G2571" s="3"/>
      <c r="H2571" s="3"/>
      <c r="I2571" s="3"/>
      <c r="J2571" s="3" t="s">
        <v>1700</v>
      </c>
      <c r="K2571" s="27" t="s">
        <v>1252</v>
      </c>
    </row>
    <row r="2572" ht="18.6" customHeight="1" spans="1:11">
      <c r="A2572" s="3">
        <v>2571</v>
      </c>
      <c r="B2572" s="3" t="s">
        <v>2994</v>
      </c>
      <c r="C2572" s="3" t="s">
        <v>3474</v>
      </c>
      <c r="D2572" s="3" t="s">
        <v>502</v>
      </c>
      <c r="E2572" s="3" t="s">
        <v>503</v>
      </c>
      <c r="F2572" s="3"/>
      <c r="G2572" s="3"/>
      <c r="H2572" s="3"/>
      <c r="I2572" s="3"/>
      <c r="J2572" s="3" t="s">
        <v>1700</v>
      </c>
      <c r="K2572" s="27" t="s">
        <v>1252</v>
      </c>
    </row>
    <row r="2573" ht="18.6" customHeight="1" spans="1:11">
      <c r="A2573" s="3">
        <v>2572</v>
      </c>
      <c r="B2573" s="3" t="s">
        <v>2995</v>
      </c>
      <c r="C2573" s="3" t="s">
        <v>3474</v>
      </c>
      <c r="D2573" s="3" t="s">
        <v>502</v>
      </c>
      <c r="E2573" s="3" t="s">
        <v>503</v>
      </c>
      <c r="F2573" s="3"/>
      <c r="G2573" s="3"/>
      <c r="H2573" s="3"/>
      <c r="I2573" s="3"/>
      <c r="J2573" s="3" t="s">
        <v>1700</v>
      </c>
      <c r="K2573" s="27" t="s">
        <v>1252</v>
      </c>
    </row>
    <row r="2574" ht="18.6" customHeight="1" spans="1:11">
      <c r="A2574" s="3">
        <v>2573</v>
      </c>
      <c r="B2574" s="3" t="s">
        <v>2996</v>
      </c>
      <c r="C2574" s="3" t="s">
        <v>3474</v>
      </c>
      <c r="D2574" s="3" t="s">
        <v>502</v>
      </c>
      <c r="E2574" s="3" t="s">
        <v>515</v>
      </c>
      <c r="F2574" s="3"/>
      <c r="G2574" s="3"/>
      <c r="H2574" s="3"/>
      <c r="I2574" s="3"/>
      <c r="J2574" s="3" t="s">
        <v>1700</v>
      </c>
      <c r="K2574" s="27" t="s">
        <v>1252</v>
      </c>
    </row>
    <row r="2575" ht="18.6" customHeight="1" spans="1:11">
      <c r="A2575" s="3">
        <v>2574</v>
      </c>
      <c r="B2575" s="3" t="s">
        <v>2997</v>
      </c>
      <c r="C2575" s="3" t="s">
        <v>3474</v>
      </c>
      <c r="D2575" s="3" t="s">
        <v>502</v>
      </c>
      <c r="E2575" s="3" t="s">
        <v>520</v>
      </c>
      <c r="F2575" s="3"/>
      <c r="G2575" s="3"/>
      <c r="H2575" s="3"/>
      <c r="I2575" s="3"/>
      <c r="J2575" s="3" t="s">
        <v>1700</v>
      </c>
      <c r="K2575" s="27" t="s">
        <v>1252</v>
      </c>
    </row>
    <row r="2576" ht="18.6" customHeight="1" spans="1:11">
      <c r="A2576" s="3">
        <v>2575</v>
      </c>
      <c r="B2576" s="3" t="s">
        <v>2998</v>
      </c>
      <c r="C2576" s="3" t="s">
        <v>3474</v>
      </c>
      <c r="D2576" s="3" t="s">
        <v>502</v>
      </c>
      <c r="E2576" s="3" t="s">
        <v>509</v>
      </c>
      <c r="F2576" s="3"/>
      <c r="G2576" s="3"/>
      <c r="H2576" s="3"/>
      <c r="I2576" s="3"/>
      <c r="J2576" s="3" t="s">
        <v>1700</v>
      </c>
      <c r="K2576" s="27" t="s">
        <v>1252</v>
      </c>
    </row>
    <row r="2577" ht="18.6" customHeight="1" spans="1:11">
      <c r="A2577" s="3">
        <v>2576</v>
      </c>
      <c r="B2577" s="3" t="s">
        <v>2999</v>
      </c>
      <c r="C2577" s="3" t="s">
        <v>3474</v>
      </c>
      <c r="D2577" s="3" t="s">
        <v>502</v>
      </c>
      <c r="E2577" s="3" t="s">
        <v>524</v>
      </c>
      <c r="F2577" s="3"/>
      <c r="G2577" s="3"/>
      <c r="H2577" s="3"/>
      <c r="I2577" s="3"/>
      <c r="J2577" s="3" t="s">
        <v>1700</v>
      </c>
      <c r="K2577" s="27" t="s">
        <v>1252</v>
      </c>
    </row>
    <row r="2578" ht="18.6" customHeight="1" spans="1:11">
      <c r="A2578" s="3">
        <v>2577</v>
      </c>
      <c r="B2578" s="3" t="s">
        <v>3000</v>
      </c>
      <c r="C2578" s="3" t="s">
        <v>3474</v>
      </c>
      <c r="D2578" s="3" t="s">
        <v>502</v>
      </c>
      <c r="E2578" s="3" t="s">
        <v>503</v>
      </c>
      <c r="F2578" s="3"/>
      <c r="G2578" s="3"/>
      <c r="H2578" s="3"/>
      <c r="I2578" s="3"/>
      <c r="J2578" s="3" t="s">
        <v>1700</v>
      </c>
      <c r="K2578" s="27" t="s">
        <v>1252</v>
      </c>
    </row>
    <row r="2579" ht="18.6" customHeight="1" spans="1:11">
      <c r="A2579" s="3">
        <v>2578</v>
      </c>
      <c r="B2579" s="3" t="s">
        <v>3001</v>
      </c>
      <c r="C2579" s="3" t="s">
        <v>3474</v>
      </c>
      <c r="D2579" s="3" t="s">
        <v>502</v>
      </c>
      <c r="E2579" s="3" t="s">
        <v>511</v>
      </c>
      <c r="F2579" s="3"/>
      <c r="G2579" s="3"/>
      <c r="H2579" s="3"/>
      <c r="I2579" s="3"/>
      <c r="J2579" s="3" t="s">
        <v>1700</v>
      </c>
      <c r="K2579" s="27" t="s">
        <v>1252</v>
      </c>
    </row>
    <row r="2580" ht="18.6" customHeight="1" spans="1:11">
      <c r="A2580" s="3">
        <v>2579</v>
      </c>
      <c r="B2580" s="3" t="s">
        <v>3002</v>
      </c>
      <c r="C2580" s="3" t="s">
        <v>3474</v>
      </c>
      <c r="D2580" s="3" t="s">
        <v>502</v>
      </c>
      <c r="E2580" s="3" t="s">
        <v>503</v>
      </c>
      <c r="F2580" s="3"/>
      <c r="G2580" s="3"/>
      <c r="H2580" s="3"/>
      <c r="I2580" s="3"/>
      <c r="J2580" s="3" t="s">
        <v>1700</v>
      </c>
      <c r="K2580" s="27" t="s">
        <v>1252</v>
      </c>
    </row>
    <row r="2581" ht="18.6" customHeight="1" spans="1:11">
      <c r="A2581" s="3">
        <v>2580</v>
      </c>
      <c r="B2581" s="3" t="s">
        <v>3003</v>
      </c>
      <c r="C2581" s="3" t="s">
        <v>3474</v>
      </c>
      <c r="D2581" s="3" t="s">
        <v>502</v>
      </c>
      <c r="E2581" s="3" t="s">
        <v>526</v>
      </c>
      <c r="F2581" s="3"/>
      <c r="G2581" s="3"/>
      <c r="H2581" s="3"/>
      <c r="I2581" s="3"/>
      <c r="J2581" s="3" t="s">
        <v>1700</v>
      </c>
      <c r="K2581" s="27" t="s">
        <v>1252</v>
      </c>
    </row>
    <row r="2582" ht="18.6" customHeight="1" spans="1:11">
      <c r="A2582" s="3">
        <v>2581</v>
      </c>
      <c r="B2582" s="3" t="s">
        <v>3004</v>
      </c>
      <c r="C2582" s="3" t="s">
        <v>3474</v>
      </c>
      <c r="D2582" s="3" t="s">
        <v>502</v>
      </c>
      <c r="E2582" s="3" t="s">
        <v>533</v>
      </c>
      <c r="F2582" s="3"/>
      <c r="G2582" s="3"/>
      <c r="H2582" s="3"/>
      <c r="I2582" s="3"/>
      <c r="J2582" s="3" t="s">
        <v>1700</v>
      </c>
      <c r="K2582" s="27" t="s">
        <v>1252</v>
      </c>
    </row>
    <row r="2583" ht="18.6" customHeight="1" spans="1:11">
      <c r="A2583" s="3">
        <v>2582</v>
      </c>
      <c r="B2583" s="3" t="s">
        <v>3005</v>
      </c>
      <c r="C2583" s="3" t="s">
        <v>3490</v>
      </c>
      <c r="D2583" s="3" t="s">
        <v>553</v>
      </c>
      <c r="E2583" s="3" t="s">
        <v>558</v>
      </c>
      <c r="F2583" s="3"/>
      <c r="G2583" s="3"/>
      <c r="H2583" s="3"/>
      <c r="I2583" s="3"/>
      <c r="J2583" s="3" t="s">
        <v>1700</v>
      </c>
      <c r="K2583" s="27" t="s">
        <v>1252</v>
      </c>
    </row>
    <row r="2584" ht="18.6" customHeight="1" spans="1:11">
      <c r="A2584" s="3">
        <v>2583</v>
      </c>
      <c r="B2584" s="3" t="s">
        <v>3006</v>
      </c>
      <c r="C2584" s="3" t="s">
        <v>3490</v>
      </c>
      <c r="D2584" s="3" t="s">
        <v>553</v>
      </c>
      <c r="E2584" s="3" t="s">
        <v>558</v>
      </c>
      <c r="F2584" s="3"/>
      <c r="G2584" s="3"/>
      <c r="H2584" s="3"/>
      <c r="I2584" s="3"/>
      <c r="J2584" s="3" t="s">
        <v>1700</v>
      </c>
      <c r="K2584" s="27" t="s">
        <v>1252</v>
      </c>
    </row>
    <row r="2585" ht="18.6" customHeight="1" spans="1:11">
      <c r="A2585" s="3">
        <v>2584</v>
      </c>
      <c r="B2585" s="3" t="s">
        <v>3007</v>
      </c>
      <c r="C2585" s="3" t="s">
        <v>3490</v>
      </c>
      <c r="D2585" s="3" t="s">
        <v>553</v>
      </c>
      <c r="E2585" s="3" t="s">
        <v>556</v>
      </c>
      <c r="F2585" s="3"/>
      <c r="G2585" s="3"/>
      <c r="H2585" s="3"/>
      <c r="I2585" s="3"/>
      <c r="J2585" s="3" t="s">
        <v>1700</v>
      </c>
      <c r="K2585" s="27" t="s">
        <v>1252</v>
      </c>
    </row>
    <row r="2586" ht="18.6" customHeight="1" spans="1:11">
      <c r="A2586" s="3">
        <v>2585</v>
      </c>
      <c r="B2586" s="3" t="s">
        <v>3008</v>
      </c>
      <c r="C2586" s="3" t="s">
        <v>3490</v>
      </c>
      <c r="D2586" s="3" t="s">
        <v>553</v>
      </c>
      <c r="E2586" s="3" t="s">
        <v>556</v>
      </c>
      <c r="F2586" s="3"/>
      <c r="G2586" s="3"/>
      <c r="H2586" s="3"/>
      <c r="I2586" s="3" t="s">
        <v>3769</v>
      </c>
      <c r="J2586" s="3" t="s">
        <v>1700</v>
      </c>
      <c r="K2586" s="27" t="s">
        <v>1252</v>
      </c>
    </row>
    <row r="2587" ht="18.6" customHeight="1" spans="1:11">
      <c r="A2587" s="3">
        <v>2586</v>
      </c>
      <c r="B2587" s="3" t="s">
        <v>3009</v>
      </c>
      <c r="C2587" s="3" t="s">
        <v>3490</v>
      </c>
      <c r="D2587" s="3" t="s">
        <v>553</v>
      </c>
      <c r="E2587" s="3" t="s">
        <v>558</v>
      </c>
      <c r="F2587" s="3"/>
      <c r="G2587" s="3"/>
      <c r="H2587" s="3"/>
      <c r="I2587" s="3"/>
      <c r="J2587" s="3" t="s">
        <v>1700</v>
      </c>
      <c r="K2587" s="27" t="s">
        <v>1252</v>
      </c>
    </row>
    <row r="2588" ht="18.6" customHeight="1" spans="1:11">
      <c r="A2588" s="3">
        <v>2587</v>
      </c>
      <c r="B2588" s="3" t="s">
        <v>3010</v>
      </c>
      <c r="C2588" s="3" t="s">
        <v>3490</v>
      </c>
      <c r="D2588" s="3" t="s">
        <v>553</v>
      </c>
      <c r="E2588" s="3" t="s">
        <v>554</v>
      </c>
      <c r="F2588" s="3"/>
      <c r="G2588" s="3"/>
      <c r="H2588" s="3"/>
      <c r="I2588" s="3"/>
      <c r="J2588" s="3" t="s">
        <v>1700</v>
      </c>
      <c r="K2588" s="27" t="s">
        <v>1252</v>
      </c>
    </row>
    <row r="2589" ht="18.6" customHeight="1" spans="1:11">
      <c r="A2589" s="3">
        <v>2588</v>
      </c>
      <c r="B2589" s="3" t="s">
        <v>3011</v>
      </c>
      <c r="C2589" s="3" t="s">
        <v>3490</v>
      </c>
      <c r="D2589" s="3" t="s">
        <v>553</v>
      </c>
      <c r="E2589" s="3" t="s">
        <v>554</v>
      </c>
      <c r="F2589" s="3"/>
      <c r="G2589" s="3"/>
      <c r="H2589" s="3"/>
      <c r="I2589" s="3"/>
      <c r="J2589" s="3" t="s">
        <v>1700</v>
      </c>
      <c r="K2589" s="27" t="s">
        <v>1252</v>
      </c>
    </row>
    <row r="2590" ht="18.6" customHeight="1" spans="1:11">
      <c r="A2590" s="3">
        <v>2589</v>
      </c>
      <c r="B2590" s="3" t="s">
        <v>3012</v>
      </c>
      <c r="C2590" s="3" t="s">
        <v>3490</v>
      </c>
      <c r="D2590" s="3" t="s">
        <v>553</v>
      </c>
      <c r="E2590" s="3" t="s">
        <v>558</v>
      </c>
      <c r="F2590" s="3"/>
      <c r="G2590" s="3"/>
      <c r="H2590" s="3"/>
      <c r="I2590" s="3"/>
      <c r="J2590" s="3" t="s">
        <v>1700</v>
      </c>
      <c r="K2590" s="27" t="s">
        <v>1252</v>
      </c>
    </row>
    <row r="2591" ht="18.6" customHeight="1" spans="1:11">
      <c r="A2591" s="3">
        <v>2590</v>
      </c>
      <c r="B2591" s="3" t="s">
        <v>3013</v>
      </c>
      <c r="C2591" s="3" t="s">
        <v>3490</v>
      </c>
      <c r="D2591" s="3" t="s">
        <v>553</v>
      </c>
      <c r="E2591" s="3" t="s">
        <v>558</v>
      </c>
      <c r="F2591" s="3"/>
      <c r="G2591" s="3"/>
      <c r="H2591" s="3"/>
      <c r="I2591" s="3" t="s">
        <v>3769</v>
      </c>
      <c r="J2591" s="3" t="s">
        <v>1700</v>
      </c>
      <c r="K2591" s="27" t="s">
        <v>1252</v>
      </c>
    </row>
    <row r="2592" ht="18.6" customHeight="1" spans="1:11">
      <c r="A2592" s="3">
        <v>2591</v>
      </c>
      <c r="B2592" s="3" t="s">
        <v>3014</v>
      </c>
      <c r="C2592" s="3" t="s">
        <v>3490</v>
      </c>
      <c r="D2592" s="3" t="s">
        <v>553</v>
      </c>
      <c r="E2592" s="3" t="s">
        <v>554</v>
      </c>
      <c r="F2592" s="3"/>
      <c r="G2592" s="3"/>
      <c r="H2592" s="3"/>
      <c r="I2592" s="3"/>
      <c r="J2592" s="3" t="s">
        <v>1700</v>
      </c>
      <c r="K2592" s="27" t="s">
        <v>1252</v>
      </c>
    </row>
    <row r="2593" ht="18.6" customHeight="1" spans="1:11">
      <c r="A2593" s="3">
        <v>2592</v>
      </c>
      <c r="B2593" s="3" t="s">
        <v>3015</v>
      </c>
      <c r="C2593" s="3" t="s">
        <v>3490</v>
      </c>
      <c r="D2593" s="3" t="s">
        <v>553</v>
      </c>
      <c r="E2593" s="3" t="s">
        <v>554</v>
      </c>
      <c r="F2593" s="3"/>
      <c r="G2593" s="3"/>
      <c r="H2593" s="3"/>
      <c r="I2593" s="3"/>
      <c r="J2593" s="3" t="s">
        <v>1700</v>
      </c>
      <c r="K2593" s="27" t="s">
        <v>1252</v>
      </c>
    </row>
    <row r="2594" ht="18.6" customHeight="1" spans="1:11">
      <c r="A2594" s="3">
        <v>2593</v>
      </c>
      <c r="B2594" s="3" t="s">
        <v>3016</v>
      </c>
      <c r="C2594" s="3" t="s">
        <v>3490</v>
      </c>
      <c r="D2594" s="3" t="s">
        <v>553</v>
      </c>
      <c r="E2594" s="3" t="s">
        <v>554</v>
      </c>
      <c r="F2594" s="3"/>
      <c r="G2594" s="3"/>
      <c r="H2594" s="3"/>
      <c r="I2594" s="3" t="s">
        <v>3769</v>
      </c>
      <c r="J2594" s="3" t="s">
        <v>1700</v>
      </c>
      <c r="K2594" s="27" t="s">
        <v>1252</v>
      </c>
    </row>
    <row r="2595" ht="18.6" customHeight="1" spans="1:11">
      <c r="A2595" s="3">
        <v>2594</v>
      </c>
      <c r="B2595" s="3" t="s">
        <v>3017</v>
      </c>
      <c r="C2595" s="3" t="s">
        <v>3490</v>
      </c>
      <c r="D2595" s="3" t="s">
        <v>553</v>
      </c>
      <c r="E2595" s="3" t="s">
        <v>554</v>
      </c>
      <c r="F2595" s="3"/>
      <c r="G2595" s="3"/>
      <c r="H2595" s="3"/>
      <c r="I2595" s="3"/>
      <c r="J2595" s="3" t="s">
        <v>1700</v>
      </c>
      <c r="K2595" s="27" t="s">
        <v>1252</v>
      </c>
    </row>
    <row r="2596" ht="18.6" customHeight="1" spans="1:11">
      <c r="A2596" s="3">
        <v>2595</v>
      </c>
      <c r="B2596" s="3" t="s">
        <v>3018</v>
      </c>
      <c r="C2596" s="3" t="s">
        <v>3490</v>
      </c>
      <c r="D2596" s="3" t="s">
        <v>553</v>
      </c>
      <c r="E2596" s="3" t="s">
        <v>572</v>
      </c>
      <c r="F2596" s="3"/>
      <c r="G2596" s="3"/>
      <c r="H2596" s="3"/>
      <c r="I2596" s="3" t="s">
        <v>3769</v>
      </c>
      <c r="J2596" s="3" t="s">
        <v>1700</v>
      </c>
      <c r="K2596" s="27" t="s">
        <v>1252</v>
      </c>
    </row>
    <row r="2597" ht="18.6" customHeight="1" spans="1:11">
      <c r="A2597" s="3">
        <v>2596</v>
      </c>
      <c r="B2597" s="3" t="s">
        <v>3019</v>
      </c>
      <c r="C2597" s="3" t="s">
        <v>3490</v>
      </c>
      <c r="D2597" s="3" t="s">
        <v>553</v>
      </c>
      <c r="E2597" s="3" t="s">
        <v>572</v>
      </c>
      <c r="F2597" s="3"/>
      <c r="G2597" s="3"/>
      <c r="H2597" s="3"/>
      <c r="I2597" s="3" t="s">
        <v>3769</v>
      </c>
      <c r="J2597" s="3" t="s">
        <v>1700</v>
      </c>
      <c r="K2597" s="27" t="s">
        <v>1252</v>
      </c>
    </row>
    <row r="2598" ht="18.6" customHeight="1" spans="1:11">
      <c r="A2598" s="3">
        <v>2597</v>
      </c>
      <c r="B2598" s="3" t="s">
        <v>3020</v>
      </c>
      <c r="C2598" s="3" t="s">
        <v>3490</v>
      </c>
      <c r="D2598" s="3" t="s">
        <v>553</v>
      </c>
      <c r="E2598" s="3" t="s">
        <v>567</v>
      </c>
      <c r="F2598" s="3"/>
      <c r="G2598" s="3"/>
      <c r="H2598" s="3"/>
      <c r="I2598" s="3"/>
      <c r="J2598" s="3" t="s">
        <v>1700</v>
      </c>
      <c r="K2598" s="27" t="s">
        <v>1252</v>
      </c>
    </row>
    <row r="2599" ht="18.6" customHeight="1" spans="1:11">
      <c r="A2599" s="3">
        <v>2598</v>
      </c>
      <c r="B2599" s="3" t="s">
        <v>3021</v>
      </c>
      <c r="C2599" s="3" t="s">
        <v>3490</v>
      </c>
      <c r="D2599" s="3" t="s">
        <v>553</v>
      </c>
      <c r="E2599" s="3" t="s">
        <v>556</v>
      </c>
      <c r="F2599" s="3"/>
      <c r="G2599" s="3"/>
      <c r="H2599" s="3"/>
      <c r="I2599" s="3" t="s">
        <v>3770</v>
      </c>
      <c r="J2599" s="3" t="s">
        <v>1700</v>
      </c>
      <c r="K2599" s="27" t="s">
        <v>1252</v>
      </c>
    </row>
    <row r="2600" ht="18.6" customHeight="1" spans="1:11">
      <c r="A2600" s="3">
        <v>2599</v>
      </c>
      <c r="B2600" s="3" t="s">
        <v>3022</v>
      </c>
      <c r="C2600" s="3" t="s">
        <v>3490</v>
      </c>
      <c r="D2600" s="3" t="s">
        <v>553</v>
      </c>
      <c r="E2600" s="3" t="s">
        <v>556</v>
      </c>
      <c r="F2600" s="3"/>
      <c r="G2600" s="3"/>
      <c r="H2600" s="3"/>
      <c r="I2600" s="3" t="s">
        <v>3769</v>
      </c>
      <c r="J2600" s="3" t="s">
        <v>1700</v>
      </c>
      <c r="K2600" s="27" t="s">
        <v>1252</v>
      </c>
    </row>
    <row r="2601" ht="18.6" customHeight="1" spans="1:11">
      <c r="A2601" s="3">
        <v>2600</v>
      </c>
      <c r="B2601" s="3" t="s">
        <v>3023</v>
      </c>
      <c r="C2601" s="3" t="s">
        <v>3490</v>
      </c>
      <c r="D2601" s="3" t="s">
        <v>553</v>
      </c>
      <c r="E2601" s="3" t="s">
        <v>554</v>
      </c>
      <c r="F2601" s="3"/>
      <c r="G2601" s="3"/>
      <c r="H2601" s="3"/>
      <c r="I2601" s="3"/>
      <c r="J2601" s="3" t="s">
        <v>1700</v>
      </c>
      <c r="K2601" s="27" t="s">
        <v>1252</v>
      </c>
    </row>
    <row r="2602" ht="18.6" customHeight="1" spans="1:11">
      <c r="A2602" s="3">
        <v>2601</v>
      </c>
      <c r="B2602" s="3" t="s">
        <v>3024</v>
      </c>
      <c r="C2602" s="3" t="s">
        <v>3490</v>
      </c>
      <c r="D2602" s="3" t="s">
        <v>553</v>
      </c>
      <c r="E2602" s="3" t="s">
        <v>556</v>
      </c>
      <c r="F2602" s="3"/>
      <c r="G2602" s="3"/>
      <c r="H2602" s="3"/>
      <c r="I2602" s="3"/>
      <c r="J2602" s="3" t="s">
        <v>1700</v>
      </c>
      <c r="K2602" s="27" t="s">
        <v>1252</v>
      </c>
    </row>
    <row r="2603" ht="18.6" customHeight="1" spans="1:11">
      <c r="A2603" s="3">
        <v>2602</v>
      </c>
      <c r="B2603" s="3" t="s">
        <v>3025</v>
      </c>
      <c r="C2603" s="3" t="s">
        <v>3499</v>
      </c>
      <c r="D2603" s="3" t="s">
        <v>587</v>
      </c>
      <c r="E2603" s="3" t="s">
        <v>588</v>
      </c>
      <c r="F2603" s="3"/>
      <c r="G2603" s="3"/>
      <c r="H2603" s="3"/>
      <c r="I2603" s="3"/>
      <c r="J2603" s="3" t="s">
        <v>1700</v>
      </c>
      <c r="K2603" s="27" t="s">
        <v>1252</v>
      </c>
    </row>
    <row r="2604" ht="18.6" customHeight="1" spans="1:11">
      <c r="A2604" s="3">
        <v>2603</v>
      </c>
      <c r="B2604" s="3" t="s">
        <v>3026</v>
      </c>
      <c r="C2604" s="3" t="s">
        <v>3499</v>
      </c>
      <c r="D2604" s="3" t="s">
        <v>587</v>
      </c>
      <c r="E2604" s="3" t="s">
        <v>588</v>
      </c>
      <c r="F2604" s="3"/>
      <c r="G2604" s="3"/>
      <c r="H2604" s="3"/>
      <c r="I2604" s="3"/>
      <c r="J2604" s="3" t="s">
        <v>1700</v>
      </c>
      <c r="K2604" s="27" t="s">
        <v>1252</v>
      </c>
    </row>
    <row r="2605" ht="18.6" customHeight="1" spans="1:11">
      <c r="A2605" s="3">
        <v>2604</v>
      </c>
      <c r="B2605" s="3" t="s">
        <v>3027</v>
      </c>
      <c r="C2605" s="3" t="s">
        <v>3499</v>
      </c>
      <c r="D2605" s="3" t="s">
        <v>587</v>
      </c>
      <c r="E2605" s="3" t="s">
        <v>616</v>
      </c>
      <c r="F2605" s="3"/>
      <c r="G2605" s="3"/>
      <c r="H2605" s="3"/>
      <c r="I2605" s="3"/>
      <c r="J2605" s="3" t="s">
        <v>1700</v>
      </c>
      <c r="K2605" s="27" t="s">
        <v>1252</v>
      </c>
    </row>
    <row r="2606" ht="18.6" customHeight="1" spans="1:11">
      <c r="A2606" s="3">
        <v>2605</v>
      </c>
      <c r="B2606" s="3" t="s">
        <v>3028</v>
      </c>
      <c r="C2606" s="3" t="s">
        <v>3499</v>
      </c>
      <c r="D2606" s="3" t="s">
        <v>587</v>
      </c>
      <c r="E2606" s="3" t="s">
        <v>616</v>
      </c>
      <c r="F2606" s="3"/>
      <c r="G2606" s="3"/>
      <c r="H2606" s="3"/>
      <c r="I2606" s="3" t="s">
        <v>3769</v>
      </c>
      <c r="J2606" s="3" t="s">
        <v>1700</v>
      </c>
      <c r="K2606" s="27" t="s">
        <v>1252</v>
      </c>
    </row>
    <row r="2607" ht="18.6" customHeight="1" spans="1:11">
      <c r="A2607" s="3">
        <v>2606</v>
      </c>
      <c r="B2607" s="3" t="s">
        <v>3029</v>
      </c>
      <c r="C2607" s="3" t="s">
        <v>3499</v>
      </c>
      <c r="D2607" s="3" t="s">
        <v>587</v>
      </c>
      <c r="E2607" s="3" t="s">
        <v>618</v>
      </c>
      <c r="F2607" s="3"/>
      <c r="G2607" s="3"/>
      <c r="H2607" s="3"/>
      <c r="I2607" s="3"/>
      <c r="J2607" s="3" t="s">
        <v>1700</v>
      </c>
      <c r="K2607" s="27" t="s">
        <v>1252</v>
      </c>
    </row>
    <row r="2608" ht="18.6" customHeight="1" spans="1:11">
      <c r="A2608" s="3">
        <v>2607</v>
      </c>
      <c r="B2608" s="3" t="s">
        <v>3505</v>
      </c>
      <c r="C2608" s="3" t="s">
        <v>3499</v>
      </c>
      <c r="D2608" s="3" t="s">
        <v>587</v>
      </c>
      <c r="E2608" s="3" t="s">
        <v>588</v>
      </c>
      <c r="F2608" s="3"/>
      <c r="G2608" s="3"/>
      <c r="H2608" s="3"/>
      <c r="I2608" s="3"/>
      <c r="J2608" s="3" t="s">
        <v>1700</v>
      </c>
      <c r="K2608" s="27" t="s">
        <v>1252</v>
      </c>
    </row>
    <row r="2609" ht="18.6" customHeight="1" spans="1:11">
      <c r="A2609" s="3">
        <v>2608</v>
      </c>
      <c r="B2609" s="3" t="s">
        <v>3030</v>
      </c>
      <c r="C2609" s="3" t="s">
        <v>3499</v>
      </c>
      <c r="D2609" s="3" t="s">
        <v>587</v>
      </c>
      <c r="E2609" s="3" t="s">
        <v>588</v>
      </c>
      <c r="F2609" s="3"/>
      <c r="G2609" s="3"/>
      <c r="H2609" s="3"/>
      <c r="I2609" s="3"/>
      <c r="J2609" s="3" t="s">
        <v>1700</v>
      </c>
      <c r="K2609" s="27" t="s">
        <v>1252</v>
      </c>
    </row>
    <row r="2610" ht="18.6" customHeight="1" spans="1:11">
      <c r="A2610" s="3">
        <v>2609</v>
      </c>
      <c r="B2610" s="3" t="s">
        <v>3031</v>
      </c>
      <c r="C2610" s="3" t="s">
        <v>3499</v>
      </c>
      <c r="D2610" s="3" t="s">
        <v>587</v>
      </c>
      <c r="E2610" s="3" t="s">
        <v>596</v>
      </c>
      <c r="F2610" s="3"/>
      <c r="G2610" s="3"/>
      <c r="H2610" s="3"/>
      <c r="I2610" s="3"/>
      <c r="J2610" s="3" t="s">
        <v>1700</v>
      </c>
      <c r="K2610" s="27" t="s">
        <v>1252</v>
      </c>
    </row>
    <row r="2611" ht="18.6" customHeight="1" spans="1:11">
      <c r="A2611" s="3">
        <v>2610</v>
      </c>
      <c r="B2611" s="3" t="s">
        <v>3840</v>
      </c>
      <c r="C2611" s="3" t="s">
        <v>3499</v>
      </c>
      <c r="D2611" s="3" t="s">
        <v>587</v>
      </c>
      <c r="E2611" s="3" t="s">
        <v>618</v>
      </c>
      <c r="F2611" s="3"/>
      <c r="G2611" s="3"/>
      <c r="H2611" s="3"/>
      <c r="I2611" s="3" t="s">
        <v>3769</v>
      </c>
      <c r="J2611" s="3" t="s">
        <v>1700</v>
      </c>
      <c r="K2611" s="27" t="s">
        <v>1252</v>
      </c>
    </row>
    <row r="2612" ht="18.6" customHeight="1" spans="1:11">
      <c r="A2612" s="3">
        <v>2611</v>
      </c>
      <c r="B2612" s="3" t="s">
        <v>3032</v>
      </c>
      <c r="C2612" s="3" t="s">
        <v>3499</v>
      </c>
      <c r="D2612" s="3" t="s">
        <v>587</v>
      </c>
      <c r="E2612" s="3" t="s">
        <v>604</v>
      </c>
      <c r="F2612" s="3"/>
      <c r="G2612" s="3"/>
      <c r="H2612" s="3"/>
      <c r="I2612" s="3"/>
      <c r="J2612" s="3" t="s">
        <v>1700</v>
      </c>
      <c r="K2612" s="27" t="s">
        <v>1252</v>
      </c>
    </row>
    <row r="2613" ht="18.6" customHeight="1" spans="1:11">
      <c r="A2613" s="3">
        <v>2612</v>
      </c>
      <c r="B2613" s="3" t="s">
        <v>3033</v>
      </c>
      <c r="C2613" s="3" t="s">
        <v>3499</v>
      </c>
      <c r="D2613" s="3" t="s">
        <v>587</v>
      </c>
      <c r="E2613" s="3" t="s">
        <v>588</v>
      </c>
      <c r="F2613" s="3"/>
      <c r="G2613" s="3"/>
      <c r="H2613" s="3"/>
      <c r="I2613" s="3"/>
      <c r="J2613" s="3" t="s">
        <v>1700</v>
      </c>
      <c r="K2613" s="27" t="s">
        <v>1252</v>
      </c>
    </row>
    <row r="2614" ht="18.6" customHeight="1" spans="1:11">
      <c r="A2614" s="3">
        <v>2613</v>
      </c>
      <c r="B2614" s="3" t="s">
        <v>3034</v>
      </c>
      <c r="C2614" s="3" t="s">
        <v>3499</v>
      </c>
      <c r="D2614" s="3" t="s">
        <v>587</v>
      </c>
      <c r="E2614" s="3" t="s">
        <v>618</v>
      </c>
      <c r="F2614" s="3"/>
      <c r="G2614" s="3"/>
      <c r="H2614" s="3"/>
      <c r="I2614" s="3"/>
      <c r="J2614" s="3" t="s">
        <v>1700</v>
      </c>
      <c r="K2614" s="27" t="s">
        <v>1252</v>
      </c>
    </row>
    <row r="2615" ht="18.6" customHeight="1" spans="1:11">
      <c r="A2615" s="3">
        <v>2614</v>
      </c>
      <c r="B2615" s="3" t="s">
        <v>3035</v>
      </c>
      <c r="C2615" s="3" t="s">
        <v>3499</v>
      </c>
      <c r="D2615" s="3" t="s">
        <v>587</v>
      </c>
      <c r="E2615" s="3" t="s">
        <v>594</v>
      </c>
      <c r="F2615" s="3"/>
      <c r="G2615" s="3"/>
      <c r="H2615" s="3"/>
      <c r="I2615" s="3"/>
      <c r="J2615" s="3" t="s">
        <v>1700</v>
      </c>
      <c r="K2615" s="27" t="s">
        <v>1252</v>
      </c>
    </row>
    <row r="2616" ht="18.6" customHeight="1" spans="1:11">
      <c r="A2616" s="3">
        <v>2615</v>
      </c>
      <c r="B2616" s="3" t="s">
        <v>3036</v>
      </c>
      <c r="C2616" s="3" t="s">
        <v>3521</v>
      </c>
      <c r="D2616" s="3" t="s">
        <v>628</v>
      </c>
      <c r="E2616" s="3" t="s">
        <v>651</v>
      </c>
      <c r="F2616" s="3"/>
      <c r="G2616" s="3"/>
      <c r="H2616" s="3"/>
      <c r="I2616" s="3"/>
      <c r="J2616" s="3" t="s">
        <v>1700</v>
      </c>
      <c r="K2616" s="27" t="s">
        <v>1252</v>
      </c>
    </row>
    <row r="2617" ht="18.6" customHeight="1" spans="1:11">
      <c r="A2617" s="3">
        <v>2616</v>
      </c>
      <c r="B2617" s="3" t="s">
        <v>3037</v>
      </c>
      <c r="C2617" s="3" t="s">
        <v>3521</v>
      </c>
      <c r="D2617" s="3" t="s">
        <v>628</v>
      </c>
      <c r="E2617" s="3" t="s">
        <v>657</v>
      </c>
      <c r="F2617" s="3"/>
      <c r="G2617" s="3"/>
      <c r="H2617" s="3"/>
      <c r="I2617" s="3" t="s">
        <v>3770</v>
      </c>
      <c r="J2617" s="3" t="s">
        <v>1700</v>
      </c>
      <c r="K2617" s="27" t="s">
        <v>1252</v>
      </c>
    </row>
    <row r="2618" ht="18.6" customHeight="1" spans="1:11">
      <c r="A2618" s="3">
        <v>2617</v>
      </c>
      <c r="B2618" s="3" t="s">
        <v>3038</v>
      </c>
      <c r="C2618" s="3" t="s">
        <v>3521</v>
      </c>
      <c r="D2618" s="3" t="s">
        <v>628</v>
      </c>
      <c r="E2618" s="3" t="s">
        <v>642</v>
      </c>
      <c r="F2618" s="3"/>
      <c r="G2618" s="3"/>
      <c r="H2618" s="3"/>
      <c r="I2618" s="3" t="s">
        <v>3769</v>
      </c>
      <c r="J2618" s="3" t="s">
        <v>1700</v>
      </c>
      <c r="K2618" s="27" t="s">
        <v>1252</v>
      </c>
    </row>
    <row r="2619" ht="18.6" customHeight="1" spans="1:11">
      <c r="A2619" s="3">
        <v>2618</v>
      </c>
      <c r="B2619" s="3" t="s">
        <v>3039</v>
      </c>
      <c r="C2619" s="3" t="s">
        <v>3521</v>
      </c>
      <c r="D2619" s="3" t="s">
        <v>628</v>
      </c>
      <c r="E2619" s="3" t="s">
        <v>629</v>
      </c>
      <c r="F2619" s="3"/>
      <c r="G2619" s="3"/>
      <c r="H2619" s="3"/>
      <c r="I2619" s="3"/>
      <c r="J2619" s="3" t="s">
        <v>1700</v>
      </c>
      <c r="K2619" s="27" t="s">
        <v>1252</v>
      </c>
    </row>
    <row r="2620" ht="18.6" customHeight="1" spans="1:11">
      <c r="A2620" s="3">
        <v>2619</v>
      </c>
      <c r="B2620" s="3" t="s">
        <v>3040</v>
      </c>
      <c r="C2620" s="3" t="s">
        <v>3521</v>
      </c>
      <c r="D2620" s="3" t="s">
        <v>628</v>
      </c>
      <c r="E2620" s="3" t="s">
        <v>631</v>
      </c>
      <c r="F2620" s="3"/>
      <c r="G2620" s="3"/>
      <c r="H2620" s="3"/>
      <c r="I2620" s="3"/>
      <c r="J2620" s="3" t="s">
        <v>1700</v>
      </c>
      <c r="K2620" s="27" t="s">
        <v>1252</v>
      </c>
    </row>
    <row r="2621" ht="18.6" customHeight="1" spans="1:11">
      <c r="A2621" s="3">
        <v>2620</v>
      </c>
      <c r="B2621" s="3" t="s">
        <v>2208</v>
      </c>
      <c r="C2621" s="3" t="s">
        <v>3521</v>
      </c>
      <c r="D2621" s="3" t="s">
        <v>628</v>
      </c>
      <c r="E2621" s="3" t="s">
        <v>681</v>
      </c>
      <c r="F2621" s="3"/>
      <c r="G2621" s="3"/>
      <c r="H2621" s="3"/>
      <c r="I2621" s="3"/>
      <c r="J2621" s="3" t="s">
        <v>1700</v>
      </c>
      <c r="K2621" s="27" t="s">
        <v>1252</v>
      </c>
    </row>
    <row r="2622" ht="18.6" customHeight="1" spans="1:11">
      <c r="A2622" s="3">
        <v>2621</v>
      </c>
      <c r="B2622" s="3" t="s">
        <v>3041</v>
      </c>
      <c r="C2622" s="3" t="s">
        <v>3521</v>
      </c>
      <c r="D2622" s="3" t="s">
        <v>628</v>
      </c>
      <c r="E2622" s="3" t="s">
        <v>631</v>
      </c>
      <c r="F2622" s="3"/>
      <c r="G2622" s="3"/>
      <c r="H2622" s="3"/>
      <c r="I2622" s="3"/>
      <c r="J2622" s="3" t="s">
        <v>1700</v>
      </c>
      <c r="K2622" s="27" t="s">
        <v>1252</v>
      </c>
    </row>
    <row r="2623" ht="18.6" customHeight="1" spans="1:11">
      <c r="A2623" s="3">
        <v>2622</v>
      </c>
      <c r="B2623" s="3" t="s">
        <v>3042</v>
      </c>
      <c r="C2623" s="3" t="s">
        <v>3521</v>
      </c>
      <c r="D2623" s="3" t="s">
        <v>628</v>
      </c>
      <c r="E2623" s="3" t="s">
        <v>645</v>
      </c>
      <c r="F2623" s="3"/>
      <c r="G2623" s="3"/>
      <c r="H2623" s="3"/>
      <c r="I2623" s="3"/>
      <c r="J2623" s="3" t="s">
        <v>1700</v>
      </c>
      <c r="K2623" s="27" t="s">
        <v>1252</v>
      </c>
    </row>
    <row r="2624" ht="18.6" customHeight="1" spans="1:11">
      <c r="A2624" s="3">
        <v>2623</v>
      </c>
      <c r="B2624" s="3" t="s">
        <v>3043</v>
      </c>
      <c r="C2624" s="3" t="s">
        <v>3521</v>
      </c>
      <c r="D2624" s="3" t="s">
        <v>628</v>
      </c>
      <c r="E2624" s="3" t="s">
        <v>629</v>
      </c>
      <c r="F2624" s="3"/>
      <c r="G2624" s="3"/>
      <c r="H2624" s="3"/>
      <c r="I2624" s="3"/>
      <c r="J2624" s="3" t="s">
        <v>1700</v>
      </c>
      <c r="K2624" s="27" t="s">
        <v>1252</v>
      </c>
    </row>
    <row r="2625" ht="18.6" customHeight="1" spans="1:11">
      <c r="A2625" s="3">
        <v>2624</v>
      </c>
      <c r="B2625" s="3" t="s">
        <v>3044</v>
      </c>
      <c r="C2625" s="3" t="s">
        <v>3521</v>
      </c>
      <c r="D2625" s="3" t="s">
        <v>628</v>
      </c>
      <c r="E2625" s="3" t="s">
        <v>631</v>
      </c>
      <c r="F2625" s="3"/>
      <c r="G2625" s="3"/>
      <c r="H2625" s="3"/>
      <c r="I2625" s="3"/>
      <c r="J2625" s="3" t="s">
        <v>1700</v>
      </c>
      <c r="K2625" s="27" t="s">
        <v>1252</v>
      </c>
    </row>
    <row r="2626" ht="18.6" customHeight="1" spans="1:11">
      <c r="A2626" s="3">
        <v>2625</v>
      </c>
      <c r="B2626" s="3" t="s">
        <v>3045</v>
      </c>
      <c r="C2626" s="3" t="s">
        <v>3521</v>
      </c>
      <c r="D2626" s="3" t="s">
        <v>628</v>
      </c>
      <c r="E2626" s="3" t="s">
        <v>645</v>
      </c>
      <c r="F2626" s="3"/>
      <c r="G2626" s="3"/>
      <c r="H2626" s="3"/>
      <c r="I2626" s="3"/>
      <c r="J2626" s="3" t="s">
        <v>1700</v>
      </c>
      <c r="K2626" s="27" t="s">
        <v>1252</v>
      </c>
    </row>
    <row r="2627" ht="18.6" customHeight="1" spans="1:11">
      <c r="A2627" s="3">
        <v>2626</v>
      </c>
      <c r="B2627" s="3" t="s">
        <v>3046</v>
      </c>
      <c r="C2627" s="3" t="s">
        <v>3521</v>
      </c>
      <c r="D2627" s="3" t="s">
        <v>628</v>
      </c>
      <c r="E2627" s="3" t="s">
        <v>629</v>
      </c>
      <c r="F2627" s="3"/>
      <c r="G2627" s="3"/>
      <c r="H2627" s="3"/>
      <c r="I2627" s="3"/>
      <c r="J2627" s="3" t="s">
        <v>1700</v>
      </c>
      <c r="K2627" s="27" t="s">
        <v>1252</v>
      </c>
    </row>
    <row r="2628" ht="18.6" customHeight="1" spans="1:11">
      <c r="A2628" s="3">
        <v>2627</v>
      </c>
      <c r="B2628" s="3" t="s">
        <v>3047</v>
      </c>
      <c r="C2628" s="3" t="s">
        <v>3521</v>
      </c>
      <c r="D2628" s="3" t="s">
        <v>628</v>
      </c>
      <c r="E2628" s="3" t="s">
        <v>660</v>
      </c>
      <c r="F2628" s="3"/>
      <c r="G2628" s="3"/>
      <c r="H2628" s="3"/>
      <c r="I2628" s="3"/>
      <c r="J2628" s="3" t="s">
        <v>1700</v>
      </c>
      <c r="K2628" s="27" t="s">
        <v>1252</v>
      </c>
    </row>
    <row r="2629" ht="18.6" customHeight="1" spans="1:11">
      <c r="A2629" s="3">
        <v>2628</v>
      </c>
      <c r="B2629" s="3" t="s">
        <v>3048</v>
      </c>
      <c r="C2629" s="3" t="s">
        <v>3521</v>
      </c>
      <c r="D2629" s="3" t="s">
        <v>628</v>
      </c>
      <c r="E2629" s="3" t="s">
        <v>688</v>
      </c>
      <c r="F2629" s="3"/>
      <c r="G2629" s="3"/>
      <c r="H2629" s="3"/>
      <c r="I2629" s="3"/>
      <c r="J2629" s="3" t="s">
        <v>1700</v>
      </c>
      <c r="K2629" s="27" t="s">
        <v>1252</v>
      </c>
    </row>
    <row r="2630" ht="18.6" customHeight="1" spans="1:11">
      <c r="A2630" s="3">
        <v>2629</v>
      </c>
      <c r="B2630" s="3" t="s">
        <v>3049</v>
      </c>
      <c r="C2630" s="3" t="s">
        <v>3521</v>
      </c>
      <c r="D2630" s="3" t="s">
        <v>628</v>
      </c>
      <c r="E2630" s="3" t="s">
        <v>631</v>
      </c>
      <c r="F2630" s="3"/>
      <c r="G2630" s="3"/>
      <c r="H2630" s="3"/>
      <c r="I2630" s="3"/>
      <c r="J2630" s="3" t="s">
        <v>1700</v>
      </c>
      <c r="K2630" s="27" t="s">
        <v>1252</v>
      </c>
    </row>
    <row r="2631" ht="18.6" customHeight="1" spans="1:11">
      <c r="A2631" s="3">
        <v>2630</v>
      </c>
      <c r="B2631" s="3" t="s">
        <v>3050</v>
      </c>
      <c r="C2631" s="3" t="s">
        <v>3521</v>
      </c>
      <c r="D2631" s="3" t="s">
        <v>628</v>
      </c>
      <c r="E2631" s="3" t="s">
        <v>645</v>
      </c>
      <c r="F2631" s="3"/>
      <c r="G2631" s="3"/>
      <c r="H2631" s="3"/>
      <c r="I2631" s="3"/>
      <c r="J2631" s="3" t="s">
        <v>1700</v>
      </c>
      <c r="K2631" s="27" t="s">
        <v>1252</v>
      </c>
    </row>
    <row r="2632" ht="18.6" customHeight="1" spans="1:11">
      <c r="A2632" s="3">
        <v>2631</v>
      </c>
      <c r="B2632" s="3" t="s">
        <v>3051</v>
      </c>
      <c r="C2632" s="3" t="s">
        <v>3521</v>
      </c>
      <c r="D2632" s="3" t="s">
        <v>628</v>
      </c>
      <c r="E2632" s="3" t="s">
        <v>648</v>
      </c>
      <c r="F2632" s="3"/>
      <c r="G2632" s="3"/>
      <c r="H2632" s="3"/>
      <c r="I2632" s="3"/>
      <c r="J2632" s="3" t="s">
        <v>1700</v>
      </c>
      <c r="K2632" s="27" t="s">
        <v>1252</v>
      </c>
    </row>
    <row r="2633" ht="18.6" customHeight="1" spans="1:11">
      <c r="A2633" s="3">
        <v>2632</v>
      </c>
      <c r="B2633" s="3" t="s">
        <v>3841</v>
      </c>
      <c r="C2633" s="3" t="s">
        <v>3542</v>
      </c>
      <c r="D2633" s="3" t="s">
        <v>692</v>
      </c>
      <c r="E2633" s="3" t="s">
        <v>693</v>
      </c>
      <c r="F2633" s="3"/>
      <c r="G2633" s="3"/>
      <c r="H2633" s="3"/>
      <c r="I2633" s="3" t="s">
        <v>3775</v>
      </c>
      <c r="J2633" s="3" t="s">
        <v>1700</v>
      </c>
      <c r="K2633" s="27" t="s">
        <v>1252</v>
      </c>
    </row>
    <row r="2634" ht="18.6" customHeight="1" spans="1:11">
      <c r="A2634" s="3">
        <v>2633</v>
      </c>
      <c r="B2634" s="3" t="s">
        <v>3052</v>
      </c>
      <c r="C2634" s="3" t="s">
        <v>3542</v>
      </c>
      <c r="D2634" s="3" t="s">
        <v>692</v>
      </c>
      <c r="E2634" s="3" t="s">
        <v>693</v>
      </c>
      <c r="F2634" s="3"/>
      <c r="G2634" s="3"/>
      <c r="H2634" s="3"/>
      <c r="I2634" s="3"/>
      <c r="J2634" s="3" t="s">
        <v>1700</v>
      </c>
      <c r="K2634" s="27" t="s">
        <v>1252</v>
      </c>
    </row>
    <row r="2635" ht="18.6" customHeight="1" spans="1:11">
      <c r="A2635" s="3">
        <v>2634</v>
      </c>
      <c r="B2635" s="3" t="s">
        <v>3053</v>
      </c>
      <c r="C2635" s="3" t="s">
        <v>3542</v>
      </c>
      <c r="D2635" s="3" t="s">
        <v>692</v>
      </c>
      <c r="E2635" s="3" t="s">
        <v>693</v>
      </c>
      <c r="F2635" s="3"/>
      <c r="G2635" s="3"/>
      <c r="H2635" s="3"/>
      <c r="I2635" s="3" t="s">
        <v>3769</v>
      </c>
      <c r="J2635" s="3" t="s">
        <v>1700</v>
      </c>
      <c r="K2635" s="27" t="s">
        <v>1252</v>
      </c>
    </row>
    <row r="2636" ht="18.6" customHeight="1" spans="1:11">
      <c r="A2636" s="3">
        <v>2635</v>
      </c>
      <c r="B2636" s="3" t="s">
        <v>3054</v>
      </c>
      <c r="C2636" s="3" t="s">
        <v>3542</v>
      </c>
      <c r="D2636" s="3" t="s">
        <v>692</v>
      </c>
      <c r="E2636" s="3" t="s">
        <v>693</v>
      </c>
      <c r="F2636" s="3"/>
      <c r="G2636" s="3"/>
      <c r="H2636" s="3"/>
      <c r="I2636" s="3" t="s">
        <v>3770</v>
      </c>
      <c r="J2636" s="3" t="s">
        <v>1700</v>
      </c>
      <c r="K2636" s="27" t="s">
        <v>1252</v>
      </c>
    </row>
    <row r="2637" ht="18.6" customHeight="1" spans="1:11">
      <c r="A2637" s="3">
        <v>2636</v>
      </c>
      <c r="B2637" s="3" t="s">
        <v>3055</v>
      </c>
      <c r="C2637" s="3" t="s">
        <v>3542</v>
      </c>
      <c r="D2637" s="3" t="s">
        <v>692</v>
      </c>
      <c r="E2637" s="3" t="s">
        <v>693</v>
      </c>
      <c r="F2637" s="3"/>
      <c r="G2637" s="3"/>
      <c r="H2637" s="3"/>
      <c r="I2637" s="3" t="s">
        <v>3770</v>
      </c>
      <c r="J2637" s="3" t="s">
        <v>1700</v>
      </c>
      <c r="K2637" s="27" t="s">
        <v>1252</v>
      </c>
    </row>
    <row r="2638" ht="18.6" customHeight="1" spans="1:11">
      <c r="A2638" s="3">
        <v>2637</v>
      </c>
      <c r="B2638" s="3" t="s">
        <v>3056</v>
      </c>
      <c r="C2638" s="3" t="s">
        <v>3542</v>
      </c>
      <c r="D2638" s="3" t="s">
        <v>692</v>
      </c>
      <c r="E2638" s="3" t="s">
        <v>696</v>
      </c>
      <c r="F2638" s="3"/>
      <c r="G2638" s="3"/>
      <c r="H2638" s="3"/>
      <c r="I2638" s="3"/>
      <c r="J2638" s="3" t="s">
        <v>1700</v>
      </c>
      <c r="K2638" s="27" t="s">
        <v>1252</v>
      </c>
    </row>
    <row r="2639" ht="18.6" customHeight="1" spans="1:11">
      <c r="A2639" s="3">
        <v>2638</v>
      </c>
      <c r="B2639" s="3" t="s">
        <v>3057</v>
      </c>
      <c r="C2639" s="3" t="s">
        <v>3542</v>
      </c>
      <c r="D2639" s="3" t="s">
        <v>692</v>
      </c>
      <c r="E2639" s="3" t="s">
        <v>718</v>
      </c>
      <c r="F2639" s="3"/>
      <c r="G2639" s="3"/>
      <c r="H2639" s="3"/>
      <c r="I2639" s="3"/>
      <c r="J2639" s="3" t="s">
        <v>1700</v>
      </c>
      <c r="K2639" s="27" t="s">
        <v>1252</v>
      </c>
    </row>
    <row r="2640" ht="18.6" customHeight="1" spans="1:11">
      <c r="A2640" s="3">
        <v>2639</v>
      </c>
      <c r="B2640" s="3" t="s">
        <v>3058</v>
      </c>
      <c r="C2640" s="3" t="s">
        <v>3542</v>
      </c>
      <c r="D2640" s="3" t="s">
        <v>692</v>
      </c>
      <c r="E2640" s="3" t="s">
        <v>693</v>
      </c>
      <c r="F2640" s="3"/>
      <c r="G2640" s="3"/>
      <c r="H2640" s="3"/>
      <c r="I2640" s="3"/>
      <c r="J2640" s="3" t="s">
        <v>1700</v>
      </c>
      <c r="K2640" s="27" t="s">
        <v>1252</v>
      </c>
    </row>
    <row r="2641" ht="18.6" customHeight="1" spans="1:11">
      <c r="A2641" s="3">
        <v>2640</v>
      </c>
      <c r="B2641" s="3" t="s">
        <v>3059</v>
      </c>
      <c r="C2641" s="3" t="s">
        <v>3542</v>
      </c>
      <c r="D2641" s="3" t="s">
        <v>692</v>
      </c>
      <c r="E2641" s="3" t="s">
        <v>693</v>
      </c>
      <c r="F2641" s="3"/>
      <c r="G2641" s="3"/>
      <c r="H2641" s="3"/>
      <c r="I2641" s="3"/>
      <c r="J2641" s="3" t="s">
        <v>1700</v>
      </c>
      <c r="K2641" s="27" t="s">
        <v>1252</v>
      </c>
    </row>
    <row r="2642" ht="18.6" customHeight="1" spans="1:11">
      <c r="A2642" s="3">
        <v>2641</v>
      </c>
      <c r="B2642" s="3" t="s">
        <v>3060</v>
      </c>
      <c r="C2642" s="3" t="s">
        <v>3542</v>
      </c>
      <c r="D2642" s="3" t="s">
        <v>692</v>
      </c>
      <c r="E2642" s="3" t="s">
        <v>704</v>
      </c>
      <c r="F2642" s="3"/>
      <c r="G2642" s="3"/>
      <c r="H2642" s="3"/>
      <c r="I2642" s="3"/>
      <c r="J2642" s="3" t="s">
        <v>1700</v>
      </c>
      <c r="K2642" s="27" t="s">
        <v>1252</v>
      </c>
    </row>
    <row r="2643" ht="18.6" customHeight="1" spans="1:11">
      <c r="A2643" s="3">
        <v>2642</v>
      </c>
      <c r="B2643" s="3" t="s">
        <v>3061</v>
      </c>
      <c r="C2643" s="3" t="s">
        <v>3542</v>
      </c>
      <c r="D2643" s="3" t="s">
        <v>692</v>
      </c>
      <c r="E2643" s="3" t="s">
        <v>712</v>
      </c>
      <c r="F2643" s="3"/>
      <c r="G2643" s="3"/>
      <c r="H2643" s="3"/>
      <c r="I2643" s="3"/>
      <c r="J2643" s="3" t="s">
        <v>1700</v>
      </c>
      <c r="K2643" s="27" t="s">
        <v>1252</v>
      </c>
    </row>
    <row r="2644" ht="18.6" customHeight="1" spans="1:11">
      <c r="A2644" s="3">
        <v>2643</v>
      </c>
      <c r="B2644" s="3" t="s">
        <v>3062</v>
      </c>
      <c r="C2644" s="3" t="s">
        <v>3542</v>
      </c>
      <c r="D2644" s="3" t="s">
        <v>692</v>
      </c>
      <c r="E2644" s="3" t="s">
        <v>2274</v>
      </c>
      <c r="F2644" s="3"/>
      <c r="G2644" s="3"/>
      <c r="H2644" s="3"/>
      <c r="I2644" s="3"/>
      <c r="J2644" s="3" t="s">
        <v>1700</v>
      </c>
      <c r="K2644" s="27" t="s">
        <v>1252</v>
      </c>
    </row>
    <row r="2645" ht="18.6" customHeight="1" spans="1:11">
      <c r="A2645" s="3">
        <v>2644</v>
      </c>
      <c r="B2645" s="3" t="s">
        <v>3063</v>
      </c>
      <c r="C2645" s="3" t="s">
        <v>3542</v>
      </c>
      <c r="D2645" s="3" t="s">
        <v>692</v>
      </c>
      <c r="E2645" s="3" t="s">
        <v>720</v>
      </c>
      <c r="F2645" s="3"/>
      <c r="G2645" s="3"/>
      <c r="H2645" s="3"/>
      <c r="I2645" s="3"/>
      <c r="J2645" s="3" t="s">
        <v>1700</v>
      </c>
      <c r="K2645" s="27" t="s">
        <v>1252</v>
      </c>
    </row>
    <row r="2646" ht="18.6" customHeight="1" spans="1:11">
      <c r="A2646" s="3">
        <v>2645</v>
      </c>
      <c r="B2646" s="3" t="s">
        <v>3064</v>
      </c>
      <c r="C2646" s="3" t="s">
        <v>3542</v>
      </c>
      <c r="D2646" s="3" t="s">
        <v>692</v>
      </c>
      <c r="E2646" s="3" t="s">
        <v>693</v>
      </c>
      <c r="F2646" s="3"/>
      <c r="G2646" s="3"/>
      <c r="H2646" s="3"/>
      <c r="I2646" s="3"/>
      <c r="J2646" s="3" t="s">
        <v>1700</v>
      </c>
      <c r="K2646" s="27" t="s">
        <v>1252</v>
      </c>
    </row>
    <row r="2647" ht="18.6" customHeight="1" spans="1:11">
      <c r="A2647" s="3">
        <v>2646</v>
      </c>
      <c r="B2647" s="3" t="s">
        <v>3065</v>
      </c>
      <c r="C2647" s="3" t="s">
        <v>3542</v>
      </c>
      <c r="D2647" s="3" t="s">
        <v>692</v>
      </c>
      <c r="E2647" s="3" t="s">
        <v>693</v>
      </c>
      <c r="F2647" s="3"/>
      <c r="G2647" s="3"/>
      <c r="H2647" s="3"/>
      <c r="I2647" s="3"/>
      <c r="J2647" s="3" t="s">
        <v>1700</v>
      </c>
      <c r="K2647" s="27" t="s">
        <v>1252</v>
      </c>
    </row>
    <row r="2648" ht="18.6" customHeight="1" spans="1:11">
      <c r="A2648" s="3">
        <v>2647</v>
      </c>
      <c r="B2648" s="3" t="s">
        <v>3066</v>
      </c>
      <c r="C2648" s="3" t="s">
        <v>3542</v>
      </c>
      <c r="D2648" s="3" t="s">
        <v>692</v>
      </c>
      <c r="E2648" s="3" t="s">
        <v>700</v>
      </c>
      <c r="F2648" s="3"/>
      <c r="G2648" s="3"/>
      <c r="H2648" s="3"/>
      <c r="I2648" s="3" t="s">
        <v>3769</v>
      </c>
      <c r="J2648" s="3" t="s">
        <v>1700</v>
      </c>
      <c r="K2648" s="27" t="s">
        <v>1252</v>
      </c>
    </row>
    <row r="2649" ht="18.6" customHeight="1" spans="1:11">
      <c r="A2649" s="3">
        <v>2648</v>
      </c>
      <c r="B2649" s="3" t="s">
        <v>2310</v>
      </c>
      <c r="C2649" s="3" t="s">
        <v>3542</v>
      </c>
      <c r="D2649" s="3" t="s">
        <v>692</v>
      </c>
      <c r="E2649" s="3" t="s">
        <v>2274</v>
      </c>
      <c r="F2649" s="3"/>
      <c r="G2649" s="3"/>
      <c r="H2649" s="3"/>
      <c r="I2649" s="3"/>
      <c r="J2649" s="3" t="s">
        <v>1700</v>
      </c>
      <c r="K2649" s="27" t="s">
        <v>1252</v>
      </c>
    </row>
    <row r="2650" ht="18.6" customHeight="1" spans="1:11">
      <c r="A2650" s="3">
        <v>2649</v>
      </c>
      <c r="B2650" s="3" t="s">
        <v>3067</v>
      </c>
      <c r="C2650" s="3" t="s">
        <v>3542</v>
      </c>
      <c r="D2650" s="3" t="s">
        <v>692</v>
      </c>
      <c r="E2650" s="3" t="s">
        <v>729</v>
      </c>
      <c r="F2650" s="3"/>
      <c r="G2650" s="3"/>
      <c r="H2650" s="3"/>
      <c r="I2650" s="3"/>
      <c r="J2650" s="3" t="s">
        <v>1700</v>
      </c>
      <c r="K2650" s="27" t="s">
        <v>1252</v>
      </c>
    </row>
    <row r="2651" ht="18.6" customHeight="1" spans="1:11">
      <c r="A2651" s="3">
        <v>2650</v>
      </c>
      <c r="B2651" s="3" t="s">
        <v>3068</v>
      </c>
      <c r="C2651" s="3" t="s">
        <v>3542</v>
      </c>
      <c r="D2651" s="3" t="s">
        <v>692</v>
      </c>
      <c r="E2651" s="3" t="s">
        <v>712</v>
      </c>
      <c r="F2651" s="3"/>
      <c r="G2651" s="3"/>
      <c r="H2651" s="3"/>
      <c r="I2651" s="3"/>
      <c r="J2651" s="3" t="s">
        <v>1700</v>
      </c>
      <c r="K2651" s="27" t="s">
        <v>1252</v>
      </c>
    </row>
    <row r="2652" ht="18.6" customHeight="1" spans="1:11">
      <c r="A2652" s="3">
        <v>2651</v>
      </c>
      <c r="B2652" s="3" t="s">
        <v>3069</v>
      </c>
      <c r="C2652" s="3" t="s">
        <v>3542</v>
      </c>
      <c r="D2652" s="3" t="s">
        <v>692</v>
      </c>
      <c r="E2652" s="3" t="s">
        <v>716</v>
      </c>
      <c r="F2652" s="3"/>
      <c r="G2652" s="3"/>
      <c r="H2652" s="3"/>
      <c r="I2652" s="3"/>
      <c r="J2652" s="3" t="s">
        <v>1700</v>
      </c>
      <c r="K2652" s="27" t="s">
        <v>1252</v>
      </c>
    </row>
    <row r="2653" ht="18.6" customHeight="1" spans="1:11">
      <c r="A2653" s="3">
        <v>2652</v>
      </c>
      <c r="B2653" s="3" t="s">
        <v>3070</v>
      </c>
      <c r="C2653" s="3" t="s">
        <v>3542</v>
      </c>
      <c r="D2653" s="3" t="s">
        <v>692</v>
      </c>
      <c r="E2653" s="3" t="s">
        <v>693</v>
      </c>
      <c r="F2653" s="3"/>
      <c r="G2653" s="3"/>
      <c r="H2653" s="3"/>
      <c r="I2653" s="3"/>
      <c r="J2653" s="3" t="s">
        <v>1700</v>
      </c>
      <c r="K2653" s="27" t="s">
        <v>1252</v>
      </c>
    </row>
    <row r="2654" ht="18.6" customHeight="1" spans="1:11">
      <c r="A2654" s="3">
        <v>2653</v>
      </c>
      <c r="B2654" s="3" t="s">
        <v>3071</v>
      </c>
      <c r="C2654" s="3" t="s">
        <v>3542</v>
      </c>
      <c r="D2654" s="3" t="s">
        <v>692</v>
      </c>
      <c r="E2654" s="3" t="s">
        <v>693</v>
      </c>
      <c r="F2654" s="3"/>
      <c r="G2654" s="3"/>
      <c r="H2654" s="3"/>
      <c r="I2654" s="3"/>
      <c r="J2654" s="3" t="s">
        <v>1700</v>
      </c>
      <c r="K2654" s="27" t="s">
        <v>1252</v>
      </c>
    </row>
    <row r="2655" ht="18.6" customHeight="1" spans="1:11">
      <c r="A2655" s="3">
        <v>2654</v>
      </c>
      <c r="B2655" s="3" t="s">
        <v>3072</v>
      </c>
      <c r="C2655" s="3" t="s">
        <v>3542</v>
      </c>
      <c r="D2655" s="3" t="s">
        <v>692</v>
      </c>
      <c r="E2655" s="3" t="s">
        <v>693</v>
      </c>
      <c r="F2655" s="3"/>
      <c r="G2655" s="3"/>
      <c r="H2655" s="3"/>
      <c r="I2655" s="3"/>
      <c r="J2655" s="3" t="s">
        <v>1700</v>
      </c>
      <c r="K2655" s="27" t="s">
        <v>1252</v>
      </c>
    </row>
    <row r="2656" ht="18.6" customHeight="1" spans="1:11">
      <c r="A2656" s="3">
        <v>2655</v>
      </c>
      <c r="B2656" s="3" t="s">
        <v>3073</v>
      </c>
      <c r="C2656" s="3" t="s">
        <v>3542</v>
      </c>
      <c r="D2656" s="3" t="s">
        <v>692</v>
      </c>
      <c r="E2656" s="3" t="s">
        <v>693</v>
      </c>
      <c r="F2656" s="3"/>
      <c r="G2656" s="3"/>
      <c r="H2656" s="3"/>
      <c r="I2656" s="3"/>
      <c r="J2656" s="3" t="s">
        <v>1700</v>
      </c>
      <c r="K2656" s="27" t="s">
        <v>1252</v>
      </c>
    </row>
    <row r="2657" ht="18.6" customHeight="1" spans="1:11">
      <c r="A2657" s="3">
        <v>2656</v>
      </c>
      <c r="B2657" s="3" t="s">
        <v>3074</v>
      </c>
      <c r="C2657" s="3" t="s">
        <v>3542</v>
      </c>
      <c r="D2657" s="3" t="s">
        <v>692</v>
      </c>
      <c r="E2657" s="3" t="s">
        <v>693</v>
      </c>
      <c r="F2657" s="3"/>
      <c r="G2657" s="3"/>
      <c r="H2657" s="3"/>
      <c r="I2657" s="3"/>
      <c r="J2657" s="3" t="s">
        <v>1700</v>
      </c>
      <c r="K2657" s="27" t="s">
        <v>1252</v>
      </c>
    </row>
    <row r="2658" ht="18.6" customHeight="1" spans="1:11">
      <c r="A2658" s="3">
        <v>2657</v>
      </c>
      <c r="B2658" s="3" t="s">
        <v>3075</v>
      </c>
      <c r="C2658" s="3" t="s">
        <v>3561</v>
      </c>
      <c r="D2658" s="3" t="s">
        <v>746</v>
      </c>
      <c r="E2658" s="3" t="s">
        <v>747</v>
      </c>
      <c r="F2658" s="3"/>
      <c r="G2658" s="3"/>
      <c r="H2658" s="3"/>
      <c r="I2658" s="3"/>
      <c r="J2658" s="3" t="s">
        <v>1700</v>
      </c>
      <c r="K2658" s="27" t="s">
        <v>1252</v>
      </c>
    </row>
    <row r="2659" ht="18.6" customHeight="1" spans="1:11">
      <c r="A2659" s="3">
        <v>2658</v>
      </c>
      <c r="B2659" s="3" t="s">
        <v>3076</v>
      </c>
      <c r="C2659" s="3" t="s">
        <v>3561</v>
      </c>
      <c r="D2659" s="3" t="s">
        <v>746</v>
      </c>
      <c r="E2659" s="3" t="s">
        <v>747</v>
      </c>
      <c r="F2659" s="3"/>
      <c r="G2659" s="3"/>
      <c r="H2659" s="3"/>
      <c r="I2659" s="3"/>
      <c r="J2659" s="3" t="s">
        <v>1700</v>
      </c>
      <c r="K2659" s="27" t="s">
        <v>1252</v>
      </c>
    </row>
    <row r="2660" ht="18.6" customHeight="1" spans="1:11">
      <c r="A2660" s="3">
        <v>2659</v>
      </c>
      <c r="B2660" s="3" t="s">
        <v>3077</v>
      </c>
      <c r="C2660" s="3" t="s">
        <v>3561</v>
      </c>
      <c r="D2660" s="3" t="s">
        <v>746</v>
      </c>
      <c r="E2660" s="3" t="s">
        <v>747</v>
      </c>
      <c r="F2660" s="3"/>
      <c r="G2660" s="3"/>
      <c r="H2660" s="3"/>
      <c r="I2660" s="3"/>
      <c r="J2660" s="3" t="s">
        <v>1700</v>
      </c>
      <c r="K2660" s="27" t="s">
        <v>1252</v>
      </c>
    </row>
    <row r="2661" ht="18.6" customHeight="1" spans="1:11">
      <c r="A2661" s="3">
        <v>2660</v>
      </c>
      <c r="B2661" s="3" t="s">
        <v>3078</v>
      </c>
      <c r="C2661" s="3" t="s">
        <v>3561</v>
      </c>
      <c r="D2661" s="3" t="s">
        <v>746</v>
      </c>
      <c r="E2661" s="3" t="s">
        <v>747</v>
      </c>
      <c r="F2661" s="3"/>
      <c r="G2661" s="3"/>
      <c r="H2661" s="3"/>
      <c r="I2661" s="3"/>
      <c r="J2661" s="3" t="s">
        <v>1700</v>
      </c>
      <c r="K2661" s="27" t="s">
        <v>1252</v>
      </c>
    </row>
    <row r="2662" ht="18.6" customHeight="1" spans="1:11">
      <c r="A2662" s="3">
        <v>2661</v>
      </c>
      <c r="B2662" s="3" t="s">
        <v>3079</v>
      </c>
      <c r="C2662" s="3" t="s">
        <v>3561</v>
      </c>
      <c r="D2662" s="3" t="s">
        <v>746</v>
      </c>
      <c r="E2662" s="3" t="s">
        <v>747</v>
      </c>
      <c r="F2662" s="3"/>
      <c r="G2662" s="3"/>
      <c r="H2662" s="3"/>
      <c r="I2662" s="3"/>
      <c r="J2662" s="3" t="s">
        <v>1700</v>
      </c>
      <c r="K2662" s="27" t="s">
        <v>1252</v>
      </c>
    </row>
    <row r="2663" ht="18.6" customHeight="1" spans="1:11">
      <c r="A2663" s="3">
        <v>2662</v>
      </c>
      <c r="B2663" s="3" t="s">
        <v>3080</v>
      </c>
      <c r="C2663" s="3" t="s">
        <v>3561</v>
      </c>
      <c r="D2663" s="3" t="s">
        <v>746</v>
      </c>
      <c r="E2663" s="3" t="s">
        <v>747</v>
      </c>
      <c r="F2663" s="3"/>
      <c r="G2663" s="3"/>
      <c r="H2663" s="3"/>
      <c r="I2663" s="3"/>
      <c r="J2663" s="3" t="s">
        <v>1700</v>
      </c>
      <c r="K2663" s="27" t="s">
        <v>1252</v>
      </c>
    </row>
    <row r="2664" ht="18.6" customHeight="1" spans="1:11">
      <c r="A2664" s="3">
        <v>2663</v>
      </c>
      <c r="B2664" s="3" t="s">
        <v>3081</v>
      </c>
      <c r="C2664" s="3" t="s">
        <v>3561</v>
      </c>
      <c r="D2664" s="3" t="s">
        <v>746</v>
      </c>
      <c r="E2664" s="3" t="s">
        <v>747</v>
      </c>
      <c r="F2664" s="3"/>
      <c r="G2664" s="3"/>
      <c r="H2664" s="3"/>
      <c r="I2664" s="3" t="s">
        <v>3769</v>
      </c>
      <c r="J2664" s="3" t="s">
        <v>1700</v>
      </c>
      <c r="K2664" s="27" t="s">
        <v>1252</v>
      </c>
    </row>
    <row r="2665" ht="18.6" customHeight="1" spans="1:11">
      <c r="A2665" s="3">
        <v>2664</v>
      </c>
      <c r="B2665" s="3" t="s">
        <v>3082</v>
      </c>
      <c r="C2665" s="3" t="s">
        <v>3561</v>
      </c>
      <c r="D2665" s="3" t="s">
        <v>746</v>
      </c>
      <c r="E2665" s="3" t="s">
        <v>765</v>
      </c>
      <c r="F2665" s="3"/>
      <c r="G2665" s="3"/>
      <c r="H2665" s="3"/>
      <c r="I2665" s="3"/>
      <c r="J2665" s="3" t="s">
        <v>1700</v>
      </c>
      <c r="K2665" s="27" t="s">
        <v>1252</v>
      </c>
    </row>
    <row r="2666" ht="18.6" customHeight="1" spans="1:11">
      <c r="A2666" s="3">
        <v>2665</v>
      </c>
      <c r="B2666" s="3" t="s">
        <v>3083</v>
      </c>
      <c r="C2666" s="3" t="s">
        <v>3561</v>
      </c>
      <c r="D2666" s="3" t="s">
        <v>746</v>
      </c>
      <c r="E2666" s="3" t="s">
        <v>751</v>
      </c>
      <c r="F2666" s="3"/>
      <c r="G2666" s="3"/>
      <c r="H2666" s="3"/>
      <c r="I2666" s="3"/>
      <c r="J2666" s="3" t="s">
        <v>1700</v>
      </c>
      <c r="K2666" s="27" t="s">
        <v>1252</v>
      </c>
    </row>
    <row r="2667" ht="18.6" customHeight="1" spans="1:11">
      <c r="A2667" s="3">
        <v>2666</v>
      </c>
      <c r="B2667" s="3" t="s">
        <v>3084</v>
      </c>
      <c r="C2667" s="3" t="s">
        <v>3561</v>
      </c>
      <c r="D2667" s="3" t="s">
        <v>746</v>
      </c>
      <c r="E2667" s="3" t="s">
        <v>747</v>
      </c>
      <c r="F2667" s="3"/>
      <c r="G2667" s="3"/>
      <c r="H2667" s="3"/>
      <c r="I2667" s="3"/>
      <c r="J2667" s="3" t="s">
        <v>1700</v>
      </c>
      <c r="K2667" s="27" t="s">
        <v>1252</v>
      </c>
    </row>
    <row r="2668" ht="18.6" customHeight="1" spans="1:11">
      <c r="A2668" s="3">
        <v>2667</v>
      </c>
      <c r="B2668" s="3" t="s">
        <v>3085</v>
      </c>
      <c r="C2668" s="3" t="s">
        <v>3561</v>
      </c>
      <c r="D2668" s="3" t="s">
        <v>746</v>
      </c>
      <c r="E2668" s="3" t="s">
        <v>781</v>
      </c>
      <c r="F2668" s="3"/>
      <c r="G2668" s="3"/>
      <c r="H2668" s="3"/>
      <c r="I2668" s="3"/>
      <c r="J2668" s="3" t="s">
        <v>1700</v>
      </c>
      <c r="K2668" s="27" t="s">
        <v>1252</v>
      </c>
    </row>
    <row r="2669" ht="18.6" customHeight="1" spans="1:11">
      <c r="A2669" s="3">
        <v>2668</v>
      </c>
      <c r="B2669" s="3" t="s">
        <v>3086</v>
      </c>
      <c r="C2669" s="3" t="s">
        <v>3561</v>
      </c>
      <c r="D2669" s="3" t="s">
        <v>746</v>
      </c>
      <c r="E2669" s="3" t="s">
        <v>778</v>
      </c>
      <c r="F2669" s="3"/>
      <c r="G2669" s="3"/>
      <c r="H2669" s="3"/>
      <c r="I2669" s="3"/>
      <c r="J2669" s="3" t="s">
        <v>1700</v>
      </c>
      <c r="K2669" s="27" t="s">
        <v>1252</v>
      </c>
    </row>
    <row r="2670" ht="18.6" customHeight="1" spans="1:11">
      <c r="A2670" s="3">
        <v>2669</v>
      </c>
      <c r="B2670" s="3" t="s">
        <v>3087</v>
      </c>
      <c r="C2670" s="3" t="s">
        <v>3582</v>
      </c>
      <c r="D2670" s="3" t="s">
        <v>797</v>
      </c>
      <c r="E2670" s="3" t="s">
        <v>802</v>
      </c>
      <c r="F2670" s="3"/>
      <c r="G2670" s="3"/>
      <c r="H2670" s="3"/>
      <c r="I2670" s="3"/>
      <c r="J2670" s="3" t="s">
        <v>1700</v>
      </c>
      <c r="K2670" s="27" t="s">
        <v>1252</v>
      </c>
    </row>
    <row r="2671" ht="18.6" customHeight="1" spans="1:11">
      <c r="A2671" s="3">
        <v>2670</v>
      </c>
      <c r="B2671" s="3" t="s">
        <v>3088</v>
      </c>
      <c r="C2671" s="3" t="s">
        <v>3582</v>
      </c>
      <c r="D2671" s="3" t="s">
        <v>797</v>
      </c>
      <c r="E2671" s="3" t="s">
        <v>825</v>
      </c>
      <c r="F2671" s="3"/>
      <c r="G2671" s="3"/>
      <c r="H2671" s="3"/>
      <c r="I2671" s="3"/>
      <c r="J2671" s="3" t="s">
        <v>1700</v>
      </c>
      <c r="K2671" s="27" t="s">
        <v>1252</v>
      </c>
    </row>
    <row r="2672" ht="18.6" customHeight="1" spans="1:11">
      <c r="A2672" s="3">
        <v>2671</v>
      </c>
      <c r="B2672" s="3" t="s">
        <v>3089</v>
      </c>
      <c r="C2672" s="3" t="s">
        <v>3582</v>
      </c>
      <c r="D2672" s="3" t="s">
        <v>797</v>
      </c>
      <c r="E2672" s="3" t="s">
        <v>802</v>
      </c>
      <c r="F2672" s="3"/>
      <c r="G2672" s="3"/>
      <c r="H2672" s="3"/>
      <c r="I2672" s="3"/>
      <c r="J2672" s="3" t="s">
        <v>1700</v>
      </c>
      <c r="K2672" s="27" t="s">
        <v>1252</v>
      </c>
    </row>
    <row r="2673" ht="18.6" customHeight="1" spans="1:11">
      <c r="A2673" s="3">
        <v>2672</v>
      </c>
      <c r="B2673" s="3" t="s">
        <v>3090</v>
      </c>
      <c r="C2673" s="3" t="s">
        <v>3582</v>
      </c>
      <c r="D2673" s="3" t="s">
        <v>797</v>
      </c>
      <c r="E2673" s="3" t="s">
        <v>802</v>
      </c>
      <c r="F2673" s="3"/>
      <c r="G2673" s="3"/>
      <c r="H2673" s="3"/>
      <c r="I2673" s="3"/>
      <c r="J2673" s="3" t="s">
        <v>1700</v>
      </c>
      <c r="K2673" s="27" t="s">
        <v>1252</v>
      </c>
    </row>
    <row r="2674" ht="18.6" customHeight="1" spans="1:11">
      <c r="A2674" s="3">
        <v>2673</v>
      </c>
      <c r="B2674" s="3" t="s">
        <v>3091</v>
      </c>
      <c r="C2674" s="3" t="s">
        <v>3582</v>
      </c>
      <c r="D2674" s="3" t="s">
        <v>797</v>
      </c>
      <c r="E2674" s="3" t="s">
        <v>802</v>
      </c>
      <c r="F2674" s="3"/>
      <c r="G2674" s="3"/>
      <c r="H2674" s="3"/>
      <c r="I2674" s="3" t="s">
        <v>3769</v>
      </c>
      <c r="J2674" s="3" t="s">
        <v>1700</v>
      </c>
      <c r="K2674" s="27" t="s">
        <v>1252</v>
      </c>
    </row>
    <row r="2675" ht="18.6" customHeight="1" spans="1:11">
      <c r="A2675" s="3">
        <v>2674</v>
      </c>
      <c r="B2675" s="3" t="s">
        <v>3092</v>
      </c>
      <c r="C2675" s="3" t="s">
        <v>3582</v>
      </c>
      <c r="D2675" s="3" t="s">
        <v>797</v>
      </c>
      <c r="E2675" s="3" t="s">
        <v>821</v>
      </c>
      <c r="F2675" s="3"/>
      <c r="G2675" s="3"/>
      <c r="H2675" s="3"/>
      <c r="I2675" s="3"/>
      <c r="J2675" s="3" t="s">
        <v>1700</v>
      </c>
      <c r="K2675" s="27" t="s">
        <v>1252</v>
      </c>
    </row>
    <row r="2676" ht="18.6" customHeight="1" spans="1:11">
      <c r="A2676" s="3">
        <v>2675</v>
      </c>
      <c r="B2676" s="3" t="s">
        <v>3093</v>
      </c>
      <c r="C2676" s="3" t="s">
        <v>3582</v>
      </c>
      <c r="D2676" s="3" t="s">
        <v>797</v>
      </c>
      <c r="E2676" s="3" t="s">
        <v>815</v>
      </c>
      <c r="F2676" s="3"/>
      <c r="G2676" s="3"/>
      <c r="H2676" s="3"/>
      <c r="I2676" s="3"/>
      <c r="J2676" s="3" t="s">
        <v>1700</v>
      </c>
      <c r="K2676" s="27" t="s">
        <v>1252</v>
      </c>
    </row>
    <row r="2677" ht="18.6" customHeight="1" spans="1:11">
      <c r="A2677" s="3">
        <v>2676</v>
      </c>
      <c r="B2677" s="3" t="s">
        <v>3094</v>
      </c>
      <c r="C2677" s="3" t="s">
        <v>3582</v>
      </c>
      <c r="D2677" s="3" t="s">
        <v>797</v>
      </c>
      <c r="E2677" s="3" t="s">
        <v>802</v>
      </c>
      <c r="F2677" s="3"/>
      <c r="G2677" s="3"/>
      <c r="H2677" s="3"/>
      <c r="I2677" s="3"/>
      <c r="J2677" s="3" t="s">
        <v>1700</v>
      </c>
      <c r="K2677" s="27" t="s">
        <v>1252</v>
      </c>
    </row>
    <row r="2678" ht="18.6" customHeight="1" spans="1:11">
      <c r="A2678" s="3">
        <v>2677</v>
      </c>
      <c r="B2678" s="3" t="s">
        <v>3095</v>
      </c>
      <c r="C2678" s="3" t="s">
        <v>3582</v>
      </c>
      <c r="D2678" s="3" t="s">
        <v>797</v>
      </c>
      <c r="E2678" s="3" t="s">
        <v>798</v>
      </c>
      <c r="F2678" s="3"/>
      <c r="G2678" s="3"/>
      <c r="H2678" s="3"/>
      <c r="I2678" s="3"/>
      <c r="J2678" s="3" t="s">
        <v>1700</v>
      </c>
      <c r="K2678" s="27" t="s">
        <v>1252</v>
      </c>
    </row>
    <row r="2679" ht="18.6" customHeight="1" spans="1:11">
      <c r="A2679" s="3">
        <v>2678</v>
      </c>
      <c r="B2679" s="3" t="s">
        <v>3096</v>
      </c>
      <c r="C2679" s="3" t="s">
        <v>3597</v>
      </c>
      <c r="D2679" s="3" t="s">
        <v>844</v>
      </c>
      <c r="E2679" s="3" t="s">
        <v>2473</v>
      </c>
      <c r="F2679" s="3"/>
      <c r="G2679" s="3"/>
      <c r="H2679" s="3"/>
      <c r="I2679" s="3"/>
      <c r="J2679" s="3" t="s">
        <v>1700</v>
      </c>
      <c r="K2679" s="27" t="s">
        <v>1252</v>
      </c>
    </row>
    <row r="2680" ht="18.6" customHeight="1" spans="1:11">
      <c r="A2680" s="3">
        <v>2679</v>
      </c>
      <c r="B2680" s="3" t="s">
        <v>3097</v>
      </c>
      <c r="C2680" s="3" t="s">
        <v>3597</v>
      </c>
      <c r="D2680" s="3" t="s">
        <v>844</v>
      </c>
      <c r="E2680" s="3" t="s">
        <v>845</v>
      </c>
      <c r="F2680" s="3"/>
      <c r="G2680" s="3"/>
      <c r="H2680" s="3"/>
      <c r="I2680" s="3"/>
      <c r="J2680" s="3" t="s">
        <v>1700</v>
      </c>
      <c r="K2680" s="27" t="s">
        <v>1252</v>
      </c>
    </row>
    <row r="2681" ht="18.6" customHeight="1" spans="1:11">
      <c r="A2681" s="3">
        <v>2680</v>
      </c>
      <c r="B2681" s="3" t="s">
        <v>3098</v>
      </c>
      <c r="C2681" s="3" t="s">
        <v>3597</v>
      </c>
      <c r="D2681" s="3" t="s">
        <v>844</v>
      </c>
      <c r="E2681" s="3" t="s">
        <v>874</v>
      </c>
      <c r="F2681" s="3"/>
      <c r="G2681" s="3"/>
      <c r="H2681" s="3"/>
      <c r="I2681" s="3"/>
      <c r="J2681" s="3" t="s">
        <v>1700</v>
      </c>
      <c r="K2681" s="27" t="s">
        <v>1252</v>
      </c>
    </row>
    <row r="2682" ht="18.6" customHeight="1" spans="1:11">
      <c r="A2682" s="3">
        <v>2681</v>
      </c>
      <c r="B2682" s="3" t="s">
        <v>3099</v>
      </c>
      <c r="C2682" s="3" t="s">
        <v>3597</v>
      </c>
      <c r="D2682" s="3" t="s">
        <v>844</v>
      </c>
      <c r="E2682" s="3" t="s">
        <v>845</v>
      </c>
      <c r="F2682" s="3"/>
      <c r="G2682" s="3"/>
      <c r="H2682" s="3"/>
      <c r="I2682" s="3"/>
      <c r="J2682" s="3" t="s">
        <v>1700</v>
      </c>
      <c r="K2682" s="27" t="s">
        <v>1252</v>
      </c>
    </row>
    <row r="2683" ht="18.6" customHeight="1" spans="1:11">
      <c r="A2683" s="3">
        <v>2682</v>
      </c>
      <c r="B2683" s="3" t="s">
        <v>3100</v>
      </c>
      <c r="C2683" s="3" t="s">
        <v>3597</v>
      </c>
      <c r="D2683" s="3" t="s">
        <v>844</v>
      </c>
      <c r="E2683" s="3" t="s">
        <v>1569</v>
      </c>
      <c r="F2683" s="3"/>
      <c r="G2683" s="3"/>
      <c r="H2683" s="3"/>
      <c r="I2683" s="3"/>
      <c r="J2683" s="3" t="s">
        <v>1700</v>
      </c>
      <c r="K2683" s="27" t="s">
        <v>1252</v>
      </c>
    </row>
    <row r="2684" ht="18.6" customHeight="1" spans="1:11">
      <c r="A2684" s="3">
        <v>2683</v>
      </c>
      <c r="B2684" s="3" t="s">
        <v>3101</v>
      </c>
      <c r="C2684" s="3" t="s">
        <v>3597</v>
      </c>
      <c r="D2684" s="3" t="s">
        <v>844</v>
      </c>
      <c r="E2684" s="3" t="s">
        <v>845</v>
      </c>
      <c r="F2684" s="3"/>
      <c r="G2684" s="3"/>
      <c r="H2684" s="3"/>
      <c r="I2684" s="3" t="s">
        <v>3769</v>
      </c>
      <c r="J2684" s="3" t="s">
        <v>1700</v>
      </c>
      <c r="K2684" s="27" t="s">
        <v>1252</v>
      </c>
    </row>
    <row r="2685" ht="18.6" customHeight="1" spans="1:11">
      <c r="A2685" s="3">
        <v>2684</v>
      </c>
      <c r="B2685" s="3" t="s">
        <v>3102</v>
      </c>
      <c r="C2685" s="3" t="s">
        <v>3597</v>
      </c>
      <c r="D2685" s="3" t="s">
        <v>844</v>
      </c>
      <c r="E2685" s="3" t="s">
        <v>866</v>
      </c>
      <c r="F2685" s="3"/>
      <c r="G2685" s="3"/>
      <c r="H2685" s="3"/>
      <c r="I2685" s="3"/>
      <c r="J2685" s="3" t="s">
        <v>1700</v>
      </c>
      <c r="K2685" s="27" t="s">
        <v>1252</v>
      </c>
    </row>
    <row r="2686" ht="18.6" customHeight="1" spans="1:11">
      <c r="A2686" s="3">
        <v>2685</v>
      </c>
      <c r="B2686" s="3" t="s">
        <v>3103</v>
      </c>
      <c r="C2686" s="3" t="s">
        <v>3597</v>
      </c>
      <c r="D2686" s="3" t="s">
        <v>844</v>
      </c>
      <c r="E2686" s="3" t="s">
        <v>845</v>
      </c>
      <c r="F2686" s="3"/>
      <c r="G2686" s="3"/>
      <c r="H2686" s="3"/>
      <c r="I2686" s="3"/>
      <c r="J2686" s="3" t="s">
        <v>1700</v>
      </c>
      <c r="K2686" s="27" t="s">
        <v>1252</v>
      </c>
    </row>
    <row r="2687" ht="18.6" customHeight="1" spans="1:11">
      <c r="A2687" s="3">
        <v>2686</v>
      </c>
      <c r="B2687" s="3" t="s">
        <v>3104</v>
      </c>
      <c r="C2687" s="3" t="s">
        <v>3597</v>
      </c>
      <c r="D2687" s="3" t="s">
        <v>844</v>
      </c>
      <c r="E2687" s="3" t="s">
        <v>845</v>
      </c>
      <c r="F2687" s="3"/>
      <c r="G2687" s="3"/>
      <c r="H2687" s="3"/>
      <c r="I2687" s="3" t="s">
        <v>3769</v>
      </c>
      <c r="J2687" s="3" t="s">
        <v>1700</v>
      </c>
      <c r="K2687" s="27" t="s">
        <v>1252</v>
      </c>
    </row>
    <row r="2688" ht="18.6" customHeight="1" spans="1:11">
      <c r="A2688" s="3">
        <v>2687</v>
      </c>
      <c r="B2688" s="3" t="s">
        <v>3105</v>
      </c>
      <c r="C2688" s="3" t="s">
        <v>3597</v>
      </c>
      <c r="D2688" s="3" t="s">
        <v>844</v>
      </c>
      <c r="E2688" s="3" t="s">
        <v>861</v>
      </c>
      <c r="F2688" s="3"/>
      <c r="G2688" s="3"/>
      <c r="H2688" s="3"/>
      <c r="I2688" s="3"/>
      <c r="J2688" s="3" t="s">
        <v>1700</v>
      </c>
      <c r="K2688" s="27" t="s">
        <v>1252</v>
      </c>
    </row>
    <row r="2689" ht="18.6" customHeight="1" spans="1:11">
      <c r="A2689" s="3">
        <v>2688</v>
      </c>
      <c r="B2689" s="3" t="s">
        <v>3106</v>
      </c>
      <c r="C2689" s="3" t="s">
        <v>3597</v>
      </c>
      <c r="D2689" s="3" t="s">
        <v>844</v>
      </c>
      <c r="E2689" s="3" t="s">
        <v>845</v>
      </c>
      <c r="F2689" s="3"/>
      <c r="G2689" s="3"/>
      <c r="H2689" s="3"/>
      <c r="I2689" s="3"/>
      <c r="J2689" s="3" t="s">
        <v>1700</v>
      </c>
      <c r="K2689" s="27" t="s">
        <v>1252</v>
      </c>
    </row>
    <row r="2690" ht="18.6" customHeight="1" spans="1:11">
      <c r="A2690" s="3">
        <v>2689</v>
      </c>
      <c r="B2690" s="3" t="s">
        <v>3107</v>
      </c>
      <c r="C2690" s="3" t="s">
        <v>3597</v>
      </c>
      <c r="D2690" s="3" t="s">
        <v>844</v>
      </c>
      <c r="E2690" s="3" t="s">
        <v>845</v>
      </c>
      <c r="F2690" s="3"/>
      <c r="G2690" s="3"/>
      <c r="H2690" s="3"/>
      <c r="I2690" s="3"/>
      <c r="J2690" s="3" t="s">
        <v>1700</v>
      </c>
      <c r="K2690" s="27" t="s">
        <v>1252</v>
      </c>
    </row>
    <row r="2691" ht="18.6" customHeight="1" spans="1:11">
      <c r="A2691" s="3">
        <v>2690</v>
      </c>
      <c r="B2691" s="3" t="s">
        <v>3108</v>
      </c>
      <c r="C2691" s="3" t="s">
        <v>3597</v>
      </c>
      <c r="D2691" s="3" t="s">
        <v>844</v>
      </c>
      <c r="E2691" s="3" t="s">
        <v>845</v>
      </c>
      <c r="F2691" s="3"/>
      <c r="G2691" s="3"/>
      <c r="H2691" s="3"/>
      <c r="I2691" s="3" t="s">
        <v>3769</v>
      </c>
      <c r="J2691" s="3" t="s">
        <v>1700</v>
      </c>
      <c r="K2691" s="27" t="s">
        <v>1252</v>
      </c>
    </row>
    <row r="2692" ht="18.6" customHeight="1" spans="1:11">
      <c r="A2692" s="3">
        <v>2691</v>
      </c>
      <c r="B2692" s="3" t="s">
        <v>3109</v>
      </c>
      <c r="C2692" s="3" t="s">
        <v>3597</v>
      </c>
      <c r="D2692" s="3" t="s">
        <v>844</v>
      </c>
      <c r="E2692" s="3" t="s">
        <v>845</v>
      </c>
      <c r="F2692" s="3"/>
      <c r="G2692" s="3"/>
      <c r="H2692" s="3"/>
      <c r="I2692" s="3" t="s">
        <v>3769</v>
      </c>
      <c r="J2692" s="3" t="s">
        <v>1700</v>
      </c>
      <c r="K2692" s="27" t="s">
        <v>1252</v>
      </c>
    </row>
    <row r="2693" ht="18.6" customHeight="1" spans="1:11">
      <c r="A2693" s="3">
        <v>2692</v>
      </c>
      <c r="B2693" s="3" t="s">
        <v>3110</v>
      </c>
      <c r="C2693" s="3" t="s">
        <v>3597</v>
      </c>
      <c r="D2693" s="3" t="s">
        <v>844</v>
      </c>
      <c r="E2693" s="3" t="s">
        <v>845</v>
      </c>
      <c r="F2693" s="3"/>
      <c r="G2693" s="3"/>
      <c r="H2693" s="3"/>
      <c r="I2693" s="3"/>
      <c r="J2693" s="3" t="s">
        <v>1700</v>
      </c>
      <c r="K2693" s="27" t="s">
        <v>1252</v>
      </c>
    </row>
    <row r="2694" ht="18.6" customHeight="1" spans="1:11">
      <c r="A2694" s="3">
        <v>2693</v>
      </c>
      <c r="B2694" s="3" t="s">
        <v>3111</v>
      </c>
      <c r="C2694" s="3" t="s">
        <v>3597</v>
      </c>
      <c r="D2694" s="3" t="s">
        <v>844</v>
      </c>
      <c r="E2694" s="3" t="s">
        <v>852</v>
      </c>
      <c r="F2694" s="3"/>
      <c r="G2694" s="3"/>
      <c r="H2694" s="3"/>
      <c r="I2694" s="3" t="s">
        <v>3769</v>
      </c>
      <c r="J2694" s="3" t="s">
        <v>1700</v>
      </c>
      <c r="K2694" s="27" t="s">
        <v>1252</v>
      </c>
    </row>
    <row r="2695" ht="18.6" customHeight="1" spans="1:11">
      <c r="A2695" s="3">
        <v>2694</v>
      </c>
      <c r="B2695" s="3" t="s">
        <v>3112</v>
      </c>
      <c r="C2695" s="3" t="s">
        <v>3597</v>
      </c>
      <c r="D2695" s="3" t="s">
        <v>844</v>
      </c>
      <c r="E2695" s="3" t="s">
        <v>845</v>
      </c>
      <c r="F2695" s="3"/>
      <c r="G2695" s="3"/>
      <c r="H2695" s="3"/>
      <c r="I2695" s="3" t="s">
        <v>3770</v>
      </c>
      <c r="J2695" s="3" t="s">
        <v>1700</v>
      </c>
      <c r="K2695" s="27" t="s">
        <v>1252</v>
      </c>
    </row>
    <row r="2696" ht="18.6" customHeight="1" spans="1:11">
      <c r="A2696" s="3">
        <v>2695</v>
      </c>
      <c r="B2696" s="3" t="s">
        <v>3113</v>
      </c>
      <c r="C2696" s="3" t="s">
        <v>3597</v>
      </c>
      <c r="D2696" s="3" t="s">
        <v>844</v>
      </c>
      <c r="E2696" s="3" t="s">
        <v>881</v>
      </c>
      <c r="F2696" s="3"/>
      <c r="G2696" s="3"/>
      <c r="H2696" s="3"/>
      <c r="I2696" s="3" t="s">
        <v>3769</v>
      </c>
      <c r="J2696" s="3" t="s">
        <v>1700</v>
      </c>
      <c r="K2696" s="27" t="s">
        <v>1252</v>
      </c>
    </row>
    <row r="2697" ht="18.6" customHeight="1" spans="1:11">
      <c r="A2697" s="3">
        <v>2696</v>
      </c>
      <c r="B2697" s="3" t="s">
        <v>3114</v>
      </c>
      <c r="C2697" s="3" t="s">
        <v>3597</v>
      </c>
      <c r="D2697" s="3" t="s">
        <v>844</v>
      </c>
      <c r="E2697" s="3" t="s">
        <v>845</v>
      </c>
      <c r="F2697" s="3"/>
      <c r="G2697" s="3"/>
      <c r="H2697" s="3"/>
      <c r="I2697" s="3" t="s">
        <v>3769</v>
      </c>
      <c r="J2697" s="3" t="s">
        <v>1700</v>
      </c>
      <c r="K2697" s="27" t="s">
        <v>1252</v>
      </c>
    </row>
    <row r="2698" ht="18.6" customHeight="1" spans="1:11">
      <c r="A2698" s="3">
        <v>2697</v>
      </c>
      <c r="B2698" s="3" t="s">
        <v>3115</v>
      </c>
      <c r="C2698" s="3" t="s">
        <v>3597</v>
      </c>
      <c r="D2698" s="3" t="s">
        <v>844</v>
      </c>
      <c r="E2698" s="3" t="s">
        <v>845</v>
      </c>
      <c r="F2698" s="3"/>
      <c r="G2698" s="3"/>
      <c r="H2698" s="3"/>
      <c r="I2698" s="3"/>
      <c r="J2698" s="3" t="s">
        <v>1700</v>
      </c>
      <c r="K2698" s="27" t="s">
        <v>1252</v>
      </c>
    </row>
    <row r="2699" ht="18.6" customHeight="1" spans="1:11">
      <c r="A2699" s="3">
        <v>2698</v>
      </c>
      <c r="B2699" s="3" t="s">
        <v>3116</v>
      </c>
      <c r="C2699" s="3" t="s">
        <v>3597</v>
      </c>
      <c r="D2699" s="3" t="s">
        <v>844</v>
      </c>
      <c r="E2699" s="3" t="s">
        <v>845</v>
      </c>
      <c r="F2699" s="3"/>
      <c r="G2699" s="3"/>
      <c r="H2699" s="3"/>
      <c r="I2699" s="3"/>
      <c r="J2699" s="3" t="s">
        <v>1700</v>
      </c>
      <c r="K2699" s="27" t="s">
        <v>1252</v>
      </c>
    </row>
    <row r="2700" ht="18.6" customHeight="1" spans="1:11">
      <c r="A2700" s="3">
        <v>2699</v>
      </c>
      <c r="B2700" s="3" t="s">
        <v>3117</v>
      </c>
      <c r="C2700" s="3" t="s">
        <v>3597</v>
      </c>
      <c r="D2700" s="3" t="s">
        <v>844</v>
      </c>
      <c r="E2700" s="3" t="s">
        <v>886</v>
      </c>
      <c r="F2700" s="3"/>
      <c r="G2700" s="3"/>
      <c r="H2700" s="3"/>
      <c r="I2700" s="3" t="s">
        <v>3770</v>
      </c>
      <c r="J2700" s="3" t="s">
        <v>1700</v>
      </c>
      <c r="K2700" s="27" t="s">
        <v>1252</v>
      </c>
    </row>
    <row r="2701" ht="18.6" customHeight="1" spans="1:11">
      <c r="A2701" s="3">
        <v>2700</v>
      </c>
      <c r="B2701" s="3" t="s">
        <v>3118</v>
      </c>
      <c r="C2701" s="3" t="s">
        <v>3597</v>
      </c>
      <c r="D2701" s="3" t="s">
        <v>844</v>
      </c>
      <c r="E2701" s="3" t="s">
        <v>866</v>
      </c>
      <c r="F2701" s="3"/>
      <c r="G2701" s="3"/>
      <c r="H2701" s="3"/>
      <c r="I2701" s="3"/>
      <c r="J2701" s="3" t="s">
        <v>1700</v>
      </c>
      <c r="K2701" s="27" t="s">
        <v>1252</v>
      </c>
    </row>
    <row r="2702" ht="18.6" customHeight="1" spans="1:11">
      <c r="A2702" s="3">
        <v>2701</v>
      </c>
      <c r="B2702" s="3" t="s">
        <v>3119</v>
      </c>
      <c r="C2702" s="3" t="s">
        <v>3597</v>
      </c>
      <c r="D2702" s="3" t="s">
        <v>844</v>
      </c>
      <c r="E2702" s="3" t="s">
        <v>2475</v>
      </c>
      <c r="F2702" s="3"/>
      <c r="G2702" s="3"/>
      <c r="H2702" s="3"/>
      <c r="I2702" s="3"/>
      <c r="J2702" s="3" t="s">
        <v>1700</v>
      </c>
      <c r="K2702" s="27" t="s">
        <v>1252</v>
      </c>
    </row>
    <row r="2703" ht="18.6" customHeight="1" spans="1:11">
      <c r="A2703" s="3">
        <v>2702</v>
      </c>
      <c r="B2703" s="3" t="s">
        <v>3120</v>
      </c>
      <c r="C2703" s="3" t="s">
        <v>3597</v>
      </c>
      <c r="D2703" s="3" t="s">
        <v>844</v>
      </c>
      <c r="E2703" s="3" t="s">
        <v>886</v>
      </c>
      <c r="F2703" s="3"/>
      <c r="G2703" s="3"/>
      <c r="H2703" s="3"/>
      <c r="I2703" s="3"/>
      <c r="J2703" s="3" t="s">
        <v>1700</v>
      </c>
      <c r="K2703" s="27" t="s">
        <v>1252</v>
      </c>
    </row>
    <row r="2704" ht="18.6" customHeight="1" spans="1:11">
      <c r="A2704" s="3">
        <v>2703</v>
      </c>
      <c r="B2704" s="3" t="s">
        <v>3121</v>
      </c>
      <c r="C2704" s="3" t="s">
        <v>3597</v>
      </c>
      <c r="D2704" s="3" t="s">
        <v>844</v>
      </c>
      <c r="E2704" s="3" t="s">
        <v>866</v>
      </c>
      <c r="F2704" s="3"/>
      <c r="G2704" s="3"/>
      <c r="H2704" s="3"/>
      <c r="I2704" s="3"/>
      <c r="J2704" s="3" t="s">
        <v>1700</v>
      </c>
      <c r="K2704" s="27" t="s">
        <v>1252</v>
      </c>
    </row>
    <row r="2705" ht="18.6" customHeight="1" spans="1:11">
      <c r="A2705" s="3">
        <v>2704</v>
      </c>
      <c r="B2705" s="3" t="s">
        <v>3122</v>
      </c>
      <c r="C2705" s="3" t="s">
        <v>3622</v>
      </c>
      <c r="D2705" s="3" t="s">
        <v>902</v>
      </c>
      <c r="E2705" s="3" t="s">
        <v>907</v>
      </c>
      <c r="F2705" s="3"/>
      <c r="G2705" s="3"/>
      <c r="H2705" s="3"/>
      <c r="I2705" s="3"/>
      <c r="J2705" s="3" t="s">
        <v>1700</v>
      </c>
      <c r="K2705" s="27" t="s">
        <v>1252</v>
      </c>
    </row>
    <row r="2706" ht="18.6" customHeight="1" spans="1:11">
      <c r="A2706" s="3">
        <v>2705</v>
      </c>
      <c r="B2706" s="3" t="s">
        <v>3123</v>
      </c>
      <c r="C2706" s="3" t="s">
        <v>3622</v>
      </c>
      <c r="D2706" s="3" t="s">
        <v>902</v>
      </c>
      <c r="E2706" s="3" t="s">
        <v>907</v>
      </c>
      <c r="F2706" s="3"/>
      <c r="G2706" s="3"/>
      <c r="H2706" s="3"/>
      <c r="I2706" s="3"/>
      <c r="J2706" s="3" t="s">
        <v>1700</v>
      </c>
      <c r="K2706" s="27" t="s">
        <v>1252</v>
      </c>
    </row>
    <row r="2707" ht="18.6" customHeight="1" spans="1:11">
      <c r="A2707" s="3">
        <v>2706</v>
      </c>
      <c r="B2707" s="3" t="s">
        <v>3124</v>
      </c>
      <c r="C2707" s="3" t="s">
        <v>3622</v>
      </c>
      <c r="D2707" s="3" t="s">
        <v>902</v>
      </c>
      <c r="E2707" s="3" t="s">
        <v>903</v>
      </c>
      <c r="F2707" s="3"/>
      <c r="G2707" s="3"/>
      <c r="H2707" s="3"/>
      <c r="I2707" s="3"/>
      <c r="J2707" s="3" t="s">
        <v>1700</v>
      </c>
      <c r="K2707" s="27" t="s">
        <v>1252</v>
      </c>
    </row>
    <row r="2708" ht="18.6" customHeight="1" spans="1:11">
      <c r="A2708" s="3">
        <v>2707</v>
      </c>
      <c r="B2708" s="3" t="s">
        <v>3125</v>
      </c>
      <c r="C2708" s="3" t="s">
        <v>3622</v>
      </c>
      <c r="D2708" s="3" t="s">
        <v>902</v>
      </c>
      <c r="E2708" s="3" t="s">
        <v>931</v>
      </c>
      <c r="F2708" s="3"/>
      <c r="G2708" s="3"/>
      <c r="H2708" s="3"/>
      <c r="I2708" s="3"/>
      <c r="J2708" s="3" t="s">
        <v>1700</v>
      </c>
      <c r="K2708" s="27" t="s">
        <v>1252</v>
      </c>
    </row>
    <row r="2709" ht="18.6" customHeight="1" spans="1:11">
      <c r="A2709" s="3">
        <v>2708</v>
      </c>
      <c r="B2709" s="3" t="s">
        <v>3126</v>
      </c>
      <c r="C2709" s="3" t="s">
        <v>3622</v>
      </c>
      <c r="D2709" s="3" t="s">
        <v>902</v>
      </c>
      <c r="E2709" s="3" t="s">
        <v>911</v>
      </c>
      <c r="F2709" s="3"/>
      <c r="G2709" s="3"/>
      <c r="H2709" s="3"/>
      <c r="I2709" s="3" t="s">
        <v>3769</v>
      </c>
      <c r="J2709" s="3" t="s">
        <v>1700</v>
      </c>
      <c r="K2709" s="27" t="s">
        <v>1252</v>
      </c>
    </row>
    <row r="2710" ht="18.6" customHeight="1" spans="1:11">
      <c r="A2710" s="3">
        <v>2709</v>
      </c>
      <c r="B2710" s="3" t="s">
        <v>3127</v>
      </c>
      <c r="C2710" s="3" t="s">
        <v>3622</v>
      </c>
      <c r="D2710" s="3" t="s">
        <v>902</v>
      </c>
      <c r="E2710" s="3" t="s">
        <v>917</v>
      </c>
      <c r="F2710" s="3"/>
      <c r="G2710" s="3"/>
      <c r="H2710" s="3"/>
      <c r="I2710" s="3" t="s">
        <v>3770</v>
      </c>
      <c r="J2710" s="3" t="s">
        <v>1700</v>
      </c>
      <c r="K2710" s="27" t="s">
        <v>1252</v>
      </c>
    </row>
    <row r="2711" ht="18.6" customHeight="1" spans="1:11">
      <c r="A2711" s="3">
        <v>2710</v>
      </c>
      <c r="B2711" s="3" t="s">
        <v>3128</v>
      </c>
      <c r="C2711" s="3" t="s">
        <v>3622</v>
      </c>
      <c r="D2711" s="3" t="s">
        <v>902</v>
      </c>
      <c r="E2711" s="3" t="s">
        <v>903</v>
      </c>
      <c r="F2711" s="3"/>
      <c r="G2711" s="3"/>
      <c r="H2711" s="3"/>
      <c r="I2711" s="3"/>
      <c r="J2711" s="3" t="s">
        <v>1700</v>
      </c>
      <c r="K2711" s="27" t="s">
        <v>1252</v>
      </c>
    </row>
    <row r="2712" ht="18.6" customHeight="1" spans="1:11">
      <c r="A2712" s="3">
        <v>2711</v>
      </c>
      <c r="B2712" s="3" t="s">
        <v>3129</v>
      </c>
      <c r="C2712" s="3" t="s">
        <v>3622</v>
      </c>
      <c r="D2712" s="3" t="s">
        <v>902</v>
      </c>
      <c r="E2712" s="3" t="s">
        <v>917</v>
      </c>
      <c r="F2712" s="3"/>
      <c r="G2712" s="3"/>
      <c r="H2712" s="3"/>
      <c r="I2712" s="3"/>
      <c r="J2712" s="3" t="s">
        <v>1700</v>
      </c>
      <c r="K2712" s="27" t="s">
        <v>1252</v>
      </c>
    </row>
    <row r="2713" ht="18.6" customHeight="1" spans="1:11">
      <c r="A2713" s="3">
        <v>2712</v>
      </c>
      <c r="B2713" s="3" t="s">
        <v>3130</v>
      </c>
      <c r="C2713" s="3" t="s">
        <v>3622</v>
      </c>
      <c r="D2713" s="3" t="s">
        <v>902</v>
      </c>
      <c r="E2713" s="3" t="s">
        <v>911</v>
      </c>
      <c r="F2713" s="3"/>
      <c r="G2713" s="3"/>
      <c r="H2713" s="3"/>
      <c r="I2713" s="3"/>
      <c r="J2713" s="3" t="s">
        <v>1700</v>
      </c>
      <c r="K2713" s="27" t="s">
        <v>1252</v>
      </c>
    </row>
    <row r="2714" ht="18.6" customHeight="1" spans="1:11">
      <c r="A2714" s="3">
        <v>2713</v>
      </c>
      <c r="B2714" s="3" t="s">
        <v>3131</v>
      </c>
      <c r="C2714" s="3" t="s">
        <v>3622</v>
      </c>
      <c r="D2714" s="3" t="s">
        <v>902</v>
      </c>
      <c r="E2714" s="3" t="s">
        <v>917</v>
      </c>
      <c r="F2714" s="3"/>
      <c r="G2714" s="3"/>
      <c r="H2714" s="3"/>
      <c r="I2714" s="3"/>
      <c r="J2714" s="3" t="s">
        <v>1700</v>
      </c>
      <c r="K2714" s="27" t="s">
        <v>1252</v>
      </c>
    </row>
    <row r="2715" ht="18.6" customHeight="1" spans="1:11">
      <c r="A2715" s="3">
        <v>2714</v>
      </c>
      <c r="B2715" s="3" t="s">
        <v>3132</v>
      </c>
      <c r="C2715" s="3" t="s">
        <v>3622</v>
      </c>
      <c r="D2715" s="3" t="s">
        <v>902</v>
      </c>
      <c r="E2715" s="3" t="s">
        <v>921</v>
      </c>
      <c r="F2715" s="3"/>
      <c r="G2715" s="3"/>
      <c r="H2715" s="3"/>
      <c r="I2715" s="3"/>
      <c r="J2715" s="3" t="s">
        <v>1700</v>
      </c>
      <c r="K2715" s="27" t="s">
        <v>1252</v>
      </c>
    </row>
    <row r="2716" ht="18.6" customHeight="1" spans="1:11">
      <c r="A2716" s="3">
        <v>2715</v>
      </c>
      <c r="B2716" s="3" t="s">
        <v>3133</v>
      </c>
      <c r="C2716" s="3" t="s">
        <v>3622</v>
      </c>
      <c r="D2716" s="3" t="s">
        <v>902</v>
      </c>
      <c r="E2716" s="3" t="s">
        <v>928</v>
      </c>
      <c r="F2716" s="3"/>
      <c r="G2716" s="3"/>
      <c r="H2716" s="3"/>
      <c r="I2716" s="3"/>
      <c r="J2716" s="3" t="s">
        <v>1700</v>
      </c>
      <c r="K2716" s="27" t="s">
        <v>1252</v>
      </c>
    </row>
    <row r="2717" ht="18.6" customHeight="1" spans="1:11">
      <c r="A2717" s="3">
        <v>2716</v>
      </c>
      <c r="B2717" s="3" t="s">
        <v>3134</v>
      </c>
      <c r="C2717" s="3" t="s">
        <v>3622</v>
      </c>
      <c r="D2717" s="3" t="s">
        <v>902</v>
      </c>
      <c r="E2717" s="3" t="s">
        <v>926</v>
      </c>
      <c r="F2717" s="3"/>
      <c r="G2717" s="3"/>
      <c r="H2717" s="3"/>
      <c r="I2717" s="3"/>
      <c r="J2717" s="3" t="s">
        <v>1700</v>
      </c>
      <c r="K2717" s="27" t="s">
        <v>1252</v>
      </c>
    </row>
    <row r="2718" ht="18.6" customHeight="1" spans="1:11">
      <c r="A2718" s="3">
        <v>2717</v>
      </c>
      <c r="B2718" s="3" t="s">
        <v>3135</v>
      </c>
      <c r="C2718" s="3" t="s">
        <v>3622</v>
      </c>
      <c r="D2718" s="3" t="s">
        <v>902</v>
      </c>
      <c r="E2718" s="3" t="s">
        <v>1580</v>
      </c>
      <c r="F2718" s="3"/>
      <c r="G2718" s="3"/>
      <c r="H2718" s="3"/>
      <c r="I2718" s="3"/>
      <c r="J2718" s="3" t="s">
        <v>1700</v>
      </c>
      <c r="K2718" s="27" t="s">
        <v>1252</v>
      </c>
    </row>
    <row r="2719" ht="18.6" customHeight="1" spans="1:11">
      <c r="A2719" s="3">
        <v>2718</v>
      </c>
      <c r="B2719" s="3" t="s">
        <v>3136</v>
      </c>
      <c r="C2719" s="3" t="s">
        <v>3631</v>
      </c>
      <c r="D2719" s="3" t="s">
        <v>943</v>
      </c>
      <c r="E2719" s="3" t="s">
        <v>946</v>
      </c>
      <c r="F2719" s="3"/>
      <c r="G2719" s="3"/>
      <c r="H2719" s="3"/>
      <c r="I2719" s="3"/>
      <c r="J2719" s="3" t="s">
        <v>1700</v>
      </c>
      <c r="K2719" s="27" t="s">
        <v>1252</v>
      </c>
    </row>
    <row r="2720" ht="18.6" customHeight="1" spans="1:11">
      <c r="A2720" s="3">
        <v>2719</v>
      </c>
      <c r="B2720" s="3" t="s">
        <v>3137</v>
      </c>
      <c r="C2720" s="3" t="s">
        <v>3631</v>
      </c>
      <c r="D2720" s="3" t="s">
        <v>943</v>
      </c>
      <c r="E2720" s="3" t="s">
        <v>944</v>
      </c>
      <c r="F2720" s="3"/>
      <c r="G2720" s="3"/>
      <c r="H2720" s="3"/>
      <c r="I2720" s="3" t="s">
        <v>3769</v>
      </c>
      <c r="J2720" s="3" t="s">
        <v>1700</v>
      </c>
      <c r="K2720" s="27" t="s">
        <v>1252</v>
      </c>
    </row>
    <row r="2721" ht="18.6" customHeight="1" spans="1:11">
      <c r="A2721" s="3">
        <v>2720</v>
      </c>
      <c r="B2721" s="3" t="s">
        <v>3138</v>
      </c>
      <c r="C2721" s="3" t="s">
        <v>3631</v>
      </c>
      <c r="D2721" s="3" t="s">
        <v>943</v>
      </c>
      <c r="E2721" s="3" t="s">
        <v>946</v>
      </c>
      <c r="F2721" s="3"/>
      <c r="G2721" s="3"/>
      <c r="H2721" s="3"/>
      <c r="I2721" s="3" t="s">
        <v>3769</v>
      </c>
      <c r="J2721" s="3" t="s">
        <v>1700</v>
      </c>
      <c r="K2721" s="27" t="s">
        <v>1252</v>
      </c>
    </row>
    <row r="2722" ht="18.6" customHeight="1" spans="1:11">
      <c r="A2722" s="3">
        <v>2721</v>
      </c>
      <c r="B2722" s="3" t="s">
        <v>3139</v>
      </c>
      <c r="C2722" s="3" t="s">
        <v>3631</v>
      </c>
      <c r="D2722" s="3" t="s">
        <v>943</v>
      </c>
      <c r="E2722" s="3" t="s">
        <v>946</v>
      </c>
      <c r="F2722" s="3"/>
      <c r="G2722" s="3"/>
      <c r="H2722" s="3"/>
      <c r="I2722" s="3" t="s">
        <v>3769</v>
      </c>
      <c r="J2722" s="3" t="s">
        <v>1700</v>
      </c>
      <c r="K2722" s="27" t="s">
        <v>1252</v>
      </c>
    </row>
    <row r="2723" ht="18.6" customHeight="1" spans="1:11">
      <c r="A2723" s="3">
        <v>2722</v>
      </c>
      <c r="B2723" s="3" t="s">
        <v>3140</v>
      </c>
      <c r="C2723" s="3" t="s">
        <v>3631</v>
      </c>
      <c r="D2723" s="3" t="s">
        <v>943</v>
      </c>
      <c r="E2723" s="3" t="s">
        <v>946</v>
      </c>
      <c r="F2723" s="3"/>
      <c r="G2723" s="3"/>
      <c r="H2723" s="3"/>
      <c r="I2723" s="3"/>
      <c r="J2723" s="3" t="s">
        <v>1700</v>
      </c>
      <c r="K2723" s="27" t="s">
        <v>1252</v>
      </c>
    </row>
    <row r="2724" ht="18.6" customHeight="1" spans="1:11">
      <c r="A2724" s="3">
        <v>2723</v>
      </c>
      <c r="B2724" s="3" t="s">
        <v>3141</v>
      </c>
      <c r="C2724" s="3" t="s">
        <v>3631</v>
      </c>
      <c r="D2724" s="3" t="s">
        <v>943</v>
      </c>
      <c r="E2724" s="3" t="s">
        <v>944</v>
      </c>
      <c r="F2724" s="3"/>
      <c r="G2724" s="3"/>
      <c r="H2724" s="3"/>
      <c r="I2724" s="3"/>
      <c r="J2724" s="3" t="s">
        <v>1700</v>
      </c>
      <c r="K2724" s="27" t="s">
        <v>1252</v>
      </c>
    </row>
    <row r="2725" ht="18.6" customHeight="1" spans="1:11">
      <c r="A2725" s="3">
        <v>2724</v>
      </c>
      <c r="B2725" s="3" t="s">
        <v>3143</v>
      </c>
      <c r="C2725" s="3" t="s">
        <v>3639</v>
      </c>
      <c r="D2725" s="3" t="s">
        <v>951</v>
      </c>
      <c r="E2725" s="3" t="s">
        <v>951</v>
      </c>
      <c r="F2725" s="3"/>
      <c r="G2725" s="3"/>
      <c r="H2725" s="3"/>
      <c r="I2725" s="3"/>
      <c r="J2725" s="3" t="s">
        <v>1700</v>
      </c>
      <c r="K2725" s="27" t="s">
        <v>1252</v>
      </c>
    </row>
    <row r="2726" ht="18.6" customHeight="1" spans="1:11">
      <c r="A2726" s="3">
        <v>2725</v>
      </c>
      <c r="B2726" s="3" t="s">
        <v>3144</v>
      </c>
      <c r="C2726" s="3" t="s">
        <v>3639</v>
      </c>
      <c r="D2726" s="3" t="s">
        <v>951</v>
      </c>
      <c r="E2726" s="3" t="s">
        <v>951</v>
      </c>
      <c r="F2726" s="3"/>
      <c r="G2726" s="3"/>
      <c r="H2726" s="3"/>
      <c r="I2726" s="3"/>
      <c r="J2726" s="3" t="s">
        <v>1700</v>
      </c>
      <c r="K2726" s="27" t="s">
        <v>1252</v>
      </c>
    </row>
    <row r="2727" ht="18.6" customHeight="1" spans="1:11">
      <c r="A2727" s="3">
        <v>2726</v>
      </c>
      <c r="B2727" s="3" t="s">
        <v>3145</v>
      </c>
      <c r="C2727" s="3" t="s">
        <v>3639</v>
      </c>
      <c r="D2727" s="3" t="s">
        <v>951</v>
      </c>
      <c r="E2727" s="3" t="s">
        <v>951</v>
      </c>
      <c r="F2727" s="3"/>
      <c r="G2727" s="3"/>
      <c r="H2727" s="3"/>
      <c r="I2727" s="3" t="s">
        <v>3769</v>
      </c>
      <c r="J2727" s="3" t="s">
        <v>1700</v>
      </c>
      <c r="K2727" s="27" t="s">
        <v>1252</v>
      </c>
    </row>
    <row r="2728" ht="18.6" customHeight="1" spans="1:11">
      <c r="A2728" s="3">
        <v>2727</v>
      </c>
      <c r="B2728" s="3" t="s">
        <v>3146</v>
      </c>
      <c r="C2728" s="3" t="s">
        <v>3639</v>
      </c>
      <c r="D2728" s="3" t="s">
        <v>951</v>
      </c>
      <c r="E2728" s="3" t="s">
        <v>951</v>
      </c>
      <c r="F2728" s="3"/>
      <c r="G2728" s="3"/>
      <c r="H2728" s="3"/>
      <c r="I2728" s="3" t="s">
        <v>3770</v>
      </c>
      <c r="J2728" s="3" t="s">
        <v>1700</v>
      </c>
      <c r="K2728" s="27" t="s">
        <v>1252</v>
      </c>
    </row>
    <row r="2729" ht="18.6" customHeight="1" spans="1:11">
      <c r="A2729" s="3">
        <v>2728</v>
      </c>
      <c r="B2729" s="3" t="s">
        <v>3147</v>
      </c>
      <c r="C2729" s="3" t="s">
        <v>3639</v>
      </c>
      <c r="D2729" s="3" t="s">
        <v>951</v>
      </c>
      <c r="E2729" s="3" t="s">
        <v>951</v>
      </c>
      <c r="F2729" s="3"/>
      <c r="G2729" s="3"/>
      <c r="H2729" s="3"/>
      <c r="I2729" s="3"/>
      <c r="J2729" s="3" t="s">
        <v>1700</v>
      </c>
      <c r="K2729" s="27" t="s">
        <v>1252</v>
      </c>
    </row>
    <row r="2730" ht="18.6" customHeight="1" spans="1:11">
      <c r="A2730" s="3">
        <v>2729</v>
      </c>
      <c r="B2730" s="3" t="s">
        <v>3148</v>
      </c>
      <c r="C2730" s="3" t="s">
        <v>3639</v>
      </c>
      <c r="D2730" s="3" t="s">
        <v>951</v>
      </c>
      <c r="E2730" s="3" t="s">
        <v>951</v>
      </c>
      <c r="F2730" s="3"/>
      <c r="G2730" s="3"/>
      <c r="H2730" s="3"/>
      <c r="I2730" s="3" t="s">
        <v>3770</v>
      </c>
      <c r="J2730" s="3" t="s">
        <v>1700</v>
      </c>
      <c r="K2730" s="27" t="s">
        <v>1252</v>
      </c>
    </row>
    <row r="2731" ht="18.6" customHeight="1" spans="1:11">
      <c r="A2731" s="3">
        <v>2730</v>
      </c>
      <c r="B2731" s="3" t="s">
        <v>3149</v>
      </c>
      <c r="C2731" s="3" t="s">
        <v>3639</v>
      </c>
      <c r="D2731" s="3" t="s">
        <v>951</v>
      </c>
      <c r="E2731" s="3" t="s">
        <v>951</v>
      </c>
      <c r="F2731" s="3"/>
      <c r="G2731" s="3"/>
      <c r="H2731" s="3"/>
      <c r="I2731" s="3" t="s">
        <v>3770</v>
      </c>
      <c r="J2731" s="3" t="s">
        <v>1700</v>
      </c>
      <c r="K2731" s="27" t="s">
        <v>1252</v>
      </c>
    </row>
    <row r="2732" ht="18.6" customHeight="1" spans="1:11">
      <c r="A2732" s="3">
        <v>2731</v>
      </c>
      <c r="B2732" s="3" t="s">
        <v>3150</v>
      </c>
      <c r="C2732" s="3" t="s">
        <v>3639</v>
      </c>
      <c r="D2732" s="3" t="s">
        <v>951</v>
      </c>
      <c r="E2732" s="3" t="s">
        <v>951</v>
      </c>
      <c r="F2732" s="3"/>
      <c r="G2732" s="3"/>
      <c r="H2732" s="3"/>
      <c r="I2732" s="3" t="s">
        <v>3770</v>
      </c>
      <c r="J2732" s="3" t="s">
        <v>1700</v>
      </c>
      <c r="K2732" s="27" t="s">
        <v>1252</v>
      </c>
    </row>
    <row r="2733" ht="18.6" customHeight="1" spans="1:11">
      <c r="A2733" s="3">
        <v>2732</v>
      </c>
      <c r="B2733" s="3" t="s">
        <v>3151</v>
      </c>
      <c r="C2733" s="3" t="s">
        <v>3639</v>
      </c>
      <c r="D2733" s="3" t="s">
        <v>951</v>
      </c>
      <c r="E2733" s="3" t="s">
        <v>951</v>
      </c>
      <c r="F2733" s="3"/>
      <c r="G2733" s="3"/>
      <c r="H2733" s="3"/>
      <c r="I2733" s="3" t="s">
        <v>3770</v>
      </c>
      <c r="J2733" s="3" t="s">
        <v>1700</v>
      </c>
      <c r="K2733" s="27" t="s">
        <v>1252</v>
      </c>
    </row>
    <row r="2734" ht="18.6" customHeight="1" spans="1:11">
      <c r="A2734" s="3">
        <v>2733</v>
      </c>
      <c r="B2734" s="3" t="s">
        <v>3152</v>
      </c>
      <c r="C2734" s="3" t="s">
        <v>3639</v>
      </c>
      <c r="D2734" s="3" t="s">
        <v>951</v>
      </c>
      <c r="E2734" s="3" t="s">
        <v>951</v>
      </c>
      <c r="F2734" s="3"/>
      <c r="G2734" s="3"/>
      <c r="H2734" s="3"/>
      <c r="I2734" s="3" t="s">
        <v>3770</v>
      </c>
      <c r="J2734" s="3" t="s">
        <v>1700</v>
      </c>
      <c r="K2734" s="27" t="s">
        <v>1252</v>
      </c>
    </row>
    <row r="2735" ht="18.6" customHeight="1" spans="1:11">
      <c r="A2735" s="3">
        <v>2734</v>
      </c>
      <c r="B2735" s="3" t="s">
        <v>3153</v>
      </c>
      <c r="C2735" s="3" t="s">
        <v>3639</v>
      </c>
      <c r="D2735" s="3" t="s">
        <v>951</v>
      </c>
      <c r="E2735" s="3" t="s">
        <v>951</v>
      </c>
      <c r="F2735" s="3"/>
      <c r="G2735" s="3"/>
      <c r="H2735" s="3"/>
      <c r="I2735" s="3"/>
      <c r="J2735" s="3" t="s">
        <v>1700</v>
      </c>
      <c r="K2735" s="27" t="s">
        <v>1252</v>
      </c>
    </row>
    <row r="2736" ht="18.6" customHeight="1" spans="1:11">
      <c r="A2736" s="3">
        <v>2735</v>
      </c>
      <c r="B2736" s="3" t="s">
        <v>3154</v>
      </c>
      <c r="C2736" s="3" t="s">
        <v>3639</v>
      </c>
      <c r="D2736" s="3" t="s">
        <v>951</v>
      </c>
      <c r="E2736" s="3" t="s">
        <v>951</v>
      </c>
      <c r="F2736" s="3"/>
      <c r="G2736" s="3"/>
      <c r="H2736" s="3"/>
      <c r="I2736" s="3"/>
      <c r="J2736" s="3" t="s">
        <v>1700</v>
      </c>
      <c r="K2736" s="27" t="s">
        <v>1252</v>
      </c>
    </row>
    <row r="2737" ht="18.6" customHeight="1" spans="1:11">
      <c r="A2737" s="3">
        <v>2736</v>
      </c>
      <c r="B2737" s="3" t="s">
        <v>3155</v>
      </c>
      <c r="C2737" s="3" t="s">
        <v>3639</v>
      </c>
      <c r="D2737" s="3" t="s">
        <v>951</v>
      </c>
      <c r="E2737" s="3" t="s">
        <v>951</v>
      </c>
      <c r="F2737" s="3"/>
      <c r="G2737" s="3"/>
      <c r="H2737" s="3"/>
      <c r="I2737" s="3" t="s">
        <v>3770</v>
      </c>
      <c r="J2737" s="3" t="s">
        <v>1700</v>
      </c>
      <c r="K2737" s="27" t="s">
        <v>1252</v>
      </c>
    </row>
    <row r="2738" ht="18.6" customHeight="1" spans="1:11">
      <c r="A2738" s="3">
        <v>2737</v>
      </c>
      <c r="B2738" s="3" t="s">
        <v>3156</v>
      </c>
      <c r="C2738" s="3" t="s">
        <v>3639</v>
      </c>
      <c r="D2738" s="3" t="s">
        <v>951</v>
      </c>
      <c r="E2738" s="3" t="s">
        <v>951</v>
      </c>
      <c r="F2738" s="3"/>
      <c r="G2738" s="3"/>
      <c r="H2738" s="3"/>
      <c r="I2738" s="3"/>
      <c r="J2738" s="3" t="s">
        <v>1700</v>
      </c>
      <c r="K2738" s="27" t="s">
        <v>1252</v>
      </c>
    </row>
    <row r="2739" ht="18.6" customHeight="1" spans="1:11">
      <c r="A2739" s="3">
        <v>2738</v>
      </c>
      <c r="B2739" s="3" t="s">
        <v>3157</v>
      </c>
      <c r="C2739" s="3" t="s">
        <v>3639</v>
      </c>
      <c r="D2739" s="3" t="s">
        <v>951</v>
      </c>
      <c r="E2739" s="3" t="s">
        <v>951</v>
      </c>
      <c r="F2739" s="3"/>
      <c r="G2739" s="3"/>
      <c r="H2739" s="3"/>
      <c r="I2739" s="3"/>
      <c r="J2739" s="3" t="s">
        <v>1700</v>
      </c>
      <c r="K2739" s="27" t="s">
        <v>1252</v>
      </c>
    </row>
    <row r="2740" ht="18.6" customHeight="1" spans="1:11">
      <c r="A2740" s="3">
        <v>2739</v>
      </c>
      <c r="B2740" s="3" t="s">
        <v>3158</v>
      </c>
      <c r="C2740" s="3" t="s">
        <v>3639</v>
      </c>
      <c r="D2740" s="3" t="s">
        <v>951</v>
      </c>
      <c r="E2740" s="3" t="s">
        <v>951</v>
      </c>
      <c r="F2740" s="3"/>
      <c r="G2740" s="3"/>
      <c r="H2740" s="3"/>
      <c r="I2740" s="3"/>
      <c r="J2740" s="3" t="s">
        <v>1700</v>
      </c>
      <c r="K2740" s="27" t="s">
        <v>1252</v>
      </c>
    </row>
    <row r="2741" ht="18.6" customHeight="1" spans="1:11">
      <c r="A2741" s="3">
        <v>2740</v>
      </c>
      <c r="B2741" s="3" t="s">
        <v>3159</v>
      </c>
      <c r="C2741" s="3" t="s">
        <v>3639</v>
      </c>
      <c r="D2741" s="3" t="s">
        <v>951</v>
      </c>
      <c r="E2741" s="3" t="s">
        <v>951</v>
      </c>
      <c r="F2741" s="3"/>
      <c r="G2741" s="3"/>
      <c r="H2741" s="3"/>
      <c r="I2741" s="3"/>
      <c r="J2741" s="3" t="s">
        <v>1700</v>
      </c>
      <c r="K2741" s="27" t="s">
        <v>1252</v>
      </c>
    </row>
    <row r="2742" ht="18.6" customHeight="1" spans="1:11">
      <c r="A2742" s="3">
        <v>2741</v>
      </c>
      <c r="B2742" s="3" t="s">
        <v>3160</v>
      </c>
      <c r="C2742" s="3" t="s">
        <v>3639</v>
      </c>
      <c r="D2742" s="3" t="s">
        <v>951</v>
      </c>
      <c r="E2742" s="3" t="s">
        <v>951</v>
      </c>
      <c r="F2742" s="3"/>
      <c r="G2742" s="3"/>
      <c r="H2742" s="3"/>
      <c r="I2742" s="3"/>
      <c r="J2742" s="3" t="s">
        <v>1700</v>
      </c>
      <c r="K2742" s="27" t="s">
        <v>1252</v>
      </c>
    </row>
    <row r="2743" ht="18.6" customHeight="1" spans="1:11">
      <c r="A2743" s="3">
        <v>2742</v>
      </c>
      <c r="B2743" s="3" t="s">
        <v>3161</v>
      </c>
      <c r="C2743" s="3" t="s">
        <v>3639</v>
      </c>
      <c r="D2743" s="3" t="s">
        <v>951</v>
      </c>
      <c r="E2743" s="3" t="s">
        <v>951</v>
      </c>
      <c r="F2743" s="3"/>
      <c r="G2743" s="3"/>
      <c r="H2743" s="3"/>
      <c r="I2743" s="3"/>
      <c r="J2743" s="3" t="s">
        <v>1700</v>
      </c>
      <c r="K2743" s="27" t="s">
        <v>1252</v>
      </c>
    </row>
    <row r="2744" ht="18.6" customHeight="1" spans="1:11">
      <c r="A2744" s="3">
        <v>2743</v>
      </c>
      <c r="B2744" s="3" t="s">
        <v>3162</v>
      </c>
      <c r="C2744" s="3" t="s">
        <v>3639</v>
      </c>
      <c r="D2744" s="3" t="s">
        <v>951</v>
      </c>
      <c r="E2744" s="3" t="s">
        <v>951</v>
      </c>
      <c r="F2744" s="3"/>
      <c r="G2744" s="3"/>
      <c r="H2744" s="3"/>
      <c r="I2744" s="3"/>
      <c r="J2744" s="3" t="s">
        <v>1700</v>
      </c>
      <c r="K2744" s="27" t="s">
        <v>1252</v>
      </c>
    </row>
    <row r="2745" ht="18.6" customHeight="1" spans="1:11">
      <c r="A2745" s="3">
        <v>2744</v>
      </c>
      <c r="B2745" s="3" t="s">
        <v>3163</v>
      </c>
      <c r="C2745" s="3" t="s">
        <v>3656</v>
      </c>
      <c r="D2745" s="3" t="s">
        <v>971</v>
      </c>
      <c r="E2745" s="3" t="s">
        <v>972</v>
      </c>
      <c r="F2745" s="3"/>
      <c r="G2745" s="3"/>
      <c r="H2745" s="3"/>
      <c r="I2745" s="3"/>
      <c r="J2745" s="3" t="s">
        <v>1700</v>
      </c>
      <c r="K2745" s="27" t="s">
        <v>1252</v>
      </c>
    </row>
    <row r="2746" ht="18.6" customHeight="1" spans="1:11">
      <c r="A2746" s="3">
        <v>2745</v>
      </c>
      <c r="B2746" s="3" t="s">
        <v>3164</v>
      </c>
      <c r="C2746" s="3" t="s">
        <v>3656</v>
      </c>
      <c r="D2746" s="3" t="s">
        <v>971</v>
      </c>
      <c r="E2746" s="3" t="s">
        <v>972</v>
      </c>
      <c r="F2746" s="3"/>
      <c r="G2746" s="3"/>
      <c r="H2746" s="3"/>
      <c r="I2746" s="3"/>
      <c r="J2746" s="3" t="s">
        <v>1700</v>
      </c>
      <c r="K2746" s="27" t="s">
        <v>1252</v>
      </c>
    </row>
    <row r="2747" ht="18.6" customHeight="1" spans="1:11">
      <c r="A2747" s="3">
        <v>2746</v>
      </c>
      <c r="B2747" s="3" t="s">
        <v>3165</v>
      </c>
      <c r="C2747" s="3" t="s">
        <v>3656</v>
      </c>
      <c r="D2747" s="3" t="s">
        <v>971</v>
      </c>
      <c r="E2747" s="3" t="s">
        <v>972</v>
      </c>
      <c r="F2747" s="3"/>
      <c r="G2747" s="3"/>
      <c r="H2747" s="3"/>
      <c r="I2747" s="3" t="s">
        <v>3769</v>
      </c>
      <c r="J2747" s="3" t="s">
        <v>1700</v>
      </c>
      <c r="K2747" s="27" t="s">
        <v>1252</v>
      </c>
    </row>
    <row r="2748" ht="18.6" customHeight="1" spans="1:11">
      <c r="A2748" s="3">
        <v>2747</v>
      </c>
      <c r="B2748" s="3" t="s">
        <v>3166</v>
      </c>
      <c r="C2748" s="3" t="s">
        <v>3656</v>
      </c>
      <c r="D2748" s="3" t="s">
        <v>971</v>
      </c>
      <c r="E2748" s="3" t="s">
        <v>972</v>
      </c>
      <c r="F2748" s="3"/>
      <c r="G2748" s="3"/>
      <c r="H2748" s="3"/>
      <c r="I2748" s="3"/>
      <c r="J2748" s="3" t="s">
        <v>1700</v>
      </c>
      <c r="K2748" s="27" t="s">
        <v>1252</v>
      </c>
    </row>
    <row r="2749" ht="18.6" customHeight="1" spans="1:11">
      <c r="A2749" s="3">
        <v>2748</v>
      </c>
      <c r="B2749" s="3" t="s">
        <v>3167</v>
      </c>
      <c r="C2749" s="3" t="s">
        <v>3656</v>
      </c>
      <c r="D2749" s="3" t="s">
        <v>971</v>
      </c>
      <c r="E2749" s="3" t="s">
        <v>972</v>
      </c>
      <c r="F2749" s="3"/>
      <c r="G2749" s="3"/>
      <c r="H2749" s="3"/>
      <c r="I2749" s="3"/>
      <c r="J2749" s="3" t="s">
        <v>1700</v>
      </c>
      <c r="K2749" s="27" t="s">
        <v>1252</v>
      </c>
    </row>
    <row r="2750" ht="18.6" customHeight="1" spans="1:11">
      <c r="A2750" s="3">
        <v>2749</v>
      </c>
      <c r="B2750" s="3" t="s">
        <v>3168</v>
      </c>
      <c r="C2750" s="3" t="s">
        <v>3656</v>
      </c>
      <c r="D2750" s="3" t="s">
        <v>971</v>
      </c>
      <c r="E2750" s="3" t="s">
        <v>972</v>
      </c>
      <c r="F2750" s="3"/>
      <c r="G2750" s="3"/>
      <c r="H2750" s="3"/>
      <c r="I2750" s="3" t="s">
        <v>3769</v>
      </c>
      <c r="J2750" s="3" t="s">
        <v>1700</v>
      </c>
      <c r="K2750" s="27" t="s">
        <v>1252</v>
      </c>
    </row>
    <row r="2751" ht="18.6" customHeight="1" spans="1:11">
      <c r="A2751" s="3">
        <v>2750</v>
      </c>
      <c r="B2751" s="3" t="s">
        <v>3169</v>
      </c>
      <c r="C2751" s="3" t="s">
        <v>3656</v>
      </c>
      <c r="D2751" s="3" t="s">
        <v>971</v>
      </c>
      <c r="E2751" s="3" t="s">
        <v>972</v>
      </c>
      <c r="F2751" s="3"/>
      <c r="G2751" s="3"/>
      <c r="H2751" s="3"/>
      <c r="I2751" s="3" t="s">
        <v>3769</v>
      </c>
      <c r="J2751" s="3" t="s">
        <v>1700</v>
      </c>
      <c r="K2751" s="27" t="s">
        <v>1252</v>
      </c>
    </row>
    <row r="2752" ht="18.6" customHeight="1" spans="1:11">
      <c r="A2752" s="3">
        <v>2751</v>
      </c>
      <c r="B2752" s="3" t="s">
        <v>3170</v>
      </c>
      <c r="C2752" s="3" t="s">
        <v>3656</v>
      </c>
      <c r="D2752" s="3" t="s">
        <v>971</v>
      </c>
      <c r="E2752" s="3" t="s">
        <v>972</v>
      </c>
      <c r="F2752" s="3"/>
      <c r="G2752" s="3"/>
      <c r="H2752" s="3"/>
      <c r="I2752" s="3"/>
      <c r="J2752" s="3" t="s">
        <v>1700</v>
      </c>
      <c r="K2752" s="27" t="s">
        <v>1252</v>
      </c>
    </row>
    <row r="2753" ht="18.6" customHeight="1" spans="1:11">
      <c r="A2753" s="3">
        <v>2752</v>
      </c>
      <c r="B2753" s="3" t="s">
        <v>3171</v>
      </c>
      <c r="C2753" s="3" t="s">
        <v>3656</v>
      </c>
      <c r="D2753" s="3" t="s">
        <v>971</v>
      </c>
      <c r="E2753" s="3" t="s">
        <v>972</v>
      </c>
      <c r="F2753" s="3"/>
      <c r="G2753" s="3"/>
      <c r="H2753" s="3"/>
      <c r="I2753" s="3"/>
      <c r="J2753" s="3" t="s">
        <v>1700</v>
      </c>
      <c r="K2753" s="27" t="s">
        <v>1252</v>
      </c>
    </row>
    <row r="2754" ht="18.6" customHeight="1" spans="1:11">
      <c r="A2754" s="3">
        <v>2753</v>
      </c>
      <c r="B2754" s="3" t="s">
        <v>3172</v>
      </c>
      <c r="C2754" s="3" t="s">
        <v>3656</v>
      </c>
      <c r="D2754" s="3" t="s">
        <v>971</v>
      </c>
      <c r="E2754" s="3" t="s">
        <v>990</v>
      </c>
      <c r="F2754" s="3"/>
      <c r="G2754" s="3"/>
      <c r="H2754" s="3"/>
      <c r="I2754" s="3"/>
      <c r="J2754" s="3" t="s">
        <v>1700</v>
      </c>
      <c r="K2754" s="27" t="s">
        <v>1252</v>
      </c>
    </row>
    <row r="2755" ht="18.6" customHeight="1" spans="1:11">
      <c r="A2755" s="3">
        <v>2754</v>
      </c>
      <c r="B2755" s="3" t="s">
        <v>3173</v>
      </c>
      <c r="C2755" s="3" t="s">
        <v>3656</v>
      </c>
      <c r="D2755" s="3" t="s">
        <v>971</v>
      </c>
      <c r="E2755" s="3" t="s">
        <v>978</v>
      </c>
      <c r="F2755" s="3"/>
      <c r="G2755" s="3"/>
      <c r="H2755" s="3"/>
      <c r="I2755" s="3"/>
      <c r="J2755" s="3" t="s">
        <v>1700</v>
      </c>
      <c r="K2755" s="27" t="s">
        <v>1252</v>
      </c>
    </row>
    <row r="2756" ht="18.6" customHeight="1" spans="1:11">
      <c r="A2756" s="3">
        <v>2755</v>
      </c>
      <c r="B2756" s="3" t="s">
        <v>3174</v>
      </c>
      <c r="C2756" s="3" t="s">
        <v>3656</v>
      </c>
      <c r="D2756" s="3" t="s">
        <v>971</v>
      </c>
      <c r="E2756" s="3" t="s">
        <v>3175</v>
      </c>
      <c r="F2756" s="3"/>
      <c r="G2756" s="3"/>
      <c r="H2756" s="3"/>
      <c r="I2756" s="3"/>
      <c r="J2756" s="3" t="s">
        <v>1700</v>
      </c>
      <c r="K2756" s="27" t="s">
        <v>1252</v>
      </c>
    </row>
    <row r="2757" ht="18.6" customHeight="1" spans="1:11">
      <c r="A2757" s="3">
        <v>2756</v>
      </c>
      <c r="B2757" s="3" t="s">
        <v>3176</v>
      </c>
      <c r="C2757" s="3" t="s">
        <v>3656</v>
      </c>
      <c r="D2757" s="3" t="s">
        <v>971</v>
      </c>
      <c r="E2757" s="3" t="s">
        <v>3177</v>
      </c>
      <c r="F2757" s="3"/>
      <c r="G2757" s="3"/>
      <c r="H2757" s="3"/>
      <c r="I2757" s="3"/>
      <c r="J2757" s="3" t="s">
        <v>1700</v>
      </c>
      <c r="K2757" s="27" t="s">
        <v>1252</v>
      </c>
    </row>
    <row r="2758" ht="18.6" customHeight="1" spans="1:11">
      <c r="A2758" s="3">
        <v>2757</v>
      </c>
      <c r="B2758" s="3" t="s">
        <v>3178</v>
      </c>
      <c r="C2758" s="3" t="s">
        <v>3656</v>
      </c>
      <c r="D2758" s="3" t="s">
        <v>971</v>
      </c>
      <c r="E2758" s="3" t="s">
        <v>978</v>
      </c>
      <c r="F2758" s="3"/>
      <c r="G2758" s="3"/>
      <c r="H2758" s="3"/>
      <c r="I2758" s="3"/>
      <c r="J2758" s="3" t="s">
        <v>1700</v>
      </c>
      <c r="K2758" s="27" t="s">
        <v>1252</v>
      </c>
    </row>
    <row r="2759" ht="18.6" customHeight="1" spans="1:11">
      <c r="A2759" s="3">
        <v>2758</v>
      </c>
      <c r="B2759" s="3" t="s">
        <v>3179</v>
      </c>
      <c r="C2759" s="3" t="s">
        <v>3656</v>
      </c>
      <c r="D2759" s="3" t="s">
        <v>971</v>
      </c>
      <c r="E2759" s="3" t="s">
        <v>972</v>
      </c>
      <c r="F2759" s="3"/>
      <c r="G2759" s="3"/>
      <c r="H2759" s="3"/>
      <c r="I2759" s="3" t="s">
        <v>3769</v>
      </c>
      <c r="J2759" s="3" t="s">
        <v>1700</v>
      </c>
      <c r="K2759" s="27" t="s">
        <v>1252</v>
      </c>
    </row>
    <row r="2760" ht="18.6" customHeight="1" spans="1:11">
      <c r="A2760" s="3">
        <v>2759</v>
      </c>
      <c r="B2760" s="3" t="s">
        <v>3180</v>
      </c>
      <c r="C2760" s="3" t="s">
        <v>3656</v>
      </c>
      <c r="D2760" s="3" t="s">
        <v>971</v>
      </c>
      <c r="E2760" s="3" t="s">
        <v>972</v>
      </c>
      <c r="F2760" s="3"/>
      <c r="G2760" s="3"/>
      <c r="H2760" s="3"/>
      <c r="I2760" s="3" t="s">
        <v>3770</v>
      </c>
      <c r="J2760" s="3" t="s">
        <v>1700</v>
      </c>
      <c r="K2760" s="27" t="s">
        <v>1252</v>
      </c>
    </row>
    <row r="2761" ht="18.6" customHeight="1" spans="1:11">
      <c r="A2761" s="3">
        <v>2760</v>
      </c>
      <c r="B2761" s="3" t="s">
        <v>3181</v>
      </c>
      <c r="C2761" s="3" t="s">
        <v>3656</v>
      </c>
      <c r="D2761" s="3" t="s">
        <v>971</v>
      </c>
      <c r="E2761" s="3" t="s">
        <v>988</v>
      </c>
      <c r="F2761" s="3"/>
      <c r="G2761" s="3"/>
      <c r="H2761" s="3"/>
      <c r="I2761" s="3"/>
      <c r="J2761" s="3" t="s">
        <v>1700</v>
      </c>
      <c r="K2761" s="27" t="s">
        <v>1252</v>
      </c>
    </row>
    <row r="2762" ht="18.6" customHeight="1" spans="1:11">
      <c r="A2762" s="3">
        <v>2761</v>
      </c>
      <c r="B2762" s="3" t="s">
        <v>3182</v>
      </c>
      <c r="C2762" s="3" t="s">
        <v>3656</v>
      </c>
      <c r="D2762" s="3" t="s">
        <v>971</v>
      </c>
      <c r="E2762" s="3" t="s">
        <v>1616</v>
      </c>
      <c r="F2762" s="3"/>
      <c r="G2762" s="3"/>
      <c r="H2762" s="3"/>
      <c r="I2762" s="3"/>
      <c r="J2762" s="3" t="s">
        <v>1700</v>
      </c>
      <c r="K2762" s="27" t="s">
        <v>1252</v>
      </c>
    </row>
    <row r="2763" ht="18.6" customHeight="1" spans="1:11">
      <c r="A2763" s="3">
        <v>2762</v>
      </c>
      <c r="B2763" s="3" t="s">
        <v>3183</v>
      </c>
      <c r="C2763" s="3" t="s">
        <v>3656</v>
      </c>
      <c r="D2763" s="3" t="s">
        <v>971</v>
      </c>
      <c r="E2763" s="3" t="s">
        <v>1616</v>
      </c>
      <c r="F2763" s="3"/>
      <c r="G2763" s="3"/>
      <c r="H2763" s="3"/>
      <c r="I2763" s="3"/>
      <c r="J2763" s="3" t="s">
        <v>1700</v>
      </c>
      <c r="K2763" s="27" t="s">
        <v>1252</v>
      </c>
    </row>
    <row r="2764" ht="18.6" customHeight="1" spans="1:11">
      <c r="A2764" s="3">
        <v>2763</v>
      </c>
      <c r="B2764" s="3" t="s">
        <v>3184</v>
      </c>
      <c r="C2764" s="3" t="s">
        <v>3656</v>
      </c>
      <c r="D2764" s="3" t="s">
        <v>971</v>
      </c>
      <c r="E2764" s="3" t="s">
        <v>984</v>
      </c>
      <c r="F2764" s="3"/>
      <c r="G2764" s="3"/>
      <c r="H2764" s="3"/>
      <c r="I2764" s="3"/>
      <c r="J2764" s="3" t="s">
        <v>1700</v>
      </c>
      <c r="K2764" s="27" t="s">
        <v>1252</v>
      </c>
    </row>
    <row r="2765" ht="18.6" customHeight="1" spans="1:11">
      <c r="A2765" s="3">
        <v>2764</v>
      </c>
      <c r="B2765" s="3" t="s">
        <v>3185</v>
      </c>
      <c r="C2765" s="3" t="s">
        <v>3656</v>
      </c>
      <c r="D2765" s="3" t="s">
        <v>971</v>
      </c>
      <c r="E2765" s="3" t="s">
        <v>984</v>
      </c>
      <c r="F2765" s="3"/>
      <c r="G2765" s="3"/>
      <c r="H2765" s="3"/>
      <c r="I2765" s="3"/>
      <c r="J2765" s="3" t="s">
        <v>1700</v>
      </c>
      <c r="K2765" s="27" t="s">
        <v>1252</v>
      </c>
    </row>
    <row r="2766" ht="18.6" customHeight="1" spans="1:11">
      <c r="A2766" s="3">
        <v>2765</v>
      </c>
      <c r="B2766" s="3" t="s">
        <v>3186</v>
      </c>
      <c r="C2766" s="3" t="s">
        <v>3656</v>
      </c>
      <c r="D2766" s="3" t="s">
        <v>971</v>
      </c>
      <c r="E2766" s="3" t="s">
        <v>990</v>
      </c>
      <c r="F2766" s="3"/>
      <c r="G2766" s="3"/>
      <c r="H2766" s="3"/>
      <c r="I2766" s="3"/>
      <c r="J2766" s="3" t="s">
        <v>1700</v>
      </c>
      <c r="K2766" s="27" t="s">
        <v>1252</v>
      </c>
    </row>
    <row r="2767" ht="18.6" customHeight="1" spans="1:11">
      <c r="A2767" s="3">
        <v>2766</v>
      </c>
      <c r="B2767" s="3" t="s">
        <v>3187</v>
      </c>
      <c r="C2767" s="3" t="s">
        <v>3656</v>
      </c>
      <c r="D2767" s="3" t="s">
        <v>971</v>
      </c>
      <c r="E2767" s="3" t="s">
        <v>1616</v>
      </c>
      <c r="F2767" s="3"/>
      <c r="G2767" s="3"/>
      <c r="H2767" s="3"/>
      <c r="I2767" s="3"/>
      <c r="J2767" s="3" t="s">
        <v>1700</v>
      </c>
      <c r="K2767" s="27" t="s">
        <v>1252</v>
      </c>
    </row>
    <row r="2768" ht="18.6" customHeight="1" spans="1:11">
      <c r="A2768" s="3">
        <v>2767</v>
      </c>
      <c r="B2768" s="3" t="s">
        <v>3188</v>
      </c>
      <c r="C2768" s="3" t="s">
        <v>3656</v>
      </c>
      <c r="D2768" s="3" t="s">
        <v>971</v>
      </c>
      <c r="E2768" s="3" t="s">
        <v>1616</v>
      </c>
      <c r="F2768" s="3"/>
      <c r="G2768" s="3"/>
      <c r="H2768" s="3"/>
      <c r="I2768" s="3"/>
      <c r="J2768" s="3" t="s">
        <v>1700</v>
      </c>
      <c r="K2768" s="27" t="s">
        <v>1252</v>
      </c>
    </row>
    <row r="2769" ht="18.6" customHeight="1" spans="1:11">
      <c r="A2769" s="3">
        <v>2768</v>
      </c>
      <c r="B2769" s="3" t="s">
        <v>3189</v>
      </c>
      <c r="C2769" s="3" t="s">
        <v>3656</v>
      </c>
      <c r="D2769" s="3" t="s">
        <v>971</v>
      </c>
      <c r="E2769" s="3" t="s">
        <v>993</v>
      </c>
      <c r="F2769" s="3"/>
      <c r="G2769" s="3"/>
      <c r="H2769" s="3"/>
      <c r="I2769" s="3"/>
      <c r="J2769" s="3" t="s">
        <v>1700</v>
      </c>
      <c r="K2769" s="27" t="s">
        <v>1252</v>
      </c>
    </row>
    <row r="2770" ht="18.6" customHeight="1" spans="1:11">
      <c r="A2770" s="3">
        <v>2769</v>
      </c>
      <c r="B2770" s="3" t="s">
        <v>3190</v>
      </c>
      <c r="C2770" s="3" t="s">
        <v>3656</v>
      </c>
      <c r="D2770" s="3" t="s">
        <v>971</v>
      </c>
      <c r="E2770" s="3" t="s">
        <v>1014</v>
      </c>
      <c r="F2770" s="3"/>
      <c r="G2770" s="3"/>
      <c r="H2770" s="3"/>
      <c r="I2770" s="3"/>
      <c r="J2770" s="3" t="s">
        <v>1700</v>
      </c>
      <c r="K2770" s="27" t="s">
        <v>1252</v>
      </c>
    </row>
    <row r="2771" ht="18.6" customHeight="1" spans="1:11">
      <c r="A2771" s="3">
        <v>2770</v>
      </c>
      <c r="B2771" s="3" t="s">
        <v>3191</v>
      </c>
      <c r="C2771" s="3" t="s">
        <v>3656</v>
      </c>
      <c r="D2771" s="3" t="s">
        <v>971</v>
      </c>
      <c r="E2771" s="3" t="s">
        <v>3177</v>
      </c>
      <c r="F2771" s="3"/>
      <c r="G2771" s="3"/>
      <c r="H2771" s="3"/>
      <c r="I2771" s="3"/>
      <c r="J2771" s="3" t="s">
        <v>1700</v>
      </c>
      <c r="K2771" s="27" t="s">
        <v>1252</v>
      </c>
    </row>
    <row r="2772" ht="18.6" customHeight="1" spans="1:11">
      <c r="A2772" s="3">
        <v>2771</v>
      </c>
      <c r="B2772" s="3" t="s">
        <v>3192</v>
      </c>
      <c r="C2772" s="3" t="s">
        <v>3656</v>
      </c>
      <c r="D2772" s="3" t="s">
        <v>971</v>
      </c>
      <c r="E2772" s="3" t="s">
        <v>3177</v>
      </c>
      <c r="F2772" s="3"/>
      <c r="G2772" s="3"/>
      <c r="H2772" s="3"/>
      <c r="I2772" s="3"/>
      <c r="J2772" s="3" t="s">
        <v>1700</v>
      </c>
      <c r="K2772" s="27" t="s">
        <v>1252</v>
      </c>
    </row>
    <row r="2773" ht="18.6" customHeight="1" spans="1:11">
      <c r="A2773" s="3">
        <v>2772</v>
      </c>
      <c r="B2773" s="3" t="s">
        <v>3193</v>
      </c>
      <c r="C2773" s="3" t="s">
        <v>3656</v>
      </c>
      <c r="D2773" s="3" t="s">
        <v>971</v>
      </c>
      <c r="E2773" s="3" t="s">
        <v>993</v>
      </c>
      <c r="F2773" s="3"/>
      <c r="G2773" s="3"/>
      <c r="H2773" s="3"/>
      <c r="I2773" s="3"/>
      <c r="J2773" s="3" t="s">
        <v>1700</v>
      </c>
      <c r="K2773" s="27" t="s">
        <v>1252</v>
      </c>
    </row>
    <row r="2774" ht="18.6" customHeight="1" spans="1:11">
      <c r="A2774" s="3">
        <v>2773</v>
      </c>
      <c r="B2774" s="3" t="s">
        <v>3194</v>
      </c>
      <c r="C2774" s="3" t="s">
        <v>3656</v>
      </c>
      <c r="D2774" s="3" t="s">
        <v>971</v>
      </c>
      <c r="E2774" s="3" t="s">
        <v>978</v>
      </c>
      <c r="F2774" s="3"/>
      <c r="G2774" s="3"/>
      <c r="H2774" s="3"/>
      <c r="I2774" s="3"/>
      <c r="J2774" s="3" t="s">
        <v>1700</v>
      </c>
      <c r="K2774" s="27" t="s">
        <v>1252</v>
      </c>
    </row>
    <row r="2775" ht="18.6" customHeight="1" spans="1:11">
      <c r="A2775" s="3">
        <v>2774</v>
      </c>
      <c r="B2775" s="3" t="s">
        <v>3195</v>
      </c>
      <c r="C2775" s="3" t="s">
        <v>3656</v>
      </c>
      <c r="D2775" s="3" t="s">
        <v>971</v>
      </c>
      <c r="E2775" s="3" t="s">
        <v>984</v>
      </c>
      <c r="F2775" s="3"/>
      <c r="G2775" s="3"/>
      <c r="H2775" s="3"/>
      <c r="I2775" s="3"/>
      <c r="J2775" s="3" t="s">
        <v>1700</v>
      </c>
      <c r="K2775" s="27" t="s">
        <v>1252</v>
      </c>
    </row>
    <row r="2776" ht="18.6" customHeight="1" spans="1:11">
      <c r="A2776" s="3">
        <v>2775</v>
      </c>
      <c r="B2776" s="3" t="s">
        <v>3196</v>
      </c>
      <c r="C2776" s="3" t="s">
        <v>3656</v>
      </c>
      <c r="D2776" s="3" t="s">
        <v>971</v>
      </c>
      <c r="E2776" s="3" t="s">
        <v>990</v>
      </c>
      <c r="F2776" s="3"/>
      <c r="G2776" s="3"/>
      <c r="H2776" s="3"/>
      <c r="I2776" s="3"/>
      <c r="J2776" s="3" t="s">
        <v>1700</v>
      </c>
      <c r="K2776" s="27" t="s">
        <v>1252</v>
      </c>
    </row>
    <row r="2777" ht="18.6" customHeight="1" spans="1:11">
      <c r="A2777" s="3">
        <v>2776</v>
      </c>
      <c r="B2777" s="3" t="s">
        <v>3197</v>
      </c>
      <c r="C2777" s="3" t="s">
        <v>3656</v>
      </c>
      <c r="D2777" s="3" t="s">
        <v>971</v>
      </c>
      <c r="E2777" s="3" t="s">
        <v>981</v>
      </c>
      <c r="F2777" s="3"/>
      <c r="G2777" s="3"/>
      <c r="H2777" s="3"/>
      <c r="I2777" s="3"/>
      <c r="J2777" s="3" t="s">
        <v>1700</v>
      </c>
      <c r="K2777" s="27" t="s">
        <v>1252</v>
      </c>
    </row>
    <row r="2778" ht="18.6" customHeight="1" spans="1:11">
      <c r="A2778" s="3">
        <v>2777</v>
      </c>
      <c r="B2778" s="3" t="s">
        <v>3198</v>
      </c>
      <c r="C2778" s="3" t="s">
        <v>3656</v>
      </c>
      <c r="D2778" s="3" t="s">
        <v>971</v>
      </c>
      <c r="E2778" s="3" t="s">
        <v>2602</v>
      </c>
      <c r="F2778" s="3"/>
      <c r="G2778" s="3"/>
      <c r="H2778" s="3"/>
      <c r="I2778" s="3"/>
      <c r="J2778" s="3" t="s">
        <v>1700</v>
      </c>
      <c r="K2778" s="27" t="s">
        <v>1252</v>
      </c>
    </row>
    <row r="2779" ht="18.6" customHeight="1" spans="1:11">
      <c r="A2779" s="3">
        <v>2778</v>
      </c>
      <c r="B2779" s="3" t="s">
        <v>3199</v>
      </c>
      <c r="C2779" s="3" t="s">
        <v>3676</v>
      </c>
      <c r="D2779" s="3" t="s">
        <v>1026</v>
      </c>
      <c r="E2779" s="3" t="s">
        <v>1027</v>
      </c>
      <c r="F2779" s="3"/>
      <c r="G2779" s="3"/>
      <c r="H2779" s="3"/>
      <c r="I2779" s="3" t="s">
        <v>3769</v>
      </c>
      <c r="J2779" s="3" t="s">
        <v>1700</v>
      </c>
      <c r="K2779" s="27" t="s">
        <v>1252</v>
      </c>
    </row>
    <row r="2780" ht="18.6" customHeight="1" spans="1:11">
      <c r="A2780" s="3">
        <v>2779</v>
      </c>
      <c r="B2780" s="3" t="s">
        <v>3200</v>
      </c>
      <c r="C2780" s="3" t="s">
        <v>3676</v>
      </c>
      <c r="D2780" s="3" t="s">
        <v>1026</v>
      </c>
      <c r="E2780" s="3" t="s">
        <v>1045</v>
      </c>
      <c r="F2780" s="3"/>
      <c r="G2780" s="3"/>
      <c r="H2780" s="3"/>
      <c r="I2780" s="3"/>
      <c r="J2780" s="3" t="s">
        <v>1700</v>
      </c>
      <c r="K2780" s="27" t="s">
        <v>1252</v>
      </c>
    </row>
    <row r="2781" ht="18.6" customHeight="1" spans="1:11">
      <c r="A2781" s="3">
        <v>2780</v>
      </c>
      <c r="B2781" s="3" t="s">
        <v>3677</v>
      </c>
      <c r="C2781" s="3" t="s">
        <v>3676</v>
      </c>
      <c r="D2781" s="3" t="s">
        <v>1026</v>
      </c>
      <c r="E2781" s="3" t="s">
        <v>1027</v>
      </c>
      <c r="F2781" s="3"/>
      <c r="G2781" s="3"/>
      <c r="H2781" s="3"/>
      <c r="I2781" s="3" t="s">
        <v>3769</v>
      </c>
      <c r="J2781" s="3" t="s">
        <v>1700</v>
      </c>
      <c r="K2781" s="27" t="s">
        <v>1252</v>
      </c>
    </row>
    <row r="2782" ht="18.6" customHeight="1" spans="1:11">
      <c r="A2782" s="3">
        <v>2781</v>
      </c>
      <c r="B2782" s="3" t="s">
        <v>3201</v>
      </c>
      <c r="C2782" s="3" t="s">
        <v>3676</v>
      </c>
      <c r="D2782" s="3" t="s">
        <v>1026</v>
      </c>
      <c r="E2782" s="3" t="s">
        <v>1035</v>
      </c>
      <c r="F2782" s="3"/>
      <c r="G2782" s="3"/>
      <c r="H2782" s="3"/>
      <c r="I2782" s="3"/>
      <c r="J2782" s="3" t="s">
        <v>1700</v>
      </c>
      <c r="K2782" s="27" t="s">
        <v>1252</v>
      </c>
    </row>
    <row r="2783" ht="18.6" customHeight="1" spans="1:11">
      <c r="A2783" s="3">
        <v>2782</v>
      </c>
      <c r="B2783" s="3" t="s">
        <v>3202</v>
      </c>
      <c r="C2783" s="3" t="s">
        <v>3676</v>
      </c>
      <c r="D2783" s="3" t="s">
        <v>1026</v>
      </c>
      <c r="E2783" s="3" t="s">
        <v>1041</v>
      </c>
      <c r="F2783" s="3"/>
      <c r="G2783" s="3"/>
      <c r="H2783" s="3"/>
      <c r="I2783" s="3"/>
      <c r="J2783" s="3" t="s">
        <v>1700</v>
      </c>
      <c r="K2783" s="27" t="s">
        <v>1252</v>
      </c>
    </row>
    <row r="2784" ht="18.6" customHeight="1" spans="1:11">
      <c r="A2784" s="3">
        <v>2783</v>
      </c>
      <c r="B2784" s="3" t="s">
        <v>3203</v>
      </c>
      <c r="C2784" s="3" t="s">
        <v>3676</v>
      </c>
      <c r="D2784" s="3" t="s">
        <v>1026</v>
      </c>
      <c r="E2784" s="3" t="s">
        <v>1045</v>
      </c>
      <c r="F2784" s="3"/>
      <c r="G2784" s="3"/>
      <c r="H2784" s="3"/>
      <c r="I2784" s="3"/>
      <c r="J2784" s="3" t="s">
        <v>1700</v>
      </c>
      <c r="K2784" s="27" t="s">
        <v>1252</v>
      </c>
    </row>
    <row r="2785" ht="18.6" customHeight="1" spans="1:11">
      <c r="A2785" s="3">
        <v>2784</v>
      </c>
      <c r="B2785" s="3" t="s">
        <v>3204</v>
      </c>
      <c r="C2785" s="3" t="s">
        <v>3676</v>
      </c>
      <c r="D2785" s="3" t="s">
        <v>1026</v>
      </c>
      <c r="E2785" s="3" t="s">
        <v>1039</v>
      </c>
      <c r="F2785" s="3"/>
      <c r="G2785" s="3"/>
      <c r="H2785" s="3"/>
      <c r="I2785" s="3"/>
      <c r="J2785" s="3" t="s">
        <v>1700</v>
      </c>
      <c r="K2785" s="27" t="s">
        <v>1252</v>
      </c>
    </row>
    <row r="2786" ht="18.6" customHeight="1" spans="1:11">
      <c r="A2786" s="3">
        <v>2785</v>
      </c>
      <c r="B2786" s="3" t="s">
        <v>3205</v>
      </c>
      <c r="C2786" s="3" t="s">
        <v>3689</v>
      </c>
      <c r="D2786" s="3" t="s">
        <v>1060</v>
      </c>
      <c r="E2786" s="3" t="s">
        <v>1061</v>
      </c>
      <c r="F2786" s="3"/>
      <c r="G2786" s="3"/>
      <c r="H2786" s="3"/>
      <c r="I2786" s="3"/>
      <c r="J2786" s="3" t="s">
        <v>1700</v>
      </c>
      <c r="K2786" s="27" t="s">
        <v>1252</v>
      </c>
    </row>
    <row r="2787" ht="18.6" customHeight="1" spans="1:11">
      <c r="A2787" s="3">
        <v>2786</v>
      </c>
      <c r="B2787" s="3" t="s">
        <v>3206</v>
      </c>
      <c r="C2787" s="3" t="s">
        <v>3689</v>
      </c>
      <c r="D2787" s="3" t="s">
        <v>1060</v>
      </c>
      <c r="E2787" s="3" t="s">
        <v>1061</v>
      </c>
      <c r="F2787" s="3"/>
      <c r="G2787" s="3"/>
      <c r="H2787" s="3"/>
      <c r="I2787" s="3"/>
      <c r="J2787" s="3" t="s">
        <v>1700</v>
      </c>
      <c r="K2787" s="27" t="s">
        <v>1252</v>
      </c>
    </row>
    <row r="2788" ht="18.6" customHeight="1" spans="1:11">
      <c r="A2788" s="3">
        <v>2787</v>
      </c>
      <c r="B2788" s="3" t="s">
        <v>3207</v>
      </c>
      <c r="C2788" s="3" t="s">
        <v>3689</v>
      </c>
      <c r="D2788" s="3" t="s">
        <v>1060</v>
      </c>
      <c r="E2788" s="3" t="s">
        <v>1061</v>
      </c>
      <c r="F2788" s="3"/>
      <c r="G2788" s="3"/>
      <c r="H2788" s="3"/>
      <c r="I2788" s="3"/>
      <c r="J2788" s="3" t="s">
        <v>1700</v>
      </c>
      <c r="K2788" s="27" t="s">
        <v>1252</v>
      </c>
    </row>
    <row r="2789" ht="18.6" customHeight="1" spans="1:11">
      <c r="A2789" s="3">
        <v>2788</v>
      </c>
      <c r="B2789" s="3" t="s">
        <v>3208</v>
      </c>
      <c r="C2789" s="3" t="s">
        <v>3689</v>
      </c>
      <c r="D2789" s="3" t="s">
        <v>1060</v>
      </c>
      <c r="E2789" s="3" t="s">
        <v>1061</v>
      </c>
      <c r="F2789" s="3"/>
      <c r="G2789" s="3"/>
      <c r="H2789" s="3"/>
      <c r="I2789" s="3"/>
      <c r="J2789" s="3" t="s">
        <v>1700</v>
      </c>
      <c r="K2789" s="27" t="s">
        <v>1252</v>
      </c>
    </row>
    <row r="2790" ht="18.6" customHeight="1" spans="1:11">
      <c r="A2790" s="3">
        <v>2789</v>
      </c>
      <c r="B2790" s="3" t="s">
        <v>3209</v>
      </c>
      <c r="C2790" s="3" t="s">
        <v>3689</v>
      </c>
      <c r="D2790" s="3" t="s">
        <v>1060</v>
      </c>
      <c r="E2790" s="3" t="s">
        <v>1061</v>
      </c>
      <c r="F2790" s="3"/>
      <c r="G2790" s="3"/>
      <c r="H2790" s="3"/>
      <c r="I2790" s="3" t="s">
        <v>3769</v>
      </c>
      <c r="J2790" s="3" t="s">
        <v>1700</v>
      </c>
      <c r="K2790" s="27" t="s">
        <v>1252</v>
      </c>
    </row>
    <row r="2791" ht="18.6" customHeight="1" spans="1:11">
      <c r="A2791" s="3">
        <v>2790</v>
      </c>
      <c r="B2791" s="3" t="s">
        <v>3695</v>
      </c>
      <c r="C2791" s="3" t="s">
        <v>3689</v>
      </c>
      <c r="D2791" s="3" t="s">
        <v>1060</v>
      </c>
      <c r="E2791" s="3" t="s">
        <v>1061</v>
      </c>
      <c r="F2791" s="3"/>
      <c r="G2791" s="3"/>
      <c r="H2791" s="3"/>
      <c r="I2791" s="3" t="s">
        <v>3769</v>
      </c>
      <c r="J2791" s="3" t="s">
        <v>1700</v>
      </c>
      <c r="K2791" s="27" t="s">
        <v>1252</v>
      </c>
    </row>
    <row r="2792" ht="18.6" customHeight="1" spans="1:11">
      <c r="A2792" s="3">
        <v>2791</v>
      </c>
      <c r="B2792" s="3" t="s">
        <v>3210</v>
      </c>
      <c r="C2792" s="3" t="s">
        <v>3689</v>
      </c>
      <c r="D2792" s="3" t="s">
        <v>1060</v>
      </c>
      <c r="E2792" s="3" t="s">
        <v>1090</v>
      </c>
      <c r="F2792" s="3"/>
      <c r="G2792" s="3"/>
      <c r="H2792" s="3"/>
      <c r="I2792" s="3"/>
      <c r="J2792" s="3" t="s">
        <v>1700</v>
      </c>
      <c r="K2792" s="27" t="s">
        <v>1252</v>
      </c>
    </row>
    <row r="2793" ht="18.6" customHeight="1" spans="1:11">
      <c r="A2793" s="3">
        <v>2792</v>
      </c>
      <c r="B2793" s="3" t="s">
        <v>3211</v>
      </c>
      <c r="C2793" s="3" t="s">
        <v>3689</v>
      </c>
      <c r="D2793" s="3" t="s">
        <v>1060</v>
      </c>
      <c r="E2793" s="3" t="s">
        <v>1061</v>
      </c>
      <c r="F2793" s="3"/>
      <c r="G2793" s="3"/>
      <c r="H2793" s="3"/>
      <c r="I2793" s="3"/>
      <c r="J2793" s="3" t="s">
        <v>1700</v>
      </c>
      <c r="K2793" s="27" t="s">
        <v>1252</v>
      </c>
    </row>
    <row r="2794" ht="18.6" customHeight="1" spans="1:11">
      <c r="A2794" s="3">
        <v>2793</v>
      </c>
      <c r="B2794" s="3" t="s">
        <v>3212</v>
      </c>
      <c r="C2794" s="3" t="s">
        <v>3689</v>
      </c>
      <c r="D2794" s="3" t="s">
        <v>1060</v>
      </c>
      <c r="E2794" s="3" t="s">
        <v>1061</v>
      </c>
      <c r="F2794" s="3"/>
      <c r="G2794" s="3"/>
      <c r="H2794" s="3"/>
      <c r="I2794" s="3"/>
      <c r="J2794" s="3" t="s">
        <v>1700</v>
      </c>
      <c r="K2794" s="27" t="s">
        <v>1252</v>
      </c>
    </row>
    <row r="2795" ht="18.6" customHeight="1" spans="1:11">
      <c r="A2795" s="3">
        <v>2794</v>
      </c>
      <c r="B2795" s="3" t="s">
        <v>3213</v>
      </c>
      <c r="C2795" s="3" t="s">
        <v>3689</v>
      </c>
      <c r="D2795" s="3" t="s">
        <v>1060</v>
      </c>
      <c r="E2795" s="3" t="s">
        <v>1061</v>
      </c>
      <c r="F2795" s="3"/>
      <c r="G2795" s="3"/>
      <c r="H2795" s="3"/>
      <c r="I2795" s="3"/>
      <c r="J2795" s="3" t="s">
        <v>1700</v>
      </c>
      <c r="K2795" s="27" t="s">
        <v>1252</v>
      </c>
    </row>
    <row r="2796" ht="18.6" customHeight="1" spans="1:11">
      <c r="A2796" s="3">
        <v>2795</v>
      </c>
      <c r="B2796" s="3" t="s">
        <v>3214</v>
      </c>
      <c r="C2796" s="3" t="s">
        <v>3689</v>
      </c>
      <c r="D2796" s="3" t="s">
        <v>1060</v>
      </c>
      <c r="E2796" s="3" t="s">
        <v>1061</v>
      </c>
      <c r="F2796" s="3"/>
      <c r="G2796" s="3"/>
      <c r="H2796" s="3"/>
      <c r="I2796" s="3"/>
      <c r="J2796" s="3" t="s">
        <v>1700</v>
      </c>
      <c r="K2796" s="27" t="s">
        <v>1252</v>
      </c>
    </row>
    <row r="2797" ht="18.6" customHeight="1" spans="1:11">
      <c r="A2797" s="3">
        <v>2796</v>
      </c>
      <c r="B2797" s="3" t="s">
        <v>3215</v>
      </c>
      <c r="C2797" s="3" t="s">
        <v>3689</v>
      </c>
      <c r="D2797" s="3" t="s">
        <v>1060</v>
      </c>
      <c r="E2797" s="3" t="s">
        <v>1061</v>
      </c>
      <c r="F2797" s="3"/>
      <c r="G2797" s="3"/>
      <c r="H2797" s="3"/>
      <c r="I2797" s="3"/>
      <c r="J2797" s="3" t="s">
        <v>1700</v>
      </c>
      <c r="K2797" s="27" t="s">
        <v>1252</v>
      </c>
    </row>
    <row r="2798" ht="18.6" customHeight="1" spans="1:11">
      <c r="A2798" s="3">
        <v>2797</v>
      </c>
      <c r="B2798" s="3" t="s">
        <v>3216</v>
      </c>
      <c r="C2798" s="3" t="s">
        <v>3713</v>
      </c>
      <c r="D2798" s="3" t="s">
        <v>1106</v>
      </c>
      <c r="E2798" s="3" t="s">
        <v>1111</v>
      </c>
      <c r="F2798" s="3"/>
      <c r="G2798" s="3"/>
      <c r="H2798" s="3"/>
      <c r="I2798" s="3"/>
      <c r="J2798" s="3" t="s">
        <v>1700</v>
      </c>
      <c r="K2798" s="27" t="s">
        <v>1252</v>
      </c>
    </row>
    <row r="2799" ht="18.6" customHeight="1" spans="1:11">
      <c r="A2799" s="3">
        <v>2798</v>
      </c>
      <c r="B2799" s="3" t="s">
        <v>3217</v>
      </c>
      <c r="C2799" s="3" t="s">
        <v>3713</v>
      </c>
      <c r="D2799" s="3" t="s">
        <v>1106</v>
      </c>
      <c r="E2799" s="3" t="s">
        <v>1111</v>
      </c>
      <c r="F2799" s="3"/>
      <c r="G2799" s="3"/>
      <c r="H2799" s="3"/>
      <c r="I2799" s="3"/>
      <c r="J2799" s="3" t="s">
        <v>1700</v>
      </c>
      <c r="K2799" s="27" t="s">
        <v>1252</v>
      </c>
    </row>
    <row r="2800" ht="18.6" customHeight="1" spans="1:11">
      <c r="A2800" s="3">
        <v>2799</v>
      </c>
      <c r="B2800" s="3" t="s">
        <v>3218</v>
      </c>
      <c r="C2800" s="3" t="s">
        <v>3713</v>
      </c>
      <c r="D2800" s="3" t="s">
        <v>1106</v>
      </c>
      <c r="E2800" s="3" t="s">
        <v>1111</v>
      </c>
      <c r="F2800" s="3"/>
      <c r="G2800" s="3"/>
      <c r="H2800" s="3"/>
      <c r="I2800" s="3" t="s">
        <v>3770</v>
      </c>
      <c r="J2800" s="3" t="s">
        <v>1700</v>
      </c>
      <c r="K2800" s="27" t="s">
        <v>1252</v>
      </c>
    </row>
    <row r="2801" ht="18.6" customHeight="1" spans="1:11">
      <c r="A2801" s="3">
        <v>2800</v>
      </c>
      <c r="B2801" s="3" t="s">
        <v>3219</v>
      </c>
      <c r="C2801" s="3" t="s">
        <v>3713</v>
      </c>
      <c r="D2801" s="3" t="s">
        <v>1106</v>
      </c>
      <c r="E2801" s="3" t="s">
        <v>1111</v>
      </c>
      <c r="F2801" s="3"/>
      <c r="G2801" s="3"/>
      <c r="H2801" s="3"/>
      <c r="I2801" s="3"/>
      <c r="J2801" s="3" t="s">
        <v>1700</v>
      </c>
      <c r="K2801" s="27" t="s">
        <v>1252</v>
      </c>
    </row>
    <row r="2802" ht="18.6" customHeight="1" spans="1:11">
      <c r="A2802" s="3">
        <v>2801</v>
      </c>
      <c r="B2802" s="3" t="s">
        <v>3220</v>
      </c>
      <c r="C2802" s="3" t="s">
        <v>3713</v>
      </c>
      <c r="D2802" s="3" t="s">
        <v>1106</v>
      </c>
      <c r="E2802" s="3" t="s">
        <v>1111</v>
      </c>
      <c r="F2802" s="3"/>
      <c r="G2802" s="3"/>
      <c r="H2802" s="3"/>
      <c r="I2802" s="3"/>
      <c r="J2802" s="3" t="s">
        <v>1700</v>
      </c>
      <c r="K2802" s="27" t="s">
        <v>1252</v>
      </c>
    </row>
    <row r="2803" ht="18.6" customHeight="1" spans="1:11">
      <c r="A2803" s="3">
        <v>2802</v>
      </c>
      <c r="B2803" s="3" t="s">
        <v>3221</v>
      </c>
      <c r="C2803" s="3" t="s">
        <v>3713</v>
      </c>
      <c r="D2803" s="3" t="s">
        <v>1106</v>
      </c>
      <c r="E2803" s="3" t="s">
        <v>1111</v>
      </c>
      <c r="F2803" s="3"/>
      <c r="G2803" s="3"/>
      <c r="H2803" s="3"/>
      <c r="I2803" s="3"/>
      <c r="J2803" s="3" t="s">
        <v>1700</v>
      </c>
      <c r="K2803" s="27" t="s">
        <v>1252</v>
      </c>
    </row>
    <row r="2804" ht="18.6" customHeight="1" spans="1:11">
      <c r="A2804" s="3">
        <v>2803</v>
      </c>
      <c r="B2804" s="3" t="s">
        <v>3222</v>
      </c>
      <c r="C2804" s="3" t="s">
        <v>3713</v>
      </c>
      <c r="D2804" s="3" t="s">
        <v>1106</v>
      </c>
      <c r="E2804" s="3" t="s">
        <v>1111</v>
      </c>
      <c r="F2804" s="3"/>
      <c r="G2804" s="3"/>
      <c r="H2804" s="3"/>
      <c r="I2804" s="3" t="s">
        <v>3775</v>
      </c>
      <c r="J2804" s="3" t="s">
        <v>1700</v>
      </c>
      <c r="K2804" s="27" t="s">
        <v>1252</v>
      </c>
    </row>
    <row r="2805" ht="18.6" customHeight="1" spans="1:11">
      <c r="A2805" s="3">
        <v>2804</v>
      </c>
      <c r="B2805" s="3" t="s">
        <v>3223</v>
      </c>
      <c r="C2805" s="3" t="s">
        <v>3713</v>
      </c>
      <c r="D2805" s="3" t="s">
        <v>1106</v>
      </c>
      <c r="E2805" s="3" t="s">
        <v>1131</v>
      </c>
      <c r="F2805" s="3"/>
      <c r="G2805" s="3"/>
      <c r="H2805" s="3"/>
      <c r="I2805" s="3"/>
      <c r="J2805" s="3" t="s">
        <v>1700</v>
      </c>
      <c r="K2805" s="27" t="s">
        <v>1252</v>
      </c>
    </row>
    <row r="2806" ht="18.6" customHeight="1" spans="1:11">
      <c r="A2806" s="3">
        <v>2805</v>
      </c>
      <c r="B2806" s="3" t="s">
        <v>3224</v>
      </c>
      <c r="C2806" s="3" t="s">
        <v>3713</v>
      </c>
      <c r="D2806" s="3" t="s">
        <v>1106</v>
      </c>
      <c r="E2806" s="3" t="s">
        <v>1142</v>
      </c>
      <c r="F2806" s="3"/>
      <c r="G2806" s="3"/>
      <c r="H2806" s="3"/>
      <c r="I2806" s="3"/>
      <c r="J2806" s="3" t="s">
        <v>1700</v>
      </c>
      <c r="K2806" s="27" t="s">
        <v>1252</v>
      </c>
    </row>
    <row r="2807" ht="18.6" customHeight="1" spans="1:11">
      <c r="A2807" s="3">
        <v>2806</v>
      </c>
      <c r="B2807" s="3" t="s">
        <v>3225</v>
      </c>
      <c r="C2807" s="3" t="s">
        <v>3713</v>
      </c>
      <c r="D2807" s="3" t="s">
        <v>1106</v>
      </c>
      <c r="E2807" s="3" t="s">
        <v>1131</v>
      </c>
      <c r="F2807" s="3"/>
      <c r="G2807" s="3"/>
      <c r="H2807" s="3"/>
      <c r="I2807" s="3"/>
      <c r="J2807" s="3" t="s">
        <v>1700</v>
      </c>
      <c r="K2807" s="27" t="s">
        <v>1252</v>
      </c>
    </row>
    <row r="2808" ht="18.6" customHeight="1" spans="1:11">
      <c r="A2808" s="3">
        <v>2807</v>
      </c>
      <c r="B2808" s="3" t="s">
        <v>3226</v>
      </c>
      <c r="C2808" s="3" t="s">
        <v>3722</v>
      </c>
      <c r="D2808" s="3" t="s">
        <v>1156</v>
      </c>
      <c r="E2808" s="3" t="s">
        <v>1157</v>
      </c>
      <c r="F2808" s="3"/>
      <c r="G2808" s="3"/>
      <c r="H2808" s="3"/>
      <c r="I2808" s="3"/>
      <c r="J2808" s="3" t="s">
        <v>1700</v>
      </c>
      <c r="K2808" s="27" t="s">
        <v>1252</v>
      </c>
    </row>
    <row r="2809" ht="18.6" customHeight="1" spans="1:11">
      <c r="A2809" s="3">
        <v>2808</v>
      </c>
      <c r="B2809" s="3" t="s">
        <v>3227</v>
      </c>
      <c r="C2809" s="3" t="s">
        <v>3722</v>
      </c>
      <c r="D2809" s="3" t="s">
        <v>1156</v>
      </c>
      <c r="E2809" s="3" t="s">
        <v>1157</v>
      </c>
      <c r="F2809" s="3"/>
      <c r="G2809" s="3"/>
      <c r="H2809" s="3"/>
      <c r="I2809" s="3"/>
      <c r="J2809" s="3" t="s">
        <v>1700</v>
      </c>
      <c r="K2809" s="27" t="s">
        <v>1252</v>
      </c>
    </row>
    <row r="2810" ht="18.6" customHeight="1" spans="1:11">
      <c r="A2810" s="3">
        <v>2809</v>
      </c>
      <c r="B2810" s="3" t="s">
        <v>3228</v>
      </c>
      <c r="C2810" s="3" t="s">
        <v>3722</v>
      </c>
      <c r="D2810" s="3" t="s">
        <v>1156</v>
      </c>
      <c r="E2810" s="3" t="s">
        <v>2735</v>
      </c>
      <c r="F2810" s="3"/>
      <c r="G2810" s="3"/>
      <c r="H2810" s="3"/>
      <c r="I2810" s="3"/>
      <c r="J2810" s="3" t="s">
        <v>1700</v>
      </c>
      <c r="K2810" s="27" t="s">
        <v>1252</v>
      </c>
    </row>
    <row r="2811" ht="18.6" customHeight="1" spans="1:11">
      <c r="A2811" s="3">
        <v>2810</v>
      </c>
      <c r="B2811" s="3" t="s">
        <v>3229</v>
      </c>
      <c r="C2811" s="3" t="s">
        <v>3751</v>
      </c>
      <c r="D2811" s="3" t="s">
        <v>1206</v>
      </c>
      <c r="E2811" s="3" t="s">
        <v>1207</v>
      </c>
      <c r="F2811" s="3"/>
      <c r="G2811" s="3"/>
      <c r="H2811" s="3"/>
      <c r="I2811" s="3"/>
      <c r="J2811" s="3" t="s">
        <v>1700</v>
      </c>
      <c r="K2811" s="27" t="s">
        <v>1252</v>
      </c>
    </row>
    <row r="2812" ht="18.6" customHeight="1" spans="1:11">
      <c r="A2812" s="3">
        <v>2811</v>
      </c>
      <c r="B2812" s="3" t="s">
        <v>3230</v>
      </c>
      <c r="C2812" s="3" t="s">
        <v>3751</v>
      </c>
      <c r="D2812" s="3" t="s">
        <v>1206</v>
      </c>
      <c r="E2812" s="3" t="s">
        <v>1207</v>
      </c>
      <c r="F2812" s="3"/>
      <c r="G2812" s="3"/>
      <c r="H2812" s="3"/>
      <c r="I2812" s="3"/>
      <c r="J2812" s="3" t="s">
        <v>1700</v>
      </c>
      <c r="K2812" s="27" t="s">
        <v>1252</v>
      </c>
    </row>
    <row r="2813" ht="18.6" customHeight="1" spans="1:11">
      <c r="A2813" s="3">
        <v>2812</v>
      </c>
      <c r="B2813" s="3" t="s">
        <v>3231</v>
      </c>
      <c r="C2813" s="3" t="s">
        <v>3751</v>
      </c>
      <c r="D2813" s="3" t="s">
        <v>1206</v>
      </c>
      <c r="E2813" s="3" t="s">
        <v>3232</v>
      </c>
      <c r="F2813" s="3"/>
      <c r="G2813" s="3"/>
      <c r="H2813" s="3"/>
      <c r="I2813" s="3"/>
      <c r="J2813" s="3" t="s">
        <v>1700</v>
      </c>
      <c r="K2813" s="27" t="s">
        <v>1252</v>
      </c>
    </row>
    <row r="2814" ht="18.6" customHeight="1" spans="1:11">
      <c r="A2814" s="3">
        <v>2813</v>
      </c>
      <c r="B2814" s="3" t="s">
        <v>3233</v>
      </c>
      <c r="C2814" s="3" t="s">
        <v>3751</v>
      </c>
      <c r="D2814" s="3" t="s">
        <v>1206</v>
      </c>
      <c r="E2814" s="3" t="s">
        <v>1207</v>
      </c>
      <c r="F2814" s="3"/>
      <c r="G2814" s="3"/>
      <c r="H2814" s="3"/>
      <c r="I2814" s="3"/>
      <c r="J2814" s="3" t="s">
        <v>1700</v>
      </c>
      <c r="K2814" s="27" t="s">
        <v>1252</v>
      </c>
    </row>
    <row r="2815" ht="18.6" customHeight="1" spans="1:11">
      <c r="A2815" s="3">
        <v>2814</v>
      </c>
      <c r="B2815" s="3" t="s">
        <v>3234</v>
      </c>
      <c r="C2815" s="3" t="s">
        <v>3542</v>
      </c>
      <c r="D2815" s="3" t="s">
        <v>692</v>
      </c>
      <c r="E2815" s="3" t="s">
        <v>696</v>
      </c>
      <c r="F2815" s="3"/>
      <c r="G2815" s="3"/>
      <c r="H2815" s="3"/>
      <c r="I2815" s="3"/>
      <c r="J2815" s="3" t="s">
        <v>1700</v>
      </c>
      <c r="K2815" s="27" t="s">
        <v>1252</v>
      </c>
    </row>
    <row r="2816" ht="18.6" customHeight="1" spans="1:11">
      <c r="A2816" s="3">
        <v>2815</v>
      </c>
      <c r="B2816" s="3" t="s">
        <v>3235</v>
      </c>
      <c r="C2816" s="3" t="s">
        <v>3542</v>
      </c>
      <c r="D2816" s="3" t="s">
        <v>692</v>
      </c>
      <c r="E2816" s="3" t="s">
        <v>709</v>
      </c>
      <c r="F2816" s="3"/>
      <c r="G2816" s="3"/>
      <c r="H2816" s="3"/>
      <c r="I2816" s="3"/>
      <c r="J2816" s="3" t="s">
        <v>1700</v>
      </c>
      <c r="K2816" s="27" t="s">
        <v>1252</v>
      </c>
    </row>
    <row r="2817" ht="18.6" customHeight="1" spans="1:11">
      <c r="A2817" s="3">
        <v>2816</v>
      </c>
      <c r="B2817" s="3" t="s">
        <v>3236</v>
      </c>
      <c r="C2817" s="3" t="s">
        <v>3542</v>
      </c>
      <c r="D2817" s="3" t="s">
        <v>692</v>
      </c>
      <c r="E2817" s="3" t="s">
        <v>700</v>
      </c>
      <c r="F2817" s="3"/>
      <c r="G2817" s="3"/>
      <c r="H2817" s="3"/>
      <c r="I2817" s="3"/>
      <c r="J2817" s="3" t="s">
        <v>1700</v>
      </c>
      <c r="K2817" s="27" t="s">
        <v>1252</v>
      </c>
    </row>
    <row r="2818" ht="18.6" customHeight="1" spans="1:11">
      <c r="A2818" s="3">
        <v>2817</v>
      </c>
      <c r="B2818" s="3" t="s">
        <v>3237</v>
      </c>
      <c r="C2818" s="3" t="s">
        <v>3542</v>
      </c>
      <c r="D2818" s="3" t="s">
        <v>692</v>
      </c>
      <c r="E2818" s="3" t="s">
        <v>693</v>
      </c>
      <c r="F2818" s="3"/>
      <c r="G2818" s="3"/>
      <c r="H2818" s="3"/>
      <c r="I2818" s="3"/>
      <c r="J2818" s="3" t="s">
        <v>1700</v>
      </c>
      <c r="K2818" s="27" t="s">
        <v>1252</v>
      </c>
    </row>
    <row r="2819" ht="18.6" customHeight="1" spans="1:11">
      <c r="A2819" s="3">
        <v>2818</v>
      </c>
      <c r="B2819" s="3" t="s">
        <v>3238</v>
      </c>
      <c r="C2819" s="3" t="s">
        <v>3542</v>
      </c>
      <c r="D2819" s="3" t="s">
        <v>692</v>
      </c>
      <c r="E2819" s="3" t="s">
        <v>693</v>
      </c>
      <c r="F2819" s="3"/>
      <c r="G2819" s="3"/>
      <c r="H2819" s="3"/>
      <c r="I2819" s="3"/>
      <c r="J2819" s="3" t="s">
        <v>1700</v>
      </c>
      <c r="K2819" s="27" t="s">
        <v>1252</v>
      </c>
    </row>
    <row r="2820" ht="18.6" customHeight="1" spans="1:11">
      <c r="A2820" s="3">
        <v>2819</v>
      </c>
      <c r="B2820" s="3" t="s">
        <v>3239</v>
      </c>
      <c r="C2820" s="3" t="s">
        <v>3346</v>
      </c>
      <c r="D2820" s="3" t="s">
        <v>98</v>
      </c>
      <c r="E2820" s="3" t="s">
        <v>111</v>
      </c>
      <c r="F2820" s="3"/>
      <c r="G2820" s="3"/>
      <c r="H2820" s="3"/>
      <c r="I2820" s="3"/>
      <c r="J2820" s="3" t="s">
        <v>1700</v>
      </c>
      <c r="K2820" s="27" t="s">
        <v>1252</v>
      </c>
    </row>
    <row r="2821" ht="18.6" customHeight="1" spans="1:11">
      <c r="A2821" s="3">
        <v>2820</v>
      </c>
      <c r="B2821" s="3" t="s">
        <v>3240</v>
      </c>
      <c r="C2821" s="3" t="s">
        <v>3346</v>
      </c>
      <c r="D2821" s="3" t="s">
        <v>98</v>
      </c>
      <c r="E2821" s="3" t="s">
        <v>101</v>
      </c>
      <c r="F2821" s="3"/>
      <c r="G2821" s="3"/>
      <c r="H2821" s="3"/>
      <c r="I2821" s="3"/>
      <c r="J2821" s="3" t="s">
        <v>1700</v>
      </c>
      <c r="K2821" s="27" t="s">
        <v>1252</v>
      </c>
    </row>
    <row r="2822" ht="18.6" customHeight="1" spans="1:11">
      <c r="A2822" s="3">
        <v>2821</v>
      </c>
      <c r="B2822" s="3" t="s">
        <v>3241</v>
      </c>
      <c r="C2822" s="3" t="s">
        <v>3597</v>
      </c>
      <c r="D2822" s="3" t="s">
        <v>844</v>
      </c>
      <c r="E2822" s="3" t="s">
        <v>1569</v>
      </c>
      <c r="F2822" s="3"/>
      <c r="G2822" s="3"/>
      <c r="H2822" s="3"/>
      <c r="I2822" s="3"/>
      <c r="J2822" s="3" t="s">
        <v>1700</v>
      </c>
      <c r="K2822" s="27" t="s">
        <v>1252</v>
      </c>
    </row>
    <row r="2823" ht="18.6" customHeight="1" spans="1:11">
      <c r="A2823" s="3">
        <v>2822</v>
      </c>
      <c r="B2823" s="3" t="s">
        <v>3242</v>
      </c>
      <c r="C2823" s="3" t="s">
        <v>3676</v>
      </c>
      <c r="D2823" s="3" t="s">
        <v>1026</v>
      </c>
      <c r="E2823" s="3" t="s">
        <v>1035</v>
      </c>
      <c r="F2823" s="3"/>
      <c r="G2823" s="3"/>
      <c r="H2823" s="3"/>
      <c r="I2823" s="3"/>
      <c r="J2823" s="3" t="s">
        <v>1700</v>
      </c>
      <c r="K2823" s="27" t="s">
        <v>1252</v>
      </c>
    </row>
    <row r="2824" ht="18.6" customHeight="1" spans="1:11">
      <c r="A2824" s="3">
        <v>2823</v>
      </c>
      <c r="B2824" s="3" t="s">
        <v>3243</v>
      </c>
      <c r="C2824" s="3" t="s">
        <v>3521</v>
      </c>
      <c r="D2824" s="3" t="s">
        <v>628</v>
      </c>
      <c r="E2824" s="3" t="s">
        <v>645</v>
      </c>
      <c r="F2824" s="3"/>
      <c r="G2824" s="3"/>
      <c r="H2824" s="3"/>
      <c r="I2824" s="3"/>
      <c r="J2824" s="3" t="s">
        <v>1700</v>
      </c>
      <c r="K2824" s="27" t="s">
        <v>1252</v>
      </c>
    </row>
    <row r="2825" ht="18.6" customHeight="1" spans="1:11">
      <c r="A2825" s="3">
        <v>2824</v>
      </c>
      <c r="B2825" s="3" t="s">
        <v>3244</v>
      </c>
      <c r="C2825" s="3" t="s">
        <v>3521</v>
      </c>
      <c r="D2825" s="3" t="s">
        <v>628</v>
      </c>
      <c r="E2825" s="3" t="s">
        <v>660</v>
      </c>
      <c r="F2825" s="3"/>
      <c r="G2825" s="3"/>
      <c r="H2825" s="3"/>
      <c r="I2825" s="3"/>
      <c r="J2825" s="3" t="s">
        <v>1700</v>
      </c>
      <c r="K2825" s="27" t="s">
        <v>1252</v>
      </c>
    </row>
    <row r="2826" ht="18.6" customHeight="1" spans="1:11">
      <c r="A2826" s="3">
        <v>2825</v>
      </c>
      <c r="B2826" s="3" t="s">
        <v>3245</v>
      </c>
      <c r="C2826" s="3" t="s">
        <v>3542</v>
      </c>
      <c r="D2826" s="3" t="s">
        <v>692</v>
      </c>
      <c r="E2826" s="3" t="s">
        <v>693</v>
      </c>
      <c r="F2826" s="3"/>
      <c r="G2826" s="3"/>
      <c r="H2826" s="3"/>
      <c r="I2826" s="3"/>
      <c r="J2826" s="3" t="s">
        <v>1700</v>
      </c>
      <c r="K2826" s="27" t="s">
        <v>1252</v>
      </c>
    </row>
    <row r="2827" ht="18.6" customHeight="1" spans="1:11">
      <c r="A2827" s="3">
        <v>2826</v>
      </c>
      <c r="B2827" s="3" t="s">
        <v>3246</v>
      </c>
      <c r="C2827" s="3" t="s">
        <v>3542</v>
      </c>
      <c r="D2827" s="3" t="s">
        <v>692</v>
      </c>
      <c r="E2827" s="3" t="s">
        <v>693</v>
      </c>
      <c r="F2827" s="3"/>
      <c r="G2827" s="3"/>
      <c r="H2827" s="3"/>
      <c r="I2827" s="3"/>
      <c r="J2827" s="3" t="s">
        <v>1700</v>
      </c>
      <c r="K2827" s="27" t="s">
        <v>1252</v>
      </c>
    </row>
    <row r="2828" ht="18.6" customHeight="1" spans="1:11">
      <c r="A2828" s="3">
        <v>2827</v>
      </c>
      <c r="B2828" s="3" t="s">
        <v>3247</v>
      </c>
      <c r="C2828" s="3" t="s">
        <v>3582</v>
      </c>
      <c r="D2828" s="3" t="s">
        <v>797</v>
      </c>
      <c r="E2828" s="3" t="s">
        <v>802</v>
      </c>
      <c r="F2828" s="3"/>
      <c r="G2828" s="3"/>
      <c r="H2828" s="3"/>
      <c r="I2828" s="3"/>
      <c r="J2828" s="3" t="s">
        <v>1700</v>
      </c>
      <c r="K2828" s="27" t="s">
        <v>1252</v>
      </c>
    </row>
    <row r="2829" ht="18.6" customHeight="1" spans="1:11">
      <c r="A2829" s="3">
        <v>2828</v>
      </c>
      <c r="B2829" s="3" t="s">
        <v>3248</v>
      </c>
      <c r="C2829" s="3" t="s">
        <v>3582</v>
      </c>
      <c r="D2829" s="3" t="s">
        <v>797</v>
      </c>
      <c r="E2829" s="3" t="s">
        <v>802</v>
      </c>
      <c r="F2829" s="3"/>
      <c r="G2829" s="3"/>
      <c r="H2829" s="3"/>
      <c r="I2829" s="3"/>
      <c r="J2829" s="3" t="s">
        <v>1700</v>
      </c>
      <c r="K2829" s="27" t="s">
        <v>1252</v>
      </c>
    </row>
    <row r="2830" ht="18.6" customHeight="1" spans="1:11">
      <c r="A2830" s="3">
        <v>2829</v>
      </c>
      <c r="B2830" s="3" t="s">
        <v>3249</v>
      </c>
      <c r="C2830" s="3" t="s">
        <v>3582</v>
      </c>
      <c r="D2830" s="3" t="s">
        <v>797</v>
      </c>
      <c r="E2830" s="3" t="s">
        <v>811</v>
      </c>
      <c r="F2830" s="3"/>
      <c r="G2830" s="3"/>
      <c r="H2830" s="3"/>
      <c r="I2830" s="3"/>
      <c r="J2830" s="3" t="s">
        <v>1700</v>
      </c>
      <c r="K2830" s="27" t="s">
        <v>1252</v>
      </c>
    </row>
    <row r="2831" ht="18.6" customHeight="1" spans="1:11">
      <c r="A2831" s="3">
        <v>2830</v>
      </c>
      <c r="B2831" s="3" t="s">
        <v>3250</v>
      </c>
      <c r="C2831" s="3" t="s">
        <v>3582</v>
      </c>
      <c r="D2831" s="3" t="s">
        <v>797</v>
      </c>
      <c r="E2831" s="3" t="s">
        <v>813</v>
      </c>
      <c r="F2831" s="3"/>
      <c r="G2831" s="3"/>
      <c r="H2831" s="3"/>
      <c r="I2831" s="3"/>
      <c r="J2831" s="3" t="s">
        <v>1700</v>
      </c>
      <c r="K2831" s="27" t="s">
        <v>1252</v>
      </c>
    </row>
    <row r="2832" ht="18.6" customHeight="1" spans="1:11">
      <c r="A2832" s="3">
        <v>2831</v>
      </c>
      <c r="B2832" s="3" t="s">
        <v>3251</v>
      </c>
      <c r="C2832" s="3" t="s">
        <v>3582</v>
      </c>
      <c r="D2832" s="3" t="s">
        <v>797</v>
      </c>
      <c r="E2832" s="3" t="s">
        <v>815</v>
      </c>
      <c r="F2832" s="3"/>
      <c r="G2832" s="3"/>
      <c r="H2832" s="3"/>
      <c r="I2832" s="3"/>
      <c r="J2832" s="3" t="s">
        <v>1700</v>
      </c>
      <c r="K2832" s="27" t="s">
        <v>1252</v>
      </c>
    </row>
    <row r="2833" ht="18.6" customHeight="1" spans="1:11">
      <c r="A2833" s="3">
        <v>2832</v>
      </c>
      <c r="B2833" s="3" t="s">
        <v>3252</v>
      </c>
      <c r="C2833" s="3" t="s">
        <v>3622</v>
      </c>
      <c r="D2833" s="3" t="s">
        <v>902</v>
      </c>
      <c r="E2833" s="3" t="s">
        <v>907</v>
      </c>
      <c r="F2833" s="3"/>
      <c r="G2833" s="3"/>
      <c r="H2833" s="3"/>
      <c r="I2833" s="3"/>
      <c r="J2833" s="3" t="s">
        <v>1700</v>
      </c>
      <c r="K2833" s="27" t="s">
        <v>1252</v>
      </c>
    </row>
    <row r="2834" ht="18.6" customHeight="1" spans="1:11">
      <c r="A2834" s="3">
        <v>2833</v>
      </c>
      <c r="B2834" s="3" t="s">
        <v>3253</v>
      </c>
      <c r="C2834" s="3" t="s">
        <v>3656</v>
      </c>
      <c r="D2834" s="3" t="s">
        <v>971</v>
      </c>
      <c r="E2834" s="3" t="s">
        <v>2594</v>
      </c>
      <c r="F2834" s="3"/>
      <c r="G2834" s="3"/>
      <c r="H2834" s="3"/>
      <c r="I2834" s="3"/>
      <c r="J2834" s="3" t="s">
        <v>1700</v>
      </c>
      <c r="K2834" s="27" t="s">
        <v>1252</v>
      </c>
    </row>
    <row r="2835" ht="18.6" customHeight="1" spans="1:11">
      <c r="A2835" s="3">
        <v>2834</v>
      </c>
      <c r="B2835" s="3" t="s">
        <v>3254</v>
      </c>
      <c r="C2835" s="3" t="s">
        <v>3656</v>
      </c>
      <c r="D2835" s="3" t="s">
        <v>971</v>
      </c>
      <c r="E2835" s="3" t="s">
        <v>2594</v>
      </c>
      <c r="F2835" s="3"/>
      <c r="G2835" s="3"/>
      <c r="H2835" s="3"/>
      <c r="I2835" s="3"/>
      <c r="J2835" s="3" t="s">
        <v>1700</v>
      </c>
      <c r="K2835" s="27" t="s">
        <v>1252</v>
      </c>
    </row>
    <row r="2836" ht="18.6" customHeight="1" spans="1:11">
      <c r="A2836" s="3">
        <v>2835</v>
      </c>
      <c r="B2836" s="3" t="s">
        <v>3255</v>
      </c>
      <c r="C2836" s="3" t="s">
        <v>3656</v>
      </c>
      <c r="D2836" s="3" t="s">
        <v>971</v>
      </c>
      <c r="E2836" s="3" t="s">
        <v>2594</v>
      </c>
      <c r="F2836" s="3"/>
      <c r="G2836" s="3"/>
      <c r="H2836" s="3"/>
      <c r="I2836" s="3"/>
      <c r="J2836" s="3" t="s">
        <v>1700</v>
      </c>
      <c r="K2836" s="27" t="s">
        <v>1252</v>
      </c>
    </row>
    <row r="2837" ht="18.6" customHeight="1" spans="1:11">
      <c r="A2837" s="3">
        <v>2836</v>
      </c>
      <c r="B2837" s="3" t="s">
        <v>3256</v>
      </c>
      <c r="C2837" s="3" t="s">
        <v>3399</v>
      </c>
      <c r="D2837" s="3" t="s">
        <v>273</v>
      </c>
      <c r="E2837" s="3" t="s">
        <v>274</v>
      </c>
      <c r="F2837" s="3"/>
      <c r="G2837" s="3"/>
      <c r="H2837" s="3"/>
      <c r="I2837" s="3"/>
      <c r="J2837" s="3" t="s">
        <v>1700</v>
      </c>
      <c r="K2837" s="27" t="s">
        <v>1252</v>
      </c>
    </row>
    <row r="2838" ht="18.6" customHeight="1" spans="1:11">
      <c r="A2838" s="3">
        <v>2837</v>
      </c>
      <c r="B2838" s="3" t="s">
        <v>3257</v>
      </c>
      <c r="C2838" s="3" t="s">
        <v>3474</v>
      </c>
      <c r="D2838" s="3" t="s">
        <v>502</v>
      </c>
      <c r="E2838" s="3" t="s">
        <v>511</v>
      </c>
      <c r="F2838" s="3"/>
      <c r="G2838" s="3"/>
      <c r="H2838" s="3"/>
      <c r="I2838" s="3"/>
      <c r="J2838" s="3" t="s">
        <v>1700</v>
      </c>
      <c r="K2838" s="27" t="s">
        <v>1252</v>
      </c>
    </row>
    <row r="2839" ht="18.6" customHeight="1" spans="1:11">
      <c r="A2839" s="3">
        <v>2838</v>
      </c>
      <c r="B2839" s="3" t="s">
        <v>3258</v>
      </c>
      <c r="C2839" s="3" t="s">
        <v>3474</v>
      </c>
      <c r="D2839" s="3" t="s">
        <v>502</v>
      </c>
      <c r="E2839" s="3" t="s">
        <v>511</v>
      </c>
      <c r="F2839" s="3"/>
      <c r="G2839" s="3"/>
      <c r="H2839" s="3"/>
      <c r="I2839" s="3"/>
      <c r="J2839" s="3" t="s">
        <v>1700</v>
      </c>
      <c r="K2839" s="27" t="s">
        <v>1252</v>
      </c>
    </row>
    <row r="2840" ht="18.6" customHeight="1" spans="1:11">
      <c r="A2840" s="3">
        <v>2839</v>
      </c>
      <c r="B2840" s="3" t="s">
        <v>3259</v>
      </c>
      <c r="C2840" s="3" t="s">
        <v>3474</v>
      </c>
      <c r="D2840" s="3" t="s">
        <v>502</v>
      </c>
      <c r="E2840" s="3" t="s">
        <v>515</v>
      </c>
      <c r="F2840" s="3"/>
      <c r="G2840" s="3"/>
      <c r="H2840" s="3"/>
      <c r="I2840" s="3"/>
      <c r="J2840" s="3" t="s">
        <v>1700</v>
      </c>
      <c r="K2840" s="27" t="s">
        <v>1252</v>
      </c>
    </row>
    <row r="2841" ht="18.6" customHeight="1" spans="1:11">
      <c r="A2841" s="3">
        <v>2840</v>
      </c>
      <c r="B2841" s="3" t="s">
        <v>3260</v>
      </c>
      <c r="C2841" s="3" t="s">
        <v>3631</v>
      </c>
      <c r="D2841" s="3" t="s">
        <v>943</v>
      </c>
      <c r="E2841" s="3" t="s">
        <v>3261</v>
      </c>
      <c r="F2841" s="3"/>
      <c r="G2841" s="3"/>
      <c r="H2841" s="3"/>
      <c r="I2841" s="3"/>
      <c r="J2841" s="3" t="s">
        <v>1700</v>
      </c>
      <c r="K2841" s="27" t="s">
        <v>1252</v>
      </c>
    </row>
    <row r="2842" ht="18.6" customHeight="1" spans="1:11">
      <c r="A2842" s="3">
        <v>2841</v>
      </c>
      <c r="B2842" s="3" t="s">
        <v>3262</v>
      </c>
      <c r="C2842" s="3" t="s">
        <v>3346</v>
      </c>
      <c r="D2842" s="3" t="s">
        <v>98</v>
      </c>
      <c r="E2842" s="3" t="s">
        <v>128</v>
      </c>
      <c r="F2842" s="3"/>
      <c r="G2842" s="3"/>
      <c r="H2842" s="3"/>
      <c r="I2842" s="3"/>
      <c r="J2842" s="3" t="s">
        <v>1700</v>
      </c>
      <c r="K2842" s="27" t="s">
        <v>1252</v>
      </c>
    </row>
    <row r="2843" ht="18.6" customHeight="1" spans="1:11">
      <c r="A2843" s="3">
        <v>2842</v>
      </c>
      <c r="B2843" s="3" t="s">
        <v>3263</v>
      </c>
      <c r="C2843" s="3" t="s">
        <v>3499</v>
      </c>
      <c r="D2843" s="3" t="s">
        <v>587</v>
      </c>
      <c r="E2843" s="3" t="s">
        <v>604</v>
      </c>
      <c r="F2843" s="3"/>
      <c r="G2843" s="3"/>
      <c r="H2843" s="3"/>
      <c r="I2843" s="3"/>
      <c r="J2843" s="3" t="s">
        <v>1700</v>
      </c>
      <c r="K2843" s="27" t="s">
        <v>1252</v>
      </c>
    </row>
    <row r="2844" ht="18.6" customHeight="1" spans="1:11">
      <c r="A2844" s="3">
        <v>2843</v>
      </c>
      <c r="B2844" s="3" t="s">
        <v>3264</v>
      </c>
      <c r="C2844" s="3" t="s">
        <v>3499</v>
      </c>
      <c r="D2844" s="3" t="s">
        <v>587</v>
      </c>
      <c r="E2844" s="3" t="s">
        <v>591</v>
      </c>
      <c r="F2844" s="3"/>
      <c r="G2844" s="3"/>
      <c r="H2844" s="3"/>
      <c r="I2844" s="3"/>
      <c r="J2844" s="3" t="s">
        <v>1700</v>
      </c>
      <c r="K2844" s="27" t="s">
        <v>1252</v>
      </c>
    </row>
    <row r="2845" ht="18.6" customHeight="1" spans="1:11">
      <c r="A2845" s="3">
        <v>2844</v>
      </c>
      <c r="B2845" s="3" t="s">
        <v>3265</v>
      </c>
      <c r="C2845" s="3" t="s">
        <v>3521</v>
      </c>
      <c r="D2845" s="3" t="s">
        <v>628</v>
      </c>
      <c r="E2845" s="3" t="s">
        <v>657</v>
      </c>
      <c r="F2845" s="3"/>
      <c r="G2845" s="3"/>
      <c r="H2845" s="3"/>
      <c r="I2845" s="3"/>
      <c r="J2845" s="3" t="s">
        <v>1700</v>
      </c>
      <c r="K2845" s="27" t="s">
        <v>1252</v>
      </c>
    </row>
    <row r="2846" ht="18.6" customHeight="1" spans="1:11">
      <c r="A2846" s="3">
        <v>2845</v>
      </c>
      <c r="B2846" s="3" t="s">
        <v>3266</v>
      </c>
      <c r="C2846" s="3" t="s">
        <v>3521</v>
      </c>
      <c r="D2846" s="3" t="s">
        <v>628</v>
      </c>
      <c r="E2846" s="3" t="s">
        <v>688</v>
      </c>
      <c r="F2846" s="3"/>
      <c r="G2846" s="3"/>
      <c r="H2846" s="3"/>
      <c r="I2846" s="3"/>
      <c r="J2846" s="3" t="s">
        <v>1700</v>
      </c>
      <c r="K2846" s="27" t="s">
        <v>1252</v>
      </c>
    </row>
    <row r="2847" ht="18.6" customHeight="1" spans="1:11">
      <c r="A2847" s="3">
        <v>2846</v>
      </c>
      <c r="B2847" s="3" t="s">
        <v>3267</v>
      </c>
      <c r="C2847" s="3" t="s">
        <v>3542</v>
      </c>
      <c r="D2847" s="3" t="s">
        <v>692</v>
      </c>
      <c r="E2847" s="3" t="s">
        <v>712</v>
      </c>
      <c r="F2847" s="3"/>
      <c r="G2847" s="3"/>
      <c r="H2847" s="3"/>
      <c r="I2847" s="3"/>
      <c r="J2847" s="3" t="s">
        <v>1700</v>
      </c>
      <c r="K2847" s="27" t="s">
        <v>1252</v>
      </c>
    </row>
    <row r="2848" ht="18.6" customHeight="1" spans="1:11">
      <c r="A2848" s="3">
        <v>2847</v>
      </c>
      <c r="B2848" s="3" t="s">
        <v>3268</v>
      </c>
      <c r="C2848" s="3" t="s">
        <v>3542</v>
      </c>
      <c r="D2848" s="3" t="s">
        <v>692</v>
      </c>
      <c r="E2848" s="3" t="s">
        <v>712</v>
      </c>
      <c r="F2848" s="3"/>
      <c r="G2848" s="3"/>
      <c r="H2848" s="3"/>
      <c r="I2848" s="3"/>
      <c r="J2848" s="3" t="s">
        <v>1700</v>
      </c>
      <c r="K2848" s="27" t="s">
        <v>1252</v>
      </c>
    </row>
    <row r="2849" ht="18.6" customHeight="1" spans="1:11">
      <c r="A2849" s="3">
        <v>2848</v>
      </c>
      <c r="B2849" s="3" t="s">
        <v>3269</v>
      </c>
      <c r="C2849" s="3" t="s">
        <v>3542</v>
      </c>
      <c r="D2849" s="3" t="s">
        <v>692</v>
      </c>
      <c r="E2849" s="3" t="s">
        <v>714</v>
      </c>
      <c r="F2849" s="3"/>
      <c r="G2849" s="3"/>
      <c r="H2849" s="3"/>
      <c r="I2849" s="3"/>
      <c r="J2849" s="3" t="s">
        <v>1700</v>
      </c>
      <c r="K2849" s="27" t="s">
        <v>1252</v>
      </c>
    </row>
    <row r="2850" ht="18.6" customHeight="1" spans="1:11">
      <c r="A2850" s="3">
        <v>2849</v>
      </c>
      <c r="B2850" s="3" t="s">
        <v>3270</v>
      </c>
      <c r="C2850" s="3" t="s">
        <v>3542</v>
      </c>
      <c r="D2850" s="3" t="s">
        <v>692</v>
      </c>
      <c r="E2850" s="3" t="s">
        <v>704</v>
      </c>
      <c r="F2850" s="3"/>
      <c r="G2850" s="3"/>
      <c r="H2850" s="3"/>
      <c r="I2850" s="3"/>
      <c r="J2850" s="3" t="s">
        <v>1700</v>
      </c>
      <c r="K2850" s="27" t="s">
        <v>1252</v>
      </c>
    </row>
    <row r="2851" ht="18.6" customHeight="1" spans="1:11">
      <c r="A2851" s="3">
        <v>2850</v>
      </c>
      <c r="B2851" s="3" t="s">
        <v>3271</v>
      </c>
      <c r="C2851" s="3" t="s">
        <v>3639</v>
      </c>
      <c r="D2851" s="3" t="s">
        <v>951</v>
      </c>
      <c r="E2851" s="3" t="s">
        <v>951</v>
      </c>
      <c r="F2851" s="3"/>
      <c r="G2851" s="3"/>
      <c r="H2851" s="3"/>
      <c r="I2851" s="3"/>
      <c r="J2851" s="3" t="s">
        <v>1700</v>
      </c>
      <c r="K2851" s="27" t="s">
        <v>1252</v>
      </c>
    </row>
    <row r="2852" ht="18.6" customHeight="1" spans="1:11">
      <c r="A2852" s="3">
        <v>2851</v>
      </c>
      <c r="B2852" s="3" t="s">
        <v>3272</v>
      </c>
      <c r="C2852" s="3" t="s">
        <v>3639</v>
      </c>
      <c r="D2852" s="3" t="s">
        <v>951</v>
      </c>
      <c r="E2852" s="3" t="s">
        <v>951</v>
      </c>
      <c r="F2852" s="3"/>
      <c r="G2852" s="3"/>
      <c r="H2852" s="3"/>
      <c r="I2852" s="3"/>
      <c r="J2852" s="3" t="s">
        <v>1700</v>
      </c>
      <c r="K2852" s="27" t="s">
        <v>1252</v>
      </c>
    </row>
    <row r="2853" ht="18.6" customHeight="1" spans="1:11">
      <c r="A2853" s="3">
        <v>2852</v>
      </c>
      <c r="B2853" s="3" t="s">
        <v>3273</v>
      </c>
      <c r="C2853" s="3" t="s">
        <v>3656</v>
      </c>
      <c r="D2853" s="3" t="s">
        <v>971</v>
      </c>
      <c r="E2853" s="3" t="s">
        <v>972</v>
      </c>
      <c r="F2853" s="3"/>
      <c r="G2853" s="3"/>
      <c r="H2853" s="3"/>
      <c r="I2853" s="3"/>
      <c r="J2853" s="3" t="s">
        <v>1700</v>
      </c>
      <c r="K2853" s="27" t="s">
        <v>1252</v>
      </c>
    </row>
    <row r="2854" ht="18.6" customHeight="1" spans="1:11">
      <c r="A2854" s="3">
        <v>2852</v>
      </c>
      <c r="B2854" s="3" t="s">
        <v>1686</v>
      </c>
      <c r="C2854" s="3" t="s">
        <v>3422</v>
      </c>
      <c r="D2854" s="3" t="s">
        <v>3420</v>
      </c>
      <c r="E2854" s="3" t="s">
        <v>3420</v>
      </c>
      <c r="F2854" s="3"/>
      <c r="G2854" s="3"/>
      <c r="H2854" s="3"/>
      <c r="I2854" s="3"/>
      <c r="J2854" s="3" t="s">
        <v>11</v>
      </c>
      <c r="K2854" s="27" t="s">
        <v>3424</v>
      </c>
    </row>
    <row r="2855" ht="18.6" customHeight="1" spans="1:11">
      <c r="A2855" s="3">
        <v>2852</v>
      </c>
      <c r="B2855" s="3" t="s">
        <v>1688</v>
      </c>
      <c r="C2855" s="3" t="s">
        <v>3437</v>
      </c>
      <c r="D2855" s="3" t="s">
        <v>3427</v>
      </c>
      <c r="E2855" s="3" t="s">
        <v>3427</v>
      </c>
      <c r="F2855" s="3"/>
      <c r="G2855" s="3"/>
      <c r="H2855" s="3"/>
      <c r="I2855" s="3"/>
      <c r="J2855" s="3" t="s">
        <v>11</v>
      </c>
      <c r="K2855" s="27" t="s">
        <v>3424</v>
      </c>
    </row>
    <row r="2856" ht="18.6" customHeight="1" spans="1:11">
      <c r="A2856" s="3">
        <v>2852</v>
      </c>
      <c r="B2856" s="3" t="s">
        <v>1689</v>
      </c>
      <c r="C2856" s="3" t="s">
        <v>3437</v>
      </c>
      <c r="D2856" s="3" t="s">
        <v>3441</v>
      </c>
      <c r="E2856" s="3" t="s">
        <v>3441</v>
      </c>
      <c r="F2856" s="3"/>
      <c r="G2856" s="3"/>
      <c r="H2856" s="3"/>
      <c r="I2856" s="3"/>
      <c r="J2856" s="3" t="s">
        <v>11</v>
      </c>
      <c r="K2856" s="27" t="s">
        <v>3424</v>
      </c>
    </row>
    <row r="2857" ht="18.6" customHeight="1" spans="1:11">
      <c r="A2857" s="3">
        <v>2852</v>
      </c>
      <c r="B2857" s="3" t="s">
        <v>3302</v>
      </c>
      <c r="C2857" s="3" t="s">
        <v>3437</v>
      </c>
      <c r="D2857" s="3" t="s">
        <v>3427</v>
      </c>
      <c r="E2857" s="3" t="s">
        <v>3427</v>
      </c>
      <c r="F2857" s="3"/>
      <c r="G2857" s="3"/>
      <c r="H2857" s="3"/>
      <c r="I2857" s="3"/>
      <c r="J2857" s="3" t="s">
        <v>1700</v>
      </c>
      <c r="K2857" s="27" t="s">
        <v>3424</v>
      </c>
    </row>
    <row r="2858" ht="18.6" customHeight="1" spans="1:11">
      <c r="A2858" s="3">
        <v>2852</v>
      </c>
      <c r="B2858" s="3" t="s">
        <v>1691</v>
      </c>
      <c r="C2858" s="3" t="s">
        <v>3457</v>
      </c>
      <c r="D2858" s="3" t="s">
        <v>3455</v>
      </c>
      <c r="E2858" s="3" t="s">
        <v>3455</v>
      </c>
      <c r="F2858" s="3"/>
      <c r="G2858" s="3"/>
      <c r="H2858" s="3"/>
      <c r="I2858" s="3"/>
      <c r="J2858" s="3" t="s">
        <v>11</v>
      </c>
      <c r="K2858" s="27" t="s">
        <v>3424</v>
      </c>
    </row>
    <row r="2859" ht="18.6" customHeight="1" spans="1:11">
      <c r="A2859" s="3">
        <v>2852</v>
      </c>
      <c r="B2859" s="3" t="s">
        <v>1692</v>
      </c>
      <c r="C2859" s="3" t="s">
        <v>3457</v>
      </c>
      <c r="D2859" s="3" t="s">
        <v>3446</v>
      </c>
      <c r="E2859" s="3" t="s">
        <v>3446</v>
      </c>
      <c r="F2859" s="3"/>
      <c r="G2859" s="3"/>
      <c r="H2859" s="3"/>
      <c r="I2859" s="3"/>
      <c r="J2859" s="3" t="s">
        <v>11</v>
      </c>
      <c r="K2859" s="27" t="s">
        <v>3424</v>
      </c>
    </row>
    <row r="2860" ht="18.6" customHeight="1" spans="1:11">
      <c r="A2860" s="3">
        <v>2852</v>
      </c>
      <c r="B2860" s="3" t="s">
        <v>3303</v>
      </c>
      <c r="C2860" s="3" t="s">
        <v>3490</v>
      </c>
      <c r="D2860" s="3" t="s">
        <v>3482</v>
      </c>
      <c r="E2860" s="3" t="s">
        <v>3482</v>
      </c>
      <c r="F2860" s="3"/>
      <c r="G2860" s="3"/>
      <c r="H2860" s="3"/>
      <c r="I2860" s="3"/>
      <c r="J2860" s="3" t="s">
        <v>1700</v>
      </c>
      <c r="K2860" s="27" t="s">
        <v>3424</v>
      </c>
    </row>
    <row r="2861" ht="18.6" customHeight="1" spans="1:11">
      <c r="A2861" s="3">
        <v>2852</v>
      </c>
      <c r="B2861" s="3" t="s">
        <v>3504</v>
      </c>
      <c r="C2861" s="3" t="s">
        <v>3491</v>
      </c>
      <c r="D2861" s="3" t="s">
        <v>587</v>
      </c>
      <c r="E2861" s="3" t="s">
        <v>3492</v>
      </c>
      <c r="F2861" s="3"/>
      <c r="G2861" s="3"/>
      <c r="H2861" s="3"/>
      <c r="I2861" s="3"/>
      <c r="J2861" s="3" t="s">
        <v>1700</v>
      </c>
      <c r="K2861" s="27">
        <v>0</v>
      </c>
    </row>
    <row r="2862" ht="18.6" customHeight="1" spans="1:11">
      <c r="A2862" s="3">
        <v>2852</v>
      </c>
      <c r="B2862" s="3" t="s">
        <v>3304</v>
      </c>
      <c r="C2862" s="3" t="s">
        <v>3542</v>
      </c>
      <c r="D2862" s="3" t="s">
        <v>3529</v>
      </c>
      <c r="E2862" s="3" t="s">
        <v>3529</v>
      </c>
      <c r="F2862" s="3"/>
      <c r="G2862" s="3"/>
      <c r="H2862" s="3"/>
      <c r="I2862" s="3"/>
      <c r="J2862" s="3" t="s">
        <v>1700</v>
      </c>
      <c r="K2862" s="27" t="s">
        <v>3424</v>
      </c>
    </row>
    <row r="2863" ht="18.6" customHeight="1" spans="1:11">
      <c r="A2863" s="3">
        <v>2852</v>
      </c>
      <c r="B2863" s="3" t="s">
        <v>3603</v>
      </c>
      <c r="C2863" s="3" t="s">
        <v>3597</v>
      </c>
      <c r="D2863" s="3" t="s">
        <v>3597</v>
      </c>
      <c r="E2863" s="3" t="s">
        <v>3604</v>
      </c>
      <c r="F2863" s="3"/>
      <c r="G2863" s="3"/>
      <c r="H2863" s="3"/>
      <c r="I2863" s="3"/>
      <c r="J2863" s="3" t="s">
        <v>11</v>
      </c>
      <c r="K2863" s="27" t="s">
        <v>1252</v>
      </c>
    </row>
    <row r="2864" ht="18.6" customHeight="1" spans="1:11">
      <c r="A2864" s="3">
        <v>2852</v>
      </c>
      <c r="B2864" s="3" t="s">
        <v>3605</v>
      </c>
      <c r="C2864" s="3" t="s">
        <v>3597</v>
      </c>
      <c r="D2864" s="3" t="s">
        <v>3604</v>
      </c>
      <c r="E2864" s="3" t="s">
        <v>3604</v>
      </c>
      <c r="F2864" s="3"/>
      <c r="G2864" s="3"/>
      <c r="H2864" s="3"/>
      <c r="I2864" s="3"/>
      <c r="J2864" s="3" t="s">
        <v>11</v>
      </c>
      <c r="K2864" s="27" t="s">
        <v>3424</v>
      </c>
    </row>
    <row r="2865" ht="18.6" customHeight="1" spans="1:11">
      <c r="A2865" s="3">
        <v>2852</v>
      </c>
      <c r="B2865" s="3" t="s">
        <v>1684</v>
      </c>
      <c r="C2865" s="3" t="s">
        <v>3597</v>
      </c>
      <c r="D2865" s="3" t="s">
        <v>3587</v>
      </c>
      <c r="E2865" s="3" t="s">
        <v>3587</v>
      </c>
      <c r="F2865" s="3"/>
      <c r="G2865" s="3"/>
      <c r="H2865" s="3"/>
      <c r="I2865" s="3"/>
      <c r="J2865" s="3" t="s">
        <v>11</v>
      </c>
      <c r="K2865" s="27" t="s">
        <v>3424</v>
      </c>
    </row>
    <row r="2866" ht="18.6" customHeight="1" spans="1:11">
      <c r="A2866" s="3">
        <v>2852</v>
      </c>
      <c r="B2866" s="3" t="s">
        <v>1683</v>
      </c>
      <c r="C2866" s="3" t="s">
        <v>3597</v>
      </c>
      <c r="D2866" s="3" t="s">
        <v>3596</v>
      </c>
      <c r="E2866" s="3" t="s">
        <v>3596</v>
      </c>
      <c r="F2866" s="3"/>
      <c r="G2866" s="3"/>
      <c r="H2866" s="3"/>
      <c r="I2866" s="3"/>
      <c r="J2866" s="3" t="s">
        <v>11</v>
      </c>
      <c r="K2866" s="27" t="s">
        <v>3424</v>
      </c>
    </row>
    <row r="2867" ht="18.6" customHeight="1" spans="1:11">
      <c r="A2867" s="3">
        <v>2852</v>
      </c>
      <c r="B2867" s="3" t="s">
        <v>1693</v>
      </c>
      <c r="C2867" s="3" t="s">
        <v>3597</v>
      </c>
      <c r="D2867" s="3" t="s">
        <v>3596</v>
      </c>
      <c r="E2867" s="3" t="s">
        <v>3596</v>
      </c>
      <c r="F2867" s="3"/>
      <c r="G2867" s="3"/>
      <c r="H2867" s="3"/>
      <c r="I2867" s="3"/>
      <c r="J2867" s="3" t="s">
        <v>11</v>
      </c>
      <c r="K2867" s="27" t="s">
        <v>3424</v>
      </c>
    </row>
    <row r="2868" ht="18.6" customHeight="1" spans="1:11">
      <c r="A2868" s="3">
        <v>2852</v>
      </c>
      <c r="B2868" s="3" t="s">
        <v>1694</v>
      </c>
      <c r="C2868" s="3" t="s">
        <v>3597</v>
      </c>
      <c r="D2868" s="3" t="s">
        <v>3597</v>
      </c>
      <c r="E2868" s="3" t="s">
        <v>3589</v>
      </c>
      <c r="F2868" s="3"/>
      <c r="G2868" s="3"/>
      <c r="H2868" s="3"/>
      <c r="I2868" s="3"/>
      <c r="J2868" s="3" t="s">
        <v>11</v>
      </c>
      <c r="K2868" s="27" t="s">
        <v>3424</v>
      </c>
    </row>
    <row r="2869" ht="18.6" customHeight="1" spans="1:11">
      <c r="A2869" s="3">
        <v>2852</v>
      </c>
      <c r="B2869" s="3" t="s">
        <v>1685</v>
      </c>
      <c r="C2869" s="3" t="s">
        <v>3597</v>
      </c>
      <c r="D2869" s="3" t="s">
        <v>3597</v>
      </c>
      <c r="E2869" s="3" t="s">
        <v>3601</v>
      </c>
      <c r="F2869" s="3"/>
      <c r="G2869" s="3"/>
      <c r="H2869" s="3"/>
      <c r="I2869" s="3"/>
      <c r="J2869" s="3" t="s">
        <v>11</v>
      </c>
      <c r="K2869" s="27" t="s">
        <v>3424</v>
      </c>
    </row>
    <row r="2870" ht="35.1" customHeight="1" spans="1:11">
      <c r="A2870" s="3">
        <v>2852</v>
      </c>
      <c r="B2870" s="3" t="s">
        <v>1695</v>
      </c>
      <c r="C2870" s="3" t="s">
        <v>3631</v>
      </c>
      <c r="D2870" s="3" t="s">
        <v>3631</v>
      </c>
      <c r="E2870" s="3" t="s">
        <v>3632</v>
      </c>
      <c r="F2870" s="3"/>
      <c r="G2870" s="3"/>
      <c r="H2870" s="3"/>
      <c r="I2870" s="3"/>
      <c r="J2870" s="3" t="s">
        <v>11</v>
      </c>
      <c r="K2870" s="27" t="s">
        <v>1697</v>
      </c>
    </row>
    <row r="2871" ht="18.6" customHeight="1" spans="1:11">
      <c r="A2871" s="3">
        <v>2852</v>
      </c>
      <c r="B2871" s="3" t="s">
        <v>1241</v>
      </c>
      <c r="C2871" s="3" t="s">
        <v>3509</v>
      </c>
      <c r="D2871" s="3" t="s">
        <v>628</v>
      </c>
      <c r="E2871" s="3"/>
      <c r="F2871" s="3"/>
      <c r="G2871" s="3"/>
      <c r="H2871" s="3"/>
      <c r="I2871" s="3"/>
      <c r="J2871" s="3"/>
      <c r="K2871" s="27" t="s">
        <v>12</v>
      </c>
    </row>
    <row r="2872" ht="18.6" customHeight="1" spans="1:11">
      <c r="A2872" s="3">
        <v>2852</v>
      </c>
      <c r="B2872" s="3" t="s">
        <v>3842</v>
      </c>
      <c r="C2872" s="3"/>
      <c r="D2872" s="3" t="s">
        <v>448</v>
      </c>
      <c r="E2872" s="3"/>
      <c r="F2872" s="3"/>
      <c r="G2872" s="3"/>
      <c r="H2872" s="3"/>
      <c r="I2872" s="3"/>
      <c r="J2872" s="3"/>
      <c r="K2872" s="27" t="s">
        <v>12</v>
      </c>
    </row>
    <row r="2873" ht="18.6" customHeight="1" spans="1:11">
      <c r="A2873" s="3">
        <v>2852</v>
      </c>
      <c r="B2873" s="3" t="s">
        <v>1247</v>
      </c>
      <c r="C2873" s="3"/>
      <c r="D2873" s="3" t="s">
        <v>844</v>
      </c>
      <c r="E2873" s="3"/>
      <c r="F2873" s="3"/>
      <c r="G2873" s="3"/>
      <c r="H2873" s="3"/>
      <c r="I2873" s="3"/>
      <c r="J2873" s="3"/>
      <c r="K2873" s="27" t="s">
        <v>12</v>
      </c>
    </row>
    <row r="2874" ht="18.6" customHeight="1" spans="1:11">
      <c r="A2874" s="3">
        <v>2852</v>
      </c>
      <c r="B2874" s="3" t="s">
        <v>3843</v>
      </c>
      <c r="C2874" s="3"/>
      <c r="D2874" s="3" t="s">
        <v>951</v>
      </c>
      <c r="E2874" s="3"/>
      <c r="F2874" s="3"/>
      <c r="G2874" s="3"/>
      <c r="H2874" s="3"/>
      <c r="I2874" s="3"/>
      <c r="J2874" s="3"/>
      <c r="K2874" s="27" t="s">
        <v>12</v>
      </c>
    </row>
    <row r="2875" ht="18.6" customHeight="1" spans="1:11">
      <c r="A2875" s="3">
        <v>2852</v>
      </c>
      <c r="B2875" s="3" t="s">
        <v>3844</v>
      </c>
      <c r="C2875" s="3"/>
      <c r="D2875" s="3" t="s">
        <v>692</v>
      </c>
      <c r="E2875" s="3"/>
      <c r="F2875" s="3"/>
      <c r="G2875" s="3"/>
      <c r="H2875" s="3"/>
      <c r="I2875" s="3"/>
      <c r="J2875" s="3"/>
      <c r="K2875" s="27" t="s">
        <v>12</v>
      </c>
    </row>
    <row r="2876" ht="18.6" customHeight="1" spans="1:11">
      <c r="A2876" s="3">
        <v>2852</v>
      </c>
      <c r="B2876" s="3" t="s">
        <v>3845</v>
      </c>
      <c r="C2876" s="3"/>
      <c r="D2876" s="3" t="s">
        <v>553</v>
      </c>
      <c r="E2876" s="3"/>
      <c r="F2876" s="3"/>
      <c r="G2876" s="3"/>
      <c r="H2876" s="3"/>
      <c r="I2876" s="3"/>
      <c r="J2876" s="3"/>
      <c r="K2876" s="27" t="s">
        <v>1252</v>
      </c>
    </row>
    <row r="2877" ht="18.6" customHeight="1" spans="1:11">
      <c r="A2877" s="3">
        <v>2852</v>
      </c>
      <c r="B2877" s="3" t="s">
        <v>3846</v>
      </c>
      <c r="C2877" s="3"/>
      <c r="D2877" s="3" t="s">
        <v>844</v>
      </c>
      <c r="E2877" s="3"/>
      <c r="F2877" s="3"/>
      <c r="G2877" s="3"/>
      <c r="H2877" s="3"/>
      <c r="I2877" s="3"/>
      <c r="J2877" s="3"/>
      <c r="K2877" s="27" t="s">
        <v>12</v>
      </c>
    </row>
    <row r="2878" ht="18.6" customHeight="1" spans="1:11">
      <c r="A2878" s="3">
        <v>2852</v>
      </c>
      <c r="B2878" s="3" t="s">
        <v>3847</v>
      </c>
      <c r="C2878" s="3"/>
      <c r="D2878" s="3" t="s">
        <v>844</v>
      </c>
      <c r="E2878" s="3"/>
      <c r="F2878" s="3"/>
      <c r="G2878" s="3"/>
      <c r="H2878" s="3"/>
      <c r="I2878" s="3"/>
      <c r="J2878" s="3"/>
      <c r="K2878" s="27" t="s">
        <v>12</v>
      </c>
    </row>
    <row r="2879" ht="18.6" customHeight="1" spans="1:11">
      <c r="A2879" s="3">
        <v>2852</v>
      </c>
      <c r="B2879" s="3" t="s">
        <v>3848</v>
      </c>
      <c r="C2879" s="3"/>
      <c r="D2879" s="3" t="s">
        <v>844</v>
      </c>
      <c r="E2879" s="3"/>
      <c r="F2879" s="3"/>
      <c r="G2879" s="3"/>
      <c r="H2879" s="3"/>
      <c r="I2879" s="3"/>
      <c r="J2879" s="3"/>
      <c r="K2879" s="27" t="s">
        <v>12</v>
      </c>
    </row>
    <row r="2880" ht="18.6" customHeight="1" spans="1:11">
      <c r="A2880" s="3">
        <v>2852</v>
      </c>
      <c r="B2880" s="3" t="s">
        <v>3849</v>
      </c>
      <c r="C2880" s="3"/>
      <c r="D2880" s="3" t="s">
        <v>448</v>
      </c>
      <c r="E2880" s="3"/>
      <c r="F2880" s="3"/>
      <c r="G2880" s="3"/>
      <c r="H2880" s="3"/>
      <c r="I2880" s="3"/>
      <c r="J2880" s="3"/>
      <c r="K2880" s="27" t="s">
        <v>12</v>
      </c>
    </row>
    <row r="2881" ht="18.6" customHeight="1" spans="1:11">
      <c r="A2881" s="3">
        <v>2852</v>
      </c>
      <c r="B2881" s="3" t="s">
        <v>3850</v>
      </c>
      <c r="C2881" s="3"/>
      <c r="D2881" s="3" t="s">
        <v>1206</v>
      </c>
      <c r="E2881" s="3"/>
      <c r="F2881" s="3"/>
      <c r="G2881" s="3"/>
      <c r="H2881" s="3"/>
      <c r="I2881" s="3"/>
      <c r="J2881" s="3"/>
      <c r="K2881" s="27" t="s">
        <v>12</v>
      </c>
    </row>
    <row r="2882" ht="18.6" customHeight="1" spans="1:11">
      <c r="A2882" s="3">
        <v>2852</v>
      </c>
      <c r="B2882" s="3" t="s">
        <v>3851</v>
      </c>
      <c r="C2882" s="3"/>
      <c r="D2882" s="3" t="s">
        <v>1191</v>
      </c>
      <c r="E2882" s="3"/>
      <c r="F2882" s="3"/>
      <c r="G2882" s="3"/>
      <c r="H2882" s="3"/>
      <c r="I2882" s="3"/>
      <c r="J2882" s="3"/>
      <c r="K2882" s="27" t="s">
        <v>12</v>
      </c>
    </row>
    <row r="2883" ht="18.6" customHeight="1" spans="1:11">
      <c r="A2883" s="3">
        <v>2852</v>
      </c>
      <c r="B2883" s="3" t="s">
        <v>1288</v>
      </c>
      <c r="C2883" s="3" t="s">
        <v>3346</v>
      </c>
      <c r="D2883" s="3" t="s">
        <v>98</v>
      </c>
      <c r="E2883" s="3"/>
      <c r="F2883" s="3"/>
      <c r="G2883" s="3"/>
      <c r="H2883" s="3"/>
      <c r="I2883" s="3"/>
      <c r="J2883" s="3"/>
      <c r="K2883" s="27" t="s">
        <v>1252</v>
      </c>
    </row>
    <row r="2884" ht="18.6" customHeight="1" spans="1:11">
      <c r="A2884" s="3">
        <v>2852</v>
      </c>
      <c r="B2884" s="3" t="s">
        <v>2901</v>
      </c>
      <c r="C2884" s="3" t="s">
        <v>3346</v>
      </c>
      <c r="D2884" s="3" t="s">
        <v>98</v>
      </c>
      <c r="E2884" s="3"/>
      <c r="F2884" s="3"/>
      <c r="G2884" s="3"/>
      <c r="H2884" s="3"/>
      <c r="I2884" s="3"/>
      <c r="J2884" s="3"/>
      <c r="K2884" s="27" t="s">
        <v>1252</v>
      </c>
    </row>
    <row r="2885" ht="18.6" customHeight="1" spans="1:11">
      <c r="A2885" s="3">
        <v>2852</v>
      </c>
      <c r="B2885" s="3" t="s">
        <v>2907</v>
      </c>
      <c r="C2885" s="3" t="s">
        <v>3346</v>
      </c>
      <c r="D2885" s="3" t="s">
        <v>98</v>
      </c>
      <c r="E2885" s="3"/>
      <c r="F2885" s="3"/>
      <c r="G2885" s="3"/>
      <c r="H2885" s="3"/>
      <c r="I2885" s="3"/>
      <c r="J2885" s="3"/>
      <c r="K2885" s="27" t="s">
        <v>1252</v>
      </c>
    </row>
    <row r="2886" ht="18.6" customHeight="1" spans="1:11">
      <c r="A2886" s="3">
        <v>2852</v>
      </c>
      <c r="B2886" s="3" t="s">
        <v>2938</v>
      </c>
      <c r="C2886" s="3" t="s">
        <v>3399</v>
      </c>
      <c r="D2886" s="3" t="s">
        <v>273</v>
      </c>
      <c r="E2886" s="3"/>
      <c r="F2886" s="3"/>
      <c r="G2886" s="3"/>
      <c r="H2886" s="3"/>
      <c r="I2886" s="3"/>
      <c r="J2886" s="3"/>
      <c r="K2886" s="27" t="s">
        <v>1252</v>
      </c>
    </row>
    <row r="2887" ht="18.6" customHeight="1" spans="1:11">
      <c r="A2887" s="3">
        <v>2852</v>
      </c>
      <c r="B2887" s="3" t="s">
        <v>1914</v>
      </c>
      <c r="C2887" s="3" t="s">
        <v>3394</v>
      </c>
      <c r="D2887" s="3" t="s">
        <v>273</v>
      </c>
      <c r="E2887" s="3"/>
      <c r="F2887" s="3"/>
      <c r="G2887" s="3"/>
      <c r="H2887" s="3"/>
      <c r="I2887" s="3"/>
      <c r="J2887" s="3"/>
      <c r="K2887" s="27" t="s">
        <v>12</v>
      </c>
    </row>
    <row r="2888" ht="18.6" customHeight="1" spans="1:11">
      <c r="A2888" s="3">
        <v>2852</v>
      </c>
      <c r="B2888" s="3" t="s">
        <v>2810</v>
      </c>
      <c r="C2888" s="3" t="s">
        <v>3420</v>
      </c>
      <c r="D2888" s="3" t="s">
        <v>347</v>
      </c>
      <c r="E2888" s="3"/>
      <c r="F2888" s="3"/>
      <c r="G2888" s="3"/>
      <c r="H2888" s="3"/>
      <c r="I2888" s="3"/>
      <c r="J2888" s="3"/>
      <c r="K2888" s="27" t="s">
        <v>12</v>
      </c>
    </row>
    <row r="2889" ht="18.6" customHeight="1" spans="1:11">
      <c r="A2889" s="3">
        <v>2852</v>
      </c>
      <c r="B2889" s="3" t="s">
        <v>2811</v>
      </c>
      <c r="C2889" s="3" t="s">
        <v>3420</v>
      </c>
      <c r="D2889" s="3" t="s">
        <v>347</v>
      </c>
      <c r="E2889" s="3"/>
      <c r="F2889" s="3"/>
      <c r="G2889" s="3"/>
      <c r="H2889" s="3"/>
      <c r="I2889" s="3"/>
      <c r="J2889" s="3"/>
      <c r="K2889" s="27" t="s">
        <v>12</v>
      </c>
    </row>
    <row r="2890" ht="18.6" customHeight="1" spans="1:11">
      <c r="A2890" s="3">
        <v>2852</v>
      </c>
      <c r="B2890" s="3" t="s">
        <v>2812</v>
      </c>
      <c r="C2890" s="3" t="s">
        <v>3420</v>
      </c>
      <c r="D2890" s="3" t="s">
        <v>347</v>
      </c>
      <c r="E2890" s="3"/>
      <c r="F2890" s="3"/>
      <c r="G2890" s="3"/>
      <c r="H2890" s="3"/>
      <c r="I2890" s="3"/>
      <c r="J2890" s="3"/>
      <c r="K2890" s="27" t="s">
        <v>12</v>
      </c>
    </row>
    <row r="2891" ht="18.6" customHeight="1" spans="1:11">
      <c r="A2891" s="3">
        <v>2852</v>
      </c>
      <c r="B2891" s="3" t="s">
        <v>2106</v>
      </c>
      <c r="C2891" s="3" t="s">
        <v>3458</v>
      </c>
      <c r="D2891" s="3" t="s">
        <v>502</v>
      </c>
      <c r="E2891" s="3"/>
      <c r="F2891" s="3"/>
      <c r="G2891" s="3"/>
      <c r="H2891" s="3"/>
      <c r="I2891" s="3"/>
      <c r="J2891" s="3"/>
      <c r="K2891" s="27" t="s">
        <v>12</v>
      </c>
    </row>
    <row r="2892" ht="18.6" customHeight="1" spans="1:11">
      <c r="A2892" s="3">
        <v>2852</v>
      </c>
      <c r="B2892" s="3" t="s">
        <v>3237</v>
      </c>
      <c r="C2892" s="3" t="s">
        <v>3542</v>
      </c>
      <c r="D2892" s="3" t="s">
        <v>692</v>
      </c>
      <c r="E2892" s="3"/>
      <c r="F2892" s="3"/>
      <c r="G2892" s="3"/>
      <c r="H2892" s="3"/>
      <c r="I2892" s="3"/>
      <c r="J2892" s="3"/>
      <c r="K2892" s="27" t="s">
        <v>1252</v>
      </c>
    </row>
    <row r="2893" ht="18.6" customHeight="1" spans="1:11">
      <c r="A2893" s="3">
        <v>2852</v>
      </c>
      <c r="B2893" s="3" t="s">
        <v>3238</v>
      </c>
      <c r="C2893" s="3" t="s">
        <v>3542</v>
      </c>
      <c r="D2893" s="3" t="s">
        <v>692</v>
      </c>
      <c r="E2893" s="3"/>
      <c r="F2893" s="3"/>
      <c r="G2893" s="3"/>
      <c r="H2893" s="3"/>
      <c r="I2893" s="3"/>
      <c r="J2893" s="3"/>
      <c r="K2893" s="27" t="s">
        <v>1252</v>
      </c>
    </row>
    <row r="2894" ht="18.6" customHeight="1" spans="1:11">
      <c r="A2894" s="3">
        <v>2852</v>
      </c>
      <c r="B2894" s="3" t="s">
        <v>2809</v>
      </c>
      <c r="C2894" s="3" t="s">
        <v>3528</v>
      </c>
      <c r="D2894" s="3" t="s">
        <v>692</v>
      </c>
      <c r="E2894" s="3"/>
      <c r="F2894" s="3"/>
      <c r="G2894" s="3"/>
      <c r="H2894" s="3"/>
      <c r="I2894" s="3"/>
      <c r="J2894" s="3"/>
      <c r="K2894" s="27" t="s">
        <v>12</v>
      </c>
    </row>
    <row r="2895" ht="18.6" customHeight="1" spans="1:11">
      <c r="A2895" s="3">
        <v>2852</v>
      </c>
      <c r="B2895" s="3" t="s">
        <v>2806</v>
      </c>
      <c r="C2895" s="3" t="s">
        <v>3528</v>
      </c>
      <c r="D2895" s="3" t="s">
        <v>692</v>
      </c>
      <c r="E2895" s="3"/>
      <c r="F2895" s="3"/>
      <c r="G2895" s="3"/>
      <c r="H2895" s="3"/>
      <c r="I2895" s="3"/>
      <c r="J2895" s="3"/>
      <c r="K2895" s="27" t="s">
        <v>12</v>
      </c>
    </row>
    <row r="2896" ht="16.5" spans="1:11">
      <c r="B2896" s="3" t="s">
        <v>3852</v>
      </c>
      <c r="C2896" s="3"/>
      <c r="D2896" s="3"/>
      <c r="E2896" s="3"/>
      <c r="F2896" s="3"/>
      <c r="G2896" s="3"/>
      <c r="H2896" s="3"/>
      <c r="I2896" s="3"/>
      <c r="J2896" s="3"/>
      <c r="K2896" s="3"/>
    </row>
    <row r="2897" ht="16.5" spans="1:11">
      <c r="A2897" s="3">
        <v>2853</v>
      </c>
      <c r="B2897" s="3" t="s">
        <v>3853</v>
      </c>
      <c r="C2897" s="3" t="s">
        <v>3309</v>
      </c>
      <c r="D2897" s="3" t="s">
        <v>10</v>
      </c>
      <c r="E2897" s="3" t="s">
        <v>10</v>
      </c>
      <c r="F2897" s="3">
        <v>985</v>
      </c>
      <c r="G2897" s="3">
        <v>211</v>
      </c>
      <c r="H2897" s="3" t="s">
        <v>5</v>
      </c>
      <c r="I2897" s="3"/>
      <c r="J2897" s="3" t="s">
        <v>11</v>
      </c>
      <c r="K2897" s="3" t="s">
        <v>12</v>
      </c>
    </row>
    <row r="2898" ht="16.5" spans="1:11">
      <c r="A2898" s="3">
        <v>2854</v>
      </c>
      <c r="B2898" s="3" t="s">
        <v>3854</v>
      </c>
      <c r="C2898" s="3" t="s">
        <v>3309</v>
      </c>
      <c r="D2898" s="3" t="s">
        <v>347</v>
      </c>
      <c r="E2898" s="3" t="s">
        <v>347</v>
      </c>
      <c r="F2898" s="3">
        <v>985</v>
      </c>
      <c r="G2898" s="3">
        <v>211</v>
      </c>
      <c r="H2898" s="3" t="s">
        <v>5</v>
      </c>
      <c r="I2898" s="3"/>
      <c r="J2898" s="3" t="s">
        <v>11</v>
      </c>
      <c r="K2898" s="3" t="s">
        <v>12</v>
      </c>
    </row>
    <row r="2899" ht="16.5" spans="1:11">
      <c r="A2899" s="3">
        <v>2855</v>
      </c>
      <c r="B2899" s="3" t="s">
        <v>3855</v>
      </c>
      <c r="C2899" s="3" t="s">
        <v>3309</v>
      </c>
      <c r="D2899" s="3" t="s">
        <v>448</v>
      </c>
      <c r="E2899" s="3" t="s">
        <v>449</v>
      </c>
      <c r="F2899" s="3">
        <v>985</v>
      </c>
      <c r="G2899" s="3">
        <v>211</v>
      </c>
      <c r="H2899" s="3" t="s">
        <v>5</v>
      </c>
      <c r="I2899" s="3"/>
      <c r="J2899" s="3" t="s">
        <v>11</v>
      </c>
      <c r="K2899" s="3" t="s">
        <v>12</v>
      </c>
    </row>
    <row r="2900" ht="16.5" spans="1:11">
      <c r="A2900" s="3">
        <v>2856</v>
      </c>
      <c r="B2900" s="3" t="s">
        <v>3856</v>
      </c>
      <c r="C2900" s="3" t="s">
        <v>3309</v>
      </c>
      <c r="D2900" s="3" t="s">
        <v>347</v>
      </c>
      <c r="E2900" s="3" t="s">
        <v>347</v>
      </c>
      <c r="F2900" s="3">
        <v>985</v>
      </c>
      <c r="G2900" s="3">
        <v>211</v>
      </c>
      <c r="H2900" s="3" t="s">
        <v>5</v>
      </c>
      <c r="I2900" s="3"/>
      <c r="J2900" s="3" t="s">
        <v>11</v>
      </c>
      <c r="K2900" s="3" t="s">
        <v>12</v>
      </c>
    </row>
    <row r="2901" ht="16.5" spans="1:11">
      <c r="A2901" s="3">
        <v>2857</v>
      </c>
      <c r="B2901" s="3" t="s">
        <v>3857</v>
      </c>
      <c r="C2901" s="3" t="s">
        <v>3311</v>
      </c>
      <c r="D2901" s="3" t="s">
        <v>308</v>
      </c>
      <c r="E2901" s="3" t="s">
        <v>309</v>
      </c>
      <c r="F2901" s="3">
        <v>985</v>
      </c>
      <c r="G2901" s="3">
        <v>211</v>
      </c>
      <c r="H2901" s="3" t="s">
        <v>5</v>
      </c>
      <c r="I2901" s="3"/>
      <c r="J2901" s="3" t="s">
        <v>11</v>
      </c>
      <c r="K2901" s="3" t="s">
        <v>12</v>
      </c>
    </row>
    <row r="2902" ht="16.5" spans="1:11">
      <c r="A2902" s="3">
        <v>2858</v>
      </c>
      <c r="B2902" s="3" t="s">
        <v>3858</v>
      </c>
      <c r="C2902" s="3" t="s">
        <v>3309</v>
      </c>
      <c r="D2902" s="3" t="s">
        <v>971</v>
      </c>
      <c r="E2902" s="3" t="s">
        <v>972</v>
      </c>
      <c r="F2902" s="3">
        <v>985</v>
      </c>
      <c r="G2902" s="3">
        <v>211</v>
      </c>
      <c r="H2902" s="3" t="s">
        <v>5</v>
      </c>
      <c r="I2902" s="3"/>
      <c r="J2902" s="3" t="s">
        <v>11</v>
      </c>
      <c r="K2902" s="3" t="s">
        <v>12</v>
      </c>
    </row>
    <row r="2903" ht="16.5" spans="1:11">
      <c r="A2903" s="3">
        <v>2859</v>
      </c>
      <c r="B2903" s="3" t="s">
        <v>3859</v>
      </c>
      <c r="C2903" s="3" t="s">
        <v>3309</v>
      </c>
      <c r="D2903" s="3" t="s">
        <v>10</v>
      </c>
      <c r="E2903" s="3" t="s">
        <v>10</v>
      </c>
      <c r="F2903" s="3"/>
      <c r="G2903" s="3">
        <v>211</v>
      </c>
      <c r="H2903" s="3" t="s">
        <v>5</v>
      </c>
      <c r="I2903" s="3"/>
      <c r="J2903" s="3" t="s">
        <v>11</v>
      </c>
      <c r="K2903" s="3" t="s">
        <v>12</v>
      </c>
    </row>
    <row r="2904" ht="16.5" spans="1:11">
      <c r="A2904" s="3">
        <v>2860</v>
      </c>
      <c r="B2904" s="3" t="s">
        <v>3860</v>
      </c>
      <c r="C2904" s="3" t="s">
        <v>3309</v>
      </c>
      <c r="D2904" s="3" t="s">
        <v>98</v>
      </c>
      <c r="E2904" s="3" t="s">
        <v>99</v>
      </c>
      <c r="F2904" s="3"/>
      <c r="G2904" s="3">
        <v>211</v>
      </c>
      <c r="H2904" s="3" t="s">
        <v>5</v>
      </c>
      <c r="I2904" s="3"/>
      <c r="J2904" s="3" t="s">
        <v>11</v>
      </c>
      <c r="K2904" s="3" t="s">
        <v>12</v>
      </c>
    </row>
    <row r="2905" ht="16.5" spans="1:11">
      <c r="A2905" s="3">
        <v>2861</v>
      </c>
      <c r="B2905" s="3" t="s">
        <v>3861</v>
      </c>
      <c r="C2905" s="3" t="s">
        <v>3309</v>
      </c>
      <c r="D2905" s="3" t="s">
        <v>98</v>
      </c>
      <c r="E2905" s="3" t="s">
        <v>132</v>
      </c>
      <c r="F2905" s="3">
        <v>985</v>
      </c>
      <c r="G2905" s="3">
        <v>211</v>
      </c>
      <c r="H2905" s="3" t="s">
        <v>5</v>
      </c>
      <c r="I2905" s="3"/>
      <c r="J2905" s="3" t="s">
        <v>11</v>
      </c>
      <c r="K2905" s="3" t="s">
        <v>12</v>
      </c>
    </row>
    <row r="2906" ht="16.5" spans="1:11">
      <c r="B2906" s="3" t="s">
        <v>3862</v>
      </c>
      <c r="C2906" s="3" t="s">
        <v>3309</v>
      </c>
      <c r="D2906" s="3" t="s">
        <v>10</v>
      </c>
      <c r="E2906" s="3" t="s">
        <v>10</v>
      </c>
      <c r="F2906" s="3"/>
      <c r="G2906" s="3">
        <v>211</v>
      </c>
      <c r="H2906" s="3" t="s">
        <v>5</v>
      </c>
      <c r="I2906" s="3"/>
      <c r="J2906" s="3" t="s">
        <v>11</v>
      </c>
      <c r="K2906" s="3" t="s">
        <v>12</v>
      </c>
    </row>
    <row r="2907" ht="16.5" spans="1:11">
      <c r="B2907" s="3" t="s">
        <v>3863</v>
      </c>
      <c r="C2907" s="3" t="s">
        <v>3309</v>
      </c>
      <c r="D2907" s="3" t="s">
        <v>628</v>
      </c>
      <c r="E2907" s="3" t="s">
        <v>1470</v>
      </c>
      <c r="F2907" s="3">
        <v>985</v>
      </c>
      <c r="G2907" s="3">
        <v>211</v>
      </c>
      <c r="H2907" s="3" t="s">
        <v>5</v>
      </c>
      <c r="I2907" s="3"/>
      <c r="J2907" s="3" t="s">
        <v>11</v>
      </c>
      <c r="K2907" s="3" t="s">
        <v>12</v>
      </c>
    </row>
    <row r="2908" ht="16.5" spans="1:11">
      <c r="B2908" s="3" t="s">
        <v>3864</v>
      </c>
      <c r="C2908" s="3" t="s">
        <v>3309</v>
      </c>
      <c r="D2908" s="3" t="s">
        <v>10</v>
      </c>
      <c r="E2908" s="3" t="s">
        <v>10</v>
      </c>
      <c r="F2908" s="3"/>
      <c r="G2908" s="3">
        <v>211</v>
      </c>
      <c r="H2908" s="3" t="s">
        <v>5</v>
      </c>
      <c r="I2908" s="3"/>
      <c r="J2908" s="3" t="s">
        <v>11</v>
      </c>
      <c r="K2908" s="3" t="s">
        <v>12</v>
      </c>
    </row>
    <row r="2909" ht="16.5" spans="1:11">
      <c r="B2909" s="26" t="s">
        <v>3865</v>
      </c>
      <c r="C2909" s="3" t="s">
        <v>3311</v>
      </c>
      <c r="D2909" s="3" t="s">
        <v>628</v>
      </c>
      <c r="E2909" s="3" t="s">
        <v>1470</v>
      </c>
      <c r="F2909" s="3">
        <v>985</v>
      </c>
      <c r="G2909" s="3">
        <v>211</v>
      </c>
      <c r="H2909" s="3" t="s">
        <v>5</v>
      </c>
      <c r="I2909" s="3"/>
      <c r="J2909" s="3" t="s">
        <v>11</v>
      </c>
      <c r="K2909" s="3" t="s">
        <v>12</v>
      </c>
    </row>
    <row r="2910" ht="16.5" spans="1:11">
      <c r="B2910" s="3" t="s">
        <v>3866</v>
      </c>
      <c r="C2910" s="3" t="s">
        <v>3311</v>
      </c>
      <c r="D2910" s="3" t="s">
        <v>448</v>
      </c>
      <c r="E2910" s="3" t="s">
        <v>382</v>
      </c>
      <c r="F2910" s="3">
        <v>985</v>
      </c>
      <c r="G2910" s="3">
        <v>211</v>
      </c>
      <c r="H2910" s="3" t="s">
        <v>5</v>
      </c>
      <c r="I2910" s="3"/>
      <c r="J2910" s="3" t="s">
        <v>11</v>
      </c>
      <c r="K2910" s="3" t="s">
        <v>12</v>
      </c>
    </row>
    <row r="2911" ht="16.5" spans="1:11">
      <c r="B2911" s="3" t="s">
        <v>3867</v>
      </c>
      <c r="C2911" s="3" t="s">
        <v>3309</v>
      </c>
      <c r="D2911" s="3" t="s">
        <v>10</v>
      </c>
      <c r="E2911" s="3" t="s">
        <v>10</v>
      </c>
      <c r="F2911" s="3">
        <v>985</v>
      </c>
      <c r="G2911" s="3">
        <v>211</v>
      </c>
      <c r="H2911" s="3" t="s">
        <v>5</v>
      </c>
      <c r="I2911" s="3"/>
      <c r="J2911" s="3" t="s">
        <v>11</v>
      </c>
      <c r="K2911" s="3" t="s">
        <v>12</v>
      </c>
    </row>
    <row r="2912" ht="16.5" spans="1:11">
      <c r="B2912" s="3" t="s">
        <v>3868</v>
      </c>
      <c r="C2912" s="3" t="s">
        <v>3309</v>
      </c>
      <c r="D2912" s="3" t="s">
        <v>10</v>
      </c>
      <c r="E2912" s="3" t="s">
        <v>10</v>
      </c>
      <c r="F2912" s="3">
        <v>985</v>
      </c>
      <c r="G2912" s="3">
        <v>211</v>
      </c>
      <c r="H2912" s="3" t="s">
        <v>5</v>
      </c>
      <c r="I2912" s="3"/>
      <c r="J2912" s="3" t="s">
        <v>11</v>
      </c>
      <c r="K2912" s="3" t="s">
        <v>12</v>
      </c>
    </row>
    <row r="2913" ht="16.5" spans="2:11">
      <c r="B2913" s="3" t="s">
        <v>3869</v>
      </c>
      <c r="C2913" s="3" t="s">
        <v>3309</v>
      </c>
      <c r="D2913" s="3" t="s">
        <v>746</v>
      </c>
      <c r="E2913" s="3" t="s">
        <v>747</v>
      </c>
      <c r="F2913" s="3"/>
      <c r="G2913" s="3">
        <v>211</v>
      </c>
      <c r="H2913" s="3" t="s">
        <v>5</v>
      </c>
      <c r="I2913" s="3"/>
      <c r="J2913" s="3" t="s">
        <v>11</v>
      </c>
      <c r="K2913" s="3" t="s">
        <v>12</v>
      </c>
    </row>
    <row r="2914" ht="16.5" spans="2:11">
      <c r="B2914" s="3" t="s">
        <v>3870</v>
      </c>
      <c r="C2914" s="3" t="s">
        <v>3309</v>
      </c>
      <c r="D2914" s="3" t="s">
        <v>502</v>
      </c>
      <c r="E2914" s="3" t="s">
        <v>503</v>
      </c>
      <c r="F2914" s="3"/>
      <c r="G2914" s="3">
        <v>211</v>
      </c>
      <c r="H2914" s="3" t="s">
        <v>5</v>
      </c>
      <c r="I2914" s="3"/>
      <c r="J2914" s="3" t="s">
        <v>11</v>
      </c>
      <c r="K2914" s="3" t="s">
        <v>12</v>
      </c>
    </row>
    <row r="2915" ht="16.5" spans="2:11">
      <c r="B2915" s="3" t="s">
        <v>3871</v>
      </c>
      <c r="C2915" s="3" t="s">
        <v>3309</v>
      </c>
      <c r="D2915" s="3" t="s">
        <v>628</v>
      </c>
      <c r="E2915" s="3" t="s">
        <v>631</v>
      </c>
      <c r="F2915" s="3"/>
      <c r="G2915" s="3">
        <v>211</v>
      </c>
      <c r="H2915" s="3" t="s">
        <v>5</v>
      </c>
      <c r="I2915" s="3"/>
      <c r="J2915" s="3" t="s">
        <v>11</v>
      </c>
      <c r="K2915" s="3" t="s">
        <v>12</v>
      </c>
    </row>
    <row r="2916" ht="16.5" spans="2:11">
      <c r="B2916" s="3" t="s">
        <v>3872</v>
      </c>
      <c r="C2916" s="3" t="s">
        <v>3309</v>
      </c>
      <c r="D2916" s="3" t="s">
        <v>3873</v>
      </c>
      <c r="E2916" s="3" t="s">
        <v>3874</v>
      </c>
      <c r="F2916" s="3">
        <v>985</v>
      </c>
      <c r="G2916" s="3">
        <v>211</v>
      </c>
      <c r="H2916" s="3" t="s">
        <v>5</v>
      </c>
      <c r="I2916" s="3"/>
      <c r="J2916" s="3" t="s">
        <v>11</v>
      </c>
      <c r="K2916" s="3" t="s">
        <v>12</v>
      </c>
    </row>
    <row r="2917" ht="16.5" spans="2:11">
      <c r="B2917" s="3" t="s">
        <v>3875</v>
      </c>
      <c r="C2917" s="3" t="s">
        <v>3309</v>
      </c>
      <c r="D2917" s="3" t="s">
        <v>10</v>
      </c>
      <c r="E2917" s="3" t="s">
        <v>10</v>
      </c>
      <c r="F2917" s="3"/>
      <c r="G2917" s="3">
        <v>211</v>
      </c>
      <c r="H2917" s="3" t="s">
        <v>5</v>
      </c>
      <c r="I2917" s="3"/>
      <c r="J2917" s="3" t="s">
        <v>11</v>
      </c>
      <c r="K2917" s="3" t="s">
        <v>12</v>
      </c>
    </row>
    <row r="2918" ht="16.5" spans="2:11">
      <c r="B2918" s="3" t="s">
        <v>3876</v>
      </c>
      <c r="C2918" s="3" t="s">
        <v>3309</v>
      </c>
      <c r="D2918" s="3" t="s">
        <v>220</v>
      </c>
      <c r="E2918" s="3" t="s">
        <v>1864</v>
      </c>
      <c r="F2918" s="3">
        <v>985</v>
      </c>
      <c r="G2918" s="3">
        <v>211</v>
      </c>
      <c r="H2918" s="3" t="s">
        <v>5</v>
      </c>
      <c r="I2918" s="3"/>
      <c r="J2918" s="3" t="s">
        <v>11</v>
      </c>
      <c r="K2918" s="3" t="s">
        <v>12</v>
      </c>
    </row>
    <row r="2919" ht="16.5" spans="2:11">
      <c r="B2919" s="3" t="s">
        <v>3877</v>
      </c>
      <c r="C2919" s="3" t="s">
        <v>3309</v>
      </c>
      <c r="D2919" s="3" t="s">
        <v>628</v>
      </c>
      <c r="E2919" s="3" t="s">
        <v>1470</v>
      </c>
      <c r="F2919" s="3"/>
      <c r="G2919" s="3">
        <v>211</v>
      </c>
      <c r="H2919" s="3" t="s">
        <v>5</v>
      </c>
      <c r="I2919" s="3"/>
      <c r="J2919" s="3" t="s">
        <v>11</v>
      </c>
      <c r="K2919" s="3" t="s">
        <v>12</v>
      </c>
    </row>
    <row r="2920" ht="16.5" spans="2:11">
      <c r="B2920" s="3" t="s">
        <v>3878</v>
      </c>
      <c r="C2920" s="3" t="s">
        <v>3309</v>
      </c>
      <c r="D2920" s="3" t="s">
        <v>1206</v>
      </c>
      <c r="E2920" s="3" t="s">
        <v>1228</v>
      </c>
      <c r="F2920" s="3"/>
      <c r="G2920" s="3">
        <v>211</v>
      </c>
      <c r="H2920" s="3" t="s">
        <v>5</v>
      </c>
      <c r="I2920" s="3"/>
      <c r="J2920" s="3" t="s">
        <v>11</v>
      </c>
      <c r="K2920" s="3" t="s">
        <v>12</v>
      </c>
    </row>
    <row r="2921" ht="16.5" spans="2:11">
      <c r="B2921" s="3" t="s">
        <v>3879</v>
      </c>
      <c r="C2921" s="3" t="s">
        <v>3880</v>
      </c>
      <c r="D2921" s="3" t="s">
        <v>347</v>
      </c>
      <c r="E2921" s="3" t="s">
        <v>347</v>
      </c>
      <c r="F2921" s="3"/>
      <c r="G2921" s="3">
        <v>211</v>
      </c>
      <c r="H2921" s="3" t="s">
        <v>5</v>
      </c>
      <c r="I2921" s="3"/>
      <c r="J2921" s="3" t="s">
        <v>11</v>
      </c>
      <c r="K2921" s="3" t="s">
        <v>12</v>
      </c>
    </row>
  </sheetData>
  <autoFilter xmlns:etc="http://www.wps.cn/officeDocument/2017/etCustomData" ref="A1:K2921" etc:filterBottomFollowUsedRange="0">
    <extLst/>
  </autoFilter>
  <hyperlinks>
    <hyperlink ref="D64" r:id="rId1" display="天津" tooltip="https://www.dxsbb.com/news/list_120.html"/>
    <hyperlink ref="A212" r:id="rId2" display="211" tooltip="https://www.dxsbb.com/news/list_194.html"/>
    <hyperlink ref="D263" r:id="rId3" display="上海" tooltip="https://www.dxsbb.com/news/list_116.html"/>
    <hyperlink ref="D294" r:id="rId4" display="江苏" tooltip="https://www.dxsbb.com/news/list_99.html"/>
    <hyperlink ref="D415" r:id="rId5" display="福建" tooltip="https://www.dxsbb.com/news/list_112.html"/>
    <hyperlink ref="D438" r:id="rId6" display="江西" tooltip="https://www.dxsbb.com/news/list_111.html"/>
    <hyperlink ref="D512" r:id="rId7" display="河南" tooltip="https://www.dxsbb.com/news/list_102.html"/>
    <hyperlink ref="D550" r:id="rId8" display="湖北" tooltip="https://www.dxsbb.com/news/list_103.html"/>
    <hyperlink ref="D586" r:id="rId9" display="湖南" tooltip="https://www.dxsbb.com/news/list_104.html"/>
    <hyperlink ref="D619" r:id="rId10" display="广东" tooltip="https://www.dxsbb.com/news/list_101.html"/>
    <hyperlink ref="D797" r:id="rId11" display="陕西" tooltip="https://www.dxsbb.com/news/list_108.html"/>
    <hyperlink ref="D832" r:id="rId12" display="甘肃" tooltip="https://www.dxsbb.com/news/list_123.html"/>
    <hyperlink ref="A986" r:id="rId13" display="985" tooltip="https://www.dxsbb.com/news/list_195.html"/>
    <hyperlink ref="D2157" r:id="rId4" display="江苏" tooltip="https://www.dxsbb.com/news/list_99.html"/>
    <hyperlink ref="D2218" r:id="rId5" display="福建" tooltip="https://www.dxsbb.com/news/list_112.html"/>
    <hyperlink ref="D2252" r:id="rId14" display="山东" tooltip="https://www.dxsbb.com/news/list_100.html"/>
    <hyperlink ref="A2266" r:id="rId2" display="2265" tooltip="https://www.dxsbb.com/news/list_194.html"/>
    <hyperlink ref="D2277" r:id="rId7" display="河南" tooltip="https://www.dxsbb.com/news/list_102.html"/>
    <hyperlink ref="D2297" r:id="rId8" display="湖北" tooltip="https://www.dxsbb.com/news/list_103.html"/>
    <hyperlink ref="D2329" r:id="rId9" display="湖南" tooltip="https://www.dxsbb.com/news/list_104.html"/>
    <hyperlink ref="D2373" r:id="rId15" display="广西" tooltip="https://www.dxsbb.com/news/list_115.html"/>
    <hyperlink ref="D2385" r:id="rId16" display="海南" tooltip="https://www.dxsbb.com/news/list_125.html"/>
    <hyperlink ref="D2397" r:id="rId17" display="四川" tooltip="https://www.dxsbb.com/news/list_109.html"/>
    <hyperlink ref="D2432" r:id="rId11" display="陕西" tooltip="https://www.dxsbb.com/news/list_108.html"/>
    <hyperlink ref="D2455" r:id="rId12" display="甘肃" tooltip="https://www.dxsbb.com/news/list_123.html"/>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18"/>
  <sheetViews>
    <sheetView topLeftCell="A2886" workbookViewId="0">
      <selection activeCell="A2" sqref="A2:F2918"/>
    </sheetView>
  </sheetViews>
  <sheetFormatPr defaultColWidth="9" defaultRowHeight="13.5" outlineLevelCol="5"/>
  <cols>
    <col min="1" max="1" width="9.00833333333333" customWidth="1"/>
    <col min="2" max="2" width="33.3416666666667" customWidth="1"/>
    <col min="3" max="3" width="10.0083333333333" customWidth="1"/>
    <col min="4" max="4" width="11.675" customWidth="1"/>
    <col min="5" max="5" width="8.675" customWidth="1"/>
    <col min="6" max="6" width="50.625" customWidth="1"/>
  </cols>
  <sheetData>
    <row r="1" ht="22.5" customHeight="1" spans="1:6">
      <c r="A1" s="21" t="s">
        <v>0</v>
      </c>
      <c r="B1" s="21" t="s">
        <v>1</v>
      </c>
      <c r="C1" s="21" t="s">
        <v>3</v>
      </c>
      <c r="D1" s="21" t="s">
        <v>4</v>
      </c>
      <c r="E1" s="21" t="s">
        <v>7</v>
      </c>
      <c r="F1" s="21" t="s">
        <v>3308</v>
      </c>
    </row>
    <row r="2" ht="22.5" customHeight="1" spans="1:6">
      <c r="A2" s="22">
        <v>1</v>
      </c>
      <c r="B2" s="22" t="s">
        <v>9</v>
      </c>
      <c r="C2" s="22" t="s">
        <v>10</v>
      </c>
      <c r="D2" s="22" t="s">
        <v>10</v>
      </c>
      <c r="E2" s="22" t="s">
        <v>11</v>
      </c>
      <c r="F2" s="24" t="s">
        <v>12</v>
      </c>
    </row>
    <row r="3" ht="22.5" customHeight="1" spans="1:6">
      <c r="A3" s="23">
        <v>2</v>
      </c>
      <c r="B3" s="23" t="s">
        <v>13</v>
      </c>
      <c r="C3" s="23" t="s">
        <v>10</v>
      </c>
      <c r="D3" s="23" t="s">
        <v>10</v>
      </c>
      <c r="E3" s="23" t="s">
        <v>11</v>
      </c>
      <c r="F3" s="25" t="s">
        <v>12</v>
      </c>
    </row>
    <row r="4" ht="22.5" customHeight="1" spans="1:6">
      <c r="A4" s="22">
        <v>3</v>
      </c>
      <c r="B4" s="22" t="s">
        <v>14</v>
      </c>
      <c r="C4" s="22" t="s">
        <v>10</v>
      </c>
      <c r="D4" s="22" t="s">
        <v>10</v>
      </c>
      <c r="E4" s="22" t="s">
        <v>11</v>
      </c>
      <c r="F4" s="24" t="s">
        <v>12</v>
      </c>
    </row>
    <row r="5" ht="22.5" customHeight="1" spans="1:6">
      <c r="A5" s="23">
        <v>4</v>
      </c>
      <c r="B5" s="23" t="s">
        <v>15</v>
      </c>
      <c r="C5" s="23" t="s">
        <v>10</v>
      </c>
      <c r="D5" s="23" t="s">
        <v>10</v>
      </c>
      <c r="E5" s="23" t="s">
        <v>11</v>
      </c>
      <c r="F5" s="25" t="s">
        <v>12</v>
      </c>
    </row>
    <row r="6" ht="22.5" customHeight="1" spans="1:6">
      <c r="A6" s="22">
        <v>5</v>
      </c>
      <c r="B6" s="22" t="s">
        <v>16</v>
      </c>
      <c r="C6" s="22" t="s">
        <v>10</v>
      </c>
      <c r="D6" s="22" t="s">
        <v>10</v>
      </c>
      <c r="E6" s="22" t="s">
        <v>11</v>
      </c>
      <c r="F6" s="24" t="s">
        <v>12</v>
      </c>
    </row>
    <row r="7" ht="22.5" customHeight="1" spans="1:6">
      <c r="A7" s="23">
        <v>6</v>
      </c>
      <c r="B7" s="23" t="s">
        <v>17</v>
      </c>
      <c r="C7" s="23" t="s">
        <v>10</v>
      </c>
      <c r="D7" s="23" t="s">
        <v>10</v>
      </c>
      <c r="E7" s="23" t="s">
        <v>11</v>
      </c>
      <c r="F7" s="25" t="s">
        <v>12</v>
      </c>
    </row>
    <row r="8" ht="22.5" customHeight="1" spans="1:6">
      <c r="A8" s="22">
        <v>7</v>
      </c>
      <c r="B8" s="22" t="s">
        <v>18</v>
      </c>
      <c r="C8" s="22" t="s">
        <v>10</v>
      </c>
      <c r="D8" s="22" t="s">
        <v>10</v>
      </c>
      <c r="E8" s="22" t="s">
        <v>11</v>
      </c>
      <c r="F8" s="24" t="s">
        <v>12</v>
      </c>
    </row>
    <row r="9" ht="22.5" customHeight="1" spans="1:6">
      <c r="A9" s="23">
        <v>8</v>
      </c>
      <c r="B9" s="23" t="s">
        <v>19</v>
      </c>
      <c r="C9" s="23" t="s">
        <v>10</v>
      </c>
      <c r="D9" s="23" t="s">
        <v>10</v>
      </c>
      <c r="E9" s="23" t="s">
        <v>11</v>
      </c>
      <c r="F9" s="25" t="s">
        <v>12</v>
      </c>
    </row>
    <row r="10" ht="22.5" customHeight="1" spans="1:6">
      <c r="A10" s="22">
        <v>9</v>
      </c>
      <c r="B10" s="22" t="s">
        <v>20</v>
      </c>
      <c r="C10" s="22" t="s">
        <v>10</v>
      </c>
      <c r="D10" s="22" t="s">
        <v>10</v>
      </c>
      <c r="E10" s="22" t="s">
        <v>11</v>
      </c>
      <c r="F10" s="24" t="s">
        <v>12</v>
      </c>
    </row>
    <row r="11" ht="22.5" customHeight="1" spans="1:6">
      <c r="A11" s="23">
        <v>10</v>
      </c>
      <c r="B11" s="23" t="s">
        <v>21</v>
      </c>
      <c r="C11" s="23" t="s">
        <v>10</v>
      </c>
      <c r="D11" s="23" t="s">
        <v>10</v>
      </c>
      <c r="E11" s="23" t="s">
        <v>11</v>
      </c>
      <c r="F11" s="25" t="s">
        <v>12</v>
      </c>
    </row>
    <row r="12" ht="22.5" customHeight="1" spans="1:6">
      <c r="A12" s="22">
        <v>11</v>
      </c>
      <c r="B12" s="22" t="s">
        <v>22</v>
      </c>
      <c r="C12" s="22" t="s">
        <v>10</v>
      </c>
      <c r="D12" s="22" t="s">
        <v>10</v>
      </c>
      <c r="E12" s="22" t="s">
        <v>11</v>
      </c>
      <c r="F12" s="24" t="s">
        <v>12</v>
      </c>
    </row>
    <row r="13" ht="22.5" customHeight="1" spans="1:6">
      <c r="A13" s="23">
        <v>12</v>
      </c>
      <c r="B13" s="23" t="s">
        <v>23</v>
      </c>
      <c r="C13" s="23" t="s">
        <v>10</v>
      </c>
      <c r="D13" s="23" t="s">
        <v>10</v>
      </c>
      <c r="E13" s="23" t="s">
        <v>11</v>
      </c>
      <c r="F13" s="25" t="s">
        <v>12</v>
      </c>
    </row>
    <row r="14" ht="22.5" customHeight="1" spans="1:6">
      <c r="A14" s="22">
        <v>13</v>
      </c>
      <c r="B14" s="22" t="s">
        <v>24</v>
      </c>
      <c r="C14" s="22" t="s">
        <v>10</v>
      </c>
      <c r="D14" s="22" t="s">
        <v>10</v>
      </c>
      <c r="E14" s="22" t="s">
        <v>11</v>
      </c>
      <c r="F14" s="24" t="s">
        <v>12</v>
      </c>
    </row>
    <row r="15" ht="22.5" customHeight="1" spans="1:6">
      <c r="A15" s="23">
        <v>14</v>
      </c>
      <c r="B15" s="23" t="s">
        <v>25</v>
      </c>
      <c r="C15" s="23" t="s">
        <v>10</v>
      </c>
      <c r="D15" s="23" t="s">
        <v>10</v>
      </c>
      <c r="E15" s="23" t="s">
        <v>11</v>
      </c>
      <c r="F15" s="25" t="s">
        <v>12</v>
      </c>
    </row>
    <row r="16" ht="22.5" customHeight="1" spans="1:6">
      <c r="A16" s="22">
        <v>15</v>
      </c>
      <c r="B16" s="22" t="s">
        <v>26</v>
      </c>
      <c r="C16" s="22" t="s">
        <v>10</v>
      </c>
      <c r="D16" s="22" t="s">
        <v>10</v>
      </c>
      <c r="E16" s="22" t="s">
        <v>11</v>
      </c>
      <c r="F16" s="24" t="s">
        <v>12</v>
      </c>
    </row>
    <row r="17" ht="22.5" customHeight="1" spans="1:6">
      <c r="A17" s="23">
        <v>16</v>
      </c>
      <c r="B17" s="23" t="s">
        <v>27</v>
      </c>
      <c r="C17" s="23" t="s">
        <v>10</v>
      </c>
      <c r="D17" s="23" t="s">
        <v>10</v>
      </c>
      <c r="E17" s="23" t="s">
        <v>11</v>
      </c>
      <c r="F17" s="25" t="s">
        <v>12</v>
      </c>
    </row>
    <row r="18" ht="22.5" customHeight="1" spans="1:6">
      <c r="A18" s="22">
        <v>17</v>
      </c>
      <c r="B18" s="22" t="s">
        <v>28</v>
      </c>
      <c r="C18" s="22" t="s">
        <v>10</v>
      </c>
      <c r="D18" s="22" t="s">
        <v>10</v>
      </c>
      <c r="E18" s="22" t="s">
        <v>11</v>
      </c>
      <c r="F18" s="24" t="s">
        <v>12</v>
      </c>
    </row>
    <row r="19" ht="22.5" customHeight="1" spans="1:6">
      <c r="A19" s="23">
        <v>18</v>
      </c>
      <c r="B19" s="23" t="s">
        <v>29</v>
      </c>
      <c r="C19" s="23" t="s">
        <v>10</v>
      </c>
      <c r="D19" s="23" t="s">
        <v>10</v>
      </c>
      <c r="E19" s="23" t="s">
        <v>11</v>
      </c>
      <c r="F19" s="25" t="s">
        <v>12</v>
      </c>
    </row>
    <row r="20" ht="22.5" customHeight="1" spans="1:6">
      <c r="A20" s="22">
        <v>19</v>
      </c>
      <c r="B20" s="22" t="s">
        <v>30</v>
      </c>
      <c r="C20" s="22" t="s">
        <v>10</v>
      </c>
      <c r="D20" s="22" t="s">
        <v>10</v>
      </c>
      <c r="E20" s="22" t="s">
        <v>11</v>
      </c>
      <c r="F20" s="24" t="s">
        <v>12</v>
      </c>
    </row>
    <row r="21" ht="22.5" customHeight="1" spans="1:6">
      <c r="A21" s="23">
        <v>20</v>
      </c>
      <c r="B21" s="23" t="s">
        <v>31</v>
      </c>
      <c r="C21" s="23" t="s">
        <v>10</v>
      </c>
      <c r="D21" s="23" t="s">
        <v>10</v>
      </c>
      <c r="E21" s="23" t="s">
        <v>11</v>
      </c>
      <c r="F21" s="25" t="s">
        <v>12</v>
      </c>
    </row>
    <row r="22" ht="22.5" customHeight="1" spans="1:6">
      <c r="A22" s="22">
        <v>21</v>
      </c>
      <c r="B22" s="22" t="s">
        <v>32</v>
      </c>
      <c r="C22" s="22" t="s">
        <v>10</v>
      </c>
      <c r="D22" s="22" t="s">
        <v>10</v>
      </c>
      <c r="E22" s="22" t="s">
        <v>11</v>
      </c>
      <c r="F22" s="24" t="s">
        <v>12</v>
      </c>
    </row>
    <row r="23" ht="22.5" customHeight="1" spans="1:6">
      <c r="A23" s="23">
        <v>22</v>
      </c>
      <c r="B23" s="23" t="s">
        <v>33</v>
      </c>
      <c r="C23" s="23" t="s">
        <v>10</v>
      </c>
      <c r="D23" s="23" t="s">
        <v>10</v>
      </c>
      <c r="E23" s="23" t="s">
        <v>11</v>
      </c>
      <c r="F23" s="25" t="s">
        <v>12</v>
      </c>
    </row>
    <row r="24" ht="22.5" customHeight="1" spans="1:6">
      <c r="A24" s="22">
        <v>23</v>
      </c>
      <c r="B24" s="22" t="s">
        <v>34</v>
      </c>
      <c r="C24" s="22" t="s">
        <v>10</v>
      </c>
      <c r="D24" s="22" t="s">
        <v>10</v>
      </c>
      <c r="E24" s="22" t="s">
        <v>11</v>
      </c>
      <c r="F24" s="24" t="s">
        <v>12</v>
      </c>
    </row>
    <row r="25" ht="22.5" customHeight="1" spans="1:6">
      <c r="A25" s="23">
        <v>24</v>
      </c>
      <c r="B25" s="23" t="s">
        <v>35</v>
      </c>
      <c r="C25" s="23" t="s">
        <v>10</v>
      </c>
      <c r="D25" s="23" t="s">
        <v>10</v>
      </c>
      <c r="E25" s="23" t="s">
        <v>11</v>
      </c>
      <c r="F25" s="25" t="s">
        <v>12</v>
      </c>
    </row>
    <row r="26" ht="22.5" customHeight="1" spans="1:6">
      <c r="A26" s="22">
        <v>25</v>
      </c>
      <c r="B26" s="22" t="s">
        <v>36</v>
      </c>
      <c r="C26" s="22" t="s">
        <v>10</v>
      </c>
      <c r="D26" s="22" t="s">
        <v>10</v>
      </c>
      <c r="E26" s="22" t="s">
        <v>11</v>
      </c>
      <c r="F26" s="24" t="s">
        <v>12</v>
      </c>
    </row>
    <row r="27" ht="22.5" customHeight="1" spans="1:6">
      <c r="A27" s="23">
        <v>26</v>
      </c>
      <c r="B27" s="23" t="s">
        <v>37</v>
      </c>
      <c r="C27" s="23" t="s">
        <v>10</v>
      </c>
      <c r="D27" s="23" t="s">
        <v>10</v>
      </c>
      <c r="E27" s="23" t="s">
        <v>11</v>
      </c>
      <c r="F27" s="25" t="s">
        <v>12</v>
      </c>
    </row>
    <row r="28" ht="22.5" customHeight="1" spans="1:6">
      <c r="A28" s="22">
        <v>27</v>
      </c>
      <c r="B28" s="22" t="s">
        <v>38</v>
      </c>
      <c r="C28" s="22" t="s">
        <v>10</v>
      </c>
      <c r="D28" s="22" t="s">
        <v>10</v>
      </c>
      <c r="E28" s="22" t="s">
        <v>11</v>
      </c>
      <c r="F28" s="24" t="s">
        <v>12</v>
      </c>
    </row>
    <row r="29" ht="22.5" customHeight="1" spans="1:6">
      <c r="A29" s="23">
        <v>28</v>
      </c>
      <c r="B29" s="23" t="s">
        <v>39</v>
      </c>
      <c r="C29" s="23" t="s">
        <v>10</v>
      </c>
      <c r="D29" s="23" t="s">
        <v>10</v>
      </c>
      <c r="E29" s="23" t="s">
        <v>11</v>
      </c>
      <c r="F29" s="25" t="s">
        <v>12</v>
      </c>
    </row>
    <row r="30" ht="22.5" customHeight="1" spans="1:6">
      <c r="A30" s="22">
        <v>29</v>
      </c>
      <c r="B30" s="22" t="s">
        <v>40</v>
      </c>
      <c r="C30" s="22" t="s">
        <v>10</v>
      </c>
      <c r="D30" s="22" t="s">
        <v>10</v>
      </c>
      <c r="E30" s="22" t="s">
        <v>11</v>
      </c>
      <c r="F30" s="24" t="s">
        <v>12</v>
      </c>
    </row>
    <row r="31" ht="22.5" customHeight="1" spans="1:6">
      <c r="A31" s="23">
        <v>30</v>
      </c>
      <c r="B31" s="23" t="s">
        <v>41</v>
      </c>
      <c r="C31" s="23" t="s">
        <v>10</v>
      </c>
      <c r="D31" s="23" t="s">
        <v>10</v>
      </c>
      <c r="E31" s="23" t="s">
        <v>11</v>
      </c>
      <c r="F31" s="25" t="s">
        <v>12</v>
      </c>
    </row>
    <row r="32" ht="22.5" customHeight="1" spans="1:6">
      <c r="A32" s="22">
        <v>31</v>
      </c>
      <c r="B32" s="22" t="s">
        <v>42</v>
      </c>
      <c r="C32" s="22" t="s">
        <v>10</v>
      </c>
      <c r="D32" s="22" t="s">
        <v>10</v>
      </c>
      <c r="E32" s="22" t="s">
        <v>11</v>
      </c>
      <c r="F32" s="24" t="s">
        <v>12</v>
      </c>
    </row>
    <row r="33" ht="22.5" customHeight="1" spans="1:6">
      <c r="A33" s="23">
        <v>32</v>
      </c>
      <c r="B33" s="23" t="s">
        <v>43</v>
      </c>
      <c r="C33" s="23" t="s">
        <v>10</v>
      </c>
      <c r="D33" s="23" t="s">
        <v>10</v>
      </c>
      <c r="E33" s="23" t="s">
        <v>11</v>
      </c>
      <c r="F33" s="25" t="s">
        <v>12</v>
      </c>
    </row>
    <row r="34" ht="22.5" customHeight="1" spans="1:6">
      <c r="A34" s="22">
        <v>33</v>
      </c>
      <c r="B34" s="22" t="s">
        <v>44</v>
      </c>
      <c r="C34" s="22" t="s">
        <v>10</v>
      </c>
      <c r="D34" s="22" t="s">
        <v>10</v>
      </c>
      <c r="E34" s="22" t="s">
        <v>11</v>
      </c>
      <c r="F34" s="24" t="s">
        <v>12</v>
      </c>
    </row>
    <row r="35" ht="22.5" customHeight="1" spans="1:6">
      <c r="A35" s="23">
        <v>34</v>
      </c>
      <c r="B35" s="23" t="s">
        <v>45</v>
      </c>
      <c r="C35" s="23" t="s">
        <v>10</v>
      </c>
      <c r="D35" s="23" t="s">
        <v>10</v>
      </c>
      <c r="E35" s="23" t="s">
        <v>11</v>
      </c>
      <c r="F35" s="25" t="s">
        <v>12</v>
      </c>
    </row>
    <row r="36" ht="22.5" customHeight="1" spans="1:6">
      <c r="A36" s="22">
        <v>35</v>
      </c>
      <c r="B36" s="22" t="s">
        <v>46</v>
      </c>
      <c r="C36" s="22" t="s">
        <v>10</v>
      </c>
      <c r="D36" s="22" t="s">
        <v>10</v>
      </c>
      <c r="E36" s="22" t="s">
        <v>11</v>
      </c>
      <c r="F36" s="24" t="s">
        <v>12</v>
      </c>
    </row>
    <row r="37" ht="22.5" customHeight="1" spans="1:6">
      <c r="A37" s="23">
        <v>36</v>
      </c>
      <c r="B37" s="23" t="s">
        <v>47</v>
      </c>
      <c r="C37" s="23" t="s">
        <v>10</v>
      </c>
      <c r="D37" s="23" t="s">
        <v>10</v>
      </c>
      <c r="E37" s="23" t="s">
        <v>11</v>
      </c>
      <c r="F37" s="25" t="s">
        <v>12</v>
      </c>
    </row>
    <row r="38" ht="22.5" customHeight="1" spans="1:6">
      <c r="A38" s="22">
        <v>37</v>
      </c>
      <c r="B38" s="22" t="s">
        <v>48</v>
      </c>
      <c r="C38" s="22" t="s">
        <v>10</v>
      </c>
      <c r="D38" s="22" t="s">
        <v>10</v>
      </c>
      <c r="E38" s="22" t="s">
        <v>11</v>
      </c>
      <c r="F38" s="24" t="s">
        <v>12</v>
      </c>
    </row>
    <row r="39" ht="22.5" customHeight="1" spans="1:6">
      <c r="A39" s="23">
        <v>38</v>
      </c>
      <c r="B39" s="23" t="s">
        <v>49</v>
      </c>
      <c r="C39" s="23" t="s">
        <v>10</v>
      </c>
      <c r="D39" s="23" t="s">
        <v>10</v>
      </c>
      <c r="E39" s="23" t="s">
        <v>11</v>
      </c>
      <c r="F39" s="25" t="s">
        <v>12</v>
      </c>
    </row>
    <row r="40" ht="22.5" customHeight="1" spans="1:6">
      <c r="A40" s="22">
        <v>39</v>
      </c>
      <c r="B40" s="22" t="s">
        <v>50</v>
      </c>
      <c r="C40" s="22" t="s">
        <v>10</v>
      </c>
      <c r="D40" s="22" t="s">
        <v>10</v>
      </c>
      <c r="E40" s="22" t="s">
        <v>11</v>
      </c>
      <c r="F40" s="24" t="s">
        <v>12</v>
      </c>
    </row>
    <row r="41" ht="22.5" customHeight="1" spans="1:6">
      <c r="A41" s="23">
        <v>40</v>
      </c>
      <c r="B41" s="23" t="s">
        <v>51</v>
      </c>
      <c r="C41" s="23" t="s">
        <v>10</v>
      </c>
      <c r="D41" s="23" t="s">
        <v>10</v>
      </c>
      <c r="E41" s="23" t="s">
        <v>11</v>
      </c>
      <c r="F41" s="25" t="s">
        <v>12</v>
      </c>
    </row>
    <row r="42" ht="22.5" customHeight="1" spans="1:6">
      <c r="A42" s="22">
        <v>41</v>
      </c>
      <c r="B42" s="22" t="s">
        <v>52</v>
      </c>
      <c r="C42" s="22" t="s">
        <v>10</v>
      </c>
      <c r="D42" s="22" t="s">
        <v>10</v>
      </c>
      <c r="E42" s="22" t="s">
        <v>11</v>
      </c>
      <c r="F42" s="24" t="s">
        <v>12</v>
      </c>
    </row>
    <row r="43" ht="22.5" customHeight="1" spans="1:6">
      <c r="A43" s="23">
        <v>42</v>
      </c>
      <c r="B43" s="23" t="s">
        <v>53</v>
      </c>
      <c r="C43" s="23" t="s">
        <v>10</v>
      </c>
      <c r="D43" s="23" t="s">
        <v>10</v>
      </c>
      <c r="E43" s="23" t="s">
        <v>11</v>
      </c>
      <c r="F43" s="25" t="s">
        <v>12</v>
      </c>
    </row>
    <row r="44" ht="22.5" customHeight="1" spans="1:6">
      <c r="A44" s="22">
        <v>43</v>
      </c>
      <c r="B44" s="22" t="s">
        <v>54</v>
      </c>
      <c r="C44" s="22" t="s">
        <v>10</v>
      </c>
      <c r="D44" s="22" t="s">
        <v>10</v>
      </c>
      <c r="E44" s="22" t="s">
        <v>11</v>
      </c>
      <c r="F44" s="24" t="s">
        <v>12</v>
      </c>
    </row>
    <row r="45" ht="22.5" customHeight="1" spans="1:6">
      <c r="A45" s="23">
        <v>44</v>
      </c>
      <c r="B45" s="23" t="s">
        <v>55</v>
      </c>
      <c r="C45" s="23" t="s">
        <v>10</v>
      </c>
      <c r="D45" s="23" t="s">
        <v>10</v>
      </c>
      <c r="E45" s="23" t="s">
        <v>11</v>
      </c>
      <c r="F45" s="25" t="s">
        <v>12</v>
      </c>
    </row>
    <row r="46" ht="22.5" customHeight="1" spans="1:6">
      <c r="A46" s="22">
        <v>45</v>
      </c>
      <c r="B46" s="22" t="s">
        <v>56</v>
      </c>
      <c r="C46" s="22" t="s">
        <v>10</v>
      </c>
      <c r="D46" s="22" t="s">
        <v>10</v>
      </c>
      <c r="E46" s="22" t="s">
        <v>11</v>
      </c>
      <c r="F46" s="24" t="s">
        <v>12</v>
      </c>
    </row>
    <row r="47" ht="22.5" customHeight="1" spans="1:6">
      <c r="A47" s="23">
        <v>46</v>
      </c>
      <c r="B47" s="23" t="s">
        <v>57</v>
      </c>
      <c r="C47" s="23" t="s">
        <v>10</v>
      </c>
      <c r="D47" s="23" t="s">
        <v>10</v>
      </c>
      <c r="E47" s="23" t="s">
        <v>11</v>
      </c>
      <c r="F47" s="25" t="s">
        <v>12</v>
      </c>
    </row>
    <row r="48" ht="22.5" customHeight="1" spans="1:6">
      <c r="A48" s="22">
        <v>47</v>
      </c>
      <c r="B48" s="22" t="s">
        <v>58</v>
      </c>
      <c r="C48" s="22" t="s">
        <v>10</v>
      </c>
      <c r="D48" s="22" t="s">
        <v>10</v>
      </c>
      <c r="E48" s="22" t="s">
        <v>11</v>
      </c>
      <c r="F48" s="24" t="s">
        <v>12</v>
      </c>
    </row>
    <row r="49" ht="22.5" customHeight="1" spans="1:6">
      <c r="A49" s="23">
        <v>48</v>
      </c>
      <c r="B49" s="23" t="s">
        <v>59</v>
      </c>
      <c r="C49" s="23" t="s">
        <v>10</v>
      </c>
      <c r="D49" s="23" t="s">
        <v>10</v>
      </c>
      <c r="E49" s="23" t="s">
        <v>11</v>
      </c>
      <c r="F49" s="25" t="s">
        <v>12</v>
      </c>
    </row>
    <row r="50" ht="22.5" customHeight="1" spans="1:6">
      <c r="A50" s="22">
        <v>49</v>
      </c>
      <c r="B50" s="22" t="s">
        <v>60</v>
      </c>
      <c r="C50" s="22" t="s">
        <v>10</v>
      </c>
      <c r="D50" s="22" t="s">
        <v>10</v>
      </c>
      <c r="E50" s="22" t="s">
        <v>11</v>
      </c>
      <c r="F50" s="24" t="s">
        <v>12</v>
      </c>
    </row>
    <row r="51" ht="22.5" customHeight="1" spans="1:6">
      <c r="A51" s="23">
        <v>50</v>
      </c>
      <c r="B51" s="23" t="s">
        <v>61</v>
      </c>
      <c r="C51" s="23" t="s">
        <v>10</v>
      </c>
      <c r="D51" s="23" t="s">
        <v>10</v>
      </c>
      <c r="E51" s="23" t="s">
        <v>11</v>
      </c>
      <c r="F51" s="25" t="s">
        <v>12</v>
      </c>
    </row>
    <row r="52" ht="22.5" customHeight="1" spans="1:6">
      <c r="A52" s="22">
        <v>51</v>
      </c>
      <c r="B52" s="22" t="s">
        <v>62</v>
      </c>
      <c r="C52" s="22" t="s">
        <v>10</v>
      </c>
      <c r="D52" s="22" t="s">
        <v>10</v>
      </c>
      <c r="E52" s="22" t="s">
        <v>11</v>
      </c>
      <c r="F52" s="24" t="s">
        <v>12</v>
      </c>
    </row>
    <row r="53" ht="22.5" customHeight="1" spans="1:6">
      <c r="A53" s="23">
        <v>52</v>
      </c>
      <c r="B53" s="23" t="s">
        <v>63</v>
      </c>
      <c r="C53" s="23" t="s">
        <v>10</v>
      </c>
      <c r="D53" s="23" t="s">
        <v>10</v>
      </c>
      <c r="E53" s="23" t="s">
        <v>11</v>
      </c>
      <c r="F53" s="25" t="s">
        <v>12</v>
      </c>
    </row>
    <row r="54" ht="22.5" customHeight="1" spans="1:6">
      <c r="A54" s="22">
        <v>53</v>
      </c>
      <c r="B54" s="22" t="s">
        <v>64</v>
      </c>
      <c r="C54" s="22" t="s">
        <v>10</v>
      </c>
      <c r="D54" s="22" t="s">
        <v>10</v>
      </c>
      <c r="E54" s="22" t="s">
        <v>11</v>
      </c>
      <c r="F54" s="24" t="s">
        <v>12</v>
      </c>
    </row>
    <row r="55" ht="22.5" customHeight="1" spans="1:6">
      <c r="A55" s="23">
        <v>54</v>
      </c>
      <c r="B55" s="23" t="s">
        <v>65</v>
      </c>
      <c r="C55" s="23" t="s">
        <v>10</v>
      </c>
      <c r="D55" s="23" t="s">
        <v>10</v>
      </c>
      <c r="E55" s="23" t="s">
        <v>11</v>
      </c>
      <c r="F55" s="25" t="s">
        <v>12</v>
      </c>
    </row>
    <row r="56" ht="22.5" customHeight="1" spans="1:6">
      <c r="A56" s="22">
        <v>55</v>
      </c>
      <c r="B56" s="22" t="s">
        <v>66</v>
      </c>
      <c r="C56" s="22" t="s">
        <v>10</v>
      </c>
      <c r="D56" s="22" t="s">
        <v>10</v>
      </c>
      <c r="E56" s="22" t="s">
        <v>11</v>
      </c>
      <c r="F56" s="24" t="s">
        <v>12</v>
      </c>
    </row>
    <row r="57" ht="22.5" customHeight="1" spans="1:6">
      <c r="A57" s="23">
        <v>56</v>
      </c>
      <c r="B57" s="23" t="s">
        <v>67</v>
      </c>
      <c r="C57" s="23" t="s">
        <v>10</v>
      </c>
      <c r="D57" s="23" t="s">
        <v>10</v>
      </c>
      <c r="E57" s="23" t="s">
        <v>11</v>
      </c>
      <c r="F57" s="25" t="s">
        <v>12</v>
      </c>
    </row>
    <row r="58" ht="22.5" customHeight="1" spans="1:6">
      <c r="A58" s="22">
        <v>57</v>
      </c>
      <c r="B58" s="22" t="s">
        <v>68</v>
      </c>
      <c r="C58" s="22" t="s">
        <v>10</v>
      </c>
      <c r="D58" s="22" t="s">
        <v>10</v>
      </c>
      <c r="E58" s="22" t="s">
        <v>11</v>
      </c>
      <c r="F58" s="24" t="s">
        <v>12</v>
      </c>
    </row>
    <row r="59" ht="22.5" customHeight="1" spans="1:6">
      <c r="A59" s="23">
        <v>58</v>
      </c>
      <c r="B59" s="23" t="s">
        <v>69</v>
      </c>
      <c r="C59" s="23" t="s">
        <v>10</v>
      </c>
      <c r="D59" s="23" t="s">
        <v>10</v>
      </c>
      <c r="E59" s="23" t="s">
        <v>11</v>
      </c>
      <c r="F59" s="25" t="s">
        <v>12</v>
      </c>
    </row>
    <row r="60" ht="22.5" customHeight="1" spans="1:6">
      <c r="A60" s="22">
        <v>59</v>
      </c>
      <c r="B60" s="22" t="s">
        <v>70</v>
      </c>
      <c r="C60" s="22" t="s">
        <v>10</v>
      </c>
      <c r="D60" s="22" t="s">
        <v>10</v>
      </c>
      <c r="E60" s="22" t="s">
        <v>11</v>
      </c>
      <c r="F60" s="24" t="s">
        <v>12</v>
      </c>
    </row>
    <row r="61" ht="22.5" customHeight="1" spans="1:6">
      <c r="A61" s="23">
        <v>60</v>
      </c>
      <c r="B61" s="23" t="s">
        <v>71</v>
      </c>
      <c r="C61" s="23" t="s">
        <v>10</v>
      </c>
      <c r="D61" s="23" t="s">
        <v>10</v>
      </c>
      <c r="E61" s="23" t="s">
        <v>11</v>
      </c>
      <c r="F61" s="25" t="s">
        <v>12</v>
      </c>
    </row>
    <row r="62" ht="22.5" customHeight="1" spans="1:6">
      <c r="A62" s="22">
        <v>61</v>
      </c>
      <c r="B62" s="22" t="s">
        <v>72</v>
      </c>
      <c r="C62" s="22" t="s">
        <v>10</v>
      </c>
      <c r="D62" s="22" t="s">
        <v>10</v>
      </c>
      <c r="E62" s="22" t="s">
        <v>11</v>
      </c>
      <c r="F62" s="24" t="s">
        <v>12</v>
      </c>
    </row>
    <row r="63" ht="22.5" customHeight="1" spans="1:6">
      <c r="A63" s="23">
        <v>62</v>
      </c>
      <c r="B63" s="23" t="s">
        <v>73</v>
      </c>
      <c r="C63" s="23" t="s">
        <v>10</v>
      </c>
      <c r="D63" s="23" t="s">
        <v>10</v>
      </c>
      <c r="E63" s="23" t="s">
        <v>11</v>
      </c>
      <c r="F63" s="25" t="s">
        <v>12</v>
      </c>
    </row>
    <row r="64" ht="22.5" customHeight="1" spans="1:6">
      <c r="A64" s="22">
        <v>63</v>
      </c>
      <c r="B64" s="22" t="s">
        <v>74</v>
      </c>
      <c r="C64" s="22" t="s">
        <v>10</v>
      </c>
      <c r="D64" s="22" t="s">
        <v>10</v>
      </c>
      <c r="E64" s="22" t="s">
        <v>11</v>
      </c>
      <c r="F64" s="24" t="s">
        <v>12</v>
      </c>
    </row>
    <row r="65" ht="22.5" customHeight="1" spans="1:6">
      <c r="A65" s="23">
        <v>64</v>
      </c>
      <c r="B65" s="23" t="s">
        <v>75</v>
      </c>
      <c r="C65" s="23" t="s">
        <v>76</v>
      </c>
      <c r="D65" s="23" t="s">
        <v>76</v>
      </c>
      <c r="E65" s="23" t="s">
        <v>11</v>
      </c>
      <c r="F65" s="25" t="s">
        <v>12</v>
      </c>
    </row>
    <row r="66" ht="22.5" customHeight="1" spans="1:6">
      <c r="A66" s="22">
        <v>65</v>
      </c>
      <c r="B66" s="22" t="s">
        <v>77</v>
      </c>
      <c r="C66" s="22" t="s">
        <v>76</v>
      </c>
      <c r="D66" s="22" t="s">
        <v>76</v>
      </c>
      <c r="E66" s="22" t="s">
        <v>11</v>
      </c>
      <c r="F66" s="24" t="s">
        <v>12</v>
      </c>
    </row>
    <row r="67" ht="22.5" customHeight="1" spans="1:6">
      <c r="A67" s="23">
        <v>66</v>
      </c>
      <c r="B67" s="23" t="s">
        <v>78</v>
      </c>
      <c r="C67" s="23" t="s">
        <v>76</v>
      </c>
      <c r="D67" s="23" t="s">
        <v>76</v>
      </c>
      <c r="E67" s="23" t="s">
        <v>11</v>
      </c>
      <c r="F67" s="25" t="s">
        <v>12</v>
      </c>
    </row>
    <row r="68" ht="22.5" customHeight="1" spans="1:6">
      <c r="A68" s="22">
        <v>67</v>
      </c>
      <c r="B68" s="22" t="s">
        <v>79</v>
      </c>
      <c r="C68" s="22" t="s">
        <v>76</v>
      </c>
      <c r="D68" s="22" t="s">
        <v>76</v>
      </c>
      <c r="E68" s="22" t="s">
        <v>11</v>
      </c>
      <c r="F68" s="24" t="s">
        <v>12</v>
      </c>
    </row>
    <row r="69" ht="22.5" customHeight="1" spans="1:6">
      <c r="A69" s="23">
        <v>68</v>
      </c>
      <c r="B69" s="23" t="s">
        <v>80</v>
      </c>
      <c r="C69" s="23" t="s">
        <v>76</v>
      </c>
      <c r="D69" s="23" t="s">
        <v>76</v>
      </c>
      <c r="E69" s="23" t="s">
        <v>11</v>
      </c>
      <c r="F69" s="25" t="s">
        <v>12</v>
      </c>
    </row>
    <row r="70" ht="22.5" customHeight="1" spans="1:6">
      <c r="A70" s="22">
        <v>69</v>
      </c>
      <c r="B70" s="22" t="s">
        <v>81</v>
      </c>
      <c r="C70" s="22" t="s">
        <v>76</v>
      </c>
      <c r="D70" s="22" t="s">
        <v>76</v>
      </c>
      <c r="E70" s="22" t="s">
        <v>11</v>
      </c>
      <c r="F70" s="24" t="s">
        <v>12</v>
      </c>
    </row>
    <row r="71" ht="22.5" customHeight="1" spans="1:6">
      <c r="A71" s="23">
        <v>70</v>
      </c>
      <c r="B71" s="23" t="s">
        <v>82</v>
      </c>
      <c r="C71" s="23" t="s">
        <v>76</v>
      </c>
      <c r="D71" s="23" t="s">
        <v>76</v>
      </c>
      <c r="E71" s="23" t="s">
        <v>11</v>
      </c>
      <c r="F71" s="25" t="s">
        <v>12</v>
      </c>
    </row>
    <row r="72" ht="22.5" customHeight="1" spans="1:6">
      <c r="A72" s="22">
        <v>71</v>
      </c>
      <c r="B72" s="22" t="s">
        <v>83</v>
      </c>
      <c r="C72" s="22" t="s">
        <v>76</v>
      </c>
      <c r="D72" s="22" t="s">
        <v>76</v>
      </c>
      <c r="E72" s="22" t="s">
        <v>11</v>
      </c>
      <c r="F72" s="24" t="s">
        <v>12</v>
      </c>
    </row>
    <row r="73" ht="22.5" customHeight="1" spans="1:6">
      <c r="A73" s="23">
        <v>72</v>
      </c>
      <c r="B73" s="23" t="s">
        <v>84</v>
      </c>
      <c r="C73" s="23" t="s">
        <v>76</v>
      </c>
      <c r="D73" s="23" t="s">
        <v>76</v>
      </c>
      <c r="E73" s="23" t="s">
        <v>11</v>
      </c>
      <c r="F73" s="25" t="s">
        <v>12</v>
      </c>
    </row>
    <row r="74" ht="22.5" customHeight="1" spans="1:6">
      <c r="A74" s="22">
        <v>73</v>
      </c>
      <c r="B74" s="22" t="s">
        <v>85</v>
      </c>
      <c r="C74" s="22" t="s">
        <v>76</v>
      </c>
      <c r="D74" s="22" t="s">
        <v>76</v>
      </c>
      <c r="E74" s="22" t="s">
        <v>11</v>
      </c>
      <c r="F74" s="24" t="s">
        <v>12</v>
      </c>
    </row>
    <row r="75" ht="22.5" customHeight="1" spans="1:6">
      <c r="A75" s="23">
        <v>74</v>
      </c>
      <c r="B75" s="23" t="s">
        <v>86</v>
      </c>
      <c r="C75" s="23" t="s">
        <v>76</v>
      </c>
      <c r="D75" s="23" t="s">
        <v>76</v>
      </c>
      <c r="E75" s="23" t="s">
        <v>11</v>
      </c>
      <c r="F75" s="25" t="s">
        <v>12</v>
      </c>
    </row>
    <row r="76" ht="22.5" customHeight="1" spans="1:6">
      <c r="A76" s="22">
        <v>75</v>
      </c>
      <c r="B76" s="22" t="s">
        <v>87</v>
      </c>
      <c r="C76" s="22" t="s">
        <v>76</v>
      </c>
      <c r="D76" s="22" t="s">
        <v>76</v>
      </c>
      <c r="E76" s="22" t="s">
        <v>11</v>
      </c>
      <c r="F76" s="24" t="s">
        <v>12</v>
      </c>
    </row>
    <row r="77" ht="22.5" customHeight="1" spans="1:6">
      <c r="A77" s="23">
        <v>76</v>
      </c>
      <c r="B77" s="23" t="s">
        <v>88</v>
      </c>
      <c r="C77" s="23" t="s">
        <v>76</v>
      </c>
      <c r="D77" s="23" t="s">
        <v>76</v>
      </c>
      <c r="E77" s="23" t="s">
        <v>11</v>
      </c>
      <c r="F77" s="25" t="s">
        <v>12</v>
      </c>
    </row>
    <row r="78" ht="22.5" customHeight="1" spans="1:6">
      <c r="A78" s="22">
        <v>77</v>
      </c>
      <c r="B78" s="22" t="s">
        <v>89</v>
      </c>
      <c r="C78" s="22" t="s">
        <v>76</v>
      </c>
      <c r="D78" s="22" t="s">
        <v>76</v>
      </c>
      <c r="E78" s="22" t="s">
        <v>11</v>
      </c>
      <c r="F78" s="24" t="s">
        <v>12</v>
      </c>
    </row>
    <row r="79" ht="22.5" customHeight="1" spans="1:6">
      <c r="A79" s="23">
        <v>78</v>
      </c>
      <c r="B79" s="23" t="s">
        <v>90</v>
      </c>
      <c r="C79" s="23" t="s">
        <v>76</v>
      </c>
      <c r="D79" s="23" t="s">
        <v>76</v>
      </c>
      <c r="E79" s="23" t="s">
        <v>11</v>
      </c>
      <c r="F79" s="25" t="s">
        <v>12</v>
      </c>
    </row>
    <row r="80" ht="22.5" customHeight="1" spans="1:6">
      <c r="A80" s="22">
        <v>79</v>
      </c>
      <c r="B80" s="22" t="s">
        <v>91</v>
      </c>
      <c r="C80" s="22" t="s">
        <v>76</v>
      </c>
      <c r="D80" s="22" t="s">
        <v>76</v>
      </c>
      <c r="E80" s="22" t="s">
        <v>11</v>
      </c>
      <c r="F80" s="24" t="s">
        <v>12</v>
      </c>
    </row>
    <row r="81" ht="22.5" customHeight="1" spans="1:6">
      <c r="A81" s="23">
        <v>80</v>
      </c>
      <c r="B81" s="23" t="s">
        <v>92</v>
      </c>
      <c r="C81" s="23" t="s">
        <v>76</v>
      </c>
      <c r="D81" s="23" t="s">
        <v>76</v>
      </c>
      <c r="E81" s="23" t="s">
        <v>11</v>
      </c>
      <c r="F81" s="25" t="s">
        <v>12</v>
      </c>
    </row>
    <row r="82" ht="22.5" customHeight="1" spans="1:6">
      <c r="A82" s="22">
        <v>81</v>
      </c>
      <c r="B82" s="22" t="s">
        <v>93</v>
      </c>
      <c r="C82" s="22" t="s">
        <v>76</v>
      </c>
      <c r="D82" s="22" t="s">
        <v>76</v>
      </c>
      <c r="E82" s="22" t="s">
        <v>11</v>
      </c>
      <c r="F82" s="24" t="s">
        <v>12</v>
      </c>
    </row>
    <row r="83" ht="22.5" customHeight="1" spans="1:6">
      <c r="A83" s="23">
        <v>82</v>
      </c>
      <c r="B83" s="23" t="s">
        <v>94</v>
      </c>
      <c r="C83" s="23" t="s">
        <v>76</v>
      </c>
      <c r="D83" s="23" t="s">
        <v>76</v>
      </c>
      <c r="E83" s="23" t="s">
        <v>11</v>
      </c>
      <c r="F83" s="25" t="s">
        <v>12</v>
      </c>
    </row>
    <row r="84" ht="22.5" customHeight="1" spans="1:6">
      <c r="A84" s="22">
        <v>83</v>
      </c>
      <c r="B84" s="22" t="s">
        <v>95</v>
      </c>
      <c r="C84" s="22" t="s">
        <v>76</v>
      </c>
      <c r="D84" s="22" t="s">
        <v>76</v>
      </c>
      <c r="E84" s="22" t="s">
        <v>11</v>
      </c>
      <c r="F84" s="24" t="s">
        <v>12</v>
      </c>
    </row>
    <row r="85" ht="22.5" customHeight="1" spans="1:6">
      <c r="A85" s="23">
        <v>84</v>
      </c>
      <c r="B85" s="23" t="s">
        <v>96</v>
      </c>
      <c r="C85" s="23" t="s">
        <v>76</v>
      </c>
      <c r="D85" s="23" t="s">
        <v>76</v>
      </c>
      <c r="E85" s="23" t="s">
        <v>11</v>
      </c>
      <c r="F85" s="25" t="s">
        <v>12</v>
      </c>
    </row>
    <row r="86" ht="22.5" customHeight="1" spans="1:6">
      <c r="A86" s="22">
        <v>85</v>
      </c>
      <c r="B86" s="22" t="s">
        <v>97</v>
      </c>
      <c r="C86" s="22" t="s">
        <v>98</v>
      </c>
      <c r="D86" s="22" t="s">
        <v>99</v>
      </c>
      <c r="E86" s="22" t="s">
        <v>11</v>
      </c>
      <c r="F86" s="24" t="s">
        <v>12</v>
      </c>
    </row>
    <row r="87" ht="22.5" customHeight="1" spans="1:6">
      <c r="A87" s="23">
        <v>86</v>
      </c>
      <c r="B87" s="23" t="s">
        <v>100</v>
      </c>
      <c r="C87" s="23" t="s">
        <v>98</v>
      </c>
      <c r="D87" s="23" t="s">
        <v>101</v>
      </c>
      <c r="E87" s="23" t="s">
        <v>11</v>
      </c>
      <c r="F87" s="25" t="s">
        <v>12</v>
      </c>
    </row>
    <row r="88" ht="22.5" customHeight="1" spans="1:6">
      <c r="A88" s="22">
        <v>87</v>
      </c>
      <c r="B88" s="22" t="s">
        <v>102</v>
      </c>
      <c r="C88" s="22" t="s">
        <v>98</v>
      </c>
      <c r="D88" s="22" t="s">
        <v>103</v>
      </c>
      <c r="E88" s="22" t="s">
        <v>11</v>
      </c>
      <c r="F88" s="24" t="s">
        <v>12</v>
      </c>
    </row>
    <row r="89" ht="22.5" customHeight="1" spans="1:6">
      <c r="A89" s="23">
        <v>88</v>
      </c>
      <c r="B89" s="23" t="s">
        <v>104</v>
      </c>
      <c r="C89" s="23" t="s">
        <v>76</v>
      </c>
      <c r="D89" s="23" t="s">
        <v>76</v>
      </c>
      <c r="E89" s="23" t="s">
        <v>11</v>
      </c>
      <c r="F89" s="25" t="s">
        <v>12</v>
      </c>
    </row>
    <row r="90" ht="22.5" customHeight="1" spans="1:6">
      <c r="A90" s="22">
        <v>89</v>
      </c>
      <c r="B90" s="22" t="s">
        <v>105</v>
      </c>
      <c r="C90" s="22" t="s">
        <v>98</v>
      </c>
      <c r="D90" s="22" t="s">
        <v>106</v>
      </c>
      <c r="E90" s="22" t="s">
        <v>11</v>
      </c>
      <c r="F90" s="24" t="s">
        <v>12</v>
      </c>
    </row>
    <row r="91" ht="22.5" customHeight="1" spans="1:6">
      <c r="A91" s="23">
        <v>90</v>
      </c>
      <c r="B91" s="23" t="s">
        <v>107</v>
      </c>
      <c r="C91" s="23" t="s">
        <v>98</v>
      </c>
      <c r="D91" s="23" t="s">
        <v>103</v>
      </c>
      <c r="E91" s="23" t="s">
        <v>11</v>
      </c>
      <c r="F91" s="25" t="s">
        <v>12</v>
      </c>
    </row>
    <row r="92" ht="22.5" customHeight="1" spans="1:6">
      <c r="A92" s="22">
        <v>91</v>
      </c>
      <c r="B92" s="22" t="s">
        <v>108</v>
      </c>
      <c r="C92" s="22" t="s">
        <v>98</v>
      </c>
      <c r="D92" s="22" t="s">
        <v>109</v>
      </c>
      <c r="E92" s="22" t="s">
        <v>11</v>
      </c>
      <c r="F92" s="24" t="s">
        <v>12</v>
      </c>
    </row>
    <row r="93" ht="22.5" customHeight="1" spans="1:6">
      <c r="A93" s="23">
        <v>92</v>
      </c>
      <c r="B93" s="23" t="s">
        <v>110</v>
      </c>
      <c r="C93" s="23" t="s">
        <v>98</v>
      </c>
      <c r="D93" s="23" t="s">
        <v>111</v>
      </c>
      <c r="E93" s="23" t="s">
        <v>11</v>
      </c>
      <c r="F93" s="25" t="s">
        <v>12</v>
      </c>
    </row>
    <row r="94" ht="22.5" customHeight="1" spans="1:6">
      <c r="A94" s="22">
        <v>93</v>
      </c>
      <c r="B94" s="22" t="s">
        <v>112</v>
      </c>
      <c r="C94" s="22" t="s">
        <v>98</v>
      </c>
      <c r="D94" s="22" t="s">
        <v>99</v>
      </c>
      <c r="E94" s="22" t="s">
        <v>11</v>
      </c>
      <c r="F94" s="24" t="s">
        <v>12</v>
      </c>
    </row>
    <row r="95" ht="22.5" customHeight="1" spans="1:6">
      <c r="A95" s="23">
        <v>94</v>
      </c>
      <c r="B95" s="23" t="s">
        <v>113</v>
      </c>
      <c r="C95" s="23" t="s">
        <v>98</v>
      </c>
      <c r="D95" s="23" t="s">
        <v>103</v>
      </c>
      <c r="E95" s="23" t="s">
        <v>11</v>
      </c>
      <c r="F95" s="25" t="s">
        <v>12</v>
      </c>
    </row>
    <row r="96" ht="22.5" customHeight="1" spans="1:6">
      <c r="A96" s="22">
        <v>95</v>
      </c>
      <c r="B96" s="22" t="s">
        <v>114</v>
      </c>
      <c r="C96" s="22" t="s">
        <v>98</v>
      </c>
      <c r="D96" s="22" t="s">
        <v>109</v>
      </c>
      <c r="E96" s="22" t="s">
        <v>11</v>
      </c>
      <c r="F96" s="24" t="s">
        <v>12</v>
      </c>
    </row>
    <row r="97" ht="22.5" customHeight="1" spans="1:6">
      <c r="A97" s="23">
        <v>96</v>
      </c>
      <c r="B97" s="23" t="s">
        <v>115</v>
      </c>
      <c r="C97" s="23" t="s">
        <v>98</v>
      </c>
      <c r="D97" s="23" t="s">
        <v>116</v>
      </c>
      <c r="E97" s="23" t="s">
        <v>11</v>
      </c>
      <c r="F97" s="25" t="s">
        <v>12</v>
      </c>
    </row>
    <row r="98" ht="22.5" customHeight="1" spans="1:6">
      <c r="A98" s="22">
        <v>97</v>
      </c>
      <c r="B98" s="22" t="s">
        <v>117</v>
      </c>
      <c r="C98" s="22" t="s">
        <v>98</v>
      </c>
      <c r="D98" s="22" t="s">
        <v>103</v>
      </c>
      <c r="E98" s="22" t="s">
        <v>11</v>
      </c>
      <c r="F98" s="24" t="s">
        <v>12</v>
      </c>
    </row>
    <row r="99" ht="22.5" customHeight="1" spans="1:6">
      <c r="A99" s="23">
        <v>98</v>
      </c>
      <c r="B99" s="23" t="s">
        <v>118</v>
      </c>
      <c r="C99" s="23" t="s">
        <v>98</v>
      </c>
      <c r="D99" s="23" t="s">
        <v>99</v>
      </c>
      <c r="E99" s="23" t="s">
        <v>11</v>
      </c>
      <c r="F99" s="25" t="s">
        <v>12</v>
      </c>
    </row>
    <row r="100" ht="22.5" customHeight="1" spans="1:6">
      <c r="A100" s="22">
        <v>99</v>
      </c>
      <c r="B100" s="22" t="s">
        <v>119</v>
      </c>
      <c r="C100" s="22" t="s">
        <v>98</v>
      </c>
      <c r="D100" s="22" t="s">
        <v>116</v>
      </c>
      <c r="E100" s="22" t="s">
        <v>11</v>
      </c>
      <c r="F100" s="24" t="s">
        <v>12</v>
      </c>
    </row>
    <row r="101" ht="22.5" customHeight="1" spans="1:6">
      <c r="A101" s="23">
        <v>100</v>
      </c>
      <c r="B101" s="23" t="s">
        <v>120</v>
      </c>
      <c r="C101" s="23" t="s">
        <v>98</v>
      </c>
      <c r="D101" s="23" t="s">
        <v>106</v>
      </c>
      <c r="E101" s="23" t="s">
        <v>11</v>
      </c>
      <c r="F101" s="25" t="s">
        <v>12</v>
      </c>
    </row>
    <row r="102" ht="22.5" customHeight="1" spans="1:6">
      <c r="A102" s="22">
        <v>101</v>
      </c>
      <c r="B102" s="22" t="s">
        <v>121</v>
      </c>
      <c r="C102" s="22" t="s">
        <v>98</v>
      </c>
      <c r="D102" s="22" t="s">
        <v>122</v>
      </c>
      <c r="E102" s="22" t="s">
        <v>11</v>
      </c>
      <c r="F102" s="24" t="s">
        <v>12</v>
      </c>
    </row>
    <row r="103" ht="22.5" customHeight="1" spans="1:6">
      <c r="A103" s="23">
        <v>102</v>
      </c>
      <c r="B103" s="23" t="s">
        <v>123</v>
      </c>
      <c r="C103" s="23" t="s">
        <v>98</v>
      </c>
      <c r="D103" s="23" t="s">
        <v>124</v>
      </c>
      <c r="E103" s="23" t="s">
        <v>11</v>
      </c>
      <c r="F103" s="25" t="s">
        <v>12</v>
      </c>
    </row>
    <row r="104" ht="22.5" customHeight="1" spans="1:6">
      <c r="A104" s="22">
        <v>103</v>
      </c>
      <c r="B104" s="22" t="s">
        <v>125</v>
      </c>
      <c r="C104" s="22" t="s">
        <v>98</v>
      </c>
      <c r="D104" s="22" t="s">
        <v>103</v>
      </c>
      <c r="E104" s="22" t="s">
        <v>11</v>
      </c>
      <c r="F104" s="24" t="s">
        <v>12</v>
      </c>
    </row>
    <row r="105" ht="22.5" customHeight="1" spans="1:6">
      <c r="A105" s="23">
        <v>104</v>
      </c>
      <c r="B105" s="23" t="s">
        <v>126</v>
      </c>
      <c r="C105" s="23" t="s">
        <v>98</v>
      </c>
      <c r="D105" s="23" t="s">
        <v>101</v>
      </c>
      <c r="E105" s="23" t="s">
        <v>11</v>
      </c>
      <c r="F105" s="25" t="s">
        <v>12</v>
      </c>
    </row>
    <row r="106" ht="22.5" customHeight="1" spans="1:6">
      <c r="A106" s="22">
        <v>105</v>
      </c>
      <c r="B106" s="22" t="s">
        <v>127</v>
      </c>
      <c r="C106" s="22" t="s">
        <v>98</v>
      </c>
      <c r="D106" s="22" t="s">
        <v>128</v>
      </c>
      <c r="E106" s="22" t="s">
        <v>11</v>
      </c>
      <c r="F106" s="24" t="s">
        <v>12</v>
      </c>
    </row>
    <row r="107" ht="22.5" customHeight="1" spans="1:6">
      <c r="A107" s="23">
        <v>106</v>
      </c>
      <c r="B107" s="23" t="s">
        <v>129</v>
      </c>
      <c r="C107" s="23" t="s">
        <v>98</v>
      </c>
      <c r="D107" s="23" t="s">
        <v>111</v>
      </c>
      <c r="E107" s="23" t="s">
        <v>11</v>
      </c>
      <c r="F107" s="25" t="s">
        <v>12</v>
      </c>
    </row>
    <row r="108" ht="22.5" customHeight="1" spans="1:6">
      <c r="A108" s="22">
        <v>107</v>
      </c>
      <c r="B108" s="22" t="s">
        <v>130</v>
      </c>
      <c r="C108" s="22" t="s">
        <v>98</v>
      </c>
      <c r="D108" s="22" t="s">
        <v>103</v>
      </c>
      <c r="E108" s="22" t="s">
        <v>11</v>
      </c>
      <c r="F108" s="24" t="s">
        <v>12</v>
      </c>
    </row>
    <row r="109" ht="22.5" customHeight="1" spans="1:6">
      <c r="A109" s="23">
        <v>108</v>
      </c>
      <c r="B109" s="23" t="s">
        <v>131</v>
      </c>
      <c r="C109" s="23" t="s">
        <v>98</v>
      </c>
      <c r="D109" s="23" t="s">
        <v>132</v>
      </c>
      <c r="E109" s="23" t="s">
        <v>11</v>
      </c>
      <c r="F109" s="25" t="s">
        <v>12</v>
      </c>
    </row>
    <row r="110" ht="22.5" customHeight="1" spans="1:6">
      <c r="A110" s="22">
        <v>109</v>
      </c>
      <c r="B110" s="22" t="s">
        <v>133</v>
      </c>
      <c r="C110" s="22" t="s">
        <v>98</v>
      </c>
      <c r="D110" s="22" t="s">
        <v>132</v>
      </c>
      <c r="E110" s="22" t="s">
        <v>11</v>
      </c>
      <c r="F110" s="24" t="s">
        <v>12</v>
      </c>
    </row>
    <row r="111" ht="22.5" customHeight="1" spans="1:6">
      <c r="A111" s="23">
        <v>110</v>
      </c>
      <c r="B111" s="23" t="s">
        <v>134</v>
      </c>
      <c r="C111" s="23" t="s">
        <v>98</v>
      </c>
      <c r="D111" s="23" t="s">
        <v>106</v>
      </c>
      <c r="E111" s="23" t="s">
        <v>11</v>
      </c>
      <c r="F111" s="25" t="s">
        <v>12</v>
      </c>
    </row>
    <row r="112" ht="22.5" customHeight="1" spans="1:6">
      <c r="A112" s="22">
        <v>111</v>
      </c>
      <c r="B112" s="22" t="s">
        <v>135</v>
      </c>
      <c r="C112" s="22" t="s">
        <v>98</v>
      </c>
      <c r="D112" s="22" t="s">
        <v>122</v>
      </c>
      <c r="E112" s="22" t="s">
        <v>11</v>
      </c>
      <c r="F112" s="24" t="s">
        <v>12</v>
      </c>
    </row>
    <row r="113" ht="22.5" customHeight="1" spans="1:6">
      <c r="A113" s="23">
        <v>112</v>
      </c>
      <c r="B113" s="23" t="s">
        <v>136</v>
      </c>
      <c r="C113" s="23" t="s">
        <v>98</v>
      </c>
      <c r="D113" s="23" t="s">
        <v>122</v>
      </c>
      <c r="E113" s="23" t="s">
        <v>11</v>
      </c>
      <c r="F113" s="25" t="s">
        <v>12</v>
      </c>
    </row>
    <row r="114" ht="22.5" customHeight="1" spans="1:6">
      <c r="A114" s="22">
        <v>113</v>
      </c>
      <c r="B114" s="22" t="s">
        <v>137</v>
      </c>
      <c r="C114" s="22" t="s">
        <v>98</v>
      </c>
      <c r="D114" s="22" t="s">
        <v>103</v>
      </c>
      <c r="E114" s="22" t="s">
        <v>11</v>
      </c>
      <c r="F114" s="24" t="s">
        <v>12</v>
      </c>
    </row>
    <row r="115" ht="22.5" customHeight="1" spans="1:6">
      <c r="A115" s="23">
        <v>114</v>
      </c>
      <c r="B115" s="23" t="s">
        <v>138</v>
      </c>
      <c r="C115" s="23" t="s">
        <v>98</v>
      </c>
      <c r="D115" s="23" t="s">
        <v>99</v>
      </c>
      <c r="E115" s="23" t="s">
        <v>11</v>
      </c>
      <c r="F115" s="25" t="s">
        <v>12</v>
      </c>
    </row>
    <row r="116" ht="22.5" customHeight="1" spans="1:6">
      <c r="A116" s="22">
        <v>115</v>
      </c>
      <c r="B116" s="22" t="s">
        <v>139</v>
      </c>
      <c r="C116" s="22" t="s">
        <v>98</v>
      </c>
      <c r="D116" s="22" t="s">
        <v>122</v>
      </c>
      <c r="E116" s="22" t="s">
        <v>11</v>
      </c>
      <c r="F116" s="24" t="s">
        <v>12</v>
      </c>
    </row>
    <row r="117" ht="22.5" customHeight="1" spans="1:6">
      <c r="A117" s="23">
        <v>116</v>
      </c>
      <c r="B117" s="23" t="s">
        <v>140</v>
      </c>
      <c r="C117" s="23" t="s">
        <v>98</v>
      </c>
      <c r="D117" s="23" t="s">
        <v>103</v>
      </c>
      <c r="E117" s="23" t="s">
        <v>11</v>
      </c>
      <c r="F117" s="25" t="s">
        <v>12</v>
      </c>
    </row>
    <row r="118" ht="22.5" customHeight="1" spans="1:6">
      <c r="A118" s="22">
        <v>117</v>
      </c>
      <c r="B118" s="22" t="s">
        <v>141</v>
      </c>
      <c r="C118" s="22" t="s">
        <v>98</v>
      </c>
      <c r="D118" s="22" t="s">
        <v>99</v>
      </c>
      <c r="E118" s="22" t="s">
        <v>11</v>
      </c>
      <c r="F118" s="24" t="s">
        <v>12</v>
      </c>
    </row>
    <row r="119" ht="22.5" customHeight="1" spans="1:6">
      <c r="A119" s="23">
        <v>118</v>
      </c>
      <c r="B119" s="23" t="s">
        <v>142</v>
      </c>
      <c r="C119" s="23" t="s">
        <v>98</v>
      </c>
      <c r="D119" s="23" t="s">
        <v>103</v>
      </c>
      <c r="E119" s="23" t="s">
        <v>11</v>
      </c>
      <c r="F119" s="25" t="s">
        <v>12</v>
      </c>
    </row>
    <row r="120" ht="22.5" customHeight="1" spans="1:6">
      <c r="A120" s="22">
        <v>119</v>
      </c>
      <c r="B120" s="22" t="s">
        <v>143</v>
      </c>
      <c r="C120" s="22" t="s">
        <v>98</v>
      </c>
      <c r="D120" s="22" t="s">
        <v>128</v>
      </c>
      <c r="E120" s="22" t="s">
        <v>11</v>
      </c>
      <c r="F120" s="24" t="s">
        <v>12</v>
      </c>
    </row>
    <row r="121" ht="22.5" customHeight="1" spans="1:6">
      <c r="A121" s="23">
        <v>120</v>
      </c>
      <c r="B121" s="23" t="s">
        <v>144</v>
      </c>
      <c r="C121" s="23" t="s">
        <v>98</v>
      </c>
      <c r="D121" s="23" t="s">
        <v>116</v>
      </c>
      <c r="E121" s="23" t="s">
        <v>11</v>
      </c>
      <c r="F121" s="25" t="s">
        <v>12</v>
      </c>
    </row>
    <row r="122" ht="22.5" customHeight="1" spans="1:6">
      <c r="A122" s="22">
        <v>121</v>
      </c>
      <c r="B122" s="22" t="s">
        <v>145</v>
      </c>
      <c r="C122" s="22" t="s">
        <v>98</v>
      </c>
      <c r="D122" s="22" t="s">
        <v>103</v>
      </c>
      <c r="E122" s="22" t="s">
        <v>11</v>
      </c>
      <c r="F122" s="24" t="s">
        <v>12</v>
      </c>
    </row>
    <row r="123" ht="22.5" customHeight="1" spans="1:6">
      <c r="A123" s="23">
        <v>122</v>
      </c>
      <c r="B123" s="23" t="s">
        <v>146</v>
      </c>
      <c r="C123" s="23" t="s">
        <v>98</v>
      </c>
      <c r="D123" s="23" t="s">
        <v>109</v>
      </c>
      <c r="E123" s="23" t="s">
        <v>11</v>
      </c>
      <c r="F123" s="25" t="s">
        <v>12</v>
      </c>
    </row>
    <row r="124" ht="22.5" customHeight="1" spans="1:6">
      <c r="A124" s="22">
        <v>123</v>
      </c>
      <c r="B124" s="22" t="s">
        <v>147</v>
      </c>
      <c r="C124" s="22" t="s">
        <v>98</v>
      </c>
      <c r="D124" s="22" t="s">
        <v>132</v>
      </c>
      <c r="E124" s="22" t="s">
        <v>11</v>
      </c>
      <c r="F124" s="24" t="s">
        <v>12</v>
      </c>
    </row>
    <row r="125" ht="22.5" customHeight="1" spans="1:6">
      <c r="A125" s="23">
        <v>124</v>
      </c>
      <c r="B125" s="23" t="s">
        <v>148</v>
      </c>
      <c r="C125" s="23" t="s">
        <v>98</v>
      </c>
      <c r="D125" s="23" t="s">
        <v>106</v>
      </c>
      <c r="E125" s="23" t="s">
        <v>11</v>
      </c>
      <c r="F125" s="25" t="s">
        <v>12</v>
      </c>
    </row>
    <row r="126" ht="22.5" customHeight="1" spans="1:6">
      <c r="A126" s="22">
        <v>125</v>
      </c>
      <c r="B126" s="22" t="s">
        <v>149</v>
      </c>
      <c r="C126" s="22" t="s">
        <v>98</v>
      </c>
      <c r="D126" s="22" t="s">
        <v>128</v>
      </c>
      <c r="E126" s="22" t="s">
        <v>11</v>
      </c>
      <c r="F126" s="24" t="s">
        <v>12</v>
      </c>
    </row>
    <row r="127" ht="22.5" customHeight="1" spans="1:6">
      <c r="A127" s="23">
        <v>126</v>
      </c>
      <c r="B127" s="23" t="s">
        <v>150</v>
      </c>
      <c r="C127" s="23" t="s">
        <v>151</v>
      </c>
      <c r="D127" s="23" t="s">
        <v>152</v>
      </c>
      <c r="E127" s="23" t="s">
        <v>11</v>
      </c>
      <c r="F127" s="25" t="s">
        <v>12</v>
      </c>
    </row>
    <row r="128" ht="22.5" customHeight="1" spans="1:6">
      <c r="A128" s="22">
        <v>127</v>
      </c>
      <c r="B128" s="22" t="s">
        <v>153</v>
      </c>
      <c r="C128" s="22" t="s">
        <v>151</v>
      </c>
      <c r="D128" s="22" t="s">
        <v>152</v>
      </c>
      <c r="E128" s="22" t="s">
        <v>11</v>
      </c>
      <c r="F128" s="24" t="s">
        <v>12</v>
      </c>
    </row>
    <row r="129" ht="22.5" customHeight="1" spans="1:6">
      <c r="A129" s="23">
        <v>128</v>
      </c>
      <c r="B129" s="23" t="s">
        <v>154</v>
      </c>
      <c r="C129" s="23" t="s">
        <v>151</v>
      </c>
      <c r="D129" s="23" t="s">
        <v>152</v>
      </c>
      <c r="E129" s="23" t="s">
        <v>11</v>
      </c>
      <c r="F129" s="25" t="s">
        <v>12</v>
      </c>
    </row>
    <row r="130" ht="22.5" customHeight="1" spans="1:6">
      <c r="A130" s="22">
        <v>129</v>
      </c>
      <c r="B130" s="22" t="s">
        <v>155</v>
      </c>
      <c r="C130" s="22" t="s">
        <v>151</v>
      </c>
      <c r="D130" s="22" t="s">
        <v>152</v>
      </c>
      <c r="E130" s="22" t="s">
        <v>11</v>
      </c>
      <c r="F130" s="24" t="s">
        <v>12</v>
      </c>
    </row>
    <row r="131" ht="22.5" customHeight="1" spans="1:6">
      <c r="A131" s="23">
        <v>130</v>
      </c>
      <c r="B131" s="23" t="s">
        <v>156</v>
      </c>
      <c r="C131" s="23" t="s">
        <v>151</v>
      </c>
      <c r="D131" s="23" t="s">
        <v>157</v>
      </c>
      <c r="E131" s="23" t="s">
        <v>11</v>
      </c>
      <c r="F131" s="25" t="s">
        <v>12</v>
      </c>
    </row>
    <row r="132" ht="22.5" customHeight="1" spans="1:6">
      <c r="A132" s="22">
        <v>131</v>
      </c>
      <c r="B132" s="22" t="s">
        <v>158</v>
      </c>
      <c r="C132" s="22" t="s">
        <v>151</v>
      </c>
      <c r="D132" s="22" t="s">
        <v>152</v>
      </c>
      <c r="E132" s="22" t="s">
        <v>11</v>
      </c>
      <c r="F132" s="24" t="s">
        <v>12</v>
      </c>
    </row>
    <row r="133" ht="22.5" customHeight="1" spans="1:6">
      <c r="A133" s="23">
        <v>132</v>
      </c>
      <c r="B133" s="23" t="s">
        <v>159</v>
      </c>
      <c r="C133" s="23" t="s">
        <v>151</v>
      </c>
      <c r="D133" s="23" t="s">
        <v>160</v>
      </c>
      <c r="E133" s="23" t="s">
        <v>11</v>
      </c>
      <c r="F133" s="25" t="s">
        <v>12</v>
      </c>
    </row>
    <row r="134" ht="22.5" customHeight="1" spans="1:6">
      <c r="A134" s="22">
        <v>133</v>
      </c>
      <c r="B134" s="22" t="s">
        <v>161</v>
      </c>
      <c r="C134" s="22" t="s">
        <v>151</v>
      </c>
      <c r="D134" s="22" t="s">
        <v>152</v>
      </c>
      <c r="E134" s="22" t="s">
        <v>11</v>
      </c>
      <c r="F134" s="24" t="s">
        <v>12</v>
      </c>
    </row>
    <row r="135" ht="22.5" customHeight="1" spans="1:6">
      <c r="A135" s="23">
        <v>134</v>
      </c>
      <c r="B135" s="23" t="s">
        <v>162</v>
      </c>
      <c r="C135" s="23" t="s">
        <v>151</v>
      </c>
      <c r="D135" s="23" t="s">
        <v>152</v>
      </c>
      <c r="E135" s="23" t="s">
        <v>11</v>
      </c>
      <c r="F135" s="25" t="s">
        <v>12</v>
      </c>
    </row>
    <row r="136" ht="22.5" customHeight="1" spans="1:6">
      <c r="A136" s="22">
        <v>135</v>
      </c>
      <c r="B136" s="22" t="s">
        <v>163</v>
      </c>
      <c r="C136" s="22" t="s">
        <v>151</v>
      </c>
      <c r="D136" s="22" t="s">
        <v>164</v>
      </c>
      <c r="E136" s="22" t="s">
        <v>11</v>
      </c>
      <c r="F136" s="24" t="s">
        <v>12</v>
      </c>
    </row>
    <row r="137" ht="22.5" customHeight="1" spans="1:6">
      <c r="A137" s="23">
        <v>136</v>
      </c>
      <c r="B137" s="23" t="s">
        <v>165</v>
      </c>
      <c r="C137" s="23" t="s">
        <v>151</v>
      </c>
      <c r="D137" s="23" t="s">
        <v>157</v>
      </c>
      <c r="E137" s="23" t="s">
        <v>11</v>
      </c>
      <c r="F137" s="25" t="s">
        <v>12</v>
      </c>
    </row>
    <row r="138" ht="22.5" customHeight="1" spans="1:6">
      <c r="A138" s="22">
        <v>137</v>
      </c>
      <c r="B138" s="22" t="s">
        <v>166</v>
      </c>
      <c r="C138" s="22" t="s">
        <v>151</v>
      </c>
      <c r="D138" s="22" t="s">
        <v>160</v>
      </c>
      <c r="E138" s="22" t="s">
        <v>11</v>
      </c>
      <c r="F138" s="24" t="s">
        <v>12</v>
      </c>
    </row>
    <row r="139" ht="22.5" customHeight="1" spans="1:6">
      <c r="A139" s="23">
        <v>138</v>
      </c>
      <c r="B139" s="23" t="s">
        <v>167</v>
      </c>
      <c r="C139" s="23" t="s">
        <v>151</v>
      </c>
      <c r="D139" s="23" t="s">
        <v>168</v>
      </c>
      <c r="E139" s="23" t="s">
        <v>11</v>
      </c>
      <c r="F139" s="25" t="s">
        <v>12</v>
      </c>
    </row>
    <row r="140" ht="22.5" customHeight="1" spans="1:6">
      <c r="A140" s="22">
        <v>139</v>
      </c>
      <c r="B140" s="22" t="s">
        <v>169</v>
      </c>
      <c r="C140" s="22" t="s">
        <v>151</v>
      </c>
      <c r="D140" s="22" t="s">
        <v>170</v>
      </c>
      <c r="E140" s="22" t="s">
        <v>11</v>
      </c>
      <c r="F140" s="24" t="s">
        <v>12</v>
      </c>
    </row>
    <row r="141" ht="22.5" customHeight="1" spans="1:6">
      <c r="A141" s="23">
        <v>140</v>
      </c>
      <c r="B141" s="23" t="s">
        <v>171</v>
      </c>
      <c r="C141" s="23" t="s">
        <v>151</v>
      </c>
      <c r="D141" s="23" t="s">
        <v>152</v>
      </c>
      <c r="E141" s="23" t="s">
        <v>11</v>
      </c>
      <c r="F141" s="25" t="s">
        <v>12</v>
      </c>
    </row>
    <row r="142" ht="22.5" customHeight="1" spans="1:6">
      <c r="A142" s="22">
        <v>141</v>
      </c>
      <c r="B142" s="22" t="s">
        <v>172</v>
      </c>
      <c r="C142" s="22" t="s">
        <v>151</v>
      </c>
      <c r="D142" s="22" t="s">
        <v>152</v>
      </c>
      <c r="E142" s="22" t="s">
        <v>11</v>
      </c>
      <c r="F142" s="24" t="s">
        <v>12</v>
      </c>
    </row>
    <row r="143" ht="22.5" customHeight="1" spans="1:6">
      <c r="A143" s="23">
        <v>142</v>
      </c>
      <c r="B143" s="23" t="s">
        <v>173</v>
      </c>
      <c r="C143" s="23" t="s">
        <v>151</v>
      </c>
      <c r="D143" s="23" t="s">
        <v>174</v>
      </c>
      <c r="E143" s="23" t="s">
        <v>11</v>
      </c>
      <c r="F143" s="25" t="s">
        <v>12</v>
      </c>
    </row>
    <row r="144" ht="22.5" customHeight="1" spans="1:6">
      <c r="A144" s="22">
        <v>143</v>
      </c>
      <c r="B144" s="22" t="s">
        <v>175</v>
      </c>
      <c r="C144" s="22" t="s">
        <v>151</v>
      </c>
      <c r="D144" s="22" t="s">
        <v>152</v>
      </c>
      <c r="E144" s="22" t="s">
        <v>11</v>
      </c>
      <c r="F144" s="24" t="s">
        <v>12</v>
      </c>
    </row>
    <row r="145" ht="22.5" customHeight="1" spans="1:6">
      <c r="A145" s="23">
        <v>144</v>
      </c>
      <c r="B145" s="23" t="s">
        <v>176</v>
      </c>
      <c r="C145" s="23" t="s">
        <v>151</v>
      </c>
      <c r="D145" s="23" t="s">
        <v>152</v>
      </c>
      <c r="E145" s="23" t="s">
        <v>11</v>
      </c>
      <c r="F145" s="25" t="s">
        <v>12</v>
      </c>
    </row>
    <row r="146" ht="22.5" customHeight="1" spans="1:6">
      <c r="A146" s="22">
        <v>145</v>
      </c>
      <c r="B146" s="22" t="s">
        <v>177</v>
      </c>
      <c r="C146" s="22" t="s">
        <v>151</v>
      </c>
      <c r="D146" s="22" t="s">
        <v>152</v>
      </c>
      <c r="E146" s="22" t="s">
        <v>11</v>
      </c>
      <c r="F146" s="24" t="s">
        <v>12</v>
      </c>
    </row>
    <row r="147" ht="22.5" customHeight="1" spans="1:6">
      <c r="A147" s="23">
        <v>146</v>
      </c>
      <c r="B147" s="23" t="s">
        <v>178</v>
      </c>
      <c r="C147" s="23" t="s">
        <v>151</v>
      </c>
      <c r="D147" s="23" t="s">
        <v>179</v>
      </c>
      <c r="E147" s="23" t="s">
        <v>11</v>
      </c>
      <c r="F147" s="25" t="s">
        <v>12</v>
      </c>
    </row>
    <row r="148" ht="22.5" customHeight="1" spans="1:6">
      <c r="A148" s="22">
        <v>147</v>
      </c>
      <c r="B148" s="22" t="s">
        <v>180</v>
      </c>
      <c r="C148" s="22" t="s">
        <v>151</v>
      </c>
      <c r="D148" s="22" t="s">
        <v>181</v>
      </c>
      <c r="E148" s="22" t="s">
        <v>11</v>
      </c>
      <c r="F148" s="24" t="s">
        <v>12</v>
      </c>
    </row>
    <row r="149" ht="22.5" customHeight="1" spans="1:6">
      <c r="A149" s="23">
        <v>148</v>
      </c>
      <c r="B149" s="23" t="s">
        <v>182</v>
      </c>
      <c r="C149" s="23" t="s">
        <v>151</v>
      </c>
      <c r="D149" s="23" t="s">
        <v>183</v>
      </c>
      <c r="E149" s="23" t="s">
        <v>11</v>
      </c>
      <c r="F149" s="25" t="s">
        <v>12</v>
      </c>
    </row>
    <row r="150" ht="22.5" customHeight="1" spans="1:6">
      <c r="A150" s="22">
        <v>149</v>
      </c>
      <c r="B150" s="22" t="s">
        <v>184</v>
      </c>
      <c r="C150" s="22" t="s">
        <v>151</v>
      </c>
      <c r="D150" s="22" t="s">
        <v>152</v>
      </c>
      <c r="E150" s="22" t="s">
        <v>11</v>
      </c>
      <c r="F150" s="24" t="s">
        <v>12</v>
      </c>
    </row>
    <row r="151" ht="22.5" customHeight="1" spans="1:6">
      <c r="A151" s="23">
        <v>150</v>
      </c>
      <c r="B151" s="23" t="s">
        <v>185</v>
      </c>
      <c r="C151" s="23" t="s">
        <v>151</v>
      </c>
      <c r="D151" s="23" t="s">
        <v>152</v>
      </c>
      <c r="E151" s="23" t="s">
        <v>11</v>
      </c>
      <c r="F151" s="25" t="s">
        <v>12</v>
      </c>
    </row>
    <row r="152" ht="22.5" customHeight="1" spans="1:6">
      <c r="A152" s="22">
        <v>151</v>
      </c>
      <c r="B152" s="22" t="s">
        <v>186</v>
      </c>
      <c r="C152" s="22" t="s">
        <v>151</v>
      </c>
      <c r="D152" s="22" t="s">
        <v>187</v>
      </c>
      <c r="E152" s="22" t="s">
        <v>11</v>
      </c>
      <c r="F152" s="24" t="s">
        <v>12</v>
      </c>
    </row>
    <row r="153" ht="22.5" customHeight="1" spans="1:6">
      <c r="A153" s="23">
        <v>152</v>
      </c>
      <c r="B153" s="23" t="s">
        <v>188</v>
      </c>
      <c r="C153" s="23" t="s">
        <v>151</v>
      </c>
      <c r="D153" s="23" t="s">
        <v>157</v>
      </c>
      <c r="E153" s="23" t="s">
        <v>11</v>
      </c>
      <c r="F153" s="25" t="s">
        <v>12</v>
      </c>
    </row>
    <row r="154" ht="22.5" customHeight="1" spans="1:6">
      <c r="A154" s="22">
        <v>153</v>
      </c>
      <c r="B154" s="22" t="s">
        <v>189</v>
      </c>
      <c r="C154" s="22" t="s">
        <v>151</v>
      </c>
      <c r="D154" s="22" t="s">
        <v>152</v>
      </c>
      <c r="E154" s="22" t="s">
        <v>11</v>
      </c>
      <c r="F154" s="24" t="s">
        <v>12</v>
      </c>
    </row>
    <row r="155" ht="22.5" customHeight="1" spans="1:6">
      <c r="A155" s="23">
        <v>154</v>
      </c>
      <c r="B155" s="23" t="s">
        <v>190</v>
      </c>
      <c r="C155" s="23" t="s">
        <v>191</v>
      </c>
      <c r="D155" s="23" t="s">
        <v>192</v>
      </c>
      <c r="E155" s="23" t="s">
        <v>11</v>
      </c>
      <c r="F155" s="25" t="s">
        <v>12</v>
      </c>
    </row>
    <row r="156" ht="22.5" customHeight="1" spans="1:6">
      <c r="A156" s="22">
        <v>155</v>
      </c>
      <c r="B156" s="22" t="s">
        <v>193</v>
      </c>
      <c r="C156" s="22" t="s">
        <v>191</v>
      </c>
      <c r="D156" s="22" t="s">
        <v>194</v>
      </c>
      <c r="E156" s="22" t="s">
        <v>11</v>
      </c>
      <c r="F156" s="24" t="s">
        <v>12</v>
      </c>
    </row>
    <row r="157" ht="22.5" customHeight="1" spans="1:6">
      <c r="A157" s="23">
        <v>156</v>
      </c>
      <c r="B157" s="23" t="s">
        <v>195</v>
      </c>
      <c r="C157" s="23" t="s">
        <v>191</v>
      </c>
      <c r="D157" s="23" t="s">
        <v>192</v>
      </c>
      <c r="E157" s="23" t="s">
        <v>11</v>
      </c>
      <c r="F157" s="25" t="s">
        <v>12</v>
      </c>
    </row>
    <row r="158" ht="22.5" customHeight="1" spans="1:6">
      <c r="A158" s="22">
        <v>157</v>
      </c>
      <c r="B158" s="22" t="s">
        <v>196</v>
      </c>
      <c r="C158" s="22" t="s">
        <v>191</v>
      </c>
      <c r="D158" s="22" t="s">
        <v>192</v>
      </c>
      <c r="E158" s="22" t="s">
        <v>11</v>
      </c>
      <c r="F158" s="24" t="s">
        <v>12</v>
      </c>
    </row>
    <row r="159" ht="22.5" customHeight="1" spans="1:6">
      <c r="A159" s="23">
        <v>158</v>
      </c>
      <c r="B159" s="23" t="s">
        <v>197</v>
      </c>
      <c r="C159" s="23" t="s">
        <v>191</v>
      </c>
      <c r="D159" s="23" t="s">
        <v>192</v>
      </c>
      <c r="E159" s="23" t="s">
        <v>11</v>
      </c>
      <c r="F159" s="25" t="s">
        <v>12</v>
      </c>
    </row>
    <row r="160" ht="22.5" customHeight="1" spans="1:6">
      <c r="A160" s="22">
        <v>159</v>
      </c>
      <c r="B160" s="22" t="s">
        <v>198</v>
      </c>
      <c r="C160" s="22" t="s">
        <v>191</v>
      </c>
      <c r="D160" s="22" t="s">
        <v>192</v>
      </c>
      <c r="E160" s="22" t="s">
        <v>11</v>
      </c>
      <c r="F160" s="24" t="s">
        <v>12</v>
      </c>
    </row>
    <row r="161" ht="22.5" customHeight="1" spans="1:6">
      <c r="A161" s="23">
        <v>160</v>
      </c>
      <c r="B161" s="23" t="s">
        <v>199</v>
      </c>
      <c r="C161" s="23" t="s">
        <v>191</v>
      </c>
      <c r="D161" s="23" t="s">
        <v>200</v>
      </c>
      <c r="E161" s="23" t="s">
        <v>11</v>
      </c>
      <c r="F161" s="25" t="s">
        <v>12</v>
      </c>
    </row>
    <row r="162" ht="22.5" customHeight="1" spans="1:6">
      <c r="A162" s="22">
        <v>161</v>
      </c>
      <c r="B162" s="22" t="s">
        <v>201</v>
      </c>
      <c r="C162" s="22" t="s">
        <v>191</v>
      </c>
      <c r="D162" s="22" t="s">
        <v>202</v>
      </c>
      <c r="E162" s="22" t="s">
        <v>11</v>
      </c>
      <c r="F162" s="24" t="s">
        <v>12</v>
      </c>
    </row>
    <row r="163" ht="22.5" customHeight="1" spans="1:6">
      <c r="A163" s="23">
        <v>162</v>
      </c>
      <c r="B163" s="23" t="s">
        <v>203</v>
      </c>
      <c r="C163" s="23" t="s">
        <v>191</v>
      </c>
      <c r="D163" s="23" t="s">
        <v>192</v>
      </c>
      <c r="E163" s="23" t="s">
        <v>11</v>
      </c>
      <c r="F163" s="25" t="s">
        <v>12</v>
      </c>
    </row>
    <row r="164" ht="22.5" customHeight="1" spans="1:6">
      <c r="A164" s="22">
        <v>163</v>
      </c>
      <c r="B164" s="22" t="s">
        <v>204</v>
      </c>
      <c r="C164" s="22" t="s">
        <v>191</v>
      </c>
      <c r="D164" s="22" t="s">
        <v>205</v>
      </c>
      <c r="E164" s="22" t="s">
        <v>11</v>
      </c>
      <c r="F164" s="24" t="s">
        <v>12</v>
      </c>
    </row>
    <row r="165" ht="22.5" customHeight="1" spans="1:6">
      <c r="A165" s="23">
        <v>164</v>
      </c>
      <c r="B165" s="23" t="s">
        <v>206</v>
      </c>
      <c r="C165" s="23" t="s">
        <v>191</v>
      </c>
      <c r="D165" s="23" t="s">
        <v>207</v>
      </c>
      <c r="E165" s="23" t="s">
        <v>11</v>
      </c>
      <c r="F165" s="25" t="s">
        <v>12</v>
      </c>
    </row>
    <row r="166" ht="22.5" customHeight="1" spans="1:6">
      <c r="A166" s="22">
        <v>165</v>
      </c>
      <c r="B166" s="22" t="s">
        <v>208</v>
      </c>
      <c r="C166" s="22" t="s">
        <v>191</v>
      </c>
      <c r="D166" s="22" t="s">
        <v>209</v>
      </c>
      <c r="E166" s="22" t="s">
        <v>11</v>
      </c>
      <c r="F166" s="24" t="s">
        <v>12</v>
      </c>
    </row>
    <row r="167" ht="22.5" customHeight="1" spans="1:6">
      <c r="A167" s="23">
        <v>166</v>
      </c>
      <c r="B167" s="23" t="s">
        <v>210</v>
      </c>
      <c r="C167" s="23" t="s">
        <v>191</v>
      </c>
      <c r="D167" s="23" t="s">
        <v>192</v>
      </c>
      <c r="E167" s="23" t="s">
        <v>11</v>
      </c>
      <c r="F167" s="25" t="s">
        <v>12</v>
      </c>
    </row>
    <row r="168" ht="22.5" customHeight="1" spans="1:6">
      <c r="A168" s="22">
        <v>167</v>
      </c>
      <c r="B168" s="22" t="s">
        <v>211</v>
      </c>
      <c r="C168" s="22" t="s">
        <v>191</v>
      </c>
      <c r="D168" s="22" t="s">
        <v>192</v>
      </c>
      <c r="E168" s="22" t="s">
        <v>11</v>
      </c>
      <c r="F168" s="24" t="s">
        <v>12</v>
      </c>
    </row>
    <row r="169" ht="22.5" customHeight="1" spans="1:6">
      <c r="A169" s="23">
        <v>168</v>
      </c>
      <c r="B169" s="23" t="s">
        <v>212</v>
      </c>
      <c r="C169" s="23" t="s">
        <v>191</v>
      </c>
      <c r="D169" s="23" t="s">
        <v>213</v>
      </c>
      <c r="E169" s="23" t="s">
        <v>11</v>
      </c>
      <c r="F169" s="25" t="s">
        <v>12</v>
      </c>
    </row>
    <row r="170" ht="22.5" customHeight="1" spans="1:6">
      <c r="A170" s="22">
        <v>169</v>
      </c>
      <c r="B170" s="22" t="s">
        <v>214</v>
      </c>
      <c r="C170" s="22" t="s">
        <v>191</v>
      </c>
      <c r="D170" s="22" t="s">
        <v>192</v>
      </c>
      <c r="E170" s="22" t="s">
        <v>11</v>
      </c>
      <c r="F170" s="24" t="s">
        <v>12</v>
      </c>
    </row>
    <row r="171" ht="22.5" customHeight="1" spans="1:6">
      <c r="A171" s="23">
        <v>170</v>
      </c>
      <c r="B171" s="23" t="s">
        <v>215</v>
      </c>
      <c r="C171" s="23" t="s">
        <v>191</v>
      </c>
      <c r="D171" s="23" t="s">
        <v>216</v>
      </c>
      <c r="E171" s="23" t="s">
        <v>11</v>
      </c>
      <c r="F171" s="25" t="s">
        <v>12</v>
      </c>
    </row>
    <row r="172" ht="22.5" customHeight="1" spans="1:6">
      <c r="A172" s="22">
        <v>171</v>
      </c>
      <c r="B172" s="22" t="s">
        <v>217</v>
      </c>
      <c r="C172" s="22" t="s">
        <v>191</v>
      </c>
      <c r="D172" s="22" t="s">
        <v>192</v>
      </c>
      <c r="E172" s="22" t="s">
        <v>11</v>
      </c>
      <c r="F172" s="24" t="s">
        <v>12</v>
      </c>
    </row>
    <row r="173" ht="22.5" customHeight="1" spans="1:6">
      <c r="A173" s="23">
        <v>172</v>
      </c>
      <c r="B173" s="23" t="s">
        <v>218</v>
      </c>
      <c r="C173" s="23" t="s">
        <v>191</v>
      </c>
      <c r="D173" s="23" t="s">
        <v>192</v>
      </c>
      <c r="E173" s="23" t="s">
        <v>11</v>
      </c>
      <c r="F173" s="25" t="s">
        <v>12</v>
      </c>
    </row>
    <row r="174" ht="22.5" customHeight="1" spans="1:6">
      <c r="A174" s="22">
        <v>173</v>
      </c>
      <c r="B174" s="22" t="s">
        <v>219</v>
      </c>
      <c r="C174" s="22" t="s">
        <v>220</v>
      </c>
      <c r="D174" s="22" t="s">
        <v>221</v>
      </c>
      <c r="E174" s="22" t="s">
        <v>11</v>
      </c>
      <c r="F174" s="24" t="s">
        <v>12</v>
      </c>
    </row>
    <row r="175" ht="22.5" customHeight="1" spans="1:6">
      <c r="A175" s="23">
        <v>174</v>
      </c>
      <c r="B175" s="23" t="s">
        <v>222</v>
      </c>
      <c r="C175" s="23" t="s">
        <v>220</v>
      </c>
      <c r="D175" s="23" t="s">
        <v>223</v>
      </c>
      <c r="E175" s="23" t="s">
        <v>11</v>
      </c>
      <c r="F175" s="25" t="s">
        <v>12</v>
      </c>
    </row>
    <row r="176" ht="22.5" customHeight="1" spans="1:6">
      <c r="A176" s="22">
        <v>175</v>
      </c>
      <c r="B176" s="22" t="s">
        <v>224</v>
      </c>
      <c r="C176" s="22" t="s">
        <v>220</v>
      </c>
      <c r="D176" s="22" t="s">
        <v>221</v>
      </c>
      <c r="E176" s="22" t="s">
        <v>11</v>
      </c>
      <c r="F176" s="24" t="s">
        <v>12</v>
      </c>
    </row>
    <row r="177" ht="22.5" customHeight="1" spans="1:6">
      <c r="A177" s="23">
        <v>176</v>
      </c>
      <c r="B177" s="23" t="s">
        <v>225</v>
      </c>
      <c r="C177" s="23" t="s">
        <v>220</v>
      </c>
      <c r="D177" s="23" t="s">
        <v>221</v>
      </c>
      <c r="E177" s="23" t="s">
        <v>11</v>
      </c>
      <c r="F177" s="25" t="s">
        <v>12</v>
      </c>
    </row>
    <row r="178" ht="22.5" customHeight="1" spans="1:6">
      <c r="A178" s="22">
        <v>177</v>
      </c>
      <c r="B178" s="22" t="s">
        <v>226</v>
      </c>
      <c r="C178" s="22" t="s">
        <v>220</v>
      </c>
      <c r="D178" s="22" t="s">
        <v>221</v>
      </c>
      <c r="E178" s="22" t="s">
        <v>11</v>
      </c>
      <c r="F178" s="24" t="s">
        <v>12</v>
      </c>
    </row>
    <row r="179" ht="22.5" customHeight="1" spans="1:6">
      <c r="A179" s="23">
        <v>178</v>
      </c>
      <c r="B179" s="23" t="s">
        <v>227</v>
      </c>
      <c r="C179" s="23" t="s">
        <v>220</v>
      </c>
      <c r="D179" s="23" t="s">
        <v>221</v>
      </c>
      <c r="E179" s="23" t="s">
        <v>11</v>
      </c>
      <c r="F179" s="25" t="s">
        <v>12</v>
      </c>
    </row>
    <row r="180" ht="22.5" customHeight="1" spans="1:6">
      <c r="A180" s="22">
        <v>179</v>
      </c>
      <c r="B180" s="22" t="s">
        <v>228</v>
      </c>
      <c r="C180" s="22" t="s">
        <v>220</v>
      </c>
      <c r="D180" s="22" t="s">
        <v>229</v>
      </c>
      <c r="E180" s="22" t="s">
        <v>11</v>
      </c>
      <c r="F180" s="24" t="s">
        <v>12</v>
      </c>
    </row>
    <row r="181" ht="22.5" customHeight="1" spans="1:6">
      <c r="A181" s="23">
        <v>180</v>
      </c>
      <c r="B181" s="23" t="s">
        <v>230</v>
      </c>
      <c r="C181" s="23" t="s">
        <v>220</v>
      </c>
      <c r="D181" s="23" t="s">
        <v>231</v>
      </c>
      <c r="E181" s="23" t="s">
        <v>11</v>
      </c>
      <c r="F181" s="25" t="s">
        <v>12</v>
      </c>
    </row>
    <row r="182" ht="22.5" customHeight="1" spans="1:6">
      <c r="A182" s="22">
        <v>181</v>
      </c>
      <c r="B182" s="22" t="s">
        <v>232</v>
      </c>
      <c r="C182" s="22" t="s">
        <v>220</v>
      </c>
      <c r="D182" s="22" t="s">
        <v>233</v>
      </c>
      <c r="E182" s="22" t="s">
        <v>11</v>
      </c>
      <c r="F182" s="24" t="s">
        <v>12</v>
      </c>
    </row>
    <row r="183" ht="22.5" customHeight="1" spans="1:6">
      <c r="A183" s="23">
        <v>182</v>
      </c>
      <c r="B183" s="23" t="s">
        <v>234</v>
      </c>
      <c r="C183" s="23" t="s">
        <v>220</v>
      </c>
      <c r="D183" s="23" t="s">
        <v>221</v>
      </c>
      <c r="E183" s="23" t="s">
        <v>11</v>
      </c>
      <c r="F183" s="25" t="s">
        <v>12</v>
      </c>
    </row>
    <row r="184" ht="22.5" customHeight="1" spans="1:6">
      <c r="A184" s="22">
        <v>183</v>
      </c>
      <c r="B184" s="22" t="s">
        <v>235</v>
      </c>
      <c r="C184" s="22" t="s">
        <v>220</v>
      </c>
      <c r="D184" s="22" t="s">
        <v>223</v>
      </c>
      <c r="E184" s="22" t="s">
        <v>11</v>
      </c>
      <c r="F184" s="24" t="s">
        <v>12</v>
      </c>
    </row>
    <row r="185" ht="22.5" customHeight="1" spans="1:6">
      <c r="A185" s="23">
        <v>184</v>
      </c>
      <c r="B185" s="23" t="s">
        <v>236</v>
      </c>
      <c r="C185" s="23" t="s">
        <v>220</v>
      </c>
      <c r="D185" s="23" t="s">
        <v>223</v>
      </c>
      <c r="E185" s="23" t="s">
        <v>11</v>
      </c>
      <c r="F185" s="25" t="s">
        <v>12</v>
      </c>
    </row>
    <row r="186" ht="22.5" customHeight="1" spans="1:6">
      <c r="A186" s="22">
        <v>185</v>
      </c>
      <c r="B186" s="22" t="s">
        <v>237</v>
      </c>
      <c r="C186" s="22" t="s">
        <v>220</v>
      </c>
      <c r="D186" s="22" t="s">
        <v>223</v>
      </c>
      <c r="E186" s="22" t="s">
        <v>11</v>
      </c>
      <c r="F186" s="24" t="s">
        <v>12</v>
      </c>
    </row>
    <row r="187" ht="22.5" customHeight="1" spans="1:6">
      <c r="A187" s="23">
        <v>186</v>
      </c>
      <c r="B187" s="23" t="s">
        <v>238</v>
      </c>
      <c r="C187" s="23" t="s">
        <v>220</v>
      </c>
      <c r="D187" s="23" t="s">
        <v>221</v>
      </c>
      <c r="E187" s="23" t="s">
        <v>11</v>
      </c>
      <c r="F187" s="25" t="s">
        <v>12</v>
      </c>
    </row>
    <row r="188" ht="22.5" customHeight="1" spans="1:6">
      <c r="A188" s="22">
        <v>187</v>
      </c>
      <c r="B188" s="22" t="s">
        <v>239</v>
      </c>
      <c r="C188" s="22" t="s">
        <v>220</v>
      </c>
      <c r="D188" s="22" t="s">
        <v>240</v>
      </c>
      <c r="E188" s="22" t="s">
        <v>11</v>
      </c>
      <c r="F188" s="24" t="s">
        <v>12</v>
      </c>
    </row>
    <row r="189" ht="22.5" customHeight="1" spans="1:6">
      <c r="A189" s="23">
        <v>188</v>
      </c>
      <c r="B189" s="23" t="s">
        <v>241</v>
      </c>
      <c r="C189" s="23" t="s">
        <v>220</v>
      </c>
      <c r="D189" s="23" t="s">
        <v>221</v>
      </c>
      <c r="E189" s="23" t="s">
        <v>11</v>
      </c>
      <c r="F189" s="25" t="s">
        <v>12</v>
      </c>
    </row>
    <row r="190" ht="22.5" customHeight="1" spans="1:6">
      <c r="A190" s="22">
        <v>189</v>
      </c>
      <c r="B190" s="22" t="s">
        <v>242</v>
      </c>
      <c r="C190" s="22" t="s">
        <v>220</v>
      </c>
      <c r="D190" s="22" t="s">
        <v>223</v>
      </c>
      <c r="E190" s="22" t="s">
        <v>11</v>
      </c>
      <c r="F190" s="24" t="s">
        <v>12</v>
      </c>
    </row>
    <row r="191" ht="22.5" customHeight="1" spans="1:6">
      <c r="A191" s="23">
        <v>190</v>
      </c>
      <c r="B191" s="23" t="s">
        <v>243</v>
      </c>
      <c r="C191" s="23" t="s">
        <v>220</v>
      </c>
      <c r="D191" s="23" t="s">
        <v>221</v>
      </c>
      <c r="E191" s="23" t="s">
        <v>11</v>
      </c>
      <c r="F191" s="25" t="s">
        <v>12</v>
      </c>
    </row>
    <row r="192" ht="22.5" customHeight="1" spans="1:6">
      <c r="A192" s="22">
        <v>191</v>
      </c>
      <c r="B192" s="22" t="s">
        <v>244</v>
      </c>
      <c r="C192" s="22" t="s">
        <v>220</v>
      </c>
      <c r="D192" s="22" t="s">
        <v>240</v>
      </c>
      <c r="E192" s="22" t="s">
        <v>11</v>
      </c>
      <c r="F192" s="24" t="s">
        <v>12</v>
      </c>
    </row>
    <row r="193" ht="22.5" customHeight="1" spans="1:6">
      <c r="A193" s="23">
        <v>192</v>
      </c>
      <c r="B193" s="23" t="s">
        <v>245</v>
      </c>
      <c r="C193" s="23" t="s">
        <v>220</v>
      </c>
      <c r="D193" s="23" t="s">
        <v>223</v>
      </c>
      <c r="E193" s="23" t="s">
        <v>11</v>
      </c>
      <c r="F193" s="25" t="s">
        <v>12</v>
      </c>
    </row>
    <row r="194" ht="22.5" customHeight="1" spans="1:6">
      <c r="A194" s="22">
        <v>193</v>
      </c>
      <c r="B194" s="22" t="s">
        <v>246</v>
      </c>
      <c r="C194" s="22" t="s">
        <v>220</v>
      </c>
      <c r="D194" s="22" t="s">
        <v>221</v>
      </c>
      <c r="E194" s="22" t="s">
        <v>11</v>
      </c>
      <c r="F194" s="24" t="s">
        <v>12</v>
      </c>
    </row>
    <row r="195" ht="22.5" customHeight="1" spans="1:6">
      <c r="A195" s="23">
        <v>194</v>
      </c>
      <c r="B195" s="23" t="s">
        <v>247</v>
      </c>
      <c r="C195" s="23" t="s">
        <v>220</v>
      </c>
      <c r="D195" s="23" t="s">
        <v>221</v>
      </c>
      <c r="E195" s="23" t="s">
        <v>11</v>
      </c>
      <c r="F195" s="25" t="s">
        <v>12</v>
      </c>
    </row>
    <row r="196" ht="22.5" customHeight="1" spans="1:6">
      <c r="A196" s="22">
        <v>195</v>
      </c>
      <c r="B196" s="22" t="s">
        <v>248</v>
      </c>
      <c r="C196" s="22" t="s">
        <v>220</v>
      </c>
      <c r="D196" s="22" t="s">
        <v>221</v>
      </c>
      <c r="E196" s="22" t="s">
        <v>11</v>
      </c>
      <c r="F196" s="24" t="s">
        <v>12</v>
      </c>
    </row>
    <row r="197" ht="22.5" customHeight="1" spans="1:6">
      <c r="A197" s="23">
        <v>196</v>
      </c>
      <c r="B197" s="23" t="s">
        <v>249</v>
      </c>
      <c r="C197" s="23" t="s">
        <v>220</v>
      </c>
      <c r="D197" s="23" t="s">
        <v>223</v>
      </c>
      <c r="E197" s="23" t="s">
        <v>11</v>
      </c>
      <c r="F197" s="25" t="s">
        <v>12</v>
      </c>
    </row>
    <row r="198" ht="22.5" customHeight="1" spans="1:6">
      <c r="A198" s="22">
        <v>197</v>
      </c>
      <c r="B198" s="22" t="s">
        <v>250</v>
      </c>
      <c r="C198" s="22" t="s">
        <v>220</v>
      </c>
      <c r="D198" s="22" t="s">
        <v>221</v>
      </c>
      <c r="E198" s="22" t="s">
        <v>11</v>
      </c>
      <c r="F198" s="24" t="s">
        <v>12</v>
      </c>
    </row>
    <row r="199" ht="22.5" customHeight="1" spans="1:6">
      <c r="A199" s="23">
        <v>198</v>
      </c>
      <c r="B199" s="23" t="s">
        <v>251</v>
      </c>
      <c r="C199" s="23" t="s">
        <v>220</v>
      </c>
      <c r="D199" s="23" t="s">
        <v>240</v>
      </c>
      <c r="E199" s="23" t="s">
        <v>11</v>
      </c>
      <c r="F199" s="25" t="s">
        <v>12</v>
      </c>
    </row>
    <row r="200" ht="22.5" customHeight="1" spans="1:6">
      <c r="A200" s="22">
        <v>199</v>
      </c>
      <c r="B200" s="22" t="s">
        <v>252</v>
      </c>
      <c r="C200" s="22" t="s">
        <v>220</v>
      </c>
      <c r="D200" s="22" t="s">
        <v>229</v>
      </c>
      <c r="E200" s="22" t="s">
        <v>11</v>
      </c>
      <c r="F200" s="24" t="s">
        <v>12</v>
      </c>
    </row>
    <row r="201" ht="22.5" customHeight="1" spans="1:6">
      <c r="A201" s="23">
        <v>200</v>
      </c>
      <c r="B201" s="23" t="s">
        <v>253</v>
      </c>
      <c r="C201" s="23" t="s">
        <v>220</v>
      </c>
      <c r="D201" s="23" t="s">
        <v>223</v>
      </c>
      <c r="E201" s="23" t="s">
        <v>11</v>
      </c>
      <c r="F201" s="25" t="s">
        <v>12</v>
      </c>
    </row>
    <row r="202" ht="22.5" customHeight="1" spans="1:6">
      <c r="A202" s="22">
        <v>201</v>
      </c>
      <c r="B202" s="22" t="s">
        <v>254</v>
      </c>
      <c r="C202" s="22" t="s">
        <v>220</v>
      </c>
      <c r="D202" s="22" t="s">
        <v>223</v>
      </c>
      <c r="E202" s="22" t="s">
        <v>11</v>
      </c>
      <c r="F202" s="24" t="s">
        <v>12</v>
      </c>
    </row>
    <row r="203" ht="22.5" customHeight="1" spans="1:6">
      <c r="A203" s="23">
        <v>202</v>
      </c>
      <c r="B203" s="23" t="s">
        <v>255</v>
      </c>
      <c r="C203" s="23" t="s">
        <v>220</v>
      </c>
      <c r="D203" s="23" t="s">
        <v>221</v>
      </c>
      <c r="E203" s="23" t="s">
        <v>11</v>
      </c>
      <c r="F203" s="25" t="s">
        <v>12</v>
      </c>
    </row>
    <row r="204" ht="22.5" customHeight="1" spans="1:6">
      <c r="A204" s="22">
        <v>203</v>
      </c>
      <c r="B204" s="22" t="s">
        <v>256</v>
      </c>
      <c r="C204" s="22" t="s">
        <v>220</v>
      </c>
      <c r="D204" s="22" t="s">
        <v>221</v>
      </c>
      <c r="E204" s="22" t="s">
        <v>11</v>
      </c>
      <c r="F204" s="24" t="s">
        <v>12</v>
      </c>
    </row>
    <row r="205" ht="22.5" customHeight="1" spans="1:6">
      <c r="A205" s="23">
        <v>204</v>
      </c>
      <c r="B205" s="23" t="s">
        <v>257</v>
      </c>
      <c r="C205" s="23" t="s">
        <v>220</v>
      </c>
      <c r="D205" s="23" t="s">
        <v>221</v>
      </c>
      <c r="E205" s="23" t="s">
        <v>11</v>
      </c>
      <c r="F205" s="25" t="s">
        <v>12</v>
      </c>
    </row>
    <row r="206" ht="22.5" customHeight="1" spans="1:6">
      <c r="A206" s="22">
        <v>205</v>
      </c>
      <c r="B206" s="22" t="s">
        <v>258</v>
      </c>
      <c r="C206" s="22" t="s">
        <v>220</v>
      </c>
      <c r="D206" s="22" t="s">
        <v>221</v>
      </c>
      <c r="E206" s="22" t="s">
        <v>11</v>
      </c>
      <c r="F206" s="24" t="s">
        <v>12</v>
      </c>
    </row>
    <row r="207" ht="22.5" customHeight="1" spans="1:6">
      <c r="A207" s="23">
        <v>206</v>
      </c>
      <c r="B207" s="23" t="s">
        <v>259</v>
      </c>
      <c r="C207" s="23" t="s">
        <v>220</v>
      </c>
      <c r="D207" s="23" t="s">
        <v>221</v>
      </c>
      <c r="E207" s="23" t="s">
        <v>11</v>
      </c>
      <c r="F207" s="25" t="s">
        <v>12</v>
      </c>
    </row>
    <row r="208" ht="22.5" customHeight="1" spans="1:6">
      <c r="A208" s="22">
        <v>207</v>
      </c>
      <c r="B208" s="22" t="s">
        <v>260</v>
      </c>
      <c r="C208" s="22" t="s">
        <v>220</v>
      </c>
      <c r="D208" s="22" t="s">
        <v>223</v>
      </c>
      <c r="E208" s="22" t="s">
        <v>11</v>
      </c>
      <c r="F208" s="24" t="s">
        <v>12</v>
      </c>
    </row>
    <row r="209" ht="22.5" customHeight="1" spans="1:6">
      <c r="A209" s="23">
        <v>208</v>
      </c>
      <c r="B209" s="23" t="s">
        <v>261</v>
      </c>
      <c r="C209" s="23" t="s">
        <v>220</v>
      </c>
      <c r="D209" s="23" t="s">
        <v>262</v>
      </c>
      <c r="E209" s="23" t="s">
        <v>11</v>
      </c>
      <c r="F209" s="25" t="s">
        <v>12</v>
      </c>
    </row>
    <row r="210" ht="22.5" customHeight="1" spans="1:6">
      <c r="A210" s="22">
        <v>209</v>
      </c>
      <c r="B210" s="22" t="s">
        <v>263</v>
      </c>
      <c r="C210" s="22" t="s">
        <v>220</v>
      </c>
      <c r="D210" s="22" t="s">
        <v>223</v>
      </c>
      <c r="E210" s="22" t="s">
        <v>11</v>
      </c>
      <c r="F210" s="24" t="s">
        <v>12</v>
      </c>
    </row>
    <row r="211" ht="22.5" customHeight="1" spans="1:6">
      <c r="A211" s="23">
        <v>210</v>
      </c>
      <c r="B211" s="23" t="s">
        <v>264</v>
      </c>
      <c r="C211" s="23" t="s">
        <v>220</v>
      </c>
      <c r="D211" s="23" t="s">
        <v>221</v>
      </c>
      <c r="E211" s="23" t="s">
        <v>11</v>
      </c>
      <c r="F211" s="25" t="s">
        <v>12</v>
      </c>
    </row>
    <row r="212" ht="22.5" customHeight="1" spans="1:6">
      <c r="A212" s="22">
        <v>211</v>
      </c>
      <c r="B212" s="22" t="s">
        <v>265</v>
      </c>
      <c r="C212" s="22" t="s">
        <v>220</v>
      </c>
      <c r="D212" s="22" t="s">
        <v>266</v>
      </c>
      <c r="E212" s="22" t="s">
        <v>11</v>
      </c>
      <c r="F212" s="24" t="s">
        <v>12</v>
      </c>
    </row>
    <row r="213" ht="22.5" customHeight="1" spans="1:6">
      <c r="A213" s="23">
        <v>212</v>
      </c>
      <c r="B213" s="23" t="s">
        <v>267</v>
      </c>
      <c r="C213" s="23" t="s">
        <v>220</v>
      </c>
      <c r="D213" s="23" t="s">
        <v>223</v>
      </c>
      <c r="E213" s="23" t="s">
        <v>11</v>
      </c>
      <c r="F213" s="25" t="s">
        <v>12</v>
      </c>
    </row>
    <row r="214" ht="22.5" customHeight="1" spans="1:6">
      <c r="A214" s="22">
        <v>213</v>
      </c>
      <c r="B214" s="22" t="s">
        <v>268</v>
      </c>
      <c r="C214" s="22" t="s">
        <v>220</v>
      </c>
      <c r="D214" s="22" t="s">
        <v>269</v>
      </c>
      <c r="E214" s="22" t="s">
        <v>11</v>
      </c>
      <c r="F214" s="24" t="s">
        <v>12</v>
      </c>
    </row>
    <row r="215" ht="22.5" customHeight="1" spans="1:6">
      <c r="A215" s="23">
        <v>214</v>
      </c>
      <c r="B215" s="23" t="s">
        <v>270</v>
      </c>
      <c r="C215" s="23" t="s">
        <v>220</v>
      </c>
      <c r="D215" s="23" t="s">
        <v>271</v>
      </c>
      <c r="E215" s="23" t="s">
        <v>11</v>
      </c>
      <c r="F215" s="25" t="s">
        <v>12</v>
      </c>
    </row>
    <row r="216" ht="22.5" customHeight="1" spans="1:6">
      <c r="A216" s="22">
        <v>215</v>
      </c>
      <c r="B216" s="22" t="s">
        <v>272</v>
      </c>
      <c r="C216" s="22" t="s">
        <v>273</v>
      </c>
      <c r="D216" s="22" t="s">
        <v>274</v>
      </c>
      <c r="E216" s="22" t="s">
        <v>11</v>
      </c>
      <c r="F216" s="24" t="s">
        <v>12</v>
      </c>
    </row>
    <row r="217" ht="22.5" customHeight="1" spans="1:6">
      <c r="A217" s="23">
        <v>216</v>
      </c>
      <c r="B217" s="23" t="s">
        <v>275</v>
      </c>
      <c r="C217" s="23" t="s">
        <v>273</v>
      </c>
      <c r="D217" s="23" t="s">
        <v>276</v>
      </c>
      <c r="E217" s="23" t="s">
        <v>11</v>
      </c>
      <c r="F217" s="25" t="s">
        <v>12</v>
      </c>
    </row>
    <row r="218" ht="22.5" customHeight="1" spans="1:6">
      <c r="A218" s="22">
        <v>217</v>
      </c>
      <c r="B218" s="22" t="s">
        <v>277</v>
      </c>
      <c r="C218" s="22" t="s">
        <v>273</v>
      </c>
      <c r="D218" s="22" t="s">
        <v>274</v>
      </c>
      <c r="E218" s="22" t="s">
        <v>11</v>
      </c>
      <c r="F218" s="24" t="s">
        <v>12</v>
      </c>
    </row>
    <row r="219" ht="22.5" customHeight="1" spans="1:6">
      <c r="A219" s="23">
        <v>218</v>
      </c>
      <c r="B219" s="23" t="s">
        <v>278</v>
      </c>
      <c r="C219" s="23" t="s">
        <v>273</v>
      </c>
      <c r="D219" s="23" t="s">
        <v>279</v>
      </c>
      <c r="E219" s="23" t="s">
        <v>11</v>
      </c>
      <c r="F219" s="25" t="s">
        <v>12</v>
      </c>
    </row>
    <row r="220" ht="22.5" customHeight="1" spans="1:6">
      <c r="A220" s="22">
        <v>219</v>
      </c>
      <c r="B220" s="22" t="s">
        <v>280</v>
      </c>
      <c r="C220" s="22" t="s">
        <v>273</v>
      </c>
      <c r="D220" s="22" t="s">
        <v>274</v>
      </c>
      <c r="E220" s="22" t="s">
        <v>11</v>
      </c>
      <c r="F220" s="24" t="s">
        <v>12</v>
      </c>
    </row>
    <row r="221" ht="22.5" customHeight="1" spans="1:6">
      <c r="A221" s="23">
        <v>220</v>
      </c>
      <c r="B221" s="23" t="s">
        <v>281</v>
      </c>
      <c r="C221" s="23" t="s">
        <v>273</v>
      </c>
      <c r="D221" s="23" t="s">
        <v>274</v>
      </c>
      <c r="E221" s="23" t="s">
        <v>11</v>
      </c>
      <c r="F221" s="25" t="s">
        <v>12</v>
      </c>
    </row>
    <row r="222" ht="22.5" customHeight="1" spans="1:6">
      <c r="A222" s="22">
        <v>221</v>
      </c>
      <c r="B222" s="22" t="s">
        <v>282</v>
      </c>
      <c r="C222" s="22" t="s">
        <v>273</v>
      </c>
      <c r="D222" s="22" t="s">
        <v>279</v>
      </c>
      <c r="E222" s="22" t="s">
        <v>11</v>
      </c>
      <c r="F222" s="24" t="s">
        <v>12</v>
      </c>
    </row>
    <row r="223" ht="22.5" customHeight="1" spans="1:6">
      <c r="A223" s="23">
        <v>222</v>
      </c>
      <c r="B223" s="23" t="s">
        <v>283</v>
      </c>
      <c r="C223" s="23" t="s">
        <v>273</v>
      </c>
      <c r="D223" s="23" t="s">
        <v>274</v>
      </c>
      <c r="E223" s="23" t="s">
        <v>11</v>
      </c>
      <c r="F223" s="25" t="s">
        <v>12</v>
      </c>
    </row>
    <row r="224" ht="22.5" customHeight="1" spans="1:6">
      <c r="A224" s="22">
        <v>223</v>
      </c>
      <c r="B224" s="22" t="s">
        <v>284</v>
      </c>
      <c r="C224" s="22" t="s">
        <v>273</v>
      </c>
      <c r="D224" s="22" t="s">
        <v>274</v>
      </c>
      <c r="E224" s="22" t="s">
        <v>11</v>
      </c>
      <c r="F224" s="24" t="s">
        <v>12</v>
      </c>
    </row>
    <row r="225" ht="22.5" customHeight="1" spans="1:6">
      <c r="A225" s="23">
        <v>224</v>
      </c>
      <c r="B225" s="23" t="s">
        <v>285</v>
      </c>
      <c r="C225" s="23" t="s">
        <v>273</v>
      </c>
      <c r="D225" s="23" t="s">
        <v>274</v>
      </c>
      <c r="E225" s="23" t="s">
        <v>11</v>
      </c>
      <c r="F225" s="25" t="s">
        <v>12</v>
      </c>
    </row>
    <row r="226" ht="22.5" customHeight="1" spans="1:6">
      <c r="A226" s="22">
        <v>225</v>
      </c>
      <c r="B226" s="22" t="s">
        <v>286</v>
      </c>
      <c r="C226" s="22" t="s">
        <v>273</v>
      </c>
      <c r="D226" s="22" t="s">
        <v>279</v>
      </c>
      <c r="E226" s="22" t="s">
        <v>11</v>
      </c>
      <c r="F226" s="24" t="s">
        <v>12</v>
      </c>
    </row>
    <row r="227" ht="22.5" customHeight="1" spans="1:6">
      <c r="A227" s="23">
        <v>226</v>
      </c>
      <c r="B227" s="23" t="s">
        <v>287</v>
      </c>
      <c r="C227" s="23" t="s">
        <v>273</v>
      </c>
      <c r="D227" s="23" t="s">
        <v>288</v>
      </c>
      <c r="E227" s="23" t="s">
        <v>11</v>
      </c>
      <c r="F227" s="25" t="s">
        <v>12</v>
      </c>
    </row>
    <row r="228" ht="22.5" customHeight="1" spans="1:6">
      <c r="A228" s="22">
        <v>227</v>
      </c>
      <c r="B228" s="22" t="s">
        <v>289</v>
      </c>
      <c r="C228" s="22" t="s">
        <v>273</v>
      </c>
      <c r="D228" s="22" t="s">
        <v>290</v>
      </c>
      <c r="E228" s="22" t="s">
        <v>11</v>
      </c>
      <c r="F228" s="24" t="s">
        <v>12</v>
      </c>
    </row>
    <row r="229" ht="22.5" customHeight="1" spans="1:6">
      <c r="A229" s="23">
        <v>228</v>
      </c>
      <c r="B229" s="23" t="s">
        <v>291</v>
      </c>
      <c r="C229" s="23" t="s">
        <v>273</v>
      </c>
      <c r="D229" s="23" t="s">
        <v>274</v>
      </c>
      <c r="E229" s="23" t="s">
        <v>11</v>
      </c>
      <c r="F229" s="25" t="s">
        <v>12</v>
      </c>
    </row>
    <row r="230" ht="22.5" customHeight="1" spans="1:6">
      <c r="A230" s="22">
        <v>229</v>
      </c>
      <c r="B230" s="22" t="s">
        <v>292</v>
      </c>
      <c r="C230" s="22" t="s">
        <v>273</v>
      </c>
      <c r="D230" s="22" t="s">
        <v>274</v>
      </c>
      <c r="E230" s="22" t="s">
        <v>11</v>
      </c>
      <c r="F230" s="24" t="s">
        <v>12</v>
      </c>
    </row>
    <row r="231" ht="22.5" customHeight="1" spans="1:6">
      <c r="A231" s="23">
        <v>230</v>
      </c>
      <c r="B231" s="23" t="s">
        <v>293</v>
      </c>
      <c r="C231" s="23" t="s">
        <v>273</v>
      </c>
      <c r="D231" s="23" t="s">
        <v>294</v>
      </c>
      <c r="E231" s="23" t="s">
        <v>11</v>
      </c>
      <c r="F231" s="25" t="s">
        <v>12</v>
      </c>
    </row>
    <row r="232" ht="22.5" customHeight="1" spans="1:6">
      <c r="A232" s="22">
        <v>231</v>
      </c>
      <c r="B232" s="22" t="s">
        <v>295</v>
      </c>
      <c r="C232" s="22" t="s">
        <v>273</v>
      </c>
      <c r="D232" s="22" t="s">
        <v>274</v>
      </c>
      <c r="E232" s="22" t="s">
        <v>11</v>
      </c>
      <c r="F232" s="24" t="s">
        <v>12</v>
      </c>
    </row>
    <row r="233" ht="22.5" customHeight="1" spans="1:6">
      <c r="A233" s="23">
        <v>232</v>
      </c>
      <c r="B233" s="23" t="s">
        <v>296</v>
      </c>
      <c r="C233" s="23" t="s">
        <v>273</v>
      </c>
      <c r="D233" s="23" t="s">
        <v>274</v>
      </c>
      <c r="E233" s="23" t="s">
        <v>11</v>
      </c>
      <c r="F233" s="25" t="s">
        <v>12</v>
      </c>
    </row>
    <row r="234" ht="22.5" customHeight="1" spans="1:6">
      <c r="A234" s="22">
        <v>233</v>
      </c>
      <c r="B234" s="22" t="s">
        <v>297</v>
      </c>
      <c r="C234" s="22" t="s">
        <v>273</v>
      </c>
      <c r="D234" s="22" t="s">
        <v>274</v>
      </c>
      <c r="E234" s="22" t="s">
        <v>11</v>
      </c>
      <c r="F234" s="24" t="s">
        <v>12</v>
      </c>
    </row>
    <row r="235" ht="22.5" customHeight="1" spans="1:6">
      <c r="A235" s="23">
        <v>234</v>
      </c>
      <c r="B235" s="23" t="s">
        <v>298</v>
      </c>
      <c r="C235" s="23" t="s">
        <v>273</v>
      </c>
      <c r="D235" s="23" t="s">
        <v>274</v>
      </c>
      <c r="E235" s="23" t="s">
        <v>11</v>
      </c>
      <c r="F235" s="25" t="s">
        <v>12</v>
      </c>
    </row>
    <row r="236" ht="22.5" customHeight="1" spans="1:6">
      <c r="A236" s="22">
        <v>235</v>
      </c>
      <c r="B236" s="22" t="s">
        <v>299</v>
      </c>
      <c r="C236" s="22" t="s">
        <v>273</v>
      </c>
      <c r="D236" s="22" t="s">
        <v>274</v>
      </c>
      <c r="E236" s="22" t="s">
        <v>11</v>
      </c>
      <c r="F236" s="24" t="s">
        <v>12</v>
      </c>
    </row>
    <row r="237" ht="22.5" customHeight="1" spans="1:6">
      <c r="A237" s="23">
        <v>236</v>
      </c>
      <c r="B237" s="23" t="s">
        <v>300</v>
      </c>
      <c r="C237" s="23" t="s">
        <v>273</v>
      </c>
      <c r="D237" s="23" t="s">
        <v>279</v>
      </c>
      <c r="E237" s="23" t="s">
        <v>11</v>
      </c>
      <c r="F237" s="25" t="s">
        <v>12</v>
      </c>
    </row>
    <row r="238" ht="22.5" customHeight="1" spans="1:6">
      <c r="A238" s="22">
        <v>237</v>
      </c>
      <c r="B238" s="22" t="s">
        <v>301</v>
      </c>
      <c r="C238" s="22" t="s">
        <v>273</v>
      </c>
      <c r="D238" s="22" t="s">
        <v>274</v>
      </c>
      <c r="E238" s="22" t="s">
        <v>11</v>
      </c>
      <c r="F238" s="24" t="s">
        <v>12</v>
      </c>
    </row>
    <row r="239" ht="22.5" customHeight="1" spans="1:6">
      <c r="A239" s="23">
        <v>238</v>
      </c>
      <c r="B239" s="23" t="s">
        <v>302</v>
      </c>
      <c r="C239" s="23" t="s">
        <v>273</v>
      </c>
      <c r="D239" s="23" t="s">
        <v>274</v>
      </c>
      <c r="E239" s="23" t="s">
        <v>11</v>
      </c>
      <c r="F239" s="25" t="s">
        <v>12</v>
      </c>
    </row>
    <row r="240" ht="22.5" customHeight="1" spans="1:6">
      <c r="A240" s="22">
        <v>239</v>
      </c>
      <c r="B240" s="22" t="s">
        <v>303</v>
      </c>
      <c r="C240" s="22" t="s">
        <v>273</v>
      </c>
      <c r="D240" s="22" t="s">
        <v>279</v>
      </c>
      <c r="E240" s="22" t="s">
        <v>11</v>
      </c>
      <c r="F240" s="24" t="s">
        <v>12</v>
      </c>
    </row>
    <row r="241" ht="22.5" customHeight="1" spans="1:6">
      <c r="A241" s="23">
        <v>240</v>
      </c>
      <c r="B241" s="23" t="s">
        <v>304</v>
      </c>
      <c r="C241" s="23" t="s">
        <v>273</v>
      </c>
      <c r="D241" s="23" t="s">
        <v>274</v>
      </c>
      <c r="E241" s="23" t="s">
        <v>11</v>
      </c>
      <c r="F241" s="25" t="s">
        <v>12</v>
      </c>
    </row>
    <row r="242" ht="22.5" customHeight="1" spans="1:6">
      <c r="A242" s="22">
        <v>241</v>
      </c>
      <c r="B242" s="22" t="s">
        <v>305</v>
      </c>
      <c r="C242" s="22" t="s">
        <v>273</v>
      </c>
      <c r="D242" s="22" t="s">
        <v>274</v>
      </c>
      <c r="E242" s="22" t="s">
        <v>11</v>
      </c>
      <c r="F242" s="24" t="s">
        <v>12</v>
      </c>
    </row>
    <row r="243" ht="22.5" customHeight="1" spans="1:6">
      <c r="A243" s="23">
        <v>242</v>
      </c>
      <c r="B243" s="23" t="s">
        <v>306</v>
      </c>
      <c r="C243" s="23" t="s">
        <v>273</v>
      </c>
      <c r="D243" s="23" t="s">
        <v>279</v>
      </c>
      <c r="E243" s="23" t="s">
        <v>11</v>
      </c>
      <c r="F243" s="25" t="s">
        <v>12</v>
      </c>
    </row>
    <row r="244" ht="22.5" customHeight="1" spans="1:6">
      <c r="A244" s="22">
        <v>243</v>
      </c>
      <c r="B244" s="22" t="s">
        <v>307</v>
      </c>
      <c r="C244" s="22" t="s">
        <v>308</v>
      </c>
      <c r="D244" s="22" t="s">
        <v>309</v>
      </c>
      <c r="E244" s="22" t="s">
        <v>11</v>
      </c>
      <c r="F244" s="24" t="s">
        <v>12</v>
      </c>
    </row>
    <row r="245" ht="22.5" customHeight="1" spans="1:6">
      <c r="A245" s="23">
        <v>244</v>
      </c>
      <c r="B245" s="23" t="s">
        <v>310</v>
      </c>
      <c r="C245" s="23" t="s">
        <v>308</v>
      </c>
      <c r="D245" s="23" t="s">
        <v>309</v>
      </c>
      <c r="E245" s="23" t="s">
        <v>11</v>
      </c>
      <c r="F245" s="25" t="s">
        <v>12</v>
      </c>
    </row>
    <row r="246" ht="22.5" customHeight="1" spans="1:6">
      <c r="A246" s="22">
        <v>245</v>
      </c>
      <c r="B246" s="22" t="s">
        <v>311</v>
      </c>
      <c r="C246" s="22" t="s">
        <v>308</v>
      </c>
      <c r="D246" s="22" t="s">
        <v>309</v>
      </c>
      <c r="E246" s="22" t="s">
        <v>11</v>
      </c>
      <c r="F246" s="24" t="s">
        <v>12</v>
      </c>
    </row>
    <row r="247" ht="22.5" customHeight="1" spans="1:6">
      <c r="A247" s="23">
        <v>246</v>
      </c>
      <c r="B247" s="23" t="s">
        <v>312</v>
      </c>
      <c r="C247" s="23" t="s">
        <v>308</v>
      </c>
      <c r="D247" s="23" t="s">
        <v>309</v>
      </c>
      <c r="E247" s="23" t="s">
        <v>11</v>
      </c>
      <c r="F247" s="25" t="s">
        <v>12</v>
      </c>
    </row>
    <row r="248" ht="22.5" customHeight="1" spans="1:6">
      <c r="A248" s="22">
        <v>247</v>
      </c>
      <c r="B248" s="22" t="s">
        <v>313</v>
      </c>
      <c r="C248" s="22" t="s">
        <v>308</v>
      </c>
      <c r="D248" s="22" t="s">
        <v>309</v>
      </c>
      <c r="E248" s="22" t="s">
        <v>11</v>
      </c>
      <c r="F248" s="24" t="s">
        <v>12</v>
      </c>
    </row>
    <row r="249" ht="22.5" customHeight="1" spans="1:6">
      <c r="A249" s="23">
        <v>248</v>
      </c>
      <c r="B249" s="23" t="s">
        <v>314</v>
      </c>
      <c r="C249" s="23" t="s">
        <v>308</v>
      </c>
      <c r="D249" s="23" t="s">
        <v>315</v>
      </c>
      <c r="E249" s="23" t="s">
        <v>11</v>
      </c>
      <c r="F249" s="25" t="s">
        <v>12</v>
      </c>
    </row>
    <row r="250" ht="22.5" customHeight="1" spans="1:6">
      <c r="A250" s="22">
        <v>249</v>
      </c>
      <c r="B250" s="22" t="s">
        <v>316</v>
      </c>
      <c r="C250" s="22" t="s">
        <v>308</v>
      </c>
      <c r="D250" s="22" t="s">
        <v>317</v>
      </c>
      <c r="E250" s="22" t="s">
        <v>11</v>
      </c>
      <c r="F250" s="24" t="s">
        <v>12</v>
      </c>
    </row>
    <row r="251" ht="22.5" customHeight="1" spans="1:6">
      <c r="A251" s="23">
        <v>250</v>
      </c>
      <c r="B251" s="23" t="s">
        <v>318</v>
      </c>
      <c r="C251" s="23" t="s">
        <v>308</v>
      </c>
      <c r="D251" s="23" t="s">
        <v>315</v>
      </c>
      <c r="E251" s="23" t="s">
        <v>11</v>
      </c>
      <c r="F251" s="25" t="s">
        <v>12</v>
      </c>
    </row>
    <row r="252" ht="22.5" customHeight="1" spans="1:6">
      <c r="A252" s="22">
        <v>251</v>
      </c>
      <c r="B252" s="22" t="s">
        <v>319</v>
      </c>
      <c r="C252" s="22" t="s">
        <v>308</v>
      </c>
      <c r="D252" s="22" t="s">
        <v>309</v>
      </c>
      <c r="E252" s="22" t="s">
        <v>11</v>
      </c>
      <c r="F252" s="24" t="s">
        <v>12</v>
      </c>
    </row>
    <row r="253" ht="22.5" customHeight="1" spans="1:6">
      <c r="A253" s="23">
        <v>252</v>
      </c>
      <c r="B253" s="23" t="s">
        <v>320</v>
      </c>
      <c r="C253" s="23" t="s">
        <v>308</v>
      </c>
      <c r="D253" s="23" t="s">
        <v>309</v>
      </c>
      <c r="E253" s="23" t="s">
        <v>11</v>
      </c>
      <c r="F253" s="25" t="s">
        <v>12</v>
      </c>
    </row>
    <row r="254" ht="22.5" customHeight="1" spans="1:6">
      <c r="A254" s="22">
        <v>253</v>
      </c>
      <c r="B254" s="22" t="s">
        <v>321</v>
      </c>
      <c r="C254" s="22" t="s">
        <v>308</v>
      </c>
      <c r="D254" s="22" t="s">
        <v>309</v>
      </c>
      <c r="E254" s="22" t="s">
        <v>11</v>
      </c>
      <c r="F254" s="24" t="s">
        <v>12</v>
      </c>
    </row>
    <row r="255" ht="22.5" customHeight="1" spans="1:6">
      <c r="A255" s="23">
        <v>254</v>
      </c>
      <c r="B255" s="23" t="s">
        <v>322</v>
      </c>
      <c r="C255" s="23" t="s">
        <v>308</v>
      </c>
      <c r="D255" s="23" t="s">
        <v>309</v>
      </c>
      <c r="E255" s="23" t="s">
        <v>11</v>
      </c>
      <c r="F255" s="25" t="s">
        <v>12</v>
      </c>
    </row>
    <row r="256" ht="22.5" customHeight="1" spans="1:6">
      <c r="A256" s="22">
        <v>255</v>
      </c>
      <c r="B256" s="22" t="s">
        <v>323</v>
      </c>
      <c r="C256" s="22" t="s">
        <v>308</v>
      </c>
      <c r="D256" s="22" t="s">
        <v>324</v>
      </c>
      <c r="E256" s="22" t="s">
        <v>11</v>
      </c>
      <c r="F256" s="24" t="s">
        <v>12</v>
      </c>
    </row>
    <row r="257" ht="22.5" customHeight="1" spans="1:6">
      <c r="A257" s="23">
        <v>256</v>
      </c>
      <c r="B257" s="23" t="s">
        <v>325</v>
      </c>
      <c r="C257" s="23" t="s">
        <v>308</v>
      </c>
      <c r="D257" s="23" t="s">
        <v>309</v>
      </c>
      <c r="E257" s="23" t="s">
        <v>11</v>
      </c>
      <c r="F257" s="25" t="s">
        <v>12</v>
      </c>
    </row>
    <row r="258" ht="22.5" customHeight="1" spans="1:6">
      <c r="A258" s="22">
        <v>257</v>
      </c>
      <c r="B258" s="22" t="s">
        <v>326</v>
      </c>
      <c r="C258" s="22" t="s">
        <v>308</v>
      </c>
      <c r="D258" s="22" t="s">
        <v>327</v>
      </c>
      <c r="E258" s="22" t="s">
        <v>11</v>
      </c>
      <c r="F258" s="24" t="s">
        <v>12</v>
      </c>
    </row>
    <row r="259" ht="22.5" customHeight="1" spans="1:6">
      <c r="A259" s="23">
        <v>258</v>
      </c>
      <c r="B259" s="23" t="s">
        <v>328</v>
      </c>
      <c r="C259" s="23" t="s">
        <v>308</v>
      </c>
      <c r="D259" s="23" t="s">
        <v>324</v>
      </c>
      <c r="E259" s="23" t="s">
        <v>11</v>
      </c>
      <c r="F259" s="25" t="s">
        <v>12</v>
      </c>
    </row>
    <row r="260" ht="22.5" customHeight="1" spans="1:6">
      <c r="A260" s="22">
        <v>259</v>
      </c>
      <c r="B260" s="22" t="s">
        <v>329</v>
      </c>
      <c r="C260" s="22" t="s">
        <v>308</v>
      </c>
      <c r="D260" s="22" t="s">
        <v>309</v>
      </c>
      <c r="E260" s="22" t="s">
        <v>11</v>
      </c>
      <c r="F260" s="24" t="s">
        <v>12</v>
      </c>
    </row>
    <row r="261" ht="22.5" customHeight="1" spans="1:6">
      <c r="A261" s="23">
        <v>260</v>
      </c>
      <c r="B261" s="23" t="s">
        <v>330</v>
      </c>
      <c r="C261" s="23" t="s">
        <v>308</v>
      </c>
      <c r="D261" s="23" t="s">
        <v>315</v>
      </c>
      <c r="E261" s="23" t="s">
        <v>11</v>
      </c>
      <c r="F261" s="25" t="s">
        <v>12</v>
      </c>
    </row>
    <row r="262" ht="22.5" customHeight="1" spans="1:6">
      <c r="A262" s="22">
        <v>261</v>
      </c>
      <c r="B262" s="22" t="s">
        <v>331</v>
      </c>
      <c r="C262" s="22" t="s">
        <v>308</v>
      </c>
      <c r="D262" s="22" t="s">
        <v>332</v>
      </c>
      <c r="E262" s="22" t="s">
        <v>11</v>
      </c>
      <c r="F262" s="24" t="s">
        <v>12</v>
      </c>
    </row>
    <row r="263" ht="22.5" customHeight="1" spans="1:6">
      <c r="A263" s="23">
        <v>262</v>
      </c>
      <c r="B263" s="23" t="s">
        <v>333</v>
      </c>
      <c r="C263" s="23" t="s">
        <v>308</v>
      </c>
      <c r="D263" s="23" t="s">
        <v>309</v>
      </c>
      <c r="E263" s="23" t="s">
        <v>11</v>
      </c>
      <c r="F263" s="25" t="s">
        <v>12</v>
      </c>
    </row>
    <row r="264" ht="22.5" customHeight="1" spans="1:6">
      <c r="A264" s="22">
        <v>263</v>
      </c>
      <c r="B264" s="22" t="s">
        <v>334</v>
      </c>
      <c r="C264" s="22" t="s">
        <v>308</v>
      </c>
      <c r="D264" s="22" t="s">
        <v>309</v>
      </c>
      <c r="E264" s="22" t="s">
        <v>11</v>
      </c>
      <c r="F264" s="24" t="s">
        <v>12</v>
      </c>
    </row>
    <row r="265" ht="22.5" customHeight="1" spans="1:6">
      <c r="A265" s="23">
        <v>264</v>
      </c>
      <c r="B265" s="23" t="s">
        <v>335</v>
      </c>
      <c r="C265" s="23" t="s">
        <v>308</v>
      </c>
      <c r="D265" s="23" t="s">
        <v>309</v>
      </c>
      <c r="E265" s="23" t="s">
        <v>11</v>
      </c>
      <c r="F265" s="25" t="s">
        <v>12</v>
      </c>
    </row>
    <row r="266" ht="22.5" customHeight="1" spans="1:6">
      <c r="A266" s="22">
        <v>265</v>
      </c>
      <c r="B266" s="22" t="s">
        <v>336</v>
      </c>
      <c r="C266" s="22" t="s">
        <v>308</v>
      </c>
      <c r="D266" s="22" t="s">
        <v>327</v>
      </c>
      <c r="E266" s="22" t="s">
        <v>11</v>
      </c>
      <c r="F266" s="24" t="s">
        <v>12</v>
      </c>
    </row>
    <row r="267" ht="22.5" customHeight="1" spans="1:6">
      <c r="A267" s="23">
        <v>266</v>
      </c>
      <c r="B267" s="23" t="s">
        <v>337</v>
      </c>
      <c r="C267" s="23" t="s">
        <v>308</v>
      </c>
      <c r="D267" s="23" t="s">
        <v>338</v>
      </c>
      <c r="E267" s="23" t="s">
        <v>11</v>
      </c>
      <c r="F267" s="25" t="s">
        <v>12</v>
      </c>
    </row>
    <row r="268" ht="22.5" customHeight="1" spans="1:6">
      <c r="A268" s="22">
        <v>267</v>
      </c>
      <c r="B268" s="22" t="s">
        <v>339</v>
      </c>
      <c r="C268" s="22" t="s">
        <v>308</v>
      </c>
      <c r="D268" s="22" t="s">
        <v>309</v>
      </c>
      <c r="E268" s="22" t="s">
        <v>11</v>
      </c>
      <c r="F268" s="24" t="s">
        <v>12</v>
      </c>
    </row>
    <row r="269" ht="22.5" customHeight="1" spans="1:6">
      <c r="A269" s="23">
        <v>268</v>
      </c>
      <c r="B269" s="23" t="s">
        <v>340</v>
      </c>
      <c r="C269" s="23" t="s">
        <v>308</v>
      </c>
      <c r="D269" s="23" t="s">
        <v>341</v>
      </c>
      <c r="E269" s="23" t="s">
        <v>11</v>
      </c>
      <c r="F269" s="25" t="s">
        <v>12</v>
      </c>
    </row>
    <row r="270" ht="22.5" customHeight="1" spans="1:6">
      <c r="A270" s="22">
        <v>269</v>
      </c>
      <c r="B270" s="22" t="s">
        <v>342</v>
      </c>
      <c r="C270" s="22" t="s">
        <v>308</v>
      </c>
      <c r="D270" s="22" t="s">
        <v>309</v>
      </c>
      <c r="E270" s="22" t="s">
        <v>11</v>
      </c>
      <c r="F270" s="24" t="s">
        <v>12</v>
      </c>
    </row>
    <row r="271" ht="22.5" customHeight="1" spans="1:6">
      <c r="A271" s="23">
        <v>270</v>
      </c>
      <c r="B271" s="23" t="s">
        <v>343</v>
      </c>
      <c r="C271" s="23" t="s">
        <v>308</v>
      </c>
      <c r="D271" s="23" t="s">
        <v>309</v>
      </c>
      <c r="E271" s="23" t="s">
        <v>11</v>
      </c>
      <c r="F271" s="25" t="s">
        <v>12</v>
      </c>
    </row>
    <row r="272" ht="22.5" customHeight="1" spans="1:6">
      <c r="A272" s="22">
        <v>271</v>
      </c>
      <c r="B272" s="22" t="s">
        <v>344</v>
      </c>
      <c r="C272" s="22" t="s">
        <v>308</v>
      </c>
      <c r="D272" s="22" t="s">
        <v>309</v>
      </c>
      <c r="E272" s="22" t="s">
        <v>11</v>
      </c>
      <c r="F272" s="24" t="s">
        <v>12</v>
      </c>
    </row>
    <row r="273" ht="22.5" customHeight="1" spans="1:6">
      <c r="A273" s="23">
        <v>272</v>
      </c>
      <c r="B273" s="23" t="s">
        <v>345</v>
      </c>
      <c r="C273" s="23" t="s">
        <v>308</v>
      </c>
      <c r="D273" s="23" t="s">
        <v>309</v>
      </c>
      <c r="E273" s="23" t="s">
        <v>11</v>
      </c>
      <c r="F273" s="25" t="s">
        <v>12</v>
      </c>
    </row>
    <row r="274" ht="22.5" customHeight="1" spans="1:6">
      <c r="A274" s="22">
        <v>273</v>
      </c>
      <c r="B274" s="22" t="s">
        <v>346</v>
      </c>
      <c r="C274" s="22" t="s">
        <v>347</v>
      </c>
      <c r="D274" s="22" t="s">
        <v>347</v>
      </c>
      <c r="E274" s="22" t="s">
        <v>11</v>
      </c>
      <c r="F274" s="24" t="s">
        <v>12</v>
      </c>
    </row>
    <row r="275" ht="22.5" customHeight="1" spans="1:6">
      <c r="A275" s="23">
        <v>274</v>
      </c>
      <c r="B275" s="23" t="s">
        <v>348</v>
      </c>
      <c r="C275" s="23" t="s">
        <v>347</v>
      </c>
      <c r="D275" s="23" t="s">
        <v>347</v>
      </c>
      <c r="E275" s="23" t="s">
        <v>11</v>
      </c>
      <c r="F275" s="25" t="s">
        <v>12</v>
      </c>
    </row>
    <row r="276" ht="22.5" customHeight="1" spans="1:6">
      <c r="A276" s="22">
        <v>275</v>
      </c>
      <c r="B276" s="22" t="s">
        <v>349</v>
      </c>
      <c r="C276" s="22" t="s">
        <v>347</v>
      </c>
      <c r="D276" s="22" t="s">
        <v>347</v>
      </c>
      <c r="E276" s="22" t="s">
        <v>11</v>
      </c>
      <c r="F276" s="24" t="s">
        <v>12</v>
      </c>
    </row>
    <row r="277" ht="22.5" customHeight="1" spans="1:6">
      <c r="A277" s="23">
        <v>276</v>
      </c>
      <c r="B277" s="23" t="s">
        <v>350</v>
      </c>
      <c r="C277" s="23" t="s">
        <v>347</v>
      </c>
      <c r="D277" s="23" t="s">
        <v>347</v>
      </c>
      <c r="E277" s="23" t="s">
        <v>11</v>
      </c>
      <c r="F277" s="25" t="s">
        <v>12</v>
      </c>
    </row>
    <row r="278" ht="22.5" customHeight="1" spans="1:6">
      <c r="A278" s="22">
        <v>277</v>
      </c>
      <c r="B278" s="22" t="s">
        <v>351</v>
      </c>
      <c r="C278" s="22" t="s">
        <v>347</v>
      </c>
      <c r="D278" s="22" t="s">
        <v>347</v>
      </c>
      <c r="E278" s="22" t="s">
        <v>11</v>
      </c>
      <c r="F278" s="24" t="s">
        <v>12</v>
      </c>
    </row>
    <row r="279" ht="22.5" customHeight="1" spans="1:6">
      <c r="A279" s="23">
        <v>278</v>
      </c>
      <c r="B279" s="23" t="s">
        <v>352</v>
      </c>
      <c r="C279" s="23" t="s">
        <v>347</v>
      </c>
      <c r="D279" s="23" t="s">
        <v>347</v>
      </c>
      <c r="E279" s="23" t="s">
        <v>11</v>
      </c>
      <c r="F279" s="25" t="s">
        <v>12</v>
      </c>
    </row>
    <row r="280" ht="22.5" customHeight="1" spans="1:6">
      <c r="A280" s="22">
        <v>279</v>
      </c>
      <c r="B280" s="22" t="s">
        <v>353</v>
      </c>
      <c r="C280" s="22" t="s">
        <v>347</v>
      </c>
      <c r="D280" s="22" t="s">
        <v>347</v>
      </c>
      <c r="E280" s="22" t="s">
        <v>11</v>
      </c>
      <c r="F280" s="24" t="s">
        <v>12</v>
      </c>
    </row>
    <row r="281" ht="22.5" customHeight="1" spans="1:6">
      <c r="A281" s="23">
        <v>280</v>
      </c>
      <c r="B281" s="23" t="s">
        <v>354</v>
      </c>
      <c r="C281" s="23" t="s">
        <v>347</v>
      </c>
      <c r="D281" s="23" t="s">
        <v>347</v>
      </c>
      <c r="E281" s="23" t="s">
        <v>11</v>
      </c>
      <c r="F281" s="25" t="s">
        <v>12</v>
      </c>
    </row>
    <row r="282" ht="22.5" customHeight="1" spans="1:6">
      <c r="A282" s="22">
        <v>281</v>
      </c>
      <c r="B282" s="22" t="s">
        <v>355</v>
      </c>
      <c r="C282" s="22" t="s">
        <v>347</v>
      </c>
      <c r="D282" s="22" t="s">
        <v>347</v>
      </c>
      <c r="E282" s="22" t="s">
        <v>11</v>
      </c>
      <c r="F282" s="24" t="s">
        <v>12</v>
      </c>
    </row>
    <row r="283" ht="22.5" customHeight="1" spans="1:6">
      <c r="A283" s="23">
        <v>282</v>
      </c>
      <c r="B283" s="23" t="s">
        <v>356</v>
      </c>
      <c r="C283" s="23" t="s">
        <v>347</v>
      </c>
      <c r="D283" s="23" t="s">
        <v>347</v>
      </c>
      <c r="E283" s="23" t="s">
        <v>11</v>
      </c>
      <c r="F283" s="25" t="s">
        <v>12</v>
      </c>
    </row>
    <row r="284" ht="22.5" customHeight="1" spans="1:6">
      <c r="A284" s="22">
        <v>283</v>
      </c>
      <c r="B284" s="22" t="s">
        <v>357</v>
      </c>
      <c r="C284" s="22" t="s">
        <v>347</v>
      </c>
      <c r="D284" s="22" t="s">
        <v>347</v>
      </c>
      <c r="E284" s="22" t="s">
        <v>11</v>
      </c>
      <c r="F284" s="24" t="s">
        <v>12</v>
      </c>
    </row>
    <row r="285" ht="22.5" customHeight="1" spans="1:6">
      <c r="A285" s="23">
        <v>284</v>
      </c>
      <c r="B285" s="23" t="s">
        <v>358</v>
      </c>
      <c r="C285" s="23" t="s">
        <v>347</v>
      </c>
      <c r="D285" s="23" t="s">
        <v>347</v>
      </c>
      <c r="E285" s="23" t="s">
        <v>11</v>
      </c>
      <c r="F285" s="25" t="s">
        <v>12</v>
      </c>
    </row>
    <row r="286" ht="22.5" customHeight="1" spans="1:6">
      <c r="A286" s="22">
        <v>285</v>
      </c>
      <c r="B286" s="22" t="s">
        <v>359</v>
      </c>
      <c r="C286" s="22" t="s">
        <v>347</v>
      </c>
      <c r="D286" s="22" t="s">
        <v>347</v>
      </c>
      <c r="E286" s="22" t="s">
        <v>11</v>
      </c>
      <c r="F286" s="24" t="s">
        <v>12</v>
      </c>
    </row>
    <row r="287" ht="22.5" customHeight="1" spans="1:6">
      <c r="A287" s="23">
        <v>286</v>
      </c>
      <c r="B287" s="23" t="s">
        <v>360</v>
      </c>
      <c r="C287" s="23" t="s">
        <v>347</v>
      </c>
      <c r="D287" s="23" t="s">
        <v>347</v>
      </c>
      <c r="E287" s="23" t="s">
        <v>11</v>
      </c>
      <c r="F287" s="25" t="s">
        <v>12</v>
      </c>
    </row>
    <row r="288" ht="22.5" customHeight="1" spans="1:6">
      <c r="A288" s="22">
        <v>287</v>
      </c>
      <c r="B288" s="22" t="s">
        <v>361</v>
      </c>
      <c r="C288" s="22" t="s">
        <v>347</v>
      </c>
      <c r="D288" s="22" t="s">
        <v>347</v>
      </c>
      <c r="E288" s="22" t="s">
        <v>11</v>
      </c>
      <c r="F288" s="24" t="s">
        <v>12</v>
      </c>
    </row>
    <row r="289" ht="22.5" customHeight="1" spans="1:6">
      <c r="A289" s="23">
        <v>288</v>
      </c>
      <c r="B289" s="23" t="s">
        <v>362</v>
      </c>
      <c r="C289" s="23" t="s">
        <v>347</v>
      </c>
      <c r="D289" s="23" t="s">
        <v>347</v>
      </c>
      <c r="E289" s="23" t="s">
        <v>11</v>
      </c>
      <c r="F289" s="25" t="s">
        <v>12</v>
      </c>
    </row>
    <row r="290" ht="22.5" customHeight="1" spans="1:6">
      <c r="A290" s="22">
        <v>289</v>
      </c>
      <c r="B290" s="22" t="s">
        <v>363</v>
      </c>
      <c r="C290" s="22" t="s">
        <v>347</v>
      </c>
      <c r="D290" s="22" t="s">
        <v>347</v>
      </c>
      <c r="E290" s="22" t="s">
        <v>11</v>
      </c>
      <c r="F290" s="24" t="s">
        <v>12</v>
      </c>
    </row>
    <row r="291" ht="22.5" customHeight="1" spans="1:6">
      <c r="A291" s="23">
        <v>290</v>
      </c>
      <c r="B291" s="23" t="s">
        <v>364</v>
      </c>
      <c r="C291" s="23" t="s">
        <v>347</v>
      </c>
      <c r="D291" s="23" t="s">
        <v>347</v>
      </c>
      <c r="E291" s="23" t="s">
        <v>11</v>
      </c>
      <c r="F291" s="25" t="s">
        <v>12</v>
      </c>
    </row>
    <row r="292" ht="22.5" customHeight="1" spans="1:6">
      <c r="A292" s="22">
        <v>291</v>
      </c>
      <c r="B292" s="22" t="s">
        <v>365</v>
      </c>
      <c r="C292" s="22" t="s">
        <v>347</v>
      </c>
      <c r="D292" s="22" t="s">
        <v>347</v>
      </c>
      <c r="E292" s="22" t="s">
        <v>11</v>
      </c>
      <c r="F292" s="24" t="s">
        <v>12</v>
      </c>
    </row>
    <row r="293" ht="22.5" customHeight="1" spans="1:6">
      <c r="A293" s="23">
        <v>292</v>
      </c>
      <c r="B293" s="23" t="s">
        <v>366</v>
      </c>
      <c r="C293" s="23" t="s">
        <v>347</v>
      </c>
      <c r="D293" s="23" t="s">
        <v>347</v>
      </c>
      <c r="E293" s="23" t="s">
        <v>11</v>
      </c>
      <c r="F293" s="25" t="s">
        <v>12</v>
      </c>
    </row>
    <row r="294" ht="22.5" customHeight="1" spans="1:6">
      <c r="A294" s="22">
        <v>293</v>
      </c>
      <c r="B294" s="22" t="s">
        <v>367</v>
      </c>
      <c r="C294" s="22" t="s">
        <v>347</v>
      </c>
      <c r="D294" s="22" t="s">
        <v>347</v>
      </c>
      <c r="E294" s="22" t="s">
        <v>11</v>
      </c>
      <c r="F294" s="24" t="s">
        <v>12</v>
      </c>
    </row>
    <row r="295" ht="22.5" customHeight="1" spans="1:6">
      <c r="A295" s="23">
        <v>294</v>
      </c>
      <c r="B295" s="23" t="s">
        <v>368</v>
      </c>
      <c r="C295" s="23" t="s">
        <v>347</v>
      </c>
      <c r="D295" s="23" t="s">
        <v>347</v>
      </c>
      <c r="E295" s="23" t="s">
        <v>11</v>
      </c>
      <c r="F295" s="25" t="s">
        <v>12</v>
      </c>
    </row>
    <row r="296" ht="22.5" customHeight="1" spans="1:6">
      <c r="A296" s="22">
        <v>295</v>
      </c>
      <c r="B296" s="22" t="s">
        <v>369</v>
      </c>
      <c r="C296" s="22" t="s">
        <v>347</v>
      </c>
      <c r="D296" s="22" t="s">
        <v>347</v>
      </c>
      <c r="E296" s="22" t="s">
        <v>11</v>
      </c>
      <c r="F296" s="24" t="s">
        <v>12</v>
      </c>
    </row>
    <row r="297" ht="22.5" customHeight="1" spans="1:6">
      <c r="A297" s="23">
        <v>296</v>
      </c>
      <c r="B297" s="23" t="s">
        <v>370</v>
      </c>
      <c r="C297" s="23" t="s">
        <v>347</v>
      </c>
      <c r="D297" s="23" t="s">
        <v>347</v>
      </c>
      <c r="E297" s="23" t="s">
        <v>11</v>
      </c>
      <c r="F297" s="25" t="s">
        <v>12</v>
      </c>
    </row>
    <row r="298" ht="22.5" customHeight="1" spans="1:6">
      <c r="A298" s="22">
        <v>297</v>
      </c>
      <c r="B298" s="22" t="s">
        <v>371</v>
      </c>
      <c r="C298" s="22" t="s">
        <v>347</v>
      </c>
      <c r="D298" s="22" t="s">
        <v>347</v>
      </c>
      <c r="E298" s="22" t="s">
        <v>11</v>
      </c>
      <c r="F298" s="24" t="s">
        <v>12</v>
      </c>
    </row>
    <row r="299" ht="22.5" customHeight="1" spans="1:6">
      <c r="A299" s="23">
        <v>298</v>
      </c>
      <c r="B299" s="23" t="s">
        <v>372</v>
      </c>
      <c r="C299" s="23" t="s">
        <v>347</v>
      </c>
      <c r="D299" s="23" t="s">
        <v>347</v>
      </c>
      <c r="E299" s="23" t="s">
        <v>11</v>
      </c>
      <c r="F299" s="25" t="s">
        <v>12</v>
      </c>
    </row>
    <row r="300" ht="22.5" customHeight="1" spans="1:6">
      <c r="A300" s="22">
        <v>299</v>
      </c>
      <c r="B300" s="22" t="s">
        <v>373</v>
      </c>
      <c r="C300" s="22" t="s">
        <v>347</v>
      </c>
      <c r="D300" s="22" t="s">
        <v>347</v>
      </c>
      <c r="E300" s="22" t="s">
        <v>11</v>
      </c>
      <c r="F300" s="24" t="s">
        <v>12</v>
      </c>
    </row>
    <row r="301" ht="22.5" customHeight="1" spans="1:6">
      <c r="A301" s="23">
        <v>300</v>
      </c>
      <c r="B301" s="23" t="s">
        <v>374</v>
      </c>
      <c r="C301" s="23" t="s">
        <v>347</v>
      </c>
      <c r="D301" s="23" t="s">
        <v>347</v>
      </c>
      <c r="E301" s="23" t="s">
        <v>11</v>
      </c>
      <c r="F301" s="25" t="s">
        <v>12</v>
      </c>
    </row>
    <row r="302" ht="22.5" customHeight="1" spans="1:6">
      <c r="A302" s="22">
        <v>301</v>
      </c>
      <c r="B302" s="22" t="s">
        <v>375</v>
      </c>
      <c r="C302" s="22" t="s">
        <v>347</v>
      </c>
      <c r="D302" s="22" t="s">
        <v>347</v>
      </c>
      <c r="E302" s="22" t="s">
        <v>11</v>
      </c>
      <c r="F302" s="24" t="s">
        <v>12</v>
      </c>
    </row>
    <row r="303" ht="22.5" customHeight="1" spans="1:6">
      <c r="A303" s="23">
        <v>302</v>
      </c>
      <c r="B303" s="23" t="s">
        <v>376</v>
      </c>
      <c r="C303" s="23" t="s">
        <v>347</v>
      </c>
      <c r="D303" s="23" t="s">
        <v>347</v>
      </c>
      <c r="E303" s="23" t="s">
        <v>11</v>
      </c>
      <c r="F303" s="25" t="s">
        <v>12</v>
      </c>
    </row>
    <row r="304" ht="22.5" customHeight="1" spans="1:6">
      <c r="A304" s="22">
        <v>303</v>
      </c>
      <c r="B304" s="22" t="s">
        <v>377</v>
      </c>
      <c r="C304" s="22" t="s">
        <v>347</v>
      </c>
      <c r="D304" s="22" t="s">
        <v>347</v>
      </c>
      <c r="E304" s="22" t="s">
        <v>11</v>
      </c>
      <c r="F304" s="24" t="s">
        <v>12</v>
      </c>
    </row>
    <row r="305" ht="22.5" customHeight="1" spans="1:6">
      <c r="A305" s="23">
        <v>304</v>
      </c>
      <c r="B305" s="23" t="s">
        <v>378</v>
      </c>
      <c r="C305" s="23" t="s">
        <v>379</v>
      </c>
      <c r="D305" s="23" t="s">
        <v>380</v>
      </c>
      <c r="E305" s="23" t="s">
        <v>11</v>
      </c>
      <c r="F305" s="25" t="s">
        <v>12</v>
      </c>
    </row>
    <row r="306" ht="22.5" customHeight="1" spans="1:6">
      <c r="A306" s="22">
        <v>305</v>
      </c>
      <c r="B306" s="22" t="s">
        <v>381</v>
      </c>
      <c r="C306" s="22" t="s">
        <v>379</v>
      </c>
      <c r="D306" s="22" t="s">
        <v>382</v>
      </c>
      <c r="E306" s="22" t="s">
        <v>11</v>
      </c>
      <c r="F306" s="24" t="s">
        <v>12</v>
      </c>
    </row>
    <row r="307" ht="22.5" customHeight="1" spans="1:6">
      <c r="A307" s="23">
        <v>306</v>
      </c>
      <c r="B307" s="23" t="s">
        <v>383</v>
      </c>
      <c r="C307" s="23" t="s">
        <v>379</v>
      </c>
      <c r="D307" s="23" t="s">
        <v>380</v>
      </c>
      <c r="E307" s="23" t="s">
        <v>11</v>
      </c>
      <c r="F307" s="25" t="s">
        <v>12</v>
      </c>
    </row>
    <row r="308" ht="22.5" customHeight="1" spans="1:6">
      <c r="A308" s="22">
        <v>307</v>
      </c>
      <c r="B308" s="22" t="s">
        <v>384</v>
      </c>
      <c r="C308" s="22" t="s">
        <v>379</v>
      </c>
      <c r="D308" s="22" t="s">
        <v>380</v>
      </c>
      <c r="E308" s="22" t="s">
        <v>11</v>
      </c>
      <c r="F308" s="24" t="s">
        <v>12</v>
      </c>
    </row>
    <row r="309" ht="22.5" customHeight="1" spans="1:6">
      <c r="A309" s="23">
        <v>308</v>
      </c>
      <c r="B309" s="23" t="s">
        <v>385</v>
      </c>
      <c r="C309" s="23" t="s">
        <v>379</v>
      </c>
      <c r="D309" s="23" t="s">
        <v>380</v>
      </c>
      <c r="E309" s="23" t="s">
        <v>11</v>
      </c>
      <c r="F309" s="25" t="s">
        <v>12</v>
      </c>
    </row>
    <row r="310" ht="22.5" customHeight="1" spans="1:6">
      <c r="A310" s="22">
        <v>309</v>
      </c>
      <c r="B310" s="22" t="s">
        <v>386</v>
      </c>
      <c r="C310" s="22" t="s">
        <v>379</v>
      </c>
      <c r="D310" s="22" t="s">
        <v>387</v>
      </c>
      <c r="E310" s="22" t="s">
        <v>11</v>
      </c>
      <c r="F310" s="24" t="s">
        <v>12</v>
      </c>
    </row>
    <row r="311" ht="22.5" customHeight="1" spans="1:6">
      <c r="A311" s="23">
        <v>310</v>
      </c>
      <c r="B311" s="23" t="s">
        <v>388</v>
      </c>
      <c r="C311" s="23" t="s">
        <v>379</v>
      </c>
      <c r="D311" s="23" t="s">
        <v>389</v>
      </c>
      <c r="E311" s="23" t="s">
        <v>11</v>
      </c>
      <c r="F311" s="25" t="s">
        <v>12</v>
      </c>
    </row>
    <row r="312" ht="22.5" customHeight="1" spans="1:6">
      <c r="A312" s="22">
        <v>311</v>
      </c>
      <c r="B312" s="22" t="s">
        <v>390</v>
      </c>
      <c r="C312" s="22" t="s">
        <v>379</v>
      </c>
      <c r="D312" s="22" t="s">
        <v>380</v>
      </c>
      <c r="E312" s="22" t="s">
        <v>11</v>
      </c>
      <c r="F312" s="24" t="s">
        <v>12</v>
      </c>
    </row>
    <row r="313" ht="22.5" customHeight="1" spans="1:6">
      <c r="A313" s="23">
        <v>312</v>
      </c>
      <c r="B313" s="23" t="s">
        <v>391</v>
      </c>
      <c r="C313" s="23" t="s">
        <v>379</v>
      </c>
      <c r="D313" s="23" t="s">
        <v>392</v>
      </c>
      <c r="E313" s="23" t="s">
        <v>11</v>
      </c>
      <c r="F313" s="25" t="s">
        <v>12</v>
      </c>
    </row>
    <row r="314" ht="22.5" customHeight="1" spans="1:6">
      <c r="A314" s="22">
        <v>313</v>
      </c>
      <c r="B314" s="22" t="s">
        <v>393</v>
      </c>
      <c r="C314" s="22" t="s">
        <v>379</v>
      </c>
      <c r="D314" s="22" t="s">
        <v>380</v>
      </c>
      <c r="E314" s="22" t="s">
        <v>11</v>
      </c>
      <c r="F314" s="24" t="s">
        <v>12</v>
      </c>
    </row>
    <row r="315" ht="22.5" customHeight="1" spans="1:6">
      <c r="A315" s="23">
        <v>314</v>
      </c>
      <c r="B315" s="23" t="s">
        <v>394</v>
      </c>
      <c r="C315" s="23" t="s">
        <v>379</v>
      </c>
      <c r="D315" s="23" t="s">
        <v>380</v>
      </c>
      <c r="E315" s="23" t="s">
        <v>11</v>
      </c>
      <c r="F315" s="25" t="s">
        <v>12</v>
      </c>
    </row>
    <row r="316" ht="22.5" customHeight="1" spans="1:6">
      <c r="A316" s="22">
        <v>315</v>
      </c>
      <c r="B316" s="22" t="s">
        <v>395</v>
      </c>
      <c r="C316" s="22" t="s">
        <v>379</v>
      </c>
      <c r="D316" s="22" t="s">
        <v>396</v>
      </c>
      <c r="E316" s="22" t="s">
        <v>11</v>
      </c>
      <c r="F316" s="24" t="s">
        <v>12</v>
      </c>
    </row>
    <row r="317" ht="22.5" customHeight="1" spans="1:6">
      <c r="A317" s="23">
        <v>316</v>
      </c>
      <c r="B317" s="23" t="s">
        <v>397</v>
      </c>
      <c r="C317" s="23" t="s">
        <v>379</v>
      </c>
      <c r="D317" s="23" t="s">
        <v>380</v>
      </c>
      <c r="E317" s="23" t="s">
        <v>11</v>
      </c>
      <c r="F317" s="25" t="s">
        <v>12</v>
      </c>
    </row>
    <row r="318" ht="22.5" customHeight="1" spans="1:6">
      <c r="A318" s="22">
        <v>317</v>
      </c>
      <c r="B318" s="22" t="s">
        <v>398</v>
      </c>
      <c r="C318" s="22" t="s">
        <v>379</v>
      </c>
      <c r="D318" s="22" t="s">
        <v>387</v>
      </c>
      <c r="E318" s="22" t="s">
        <v>11</v>
      </c>
      <c r="F318" s="24" t="s">
        <v>12</v>
      </c>
    </row>
    <row r="319" ht="22.5" customHeight="1" spans="1:6">
      <c r="A319" s="23">
        <v>318</v>
      </c>
      <c r="B319" s="23" t="s">
        <v>399</v>
      </c>
      <c r="C319" s="23" t="s">
        <v>379</v>
      </c>
      <c r="D319" s="23" t="s">
        <v>380</v>
      </c>
      <c r="E319" s="23" t="s">
        <v>11</v>
      </c>
      <c r="F319" s="25" t="s">
        <v>12</v>
      </c>
    </row>
    <row r="320" ht="22.5" customHeight="1" spans="1:6">
      <c r="A320" s="22">
        <v>319</v>
      </c>
      <c r="B320" s="22" t="s">
        <v>400</v>
      </c>
      <c r="C320" s="22" t="s">
        <v>379</v>
      </c>
      <c r="D320" s="22" t="s">
        <v>401</v>
      </c>
      <c r="E320" s="22" t="s">
        <v>11</v>
      </c>
      <c r="F320" s="24" t="s">
        <v>12</v>
      </c>
    </row>
    <row r="321" ht="22.5" customHeight="1" spans="1:6">
      <c r="A321" s="23">
        <v>320</v>
      </c>
      <c r="B321" s="23" t="s">
        <v>402</v>
      </c>
      <c r="C321" s="23" t="s">
        <v>379</v>
      </c>
      <c r="D321" s="23" t="s">
        <v>403</v>
      </c>
      <c r="E321" s="23" t="s">
        <v>11</v>
      </c>
      <c r="F321" s="25" t="s">
        <v>12</v>
      </c>
    </row>
    <row r="322" ht="22.5" customHeight="1" spans="1:6">
      <c r="A322" s="22">
        <v>321</v>
      </c>
      <c r="B322" s="22" t="s">
        <v>404</v>
      </c>
      <c r="C322" s="22" t="s">
        <v>379</v>
      </c>
      <c r="D322" s="22" t="s">
        <v>380</v>
      </c>
      <c r="E322" s="22" t="s">
        <v>11</v>
      </c>
      <c r="F322" s="24" t="s">
        <v>12</v>
      </c>
    </row>
    <row r="323" ht="22.5" customHeight="1" spans="1:6">
      <c r="A323" s="23">
        <v>322</v>
      </c>
      <c r="B323" s="23" t="s">
        <v>405</v>
      </c>
      <c r="C323" s="23" t="s">
        <v>379</v>
      </c>
      <c r="D323" s="23" t="s">
        <v>380</v>
      </c>
      <c r="E323" s="23" t="s">
        <v>11</v>
      </c>
      <c r="F323" s="25" t="s">
        <v>12</v>
      </c>
    </row>
    <row r="324" ht="22.5" customHeight="1" spans="1:6">
      <c r="A324" s="22">
        <v>323</v>
      </c>
      <c r="B324" s="22" t="s">
        <v>406</v>
      </c>
      <c r="C324" s="22" t="s">
        <v>379</v>
      </c>
      <c r="D324" s="22" t="s">
        <v>389</v>
      </c>
      <c r="E324" s="22" t="s">
        <v>11</v>
      </c>
      <c r="F324" s="24" t="s">
        <v>12</v>
      </c>
    </row>
    <row r="325" ht="22.5" customHeight="1" spans="1:6">
      <c r="A325" s="23">
        <v>324</v>
      </c>
      <c r="B325" s="23" t="s">
        <v>407</v>
      </c>
      <c r="C325" s="23" t="s">
        <v>379</v>
      </c>
      <c r="D325" s="23" t="s">
        <v>380</v>
      </c>
      <c r="E325" s="23" t="s">
        <v>11</v>
      </c>
      <c r="F325" s="25" t="s">
        <v>12</v>
      </c>
    </row>
    <row r="326" ht="22.5" customHeight="1" spans="1:6">
      <c r="A326" s="22">
        <v>325</v>
      </c>
      <c r="B326" s="22" t="s">
        <v>408</v>
      </c>
      <c r="C326" s="22" t="s">
        <v>379</v>
      </c>
      <c r="D326" s="22" t="s">
        <v>380</v>
      </c>
      <c r="E326" s="22" t="s">
        <v>11</v>
      </c>
      <c r="F326" s="24" t="s">
        <v>12</v>
      </c>
    </row>
    <row r="327" ht="22.5" customHeight="1" spans="1:6">
      <c r="A327" s="23">
        <v>326</v>
      </c>
      <c r="B327" s="23" t="s">
        <v>409</v>
      </c>
      <c r="C327" s="23" t="s">
        <v>379</v>
      </c>
      <c r="D327" s="23" t="s">
        <v>380</v>
      </c>
      <c r="E327" s="23" t="s">
        <v>11</v>
      </c>
      <c r="F327" s="25" t="s">
        <v>12</v>
      </c>
    </row>
    <row r="328" ht="22.5" customHeight="1" spans="1:6">
      <c r="A328" s="22">
        <v>327</v>
      </c>
      <c r="B328" s="22" t="s">
        <v>410</v>
      </c>
      <c r="C328" s="22" t="s">
        <v>379</v>
      </c>
      <c r="D328" s="22" t="s">
        <v>389</v>
      </c>
      <c r="E328" s="22" t="s">
        <v>11</v>
      </c>
      <c r="F328" s="24" t="s">
        <v>12</v>
      </c>
    </row>
    <row r="329" ht="22.5" customHeight="1" spans="1:6">
      <c r="A329" s="23">
        <v>328</v>
      </c>
      <c r="B329" s="23" t="s">
        <v>411</v>
      </c>
      <c r="C329" s="23" t="s">
        <v>379</v>
      </c>
      <c r="D329" s="23" t="s">
        <v>412</v>
      </c>
      <c r="E329" s="23" t="s">
        <v>11</v>
      </c>
      <c r="F329" s="25" t="s">
        <v>12</v>
      </c>
    </row>
    <row r="330" ht="22.5" customHeight="1" spans="1:6">
      <c r="A330" s="22">
        <v>329</v>
      </c>
      <c r="B330" s="22" t="s">
        <v>413</v>
      </c>
      <c r="C330" s="22" t="s">
        <v>379</v>
      </c>
      <c r="D330" s="22" t="s">
        <v>403</v>
      </c>
      <c r="E330" s="22" t="s">
        <v>11</v>
      </c>
      <c r="F330" s="24" t="s">
        <v>12</v>
      </c>
    </row>
    <row r="331" ht="22.5" customHeight="1" spans="1:6">
      <c r="A331" s="23">
        <v>330</v>
      </c>
      <c r="B331" s="23" t="s">
        <v>414</v>
      </c>
      <c r="C331" s="23" t="s">
        <v>379</v>
      </c>
      <c r="D331" s="23" t="s">
        <v>380</v>
      </c>
      <c r="E331" s="23" t="s">
        <v>11</v>
      </c>
      <c r="F331" s="25" t="s">
        <v>12</v>
      </c>
    </row>
    <row r="332" ht="22.5" customHeight="1" spans="1:6">
      <c r="A332" s="22">
        <v>331</v>
      </c>
      <c r="B332" s="22" t="s">
        <v>415</v>
      </c>
      <c r="C332" s="22" t="s">
        <v>379</v>
      </c>
      <c r="D332" s="22" t="s">
        <v>380</v>
      </c>
      <c r="E332" s="22" t="s">
        <v>11</v>
      </c>
      <c r="F332" s="24" t="s">
        <v>12</v>
      </c>
    </row>
    <row r="333" ht="22.5" customHeight="1" spans="1:6">
      <c r="A333" s="23">
        <v>332</v>
      </c>
      <c r="B333" s="23" t="s">
        <v>416</v>
      </c>
      <c r="C333" s="23" t="s">
        <v>379</v>
      </c>
      <c r="D333" s="23" t="s">
        <v>380</v>
      </c>
      <c r="E333" s="23" t="s">
        <v>11</v>
      </c>
      <c r="F333" s="25" t="s">
        <v>12</v>
      </c>
    </row>
    <row r="334" ht="22.5" customHeight="1" spans="1:6">
      <c r="A334" s="22">
        <v>333</v>
      </c>
      <c r="B334" s="22" t="s">
        <v>417</v>
      </c>
      <c r="C334" s="22" t="s">
        <v>379</v>
      </c>
      <c r="D334" s="22" t="s">
        <v>380</v>
      </c>
      <c r="E334" s="22" t="s">
        <v>11</v>
      </c>
      <c r="F334" s="24" t="s">
        <v>12</v>
      </c>
    </row>
    <row r="335" ht="22.5" customHeight="1" spans="1:6">
      <c r="A335" s="23">
        <v>334</v>
      </c>
      <c r="B335" s="23" t="s">
        <v>418</v>
      </c>
      <c r="C335" s="23" t="s">
        <v>379</v>
      </c>
      <c r="D335" s="23" t="s">
        <v>382</v>
      </c>
      <c r="E335" s="23" t="s">
        <v>11</v>
      </c>
      <c r="F335" s="25" t="s">
        <v>12</v>
      </c>
    </row>
    <row r="336" ht="22.5" customHeight="1" spans="1:6">
      <c r="A336" s="22">
        <v>335</v>
      </c>
      <c r="B336" s="22" t="s">
        <v>419</v>
      </c>
      <c r="C336" s="22" t="s">
        <v>379</v>
      </c>
      <c r="D336" s="22" t="s">
        <v>382</v>
      </c>
      <c r="E336" s="22" t="s">
        <v>11</v>
      </c>
      <c r="F336" s="24" t="s">
        <v>12</v>
      </c>
    </row>
    <row r="337" ht="22.5" customHeight="1" spans="1:6">
      <c r="A337" s="23">
        <v>336</v>
      </c>
      <c r="B337" s="23" t="s">
        <v>420</v>
      </c>
      <c r="C337" s="23" t="s">
        <v>379</v>
      </c>
      <c r="D337" s="23" t="s">
        <v>380</v>
      </c>
      <c r="E337" s="23" t="s">
        <v>11</v>
      </c>
      <c r="F337" s="25" t="s">
        <v>12</v>
      </c>
    </row>
    <row r="338" ht="22.5" customHeight="1" spans="1:6">
      <c r="A338" s="22">
        <v>337</v>
      </c>
      <c r="B338" s="22" t="s">
        <v>421</v>
      </c>
      <c r="C338" s="22" t="s">
        <v>379</v>
      </c>
      <c r="D338" s="22" t="s">
        <v>412</v>
      </c>
      <c r="E338" s="22" t="s">
        <v>11</v>
      </c>
      <c r="F338" s="24" t="s">
        <v>12</v>
      </c>
    </row>
    <row r="339" ht="22.5" customHeight="1" spans="1:6">
      <c r="A339" s="23">
        <v>338</v>
      </c>
      <c r="B339" s="23" t="s">
        <v>422</v>
      </c>
      <c r="C339" s="23" t="s">
        <v>379</v>
      </c>
      <c r="D339" s="23" t="s">
        <v>392</v>
      </c>
      <c r="E339" s="23" t="s">
        <v>11</v>
      </c>
      <c r="F339" s="25" t="s">
        <v>12</v>
      </c>
    </row>
    <row r="340" ht="22.5" customHeight="1" spans="1:6">
      <c r="A340" s="22">
        <v>339</v>
      </c>
      <c r="B340" s="22" t="s">
        <v>423</v>
      </c>
      <c r="C340" s="22" t="s">
        <v>379</v>
      </c>
      <c r="D340" s="22" t="s">
        <v>424</v>
      </c>
      <c r="E340" s="22" t="s">
        <v>11</v>
      </c>
      <c r="F340" s="24" t="s">
        <v>12</v>
      </c>
    </row>
    <row r="341" ht="22.5" customHeight="1" spans="1:6">
      <c r="A341" s="23">
        <v>340</v>
      </c>
      <c r="B341" s="23" t="s">
        <v>425</v>
      </c>
      <c r="C341" s="23" t="s">
        <v>379</v>
      </c>
      <c r="D341" s="23" t="s">
        <v>380</v>
      </c>
      <c r="E341" s="23" t="s">
        <v>11</v>
      </c>
      <c r="F341" s="25" t="s">
        <v>12</v>
      </c>
    </row>
    <row r="342" ht="22.5" customHeight="1" spans="1:6">
      <c r="A342" s="22">
        <v>341</v>
      </c>
      <c r="B342" s="22" t="s">
        <v>426</v>
      </c>
      <c r="C342" s="22" t="s">
        <v>379</v>
      </c>
      <c r="D342" s="22" t="s">
        <v>380</v>
      </c>
      <c r="E342" s="22" t="s">
        <v>11</v>
      </c>
      <c r="F342" s="24" t="s">
        <v>12</v>
      </c>
    </row>
    <row r="343" ht="22.5" customHeight="1" spans="1:6">
      <c r="A343" s="23">
        <v>342</v>
      </c>
      <c r="B343" s="23" t="s">
        <v>427</v>
      </c>
      <c r="C343" s="23" t="s">
        <v>379</v>
      </c>
      <c r="D343" s="23" t="s">
        <v>380</v>
      </c>
      <c r="E343" s="23" t="s">
        <v>11</v>
      </c>
      <c r="F343" s="25" t="s">
        <v>12</v>
      </c>
    </row>
    <row r="344" ht="22.5" customHeight="1" spans="1:6">
      <c r="A344" s="22">
        <v>343</v>
      </c>
      <c r="B344" s="22" t="s">
        <v>428</v>
      </c>
      <c r="C344" s="22" t="s">
        <v>379</v>
      </c>
      <c r="D344" s="22" t="s">
        <v>392</v>
      </c>
      <c r="E344" s="22" t="s">
        <v>11</v>
      </c>
      <c r="F344" s="24" t="s">
        <v>12</v>
      </c>
    </row>
    <row r="345" ht="22.5" customHeight="1" spans="1:6">
      <c r="A345" s="23">
        <v>344</v>
      </c>
      <c r="B345" s="23" t="s">
        <v>429</v>
      </c>
      <c r="C345" s="23" t="s">
        <v>379</v>
      </c>
      <c r="D345" s="23" t="s">
        <v>430</v>
      </c>
      <c r="E345" s="23" t="s">
        <v>11</v>
      </c>
      <c r="F345" s="25" t="s">
        <v>12</v>
      </c>
    </row>
    <row r="346" ht="22.5" customHeight="1" spans="1:6">
      <c r="A346" s="22">
        <v>345</v>
      </c>
      <c r="B346" s="22" t="s">
        <v>431</v>
      </c>
      <c r="C346" s="22" t="s">
        <v>379</v>
      </c>
      <c r="D346" s="22" t="s">
        <v>389</v>
      </c>
      <c r="E346" s="22" t="s">
        <v>11</v>
      </c>
      <c r="F346" s="24" t="s">
        <v>12</v>
      </c>
    </row>
    <row r="347" ht="22.5" customHeight="1" spans="1:6">
      <c r="A347" s="23">
        <v>346</v>
      </c>
      <c r="B347" s="23" t="s">
        <v>432</v>
      </c>
      <c r="C347" s="23" t="s">
        <v>379</v>
      </c>
      <c r="D347" s="23" t="s">
        <v>380</v>
      </c>
      <c r="E347" s="23" t="s">
        <v>11</v>
      </c>
      <c r="F347" s="25" t="s">
        <v>12</v>
      </c>
    </row>
    <row r="348" ht="22.5" customHeight="1" spans="1:6">
      <c r="A348" s="22">
        <v>347</v>
      </c>
      <c r="B348" s="22" t="s">
        <v>433</v>
      </c>
      <c r="C348" s="22" t="s">
        <v>379</v>
      </c>
      <c r="D348" s="22" t="s">
        <v>380</v>
      </c>
      <c r="E348" s="22" t="s">
        <v>11</v>
      </c>
      <c r="F348" s="24" t="s">
        <v>12</v>
      </c>
    </row>
    <row r="349" ht="22.5" customHeight="1" spans="1:6">
      <c r="A349" s="23">
        <v>348</v>
      </c>
      <c r="B349" s="23" t="s">
        <v>434</v>
      </c>
      <c r="C349" s="23" t="s">
        <v>379</v>
      </c>
      <c r="D349" s="23" t="s">
        <v>435</v>
      </c>
      <c r="E349" s="23" t="s">
        <v>11</v>
      </c>
      <c r="F349" s="25" t="s">
        <v>12</v>
      </c>
    </row>
    <row r="350" ht="22.5" customHeight="1" spans="1:6">
      <c r="A350" s="22">
        <v>349</v>
      </c>
      <c r="B350" s="22" t="s">
        <v>436</v>
      </c>
      <c r="C350" s="22" t="s">
        <v>379</v>
      </c>
      <c r="D350" s="22" t="s">
        <v>380</v>
      </c>
      <c r="E350" s="22" t="s">
        <v>11</v>
      </c>
      <c r="F350" s="24" t="s">
        <v>12</v>
      </c>
    </row>
    <row r="351" ht="22.5" customHeight="1" spans="1:6">
      <c r="A351" s="23">
        <v>350</v>
      </c>
      <c r="B351" s="23" t="s">
        <v>437</v>
      </c>
      <c r="C351" s="23" t="s">
        <v>379</v>
      </c>
      <c r="D351" s="23" t="s">
        <v>396</v>
      </c>
      <c r="E351" s="23" t="s">
        <v>11</v>
      </c>
      <c r="F351" s="25" t="s">
        <v>12</v>
      </c>
    </row>
    <row r="352" ht="22.5" customHeight="1" spans="1:6">
      <c r="A352" s="22">
        <v>351</v>
      </c>
      <c r="B352" s="22" t="s">
        <v>438</v>
      </c>
      <c r="C352" s="22" t="s">
        <v>379</v>
      </c>
      <c r="D352" s="22" t="s">
        <v>382</v>
      </c>
      <c r="E352" s="22" t="s">
        <v>11</v>
      </c>
      <c r="F352" s="24" t="s">
        <v>12</v>
      </c>
    </row>
    <row r="353" ht="22.5" customHeight="1" spans="1:6">
      <c r="A353" s="23">
        <v>352</v>
      </c>
      <c r="B353" s="23" t="s">
        <v>439</v>
      </c>
      <c r="C353" s="23" t="s">
        <v>379</v>
      </c>
      <c r="D353" s="23" t="s">
        <v>440</v>
      </c>
      <c r="E353" s="23" t="s">
        <v>11</v>
      </c>
      <c r="F353" s="25" t="s">
        <v>12</v>
      </c>
    </row>
    <row r="354" ht="22.5" customHeight="1" spans="1:6">
      <c r="A354" s="22">
        <v>353</v>
      </c>
      <c r="B354" s="22" t="s">
        <v>441</v>
      </c>
      <c r="C354" s="22" t="s">
        <v>379</v>
      </c>
      <c r="D354" s="22" t="s">
        <v>380</v>
      </c>
      <c r="E354" s="22" t="s">
        <v>11</v>
      </c>
      <c r="F354" s="24" t="s">
        <v>12</v>
      </c>
    </row>
    <row r="355" ht="22.5" customHeight="1" spans="1:6">
      <c r="A355" s="23">
        <v>354</v>
      </c>
      <c r="B355" s="23" t="s">
        <v>442</v>
      </c>
      <c r="C355" s="23" t="s">
        <v>379</v>
      </c>
      <c r="D355" s="23" t="s">
        <v>396</v>
      </c>
      <c r="E355" s="23" t="s">
        <v>11</v>
      </c>
      <c r="F355" s="25" t="s">
        <v>12</v>
      </c>
    </row>
    <row r="356" ht="22.5" customHeight="1" spans="1:6">
      <c r="A356" s="22">
        <v>355</v>
      </c>
      <c r="B356" s="22" t="s">
        <v>443</v>
      </c>
      <c r="C356" s="22" t="s">
        <v>379</v>
      </c>
      <c r="D356" s="22" t="s">
        <v>389</v>
      </c>
      <c r="E356" s="22" t="s">
        <v>11</v>
      </c>
      <c r="F356" s="24" t="s">
        <v>12</v>
      </c>
    </row>
    <row r="357" ht="22.5" customHeight="1" spans="1:6">
      <c r="A357" s="23">
        <v>356</v>
      </c>
      <c r="B357" s="23" t="s">
        <v>444</v>
      </c>
      <c r="C357" s="23" t="s">
        <v>379</v>
      </c>
      <c r="D357" s="23" t="s">
        <v>382</v>
      </c>
      <c r="E357" s="23" t="s">
        <v>11</v>
      </c>
      <c r="F357" s="25" t="s">
        <v>12</v>
      </c>
    </row>
    <row r="358" ht="22.5" customHeight="1" spans="1:6">
      <c r="A358" s="22">
        <v>357</v>
      </c>
      <c r="B358" s="22" t="s">
        <v>445</v>
      </c>
      <c r="C358" s="22" t="s">
        <v>379</v>
      </c>
      <c r="D358" s="22" t="s">
        <v>424</v>
      </c>
      <c r="E358" s="22" t="s">
        <v>11</v>
      </c>
      <c r="F358" s="24" t="s">
        <v>12</v>
      </c>
    </row>
    <row r="359" ht="22.5" customHeight="1" spans="1:6">
      <c r="A359" s="23">
        <v>358</v>
      </c>
      <c r="B359" s="23" t="s">
        <v>446</v>
      </c>
      <c r="C359" s="23" t="s">
        <v>379</v>
      </c>
      <c r="D359" s="23" t="s">
        <v>430</v>
      </c>
      <c r="E359" s="23" t="s">
        <v>11</v>
      </c>
      <c r="F359" s="25" t="s">
        <v>12</v>
      </c>
    </row>
    <row r="360" ht="22.5" customHeight="1" spans="1:6">
      <c r="A360" s="22">
        <v>359</v>
      </c>
      <c r="B360" s="22" t="s">
        <v>447</v>
      </c>
      <c r="C360" s="22" t="s">
        <v>448</v>
      </c>
      <c r="D360" s="22" t="s">
        <v>449</v>
      </c>
      <c r="E360" s="22" t="s">
        <v>11</v>
      </c>
      <c r="F360" s="24" t="s">
        <v>12</v>
      </c>
    </row>
    <row r="361" ht="22.5" customHeight="1" spans="1:6">
      <c r="A361" s="23">
        <v>360</v>
      </c>
      <c r="B361" s="23" t="s">
        <v>450</v>
      </c>
      <c r="C361" s="23" t="s">
        <v>448</v>
      </c>
      <c r="D361" s="23" t="s">
        <v>449</v>
      </c>
      <c r="E361" s="23" t="s">
        <v>11</v>
      </c>
      <c r="F361" s="25" t="s">
        <v>12</v>
      </c>
    </row>
    <row r="362" ht="22.5" customHeight="1" spans="1:6">
      <c r="A362" s="22">
        <v>361</v>
      </c>
      <c r="B362" s="22" t="s">
        <v>451</v>
      </c>
      <c r="C362" s="22" t="s">
        <v>448</v>
      </c>
      <c r="D362" s="22" t="s">
        <v>449</v>
      </c>
      <c r="E362" s="22" t="s">
        <v>11</v>
      </c>
      <c r="F362" s="24" t="s">
        <v>12</v>
      </c>
    </row>
    <row r="363" ht="22.5" customHeight="1" spans="1:6">
      <c r="A363" s="23">
        <v>362</v>
      </c>
      <c r="B363" s="23" t="s">
        <v>452</v>
      </c>
      <c r="C363" s="23" t="s">
        <v>448</v>
      </c>
      <c r="D363" s="23" t="s">
        <v>449</v>
      </c>
      <c r="E363" s="23" t="s">
        <v>11</v>
      </c>
      <c r="F363" s="25" t="s">
        <v>12</v>
      </c>
    </row>
    <row r="364" ht="22.5" customHeight="1" spans="1:6">
      <c r="A364" s="22">
        <v>363</v>
      </c>
      <c r="B364" s="22" t="s">
        <v>453</v>
      </c>
      <c r="C364" s="22" t="s">
        <v>448</v>
      </c>
      <c r="D364" s="22" t="s">
        <v>454</v>
      </c>
      <c r="E364" s="22" t="s">
        <v>11</v>
      </c>
      <c r="F364" s="24" t="s">
        <v>12</v>
      </c>
    </row>
    <row r="365" ht="22.5" customHeight="1" spans="1:6">
      <c r="A365" s="23">
        <v>364</v>
      </c>
      <c r="B365" s="23" t="s">
        <v>455</v>
      </c>
      <c r="C365" s="23" t="s">
        <v>448</v>
      </c>
      <c r="D365" s="23" t="s">
        <v>449</v>
      </c>
      <c r="E365" s="23" t="s">
        <v>11</v>
      </c>
      <c r="F365" s="25" t="s">
        <v>12</v>
      </c>
    </row>
    <row r="366" ht="22.5" customHeight="1" spans="1:6">
      <c r="A366" s="22">
        <v>365</v>
      </c>
      <c r="B366" s="22" t="s">
        <v>456</v>
      </c>
      <c r="C366" s="22" t="s">
        <v>448</v>
      </c>
      <c r="D366" s="22" t="s">
        <v>457</v>
      </c>
      <c r="E366" s="22" t="s">
        <v>11</v>
      </c>
      <c r="F366" s="24" t="s">
        <v>12</v>
      </c>
    </row>
    <row r="367" ht="22.5" customHeight="1" spans="1:6">
      <c r="A367" s="23">
        <v>366</v>
      </c>
      <c r="B367" s="23" t="s">
        <v>458</v>
      </c>
      <c r="C367" s="23" t="s">
        <v>448</v>
      </c>
      <c r="D367" s="23" t="s">
        <v>449</v>
      </c>
      <c r="E367" s="23" t="s">
        <v>11</v>
      </c>
      <c r="F367" s="25" t="s">
        <v>12</v>
      </c>
    </row>
    <row r="368" ht="22.5" customHeight="1" spans="1:6">
      <c r="A368" s="22">
        <v>367</v>
      </c>
      <c r="B368" s="22" t="s">
        <v>459</v>
      </c>
      <c r="C368" s="22" t="s">
        <v>448</v>
      </c>
      <c r="D368" s="22" t="s">
        <v>460</v>
      </c>
      <c r="E368" s="22" t="s">
        <v>11</v>
      </c>
      <c r="F368" s="24" t="s">
        <v>12</v>
      </c>
    </row>
    <row r="369" ht="22.5" customHeight="1" spans="1:6">
      <c r="A369" s="23">
        <v>368</v>
      </c>
      <c r="B369" s="23" t="s">
        <v>461</v>
      </c>
      <c r="C369" s="23" t="s">
        <v>448</v>
      </c>
      <c r="D369" s="23" t="s">
        <v>449</v>
      </c>
      <c r="E369" s="23" t="s">
        <v>11</v>
      </c>
      <c r="F369" s="25" t="s">
        <v>12</v>
      </c>
    </row>
    <row r="370" ht="22.5" customHeight="1" spans="1:6">
      <c r="A370" s="22">
        <v>369</v>
      </c>
      <c r="B370" s="22" t="s">
        <v>462</v>
      </c>
      <c r="C370" s="22" t="s">
        <v>448</v>
      </c>
      <c r="D370" s="22" t="s">
        <v>463</v>
      </c>
      <c r="E370" s="22" t="s">
        <v>11</v>
      </c>
      <c r="F370" s="24" t="s">
        <v>12</v>
      </c>
    </row>
    <row r="371" ht="22.5" customHeight="1" spans="1:6">
      <c r="A371" s="23">
        <v>370</v>
      </c>
      <c r="B371" s="23" t="s">
        <v>464</v>
      </c>
      <c r="C371" s="23" t="s">
        <v>448</v>
      </c>
      <c r="D371" s="23" t="s">
        <v>465</v>
      </c>
      <c r="E371" s="23" t="s">
        <v>11</v>
      </c>
      <c r="F371" s="25" t="s">
        <v>12</v>
      </c>
    </row>
    <row r="372" ht="22.5" customHeight="1" spans="1:6">
      <c r="A372" s="22">
        <v>371</v>
      </c>
      <c r="B372" s="22" t="s">
        <v>466</v>
      </c>
      <c r="C372" s="22" t="s">
        <v>448</v>
      </c>
      <c r="D372" s="22" t="s">
        <v>467</v>
      </c>
      <c r="E372" s="22" t="s">
        <v>11</v>
      </c>
      <c r="F372" s="24" t="s">
        <v>12</v>
      </c>
    </row>
    <row r="373" ht="22.5" customHeight="1" spans="1:6">
      <c r="A373" s="23">
        <v>372</v>
      </c>
      <c r="B373" s="23" t="s">
        <v>468</v>
      </c>
      <c r="C373" s="23" t="s">
        <v>448</v>
      </c>
      <c r="D373" s="23" t="s">
        <v>457</v>
      </c>
      <c r="E373" s="23" t="s">
        <v>11</v>
      </c>
      <c r="F373" s="25" t="s">
        <v>12</v>
      </c>
    </row>
    <row r="374" ht="22.5" customHeight="1" spans="1:6">
      <c r="A374" s="22">
        <v>373</v>
      </c>
      <c r="B374" s="22" t="s">
        <v>469</v>
      </c>
      <c r="C374" s="22" t="s">
        <v>448</v>
      </c>
      <c r="D374" s="22" t="s">
        <v>470</v>
      </c>
      <c r="E374" s="22" t="s">
        <v>11</v>
      </c>
      <c r="F374" s="24" t="s">
        <v>12</v>
      </c>
    </row>
    <row r="375" ht="22.5" customHeight="1" spans="1:6">
      <c r="A375" s="23">
        <v>374</v>
      </c>
      <c r="B375" s="23" t="s">
        <v>471</v>
      </c>
      <c r="C375" s="23" t="s">
        <v>448</v>
      </c>
      <c r="D375" s="23" t="s">
        <v>449</v>
      </c>
      <c r="E375" s="23" t="s">
        <v>11</v>
      </c>
      <c r="F375" s="25" t="s">
        <v>12</v>
      </c>
    </row>
    <row r="376" ht="22.5" customHeight="1" spans="1:6">
      <c r="A376" s="22">
        <v>375</v>
      </c>
      <c r="B376" s="22" t="s">
        <v>472</v>
      </c>
      <c r="C376" s="22" t="s">
        <v>448</v>
      </c>
      <c r="D376" s="22" t="s">
        <v>473</v>
      </c>
      <c r="E376" s="22" t="s">
        <v>11</v>
      </c>
      <c r="F376" s="24" t="s">
        <v>12</v>
      </c>
    </row>
    <row r="377" ht="22.5" customHeight="1" spans="1:6">
      <c r="A377" s="23">
        <v>376</v>
      </c>
      <c r="B377" s="23" t="s">
        <v>474</v>
      </c>
      <c r="C377" s="23" t="s">
        <v>448</v>
      </c>
      <c r="D377" s="23" t="s">
        <v>449</v>
      </c>
      <c r="E377" s="23" t="s">
        <v>11</v>
      </c>
      <c r="F377" s="25" t="s">
        <v>12</v>
      </c>
    </row>
    <row r="378" ht="22.5" customHeight="1" spans="1:6">
      <c r="A378" s="22">
        <v>377</v>
      </c>
      <c r="B378" s="22" t="s">
        <v>475</v>
      </c>
      <c r="C378" s="22" t="s">
        <v>448</v>
      </c>
      <c r="D378" s="22" t="s">
        <v>449</v>
      </c>
      <c r="E378" s="22" t="s">
        <v>11</v>
      </c>
      <c r="F378" s="24" t="s">
        <v>12</v>
      </c>
    </row>
    <row r="379" ht="22.5" customHeight="1" spans="1:6">
      <c r="A379" s="23">
        <v>378</v>
      </c>
      <c r="B379" s="23" t="s">
        <v>476</v>
      </c>
      <c r="C379" s="23" t="s">
        <v>448</v>
      </c>
      <c r="D379" s="23" t="s">
        <v>477</v>
      </c>
      <c r="E379" s="23" t="s">
        <v>11</v>
      </c>
      <c r="F379" s="25" t="s">
        <v>12</v>
      </c>
    </row>
    <row r="380" ht="22.5" customHeight="1" spans="1:6">
      <c r="A380" s="22">
        <v>379</v>
      </c>
      <c r="B380" s="22" t="s">
        <v>478</v>
      </c>
      <c r="C380" s="22" t="s">
        <v>448</v>
      </c>
      <c r="D380" s="22" t="s">
        <v>449</v>
      </c>
      <c r="E380" s="22" t="s">
        <v>11</v>
      </c>
      <c r="F380" s="24" t="s">
        <v>12</v>
      </c>
    </row>
    <row r="381" ht="22.5" customHeight="1" spans="1:6">
      <c r="A381" s="23">
        <v>380</v>
      </c>
      <c r="B381" s="23" t="s">
        <v>479</v>
      </c>
      <c r="C381" s="23" t="s">
        <v>448</v>
      </c>
      <c r="D381" s="23" t="s">
        <v>477</v>
      </c>
      <c r="E381" s="23" t="s">
        <v>11</v>
      </c>
      <c r="F381" s="25" t="s">
        <v>12</v>
      </c>
    </row>
    <row r="382" ht="22.5" customHeight="1" spans="1:6">
      <c r="A382" s="22">
        <v>381</v>
      </c>
      <c r="B382" s="22" t="s">
        <v>480</v>
      </c>
      <c r="C382" s="22" t="s">
        <v>448</v>
      </c>
      <c r="D382" s="22" t="s">
        <v>449</v>
      </c>
      <c r="E382" s="22" t="s">
        <v>11</v>
      </c>
      <c r="F382" s="24" t="s">
        <v>12</v>
      </c>
    </row>
    <row r="383" ht="22.5" customHeight="1" spans="1:6">
      <c r="A383" s="23">
        <v>382</v>
      </c>
      <c r="B383" s="23" t="s">
        <v>481</v>
      </c>
      <c r="C383" s="23" t="s">
        <v>448</v>
      </c>
      <c r="D383" s="23" t="s">
        <v>449</v>
      </c>
      <c r="E383" s="23" t="s">
        <v>11</v>
      </c>
      <c r="F383" s="25" t="s">
        <v>12</v>
      </c>
    </row>
    <row r="384" ht="22.5" customHeight="1" spans="1:6">
      <c r="A384" s="22">
        <v>383</v>
      </c>
      <c r="B384" s="22" t="s">
        <v>482</v>
      </c>
      <c r="C384" s="22" t="s">
        <v>448</v>
      </c>
      <c r="D384" s="22" t="s">
        <v>449</v>
      </c>
      <c r="E384" s="22" t="s">
        <v>11</v>
      </c>
      <c r="F384" s="24" t="s">
        <v>12</v>
      </c>
    </row>
    <row r="385" ht="22.5" customHeight="1" spans="1:6">
      <c r="A385" s="23">
        <v>384</v>
      </c>
      <c r="B385" s="23" t="s">
        <v>483</v>
      </c>
      <c r="C385" s="23" t="s">
        <v>448</v>
      </c>
      <c r="D385" s="23" t="s">
        <v>484</v>
      </c>
      <c r="E385" s="23" t="s">
        <v>11</v>
      </c>
      <c r="F385" s="25" t="s">
        <v>12</v>
      </c>
    </row>
    <row r="386" ht="22.5" customHeight="1" spans="1:6">
      <c r="A386" s="22">
        <v>385</v>
      </c>
      <c r="B386" s="22" t="s">
        <v>485</v>
      </c>
      <c r="C386" s="22" t="s">
        <v>448</v>
      </c>
      <c r="D386" s="22" t="s">
        <v>477</v>
      </c>
      <c r="E386" s="22" t="s">
        <v>11</v>
      </c>
      <c r="F386" s="24" t="s">
        <v>12</v>
      </c>
    </row>
    <row r="387" ht="22.5" customHeight="1" spans="1:6">
      <c r="A387" s="23">
        <v>386</v>
      </c>
      <c r="B387" s="23" t="s">
        <v>486</v>
      </c>
      <c r="C387" s="23" t="s">
        <v>448</v>
      </c>
      <c r="D387" s="23" t="s">
        <v>449</v>
      </c>
      <c r="E387" s="23" t="s">
        <v>11</v>
      </c>
      <c r="F387" s="25" t="s">
        <v>12</v>
      </c>
    </row>
    <row r="388" ht="22.5" customHeight="1" spans="1:6">
      <c r="A388" s="22">
        <v>387</v>
      </c>
      <c r="B388" s="22" t="s">
        <v>487</v>
      </c>
      <c r="C388" s="22" t="s">
        <v>448</v>
      </c>
      <c r="D388" s="22" t="s">
        <v>449</v>
      </c>
      <c r="E388" s="22" t="s">
        <v>11</v>
      </c>
      <c r="F388" s="24" t="s">
        <v>12</v>
      </c>
    </row>
    <row r="389" ht="22.5" customHeight="1" spans="1:6">
      <c r="A389" s="23">
        <v>388</v>
      </c>
      <c r="B389" s="23" t="s">
        <v>488</v>
      </c>
      <c r="C389" s="23" t="s">
        <v>448</v>
      </c>
      <c r="D389" s="23" t="s">
        <v>477</v>
      </c>
      <c r="E389" s="23" t="s">
        <v>11</v>
      </c>
      <c r="F389" s="25" t="s">
        <v>12</v>
      </c>
    </row>
    <row r="390" ht="22.5" customHeight="1" spans="1:6">
      <c r="A390" s="22">
        <v>389</v>
      </c>
      <c r="B390" s="22" t="s">
        <v>489</v>
      </c>
      <c r="C390" s="22" t="s">
        <v>448</v>
      </c>
      <c r="D390" s="22" t="s">
        <v>449</v>
      </c>
      <c r="E390" s="22" t="s">
        <v>11</v>
      </c>
      <c r="F390" s="24" t="s">
        <v>12</v>
      </c>
    </row>
    <row r="391" ht="22.5" customHeight="1" spans="1:6">
      <c r="A391" s="23">
        <v>390</v>
      </c>
      <c r="B391" s="23" t="s">
        <v>490</v>
      </c>
      <c r="C391" s="23" t="s">
        <v>448</v>
      </c>
      <c r="D391" s="23" t="s">
        <v>463</v>
      </c>
      <c r="E391" s="23" t="s">
        <v>11</v>
      </c>
      <c r="F391" s="25" t="s">
        <v>12</v>
      </c>
    </row>
    <row r="392" ht="22.5" customHeight="1" spans="1:6">
      <c r="A392" s="22">
        <v>391</v>
      </c>
      <c r="B392" s="22" t="s">
        <v>491</v>
      </c>
      <c r="C392" s="22" t="s">
        <v>448</v>
      </c>
      <c r="D392" s="22" t="s">
        <v>465</v>
      </c>
      <c r="E392" s="22" t="s">
        <v>11</v>
      </c>
      <c r="F392" s="24" t="s">
        <v>12</v>
      </c>
    </row>
    <row r="393" ht="22.5" customHeight="1" spans="1:6">
      <c r="A393" s="23">
        <v>392</v>
      </c>
      <c r="B393" s="23" t="s">
        <v>492</v>
      </c>
      <c r="C393" s="23" t="s">
        <v>448</v>
      </c>
      <c r="D393" s="23" t="s">
        <v>457</v>
      </c>
      <c r="E393" s="23" t="s">
        <v>11</v>
      </c>
      <c r="F393" s="25" t="s">
        <v>12</v>
      </c>
    </row>
    <row r="394" ht="22.5" customHeight="1" spans="1:6">
      <c r="A394" s="22">
        <v>393</v>
      </c>
      <c r="B394" s="22" t="s">
        <v>493</v>
      </c>
      <c r="C394" s="22" t="s">
        <v>448</v>
      </c>
      <c r="D394" s="22" t="s">
        <v>473</v>
      </c>
      <c r="E394" s="22" t="s">
        <v>11</v>
      </c>
      <c r="F394" s="24" t="s">
        <v>12</v>
      </c>
    </row>
    <row r="395" ht="22.5" customHeight="1" spans="1:6">
      <c r="A395" s="23">
        <v>394</v>
      </c>
      <c r="B395" s="23" t="s">
        <v>494</v>
      </c>
      <c r="C395" s="23" t="s">
        <v>448</v>
      </c>
      <c r="D395" s="23" t="s">
        <v>449</v>
      </c>
      <c r="E395" s="23" t="s">
        <v>11</v>
      </c>
      <c r="F395" s="25" t="s">
        <v>12</v>
      </c>
    </row>
    <row r="396" ht="22.5" customHeight="1" spans="1:6">
      <c r="A396" s="22">
        <v>395</v>
      </c>
      <c r="B396" s="22" t="s">
        <v>495</v>
      </c>
      <c r="C396" s="22" t="s">
        <v>448</v>
      </c>
      <c r="D396" s="22" t="s">
        <v>449</v>
      </c>
      <c r="E396" s="22" t="s">
        <v>11</v>
      </c>
      <c r="F396" s="24" t="s">
        <v>12</v>
      </c>
    </row>
    <row r="397" ht="22.5" customHeight="1" spans="1:6">
      <c r="A397" s="23">
        <v>396</v>
      </c>
      <c r="B397" s="23" t="s">
        <v>496</v>
      </c>
      <c r="C397" s="23" t="s">
        <v>448</v>
      </c>
      <c r="D397" s="23" t="s">
        <v>477</v>
      </c>
      <c r="E397" s="23" t="s">
        <v>11</v>
      </c>
      <c r="F397" s="25" t="s">
        <v>12</v>
      </c>
    </row>
    <row r="398" ht="22.5" customHeight="1" spans="1:6">
      <c r="A398" s="22">
        <v>397</v>
      </c>
      <c r="B398" s="22" t="s">
        <v>497</v>
      </c>
      <c r="C398" s="22" t="s">
        <v>448</v>
      </c>
      <c r="D398" s="22" t="s">
        <v>477</v>
      </c>
      <c r="E398" s="22" t="s">
        <v>11</v>
      </c>
      <c r="F398" s="24" t="s">
        <v>12</v>
      </c>
    </row>
    <row r="399" ht="22.5" customHeight="1" spans="1:6">
      <c r="A399" s="23">
        <v>398</v>
      </c>
      <c r="B399" s="23" t="s">
        <v>498</v>
      </c>
      <c r="C399" s="23" t="s">
        <v>448</v>
      </c>
      <c r="D399" s="23" t="s">
        <v>460</v>
      </c>
      <c r="E399" s="23" t="s">
        <v>11</v>
      </c>
      <c r="F399" s="25" t="s">
        <v>12</v>
      </c>
    </row>
    <row r="400" ht="22.5" customHeight="1" spans="1:6">
      <c r="A400" s="22">
        <v>399</v>
      </c>
      <c r="B400" s="22" t="s">
        <v>499</v>
      </c>
      <c r="C400" s="22" t="s">
        <v>448</v>
      </c>
      <c r="D400" s="22" t="s">
        <v>449</v>
      </c>
      <c r="E400" s="22" t="s">
        <v>11</v>
      </c>
      <c r="F400" s="24" t="s">
        <v>12</v>
      </c>
    </row>
    <row r="401" ht="22.5" customHeight="1" spans="1:6">
      <c r="A401" s="23">
        <v>400</v>
      </c>
      <c r="B401" s="23" t="s">
        <v>500</v>
      </c>
      <c r="C401" s="23" t="s">
        <v>448</v>
      </c>
      <c r="D401" s="23" t="s">
        <v>449</v>
      </c>
      <c r="E401" s="23" t="s">
        <v>11</v>
      </c>
      <c r="F401" s="25" t="s">
        <v>12</v>
      </c>
    </row>
    <row r="402" ht="22.5" customHeight="1" spans="1:6">
      <c r="A402" s="22">
        <v>401</v>
      </c>
      <c r="B402" s="22" t="s">
        <v>501</v>
      </c>
      <c r="C402" s="22" t="s">
        <v>502</v>
      </c>
      <c r="D402" s="22" t="s">
        <v>503</v>
      </c>
      <c r="E402" s="22" t="s">
        <v>11</v>
      </c>
      <c r="F402" s="24" t="s">
        <v>12</v>
      </c>
    </row>
    <row r="403" ht="22.5" customHeight="1" spans="1:6">
      <c r="A403" s="23">
        <v>402</v>
      </c>
      <c r="B403" s="23" t="s">
        <v>504</v>
      </c>
      <c r="C403" s="23" t="s">
        <v>502</v>
      </c>
      <c r="D403" s="23" t="s">
        <v>503</v>
      </c>
      <c r="E403" s="23" t="s">
        <v>11</v>
      </c>
      <c r="F403" s="25" t="s">
        <v>12</v>
      </c>
    </row>
    <row r="404" ht="22.5" customHeight="1" spans="1:6">
      <c r="A404" s="22">
        <v>403</v>
      </c>
      <c r="B404" s="22" t="s">
        <v>505</v>
      </c>
      <c r="C404" s="22" t="s">
        <v>502</v>
      </c>
      <c r="D404" s="22" t="s">
        <v>503</v>
      </c>
      <c r="E404" s="22" t="s">
        <v>11</v>
      </c>
      <c r="F404" s="24" t="s">
        <v>12</v>
      </c>
    </row>
    <row r="405" ht="22.5" customHeight="1" spans="1:6">
      <c r="A405" s="23">
        <v>404</v>
      </c>
      <c r="B405" s="23" t="s">
        <v>506</v>
      </c>
      <c r="C405" s="23" t="s">
        <v>502</v>
      </c>
      <c r="D405" s="23" t="s">
        <v>507</v>
      </c>
      <c r="E405" s="23" t="s">
        <v>11</v>
      </c>
      <c r="F405" s="25" t="s">
        <v>12</v>
      </c>
    </row>
    <row r="406" ht="22.5" customHeight="1" spans="1:6">
      <c r="A406" s="22">
        <v>405</v>
      </c>
      <c r="B406" s="22" t="s">
        <v>508</v>
      </c>
      <c r="C406" s="22" t="s">
        <v>502</v>
      </c>
      <c r="D406" s="22" t="s">
        <v>509</v>
      </c>
      <c r="E406" s="22" t="s">
        <v>11</v>
      </c>
      <c r="F406" s="24" t="s">
        <v>12</v>
      </c>
    </row>
    <row r="407" ht="22.5" customHeight="1" spans="1:6">
      <c r="A407" s="23">
        <v>406</v>
      </c>
      <c r="B407" s="23" t="s">
        <v>510</v>
      </c>
      <c r="C407" s="23" t="s">
        <v>502</v>
      </c>
      <c r="D407" s="23" t="s">
        <v>511</v>
      </c>
      <c r="E407" s="23" t="s">
        <v>11</v>
      </c>
      <c r="F407" s="25" t="s">
        <v>12</v>
      </c>
    </row>
    <row r="408" ht="22.5" customHeight="1" spans="1:6">
      <c r="A408" s="22">
        <v>407</v>
      </c>
      <c r="B408" s="22" t="s">
        <v>512</v>
      </c>
      <c r="C408" s="22" t="s">
        <v>502</v>
      </c>
      <c r="D408" s="22" t="s">
        <v>503</v>
      </c>
      <c r="E408" s="22" t="s">
        <v>11</v>
      </c>
      <c r="F408" s="24" t="s">
        <v>12</v>
      </c>
    </row>
    <row r="409" ht="22.5" customHeight="1" spans="1:6">
      <c r="A409" s="23">
        <v>408</v>
      </c>
      <c r="B409" s="23" t="s">
        <v>513</v>
      </c>
      <c r="C409" s="23" t="s">
        <v>502</v>
      </c>
      <c r="D409" s="23" t="s">
        <v>503</v>
      </c>
      <c r="E409" s="23" t="s">
        <v>11</v>
      </c>
      <c r="F409" s="25" t="s">
        <v>12</v>
      </c>
    </row>
    <row r="410" ht="22.5" customHeight="1" spans="1:6">
      <c r="A410" s="22">
        <v>409</v>
      </c>
      <c r="B410" s="22" t="s">
        <v>514</v>
      </c>
      <c r="C410" s="22" t="s">
        <v>502</v>
      </c>
      <c r="D410" s="22" t="s">
        <v>515</v>
      </c>
      <c r="E410" s="22" t="s">
        <v>11</v>
      </c>
      <c r="F410" s="24" t="s">
        <v>12</v>
      </c>
    </row>
    <row r="411" ht="22.5" customHeight="1" spans="1:6">
      <c r="A411" s="23">
        <v>410</v>
      </c>
      <c r="B411" s="23" t="s">
        <v>516</v>
      </c>
      <c r="C411" s="23" t="s">
        <v>502</v>
      </c>
      <c r="D411" s="23" t="s">
        <v>511</v>
      </c>
      <c r="E411" s="23" t="s">
        <v>11</v>
      </c>
      <c r="F411" s="25" t="s">
        <v>12</v>
      </c>
    </row>
    <row r="412" ht="22.5" customHeight="1" spans="1:6">
      <c r="A412" s="22">
        <v>411</v>
      </c>
      <c r="B412" s="22" t="s">
        <v>517</v>
      </c>
      <c r="C412" s="22" t="s">
        <v>502</v>
      </c>
      <c r="D412" s="22" t="s">
        <v>503</v>
      </c>
      <c r="E412" s="22" t="s">
        <v>11</v>
      </c>
      <c r="F412" s="24" t="s">
        <v>12</v>
      </c>
    </row>
    <row r="413" ht="22.5" customHeight="1" spans="1:6">
      <c r="A413" s="23">
        <v>412</v>
      </c>
      <c r="B413" s="23" t="s">
        <v>518</v>
      </c>
      <c r="C413" s="23" t="s">
        <v>502</v>
      </c>
      <c r="D413" s="23" t="s">
        <v>511</v>
      </c>
      <c r="E413" s="23" t="s">
        <v>11</v>
      </c>
      <c r="F413" s="25" t="s">
        <v>12</v>
      </c>
    </row>
    <row r="414" ht="22.5" customHeight="1" spans="1:6">
      <c r="A414" s="22">
        <v>413</v>
      </c>
      <c r="B414" s="22" t="s">
        <v>519</v>
      </c>
      <c r="C414" s="22" t="s">
        <v>502</v>
      </c>
      <c r="D414" s="22" t="s">
        <v>520</v>
      </c>
      <c r="E414" s="22" t="s">
        <v>11</v>
      </c>
      <c r="F414" s="24" t="s">
        <v>12</v>
      </c>
    </row>
    <row r="415" ht="22.5" customHeight="1" spans="1:6">
      <c r="A415" s="23">
        <v>414</v>
      </c>
      <c r="B415" s="23" t="s">
        <v>521</v>
      </c>
      <c r="C415" s="23" t="s">
        <v>502</v>
      </c>
      <c r="D415" s="23" t="s">
        <v>522</v>
      </c>
      <c r="E415" s="23" t="s">
        <v>11</v>
      </c>
      <c r="F415" s="25" t="s">
        <v>12</v>
      </c>
    </row>
    <row r="416" ht="22.5" customHeight="1" spans="1:6">
      <c r="A416" s="22">
        <v>415</v>
      </c>
      <c r="B416" s="22" t="s">
        <v>523</v>
      </c>
      <c r="C416" s="22" t="s">
        <v>502</v>
      </c>
      <c r="D416" s="22" t="s">
        <v>524</v>
      </c>
      <c r="E416" s="22" t="s">
        <v>11</v>
      </c>
      <c r="F416" s="24" t="s">
        <v>12</v>
      </c>
    </row>
    <row r="417" ht="22.5" customHeight="1" spans="1:6">
      <c r="A417" s="23">
        <v>416</v>
      </c>
      <c r="B417" s="23" t="s">
        <v>525</v>
      </c>
      <c r="C417" s="23" t="s">
        <v>502</v>
      </c>
      <c r="D417" s="23" t="s">
        <v>526</v>
      </c>
      <c r="E417" s="23" t="s">
        <v>11</v>
      </c>
      <c r="F417" s="25" t="s">
        <v>12</v>
      </c>
    </row>
    <row r="418" ht="22.5" customHeight="1" spans="1:6">
      <c r="A418" s="22">
        <v>417</v>
      </c>
      <c r="B418" s="22" t="s">
        <v>527</v>
      </c>
      <c r="C418" s="22" t="s">
        <v>502</v>
      </c>
      <c r="D418" s="22" t="s">
        <v>528</v>
      </c>
      <c r="E418" s="22" t="s">
        <v>11</v>
      </c>
      <c r="F418" s="24" t="s">
        <v>12</v>
      </c>
    </row>
    <row r="419" ht="22.5" customHeight="1" spans="1:6">
      <c r="A419" s="23">
        <v>418</v>
      </c>
      <c r="B419" s="23" t="s">
        <v>529</v>
      </c>
      <c r="C419" s="23" t="s">
        <v>502</v>
      </c>
      <c r="D419" s="23" t="s">
        <v>530</v>
      </c>
      <c r="E419" s="23" t="s">
        <v>11</v>
      </c>
      <c r="F419" s="25" t="s">
        <v>12</v>
      </c>
    </row>
    <row r="420" ht="22.5" customHeight="1" spans="1:6">
      <c r="A420" s="22">
        <v>419</v>
      </c>
      <c r="B420" s="22" t="s">
        <v>531</v>
      </c>
      <c r="C420" s="22" t="s">
        <v>502</v>
      </c>
      <c r="D420" s="22" t="s">
        <v>515</v>
      </c>
      <c r="E420" s="22" t="s">
        <v>11</v>
      </c>
      <c r="F420" s="24" t="s">
        <v>12</v>
      </c>
    </row>
    <row r="421" ht="22.5" customHeight="1" spans="1:6">
      <c r="A421" s="23">
        <v>420</v>
      </c>
      <c r="B421" s="23" t="s">
        <v>532</v>
      </c>
      <c r="C421" s="23" t="s">
        <v>502</v>
      </c>
      <c r="D421" s="23" t="s">
        <v>533</v>
      </c>
      <c r="E421" s="23" t="s">
        <v>11</v>
      </c>
      <c r="F421" s="25" t="s">
        <v>12</v>
      </c>
    </row>
    <row r="422" ht="22.5" customHeight="1" spans="1:6">
      <c r="A422" s="22">
        <v>421</v>
      </c>
      <c r="B422" s="22" t="s">
        <v>534</v>
      </c>
      <c r="C422" s="22" t="s">
        <v>502</v>
      </c>
      <c r="D422" s="22" t="s">
        <v>503</v>
      </c>
      <c r="E422" s="22" t="s">
        <v>11</v>
      </c>
      <c r="F422" s="24" t="s">
        <v>12</v>
      </c>
    </row>
    <row r="423" ht="22.5" customHeight="1" spans="1:6">
      <c r="A423" s="23">
        <v>422</v>
      </c>
      <c r="B423" s="23" t="s">
        <v>535</v>
      </c>
      <c r="C423" s="23" t="s">
        <v>502</v>
      </c>
      <c r="D423" s="23" t="s">
        <v>509</v>
      </c>
      <c r="E423" s="23" t="s">
        <v>11</v>
      </c>
      <c r="F423" s="25" t="s">
        <v>12</v>
      </c>
    </row>
    <row r="424" ht="22.5" customHeight="1" spans="1:6">
      <c r="A424" s="22">
        <v>423</v>
      </c>
      <c r="B424" s="22" t="s">
        <v>536</v>
      </c>
      <c r="C424" s="22" t="s">
        <v>502</v>
      </c>
      <c r="D424" s="22" t="s">
        <v>537</v>
      </c>
      <c r="E424" s="22" t="s">
        <v>11</v>
      </c>
      <c r="F424" s="24" t="s">
        <v>12</v>
      </c>
    </row>
    <row r="425" ht="22.5" customHeight="1" spans="1:6">
      <c r="A425" s="23">
        <v>424</v>
      </c>
      <c r="B425" s="23" t="s">
        <v>538</v>
      </c>
      <c r="C425" s="23" t="s">
        <v>502</v>
      </c>
      <c r="D425" s="23" t="s">
        <v>503</v>
      </c>
      <c r="E425" s="23" t="s">
        <v>11</v>
      </c>
      <c r="F425" s="25" t="s">
        <v>12</v>
      </c>
    </row>
    <row r="426" ht="22.5" customHeight="1" spans="1:6">
      <c r="A426" s="22">
        <v>425</v>
      </c>
      <c r="B426" s="22" t="s">
        <v>539</v>
      </c>
      <c r="C426" s="22" t="s">
        <v>502</v>
      </c>
      <c r="D426" s="22" t="s">
        <v>530</v>
      </c>
      <c r="E426" s="22" t="s">
        <v>11</v>
      </c>
      <c r="F426" s="24" t="s">
        <v>12</v>
      </c>
    </row>
    <row r="427" ht="22.5" customHeight="1" spans="1:6">
      <c r="A427" s="23">
        <v>426</v>
      </c>
      <c r="B427" s="23" t="s">
        <v>540</v>
      </c>
      <c r="C427" s="23" t="s">
        <v>502</v>
      </c>
      <c r="D427" s="23" t="s">
        <v>503</v>
      </c>
      <c r="E427" s="23" t="s">
        <v>11</v>
      </c>
      <c r="F427" s="25" t="s">
        <v>12</v>
      </c>
    </row>
    <row r="428" ht="22.5" customHeight="1" spans="1:6">
      <c r="A428" s="22">
        <v>427</v>
      </c>
      <c r="B428" s="22" t="s">
        <v>541</v>
      </c>
      <c r="C428" s="22" t="s">
        <v>502</v>
      </c>
      <c r="D428" s="22" t="s">
        <v>515</v>
      </c>
      <c r="E428" s="22" t="s">
        <v>11</v>
      </c>
      <c r="F428" s="24" t="s">
        <v>12</v>
      </c>
    </row>
    <row r="429" ht="22.5" customHeight="1" spans="1:6">
      <c r="A429" s="23">
        <v>428</v>
      </c>
      <c r="B429" s="23" t="s">
        <v>542</v>
      </c>
      <c r="C429" s="23" t="s">
        <v>502</v>
      </c>
      <c r="D429" s="23" t="s">
        <v>543</v>
      </c>
      <c r="E429" s="23" t="s">
        <v>11</v>
      </c>
      <c r="F429" s="25" t="s">
        <v>12</v>
      </c>
    </row>
    <row r="430" ht="22.5" customHeight="1" spans="1:6">
      <c r="A430" s="22">
        <v>429</v>
      </c>
      <c r="B430" s="22" t="s">
        <v>544</v>
      </c>
      <c r="C430" s="22" t="s">
        <v>502</v>
      </c>
      <c r="D430" s="22" t="s">
        <v>545</v>
      </c>
      <c r="E430" s="22" t="s">
        <v>11</v>
      </c>
      <c r="F430" s="24" t="s">
        <v>12</v>
      </c>
    </row>
    <row r="431" ht="22.5" customHeight="1" spans="1:6">
      <c r="A431" s="23">
        <v>430</v>
      </c>
      <c r="B431" s="23" t="s">
        <v>546</v>
      </c>
      <c r="C431" s="23" t="s">
        <v>502</v>
      </c>
      <c r="D431" s="23" t="s">
        <v>503</v>
      </c>
      <c r="E431" s="23" t="s">
        <v>11</v>
      </c>
      <c r="F431" s="25" t="s">
        <v>12</v>
      </c>
    </row>
    <row r="432" ht="22.5" customHeight="1" spans="1:6">
      <c r="A432" s="22">
        <v>431</v>
      </c>
      <c r="B432" s="22" t="s">
        <v>547</v>
      </c>
      <c r="C432" s="22" t="s">
        <v>502</v>
      </c>
      <c r="D432" s="22" t="s">
        <v>503</v>
      </c>
      <c r="E432" s="22" t="s">
        <v>11</v>
      </c>
      <c r="F432" s="24" t="s">
        <v>12</v>
      </c>
    </row>
    <row r="433" ht="22.5" customHeight="1" spans="1:6">
      <c r="A433" s="23">
        <v>432</v>
      </c>
      <c r="B433" s="23" t="s">
        <v>548</v>
      </c>
      <c r="C433" s="23" t="s">
        <v>502</v>
      </c>
      <c r="D433" s="23" t="s">
        <v>503</v>
      </c>
      <c r="E433" s="23" t="s">
        <v>11</v>
      </c>
      <c r="F433" s="25" t="s">
        <v>12</v>
      </c>
    </row>
    <row r="434" ht="22.5" customHeight="1" spans="1:6">
      <c r="A434" s="22">
        <v>433</v>
      </c>
      <c r="B434" s="22" t="s">
        <v>549</v>
      </c>
      <c r="C434" s="22" t="s">
        <v>502</v>
      </c>
      <c r="D434" s="22" t="s">
        <v>503</v>
      </c>
      <c r="E434" s="22" t="s">
        <v>11</v>
      </c>
      <c r="F434" s="24" t="s">
        <v>12</v>
      </c>
    </row>
    <row r="435" ht="22.5" customHeight="1" spans="1:6">
      <c r="A435" s="23">
        <v>434</v>
      </c>
      <c r="B435" s="23" t="s">
        <v>550</v>
      </c>
      <c r="C435" s="23" t="s">
        <v>502</v>
      </c>
      <c r="D435" s="23" t="s">
        <v>511</v>
      </c>
      <c r="E435" s="23" t="s">
        <v>11</v>
      </c>
      <c r="F435" s="25" t="s">
        <v>12</v>
      </c>
    </row>
    <row r="436" ht="22.5" customHeight="1" spans="1:6">
      <c r="A436" s="22">
        <v>435</v>
      </c>
      <c r="B436" s="22" t="s">
        <v>551</v>
      </c>
      <c r="C436" s="22" t="s">
        <v>502</v>
      </c>
      <c r="D436" s="22" t="s">
        <v>503</v>
      </c>
      <c r="E436" s="22" t="s">
        <v>11</v>
      </c>
      <c r="F436" s="24" t="s">
        <v>12</v>
      </c>
    </row>
    <row r="437" ht="22.5" customHeight="1" spans="1:6">
      <c r="A437" s="23">
        <v>436</v>
      </c>
      <c r="B437" s="23" t="s">
        <v>552</v>
      </c>
      <c r="C437" s="23" t="s">
        <v>553</v>
      </c>
      <c r="D437" s="23" t="s">
        <v>554</v>
      </c>
      <c r="E437" s="23" t="s">
        <v>11</v>
      </c>
      <c r="F437" s="25" t="s">
        <v>12</v>
      </c>
    </row>
    <row r="438" ht="22.5" customHeight="1" spans="1:6">
      <c r="A438" s="22">
        <v>437</v>
      </c>
      <c r="B438" s="22" t="s">
        <v>555</v>
      </c>
      <c r="C438" s="22" t="s">
        <v>553</v>
      </c>
      <c r="D438" s="22" t="s">
        <v>556</v>
      </c>
      <c r="E438" s="22" t="s">
        <v>11</v>
      </c>
      <c r="F438" s="24" t="s">
        <v>12</v>
      </c>
    </row>
    <row r="439" ht="22.5" customHeight="1" spans="1:6">
      <c r="A439" s="23">
        <v>438</v>
      </c>
      <c r="B439" s="23" t="s">
        <v>557</v>
      </c>
      <c r="C439" s="23" t="s">
        <v>553</v>
      </c>
      <c r="D439" s="23" t="s">
        <v>558</v>
      </c>
      <c r="E439" s="23" t="s">
        <v>11</v>
      </c>
      <c r="F439" s="25" t="s">
        <v>12</v>
      </c>
    </row>
    <row r="440" ht="22.5" customHeight="1" spans="1:6">
      <c r="A440" s="22">
        <v>439</v>
      </c>
      <c r="B440" s="22" t="s">
        <v>559</v>
      </c>
      <c r="C440" s="22" t="s">
        <v>553</v>
      </c>
      <c r="D440" s="22" t="s">
        <v>558</v>
      </c>
      <c r="E440" s="22" t="s">
        <v>11</v>
      </c>
      <c r="F440" s="24" t="s">
        <v>12</v>
      </c>
    </row>
    <row r="441" ht="22.5" customHeight="1" spans="1:6">
      <c r="A441" s="23">
        <v>440</v>
      </c>
      <c r="B441" s="23" t="s">
        <v>560</v>
      </c>
      <c r="C441" s="23" t="s">
        <v>553</v>
      </c>
      <c r="D441" s="23" t="s">
        <v>558</v>
      </c>
      <c r="E441" s="23" t="s">
        <v>11</v>
      </c>
      <c r="F441" s="25" t="s">
        <v>12</v>
      </c>
    </row>
    <row r="442" ht="22.5" customHeight="1" spans="1:6">
      <c r="A442" s="22">
        <v>441</v>
      </c>
      <c r="B442" s="22" t="s">
        <v>561</v>
      </c>
      <c r="C442" s="22" t="s">
        <v>553</v>
      </c>
      <c r="D442" s="22" t="s">
        <v>554</v>
      </c>
      <c r="E442" s="22" t="s">
        <v>11</v>
      </c>
      <c r="F442" s="24" t="s">
        <v>12</v>
      </c>
    </row>
    <row r="443" ht="22.5" customHeight="1" spans="1:6">
      <c r="A443" s="23">
        <v>442</v>
      </c>
      <c r="B443" s="23" t="s">
        <v>562</v>
      </c>
      <c r="C443" s="23" t="s">
        <v>553</v>
      </c>
      <c r="D443" s="23" t="s">
        <v>558</v>
      </c>
      <c r="E443" s="23" t="s">
        <v>11</v>
      </c>
      <c r="F443" s="25" t="s">
        <v>12</v>
      </c>
    </row>
    <row r="444" ht="22.5" customHeight="1" spans="1:6">
      <c r="A444" s="22">
        <v>443</v>
      </c>
      <c r="B444" s="22" t="s">
        <v>563</v>
      </c>
      <c r="C444" s="22" t="s">
        <v>553</v>
      </c>
      <c r="D444" s="22" t="s">
        <v>558</v>
      </c>
      <c r="E444" s="22" t="s">
        <v>11</v>
      </c>
      <c r="F444" s="24" t="s">
        <v>12</v>
      </c>
    </row>
    <row r="445" ht="22.5" customHeight="1" spans="1:6">
      <c r="A445" s="23">
        <v>444</v>
      </c>
      <c r="B445" s="23" t="s">
        <v>564</v>
      </c>
      <c r="C445" s="23" t="s">
        <v>553</v>
      </c>
      <c r="D445" s="23" t="s">
        <v>558</v>
      </c>
      <c r="E445" s="23" t="s">
        <v>11</v>
      </c>
      <c r="F445" s="25" t="s">
        <v>12</v>
      </c>
    </row>
    <row r="446" ht="22.5" customHeight="1" spans="1:6">
      <c r="A446" s="22">
        <v>445</v>
      </c>
      <c r="B446" s="22" t="s">
        <v>565</v>
      </c>
      <c r="C446" s="22" t="s">
        <v>553</v>
      </c>
      <c r="D446" s="22" t="s">
        <v>558</v>
      </c>
      <c r="E446" s="22" t="s">
        <v>11</v>
      </c>
      <c r="F446" s="24" t="s">
        <v>12</v>
      </c>
    </row>
    <row r="447" ht="22.5" customHeight="1" spans="1:6">
      <c r="A447" s="23">
        <v>446</v>
      </c>
      <c r="B447" s="23" t="s">
        <v>566</v>
      </c>
      <c r="C447" s="23" t="s">
        <v>553</v>
      </c>
      <c r="D447" s="23" t="s">
        <v>567</v>
      </c>
      <c r="E447" s="23" t="s">
        <v>11</v>
      </c>
      <c r="F447" s="25" t="s">
        <v>12</v>
      </c>
    </row>
    <row r="448" ht="22.5" customHeight="1" spans="1:6">
      <c r="A448" s="22">
        <v>447</v>
      </c>
      <c r="B448" s="22" t="s">
        <v>568</v>
      </c>
      <c r="C448" s="22" t="s">
        <v>553</v>
      </c>
      <c r="D448" s="22" t="s">
        <v>569</v>
      </c>
      <c r="E448" s="22" t="s">
        <v>11</v>
      </c>
      <c r="F448" s="24" t="s">
        <v>12</v>
      </c>
    </row>
    <row r="449" ht="22.5" customHeight="1" spans="1:6">
      <c r="A449" s="23">
        <v>448</v>
      </c>
      <c r="B449" s="23" t="s">
        <v>570</v>
      </c>
      <c r="C449" s="23" t="s">
        <v>553</v>
      </c>
      <c r="D449" s="23" t="s">
        <v>556</v>
      </c>
      <c r="E449" s="23" t="s">
        <v>11</v>
      </c>
      <c r="F449" s="25" t="s">
        <v>12</v>
      </c>
    </row>
    <row r="450" ht="22.5" customHeight="1" spans="1:6">
      <c r="A450" s="22">
        <v>449</v>
      </c>
      <c r="B450" s="22" t="s">
        <v>571</v>
      </c>
      <c r="C450" s="22" t="s">
        <v>553</v>
      </c>
      <c r="D450" s="22" t="s">
        <v>572</v>
      </c>
      <c r="E450" s="22" t="s">
        <v>11</v>
      </c>
      <c r="F450" s="24" t="s">
        <v>12</v>
      </c>
    </row>
    <row r="451" ht="22.5" customHeight="1" spans="1:6">
      <c r="A451" s="23">
        <v>450</v>
      </c>
      <c r="B451" s="23" t="s">
        <v>573</v>
      </c>
      <c r="C451" s="23" t="s">
        <v>553</v>
      </c>
      <c r="D451" s="23" t="s">
        <v>554</v>
      </c>
      <c r="E451" s="23" t="s">
        <v>11</v>
      </c>
      <c r="F451" s="25" t="s">
        <v>12</v>
      </c>
    </row>
    <row r="452" ht="22.5" customHeight="1" spans="1:6">
      <c r="A452" s="22">
        <v>451</v>
      </c>
      <c r="B452" s="22" t="s">
        <v>574</v>
      </c>
      <c r="C452" s="22" t="s">
        <v>553</v>
      </c>
      <c r="D452" s="22" t="s">
        <v>575</v>
      </c>
      <c r="E452" s="22" t="s">
        <v>11</v>
      </c>
      <c r="F452" s="24" t="s">
        <v>12</v>
      </c>
    </row>
    <row r="453" ht="22.5" customHeight="1" spans="1:6">
      <c r="A453" s="23">
        <v>452</v>
      </c>
      <c r="B453" s="23" t="s">
        <v>576</v>
      </c>
      <c r="C453" s="23" t="s">
        <v>553</v>
      </c>
      <c r="D453" s="23" t="s">
        <v>577</v>
      </c>
      <c r="E453" s="23" t="s">
        <v>11</v>
      </c>
      <c r="F453" s="25" t="s">
        <v>12</v>
      </c>
    </row>
    <row r="454" ht="22.5" customHeight="1" spans="1:6">
      <c r="A454" s="22">
        <v>453</v>
      </c>
      <c r="B454" s="22" t="s">
        <v>578</v>
      </c>
      <c r="C454" s="22" t="s">
        <v>553</v>
      </c>
      <c r="D454" s="22" t="s">
        <v>558</v>
      </c>
      <c r="E454" s="22" t="s">
        <v>11</v>
      </c>
      <c r="F454" s="24" t="s">
        <v>12</v>
      </c>
    </row>
    <row r="455" ht="22.5" customHeight="1" spans="1:6">
      <c r="A455" s="23">
        <v>454</v>
      </c>
      <c r="B455" s="23" t="s">
        <v>579</v>
      </c>
      <c r="C455" s="23" t="s">
        <v>553</v>
      </c>
      <c r="D455" s="23" t="s">
        <v>558</v>
      </c>
      <c r="E455" s="23" t="s">
        <v>11</v>
      </c>
      <c r="F455" s="25" t="s">
        <v>12</v>
      </c>
    </row>
    <row r="456" ht="22.5" customHeight="1" spans="1:6">
      <c r="A456" s="22">
        <v>455</v>
      </c>
      <c r="B456" s="22" t="s">
        <v>580</v>
      </c>
      <c r="C456" s="22" t="s">
        <v>553</v>
      </c>
      <c r="D456" s="22" t="s">
        <v>581</v>
      </c>
      <c r="E456" s="22" t="s">
        <v>11</v>
      </c>
      <c r="F456" s="24" t="s">
        <v>12</v>
      </c>
    </row>
    <row r="457" ht="22.5" customHeight="1" spans="1:6">
      <c r="A457" s="23">
        <v>456</v>
      </c>
      <c r="B457" s="23" t="s">
        <v>582</v>
      </c>
      <c r="C457" s="23" t="s">
        <v>553</v>
      </c>
      <c r="D457" s="23" t="s">
        <v>554</v>
      </c>
      <c r="E457" s="23" t="s">
        <v>11</v>
      </c>
      <c r="F457" s="25" t="s">
        <v>12</v>
      </c>
    </row>
    <row r="458" ht="22.5" customHeight="1" spans="1:6">
      <c r="A458" s="22">
        <v>457</v>
      </c>
      <c r="B458" s="22" t="s">
        <v>583</v>
      </c>
      <c r="C458" s="22" t="s">
        <v>553</v>
      </c>
      <c r="D458" s="22" t="s">
        <v>558</v>
      </c>
      <c r="E458" s="22" t="s">
        <v>11</v>
      </c>
      <c r="F458" s="24" t="s">
        <v>12</v>
      </c>
    </row>
    <row r="459" ht="22.5" customHeight="1" spans="1:6">
      <c r="A459" s="23">
        <v>458</v>
      </c>
      <c r="B459" s="23" t="s">
        <v>584</v>
      </c>
      <c r="C459" s="23" t="s">
        <v>553</v>
      </c>
      <c r="D459" s="23" t="s">
        <v>558</v>
      </c>
      <c r="E459" s="23" t="s">
        <v>11</v>
      </c>
      <c r="F459" s="25" t="s">
        <v>12</v>
      </c>
    </row>
    <row r="460" ht="22.5" customHeight="1" spans="1:6">
      <c r="A460" s="22">
        <v>459</v>
      </c>
      <c r="B460" s="22" t="s">
        <v>585</v>
      </c>
      <c r="C460" s="22" t="s">
        <v>553</v>
      </c>
      <c r="D460" s="22" t="s">
        <v>556</v>
      </c>
      <c r="E460" s="22" t="s">
        <v>11</v>
      </c>
      <c r="F460" s="24" t="s">
        <v>12</v>
      </c>
    </row>
    <row r="461" ht="22.5" customHeight="1" spans="1:6">
      <c r="A461" s="23">
        <v>460</v>
      </c>
      <c r="B461" s="23" t="s">
        <v>586</v>
      </c>
      <c r="C461" s="23" t="s">
        <v>587</v>
      </c>
      <c r="D461" s="23" t="s">
        <v>588</v>
      </c>
      <c r="E461" s="23" t="s">
        <v>11</v>
      </c>
      <c r="F461" s="25" t="s">
        <v>12</v>
      </c>
    </row>
    <row r="462" ht="22.5" customHeight="1" spans="1:6">
      <c r="A462" s="22">
        <v>461</v>
      </c>
      <c r="B462" s="22" t="s">
        <v>589</v>
      </c>
      <c r="C462" s="22" t="s">
        <v>587</v>
      </c>
      <c r="D462" s="22" t="s">
        <v>588</v>
      </c>
      <c r="E462" s="22" t="s">
        <v>11</v>
      </c>
      <c r="F462" s="24" t="s">
        <v>12</v>
      </c>
    </row>
    <row r="463" ht="22.5" customHeight="1" spans="1:6">
      <c r="A463" s="23">
        <v>462</v>
      </c>
      <c r="B463" s="23" t="s">
        <v>590</v>
      </c>
      <c r="C463" s="23" t="s">
        <v>587</v>
      </c>
      <c r="D463" s="23" t="s">
        <v>591</v>
      </c>
      <c r="E463" s="23" t="s">
        <v>11</v>
      </c>
      <c r="F463" s="25" t="s">
        <v>12</v>
      </c>
    </row>
    <row r="464" ht="22.5" customHeight="1" spans="1:6">
      <c r="A464" s="22">
        <v>463</v>
      </c>
      <c r="B464" s="22" t="s">
        <v>592</v>
      </c>
      <c r="C464" s="22" t="s">
        <v>587</v>
      </c>
      <c r="D464" s="22" t="s">
        <v>588</v>
      </c>
      <c r="E464" s="22" t="s">
        <v>11</v>
      </c>
      <c r="F464" s="24" t="s">
        <v>12</v>
      </c>
    </row>
    <row r="465" ht="22.5" customHeight="1" spans="1:6">
      <c r="A465" s="23">
        <v>464</v>
      </c>
      <c r="B465" s="23" t="s">
        <v>593</v>
      </c>
      <c r="C465" s="23" t="s">
        <v>587</v>
      </c>
      <c r="D465" s="23" t="s">
        <v>594</v>
      </c>
      <c r="E465" s="23" t="s">
        <v>11</v>
      </c>
      <c r="F465" s="25" t="s">
        <v>12</v>
      </c>
    </row>
    <row r="466" ht="22.5" customHeight="1" spans="1:6">
      <c r="A466" s="22">
        <v>465</v>
      </c>
      <c r="B466" s="22" t="s">
        <v>595</v>
      </c>
      <c r="C466" s="22" t="s">
        <v>587</v>
      </c>
      <c r="D466" s="22" t="s">
        <v>596</v>
      </c>
      <c r="E466" s="22" t="s">
        <v>11</v>
      </c>
      <c r="F466" s="24" t="s">
        <v>12</v>
      </c>
    </row>
    <row r="467" ht="22.5" customHeight="1" spans="1:6">
      <c r="A467" s="23">
        <v>466</v>
      </c>
      <c r="B467" s="23" t="s">
        <v>597</v>
      </c>
      <c r="C467" s="23" t="s">
        <v>587</v>
      </c>
      <c r="D467" s="23" t="s">
        <v>588</v>
      </c>
      <c r="E467" s="23" t="s">
        <v>11</v>
      </c>
      <c r="F467" s="25" t="s">
        <v>12</v>
      </c>
    </row>
    <row r="468" ht="22.5" customHeight="1" spans="1:6">
      <c r="A468" s="22">
        <v>467</v>
      </c>
      <c r="B468" s="22" t="s">
        <v>598</v>
      </c>
      <c r="C468" s="22" t="s">
        <v>587</v>
      </c>
      <c r="D468" s="22" t="s">
        <v>588</v>
      </c>
      <c r="E468" s="22" t="s">
        <v>11</v>
      </c>
      <c r="F468" s="24" t="s">
        <v>12</v>
      </c>
    </row>
    <row r="469" ht="22.5" customHeight="1" spans="1:6">
      <c r="A469" s="23">
        <v>468</v>
      </c>
      <c r="B469" s="23" t="s">
        <v>599</v>
      </c>
      <c r="C469" s="23" t="s">
        <v>587</v>
      </c>
      <c r="D469" s="23" t="s">
        <v>594</v>
      </c>
      <c r="E469" s="23" t="s">
        <v>11</v>
      </c>
      <c r="F469" s="25" t="s">
        <v>12</v>
      </c>
    </row>
    <row r="470" ht="22.5" customHeight="1" spans="1:6">
      <c r="A470" s="22">
        <v>469</v>
      </c>
      <c r="B470" s="22" t="s">
        <v>600</v>
      </c>
      <c r="C470" s="22" t="s">
        <v>587</v>
      </c>
      <c r="D470" s="22" t="s">
        <v>588</v>
      </c>
      <c r="E470" s="22" t="s">
        <v>11</v>
      </c>
      <c r="F470" s="24" t="s">
        <v>12</v>
      </c>
    </row>
    <row r="471" ht="22.5" customHeight="1" spans="1:6">
      <c r="A471" s="23">
        <v>470</v>
      </c>
      <c r="B471" s="23" t="s">
        <v>601</v>
      </c>
      <c r="C471" s="23" t="s">
        <v>587</v>
      </c>
      <c r="D471" s="23" t="s">
        <v>602</v>
      </c>
      <c r="E471" s="23" t="s">
        <v>11</v>
      </c>
      <c r="F471" s="25" t="s">
        <v>12</v>
      </c>
    </row>
    <row r="472" ht="22.5" customHeight="1" spans="1:6">
      <c r="A472" s="22">
        <v>471</v>
      </c>
      <c r="B472" s="22" t="s">
        <v>603</v>
      </c>
      <c r="C472" s="22" t="s">
        <v>587</v>
      </c>
      <c r="D472" s="22" t="s">
        <v>604</v>
      </c>
      <c r="E472" s="22" t="s">
        <v>11</v>
      </c>
      <c r="F472" s="24" t="s">
        <v>12</v>
      </c>
    </row>
    <row r="473" ht="22.5" customHeight="1" spans="1:6">
      <c r="A473" s="23">
        <v>472</v>
      </c>
      <c r="B473" s="23" t="s">
        <v>605</v>
      </c>
      <c r="C473" s="23" t="s">
        <v>587</v>
      </c>
      <c r="D473" s="23" t="s">
        <v>594</v>
      </c>
      <c r="E473" s="23" t="s">
        <v>11</v>
      </c>
      <c r="F473" s="25" t="s">
        <v>12</v>
      </c>
    </row>
    <row r="474" ht="22.5" customHeight="1" spans="1:6">
      <c r="A474" s="22">
        <v>473</v>
      </c>
      <c r="B474" s="22" t="s">
        <v>606</v>
      </c>
      <c r="C474" s="22" t="s">
        <v>587</v>
      </c>
      <c r="D474" s="22" t="s">
        <v>607</v>
      </c>
      <c r="E474" s="22" t="s">
        <v>11</v>
      </c>
      <c r="F474" s="24" t="s">
        <v>12</v>
      </c>
    </row>
    <row r="475" ht="22.5" customHeight="1" spans="1:6">
      <c r="A475" s="23">
        <v>474</v>
      </c>
      <c r="B475" s="23" t="s">
        <v>608</v>
      </c>
      <c r="C475" s="23" t="s">
        <v>587</v>
      </c>
      <c r="D475" s="23" t="s">
        <v>588</v>
      </c>
      <c r="E475" s="23" t="s">
        <v>11</v>
      </c>
      <c r="F475" s="25" t="s">
        <v>12</v>
      </c>
    </row>
    <row r="476" ht="22.5" customHeight="1" spans="1:6">
      <c r="A476" s="22">
        <v>475</v>
      </c>
      <c r="B476" s="22" t="s">
        <v>609</v>
      </c>
      <c r="C476" s="22" t="s">
        <v>587</v>
      </c>
      <c r="D476" s="22" t="s">
        <v>596</v>
      </c>
      <c r="E476" s="22" t="s">
        <v>11</v>
      </c>
      <c r="F476" s="24" t="s">
        <v>12</v>
      </c>
    </row>
    <row r="477" ht="22.5" customHeight="1" spans="1:6">
      <c r="A477" s="23">
        <v>476</v>
      </c>
      <c r="B477" s="23" t="s">
        <v>610</v>
      </c>
      <c r="C477" s="23" t="s">
        <v>587</v>
      </c>
      <c r="D477" s="23" t="s">
        <v>611</v>
      </c>
      <c r="E477" s="23" t="s">
        <v>11</v>
      </c>
      <c r="F477" s="25" t="s">
        <v>12</v>
      </c>
    </row>
    <row r="478" ht="22.5" customHeight="1" spans="1:6">
      <c r="A478" s="22">
        <v>477</v>
      </c>
      <c r="B478" s="22" t="s">
        <v>612</v>
      </c>
      <c r="C478" s="22" t="s">
        <v>587</v>
      </c>
      <c r="D478" s="22" t="s">
        <v>588</v>
      </c>
      <c r="E478" s="22" t="s">
        <v>11</v>
      </c>
      <c r="F478" s="24" t="s">
        <v>12</v>
      </c>
    </row>
    <row r="479" ht="22.5" customHeight="1" spans="1:6">
      <c r="A479" s="23">
        <v>478</v>
      </c>
      <c r="B479" s="23" t="s">
        <v>613</v>
      </c>
      <c r="C479" s="23" t="s">
        <v>587</v>
      </c>
      <c r="D479" s="23" t="s">
        <v>588</v>
      </c>
      <c r="E479" s="23" t="s">
        <v>11</v>
      </c>
      <c r="F479" s="25" t="s">
        <v>12</v>
      </c>
    </row>
    <row r="480" ht="22.5" customHeight="1" spans="1:6">
      <c r="A480" s="22">
        <v>479</v>
      </c>
      <c r="B480" s="22" t="s">
        <v>614</v>
      </c>
      <c r="C480" s="22" t="s">
        <v>587</v>
      </c>
      <c r="D480" s="22" t="s">
        <v>588</v>
      </c>
      <c r="E480" s="22" t="s">
        <v>11</v>
      </c>
      <c r="F480" s="24" t="s">
        <v>12</v>
      </c>
    </row>
    <row r="481" ht="22.5" customHeight="1" spans="1:6">
      <c r="A481" s="23">
        <v>480</v>
      </c>
      <c r="B481" s="23" t="s">
        <v>615</v>
      </c>
      <c r="C481" s="23" t="s">
        <v>587</v>
      </c>
      <c r="D481" s="23" t="s">
        <v>616</v>
      </c>
      <c r="E481" s="23" t="s">
        <v>11</v>
      </c>
      <c r="F481" s="25" t="s">
        <v>12</v>
      </c>
    </row>
    <row r="482" ht="22.5" customHeight="1" spans="1:6">
      <c r="A482" s="22">
        <v>481</v>
      </c>
      <c r="B482" s="22" t="s">
        <v>617</v>
      </c>
      <c r="C482" s="22" t="s">
        <v>587</v>
      </c>
      <c r="D482" s="22" t="s">
        <v>618</v>
      </c>
      <c r="E482" s="22" t="s">
        <v>11</v>
      </c>
      <c r="F482" s="24" t="s">
        <v>12</v>
      </c>
    </row>
    <row r="483" ht="22.5" customHeight="1" spans="1:6">
      <c r="A483" s="23">
        <v>482</v>
      </c>
      <c r="B483" s="23" t="s">
        <v>619</v>
      </c>
      <c r="C483" s="23" t="s">
        <v>587</v>
      </c>
      <c r="D483" s="23" t="s">
        <v>591</v>
      </c>
      <c r="E483" s="23" t="s">
        <v>11</v>
      </c>
      <c r="F483" s="25" t="s">
        <v>12</v>
      </c>
    </row>
    <row r="484" ht="22.5" customHeight="1" spans="1:6">
      <c r="A484" s="22">
        <v>483</v>
      </c>
      <c r="B484" s="22" t="s">
        <v>620</v>
      </c>
      <c r="C484" s="22" t="s">
        <v>587</v>
      </c>
      <c r="D484" s="22" t="s">
        <v>594</v>
      </c>
      <c r="E484" s="22" t="s">
        <v>11</v>
      </c>
      <c r="F484" s="24" t="s">
        <v>12</v>
      </c>
    </row>
    <row r="485" ht="22.5" customHeight="1" spans="1:6">
      <c r="A485" s="23">
        <v>484</v>
      </c>
      <c r="B485" s="23" t="s">
        <v>621</v>
      </c>
      <c r="C485" s="23" t="s">
        <v>587</v>
      </c>
      <c r="D485" s="23" t="s">
        <v>588</v>
      </c>
      <c r="E485" s="23" t="s">
        <v>11</v>
      </c>
      <c r="F485" s="25" t="s">
        <v>12</v>
      </c>
    </row>
    <row r="486" ht="22.5" customHeight="1" spans="1:6">
      <c r="A486" s="22">
        <v>485</v>
      </c>
      <c r="B486" s="22" t="s">
        <v>622</v>
      </c>
      <c r="C486" s="22" t="s">
        <v>587</v>
      </c>
      <c r="D486" s="22" t="s">
        <v>588</v>
      </c>
      <c r="E486" s="22" t="s">
        <v>11</v>
      </c>
      <c r="F486" s="24" t="s">
        <v>12</v>
      </c>
    </row>
    <row r="487" ht="22.5" customHeight="1" spans="1:6">
      <c r="A487" s="23">
        <v>486</v>
      </c>
      <c r="B487" s="23" t="s">
        <v>623</v>
      </c>
      <c r="C487" s="23" t="s">
        <v>587</v>
      </c>
      <c r="D487" s="23" t="s">
        <v>588</v>
      </c>
      <c r="E487" s="23" t="s">
        <v>11</v>
      </c>
      <c r="F487" s="25" t="s">
        <v>12</v>
      </c>
    </row>
    <row r="488" ht="22.5" customHeight="1" spans="1:6">
      <c r="A488" s="22">
        <v>487</v>
      </c>
      <c r="B488" s="22" t="s">
        <v>624</v>
      </c>
      <c r="C488" s="22" t="s">
        <v>587</v>
      </c>
      <c r="D488" s="22" t="s">
        <v>618</v>
      </c>
      <c r="E488" s="22" t="s">
        <v>11</v>
      </c>
      <c r="F488" s="24" t="s">
        <v>12</v>
      </c>
    </row>
    <row r="489" ht="22.5" customHeight="1" spans="1:6">
      <c r="A489" s="23">
        <v>488</v>
      </c>
      <c r="B489" s="23" t="s">
        <v>625</v>
      </c>
      <c r="C489" s="23" t="s">
        <v>587</v>
      </c>
      <c r="D489" s="23" t="s">
        <v>591</v>
      </c>
      <c r="E489" s="23" t="s">
        <v>11</v>
      </c>
      <c r="F489" s="25" t="s">
        <v>12</v>
      </c>
    </row>
    <row r="490" ht="22.5" customHeight="1" spans="1:6">
      <c r="A490" s="22">
        <v>489</v>
      </c>
      <c r="B490" s="22" t="s">
        <v>626</v>
      </c>
      <c r="C490" s="22" t="s">
        <v>587</v>
      </c>
      <c r="D490" s="22" t="s">
        <v>588</v>
      </c>
      <c r="E490" s="22" t="s">
        <v>11</v>
      </c>
      <c r="F490" s="24" t="s">
        <v>12</v>
      </c>
    </row>
    <row r="491" ht="22.5" customHeight="1" spans="1:6">
      <c r="A491" s="23">
        <v>490</v>
      </c>
      <c r="B491" s="23" t="s">
        <v>627</v>
      </c>
      <c r="C491" s="23" t="s">
        <v>628</v>
      </c>
      <c r="D491" s="23" t="s">
        <v>629</v>
      </c>
      <c r="E491" s="23" t="s">
        <v>11</v>
      </c>
      <c r="F491" s="25" t="s">
        <v>12</v>
      </c>
    </row>
    <row r="492" ht="22.5" customHeight="1" spans="1:6">
      <c r="A492" s="22">
        <v>491</v>
      </c>
      <c r="B492" s="22" t="s">
        <v>630</v>
      </c>
      <c r="C492" s="22" t="s">
        <v>628</v>
      </c>
      <c r="D492" s="22" t="s">
        <v>631</v>
      </c>
      <c r="E492" s="22" t="s">
        <v>11</v>
      </c>
      <c r="F492" s="24" t="s">
        <v>12</v>
      </c>
    </row>
    <row r="493" ht="22.5" customHeight="1" spans="1:6">
      <c r="A493" s="23">
        <v>492</v>
      </c>
      <c r="B493" s="23" t="s">
        <v>632</v>
      </c>
      <c r="C493" s="23" t="s">
        <v>628</v>
      </c>
      <c r="D493" s="23" t="s">
        <v>631</v>
      </c>
      <c r="E493" s="23" t="s">
        <v>11</v>
      </c>
      <c r="F493" s="25" t="s">
        <v>12</v>
      </c>
    </row>
    <row r="494" ht="22.5" customHeight="1" spans="1:6">
      <c r="A494" s="22">
        <v>493</v>
      </c>
      <c r="B494" s="22" t="s">
        <v>633</v>
      </c>
      <c r="C494" s="22" t="s">
        <v>628</v>
      </c>
      <c r="D494" s="22" t="s">
        <v>631</v>
      </c>
      <c r="E494" s="22" t="s">
        <v>11</v>
      </c>
      <c r="F494" s="24" t="s">
        <v>12</v>
      </c>
    </row>
    <row r="495" ht="22.5" customHeight="1" spans="1:6">
      <c r="A495" s="23">
        <v>494</v>
      </c>
      <c r="B495" s="23" t="s">
        <v>634</v>
      </c>
      <c r="C495" s="23" t="s">
        <v>628</v>
      </c>
      <c r="D495" s="23" t="s">
        <v>631</v>
      </c>
      <c r="E495" s="23" t="s">
        <v>11</v>
      </c>
      <c r="F495" s="25" t="s">
        <v>12</v>
      </c>
    </row>
    <row r="496" ht="22.5" customHeight="1" spans="1:6">
      <c r="A496" s="22">
        <v>495</v>
      </c>
      <c r="B496" s="22" t="s">
        <v>635</v>
      </c>
      <c r="C496" s="22" t="s">
        <v>628</v>
      </c>
      <c r="D496" s="22" t="s">
        <v>629</v>
      </c>
      <c r="E496" s="22" t="s">
        <v>11</v>
      </c>
      <c r="F496" s="24" t="s">
        <v>12</v>
      </c>
    </row>
    <row r="497" ht="22.5" customHeight="1" spans="1:6">
      <c r="A497" s="23">
        <v>496</v>
      </c>
      <c r="B497" s="23" t="s">
        <v>636</v>
      </c>
      <c r="C497" s="23" t="s">
        <v>628</v>
      </c>
      <c r="D497" s="23" t="s">
        <v>631</v>
      </c>
      <c r="E497" s="23" t="s">
        <v>11</v>
      </c>
      <c r="F497" s="25" t="s">
        <v>12</v>
      </c>
    </row>
    <row r="498" ht="22.5" customHeight="1" spans="1:6">
      <c r="A498" s="22">
        <v>497</v>
      </c>
      <c r="B498" s="22" t="s">
        <v>637</v>
      </c>
      <c r="C498" s="22" t="s">
        <v>628</v>
      </c>
      <c r="D498" s="22" t="s">
        <v>629</v>
      </c>
      <c r="E498" s="22" t="s">
        <v>11</v>
      </c>
      <c r="F498" s="24" t="s">
        <v>12</v>
      </c>
    </row>
    <row r="499" ht="22.5" customHeight="1" spans="1:6">
      <c r="A499" s="23">
        <v>498</v>
      </c>
      <c r="B499" s="23" t="s">
        <v>638</v>
      </c>
      <c r="C499" s="23" t="s">
        <v>628</v>
      </c>
      <c r="D499" s="23" t="s">
        <v>629</v>
      </c>
      <c r="E499" s="23" t="s">
        <v>11</v>
      </c>
      <c r="F499" s="25" t="s">
        <v>12</v>
      </c>
    </row>
    <row r="500" ht="22.5" customHeight="1" spans="1:6">
      <c r="A500" s="22">
        <v>499</v>
      </c>
      <c r="B500" s="22" t="s">
        <v>639</v>
      </c>
      <c r="C500" s="22" t="s">
        <v>628</v>
      </c>
      <c r="D500" s="22" t="s">
        <v>640</v>
      </c>
      <c r="E500" s="22" t="s">
        <v>11</v>
      </c>
      <c r="F500" s="24" t="s">
        <v>12</v>
      </c>
    </row>
    <row r="501" ht="22.5" customHeight="1" spans="1:6">
      <c r="A501" s="23">
        <v>500</v>
      </c>
      <c r="B501" s="23" t="s">
        <v>641</v>
      </c>
      <c r="C501" s="23" t="s">
        <v>628</v>
      </c>
      <c r="D501" s="23" t="s">
        <v>642</v>
      </c>
      <c r="E501" s="23" t="s">
        <v>11</v>
      </c>
      <c r="F501" s="25" t="s">
        <v>12</v>
      </c>
    </row>
    <row r="502" ht="22.5" customHeight="1" spans="1:6">
      <c r="A502" s="22">
        <v>501</v>
      </c>
      <c r="B502" s="22" t="s">
        <v>643</v>
      </c>
      <c r="C502" s="22" t="s">
        <v>628</v>
      </c>
      <c r="D502" s="22" t="s">
        <v>631</v>
      </c>
      <c r="E502" s="22" t="s">
        <v>11</v>
      </c>
      <c r="F502" s="24" t="s">
        <v>12</v>
      </c>
    </row>
    <row r="503" ht="22.5" customHeight="1" spans="1:6">
      <c r="A503" s="23">
        <v>502</v>
      </c>
      <c r="B503" s="23" t="s">
        <v>644</v>
      </c>
      <c r="C503" s="23" t="s">
        <v>628</v>
      </c>
      <c r="D503" s="23" t="s">
        <v>645</v>
      </c>
      <c r="E503" s="23" t="s">
        <v>11</v>
      </c>
      <c r="F503" s="25" t="s">
        <v>12</v>
      </c>
    </row>
    <row r="504" ht="22.5" customHeight="1" spans="1:6">
      <c r="A504" s="22">
        <v>503</v>
      </c>
      <c r="B504" s="22" t="s">
        <v>646</v>
      </c>
      <c r="C504" s="22" t="s">
        <v>628</v>
      </c>
      <c r="D504" s="22" t="s">
        <v>629</v>
      </c>
      <c r="E504" s="22" t="s">
        <v>11</v>
      </c>
      <c r="F504" s="24" t="s">
        <v>12</v>
      </c>
    </row>
    <row r="505" ht="22.5" customHeight="1" spans="1:6">
      <c r="A505" s="23">
        <v>504</v>
      </c>
      <c r="B505" s="23" t="s">
        <v>647</v>
      </c>
      <c r="C505" s="23" t="s">
        <v>628</v>
      </c>
      <c r="D505" s="23" t="s">
        <v>648</v>
      </c>
      <c r="E505" s="23" t="s">
        <v>11</v>
      </c>
      <c r="F505" s="25" t="s">
        <v>12</v>
      </c>
    </row>
    <row r="506" ht="22.5" customHeight="1" spans="1:6">
      <c r="A506" s="22">
        <v>505</v>
      </c>
      <c r="B506" s="22" t="s">
        <v>649</v>
      </c>
      <c r="C506" s="22" t="s">
        <v>628</v>
      </c>
      <c r="D506" s="22" t="s">
        <v>629</v>
      </c>
      <c r="E506" s="22" t="s">
        <v>11</v>
      </c>
      <c r="F506" s="24" t="s">
        <v>12</v>
      </c>
    </row>
    <row r="507" ht="22.5" customHeight="1" spans="1:6">
      <c r="A507" s="23">
        <v>506</v>
      </c>
      <c r="B507" s="23" t="s">
        <v>650</v>
      </c>
      <c r="C507" s="23" t="s">
        <v>628</v>
      </c>
      <c r="D507" s="23" t="s">
        <v>651</v>
      </c>
      <c r="E507" s="23" t="s">
        <v>11</v>
      </c>
      <c r="F507" s="25" t="s">
        <v>12</v>
      </c>
    </row>
    <row r="508" ht="22.5" customHeight="1" spans="1:6">
      <c r="A508" s="22">
        <v>507</v>
      </c>
      <c r="B508" s="22" t="s">
        <v>652</v>
      </c>
      <c r="C508" s="22" t="s">
        <v>628</v>
      </c>
      <c r="D508" s="22" t="s">
        <v>629</v>
      </c>
      <c r="E508" s="22" t="s">
        <v>11</v>
      </c>
      <c r="F508" s="24" t="s">
        <v>12</v>
      </c>
    </row>
    <row r="509" ht="22.5" customHeight="1" spans="1:6">
      <c r="A509" s="23">
        <v>508</v>
      </c>
      <c r="B509" s="23" t="s">
        <v>653</v>
      </c>
      <c r="C509" s="23" t="s">
        <v>628</v>
      </c>
      <c r="D509" s="23" t="s">
        <v>651</v>
      </c>
      <c r="E509" s="23" t="s">
        <v>11</v>
      </c>
      <c r="F509" s="25" t="s">
        <v>12</v>
      </c>
    </row>
    <row r="510" ht="22.5" customHeight="1" spans="1:6">
      <c r="A510" s="22">
        <v>509</v>
      </c>
      <c r="B510" s="22" t="s">
        <v>654</v>
      </c>
      <c r="C510" s="22" t="s">
        <v>628</v>
      </c>
      <c r="D510" s="22" t="s">
        <v>655</v>
      </c>
      <c r="E510" s="22" t="s">
        <v>11</v>
      </c>
      <c r="F510" s="24" t="s">
        <v>12</v>
      </c>
    </row>
    <row r="511" ht="22.5" customHeight="1" spans="1:6">
      <c r="A511" s="23">
        <v>510</v>
      </c>
      <c r="B511" s="23" t="s">
        <v>656</v>
      </c>
      <c r="C511" s="23" t="s">
        <v>628</v>
      </c>
      <c r="D511" s="23" t="s">
        <v>657</v>
      </c>
      <c r="E511" s="23" t="s">
        <v>11</v>
      </c>
      <c r="F511" s="25" t="s">
        <v>12</v>
      </c>
    </row>
    <row r="512" ht="22.5" customHeight="1" spans="1:6">
      <c r="A512" s="22">
        <v>511</v>
      </c>
      <c r="B512" s="22" t="s">
        <v>658</v>
      </c>
      <c r="C512" s="22" t="s">
        <v>628</v>
      </c>
      <c r="D512" s="22" t="s">
        <v>648</v>
      </c>
      <c r="E512" s="22" t="s">
        <v>11</v>
      </c>
      <c r="F512" s="24" t="s">
        <v>12</v>
      </c>
    </row>
    <row r="513" ht="22.5" customHeight="1" spans="1:6">
      <c r="A513" s="23">
        <v>512</v>
      </c>
      <c r="B513" s="23" t="s">
        <v>659</v>
      </c>
      <c r="C513" s="23" t="s">
        <v>628</v>
      </c>
      <c r="D513" s="23" t="s">
        <v>660</v>
      </c>
      <c r="E513" s="23" t="s">
        <v>11</v>
      </c>
      <c r="F513" s="25" t="s">
        <v>12</v>
      </c>
    </row>
    <row r="514" ht="22.5" customHeight="1" spans="1:6">
      <c r="A514" s="22">
        <v>513</v>
      </c>
      <c r="B514" s="22" t="s">
        <v>661</v>
      </c>
      <c r="C514" s="22" t="s">
        <v>628</v>
      </c>
      <c r="D514" s="22" t="s">
        <v>662</v>
      </c>
      <c r="E514" s="22" t="s">
        <v>11</v>
      </c>
      <c r="F514" s="24" t="s">
        <v>12</v>
      </c>
    </row>
    <row r="515" ht="22.5" customHeight="1" spans="1:6">
      <c r="A515" s="23">
        <v>514</v>
      </c>
      <c r="B515" s="23" t="s">
        <v>663</v>
      </c>
      <c r="C515" s="23" t="s">
        <v>628</v>
      </c>
      <c r="D515" s="23" t="s">
        <v>642</v>
      </c>
      <c r="E515" s="23" t="s">
        <v>11</v>
      </c>
      <c r="F515" s="25" t="s">
        <v>12</v>
      </c>
    </row>
    <row r="516" ht="22.5" customHeight="1" spans="1:6">
      <c r="A516" s="22">
        <v>515</v>
      </c>
      <c r="B516" s="22" t="s">
        <v>664</v>
      </c>
      <c r="C516" s="22" t="s">
        <v>628</v>
      </c>
      <c r="D516" s="22" t="s">
        <v>651</v>
      </c>
      <c r="E516" s="22" t="s">
        <v>11</v>
      </c>
      <c r="F516" s="24" t="s">
        <v>12</v>
      </c>
    </row>
    <row r="517" ht="22.5" customHeight="1" spans="1:6">
      <c r="A517" s="23">
        <v>516</v>
      </c>
      <c r="B517" s="23" t="s">
        <v>665</v>
      </c>
      <c r="C517" s="23" t="s">
        <v>628</v>
      </c>
      <c r="D517" s="23" t="s">
        <v>666</v>
      </c>
      <c r="E517" s="23" t="s">
        <v>11</v>
      </c>
      <c r="F517" s="25" t="s">
        <v>12</v>
      </c>
    </row>
    <row r="518" ht="22.5" customHeight="1" spans="1:6">
      <c r="A518" s="22">
        <v>517</v>
      </c>
      <c r="B518" s="22" t="s">
        <v>667</v>
      </c>
      <c r="C518" s="22" t="s">
        <v>628</v>
      </c>
      <c r="D518" s="22" t="s">
        <v>629</v>
      </c>
      <c r="E518" s="22" t="s">
        <v>11</v>
      </c>
      <c r="F518" s="24" t="s">
        <v>12</v>
      </c>
    </row>
    <row r="519" ht="22.5" customHeight="1" spans="1:6">
      <c r="A519" s="23">
        <v>518</v>
      </c>
      <c r="B519" s="23" t="s">
        <v>668</v>
      </c>
      <c r="C519" s="23" t="s">
        <v>628</v>
      </c>
      <c r="D519" s="23" t="s">
        <v>629</v>
      </c>
      <c r="E519" s="23" t="s">
        <v>11</v>
      </c>
      <c r="F519" s="25" t="s">
        <v>12</v>
      </c>
    </row>
    <row r="520" ht="22.5" customHeight="1" spans="1:6">
      <c r="A520" s="22">
        <v>519</v>
      </c>
      <c r="B520" s="22" t="s">
        <v>669</v>
      </c>
      <c r="C520" s="22" t="s">
        <v>628</v>
      </c>
      <c r="D520" s="22" t="s">
        <v>629</v>
      </c>
      <c r="E520" s="22" t="s">
        <v>11</v>
      </c>
      <c r="F520" s="24" t="s">
        <v>12</v>
      </c>
    </row>
    <row r="521" ht="22.5" customHeight="1" spans="1:6">
      <c r="A521" s="23">
        <v>520</v>
      </c>
      <c r="B521" s="23" t="s">
        <v>670</v>
      </c>
      <c r="C521" s="23" t="s">
        <v>628</v>
      </c>
      <c r="D521" s="23" t="s">
        <v>671</v>
      </c>
      <c r="E521" s="23" t="s">
        <v>11</v>
      </c>
      <c r="F521" s="25" t="s">
        <v>12</v>
      </c>
    </row>
    <row r="522" ht="22.5" customHeight="1" spans="1:6">
      <c r="A522" s="22">
        <v>521</v>
      </c>
      <c r="B522" s="22" t="s">
        <v>672</v>
      </c>
      <c r="C522" s="22" t="s">
        <v>628</v>
      </c>
      <c r="D522" s="22" t="s">
        <v>629</v>
      </c>
      <c r="E522" s="22" t="s">
        <v>11</v>
      </c>
      <c r="F522" s="24" t="s">
        <v>12</v>
      </c>
    </row>
    <row r="523" ht="22.5" customHeight="1" spans="1:6">
      <c r="A523" s="23">
        <v>522</v>
      </c>
      <c r="B523" s="23" t="s">
        <v>673</v>
      </c>
      <c r="C523" s="23" t="s">
        <v>628</v>
      </c>
      <c r="D523" s="23" t="s">
        <v>631</v>
      </c>
      <c r="E523" s="23" t="s">
        <v>11</v>
      </c>
      <c r="F523" s="25" t="s">
        <v>12</v>
      </c>
    </row>
    <row r="524" ht="22.5" customHeight="1" spans="1:6">
      <c r="A524" s="22">
        <v>523</v>
      </c>
      <c r="B524" s="22" t="s">
        <v>674</v>
      </c>
      <c r="C524" s="22" t="s">
        <v>628</v>
      </c>
      <c r="D524" s="22" t="s">
        <v>660</v>
      </c>
      <c r="E524" s="22" t="s">
        <v>11</v>
      </c>
      <c r="F524" s="24" t="s">
        <v>12</v>
      </c>
    </row>
    <row r="525" ht="22.5" customHeight="1" spans="1:6">
      <c r="A525" s="23">
        <v>524</v>
      </c>
      <c r="B525" s="23" t="s">
        <v>675</v>
      </c>
      <c r="C525" s="23" t="s">
        <v>628</v>
      </c>
      <c r="D525" s="23" t="s">
        <v>645</v>
      </c>
      <c r="E525" s="23" t="s">
        <v>11</v>
      </c>
      <c r="F525" s="25" t="s">
        <v>12</v>
      </c>
    </row>
    <row r="526" ht="22.5" customHeight="1" spans="1:6">
      <c r="A526" s="22">
        <v>525</v>
      </c>
      <c r="B526" s="22" t="s">
        <v>676</v>
      </c>
      <c r="C526" s="22" t="s">
        <v>628</v>
      </c>
      <c r="D526" s="22" t="s">
        <v>629</v>
      </c>
      <c r="E526" s="22" t="s">
        <v>11</v>
      </c>
      <c r="F526" s="24" t="s">
        <v>12</v>
      </c>
    </row>
    <row r="527" ht="22.5" customHeight="1" spans="1:6">
      <c r="A527" s="23">
        <v>526</v>
      </c>
      <c r="B527" s="23" t="s">
        <v>677</v>
      </c>
      <c r="C527" s="23" t="s">
        <v>628</v>
      </c>
      <c r="D527" s="23" t="s">
        <v>629</v>
      </c>
      <c r="E527" s="23" t="s">
        <v>11</v>
      </c>
      <c r="F527" s="25" t="s">
        <v>12</v>
      </c>
    </row>
    <row r="528" ht="22.5" customHeight="1" spans="1:6">
      <c r="A528" s="22">
        <v>527</v>
      </c>
      <c r="B528" s="22" t="s">
        <v>678</v>
      </c>
      <c r="C528" s="22" t="s">
        <v>628</v>
      </c>
      <c r="D528" s="22" t="s">
        <v>660</v>
      </c>
      <c r="E528" s="22" t="s">
        <v>11</v>
      </c>
      <c r="F528" s="24" t="s">
        <v>12</v>
      </c>
    </row>
    <row r="529" ht="22.5" customHeight="1" spans="1:6">
      <c r="A529" s="23">
        <v>528</v>
      </c>
      <c r="B529" s="23" t="s">
        <v>679</v>
      </c>
      <c r="C529" s="23" t="s">
        <v>628</v>
      </c>
      <c r="D529" s="23" t="s">
        <v>629</v>
      </c>
      <c r="E529" s="23" t="s">
        <v>11</v>
      </c>
      <c r="F529" s="25" t="s">
        <v>12</v>
      </c>
    </row>
    <row r="530" ht="22.5" customHeight="1" spans="1:6">
      <c r="A530" s="22">
        <v>529</v>
      </c>
      <c r="B530" s="22" t="s">
        <v>680</v>
      </c>
      <c r="C530" s="22" t="s">
        <v>628</v>
      </c>
      <c r="D530" s="22" t="s">
        <v>681</v>
      </c>
      <c r="E530" s="22" t="s">
        <v>11</v>
      </c>
      <c r="F530" s="24" t="s">
        <v>12</v>
      </c>
    </row>
    <row r="531" ht="22.5" customHeight="1" spans="1:6">
      <c r="A531" s="23">
        <v>530</v>
      </c>
      <c r="B531" s="23" t="s">
        <v>682</v>
      </c>
      <c r="C531" s="23" t="s">
        <v>628</v>
      </c>
      <c r="D531" s="23" t="s">
        <v>629</v>
      </c>
      <c r="E531" s="23" t="s">
        <v>11</v>
      </c>
      <c r="F531" s="25" t="s">
        <v>12</v>
      </c>
    </row>
    <row r="532" ht="22.5" customHeight="1" spans="1:6">
      <c r="A532" s="22">
        <v>531</v>
      </c>
      <c r="B532" s="22" t="s">
        <v>683</v>
      </c>
      <c r="C532" s="22" t="s">
        <v>628</v>
      </c>
      <c r="D532" s="22" t="s">
        <v>629</v>
      </c>
      <c r="E532" s="22" t="s">
        <v>11</v>
      </c>
      <c r="F532" s="24" t="s">
        <v>12</v>
      </c>
    </row>
    <row r="533" ht="22.5" customHeight="1" spans="1:6">
      <c r="A533" s="23">
        <v>532</v>
      </c>
      <c r="B533" s="23" t="s">
        <v>684</v>
      </c>
      <c r="C533" s="23" t="s">
        <v>628</v>
      </c>
      <c r="D533" s="23" t="s">
        <v>629</v>
      </c>
      <c r="E533" s="23" t="s">
        <v>11</v>
      </c>
      <c r="F533" s="25" t="s">
        <v>12</v>
      </c>
    </row>
    <row r="534" ht="22.5" customHeight="1" spans="1:6">
      <c r="A534" s="22">
        <v>533</v>
      </c>
      <c r="B534" s="22" t="s">
        <v>685</v>
      </c>
      <c r="C534" s="22" t="s">
        <v>628</v>
      </c>
      <c r="D534" s="22" t="s">
        <v>629</v>
      </c>
      <c r="E534" s="22" t="s">
        <v>11</v>
      </c>
      <c r="F534" s="24" t="s">
        <v>12</v>
      </c>
    </row>
    <row r="535" ht="22.5" customHeight="1" spans="1:6">
      <c r="A535" s="23">
        <v>534</v>
      </c>
      <c r="B535" s="23" t="s">
        <v>686</v>
      </c>
      <c r="C535" s="23" t="s">
        <v>628</v>
      </c>
      <c r="D535" s="23" t="s">
        <v>629</v>
      </c>
      <c r="E535" s="23" t="s">
        <v>11</v>
      </c>
      <c r="F535" s="25" t="s">
        <v>12</v>
      </c>
    </row>
    <row r="536" ht="22.5" customHeight="1" spans="1:6">
      <c r="A536" s="22">
        <v>535</v>
      </c>
      <c r="B536" s="22" t="s">
        <v>687</v>
      </c>
      <c r="C536" s="22" t="s">
        <v>628</v>
      </c>
      <c r="D536" s="22" t="s">
        <v>688</v>
      </c>
      <c r="E536" s="22" t="s">
        <v>11</v>
      </c>
      <c r="F536" s="24" t="s">
        <v>12</v>
      </c>
    </row>
    <row r="537" ht="22.5" customHeight="1" spans="1:6">
      <c r="A537" s="23">
        <v>536</v>
      </c>
      <c r="B537" s="23" t="s">
        <v>689</v>
      </c>
      <c r="C537" s="23" t="s">
        <v>628</v>
      </c>
      <c r="D537" s="23" t="s">
        <v>648</v>
      </c>
      <c r="E537" s="23" t="s">
        <v>11</v>
      </c>
      <c r="F537" s="25" t="s">
        <v>12</v>
      </c>
    </row>
    <row r="538" ht="22.5" customHeight="1" spans="1:6">
      <c r="A538" s="22">
        <v>537</v>
      </c>
      <c r="B538" s="22" t="s">
        <v>690</v>
      </c>
      <c r="C538" s="22" t="s">
        <v>628</v>
      </c>
      <c r="D538" s="22" t="s">
        <v>640</v>
      </c>
      <c r="E538" s="22" t="s">
        <v>11</v>
      </c>
      <c r="F538" s="24" t="s">
        <v>12</v>
      </c>
    </row>
    <row r="539" ht="22.5" customHeight="1" spans="1:6">
      <c r="A539" s="23">
        <v>538</v>
      </c>
      <c r="B539" s="23" t="s">
        <v>691</v>
      </c>
      <c r="C539" s="23" t="s">
        <v>692</v>
      </c>
      <c r="D539" s="23" t="s">
        <v>693</v>
      </c>
      <c r="E539" s="23" t="s">
        <v>11</v>
      </c>
      <c r="F539" s="25" t="s">
        <v>12</v>
      </c>
    </row>
    <row r="540" ht="22.5" customHeight="1" spans="1:6">
      <c r="A540" s="22">
        <v>539</v>
      </c>
      <c r="B540" s="22" t="s">
        <v>694</v>
      </c>
      <c r="C540" s="22" t="s">
        <v>692</v>
      </c>
      <c r="D540" s="22" t="s">
        <v>693</v>
      </c>
      <c r="E540" s="22" t="s">
        <v>11</v>
      </c>
      <c r="F540" s="24" t="s">
        <v>12</v>
      </c>
    </row>
    <row r="541" ht="22.5" customHeight="1" spans="1:6">
      <c r="A541" s="23">
        <v>540</v>
      </c>
      <c r="B541" s="23" t="s">
        <v>695</v>
      </c>
      <c r="C541" s="23" t="s">
        <v>692</v>
      </c>
      <c r="D541" s="23" t="s">
        <v>696</v>
      </c>
      <c r="E541" s="23" t="s">
        <v>11</v>
      </c>
      <c r="F541" s="25" t="s">
        <v>12</v>
      </c>
    </row>
    <row r="542" ht="22.5" customHeight="1" spans="1:6">
      <c r="A542" s="22">
        <v>541</v>
      </c>
      <c r="B542" s="22" t="s">
        <v>697</v>
      </c>
      <c r="C542" s="22" t="s">
        <v>692</v>
      </c>
      <c r="D542" s="22" t="s">
        <v>693</v>
      </c>
      <c r="E542" s="22" t="s">
        <v>11</v>
      </c>
      <c r="F542" s="24" t="s">
        <v>12</v>
      </c>
    </row>
    <row r="543" ht="22.5" customHeight="1" spans="1:6">
      <c r="A543" s="23">
        <v>542</v>
      </c>
      <c r="B543" s="23" t="s">
        <v>698</v>
      </c>
      <c r="C543" s="23" t="s">
        <v>692</v>
      </c>
      <c r="D543" s="23" t="s">
        <v>693</v>
      </c>
      <c r="E543" s="23" t="s">
        <v>11</v>
      </c>
      <c r="F543" s="25" t="s">
        <v>12</v>
      </c>
    </row>
    <row r="544" ht="22.5" customHeight="1" spans="1:6">
      <c r="A544" s="22">
        <v>543</v>
      </c>
      <c r="B544" s="22" t="s">
        <v>699</v>
      </c>
      <c r="C544" s="22" t="s">
        <v>692</v>
      </c>
      <c r="D544" s="22" t="s">
        <v>700</v>
      </c>
      <c r="E544" s="22" t="s">
        <v>11</v>
      </c>
      <c r="F544" s="24" t="s">
        <v>12</v>
      </c>
    </row>
    <row r="545" ht="22.5" customHeight="1" spans="1:6">
      <c r="A545" s="23">
        <v>544</v>
      </c>
      <c r="B545" s="23" t="s">
        <v>701</v>
      </c>
      <c r="C545" s="23" t="s">
        <v>692</v>
      </c>
      <c r="D545" s="23" t="s">
        <v>693</v>
      </c>
      <c r="E545" s="23" t="s">
        <v>11</v>
      </c>
      <c r="F545" s="25" t="s">
        <v>12</v>
      </c>
    </row>
    <row r="546" ht="22.5" customHeight="1" spans="1:6">
      <c r="A546" s="22">
        <v>545</v>
      </c>
      <c r="B546" s="22" t="s">
        <v>702</v>
      </c>
      <c r="C546" s="22" t="s">
        <v>692</v>
      </c>
      <c r="D546" s="22" t="s">
        <v>693</v>
      </c>
      <c r="E546" s="22" t="s">
        <v>11</v>
      </c>
      <c r="F546" s="24" t="s">
        <v>12</v>
      </c>
    </row>
    <row r="547" ht="22.5" customHeight="1" spans="1:6">
      <c r="A547" s="23">
        <v>546</v>
      </c>
      <c r="B547" s="23" t="s">
        <v>703</v>
      </c>
      <c r="C547" s="23" t="s">
        <v>692</v>
      </c>
      <c r="D547" s="23" t="s">
        <v>704</v>
      </c>
      <c r="E547" s="23" t="s">
        <v>11</v>
      </c>
      <c r="F547" s="25" t="s">
        <v>12</v>
      </c>
    </row>
    <row r="548" ht="22.5" customHeight="1" spans="1:6">
      <c r="A548" s="22">
        <v>547</v>
      </c>
      <c r="B548" s="22" t="s">
        <v>705</v>
      </c>
      <c r="C548" s="22" t="s">
        <v>692</v>
      </c>
      <c r="D548" s="22" t="s">
        <v>693</v>
      </c>
      <c r="E548" s="22" t="s">
        <v>11</v>
      </c>
      <c r="F548" s="24" t="s">
        <v>12</v>
      </c>
    </row>
    <row r="549" ht="22.5" customHeight="1" spans="1:6">
      <c r="A549" s="23">
        <v>548</v>
      </c>
      <c r="B549" s="23" t="s">
        <v>706</v>
      </c>
      <c r="C549" s="23" t="s">
        <v>692</v>
      </c>
      <c r="D549" s="23" t="s">
        <v>693</v>
      </c>
      <c r="E549" s="23" t="s">
        <v>11</v>
      </c>
      <c r="F549" s="25" t="s">
        <v>12</v>
      </c>
    </row>
    <row r="550" ht="22.5" customHeight="1" spans="1:6">
      <c r="A550" s="22">
        <v>549</v>
      </c>
      <c r="B550" s="22" t="s">
        <v>707</v>
      </c>
      <c r="C550" s="22" t="s">
        <v>692</v>
      </c>
      <c r="D550" s="22" t="s">
        <v>704</v>
      </c>
      <c r="E550" s="22" t="s">
        <v>11</v>
      </c>
      <c r="F550" s="24" t="s">
        <v>12</v>
      </c>
    </row>
    <row r="551" ht="22.5" customHeight="1" spans="1:6">
      <c r="A551" s="23">
        <v>550</v>
      </c>
      <c r="B551" s="23" t="s">
        <v>708</v>
      </c>
      <c r="C551" s="23" t="s">
        <v>692</v>
      </c>
      <c r="D551" s="23" t="s">
        <v>709</v>
      </c>
      <c r="E551" s="23" t="s">
        <v>11</v>
      </c>
      <c r="F551" s="25" t="s">
        <v>12</v>
      </c>
    </row>
    <row r="552" ht="22.5" customHeight="1" spans="1:6">
      <c r="A552" s="22">
        <v>551</v>
      </c>
      <c r="B552" s="22" t="s">
        <v>710</v>
      </c>
      <c r="C552" s="22" t="s">
        <v>692</v>
      </c>
      <c r="D552" s="22" t="s">
        <v>704</v>
      </c>
      <c r="E552" s="22" t="s">
        <v>11</v>
      </c>
      <c r="F552" s="24" t="s">
        <v>12</v>
      </c>
    </row>
    <row r="553" ht="22.5" customHeight="1" spans="1:6">
      <c r="A553" s="23">
        <v>552</v>
      </c>
      <c r="B553" s="23" t="s">
        <v>711</v>
      </c>
      <c r="C553" s="23" t="s">
        <v>692</v>
      </c>
      <c r="D553" s="23" t="s">
        <v>712</v>
      </c>
      <c r="E553" s="23" t="s">
        <v>11</v>
      </c>
      <c r="F553" s="25" t="s">
        <v>12</v>
      </c>
    </row>
    <row r="554" ht="22.5" customHeight="1" spans="1:6">
      <c r="A554" s="22">
        <v>553</v>
      </c>
      <c r="B554" s="22" t="s">
        <v>713</v>
      </c>
      <c r="C554" s="22" t="s">
        <v>692</v>
      </c>
      <c r="D554" s="22" t="s">
        <v>714</v>
      </c>
      <c r="E554" s="22" t="s">
        <v>11</v>
      </c>
      <c r="F554" s="24" t="s">
        <v>12</v>
      </c>
    </row>
    <row r="555" ht="22.5" customHeight="1" spans="1:6">
      <c r="A555" s="23">
        <v>554</v>
      </c>
      <c r="B555" s="23" t="s">
        <v>715</v>
      </c>
      <c r="C555" s="23" t="s">
        <v>692</v>
      </c>
      <c r="D555" s="23" t="s">
        <v>716</v>
      </c>
      <c r="E555" s="23" t="s">
        <v>11</v>
      </c>
      <c r="F555" s="25" t="s">
        <v>12</v>
      </c>
    </row>
    <row r="556" ht="22.5" customHeight="1" spans="1:6">
      <c r="A556" s="22">
        <v>555</v>
      </c>
      <c r="B556" s="22" t="s">
        <v>717</v>
      </c>
      <c r="C556" s="22" t="s">
        <v>692</v>
      </c>
      <c r="D556" s="22" t="s">
        <v>718</v>
      </c>
      <c r="E556" s="22" t="s">
        <v>11</v>
      </c>
      <c r="F556" s="24" t="s">
        <v>12</v>
      </c>
    </row>
    <row r="557" ht="22.5" customHeight="1" spans="1:6">
      <c r="A557" s="23">
        <v>556</v>
      </c>
      <c r="B557" s="23" t="s">
        <v>719</v>
      </c>
      <c r="C557" s="23" t="s">
        <v>692</v>
      </c>
      <c r="D557" s="23" t="s">
        <v>720</v>
      </c>
      <c r="E557" s="23" t="s">
        <v>11</v>
      </c>
      <c r="F557" s="25" t="s">
        <v>12</v>
      </c>
    </row>
    <row r="558" ht="22.5" customHeight="1" spans="1:6">
      <c r="A558" s="22">
        <v>557</v>
      </c>
      <c r="B558" s="22" t="s">
        <v>721</v>
      </c>
      <c r="C558" s="22" t="s">
        <v>692</v>
      </c>
      <c r="D558" s="22" t="s">
        <v>700</v>
      </c>
      <c r="E558" s="22" t="s">
        <v>11</v>
      </c>
      <c r="F558" s="24" t="s">
        <v>12</v>
      </c>
    </row>
    <row r="559" ht="22.5" customHeight="1" spans="1:6">
      <c r="A559" s="23">
        <v>558</v>
      </c>
      <c r="B559" s="23" t="s">
        <v>722</v>
      </c>
      <c r="C559" s="23" t="s">
        <v>692</v>
      </c>
      <c r="D559" s="23" t="s">
        <v>723</v>
      </c>
      <c r="E559" s="23" t="s">
        <v>11</v>
      </c>
      <c r="F559" s="25" t="s">
        <v>12</v>
      </c>
    </row>
    <row r="560" ht="22.5" customHeight="1" spans="1:6">
      <c r="A560" s="22">
        <v>559</v>
      </c>
      <c r="B560" s="22" t="s">
        <v>724</v>
      </c>
      <c r="C560" s="22" t="s">
        <v>692</v>
      </c>
      <c r="D560" s="22" t="s">
        <v>693</v>
      </c>
      <c r="E560" s="22" t="s">
        <v>11</v>
      </c>
      <c r="F560" s="24" t="s">
        <v>12</v>
      </c>
    </row>
    <row r="561" ht="22.5" customHeight="1" spans="1:6">
      <c r="A561" s="23">
        <v>560</v>
      </c>
      <c r="B561" s="23" t="s">
        <v>725</v>
      </c>
      <c r="C561" s="23" t="s">
        <v>692</v>
      </c>
      <c r="D561" s="23" t="s">
        <v>693</v>
      </c>
      <c r="E561" s="23" t="s">
        <v>11</v>
      </c>
      <c r="F561" s="25" t="s">
        <v>12</v>
      </c>
    </row>
    <row r="562" ht="22.5" customHeight="1" spans="1:6">
      <c r="A562" s="22">
        <v>561</v>
      </c>
      <c r="B562" s="22" t="s">
        <v>726</v>
      </c>
      <c r="C562" s="22" t="s">
        <v>692</v>
      </c>
      <c r="D562" s="22" t="s">
        <v>727</v>
      </c>
      <c r="E562" s="22" t="s">
        <v>11</v>
      </c>
      <c r="F562" s="24" t="s">
        <v>12</v>
      </c>
    </row>
    <row r="563" ht="22.5" customHeight="1" spans="1:6">
      <c r="A563" s="23">
        <v>562</v>
      </c>
      <c r="B563" s="23" t="s">
        <v>728</v>
      </c>
      <c r="C563" s="23" t="s">
        <v>692</v>
      </c>
      <c r="D563" s="23" t="s">
        <v>729</v>
      </c>
      <c r="E563" s="23" t="s">
        <v>11</v>
      </c>
      <c r="F563" s="25" t="s">
        <v>12</v>
      </c>
    </row>
    <row r="564" ht="22.5" customHeight="1" spans="1:6">
      <c r="A564" s="22">
        <v>563</v>
      </c>
      <c r="B564" s="22" t="s">
        <v>730</v>
      </c>
      <c r="C564" s="22" t="s">
        <v>692</v>
      </c>
      <c r="D564" s="22" t="s">
        <v>693</v>
      </c>
      <c r="E564" s="22" t="s">
        <v>11</v>
      </c>
      <c r="F564" s="24" t="s">
        <v>12</v>
      </c>
    </row>
    <row r="565" ht="22.5" customHeight="1" spans="1:6">
      <c r="A565" s="23">
        <v>564</v>
      </c>
      <c r="B565" s="23" t="s">
        <v>731</v>
      </c>
      <c r="C565" s="23" t="s">
        <v>692</v>
      </c>
      <c r="D565" s="23" t="s">
        <v>700</v>
      </c>
      <c r="E565" s="23" t="s">
        <v>11</v>
      </c>
      <c r="F565" s="25" t="s">
        <v>12</v>
      </c>
    </row>
    <row r="566" ht="22.5" customHeight="1" spans="1:6">
      <c r="A566" s="22">
        <v>565</v>
      </c>
      <c r="B566" s="22" t="s">
        <v>732</v>
      </c>
      <c r="C566" s="22" t="s">
        <v>692</v>
      </c>
      <c r="D566" s="22" t="s">
        <v>704</v>
      </c>
      <c r="E566" s="22" t="s">
        <v>11</v>
      </c>
      <c r="F566" s="24" t="s">
        <v>12</v>
      </c>
    </row>
    <row r="567" ht="22.5" customHeight="1" spans="1:6">
      <c r="A567" s="23">
        <v>566</v>
      </c>
      <c r="B567" s="23" t="s">
        <v>733</v>
      </c>
      <c r="C567" s="23" t="s">
        <v>692</v>
      </c>
      <c r="D567" s="23" t="s">
        <v>712</v>
      </c>
      <c r="E567" s="23" t="s">
        <v>11</v>
      </c>
      <c r="F567" s="25" t="s">
        <v>12</v>
      </c>
    </row>
    <row r="568" ht="22.5" customHeight="1" spans="1:6">
      <c r="A568" s="22">
        <v>567</v>
      </c>
      <c r="B568" s="22" t="s">
        <v>734</v>
      </c>
      <c r="C568" s="22" t="s">
        <v>692</v>
      </c>
      <c r="D568" s="22" t="s">
        <v>704</v>
      </c>
      <c r="E568" s="22" t="s">
        <v>11</v>
      </c>
      <c r="F568" s="24" t="s">
        <v>12</v>
      </c>
    </row>
    <row r="569" ht="22.5" customHeight="1" spans="1:6">
      <c r="A569" s="23">
        <v>568</v>
      </c>
      <c r="B569" s="23" t="s">
        <v>735</v>
      </c>
      <c r="C569" s="23" t="s">
        <v>692</v>
      </c>
      <c r="D569" s="23" t="s">
        <v>716</v>
      </c>
      <c r="E569" s="23" t="s">
        <v>11</v>
      </c>
      <c r="F569" s="25" t="s">
        <v>12</v>
      </c>
    </row>
    <row r="570" ht="22.5" customHeight="1" spans="1:6">
      <c r="A570" s="22">
        <v>569</v>
      </c>
      <c r="B570" s="22" t="s">
        <v>736</v>
      </c>
      <c r="C570" s="22" t="s">
        <v>692</v>
      </c>
      <c r="D570" s="22" t="s">
        <v>693</v>
      </c>
      <c r="E570" s="22" t="s">
        <v>11</v>
      </c>
      <c r="F570" s="24" t="s">
        <v>12</v>
      </c>
    </row>
    <row r="571" ht="22.5" customHeight="1" spans="1:6">
      <c r="A571" s="23">
        <v>570</v>
      </c>
      <c r="B571" s="23" t="s">
        <v>737</v>
      </c>
      <c r="C571" s="23" t="s">
        <v>692</v>
      </c>
      <c r="D571" s="23" t="s">
        <v>693</v>
      </c>
      <c r="E571" s="23" t="s">
        <v>11</v>
      </c>
      <c r="F571" s="25" t="s">
        <v>12</v>
      </c>
    </row>
    <row r="572" ht="22.5" customHeight="1" spans="1:6">
      <c r="A572" s="22">
        <v>571</v>
      </c>
      <c r="B572" s="22" t="s">
        <v>738</v>
      </c>
      <c r="C572" s="22" t="s">
        <v>692</v>
      </c>
      <c r="D572" s="22" t="s">
        <v>720</v>
      </c>
      <c r="E572" s="22" t="s">
        <v>11</v>
      </c>
      <c r="F572" s="24" t="s">
        <v>12</v>
      </c>
    </row>
    <row r="573" ht="22.5" customHeight="1" spans="1:6">
      <c r="A573" s="23">
        <v>572</v>
      </c>
      <c r="B573" s="23" t="s">
        <v>739</v>
      </c>
      <c r="C573" s="23" t="s">
        <v>692</v>
      </c>
      <c r="D573" s="23" t="s">
        <v>729</v>
      </c>
      <c r="E573" s="23" t="s">
        <v>11</v>
      </c>
      <c r="F573" s="25" t="s">
        <v>12</v>
      </c>
    </row>
    <row r="574" ht="22.5" customHeight="1" spans="1:6">
      <c r="A574" s="22">
        <v>573</v>
      </c>
      <c r="B574" s="22" t="s">
        <v>740</v>
      </c>
      <c r="C574" s="22" t="s">
        <v>692</v>
      </c>
      <c r="D574" s="22" t="s">
        <v>693</v>
      </c>
      <c r="E574" s="22" t="s">
        <v>11</v>
      </c>
      <c r="F574" s="24" t="s">
        <v>12</v>
      </c>
    </row>
    <row r="575" ht="22.5" customHeight="1" spans="1:6">
      <c r="A575" s="23">
        <v>574</v>
      </c>
      <c r="B575" s="23" t="s">
        <v>741</v>
      </c>
      <c r="C575" s="23" t="s">
        <v>692</v>
      </c>
      <c r="D575" s="23" t="s">
        <v>693</v>
      </c>
      <c r="E575" s="23" t="s">
        <v>11</v>
      </c>
      <c r="F575" s="25" t="s">
        <v>12</v>
      </c>
    </row>
    <row r="576" ht="22.5" customHeight="1" spans="1:6">
      <c r="A576" s="22">
        <v>575</v>
      </c>
      <c r="B576" s="22" t="s">
        <v>742</v>
      </c>
      <c r="C576" s="22" t="s">
        <v>692</v>
      </c>
      <c r="D576" s="22" t="s">
        <v>693</v>
      </c>
      <c r="E576" s="22" t="s">
        <v>11</v>
      </c>
      <c r="F576" s="24" t="s">
        <v>12</v>
      </c>
    </row>
    <row r="577" ht="22.5" customHeight="1" spans="1:6">
      <c r="A577" s="23">
        <v>576</v>
      </c>
      <c r="B577" s="23" t="s">
        <v>743</v>
      </c>
      <c r="C577" s="23" t="s">
        <v>692</v>
      </c>
      <c r="D577" s="23" t="s">
        <v>709</v>
      </c>
      <c r="E577" s="23" t="s">
        <v>11</v>
      </c>
      <c r="F577" s="25" t="s">
        <v>12</v>
      </c>
    </row>
    <row r="578" ht="22.5" customHeight="1" spans="1:6">
      <c r="A578" s="22">
        <v>577</v>
      </c>
      <c r="B578" s="22" t="s">
        <v>744</v>
      </c>
      <c r="C578" s="22" t="s">
        <v>692</v>
      </c>
      <c r="D578" s="22" t="s">
        <v>720</v>
      </c>
      <c r="E578" s="22" t="s">
        <v>11</v>
      </c>
      <c r="F578" s="24" t="s">
        <v>12</v>
      </c>
    </row>
    <row r="579" ht="22.5" customHeight="1" spans="1:6">
      <c r="A579" s="23">
        <v>578</v>
      </c>
      <c r="B579" s="23" t="s">
        <v>745</v>
      </c>
      <c r="C579" s="23" t="s">
        <v>746</v>
      </c>
      <c r="D579" s="23" t="s">
        <v>747</v>
      </c>
      <c r="E579" s="23" t="s">
        <v>11</v>
      </c>
      <c r="F579" s="25" t="s">
        <v>12</v>
      </c>
    </row>
    <row r="580" ht="22.5" customHeight="1" spans="1:6">
      <c r="A580" s="22">
        <v>579</v>
      </c>
      <c r="B580" s="22" t="s">
        <v>748</v>
      </c>
      <c r="C580" s="22" t="s">
        <v>746</v>
      </c>
      <c r="D580" s="22" t="s">
        <v>747</v>
      </c>
      <c r="E580" s="22" t="s">
        <v>11</v>
      </c>
      <c r="F580" s="24" t="s">
        <v>12</v>
      </c>
    </row>
    <row r="581" ht="22.5" customHeight="1" spans="1:6">
      <c r="A581" s="23">
        <v>580</v>
      </c>
      <c r="B581" s="23" t="s">
        <v>749</v>
      </c>
      <c r="C581" s="23" t="s">
        <v>746</v>
      </c>
      <c r="D581" s="23" t="s">
        <v>747</v>
      </c>
      <c r="E581" s="23" t="s">
        <v>11</v>
      </c>
      <c r="F581" s="25" t="s">
        <v>12</v>
      </c>
    </row>
    <row r="582" ht="22.5" customHeight="1" spans="1:6">
      <c r="A582" s="22">
        <v>581</v>
      </c>
      <c r="B582" s="22" t="s">
        <v>750</v>
      </c>
      <c r="C582" s="22" t="s">
        <v>746</v>
      </c>
      <c r="D582" s="22" t="s">
        <v>751</v>
      </c>
      <c r="E582" s="22" t="s">
        <v>11</v>
      </c>
      <c r="F582" s="24" t="s">
        <v>12</v>
      </c>
    </row>
    <row r="583" ht="22.5" customHeight="1" spans="1:6">
      <c r="A583" s="23">
        <v>582</v>
      </c>
      <c r="B583" s="23" t="s">
        <v>752</v>
      </c>
      <c r="C583" s="23" t="s">
        <v>746</v>
      </c>
      <c r="D583" s="23" t="s">
        <v>747</v>
      </c>
      <c r="E583" s="23" t="s">
        <v>11</v>
      </c>
      <c r="F583" s="25" t="s">
        <v>12</v>
      </c>
    </row>
    <row r="584" ht="22.5" customHeight="1" spans="1:6">
      <c r="A584" s="22">
        <v>583</v>
      </c>
      <c r="B584" s="22" t="s">
        <v>753</v>
      </c>
      <c r="C584" s="22" t="s">
        <v>746</v>
      </c>
      <c r="D584" s="22" t="s">
        <v>747</v>
      </c>
      <c r="E584" s="22" t="s">
        <v>11</v>
      </c>
      <c r="F584" s="24" t="s">
        <v>12</v>
      </c>
    </row>
    <row r="585" ht="22.5" customHeight="1" spans="1:6">
      <c r="A585" s="23">
        <v>584</v>
      </c>
      <c r="B585" s="23" t="s">
        <v>754</v>
      </c>
      <c r="C585" s="23" t="s">
        <v>746</v>
      </c>
      <c r="D585" s="23" t="s">
        <v>747</v>
      </c>
      <c r="E585" s="23" t="s">
        <v>11</v>
      </c>
      <c r="F585" s="25" t="s">
        <v>12</v>
      </c>
    </row>
    <row r="586" ht="22.5" customHeight="1" spans="1:6">
      <c r="A586" s="22">
        <v>585</v>
      </c>
      <c r="B586" s="22" t="s">
        <v>755</v>
      </c>
      <c r="C586" s="22" t="s">
        <v>746</v>
      </c>
      <c r="D586" s="22" t="s">
        <v>747</v>
      </c>
      <c r="E586" s="22" t="s">
        <v>11</v>
      </c>
      <c r="F586" s="24" t="s">
        <v>12</v>
      </c>
    </row>
    <row r="587" ht="22.5" customHeight="1" spans="1:6">
      <c r="A587" s="23">
        <v>586</v>
      </c>
      <c r="B587" s="23" t="s">
        <v>756</v>
      </c>
      <c r="C587" s="23" t="s">
        <v>746</v>
      </c>
      <c r="D587" s="23" t="s">
        <v>747</v>
      </c>
      <c r="E587" s="23" t="s">
        <v>11</v>
      </c>
      <c r="F587" s="25" t="s">
        <v>12</v>
      </c>
    </row>
    <row r="588" ht="22.5" customHeight="1" spans="1:6">
      <c r="A588" s="22">
        <v>587</v>
      </c>
      <c r="B588" s="22" t="s">
        <v>757</v>
      </c>
      <c r="C588" s="22" t="s">
        <v>746</v>
      </c>
      <c r="D588" s="22" t="s">
        <v>747</v>
      </c>
      <c r="E588" s="22" t="s">
        <v>11</v>
      </c>
      <c r="F588" s="24" t="s">
        <v>12</v>
      </c>
    </row>
    <row r="589" ht="22.5" customHeight="1" spans="1:6">
      <c r="A589" s="23">
        <v>588</v>
      </c>
      <c r="B589" s="23" t="s">
        <v>758</v>
      </c>
      <c r="C589" s="23" t="s">
        <v>746</v>
      </c>
      <c r="D589" s="23" t="s">
        <v>747</v>
      </c>
      <c r="E589" s="23" t="s">
        <v>11</v>
      </c>
      <c r="F589" s="25" t="s">
        <v>12</v>
      </c>
    </row>
    <row r="590" ht="22.5" customHeight="1" spans="1:6">
      <c r="A590" s="22">
        <v>589</v>
      </c>
      <c r="B590" s="22" t="s">
        <v>759</v>
      </c>
      <c r="C590" s="22" t="s">
        <v>746</v>
      </c>
      <c r="D590" s="22" t="s">
        <v>747</v>
      </c>
      <c r="E590" s="22" t="s">
        <v>11</v>
      </c>
      <c r="F590" s="24" t="s">
        <v>12</v>
      </c>
    </row>
    <row r="591" ht="22.5" customHeight="1" spans="1:6">
      <c r="A591" s="23">
        <v>590</v>
      </c>
      <c r="B591" s="23" t="s">
        <v>760</v>
      </c>
      <c r="C591" s="23" t="s">
        <v>746</v>
      </c>
      <c r="D591" s="23" t="s">
        <v>747</v>
      </c>
      <c r="E591" s="23" t="s">
        <v>11</v>
      </c>
      <c r="F591" s="25" t="s">
        <v>12</v>
      </c>
    </row>
    <row r="592" ht="22.5" customHeight="1" spans="1:6">
      <c r="A592" s="22">
        <v>591</v>
      </c>
      <c r="B592" s="22" t="s">
        <v>761</v>
      </c>
      <c r="C592" s="22" t="s">
        <v>746</v>
      </c>
      <c r="D592" s="22" t="s">
        <v>747</v>
      </c>
      <c r="E592" s="22" t="s">
        <v>11</v>
      </c>
      <c r="F592" s="24" t="s">
        <v>12</v>
      </c>
    </row>
    <row r="593" ht="22.5" customHeight="1" spans="1:6">
      <c r="A593" s="23">
        <v>592</v>
      </c>
      <c r="B593" s="23" t="s">
        <v>762</v>
      </c>
      <c r="C593" s="23" t="s">
        <v>746</v>
      </c>
      <c r="D593" s="23" t="s">
        <v>763</v>
      </c>
      <c r="E593" s="23" t="s">
        <v>11</v>
      </c>
      <c r="F593" s="25" t="s">
        <v>12</v>
      </c>
    </row>
    <row r="594" ht="22.5" customHeight="1" spans="1:6">
      <c r="A594" s="22">
        <v>593</v>
      </c>
      <c r="B594" s="22" t="s">
        <v>764</v>
      </c>
      <c r="C594" s="22" t="s">
        <v>746</v>
      </c>
      <c r="D594" s="22" t="s">
        <v>765</v>
      </c>
      <c r="E594" s="22" t="s">
        <v>11</v>
      </c>
      <c r="F594" s="24" t="s">
        <v>12</v>
      </c>
    </row>
    <row r="595" ht="22.5" customHeight="1" spans="1:6">
      <c r="A595" s="23">
        <v>594</v>
      </c>
      <c r="B595" s="23" t="s">
        <v>766</v>
      </c>
      <c r="C595" s="23" t="s">
        <v>746</v>
      </c>
      <c r="D595" s="23" t="s">
        <v>767</v>
      </c>
      <c r="E595" s="23" t="s">
        <v>11</v>
      </c>
      <c r="F595" s="25" t="s">
        <v>12</v>
      </c>
    </row>
    <row r="596" ht="22.5" customHeight="1" spans="1:6">
      <c r="A596" s="22">
        <v>595</v>
      </c>
      <c r="B596" s="22" t="s">
        <v>768</v>
      </c>
      <c r="C596" s="22" t="s">
        <v>746</v>
      </c>
      <c r="D596" s="22" t="s">
        <v>769</v>
      </c>
      <c r="E596" s="22" t="s">
        <v>11</v>
      </c>
      <c r="F596" s="24" t="s">
        <v>12</v>
      </c>
    </row>
    <row r="597" ht="22.5" customHeight="1" spans="1:6">
      <c r="A597" s="23">
        <v>596</v>
      </c>
      <c r="B597" s="23" t="s">
        <v>770</v>
      </c>
      <c r="C597" s="23" t="s">
        <v>746</v>
      </c>
      <c r="D597" s="23" t="s">
        <v>771</v>
      </c>
      <c r="E597" s="23" t="s">
        <v>11</v>
      </c>
      <c r="F597" s="25" t="s">
        <v>12</v>
      </c>
    </row>
    <row r="598" ht="22.5" customHeight="1" spans="1:6">
      <c r="A598" s="22">
        <v>597</v>
      </c>
      <c r="B598" s="22" t="s">
        <v>772</v>
      </c>
      <c r="C598" s="22" t="s">
        <v>746</v>
      </c>
      <c r="D598" s="22" t="s">
        <v>747</v>
      </c>
      <c r="E598" s="22" t="s">
        <v>11</v>
      </c>
      <c r="F598" s="24" t="s">
        <v>12</v>
      </c>
    </row>
    <row r="599" ht="22.5" customHeight="1" spans="1:6">
      <c r="A599" s="23">
        <v>598</v>
      </c>
      <c r="B599" s="23" t="s">
        <v>773</v>
      </c>
      <c r="C599" s="23" t="s">
        <v>746</v>
      </c>
      <c r="D599" s="23" t="s">
        <v>747</v>
      </c>
      <c r="E599" s="23" t="s">
        <v>11</v>
      </c>
      <c r="F599" s="25" t="s">
        <v>12</v>
      </c>
    </row>
    <row r="600" ht="22.5" customHeight="1" spans="1:6">
      <c r="A600" s="22">
        <v>599</v>
      </c>
      <c r="B600" s="22" t="s">
        <v>774</v>
      </c>
      <c r="C600" s="22" t="s">
        <v>746</v>
      </c>
      <c r="D600" s="22" t="s">
        <v>747</v>
      </c>
      <c r="E600" s="22" t="s">
        <v>11</v>
      </c>
      <c r="F600" s="24" t="s">
        <v>12</v>
      </c>
    </row>
    <row r="601" ht="22.5" customHeight="1" spans="1:6">
      <c r="A601" s="23">
        <v>600</v>
      </c>
      <c r="B601" s="23" t="s">
        <v>775</v>
      </c>
      <c r="C601" s="23" t="s">
        <v>746</v>
      </c>
      <c r="D601" s="23" t="s">
        <v>747</v>
      </c>
      <c r="E601" s="23" t="s">
        <v>11</v>
      </c>
      <c r="F601" s="25" t="s">
        <v>12</v>
      </c>
    </row>
    <row r="602" ht="22.5" customHeight="1" spans="1:6">
      <c r="A602" s="22">
        <v>601</v>
      </c>
      <c r="B602" s="22" t="s">
        <v>776</v>
      </c>
      <c r="C602" s="22" t="s">
        <v>746</v>
      </c>
      <c r="D602" s="22" t="s">
        <v>769</v>
      </c>
      <c r="E602" s="22" t="s">
        <v>11</v>
      </c>
      <c r="F602" s="24" t="s">
        <v>12</v>
      </c>
    </row>
    <row r="603" ht="22.5" customHeight="1" spans="1:6">
      <c r="A603" s="23">
        <v>602</v>
      </c>
      <c r="B603" s="23" t="s">
        <v>777</v>
      </c>
      <c r="C603" s="23" t="s">
        <v>746</v>
      </c>
      <c r="D603" s="23" t="s">
        <v>778</v>
      </c>
      <c r="E603" s="23" t="s">
        <v>11</v>
      </c>
      <c r="F603" s="25" t="s">
        <v>12</v>
      </c>
    </row>
    <row r="604" ht="22.5" customHeight="1" spans="1:6">
      <c r="A604" s="22">
        <v>603</v>
      </c>
      <c r="B604" s="22" t="s">
        <v>779</v>
      </c>
      <c r="C604" s="22" t="s">
        <v>746</v>
      </c>
      <c r="D604" s="22" t="s">
        <v>763</v>
      </c>
      <c r="E604" s="22" t="s">
        <v>11</v>
      </c>
      <c r="F604" s="24" t="s">
        <v>12</v>
      </c>
    </row>
    <row r="605" ht="22.5" customHeight="1" spans="1:6">
      <c r="A605" s="23">
        <v>604</v>
      </c>
      <c r="B605" s="23" t="s">
        <v>780</v>
      </c>
      <c r="C605" s="23" t="s">
        <v>746</v>
      </c>
      <c r="D605" s="23" t="s">
        <v>781</v>
      </c>
      <c r="E605" s="23" t="s">
        <v>11</v>
      </c>
      <c r="F605" s="25" t="s">
        <v>12</v>
      </c>
    </row>
    <row r="606" ht="22.5" customHeight="1" spans="1:6">
      <c r="A606" s="22">
        <v>605</v>
      </c>
      <c r="B606" s="22" t="s">
        <v>782</v>
      </c>
      <c r="C606" s="22" t="s">
        <v>746</v>
      </c>
      <c r="D606" s="22" t="s">
        <v>769</v>
      </c>
      <c r="E606" s="22" t="s">
        <v>11</v>
      </c>
      <c r="F606" s="24" t="s">
        <v>12</v>
      </c>
    </row>
    <row r="607" ht="22.5" customHeight="1" spans="1:6">
      <c r="A607" s="23">
        <v>606</v>
      </c>
      <c r="B607" s="23" t="s">
        <v>783</v>
      </c>
      <c r="C607" s="23" t="s">
        <v>746</v>
      </c>
      <c r="D607" s="23" t="s">
        <v>747</v>
      </c>
      <c r="E607" s="23" t="s">
        <v>11</v>
      </c>
      <c r="F607" s="25" t="s">
        <v>12</v>
      </c>
    </row>
    <row r="608" ht="22.5" customHeight="1" spans="1:6">
      <c r="A608" s="22">
        <v>607</v>
      </c>
      <c r="B608" s="22" t="s">
        <v>784</v>
      </c>
      <c r="C608" s="22" t="s">
        <v>746</v>
      </c>
      <c r="D608" s="22" t="s">
        <v>785</v>
      </c>
      <c r="E608" s="22" t="s">
        <v>11</v>
      </c>
      <c r="F608" s="24" t="s">
        <v>12</v>
      </c>
    </row>
    <row r="609" ht="22.5" customHeight="1" spans="1:6">
      <c r="A609" s="23">
        <v>608</v>
      </c>
      <c r="B609" s="23" t="s">
        <v>786</v>
      </c>
      <c r="C609" s="23" t="s">
        <v>746</v>
      </c>
      <c r="D609" s="23" t="s">
        <v>747</v>
      </c>
      <c r="E609" s="23" t="s">
        <v>11</v>
      </c>
      <c r="F609" s="25" t="s">
        <v>12</v>
      </c>
    </row>
    <row r="610" ht="22.5" customHeight="1" spans="1:6">
      <c r="A610" s="22">
        <v>609</v>
      </c>
      <c r="B610" s="22" t="s">
        <v>787</v>
      </c>
      <c r="C610" s="22" t="s">
        <v>746</v>
      </c>
      <c r="D610" s="22" t="s">
        <v>788</v>
      </c>
      <c r="E610" s="22" t="s">
        <v>11</v>
      </c>
      <c r="F610" s="24" t="s">
        <v>12</v>
      </c>
    </row>
    <row r="611" ht="22.5" customHeight="1" spans="1:6">
      <c r="A611" s="23">
        <v>610</v>
      </c>
      <c r="B611" s="23" t="s">
        <v>789</v>
      </c>
      <c r="C611" s="23" t="s">
        <v>746</v>
      </c>
      <c r="D611" s="23" t="s">
        <v>747</v>
      </c>
      <c r="E611" s="23" t="s">
        <v>11</v>
      </c>
      <c r="F611" s="25" t="s">
        <v>12</v>
      </c>
    </row>
    <row r="612" ht="22.5" customHeight="1" spans="1:6">
      <c r="A612" s="22">
        <v>611</v>
      </c>
      <c r="B612" s="22" t="s">
        <v>790</v>
      </c>
      <c r="C612" s="22" t="s">
        <v>746</v>
      </c>
      <c r="D612" s="22" t="s">
        <v>747</v>
      </c>
      <c r="E612" s="22" t="s">
        <v>11</v>
      </c>
      <c r="F612" s="24" t="s">
        <v>12</v>
      </c>
    </row>
    <row r="613" ht="22.5" customHeight="1" spans="1:6">
      <c r="A613" s="23">
        <v>612</v>
      </c>
      <c r="B613" s="23" t="s">
        <v>791</v>
      </c>
      <c r="C613" s="23" t="s">
        <v>746</v>
      </c>
      <c r="D613" s="23" t="s">
        <v>747</v>
      </c>
      <c r="E613" s="23" t="s">
        <v>11</v>
      </c>
      <c r="F613" s="25" t="s">
        <v>12</v>
      </c>
    </row>
    <row r="614" ht="22.5" customHeight="1" spans="1:6">
      <c r="A614" s="22">
        <v>613</v>
      </c>
      <c r="B614" s="22" t="s">
        <v>792</v>
      </c>
      <c r="C614" s="22" t="s">
        <v>746</v>
      </c>
      <c r="D614" s="22" t="s">
        <v>747</v>
      </c>
      <c r="E614" s="22" t="s">
        <v>11</v>
      </c>
      <c r="F614" s="24" t="s">
        <v>12</v>
      </c>
    </row>
    <row r="615" ht="22.5" customHeight="1" spans="1:6">
      <c r="A615" s="23">
        <v>614</v>
      </c>
      <c r="B615" s="23" t="s">
        <v>793</v>
      </c>
      <c r="C615" s="23" t="s">
        <v>746</v>
      </c>
      <c r="D615" s="23" t="s">
        <v>747</v>
      </c>
      <c r="E615" s="23" t="s">
        <v>11</v>
      </c>
      <c r="F615" s="25" t="s">
        <v>12</v>
      </c>
    </row>
    <row r="616" ht="22.5" customHeight="1" spans="1:6">
      <c r="A616" s="22">
        <v>615</v>
      </c>
      <c r="B616" s="22" t="s">
        <v>794</v>
      </c>
      <c r="C616" s="22" t="s">
        <v>746</v>
      </c>
      <c r="D616" s="22" t="s">
        <v>765</v>
      </c>
      <c r="E616" s="22" t="s">
        <v>11</v>
      </c>
      <c r="F616" s="24" t="s">
        <v>12</v>
      </c>
    </row>
    <row r="617" ht="22.5" customHeight="1" spans="1:6">
      <c r="A617" s="23">
        <v>616</v>
      </c>
      <c r="B617" s="23" t="s">
        <v>795</v>
      </c>
      <c r="C617" s="23" t="s">
        <v>746</v>
      </c>
      <c r="D617" s="23" t="s">
        <v>771</v>
      </c>
      <c r="E617" s="23" t="s">
        <v>11</v>
      </c>
      <c r="F617" s="25" t="s">
        <v>12</v>
      </c>
    </row>
    <row r="618" ht="22.5" customHeight="1" spans="1:6">
      <c r="A618" s="22">
        <v>617</v>
      </c>
      <c r="B618" s="22" t="s">
        <v>796</v>
      </c>
      <c r="C618" s="22" t="s">
        <v>797</v>
      </c>
      <c r="D618" s="22" t="s">
        <v>798</v>
      </c>
      <c r="E618" s="22" t="s">
        <v>11</v>
      </c>
      <c r="F618" s="24" t="s">
        <v>12</v>
      </c>
    </row>
    <row r="619" ht="22.5" customHeight="1" spans="1:6">
      <c r="A619" s="23">
        <v>618</v>
      </c>
      <c r="B619" s="23" t="s">
        <v>799</v>
      </c>
      <c r="C619" s="23" t="s">
        <v>797</v>
      </c>
      <c r="D619" s="23" t="s">
        <v>800</v>
      </c>
      <c r="E619" s="23" t="s">
        <v>11</v>
      </c>
      <c r="F619" s="25" t="s">
        <v>12</v>
      </c>
    </row>
    <row r="620" ht="22.5" customHeight="1" spans="1:6">
      <c r="A620" s="22">
        <v>619</v>
      </c>
      <c r="B620" s="22" t="s">
        <v>801</v>
      </c>
      <c r="C620" s="22" t="s">
        <v>797</v>
      </c>
      <c r="D620" s="22" t="s">
        <v>802</v>
      </c>
      <c r="E620" s="22" t="s">
        <v>11</v>
      </c>
      <c r="F620" s="24" t="s">
        <v>12</v>
      </c>
    </row>
    <row r="621" ht="22.5" customHeight="1" spans="1:6">
      <c r="A621" s="23">
        <v>620</v>
      </c>
      <c r="B621" s="23" t="s">
        <v>803</v>
      </c>
      <c r="C621" s="23" t="s">
        <v>797</v>
      </c>
      <c r="D621" s="23" t="s">
        <v>802</v>
      </c>
      <c r="E621" s="23" t="s">
        <v>11</v>
      </c>
      <c r="F621" s="25" t="s">
        <v>12</v>
      </c>
    </row>
    <row r="622" ht="22.5" customHeight="1" spans="1:6">
      <c r="A622" s="22">
        <v>621</v>
      </c>
      <c r="B622" s="22" t="s">
        <v>804</v>
      </c>
      <c r="C622" s="22" t="s">
        <v>797</v>
      </c>
      <c r="D622" s="22" t="s">
        <v>798</v>
      </c>
      <c r="E622" s="22" t="s">
        <v>11</v>
      </c>
      <c r="F622" s="24" t="s">
        <v>12</v>
      </c>
    </row>
    <row r="623" ht="22.5" customHeight="1" spans="1:6">
      <c r="A623" s="23">
        <v>622</v>
      </c>
      <c r="B623" s="23" t="s">
        <v>805</v>
      </c>
      <c r="C623" s="23" t="s">
        <v>797</v>
      </c>
      <c r="D623" s="23" t="s">
        <v>802</v>
      </c>
      <c r="E623" s="23" t="s">
        <v>11</v>
      </c>
      <c r="F623" s="25" t="s">
        <v>12</v>
      </c>
    </row>
    <row r="624" ht="22.5" customHeight="1" spans="1:6">
      <c r="A624" s="22">
        <v>623</v>
      </c>
      <c r="B624" s="22" t="s">
        <v>806</v>
      </c>
      <c r="C624" s="22" t="s">
        <v>797</v>
      </c>
      <c r="D624" s="22" t="s">
        <v>802</v>
      </c>
      <c r="E624" s="22" t="s">
        <v>11</v>
      </c>
      <c r="F624" s="24" t="s">
        <v>12</v>
      </c>
    </row>
    <row r="625" ht="22.5" customHeight="1" spans="1:6">
      <c r="A625" s="23">
        <v>624</v>
      </c>
      <c r="B625" s="23" t="s">
        <v>807</v>
      </c>
      <c r="C625" s="23" t="s">
        <v>797</v>
      </c>
      <c r="D625" s="23" t="s">
        <v>802</v>
      </c>
      <c r="E625" s="23" t="s">
        <v>11</v>
      </c>
      <c r="F625" s="25" t="s">
        <v>12</v>
      </c>
    </row>
    <row r="626" ht="22.5" customHeight="1" spans="1:6">
      <c r="A626" s="22">
        <v>625</v>
      </c>
      <c r="B626" s="22" t="s">
        <v>808</v>
      </c>
      <c r="C626" s="22" t="s">
        <v>797</v>
      </c>
      <c r="D626" s="22" t="s">
        <v>802</v>
      </c>
      <c r="E626" s="22" t="s">
        <v>11</v>
      </c>
      <c r="F626" s="24" t="s">
        <v>12</v>
      </c>
    </row>
    <row r="627" ht="22.5" customHeight="1" spans="1:6">
      <c r="A627" s="23">
        <v>626</v>
      </c>
      <c r="B627" s="23" t="s">
        <v>809</v>
      </c>
      <c r="C627" s="23" t="s">
        <v>797</v>
      </c>
      <c r="D627" s="23" t="s">
        <v>802</v>
      </c>
      <c r="E627" s="23" t="s">
        <v>11</v>
      </c>
      <c r="F627" s="25" t="s">
        <v>12</v>
      </c>
    </row>
    <row r="628" ht="22.5" customHeight="1" spans="1:6">
      <c r="A628" s="22">
        <v>627</v>
      </c>
      <c r="B628" s="22" t="s">
        <v>810</v>
      </c>
      <c r="C628" s="22" t="s">
        <v>797</v>
      </c>
      <c r="D628" s="22" t="s">
        <v>811</v>
      </c>
      <c r="E628" s="22" t="s">
        <v>11</v>
      </c>
      <c r="F628" s="24" t="s">
        <v>12</v>
      </c>
    </row>
    <row r="629" ht="22.5" customHeight="1" spans="1:6">
      <c r="A629" s="23">
        <v>628</v>
      </c>
      <c r="B629" s="23" t="s">
        <v>812</v>
      </c>
      <c r="C629" s="23" t="s">
        <v>797</v>
      </c>
      <c r="D629" s="23" t="s">
        <v>813</v>
      </c>
      <c r="E629" s="23" t="s">
        <v>11</v>
      </c>
      <c r="F629" s="25" t="s">
        <v>12</v>
      </c>
    </row>
    <row r="630" ht="22.5" customHeight="1" spans="1:6">
      <c r="A630" s="22">
        <v>629</v>
      </c>
      <c r="B630" s="22" t="s">
        <v>814</v>
      </c>
      <c r="C630" s="22" t="s">
        <v>797</v>
      </c>
      <c r="D630" s="22" t="s">
        <v>815</v>
      </c>
      <c r="E630" s="22" t="s">
        <v>11</v>
      </c>
      <c r="F630" s="24" t="s">
        <v>12</v>
      </c>
    </row>
    <row r="631" ht="22.5" customHeight="1" spans="1:6">
      <c r="A631" s="23">
        <v>630</v>
      </c>
      <c r="B631" s="23" t="s">
        <v>816</v>
      </c>
      <c r="C631" s="23" t="s">
        <v>797</v>
      </c>
      <c r="D631" s="23" t="s">
        <v>817</v>
      </c>
      <c r="E631" s="23" t="s">
        <v>11</v>
      </c>
      <c r="F631" s="25" t="s">
        <v>12</v>
      </c>
    </row>
    <row r="632" ht="22.5" customHeight="1" spans="1:6">
      <c r="A632" s="22">
        <v>631</v>
      </c>
      <c r="B632" s="22" t="s">
        <v>818</v>
      </c>
      <c r="C632" s="22" t="s">
        <v>797</v>
      </c>
      <c r="D632" s="22" t="s">
        <v>819</v>
      </c>
      <c r="E632" s="22" t="s">
        <v>11</v>
      </c>
      <c r="F632" s="24" t="s">
        <v>12</v>
      </c>
    </row>
    <row r="633" ht="22.5" customHeight="1" spans="1:6">
      <c r="A633" s="23">
        <v>632</v>
      </c>
      <c r="B633" s="23" t="s">
        <v>820</v>
      </c>
      <c r="C633" s="23" t="s">
        <v>797</v>
      </c>
      <c r="D633" s="23" t="s">
        <v>821</v>
      </c>
      <c r="E633" s="23" t="s">
        <v>11</v>
      </c>
      <c r="F633" s="25" t="s">
        <v>12</v>
      </c>
    </row>
    <row r="634" ht="22.5" customHeight="1" spans="1:6">
      <c r="A634" s="22">
        <v>633</v>
      </c>
      <c r="B634" s="22" t="s">
        <v>822</v>
      </c>
      <c r="C634" s="22" t="s">
        <v>797</v>
      </c>
      <c r="D634" s="22" t="s">
        <v>823</v>
      </c>
      <c r="E634" s="22" t="s">
        <v>11</v>
      </c>
      <c r="F634" s="24" t="s">
        <v>12</v>
      </c>
    </row>
    <row r="635" ht="22.5" customHeight="1" spans="1:6">
      <c r="A635" s="23">
        <v>634</v>
      </c>
      <c r="B635" s="23" t="s">
        <v>824</v>
      </c>
      <c r="C635" s="23" t="s">
        <v>797</v>
      </c>
      <c r="D635" s="23" t="s">
        <v>825</v>
      </c>
      <c r="E635" s="23" t="s">
        <v>11</v>
      </c>
      <c r="F635" s="25" t="s">
        <v>12</v>
      </c>
    </row>
    <row r="636" ht="22.5" customHeight="1" spans="1:6">
      <c r="A636" s="22">
        <v>635</v>
      </c>
      <c r="B636" s="22" t="s">
        <v>826</v>
      </c>
      <c r="C636" s="22" t="s">
        <v>797</v>
      </c>
      <c r="D636" s="22" t="s">
        <v>802</v>
      </c>
      <c r="E636" s="22" t="s">
        <v>11</v>
      </c>
      <c r="F636" s="24" t="s">
        <v>12</v>
      </c>
    </row>
    <row r="637" ht="22.5" customHeight="1" spans="1:6">
      <c r="A637" s="23">
        <v>636</v>
      </c>
      <c r="B637" s="23" t="s">
        <v>827</v>
      </c>
      <c r="C637" s="23" t="s">
        <v>797</v>
      </c>
      <c r="D637" s="23" t="s">
        <v>815</v>
      </c>
      <c r="E637" s="23" t="s">
        <v>11</v>
      </c>
      <c r="F637" s="25" t="s">
        <v>12</v>
      </c>
    </row>
    <row r="638" ht="22.5" customHeight="1" spans="1:6">
      <c r="A638" s="22">
        <v>637</v>
      </c>
      <c r="B638" s="22" t="s">
        <v>828</v>
      </c>
      <c r="C638" s="22" t="s">
        <v>797</v>
      </c>
      <c r="D638" s="22" t="s">
        <v>802</v>
      </c>
      <c r="E638" s="22" t="s">
        <v>11</v>
      </c>
      <c r="F638" s="24" t="s">
        <v>12</v>
      </c>
    </row>
    <row r="639" ht="22.5" customHeight="1" spans="1:6">
      <c r="A639" s="23">
        <v>638</v>
      </c>
      <c r="B639" s="23" t="s">
        <v>829</v>
      </c>
      <c r="C639" s="23" t="s">
        <v>797</v>
      </c>
      <c r="D639" s="23" t="s">
        <v>798</v>
      </c>
      <c r="E639" s="23" t="s">
        <v>11</v>
      </c>
      <c r="F639" s="25" t="s">
        <v>12</v>
      </c>
    </row>
    <row r="640" ht="22.5" customHeight="1" spans="1:6">
      <c r="A640" s="22">
        <v>639</v>
      </c>
      <c r="B640" s="22" t="s">
        <v>830</v>
      </c>
      <c r="C640" s="22" t="s">
        <v>797</v>
      </c>
      <c r="D640" s="22" t="s">
        <v>831</v>
      </c>
      <c r="E640" s="22" t="s">
        <v>11</v>
      </c>
      <c r="F640" s="24" t="s">
        <v>12</v>
      </c>
    </row>
    <row r="641" ht="22.5" customHeight="1" spans="1:6">
      <c r="A641" s="23">
        <v>640</v>
      </c>
      <c r="B641" s="23" t="s">
        <v>832</v>
      </c>
      <c r="C641" s="23" t="s">
        <v>797</v>
      </c>
      <c r="D641" s="23" t="s">
        <v>815</v>
      </c>
      <c r="E641" s="23" t="s">
        <v>11</v>
      </c>
      <c r="F641" s="25" t="s">
        <v>12</v>
      </c>
    </row>
    <row r="642" ht="22.5" customHeight="1" spans="1:6">
      <c r="A642" s="22">
        <v>641</v>
      </c>
      <c r="B642" s="22" t="s">
        <v>833</v>
      </c>
      <c r="C642" s="22" t="s">
        <v>797</v>
      </c>
      <c r="D642" s="22" t="s">
        <v>802</v>
      </c>
      <c r="E642" s="22" t="s">
        <v>11</v>
      </c>
      <c r="F642" s="24" t="s">
        <v>12</v>
      </c>
    </row>
    <row r="643" ht="22.5" customHeight="1" spans="1:6">
      <c r="A643" s="23">
        <v>642</v>
      </c>
      <c r="B643" s="23" t="s">
        <v>834</v>
      </c>
      <c r="C643" s="23" t="s">
        <v>797</v>
      </c>
      <c r="D643" s="23" t="s">
        <v>802</v>
      </c>
      <c r="E643" s="23" t="s">
        <v>11</v>
      </c>
      <c r="F643" s="25" t="s">
        <v>12</v>
      </c>
    </row>
    <row r="644" ht="22.5" customHeight="1" spans="1:6">
      <c r="A644" s="22">
        <v>643</v>
      </c>
      <c r="B644" s="22" t="s">
        <v>835</v>
      </c>
      <c r="C644" s="22" t="s">
        <v>797</v>
      </c>
      <c r="D644" s="22" t="s">
        <v>836</v>
      </c>
      <c r="E644" s="22" t="s">
        <v>11</v>
      </c>
      <c r="F644" s="24" t="s">
        <v>12</v>
      </c>
    </row>
    <row r="645" ht="22.5" customHeight="1" spans="1:6">
      <c r="A645" s="23">
        <v>644</v>
      </c>
      <c r="B645" s="23" t="s">
        <v>837</v>
      </c>
      <c r="C645" s="23" t="s">
        <v>797</v>
      </c>
      <c r="D645" s="23" t="s">
        <v>802</v>
      </c>
      <c r="E645" s="23" t="s">
        <v>11</v>
      </c>
      <c r="F645" s="25" t="s">
        <v>12</v>
      </c>
    </row>
    <row r="646" ht="22.5" customHeight="1" spans="1:6">
      <c r="A646" s="22">
        <v>645</v>
      </c>
      <c r="B646" s="22" t="s">
        <v>838</v>
      </c>
      <c r="C646" s="22" t="s">
        <v>797</v>
      </c>
      <c r="D646" s="22" t="s">
        <v>802</v>
      </c>
      <c r="E646" s="22" t="s">
        <v>11</v>
      </c>
      <c r="F646" s="24" t="s">
        <v>12</v>
      </c>
    </row>
    <row r="647" ht="22.5" customHeight="1" spans="1:6">
      <c r="A647" s="23">
        <v>646</v>
      </c>
      <c r="B647" s="23" t="s">
        <v>839</v>
      </c>
      <c r="C647" s="23" t="s">
        <v>797</v>
      </c>
      <c r="D647" s="23" t="s">
        <v>819</v>
      </c>
      <c r="E647" s="23" t="s">
        <v>11</v>
      </c>
      <c r="F647" s="25" t="s">
        <v>12</v>
      </c>
    </row>
    <row r="648" ht="22.5" customHeight="1" spans="1:6">
      <c r="A648" s="22">
        <v>647</v>
      </c>
      <c r="B648" s="22" t="s">
        <v>840</v>
      </c>
      <c r="C648" s="22" t="s">
        <v>797</v>
      </c>
      <c r="D648" s="22" t="s">
        <v>802</v>
      </c>
      <c r="E648" s="22" t="s">
        <v>11</v>
      </c>
      <c r="F648" s="24" t="s">
        <v>12</v>
      </c>
    </row>
    <row r="649" ht="22.5" customHeight="1" spans="1:6">
      <c r="A649" s="23">
        <v>648</v>
      </c>
      <c r="B649" s="23" t="s">
        <v>841</v>
      </c>
      <c r="C649" s="23" t="s">
        <v>797</v>
      </c>
      <c r="D649" s="23" t="s">
        <v>802</v>
      </c>
      <c r="E649" s="23" t="s">
        <v>11</v>
      </c>
      <c r="F649" s="25" t="s">
        <v>12</v>
      </c>
    </row>
    <row r="650" ht="22.5" customHeight="1" spans="1:6">
      <c r="A650" s="22">
        <v>649</v>
      </c>
      <c r="B650" s="22" t="s">
        <v>842</v>
      </c>
      <c r="C650" s="22" t="s">
        <v>797</v>
      </c>
      <c r="D650" s="22" t="s">
        <v>836</v>
      </c>
      <c r="E650" s="22" t="s">
        <v>11</v>
      </c>
      <c r="F650" s="24" t="s">
        <v>12</v>
      </c>
    </row>
    <row r="651" ht="22.5" customHeight="1" spans="1:6">
      <c r="A651" s="23">
        <v>650</v>
      </c>
      <c r="B651" s="23" t="s">
        <v>843</v>
      </c>
      <c r="C651" s="23" t="s">
        <v>844</v>
      </c>
      <c r="D651" s="23" t="s">
        <v>845</v>
      </c>
      <c r="E651" s="23" t="s">
        <v>11</v>
      </c>
      <c r="F651" s="25" t="s">
        <v>12</v>
      </c>
    </row>
    <row r="652" ht="22.5" customHeight="1" spans="1:6">
      <c r="A652" s="22">
        <v>651</v>
      </c>
      <c r="B652" s="22" t="s">
        <v>846</v>
      </c>
      <c r="C652" s="22" t="s">
        <v>844</v>
      </c>
      <c r="D652" s="22" t="s">
        <v>845</v>
      </c>
      <c r="E652" s="22" t="s">
        <v>11</v>
      </c>
      <c r="F652" s="24" t="s">
        <v>12</v>
      </c>
    </row>
    <row r="653" ht="22.5" customHeight="1" spans="1:6">
      <c r="A653" s="23">
        <v>652</v>
      </c>
      <c r="B653" s="23" t="s">
        <v>847</v>
      </c>
      <c r="C653" s="23" t="s">
        <v>844</v>
      </c>
      <c r="D653" s="23" t="s">
        <v>848</v>
      </c>
      <c r="E653" s="23" t="s">
        <v>11</v>
      </c>
      <c r="F653" s="25" t="s">
        <v>12</v>
      </c>
    </row>
    <row r="654" ht="22.5" customHeight="1" spans="1:6">
      <c r="A654" s="22">
        <v>653</v>
      </c>
      <c r="B654" s="22" t="s">
        <v>849</v>
      </c>
      <c r="C654" s="22" t="s">
        <v>844</v>
      </c>
      <c r="D654" s="22" t="s">
        <v>845</v>
      </c>
      <c r="E654" s="22" t="s">
        <v>11</v>
      </c>
      <c r="F654" s="24" t="s">
        <v>12</v>
      </c>
    </row>
    <row r="655" ht="22.5" customHeight="1" spans="1:6">
      <c r="A655" s="23">
        <v>654</v>
      </c>
      <c r="B655" s="23" t="s">
        <v>850</v>
      </c>
      <c r="C655" s="23" t="s">
        <v>844</v>
      </c>
      <c r="D655" s="23" t="s">
        <v>845</v>
      </c>
      <c r="E655" s="23" t="s">
        <v>11</v>
      </c>
      <c r="F655" s="25" t="s">
        <v>12</v>
      </c>
    </row>
    <row r="656" ht="22.5" customHeight="1" spans="1:6">
      <c r="A656" s="22">
        <v>655</v>
      </c>
      <c r="B656" s="22" t="s">
        <v>851</v>
      </c>
      <c r="C656" s="22" t="s">
        <v>844</v>
      </c>
      <c r="D656" s="22" t="s">
        <v>852</v>
      </c>
      <c r="E656" s="22" t="s">
        <v>11</v>
      </c>
      <c r="F656" s="24" t="s">
        <v>12</v>
      </c>
    </row>
    <row r="657" ht="22.5" customHeight="1" spans="1:6">
      <c r="A657" s="23">
        <v>656</v>
      </c>
      <c r="B657" s="23" t="s">
        <v>853</v>
      </c>
      <c r="C657" s="23" t="s">
        <v>844</v>
      </c>
      <c r="D657" s="23" t="s">
        <v>845</v>
      </c>
      <c r="E657" s="23" t="s">
        <v>11</v>
      </c>
      <c r="F657" s="25" t="s">
        <v>12</v>
      </c>
    </row>
    <row r="658" ht="22.5" customHeight="1" spans="1:6">
      <c r="A658" s="22">
        <v>657</v>
      </c>
      <c r="B658" s="22" t="s">
        <v>854</v>
      </c>
      <c r="C658" s="22" t="s">
        <v>844</v>
      </c>
      <c r="D658" s="22" t="s">
        <v>852</v>
      </c>
      <c r="E658" s="22" t="s">
        <v>11</v>
      </c>
      <c r="F658" s="24" t="s">
        <v>12</v>
      </c>
    </row>
    <row r="659" ht="22.5" customHeight="1" spans="1:6">
      <c r="A659" s="23">
        <v>658</v>
      </c>
      <c r="B659" s="23" t="s">
        <v>855</v>
      </c>
      <c r="C659" s="23" t="s">
        <v>844</v>
      </c>
      <c r="D659" s="23" t="s">
        <v>845</v>
      </c>
      <c r="E659" s="23" t="s">
        <v>11</v>
      </c>
      <c r="F659" s="25" t="s">
        <v>12</v>
      </c>
    </row>
    <row r="660" ht="22.5" customHeight="1" spans="1:6">
      <c r="A660" s="22">
        <v>659</v>
      </c>
      <c r="B660" s="22" t="s">
        <v>856</v>
      </c>
      <c r="C660" s="22" t="s">
        <v>844</v>
      </c>
      <c r="D660" s="22" t="s">
        <v>845</v>
      </c>
      <c r="E660" s="22" t="s">
        <v>11</v>
      </c>
      <c r="F660" s="24" t="s">
        <v>12</v>
      </c>
    </row>
    <row r="661" ht="22.5" customHeight="1" spans="1:6">
      <c r="A661" s="23">
        <v>660</v>
      </c>
      <c r="B661" s="23" t="s">
        <v>857</v>
      </c>
      <c r="C661" s="23" t="s">
        <v>844</v>
      </c>
      <c r="D661" s="23" t="s">
        <v>845</v>
      </c>
      <c r="E661" s="23" t="s">
        <v>11</v>
      </c>
      <c r="F661" s="25" t="s">
        <v>12</v>
      </c>
    </row>
    <row r="662" ht="22.5" customHeight="1" spans="1:6">
      <c r="A662" s="22">
        <v>661</v>
      </c>
      <c r="B662" s="22" t="s">
        <v>858</v>
      </c>
      <c r="C662" s="22" t="s">
        <v>844</v>
      </c>
      <c r="D662" s="22" t="s">
        <v>859</v>
      </c>
      <c r="E662" s="22" t="s">
        <v>11</v>
      </c>
      <c r="F662" s="24" t="s">
        <v>12</v>
      </c>
    </row>
    <row r="663" ht="22.5" customHeight="1" spans="1:6">
      <c r="A663" s="23">
        <v>662</v>
      </c>
      <c r="B663" s="23" t="s">
        <v>860</v>
      </c>
      <c r="C663" s="23" t="s">
        <v>844</v>
      </c>
      <c r="D663" s="23" t="s">
        <v>861</v>
      </c>
      <c r="E663" s="23" t="s">
        <v>11</v>
      </c>
      <c r="F663" s="25" t="s">
        <v>12</v>
      </c>
    </row>
    <row r="664" ht="22.5" customHeight="1" spans="1:6">
      <c r="A664" s="22">
        <v>663</v>
      </c>
      <c r="B664" s="22" t="s">
        <v>862</v>
      </c>
      <c r="C664" s="22" t="s">
        <v>844</v>
      </c>
      <c r="D664" s="22" t="s">
        <v>863</v>
      </c>
      <c r="E664" s="22" t="s">
        <v>11</v>
      </c>
      <c r="F664" s="24" t="s">
        <v>12</v>
      </c>
    </row>
    <row r="665" ht="22.5" customHeight="1" spans="1:6">
      <c r="A665" s="23">
        <v>664</v>
      </c>
      <c r="B665" s="23" t="s">
        <v>864</v>
      </c>
      <c r="C665" s="23" t="s">
        <v>844</v>
      </c>
      <c r="D665" s="23" t="s">
        <v>852</v>
      </c>
      <c r="E665" s="23" t="s">
        <v>11</v>
      </c>
      <c r="F665" s="25" t="s">
        <v>12</v>
      </c>
    </row>
    <row r="666" ht="22.5" customHeight="1" spans="1:6">
      <c r="A666" s="22">
        <v>665</v>
      </c>
      <c r="B666" s="22" t="s">
        <v>865</v>
      </c>
      <c r="C666" s="22" t="s">
        <v>844</v>
      </c>
      <c r="D666" s="22" t="s">
        <v>866</v>
      </c>
      <c r="E666" s="22" t="s">
        <v>11</v>
      </c>
      <c r="F666" s="24" t="s">
        <v>12</v>
      </c>
    </row>
    <row r="667" ht="22.5" customHeight="1" spans="1:6">
      <c r="A667" s="23">
        <v>666</v>
      </c>
      <c r="B667" s="23" t="s">
        <v>867</v>
      </c>
      <c r="C667" s="23" t="s">
        <v>844</v>
      </c>
      <c r="D667" s="23" t="s">
        <v>868</v>
      </c>
      <c r="E667" s="23" t="s">
        <v>11</v>
      </c>
      <c r="F667" s="25" t="s">
        <v>12</v>
      </c>
    </row>
    <row r="668" ht="22.5" customHeight="1" spans="1:6">
      <c r="A668" s="22">
        <v>667</v>
      </c>
      <c r="B668" s="22" t="s">
        <v>869</v>
      </c>
      <c r="C668" s="22" t="s">
        <v>844</v>
      </c>
      <c r="D668" s="22" t="s">
        <v>845</v>
      </c>
      <c r="E668" s="22" t="s">
        <v>11</v>
      </c>
      <c r="F668" s="24" t="s">
        <v>12</v>
      </c>
    </row>
    <row r="669" ht="22.5" customHeight="1" spans="1:6">
      <c r="A669" s="23">
        <v>668</v>
      </c>
      <c r="B669" s="23" t="s">
        <v>870</v>
      </c>
      <c r="C669" s="23" t="s">
        <v>844</v>
      </c>
      <c r="D669" s="23" t="s">
        <v>845</v>
      </c>
      <c r="E669" s="23" t="s">
        <v>11</v>
      </c>
      <c r="F669" s="25" t="s">
        <v>12</v>
      </c>
    </row>
    <row r="670" ht="22.5" customHeight="1" spans="1:6">
      <c r="A670" s="22">
        <v>669</v>
      </c>
      <c r="B670" s="22" t="s">
        <v>871</v>
      </c>
      <c r="C670" s="22" t="s">
        <v>844</v>
      </c>
      <c r="D670" s="22" t="s">
        <v>845</v>
      </c>
      <c r="E670" s="22" t="s">
        <v>11</v>
      </c>
      <c r="F670" s="24" t="s">
        <v>12</v>
      </c>
    </row>
    <row r="671" ht="22.5" customHeight="1" spans="1:6">
      <c r="A671" s="23">
        <v>670</v>
      </c>
      <c r="B671" s="23" t="s">
        <v>872</v>
      </c>
      <c r="C671" s="23" t="s">
        <v>844</v>
      </c>
      <c r="D671" s="23" t="s">
        <v>845</v>
      </c>
      <c r="E671" s="23" t="s">
        <v>11</v>
      </c>
      <c r="F671" s="25" t="s">
        <v>12</v>
      </c>
    </row>
    <row r="672" ht="22.5" customHeight="1" spans="1:6">
      <c r="A672" s="22">
        <v>671</v>
      </c>
      <c r="B672" s="22" t="s">
        <v>873</v>
      </c>
      <c r="C672" s="22" t="s">
        <v>844</v>
      </c>
      <c r="D672" s="22" t="s">
        <v>874</v>
      </c>
      <c r="E672" s="22" t="s">
        <v>11</v>
      </c>
      <c r="F672" s="24" t="s">
        <v>12</v>
      </c>
    </row>
    <row r="673" ht="22.5" customHeight="1" spans="1:6">
      <c r="A673" s="23">
        <v>672</v>
      </c>
      <c r="B673" s="23" t="s">
        <v>875</v>
      </c>
      <c r="C673" s="23" t="s">
        <v>844</v>
      </c>
      <c r="D673" s="23" t="s">
        <v>845</v>
      </c>
      <c r="E673" s="23" t="s">
        <v>11</v>
      </c>
      <c r="F673" s="25" t="s">
        <v>12</v>
      </c>
    </row>
    <row r="674" ht="22.5" customHeight="1" spans="1:6">
      <c r="A674" s="22">
        <v>673</v>
      </c>
      <c r="B674" s="22" t="s">
        <v>876</v>
      </c>
      <c r="C674" s="22" t="s">
        <v>844</v>
      </c>
      <c r="D674" s="22" t="s">
        <v>845</v>
      </c>
      <c r="E674" s="22" t="s">
        <v>11</v>
      </c>
      <c r="F674" s="24" t="s">
        <v>12</v>
      </c>
    </row>
    <row r="675" ht="22.5" customHeight="1" spans="1:6">
      <c r="A675" s="23">
        <v>674</v>
      </c>
      <c r="B675" s="23" t="s">
        <v>877</v>
      </c>
      <c r="C675" s="23" t="s">
        <v>844</v>
      </c>
      <c r="D675" s="23" t="s">
        <v>845</v>
      </c>
      <c r="E675" s="23" t="s">
        <v>11</v>
      </c>
      <c r="F675" s="25" t="s">
        <v>12</v>
      </c>
    </row>
    <row r="676" ht="22.5" customHeight="1" spans="1:6">
      <c r="A676" s="22">
        <v>675</v>
      </c>
      <c r="B676" s="22" t="s">
        <v>878</v>
      </c>
      <c r="C676" s="22" t="s">
        <v>844</v>
      </c>
      <c r="D676" s="22" t="s">
        <v>845</v>
      </c>
      <c r="E676" s="22" t="s">
        <v>11</v>
      </c>
      <c r="F676" s="24" t="s">
        <v>12</v>
      </c>
    </row>
    <row r="677" ht="22.5" customHeight="1" spans="1:6">
      <c r="A677" s="23">
        <v>676</v>
      </c>
      <c r="B677" s="23" t="s">
        <v>879</v>
      </c>
      <c r="C677" s="23" t="s">
        <v>844</v>
      </c>
      <c r="D677" s="23" t="s">
        <v>845</v>
      </c>
      <c r="E677" s="23" t="s">
        <v>11</v>
      </c>
      <c r="F677" s="25" t="s">
        <v>12</v>
      </c>
    </row>
    <row r="678" ht="22.5" customHeight="1" spans="1:6">
      <c r="A678" s="22">
        <v>677</v>
      </c>
      <c r="B678" s="22" t="s">
        <v>880</v>
      </c>
      <c r="C678" s="22" t="s">
        <v>844</v>
      </c>
      <c r="D678" s="22" t="s">
        <v>881</v>
      </c>
      <c r="E678" s="22" t="s">
        <v>11</v>
      </c>
      <c r="F678" s="24" t="s">
        <v>12</v>
      </c>
    </row>
    <row r="679" ht="22.5" customHeight="1" spans="1:6">
      <c r="A679" s="23">
        <v>678</v>
      </c>
      <c r="B679" s="23" t="s">
        <v>882</v>
      </c>
      <c r="C679" s="23" t="s">
        <v>844</v>
      </c>
      <c r="D679" s="23" t="s">
        <v>845</v>
      </c>
      <c r="E679" s="23" t="s">
        <v>11</v>
      </c>
      <c r="F679" s="25" t="s">
        <v>12</v>
      </c>
    </row>
    <row r="680" ht="22.5" customHeight="1" spans="1:6">
      <c r="A680" s="22">
        <v>679</v>
      </c>
      <c r="B680" s="22" t="s">
        <v>883</v>
      </c>
      <c r="C680" s="22" t="s">
        <v>844</v>
      </c>
      <c r="D680" s="22" t="s">
        <v>884</v>
      </c>
      <c r="E680" s="22" t="s">
        <v>11</v>
      </c>
      <c r="F680" s="24" t="s">
        <v>12</v>
      </c>
    </row>
    <row r="681" ht="22.5" customHeight="1" spans="1:6">
      <c r="A681" s="23">
        <v>680</v>
      </c>
      <c r="B681" s="23" t="s">
        <v>885</v>
      </c>
      <c r="C681" s="23" t="s">
        <v>844</v>
      </c>
      <c r="D681" s="23" t="s">
        <v>886</v>
      </c>
      <c r="E681" s="23" t="s">
        <v>11</v>
      </c>
      <c r="F681" s="25" t="s">
        <v>12</v>
      </c>
    </row>
    <row r="682" ht="22.5" customHeight="1" spans="1:6">
      <c r="A682" s="22">
        <v>681</v>
      </c>
      <c r="B682" s="22" t="s">
        <v>887</v>
      </c>
      <c r="C682" s="22" t="s">
        <v>844</v>
      </c>
      <c r="D682" s="22" t="s">
        <v>845</v>
      </c>
      <c r="E682" s="22" t="s">
        <v>11</v>
      </c>
      <c r="F682" s="24" t="s">
        <v>12</v>
      </c>
    </row>
    <row r="683" ht="22.5" customHeight="1" spans="1:6">
      <c r="A683" s="23">
        <v>682</v>
      </c>
      <c r="B683" s="23" t="s">
        <v>888</v>
      </c>
      <c r="C683" s="23" t="s">
        <v>844</v>
      </c>
      <c r="D683" s="23" t="s">
        <v>845</v>
      </c>
      <c r="E683" s="23" t="s">
        <v>11</v>
      </c>
      <c r="F683" s="25" t="s">
        <v>12</v>
      </c>
    </row>
    <row r="684" ht="22.5" customHeight="1" spans="1:6">
      <c r="A684" s="22">
        <v>683</v>
      </c>
      <c r="B684" s="22" t="s">
        <v>889</v>
      </c>
      <c r="C684" s="22" t="s">
        <v>844</v>
      </c>
      <c r="D684" s="22" t="s">
        <v>890</v>
      </c>
      <c r="E684" s="22" t="s">
        <v>11</v>
      </c>
      <c r="F684" s="24" t="s">
        <v>12</v>
      </c>
    </row>
    <row r="685" ht="22.5" customHeight="1" spans="1:6">
      <c r="A685" s="23">
        <v>684</v>
      </c>
      <c r="B685" s="23" t="s">
        <v>891</v>
      </c>
      <c r="C685" s="23" t="s">
        <v>844</v>
      </c>
      <c r="D685" s="23" t="s">
        <v>845</v>
      </c>
      <c r="E685" s="23" t="s">
        <v>11</v>
      </c>
      <c r="F685" s="25" t="s">
        <v>12</v>
      </c>
    </row>
    <row r="686" ht="22.5" customHeight="1" spans="1:6">
      <c r="A686" s="22">
        <v>685</v>
      </c>
      <c r="B686" s="22" t="s">
        <v>892</v>
      </c>
      <c r="C686" s="22" t="s">
        <v>844</v>
      </c>
      <c r="D686" s="22" t="s">
        <v>845</v>
      </c>
      <c r="E686" s="22" t="s">
        <v>11</v>
      </c>
      <c r="F686" s="24" t="s">
        <v>12</v>
      </c>
    </row>
    <row r="687" ht="22.5" customHeight="1" spans="1:6">
      <c r="A687" s="23">
        <v>686</v>
      </c>
      <c r="B687" s="23" t="s">
        <v>893</v>
      </c>
      <c r="C687" s="23" t="s">
        <v>844</v>
      </c>
      <c r="D687" s="23" t="s">
        <v>874</v>
      </c>
      <c r="E687" s="23" t="s">
        <v>11</v>
      </c>
      <c r="F687" s="25" t="s">
        <v>12</v>
      </c>
    </row>
    <row r="688" ht="22.5" customHeight="1" spans="1:6">
      <c r="A688" s="22">
        <v>687</v>
      </c>
      <c r="B688" s="22" t="s">
        <v>894</v>
      </c>
      <c r="C688" s="22" t="s">
        <v>844</v>
      </c>
      <c r="D688" s="22" t="s">
        <v>874</v>
      </c>
      <c r="E688" s="22" t="s">
        <v>11</v>
      </c>
      <c r="F688" s="24" t="s">
        <v>12</v>
      </c>
    </row>
    <row r="689" ht="22.5" customHeight="1" spans="1:6">
      <c r="A689" s="23">
        <v>688</v>
      </c>
      <c r="B689" s="23" t="s">
        <v>895</v>
      </c>
      <c r="C689" s="23" t="s">
        <v>844</v>
      </c>
      <c r="D689" s="23" t="s">
        <v>890</v>
      </c>
      <c r="E689" s="23" t="s">
        <v>11</v>
      </c>
      <c r="F689" s="25" t="s">
        <v>12</v>
      </c>
    </row>
    <row r="690" ht="22.5" customHeight="1" spans="1:6">
      <c r="A690" s="22">
        <v>689</v>
      </c>
      <c r="B690" s="22" t="s">
        <v>896</v>
      </c>
      <c r="C690" s="22" t="s">
        <v>844</v>
      </c>
      <c r="D690" s="22" t="s">
        <v>845</v>
      </c>
      <c r="E690" s="22" t="s">
        <v>11</v>
      </c>
      <c r="F690" s="24" t="s">
        <v>12</v>
      </c>
    </row>
    <row r="691" ht="22.5" customHeight="1" spans="1:6">
      <c r="A691" s="23">
        <v>690</v>
      </c>
      <c r="B691" s="23" t="s">
        <v>897</v>
      </c>
      <c r="C691" s="23" t="s">
        <v>844</v>
      </c>
      <c r="D691" s="23" t="s">
        <v>874</v>
      </c>
      <c r="E691" s="23" t="s">
        <v>11</v>
      </c>
      <c r="F691" s="25" t="s">
        <v>12</v>
      </c>
    </row>
    <row r="692" ht="22.5" customHeight="1" spans="1:6">
      <c r="A692" s="22">
        <v>691</v>
      </c>
      <c r="B692" s="22" t="s">
        <v>898</v>
      </c>
      <c r="C692" s="22" t="s">
        <v>844</v>
      </c>
      <c r="D692" s="22" t="s">
        <v>845</v>
      </c>
      <c r="E692" s="22" t="s">
        <v>11</v>
      </c>
      <c r="F692" s="24" t="s">
        <v>12</v>
      </c>
    </row>
    <row r="693" ht="22.5" customHeight="1" spans="1:6">
      <c r="A693" s="23">
        <v>692</v>
      </c>
      <c r="B693" s="23" t="s">
        <v>899</v>
      </c>
      <c r="C693" s="23" t="s">
        <v>844</v>
      </c>
      <c r="D693" s="23" t="s">
        <v>874</v>
      </c>
      <c r="E693" s="23" t="s">
        <v>11</v>
      </c>
      <c r="F693" s="25" t="s">
        <v>12</v>
      </c>
    </row>
    <row r="694" ht="22.5" customHeight="1" spans="1:6">
      <c r="A694" s="22">
        <v>693</v>
      </c>
      <c r="B694" s="22" t="s">
        <v>900</v>
      </c>
      <c r="C694" s="22" t="s">
        <v>844</v>
      </c>
      <c r="D694" s="22" t="s">
        <v>866</v>
      </c>
      <c r="E694" s="22" t="s">
        <v>11</v>
      </c>
      <c r="F694" s="24" t="s">
        <v>12</v>
      </c>
    </row>
    <row r="695" ht="22.5" customHeight="1" spans="1:6">
      <c r="A695" s="23">
        <v>694</v>
      </c>
      <c r="B695" s="23" t="s">
        <v>901</v>
      </c>
      <c r="C695" s="23" t="s">
        <v>902</v>
      </c>
      <c r="D695" s="23" t="s">
        <v>903</v>
      </c>
      <c r="E695" s="23" t="s">
        <v>11</v>
      </c>
      <c r="F695" s="25" t="s">
        <v>12</v>
      </c>
    </row>
    <row r="696" ht="22.5" customHeight="1" spans="1:6">
      <c r="A696" s="22">
        <v>695</v>
      </c>
      <c r="B696" s="22" t="s">
        <v>904</v>
      </c>
      <c r="C696" s="22" t="s">
        <v>902</v>
      </c>
      <c r="D696" s="22" t="s">
        <v>905</v>
      </c>
      <c r="E696" s="22" t="s">
        <v>11</v>
      </c>
      <c r="F696" s="24" t="s">
        <v>12</v>
      </c>
    </row>
    <row r="697" ht="22.5" customHeight="1" spans="1:6">
      <c r="A697" s="23">
        <v>696</v>
      </c>
      <c r="B697" s="23" t="s">
        <v>906</v>
      </c>
      <c r="C697" s="23" t="s">
        <v>902</v>
      </c>
      <c r="D697" s="23" t="s">
        <v>907</v>
      </c>
      <c r="E697" s="23" t="s">
        <v>11</v>
      </c>
      <c r="F697" s="25" t="s">
        <v>12</v>
      </c>
    </row>
    <row r="698" ht="22.5" customHeight="1" spans="1:6">
      <c r="A698" s="22">
        <v>697</v>
      </c>
      <c r="B698" s="22" t="s">
        <v>908</v>
      </c>
      <c r="C698" s="22" t="s">
        <v>902</v>
      </c>
      <c r="D698" s="22" t="s">
        <v>907</v>
      </c>
      <c r="E698" s="22" t="s">
        <v>11</v>
      </c>
      <c r="F698" s="24" t="s">
        <v>12</v>
      </c>
    </row>
    <row r="699" ht="22.5" customHeight="1" spans="1:6">
      <c r="A699" s="23">
        <v>698</v>
      </c>
      <c r="B699" s="23" t="s">
        <v>909</v>
      </c>
      <c r="C699" s="23" t="s">
        <v>902</v>
      </c>
      <c r="D699" s="23" t="s">
        <v>903</v>
      </c>
      <c r="E699" s="23" t="s">
        <v>11</v>
      </c>
      <c r="F699" s="25" t="s">
        <v>12</v>
      </c>
    </row>
    <row r="700" ht="22.5" customHeight="1" spans="1:6">
      <c r="A700" s="22">
        <v>699</v>
      </c>
      <c r="B700" s="22" t="s">
        <v>910</v>
      </c>
      <c r="C700" s="22" t="s">
        <v>902</v>
      </c>
      <c r="D700" s="22" t="s">
        <v>911</v>
      </c>
      <c r="E700" s="22" t="s">
        <v>11</v>
      </c>
      <c r="F700" s="24" t="s">
        <v>12</v>
      </c>
    </row>
    <row r="701" ht="22.5" customHeight="1" spans="1:6">
      <c r="A701" s="23">
        <v>700</v>
      </c>
      <c r="B701" s="23" t="s">
        <v>912</v>
      </c>
      <c r="C701" s="23" t="s">
        <v>902</v>
      </c>
      <c r="D701" s="23" t="s">
        <v>903</v>
      </c>
      <c r="E701" s="23" t="s">
        <v>11</v>
      </c>
      <c r="F701" s="25" t="s">
        <v>12</v>
      </c>
    </row>
    <row r="702" ht="22.5" customHeight="1" spans="1:6">
      <c r="A702" s="22">
        <v>701</v>
      </c>
      <c r="B702" s="22" t="s">
        <v>913</v>
      </c>
      <c r="C702" s="22" t="s">
        <v>902</v>
      </c>
      <c r="D702" s="22" t="s">
        <v>907</v>
      </c>
      <c r="E702" s="22" t="s">
        <v>11</v>
      </c>
      <c r="F702" s="24" t="s">
        <v>12</v>
      </c>
    </row>
    <row r="703" ht="22.5" customHeight="1" spans="1:6">
      <c r="A703" s="23">
        <v>702</v>
      </c>
      <c r="B703" s="23" t="s">
        <v>914</v>
      </c>
      <c r="C703" s="23" t="s">
        <v>902</v>
      </c>
      <c r="D703" s="23" t="s">
        <v>907</v>
      </c>
      <c r="E703" s="23" t="s">
        <v>11</v>
      </c>
      <c r="F703" s="25" t="s">
        <v>12</v>
      </c>
    </row>
    <row r="704" ht="22.5" customHeight="1" spans="1:6">
      <c r="A704" s="22">
        <v>703</v>
      </c>
      <c r="B704" s="22" t="s">
        <v>915</v>
      </c>
      <c r="C704" s="22" t="s">
        <v>902</v>
      </c>
      <c r="D704" s="22" t="s">
        <v>903</v>
      </c>
      <c r="E704" s="22" t="s">
        <v>11</v>
      </c>
      <c r="F704" s="24" t="s">
        <v>12</v>
      </c>
    </row>
    <row r="705" ht="22.5" customHeight="1" spans="1:6">
      <c r="A705" s="23">
        <v>704</v>
      </c>
      <c r="B705" s="23" t="s">
        <v>916</v>
      </c>
      <c r="C705" s="23" t="s">
        <v>902</v>
      </c>
      <c r="D705" s="23" t="s">
        <v>917</v>
      </c>
      <c r="E705" s="23" t="s">
        <v>11</v>
      </c>
      <c r="F705" s="25" t="s">
        <v>12</v>
      </c>
    </row>
    <row r="706" ht="22.5" customHeight="1" spans="1:6">
      <c r="A706" s="22">
        <v>705</v>
      </c>
      <c r="B706" s="22" t="s">
        <v>918</v>
      </c>
      <c r="C706" s="22" t="s">
        <v>902</v>
      </c>
      <c r="D706" s="22" t="s">
        <v>919</v>
      </c>
      <c r="E706" s="22" t="s">
        <v>11</v>
      </c>
      <c r="F706" s="24" t="s">
        <v>12</v>
      </c>
    </row>
    <row r="707" ht="22.5" customHeight="1" spans="1:6">
      <c r="A707" s="23">
        <v>706</v>
      </c>
      <c r="B707" s="23" t="s">
        <v>920</v>
      </c>
      <c r="C707" s="23" t="s">
        <v>902</v>
      </c>
      <c r="D707" s="23" t="s">
        <v>921</v>
      </c>
      <c r="E707" s="23" t="s">
        <v>11</v>
      </c>
      <c r="F707" s="25" t="s">
        <v>12</v>
      </c>
    </row>
    <row r="708" ht="22.5" customHeight="1" spans="1:6">
      <c r="A708" s="22">
        <v>707</v>
      </c>
      <c r="B708" s="22" t="s">
        <v>922</v>
      </c>
      <c r="C708" s="22" t="s">
        <v>902</v>
      </c>
      <c r="D708" s="22" t="s">
        <v>903</v>
      </c>
      <c r="E708" s="22" t="s">
        <v>11</v>
      </c>
      <c r="F708" s="24" t="s">
        <v>12</v>
      </c>
    </row>
    <row r="709" ht="22.5" customHeight="1" spans="1:6">
      <c r="A709" s="23">
        <v>708</v>
      </c>
      <c r="B709" s="23" t="s">
        <v>923</v>
      </c>
      <c r="C709" s="23" t="s">
        <v>902</v>
      </c>
      <c r="D709" s="23" t="s">
        <v>903</v>
      </c>
      <c r="E709" s="23" t="s">
        <v>11</v>
      </c>
      <c r="F709" s="25" t="s">
        <v>12</v>
      </c>
    </row>
    <row r="710" ht="22.5" customHeight="1" spans="1:6">
      <c r="A710" s="22">
        <v>709</v>
      </c>
      <c r="B710" s="22" t="s">
        <v>924</v>
      </c>
      <c r="C710" s="22" t="s">
        <v>902</v>
      </c>
      <c r="D710" s="22" t="s">
        <v>911</v>
      </c>
      <c r="E710" s="22" t="s">
        <v>11</v>
      </c>
      <c r="F710" s="24" t="s">
        <v>12</v>
      </c>
    </row>
    <row r="711" ht="22.5" customHeight="1" spans="1:6">
      <c r="A711" s="23">
        <v>710</v>
      </c>
      <c r="B711" s="23" t="s">
        <v>925</v>
      </c>
      <c r="C711" s="23" t="s">
        <v>902</v>
      </c>
      <c r="D711" s="23" t="s">
        <v>926</v>
      </c>
      <c r="E711" s="23" t="s">
        <v>11</v>
      </c>
      <c r="F711" s="25" t="s">
        <v>12</v>
      </c>
    </row>
    <row r="712" ht="22.5" customHeight="1" spans="1:6">
      <c r="A712" s="22">
        <v>711</v>
      </c>
      <c r="B712" s="22" t="s">
        <v>927</v>
      </c>
      <c r="C712" s="22" t="s">
        <v>902</v>
      </c>
      <c r="D712" s="22" t="s">
        <v>928</v>
      </c>
      <c r="E712" s="22" t="s">
        <v>11</v>
      </c>
      <c r="F712" s="24" t="s">
        <v>12</v>
      </c>
    </row>
    <row r="713" ht="22.5" customHeight="1" spans="1:6">
      <c r="A713" s="23">
        <v>712</v>
      </c>
      <c r="B713" s="23" t="s">
        <v>929</v>
      </c>
      <c r="C713" s="23" t="s">
        <v>902</v>
      </c>
      <c r="D713" s="23" t="s">
        <v>903</v>
      </c>
      <c r="E713" s="23" t="s">
        <v>11</v>
      </c>
      <c r="F713" s="25" t="s">
        <v>12</v>
      </c>
    </row>
    <row r="714" ht="22.5" customHeight="1" spans="1:6">
      <c r="A714" s="22">
        <v>713</v>
      </c>
      <c r="B714" s="22" t="s">
        <v>930</v>
      </c>
      <c r="C714" s="22" t="s">
        <v>902</v>
      </c>
      <c r="D714" s="22" t="s">
        <v>931</v>
      </c>
      <c r="E714" s="22" t="s">
        <v>11</v>
      </c>
      <c r="F714" s="24" t="s">
        <v>12</v>
      </c>
    </row>
    <row r="715" ht="22.5" customHeight="1" spans="1:6">
      <c r="A715" s="23">
        <v>714</v>
      </c>
      <c r="B715" s="23" t="s">
        <v>932</v>
      </c>
      <c r="C715" s="23" t="s">
        <v>902</v>
      </c>
      <c r="D715" s="23" t="s">
        <v>907</v>
      </c>
      <c r="E715" s="23" t="s">
        <v>11</v>
      </c>
      <c r="F715" s="25" t="s">
        <v>12</v>
      </c>
    </row>
    <row r="716" ht="22.5" customHeight="1" spans="1:6">
      <c r="A716" s="22">
        <v>715</v>
      </c>
      <c r="B716" s="22" t="s">
        <v>933</v>
      </c>
      <c r="C716" s="22" t="s">
        <v>902</v>
      </c>
      <c r="D716" s="22" t="s">
        <v>907</v>
      </c>
      <c r="E716" s="22" t="s">
        <v>11</v>
      </c>
      <c r="F716" s="24" t="s">
        <v>12</v>
      </c>
    </row>
    <row r="717" ht="22.5" customHeight="1" spans="1:6">
      <c r="A717" s="23">
        <v>716</v>
      </c>
      <c r="B717" s="23" t="s">
        <v>934</v>
      </c>
      <c r="C717" s="23" t="s">
        <v>902</v>
      </c>
      <c r="D717" s="23" t="s">
        <v>935</v>
      </c>
      <c r="E717" s="23" t="s">
        <v>11</v>
      </c>
      <c r="F717" s="25" t="s">
        <v>12</v>
      </c>
    </row>
    <row r="718" ht="22.5" customHeight="1" spans="1:6">
      <c r="A718" s="22">
        <v>717</v>
      </c>
      <c r="B718" s="22" t="s">
        <v>936</v>
      </c>
      <c r="C718" s="22" t="s">
        <v>902</v>
      </c>
      <c r="D718" s="22" t="s">
        <v>903</v>
      </c>
      <c r="E718" s="22" t="s">
        <v>11</v>
      </c>
      <c r="F718" s="24" t="s">
        <v>12</v>
      </c>
    </row>
    <row r="719" ht="22.5" customHeight="1" spans="1:6">
      <c r="A719" s="23">
        <v>718</v>
      </c>
      <c r="B719" s="23" t="s">
        <v>937</v>
      </c>
      <c r="C719" s="23" t="s">
        <v>902</v>
      </c>
      <c r="D719" s="23" t="s">
        <v>903</v>
      </c>
      <c r="E719" s="23" t="s">
        <v>11</v>
      </c>
      <c r="F719" s="25" t="s">
        <v>12</v>
      </c>
    </row>
    <row r="720" ht="22.5" customHeight="1" spans="1:6">
      <c r="A720" s="22">
        <v>719</v>
      </c>
      <c r="B720" s="22" t="s">
        <v>938</v>
      </c>
      <c r="C720" s="22" t="s">
        <v>902</v>
      </c>
      <c r="D720" s="22" t="s">
        <v>903</v>
      </c>
      <c r="E720" s="22" t="s">
        <v>11</v>
      </c>
      <c r="F720" s="24" t="s">
        <v>12</v>
      </c>
    </row>
    <row r="721" ht="22.5" customHeight="1" spans="1:6">
      <c r="A721" s="23">
        <v>720</v>
      </c>
      <c r="B721" s="23" t="s">
        <v>939</v>
      </c>
      <c r="C721" s="23" t="s">
        <v>902</v>
      </c>
      <c r="D721" s="23" t="s">
        <v>903</v>
      </c>
      <c r="E721" s="23" t="s">
        <v>11</v>
      </c>
      <c r="F721" s="25" t="s">
        <v>12</v>
      </c>
    </row>
    <row r="722" ht="22.5" customHeight="1" spans="1:6">
      <c r="A722" s="22">
        <v>721</v>
      </c>
      <c r="B722" s="22" t="s">
        <v>940</v>
      </c>
      <c r="C722" s="22" t="s">
        <v>902</v>
      </c>
      <c r="D722" s="22" t="s">
        <v>907</v>
      </c>
      <c r="E722" s="22" t="s">
        <v>11</v>
      </c>
      <c r="F722" s="24" t="s">
        <v>12</v>
      </c>
    </row>
    <row r="723" ht="22.5" customHeight="1" spans="1:6">
      <c r="A723" s="23">
        <v>722</v>
      </c>
      <c r="B723" s="23" t="s">
        <v>941</v>
      </c>
      <c r="C723" s="23" t="s">
        <v>902</v>
      </c>
      <c r="D723" s="23" t="s">
        <v>905</v>
      </c>
      <c r="E723" s="23" t="s">
        <v>11</v>
      </c>
      <c r="F723" s="25" t="s">
        <v>12</v>
      </c>
    </row>
    <row r="724" ht="22.5" customHeight="1" spans="1:6">
      <c r="A724" s="22">
        <v>723</v>
      </c>
      <c r="B724" s="22" t="s">
        <v>942</v>
      </c>
      <c r="C724" s="22" t="s">
        <v>943</v>
      </c>
      <c r="D724" s="22" t="s">
        <v>944</v>
      </c>
      <c r="E724" s="22" t="s">
        <v>11</v>
      </c>
      <c r="F724" s="24" t="s">
        <v>12</v>
      </c>
    </row>
    <row r="725" ht="22.5" customHeight="1" spans="1:6">
      <c r="A725" s="23">
        <v>724</v>
      </c>
      <c r="B725" s="23" t="s">
        <v>945</v>
      </c>
      <c r="C725" s="23" t="s">
        <v>943</v>
      </c>
      <c r="D725" s="23" t="s">
        <v>946</v>
      </c>
      <c r="E725" s="23" t="s">
        <v>11</v>
      </c>
      <c r="F725" s="25" t="s">
        <v>12</v>
      </c>
    </row>
    <row r="726" ht="22.5" customHeight="1" spans="1:6">
      <c r="A726" s="22">
        <v>725</v>
      </c>
      <c r="B726" s="22" t="s">
        <v>947</v>
      </c>
      <c r="C726" s="22" t="s">
        <v>943</v>
      </c>
      <c r="D726" s="22" t="s">
        <v>944</v>
      </c>
      <c r="E726" s="22" t="s">
        <v>11</v>
      </c>
      <c r="F726" s="24" t="s">
        <v>12</v>
      </c>
    </row>
    <row r="727" ht="22.5" customHeight="1" spans="1:6">
      <c r="A727" s="23">
        <v>726</v>
      </c>
      <c r="B727" s="23" t="s">
        <v>948</v>
      </c>
      <c r="C727" s="23" t="s">
        <v>943</v>
      </c>
      <c r="D727" s="23" t="s">
        <v>944</v>
      </c>
      <c r="E727" s="23" t="s">
        <v>11</v>
      </c>
      <c r="F727" s="25" t="s">
        <v>12</v>
      </c>
    </row>
    <row r="728" ht="22.5" customHeight="1" spans="1:6">
      <c r="A728" s="22">
        <v>727</v>
      </c>
      <c r="B728" s="22" t="s">
        <v>949</v>
      </c>
      <c r="C728" s="22" t="s">
        <v>943</v>
      </c>
      <c r="D728" s="22" t="s">
        <v>944</v>
      </c>
      <c r="E728" s="22" t="s">
        <v>11</v>
      </c>
      <c r="F728" s="24" t="s">
        <v>12</v>
      </c>
    </row>
    <row r="729" ht="22.5" customHeight="1" spans="1:6">
      <c r="A729" s="23">
        <v>728</v>
      </c>
      <c r="B729" s="23" t="s">
        <v>950</v>
      </c>
      <c r="C729" s="23" t="s">
        <v>951</v>
      </c>
      <c r="D729" s="23" t="s">
        <v>951</v>
      </c>
      <c r="E729" s="23" t="s">
        <v>11</v>
      </c>
      <c r="F729" s="25" t="s">
        <v>12</v>
      </c>
    </row>
    <row r="730" ht="22.5" customHeight="1" spans="1:6">
      <c r="A730" s="22">
        <v>729</v>
      </c>
      <c r="B730" s="22" t="s">
        <v>952</v>
      </c>
      <c r="C730" s="22" t="s">
        <v>951</v>
      </c>
      <c r="D730" s="22" t="s">
        <v>951</v>
      </c>
      <c r="E730" s="22" t="s">
        <v>11</v>
      </c>
      <c r="F730" s="24" t="s">
        <v>12</v>
      </c>
    </row>
    <row r="731" ht="22.5" customHeight="1" spans="1:6">
      <c r="A731" s="23">
        <v>730</v>
      </c>
      <c r="B731" s="23" t="s">
        <v>953</v>
      </c>
      <c r="C731" s="23" t="s">
        <v>951</v>
      </c>
      <c r="D731" s="23" t="s">
        <v>951</v>
      </c>
      <c r="E731" s="23" t="s">
        <v>11</v>
      </c>
      <c r="F731" s="25" t="s">
        <v>12</v>
      </c>
    </row>
    <row r="732" ht="22.5" customHeight="1" spans="1:6">
      <c r="A732" s="22">
        <v>731</v>
      </c>
      <c r="B732" s="22" t="s">
        <v>954</v>
      </c>
      <c r="C732" s="22" t="s">
        <v>951</v>
      </c>
      <c r="D732" s="22" t="s">
        <v>951</v>
      </c>
      <c r="E732" s="22" t="s">
        <v>11</v>
      </c>
      <c r="F732" s="24" t="s">
        <v>12</v>
      </c>
    </row>
    <row r="733" ht="22.5" customHeight="1" spans="1:6">
      <c r="A733" s="23">
        <v>732</v>
      </c>
      <c r="B733" s="23" t="s">
        <v>955</v>
      </c>
      <c r="C733" s="23" t="s">
        <v>951</v>
      </c>
      <c r="D733" s="23" t="s">
        <v>951</v>
      </c>
      <c r="E733" s="23" t="s">
        <v>11</v>
      </c>
      <c r="F733" s="25" t="s">
        <v>12</v>
      </c>
    </row>
    <row r="734" ht="22.5" customHeight="1" spans="1:6">
      <c r="A734" s="22">
        <v>733</v>
      </c>
      <c r="B734" s="22" t="s">
        <v>956</v>
      </c>
      <c r="C734" s="22" t="s">
        <v>951</v>
      </c>
      <c r="D734" s="22" t="s">
        <v>951</v>
      </c>
      <c r="E734" s="22" t="s">
        <v>11</v>
      </c>
      <c r="F734" s="24" t="s">
        <v>12</v>
      </c>
    </row>
    <row r="735" ht="22.5" customHeight="1" spans="1:6">
      <c r="A735" s="23">
        <v>734</v>
      </c>
      <c r="B735" s="23" t="s">
        <v>957</v>
      </c>
      <c r="C735" s="23" t="s">
        <v>951</v>
      </c>
      <c r="D735" s="23" t="s">
        <v>951</v>
      </c>
      <c r="E735" s="23" t="s">
        <v>11</v>
      </c>
      <c r="F735" s="25" t="s">
        <v>12</v>
      </c>
    </row>
    <row r="736" ht="22.5" customHeight="1" spans="1:6">
      <c r="A736" s="22">
        <v>735</v>
      </c>
      <c r="B736" s="22" t="s">
        <v>958</v>
      </c>
      <c r="C736" s="22" t="s">
        <v>951</v>
      </c>
      <c r="D736" s="22" t="s">
        <v>951</v>
      </c>
      <c r="E736" s="22" t="s">
        <v>11</v>
      </c>
      <c r="F736" s="24" t="s">
        <v>12</v>
      </c>
    </row>
    <row r="737" ht="22.5" customHeight="1" spans="1:6">
      <c r="A737" s="23">
        <v>736</v>
      </c>
      <c r="B737" s="23" t="s">
        <v>959</v>
      </c>
      <c r="C737" s="23" t="s">
        <v>951</v>
      </c>
      <c r="D737" s="23" t="s">
        <v>951</v>
      </c>
      <c r="E737" s="23" t="s">
        <v>11</v>
      </c>
      <c r="F737" s="25" t="s">
        <v>12</v>
      </c>
    </row>
    <row r="738" ht="22.5" customHeight="1" spans="1:6">
      <c r="A738" s="22">
        <v>737</v>
      </c>
      <c r="B738" s="22" t="s">
        <v>960</v>
      </c>
      <c r="C738" s="22" t="s">
        <v>951</v>
      </c>
      <c r="D738" s="22" t="s">
        <v>951</v>
      </c>
      <c r="E738" s="22" t="s">
        <v>11</v>
      </c>
      <c r="F738" s="24" t="s">
        <v>12</v>
      </c>
    </row>
    <row r="739" ht="22.5" customHeight="1" spans="1:6">
      <c r="A739" s="23">
        <v>738</v>
      </c>
      <c r="B739" s="23" t="s">
        <v>961</v>
      </c>
      <c r="C739" s="23" t="s">
        <v>951</v>
      </c>
      <c r="D739" s="23" t="s">
        <v>951</v>
      </c>
      <c r="E739" s="23" t="s">
        <v>11</v>
      </c>
      <c r="F739" s="25" t="s">
        <v>12</v>
      </c>
    </row>
    <row r="740" ht="22.5" customHeight="1" spans="1:6">
      <c r="A740" s="22">
        <v>739</v>
      </c>
      <c r="B740" s="22" t="s">
        <v>962</v>
      </c>
      <c r="C740" s="22" t="s">
        <v>951</v>
      </c>
      <c r="D740" s="22" t="s">
        <v>951</v>
      </c>
      <c r="E740" s="22" t="s">
        <v>11</v>
      </c>
      <c r="F740" s="24" t="s">
        <v>12</v>
      </c>
    </row>
    <row r="741" ht="22.5" customHeight="1" spans="1:6">
      <c r="A741" s="23">
        <v>740</v>
      </c>
      <c r="B741" s="23" t="s">
        <v>963</v>
      </c>
      <c r="C741" s="23" t="s">
        <v>951</v>
      </c>
      <c r="D741" s="23" t="s">
        <v>951</v>
      </c>
      <c r="E741" s="23" t="s">
        <v>11</v>
      </c>
      <c r="F741" s="25" t="s">
        <v>12</v>
      </c>
    </row>
    <row r="742" ht="22.5" customHeight="1" spans="1:6">
      <c r="A742" s="22">
        <v>741</v>
      </c>
      <c r="B742" s="22" t="s">
        <v>964</v>
      </c>
      <c r="C742" s="22" t="s">
        <v>951</v>
      </c>
      <c r="D742" s="22" t="s">
        <v>951</v>
      </c>
      <c r="E742" s="22" t="s">
        <v>11</v>
      </c>
      <c r="F742" s="24" t="s">
        <v>12</v>
      </c>
    </row>
    <row r="743" ht="22.5" customHeight="1" spans="1:6">
      <c r="A743" s="23">
        <v>742</v>
      </c>
      <c r="B743" s="23" t="s">
        <v>965</v>
      </c>
      <c r="C743" s="23" t="s">
        <v>951</v>
      </c>
      <c r="D743" s="23" t="s">
        <v>951</v>
      </c>
      <c r="E743" s="23" t="s">
        <v>11</v>
      </c>
      <c r="F743" s="25" t="s">
        <v>12</v>
      </c>
    </row>
    <row r="744" ht="22.5" customHeight="1" spans="1:6">
      <c r="A744" s="22">
        <v>743</v>
      </c>
      <c r="B744" s="22" t="s">
        <v>966</v>
      </c>
      <c r="C744" s="22" t="s">
        <v>951</v>
      </c>
      <c r="D744" s="22" t="s">
        <v>951</v>
      </c>
      <c r="E744" s="22" t="s">
        <v>11</v>
      </c>
      <c r="F744" s="24" t="s">
        <v>12</v>
      </c>
    </row>
    <row r="745" ht="22.5" customHeight="1" spans="1:6">
      <c r="A745" s="23">
        <v>744</v>
      </c>
      <c r="B745" s="23" t="s">
        <v>967</v>
      </c>
      <c r="C745" s="23" t="s">
        <v>951</v>
      </c>
      <c r="D745" s="23" t="s">
        <v>951</v>
      </c>
      <c r="E745" s="23" t="s">
        <v>11</v>
      </c>
      <c r="F745" s="25" t="s">
        <v>12</v>
      </c>
    </row>
    <row r="746" ht="22.5" customHeight="1" spans="1:6">
      <c r="A746" s="22">
        <v>745</v>
      </c>
      <c r="B746" s="22" t="s">
        <v>968</v>
      </c>
      <c r="C746" s="22" t="s">
        <v>951</v>
      </c>
      <c r="D746" s="22" t="s">
        <v>951</v>
      </c>
      <c r="E746" s="22" t="s">
        <v>11</v>
      </c>
      <c r="F746" s="24" t="s">
        <v>12</v>
      </c>
    </row>
    <row r="747" ht="22.5" customHeight="1" spans="1:6">
      <c r="A747" s="23">
        <v>746</v>
      </c>
      <c r="B747" s="23" t="s">
        <v>969</v>
      </c>
      <c r="C747" s="23" t="s">
        <v>951</v>
      </c>
      <c r="D747" s="23" t="s">
        <v>951</v>
      </c>
      <c r="E747" s="23" t="s">
        <v>11</v>
      </c>
      <c r="F747" s="25" t="s">
        <v>12</v>
      </c>
    </row>
    <row r="748" ht="22.5" customHeight="1" spans="1:6">
      <c r="A748" s="22">
        <v>747</v>
      </c>
      <c r="B748" s="22" t="s">
        <v>970</v>
      </c>
      <c r="C748" s="22" t="s">
        <v>971</v>
      </c>
      <c r="D748" s="22" t="s">
        <v>972</v>
      </c>
      <c r="E748" s="22" t="s">
        <v>11</v>
      </c>
      <c r="F748" s="24" t="s">
        <v>12</v>
      </c>
    </row>
    <row r="749" ht="22.5" customHeight="1" spans="1:6">
      <c r="A749" s="23">
        <v>748</v>
      </c>
      <c r="B749" s="23" t="s">
        <v>973</v>
      </c>
      <c r="C749" s="23" t="s">
        <v>971</v>
      </c>
      <c r="D749" s="23" t="s">
        <v>972</v>
      </c>
      <c r="E749" s="23" t="s">
        <v>11</v>
      </c>
      <c r="F749" s="25" t="s">
        <v>12</v>
      </c>
    </row>
    <row r="750" ht="22.5" customHeight="1" spans="1:6">
      <c r="A750" s="22">
        <v>749</v>
      </c>
      <c r="B750" s="22" t="s">
        <v>974</v>
      </c>
      <c r="C750" s="22" t="s">
        <v>971</v>
      </c>
      <c r="D750" s="22" t="s">
        <v>972</v>
      </c>
      <c r="E750" s="22" t="s">
        <v>11</v>
      </c>
      <c r="F750" s="24" t="s">
        <v>12</v>
      </c>
    </row>
    <row r="751" ht="22.5" customHeight="1" spans="1:6">
      <c r="A751" s="23">
        <v>750</v>
      </c>
      <c r="B751" s="23" t="s">
        <v>975</v>
      </c>
      <c r="C751" s="23" t="s">
        <v>971</v>
      </c>
      <c r="D751" s="23" t="s">
        <v>972</v>
      </c>
      <c r="E751" s="23" t="s">
        <v>11</v>
      </c>
      <c r="F751" s="25" t="s">
        <v>12</v>
      </c>
    </row>
    <row r="752" ht="22.5" customHeight="1" spans="1:6">
      <c r="A752" s="22">
        <v>751</v>
      </c>
      <c r="B752" s="22" t="s">
        <v>976</v>
      </c>
      <c r="C752" s="22" t="s">
        <v>971</v>
      </c>
      <c r="D752" s="22" t="s">
        <v>972</v>
      </c>
      <c r="E752" s="22" t="s">
        <v>11</v>
      </c>
      <c r="F752" s="24" t="s">
        <v>12</v>
      </c>
    </row>
    <row r="753" ht="22.5" customHeight="1" spans="1:6">
      <c r="A753" s="23">
        <v>752</v>
      </c>
      <c r="B753" s="23" t="s">
        <v>977</v>
      </c>
      <c r="C753" s="23" t="s">
        <v>971</v>
      </c>
      <c r="D753" s="23" t="s">
        <v>978</v>
      </c>
      <c r="E753" s="23" t="s">
        <v>11</v>
      </c>
      <c r="F753" s="25" t="s">
        <v>12</v>
      </c>
    </row>
    <row r="754" ht="22.5" customHeight="1" spans="1:6">
      <c r="A754" s="22">
        <v>753</v>
      </c>
      <c r="B754" s="22" t="s">
        <v>979</v>
      </c>
      <c r="C754" s="22" t="s">
        <v>971</v>
      </c>
      <c r="D754" s="22" t="s">
        <v>972</v>
      </c>
      <c r="E754" s="22" t="s">
        <v>11</v>
      </c>
      <c r="F754" s="24" t="s">
        <v>12</v>
      </c>
    </row>
    <row r="755" ht="22.5" customHeight="1" spans="1:6">
      <c r="A755" s="23">
        <v>754</v>
      </c>
      <c r="B755" s="23" t="s">
        <v>980</v>
      </c>
      <c r="C755" s="23" t="s">
        <v>971</v>
      </c>
      <c r="D755" s="23" t="s">
        <v>981</v>
      </c>
      <c r="E755" s="23" t="s">
        <v>11</v>
      </c>
      <c r="F755" s="25" t="s">
        <v>12</v>
      </c>
    </row>
    <row r="756" ht="22.5" customHeight="1" spans="1:6">
      <c r="A756" s="22">
        <v>755</v>
      </c>
      <c r="B756" s="22" t="s">
        <v>982</v>
      </c>
      <c r="C756" s="22" t="s">
        <v>971</v>
      </c>
      <c r="D756" s="22" t="s">
        <v>972</v>
      </c>
      <c r="E756" s="22" t="s">
        <v>11</v>
      </c>
      <c r="F756" s="24" t="s">
        <v>12</v>
      </c>
    </row>
    <row r="757" ht="22.5" customHeight="1" spans="1:6">
      <c r="A757" s="23">
        <v>756</v>
      </c>
      <c r="B757" s="23" t="s">
        <v>983</v>
      </c>
      <c r="C757" s="23" t="s">
        <v>971</v>
      </c>
      <c r="D757" s="23" t="s">
        <v>984</v>
      </c>
      <c r="E757" s="23" t="s">
        <v>11</v>
      </c>
      <c r="F757" s="25" t="s">
        <v>12</v>
      </c>
    </row>
    <row r="758" ht="22.5" customHeight="1" spans="1:6">
      <c r="A758" s="22">
        <v>757</v>
      </c>
      <c r="B758" s="22" t="s">
        <v>985</v>
      </c>
      <c r="C758" s="22" t="s">
        <v>971</v>
      </c>
      <c r="D758" s="22" t="s">
        <v>986</v>
      </c>
      <c r="E758" s="22" t="s">
        <v>11</v>
      </c>
      <c r="F758" s="24" t="s">
        <v>12</v>
      </c>
    </row>
    <row r="759" ht="22.5" customHeight="1" spans="1:6">
      <c r="A759" s="23">
        <v>758</v>
      </c>
      <c r="B759" s="23" t="s">
        <v>987</v>
      </c>
      <c r="C759" s="23" t="s">
        <v>971</v>
      </c>
      <c r="D759" s="23" t="s">
        <v>988</v>
      </c>
      <c r="E759" s="23" t="s">
        <v>11</v>
      </c>
      <c r="F759" s="25" t="s">
        <v>12</v>
      </c>
    </row>
    <row r="760" ht="22.5" customHeight="1" spans="1:6">
      <c r="A760" s="22">
        <v>759</v>
      </c>
      <c r="B760" s="22" t="s">
        <v>989</v>
      </c>
      <c r="C760" s="22" t="s">
        <v>971</v>
      </c>
      <c r="D760" s="22" t="s">
        <v>990</v>
      </c>
      <c r="E760" s="22" t="s">
        <v>11</v>
      </c>
      <c r="F760" s="24" t="s">
        <v>12</v>
      </c>
    </row>
    <row r="761" ht="22.5" customHeight="1" spans="1:6">
      <c r="A761" s="23">
        <v>760</v>
      </c>
      <c r="B761" s="23" t="s">
        <v>991</v>
      </c>
      <c r="C761" s="23" t="s">
        <v>971</v>
      </c>
      <c r="D761" s="23" t="s">
        <v>972</v>
      </c>
      <c r="E761" s="23" t="s">
        <v>11</v>
      </c>
      <c r="F761" s="25" t="s">
        <v>12</v>
      </c>
    </row>
    <row r="762" ht="22.5" customHeight="1" spans="1:6">
      <c r="A762" s="22">
        <v>761</v>
      </c>
      <c r="B762" s="22" t="s">
        <v>992</v>
      </c>
      <c r="C762" s="22" t="s">
        <v>971</v>
      </c>
      <c r="D762" s="22" t="s">
        <v>993</v>
      </c>
      <c r="E762" s="22" t="s">
        <v>11</v>
      </c>
      <c r="F762" s="24" t="s">
        <v>12</v>
      </c>
    </row>
    <row r="763" ht="22.5" customHeight="1" spans="1:6">
      <c r="A763" s="23">
        <v>762</v>
      </c>
      <c r="B763" s="23" t="s">
        <v>994</v>
      </c>
      <c r="C763" s="23" t="s">
        <v>971</v>
      </c>
      <c r="D763" s="23" t="s">
        <v>972</v>
      </c>
      <c r="E763" s="23" t="s">
        <v>11</v>
      </c>
      <c r="F763" s="25" t="s">
        <v>12</v>
      </c>
    </row>
    <row r="764" ht="22.5" customHeight="1" spans="1:6">
      <c r="A764" s="22">
        <v>763</v>
      </c>
      <c r="B764" s="22" t="s">
        <v>995</v>
      </c>
      <c r="C764" s="22" t="s">
        <v>971</v>
      </c>
      <c r="D764" s="22" t="s">
        <v>993</v>
      </c>
      <c r="E764" s="22" t="s">
        <v>11</v>
      </c>
      <c r="F764" s="24" t="s">
        <v>12</v>
      </c>
    </row>
    <row r="765" ht="22.5" customHeight="1" spans="1:6">
      <c r="A765" s="23">
        <v>764</v>
      </c>
      <c r="B765" s="23" t="s">
        <v>996</v>
      </c>
      <c r="C765" s="23" t="s">
        <v>971</v>
      </c>
      <c r="D765" s="23" t="s">
        <v>978</v>
      </c>
      <c r="E765" s="23" t="s">
        <v>11</v>
      </c>
      <c r="F765" s="25" t="s">
        <v>12</v>
      </c>
    </row>
    <row r="766" ht="22.5" customHeight="1" spans="1:6">
      <c r="A766" s="22">
        <v>765</v>
      </c>
      <c r="B766" s="22" t="s">
        <v>997</v>
      </c>
      <c r="C766" s="22" t="s">
        <v>971</v>
      </c>
      <c r="D766" s="22" t="s">
        <v>998</v>
      </c>
      <c r="E766" s="22" t="s">
        <v>11</v>
      </c>
      <c r="F766" s="24" t="s">
        <v>12</v>
      </c>
    </row>
    <row r="767" ht="22.5" customHeight="1" spans="1:6">
      <c r="A767" s="23">
        <v>766</v>
      </c>
      <c r="B767" s="23" t="s">
        <v>999</v>
      </c>
      <c r="C767" s="23" t="s">
        <v>971</v>
      </c>
      <c r="D767" s="23" t="s">
        <v>1000</v>
      </c>
      <c r="E767" s="23" t="s">
        <v>11</v>
      </c>
      <c r="F767" s="25" t="s">
        <v>12</v>
      </c>
    </row>
    <row r="768" ht="22.5" customHeight="1" spans="1:6">
      <c r="A768" s="22">
        <v>767</v>
      </c>
      <c r="B768" s="22" t="s">
        <v>1001</v>
      </c>
      <c r="C768" s="22" t="s">
        <v>971</v>
      </c>
      <c r="D768" s="22" t="s">
        <v>1002</v>
      </c>
      <c r="E768" s="22" t="s">
        <v>11</v>
      </c>
      <c r="F768" s="24" t="s">
        <v>12</v>
      </c>
    </row>
    <row r="769" ht="22.5" customHeight="1" spans="1:6">
      <c r="A769" s="23">
        <v>768</v>
      </c>
      <c r="B769" s="23" t="s">
        <v>1003</v>
      </c>
      <c r="C769" s="23" t="s">
        <v>971</v>
      </c>
      <c r="D769" s="23" t="s">
        <v>1004</v>
      </c>
      <c r="E769" s="23" t="s">
        <v>11</v>
      </c>
      <c r="F769" s="25" t="s">
        <v>12</v>
      </c>
    </row>
    <row r="770" ht="22.5" customHeight="1" spans="1:6">
      <c r="A770" s="22">
        <v>769</v>
      </c>
      <c r="B770" s="22" t="s">
        <v>1005</v>
      </c>
      <c r="C770" s="22" t="s">
        <v>971</v>
      </c>
      <c r="D770" s="22" t="s">
        <v>1006</v>
      </c>
      <c r="E770" s="22" t="s">
        <v>11</v>
      </c>
      <c r="F770" s="24" t="s">
        <v>12</v>
      </c>
    </row>
    <row r="771" ht="22.5" customHeight="1" spans="1:6">
      <c r="A771" s="23">
        <v>770</v>
      </c>
      <c r="B771" s="23" t="s">
        <v>1007</v>
      </c>
      <c r="C771" s="23" t="s">
        <v>971</v>
      </c>
      <c r="D771" s="23" t="s">
        <v>972</v>
      </c>
      <c r="E771" s="23" t="s">
        <v>11</v>
      </c>
      <c r="F771" s="25" t="s">
        <v>12</v>
      </c>
    </row>
    <row r="772" ht="22.5" customHeight="1" spans="1:6">
      <c r="A772" s="22">
        <v>771</v>
      </c>
      <c r="B772" s="22" t="s">
        <v>1008</v>
      </c>
      <c r="C772" s="22" t="s">
        <v>971</v>
      </c>
      <c r="D772" s="22" t="s">
        <v>972</v>
      </c>
      <c r="E772" s="22" t="s">
        <v>11</v>
      </c>
      <c r="F772" s="24" t="s">
        <v>12</v>
      </c>
    </row>
    <row r="773" ht="22.5" customHeight="1" spans="1:6">
      <c r="A773" s="23">
        <v>772</v>
      </c>
      <c r="B773" s="23" t="s">
        <v>1009</v>
      </c>
      <c r="C773" s="23" t="s">
        <v>971</v>
      </c>
      <c r="D773" s="23" t="s">
        <v>972</v>
      </c>
      <c r="E773" s="23" t="s">
        <v>11</v>
      </c>
      <c r="F773" s="25" t="s">
        <v>12</v>
      </c>
    </row>
    <row r="774" ht="22.5" customHeight="1" spans="1:6">
      <c r="A774" s="22">
        <v>773</v>
      </c>
      <c r="B774" s="22" t="s">
        <v>1010</v>
      </c>
      <c r="C774" s="22" t="s">
        <v>971</v>
      </c>
      <c r="D774" s="22" t="s">
        <v>972</v>
      </c>
      <c r="E774" s="22" t="s">
        <v>11</v>
      </c>
      <c r="F774" s="24" t="s">
        <v>12</v>
      </c>
    </row>
    <row r="775" ht="22.5" customHeight="1" spans="1:6">
      <c r="A775" s="23">
        <v>774</v>
      </c>
      <c r="B775" s="23" t="s">
        <v>1011</v>
      </c>
      <c r="C775" s="23" t="s">
        <v>971</v>
      </c>
      <c r="D775" s="23" t="s">
        <v>972</v>
      </c>
      <c r="E775" s="23" t="s">
        <v>11</v>
      </c>
      <c r="F775" s="25" t="s">
        <v>12</v>
      </c>
    </row>
    <row r="776" ht="22.5" customHeight="1" spans="1:6">
      <c r="A776" s="22">
        <v>775</v>
      </c>
      <c r="B776" s="22" t="s">
        <v>1012</v>
      </c>
      <c r="C776" s="22" t="s">
        <v>971</v>
      </c>
      <c r="D776" s="22" t="s">
        <v>972</v>
      </c>
      <c r="E776" s="22" t="s">
        <v>11</v>
      </c>
      <c r="F776" s="24" t="s">
        <v>12</v>
      </c>
    </row>
    <row r="777" ht="22.5" customHeight="1" spans="1:6">
      <c r="A777" s="23">
        <v>776</v>
      </c>
      <c r="B777" s="23" t="s">
        <v>1013</v>
      </c>
      <c r="C777" s="23" t="s">
        <v>971</v>
      </c>
      <c r="D777" s="23" t="s">
        <v>1014</v>
      </c>
      <c r="E777" s="23" t="s">
        <v>11</v>
      </c>
      <c r="F777" s="25" t="s">
        <v>12</v>
      </c>
    </row>
    <row r="778" ht="22.5" customHeight="1" spans="1:6">
      <c r="A778" s="22">
        <v>777</v>
      </c>
      <c r="B778" s="22" t="s">
        <v>1015</v>
      </c>
      <c r="C778" s="22" t="s">
        <v>971</v>
      </c>
      <c r="D778" s="22" t="s">
        <v>972</v>
      </c>
      <c r="E778" s="22" t="s">
        <v>11</v>
      </c>
      <c r="F778" s="24" t="s">
        <v>12</v>
      </c>
    </row>
    <row r="779" ht="22.5" customHeight="1" spans="1:6">
      <c r="A779" s="23">
        <v>778</v>
      </c>
      <c r="B779" s="23" t="s">
        <v>1016</v>
      </c>
      <c r="C779" s="23" t="s">
        <v>971</v>
      </c>
      <c r="D779" s="23" t="s">
        <v>1017</v>
      </c>
      <c r="E779" s="23" t="s">
        <v>11</v>
      </c>
      <c r="F779" s="25" t="s">
        <v>12</v>
      </c>
    </row>
    <row r="780" ht="22.5" customHeight="1" spans="1:6">
      <c r="A780" s="22">
        <v>779</v>
      </c>
      <c r="B780" s="22" t="s">
        <v>1018</v>
      </c>
      <c r="C780" s="22" t="s">
        <v>971</v>
      </c>
      <c r="D780" s="22" t="s">
        <v>990</v>
      </c>
      <c r="E780" s="22" t="s">
        <v>11</v>
      </c>
      <c r="F780" s="24" t="s">
        <v>12</v>
      </c>
    </row>
    <row r="781" ht="22.5" customHeight="1" spans="1:6">
      <c r="A781" s="23">
        <v>780</v>
      </c>
      <c r="B781" s="23" t="s">
        <v>1019</v>
      </c>
      <c r="C781" s="23" t="s">
        <v>971</v>
      </c>
      <c r="D781" s="23" t="s">
        <v>972</v>
      </c>
      <c r="E781" s="23" t="s">
        <v>11</v>
      </c>
      <c r="F781" s="25" t="s">
        <v>12</v>
      </c>
    </row>
    <row r="782" ht="22.5" customHeight="1" spans="1:6">
      <c r="A782" s="22">
        <v>781</v>
      </c>
      <c r="B782" s="22" t="s">
        <v>1020</v>
      </c>
      <c r="C782" s="22" t="s">
        <v>971</v>
      </c>
      <c r="D782" s="22" t="s">
        <v>972</v>
      </c>
      <c r="E782" s="22" t="s">
        <v>11</v>
      </c>
      <c r="F782" s="24" t="s">
        <v>12</v>
      </c>
    </row>
    <row r="783" ht="22.5" customHeight="1" spans="1:6">
      <c r="A783" s="23">
        <v>782</v>
      </c>
      <c r="B783" s="23" t="s">
        <v>1021</v>
      </c>
      <c r="C783" s="23" t="s">
        <v>971</v>
      </c>
      <c r="D783" s="23" t="s">
        <v>972</v>
      </c>
      <c r="E783" s="23" t="s">
        <v>11</v>
      </c>
      <c r="F783" s="25" t="s">
        <v>12</v>
      </c>
    </row>
    <row r="784" ht="22.5" customHeight="1" spans="1:6">
      <c r="A784" s="22">
        <v>783</v>
      </c>
      <c r="B784" s="22" t="s">
        <v>1022</v>
      </c>
      <c r="C784" s="22" t="s">
        <v>971</v>
      </c>
      <c r="D784" s="22" t="s">
        <v>972</v>
      </c>
      <c r="E784" s="22" t="s">
        <v>11</v>
      </c>
      <c r="F784" s="24" t="s">
        <v>12</v>
      </c>
    </row>
    <row r="785" ht="22.5" customHeight="1" spans="1:6">
      <c r="A785" s="23">
        <v>784</v>
      </c>
      <c r="B785" s="23" t="s">
        <v>1023</v>
      </c>
      <c r="C785" s="23" t="s">
        <v>971</v>
      </c>
      <c r="D785" s="23" t="s">
        <v>984</v>
      </c>
      <c r="E785" s="23" t="s">
        <v>11</v>
      </c>
      <c r="F785" s="25" t="s">
        <v>12</v>
      </c>
    </row>
    <row r="786" ht="22.5" customHeight="1" spans="1:6">
      <c r="A786" s="22">
        <v>785</v>
      </c>
      <c r="B786" s="22" t="s">
        <v>1024</v>
      </c>
      <c r="C786" s="22" t="s">
        <v>971</v>
      </c>
      <c r="D786" s="22" t="s">
        <v>984</v>
      </c>
      <c r="E786" s="22" t="s">
        <v>11</v>
      </c>
      <c r="F786" s="24" t="s">
        <v>12</v>
      </c>
    </row>
    <row r="787" ht="22.5" customHeight="1" spans="1:6">
      <c r="A787" s="23">
        <v>786</v>
      </c>
      <c r="B787" s="23" t="s">
        <v>1025</v>
      </c>
      <c r="C787" s="23" t="s">
        <v>1026</v>
      </c>
      <c r="D787" s="23" t="s">
        <v>1027</v>
      </c>
      <c r="E787" s="23" t="s">
        <v>11</v>
      </c>
      <c r="F787" s="25" t="s">
        <v>12</v>
      </c>
    </row>
    <row r="788" ht="22.5" customHeight="1" spans="1:6">
      <c r="A788" s="22">
        <v>787</v>
      </c>
      <c r="B788" s="22" t="s">
        <v>1028</v>
      </c>
      <c r="C788" s="22" t="s">
        <v>1026</v>
      </c>
      <c r="D788" s="22" t="s">
        <v>1027</v>
      </c>
      <c r="E788" s="22" t="s">
        <v>11</v>
      </c>
      <c r="F788" s="24" t="s">
        <v>12</v>
      </c>
    </row>
    <row r="789" ht="22.5" customHeight="1" spans="1:6">
      <c r="A789" s="23">
        <v>788</v>
      </c>
      <c r="B789" s="23" t="s">
        <v>1029</v>
      </c>
      <c r="C789" s="23" t="s">
        <v>1026</v>
      </c>
      <c r="D789" s="23" t="s">
        <v>1030</v>
      </c>
      <c r="E789" s="23" t="s">
        <v>11</v>
      </c>
      <c r="F789" s="25" t="s">
        <v>12</v>
      </c>
    </row>
    <row r="790" ht="22.5" customHeight="1" spans="1:6">
      <c r="A790" s="22">
        <v>789</v>
      </c>
      <c r="B790" s="22" t="s">
        <v>1031</v>
      </c>
      <c r="C790" s="22" t="s">
        <v>1026</v>
      </c>
      <c r="D790" s="22" t="s">
        <v>1027</v>
      </c>
      <c r="E790" s="22" t="s">
        <v>11</v>
      </c>
      <c r="F790" s="24" t="s">
        <v>12</v>
      </c>
    </row>
    <row r="791" ht="22.5" customHeight="1" spans="1:6">
      <c r="A791" s="23">
        <v>790</v>
      </c>
      <c r="B791" s="23" t="s">
        <v>1032</v>
      </c>
      <c r="C791" s="23" t="s">
        <v>1026</v>
      </c>
      <c r="D791" s="23" t="s">
        <v>1027</v>
      </c>
      <c r="E791" s="23" t="s">
        <v>11</v>
      </c>
      <c r="F791" s="25" t="s">
        <v>12</v>
      </c>
    </row>
    <row r="792" ht="22.5" customHeight="1" spans="1:6">
      <c r="A792" s="22">
        <v>791</v>
      </c>
      <c r="B792" s="22" t="s">
        <v>1033</v>
      </c>
      <c r="C792" s="22" t="s">
        <v>1026</v>
      </c>
      <c r="D792" s="22" t="s">
        <v>1030</v>
      </c>
      <c r="E792" s="22" t="s">
        <v>11</v>
      </c>
      <c r="F792" s="24" t="s">
        <v>12</v>
      </c>
    </row>
    <row r="793" ht="22.5" customHeight="1" spans="1:6">
      <c r="A793" s="23">
        <v>792</v>
      </c>
      <c r="B793" s="23" t="s">
        <v>1034</v>
      </c>
      <c r="C793" s="23" t="s">
        <v>1026</v>
      </c>
      <c r="D793" s="23" t="s">
        <v>1035</v>
      </c>
      <c r="E793" s="23" t="s">
        <v>11</v>
      </c>
      <c r="F793" s="25" t="s">
        <v>12</v>
      </c>
    </row>
    <row r="794" ht="22.5" customHeight="1" spans="1:6">
      <c r="A794" s="22">
        <v>793</v>
      </c>
      <c r="B794" s="22" t="s">
        <v>1036</v>
      </c>
      <c r="C794" s="22" t="s">
        <v>1026</v>
      </c>
      <c r="D794" s="22" t="s">
        <v>1037</v>
      </c>
      <c r="E794" s="22" t="s">
        <v>11</v>
      </c>
      <c r="F794" s="24" t="s">
        <v>12</v>
      </c>
    </row>
    <row r="795" ht="22.5" customHeight="1" spans="1:6">
      <c r="A795" s="23">
        <v>794</v>
      </c>
      <c r="B795" s="23" t="s">
        <v>1038</v>
      </c>
      <c r="C795" s="23" t="s">
        <v>1026</v>
      </c>
      <c r="D795" s="23" t="s">
        <v>1039</v>
      </c>
      <c r="E795" s="23" t="s">
        <v>11</v>
      </c>
      <c r="F795" s="25" t="s">
        <v>12</v>
      </c>
    </row>
    <row r="796" ht="22.5" customHeight="1" spans="1:6">
      <c r="A796" s="22">
        <v>795</v>
      </c>
      <c r="B796" s="22" t="s">
        <v>1040</v>
      </c>
      <c r="C796" s="22" t="s">
        <v>1026</v>
      </c>
      <c r="D796" s="22" t="s">
        <v>1041</v>
      </c>
      <c r="E796" s="22" t="s">
        <v>11</v>
      </c>
      <c r="F796" s="24" t="s">
        <v>12</v>
      </c>
    </row>
    <row r="797" ht="22.5" customHeight="1" spans="1:6">
      <c r="A797" s="23">
        <v>796</v>
      </c>
      <c r="B797" s="23" t="s">
        <v>1042</v>
      </c>
      <c r="C797" s="23" t="s">
        <v>1026</v>
      </c>
      <c r="D797" s="23" t="s">
        <v>1043</v>
      </c>
      <c r="E797" s="23" t="s">
        <v>11</v>
      </c>
      <c r="F797" s="25" t="s">
        <v>12</v>
      </c>
    </row>
    <row r="798" ht="22.5" customHeight="1" spans="1:6">
      <c r="A798" s="22">
        <v>797</v>
      </c>
      <c r="B798" s="22" t="s">
        <v>1044</v>
      </c>
      <c r="C798" s="22" t="s">
        <v>1026</v>
      </c>
      <c r="D798" s="22" t="s">
        <v>1045</v>
      </c>
      <c r="E798" s="22" t="s">
        <v>11</v>
      </c>
      <c r="F798" s="24" t="s">
        <v>12</v>
      </c>
    </row>
    <row r="799" ht="22.5" customHeight="1" spans="1:6">
      <c r="A799" s="23">
        <v>798</v>
      </c>
      <c r="B799" s="23" t="s">
        <v>1046</v>
      </c>
      <c r="C799" s="23" t="s">
        <v>1026</v>
      </c>
      <c r="D799" s="23" t="s">
        <v>1027</v>
      </c>
      <c r="E799" s="23" t="s">
        <v>11</v>
      </c>
      <c r="F799" s="25" t="s">
        <v>12</v>
      </c>
    </row>
    <row r="800" ht="22.5" customHeight="1" spans="1:6">
      <c r="A800" s="22">
        <v>799</v>
      </c>
      <c r="B800" s="22" t="s">
        <v>1047</v>
      </c>
      <c r="C800" s="22" t="s">
        <v>1026</v>
      </c>
      <c r="D800" s="22" t="s">
        <v>1027</v>
      </c>
      <c r="E800" s="22" t="s">
        <v>11</v>
      </c>
      <c r="F800" s="24" t="s">
        <v>12</v>
      </c>
    </row>
    <row r="801" ht="22.5" customHeight="1" spans="1:6">
      <c r="A801" s="23">
        <v>800</v>
      </c>
      <c r="B801" s="23" t="s">
        <v>1048</v>
      </c>
      <c r="C801" s="23" t="s">
        <v>1026</v>
      </c>
      <c r="D801" s="23" t="s">
        <v>1027</v>
      </c>
      <c r="E801" s="23" t="s">
        <v>11</v>
      </c>
      <c r="F801" s="25" t="s">
        <v>12</v>
      </c>
    </row>
    <row r="802" ht="22.5" customHeight="1" spans="1:6">
      <c r="A802" s="22">
        <v>801</v>
      </c>
      <c r="B802" s="22" t="s">
        <v>1049</v>
      </c>
      <c r="C802" s="22" t="s">
        <v>1026</v>
      </c>
      <c r="D802" s="22" t="s">
        <v>1050</v>
      </c>
      <c r="E802" s="22" t="s">
        <v>11</v>
      </c>
      <c r="F802" s="24" t="s">
        <v>12</v>
      </c>
    </row>
    <row r="803" ht="22.5" customHeight="1" spans="1:6">
      <c r="A803" s="23">
        <v>802</v>
      </c>
      <c r="B803" s="23" t="s">
        <v>1051</v>
      </c>
      <c r="C803" s="23" t="s">
        <v>1026</v>
      </c>
      <c r="D803" s="23" t="s">
        <v>1027</v>
      </c>
      <c r="E803" s="23" t="s">
        <v>11</v>
      </c>
      <c r="F803" s="25" t="s">
        <v>12</v>
      </c>
    </row>
    <row r="804" ht="22.5" customHeight="1" spans="1:6">
      <c r="A804" s="22">
        <v>803</v>
      </c>
      <c r="B804" s="22" t="s">
        <v>1052</v>
      </c>
      <c r="C804" s="22" t="s">
        <v>1026</v>
      </c>
      <c r="D804" s="22" t="s">
        <v>1027</v>
      </c>
      <c r="E804" s="22" t="s">
        <v>11</v>
      </c>
      <c r="F804" s="24" t="s">
        <v>12</v>
      </c>
    </row>
    <row r="805" ht="22.5" customHeight="1" spans="1:6">
      <c r="A805" s="23">
        <v>804</v>
      </c>
      <c r="B805" s="23" t="s">
        <v>1053</v>
      </c>
      <c r="C805" s="23" t="s">
        <v>1026</v>
      </c>
      <c r="D805" s="23" t="s">
        <v>1027</v>
      </c>
      <c r="E805" s="23" t="s">
        <v>11</v>
      </c>
      <c r="F805" s="25" t="s">
        <v>12</v>
      </c>
    </row>
    <row r="806" ht="22.5" customHeight="1" spans="1:6">
      <c r="A806" s="22">
        <v>805</v>
      </c>
      <c r="B806" s="22" t="s">
        <v>1054</v>
      </c>
      <c r="C806" s="22" t="s">
        <v>1026</v>
      </c>
      <c r="D806" s="22" t="s">
        <v>1027</v>
      </c>
      <c r="E806" s="22" t="s">
        <v>11</v>
      </c>
      <c r="F806" s="24" t="s">
        <v>12</v>
      </c>
    </row>
    <row r="807" ht="22.5" customHeight="1" spans="1:6">
      <c r="A807" s="23">
        <v>806</v>
      </c>
      <c r="B807" s="23" t="s">
        <v>1055</v>
      </c>
      <c r="C807" s="23" t="s">
        <v>1026</v>
      </c>
      <c r="D807" s="23" t="s">
        <v>1027</v>
      </c>
      <c r="E807" s="23" t="s">
        <v>11</v>
      </c>
      <c r="F807" s="25" t="s">
        <v>12</v>
      </c>
    </row>
    <row r="808" ht="22.5" customHeight="1" spans="1:6">
      <c r="A808" s="22">
        <v>807</v>
      </c>
      <c r="B808" s="22" t="s">
        <v>1056</v>
      </c>
      <c r="C808" s="22" t="s">
        <v>1026</v>
      </c>
      <c r="D808" s="22" t="s">
        <v>1027</v>
      </c>
      <c r="E808" s="22" t="s">
        <v>11</v>
      </c>
      <c r="F808" s="24" t="s">
        <v>12</v>
      </c>
    </row>
    <row r="809" ht="22.5" customHeight="1" spans="1:6">
      <c r="A809" s="23">
        <v>808</v>
      </c>
      <c r="B809" s="23" t="s">
        <v>1057</v>
      </c>
      <c r="C809" s="23" t="s">
        <v>1026</v>
      </c>
      <c r="D809" s="23" t="s">
        <v>1035</v>
      </c>
      <c r="E809" s="23" t="s">
        <v>11</v>
      </c>
      <c r="F809" s="25" t="s">
        <v>12</v>
      </c>
    </row>
    <row r="810" ht="22.5" customHeight="1" spans="1:6">
      <c r="A810" s="22">
        <v>809</v>
      </c>
      <c r="B810" s="22" t="s">
        <v>1058</v>
      </c>
      <c r="C810" s="22" t="s">
        <v>1026</v>
      </c>
      <c r="D810" s="22" t="s">
        <v>1027</v>
      </c>
      <c r="E810" s="22" t="s">
        <v>11</v>
      </c>
      <c r="F810" s="24" t="s">
        <v>12</v>
      </c>
    </row>
    <row r="811" ht="22.5" customHeight="1" spans="1:6">
      <c r="A811" s="23">
        <v>810</v>
      </c>
      <c r="B811" s="23" t="s">
        <v>1059</v>
      </c>
      <c r="C811" s="23" t="s">
        <v>1060</v>
      </c>
      <c r="D811" s="23" t="s">
        <v>1061</v>
      </c>
      <c r="E811" s="23" t="s">
        <v>11</v>
      </c>
      <c r="F811" s="25" t="s">
        <v>12</v>
      </c>
    </row>
    <row r="812" ht="22.5" customHeight="1" spans="1:6">
      <c r="A812" s="22">
        <v>811</v>
      </c>
      <c r="B812" s="22" t="s">
        <v>1062</v>
      </c>
      <c r="C812" s="22" t="s">
        <v>1060</v>
      </c>
      <c r="D812" s="22" t="s">
        <v>1061</v>
      </c>
      <c r="E812" s="22" t="s">
        <v>11</v>
      </c>
      <c r="F812" s="24" t="s">
        <v>12</v>
      </c>
    </row>
    <row r="813" ht="22.5" customHeight="1" spans="1:6">
      <c r="A813" s="23">
        <v>812</v>
      </c>
      <c r="B813" s="23" t="s">
        <v>1063</v>
      </c>
      <c r="C813" s="23" t="s">
        <v>1060</v>
      </c>
      <c r="D813" s="23" t="s">
        <v>1061</v>
      </c>
      <c r="E813" s="23" t="s">
        <v>11</v>
      </c>
      <c r="F813" s="25" t="s">
        <v>12</v>
      </c>
    </row>
    <row r="814" ht="22.5" customHeight="1" spans="1:6">
      <c r="A814" s="22">
        <v>813</v>
      </c>
      <c r="B814" s="22" t="s">
        <v>1064</v>
      </c>
      <c r="C814" s="22" t="s">
        <v>1060</v>
      </c>
      <c r="D814" s="22" t="s">
        <v>1061</v>
      </c>
      <c r="E814" s="22" t="s">
        <v>11</v>
      </c>
      <c r="F814" s="24" t="s">
        <v>12</v>
      </c>
    </row>
    <row r="815" ht="22.5" customHeight="1" spans="1:6">
      <c r="A815" s="23">
        <v>814</v>
      </c>
      <c r="B815" s="23" t="s">
        <v>1065</v>
      </c>
      <c r="C815" s="23" t="s">
        <v>1060</v>
      </c>
      <c r="D815" s="23" t="s">
        <v>1061</v>
      </c>
      <c r="E815" s="23" t="s">
        <v>11</v>
      </c>
      <c r="F815" s="25" t="s">
        <v>12</v>
      </c>
    </row>
    <row r="816" ht="22.5" customHeight="1" spans="1:6">
      <c r="A816" s="22">
        <v>815</v>
      </c>
      <c r="B816" s="22" t="s">
        <v>1066</v>
      </c>
      <c r="C816" s="22" t="s">
        <v>1060</v>
      </c>
      <c r="D816" s="22" t="s">
        <v>1067</v>
      </c>
      <c r="E816" s="22" t="s">
        <v>11</v>
      </c>
      <c r="F816" s="24" t="s">
        <v>12</v>
      </c>
    </row>
    <row r="817" ht="22.5" customHeight="1" spans="1:6">
      <c r="A817" s="23">
        <v>816</v>
      </c>
      <c r="B817" s="23" t="s">
        <v>1068</v>
      </c>
      <c r="C817" s="23" t="s">
        <v>1060</v>
      </c>
      <c r="D817" s="23" t="s">
        <v>1061</v>
      </c>
      <c r="E817" s="23" t="s">
        <v>11</v>
      </c>
      <c r="F817" s="25" t="s">
        <v>12</v>
      </c>
    </row>
    <row r="818" ht="22.5" customHeight="1" spans="1:6">
      <c r="A818" s="22">
        <v>817</v>
      </c>
      <c r="B818" s="22" t="s">
        <v>1069</v>
      </c>
      <c r="C818" s="22" t="s">
        <v>1060</v>
      </c>
      <c r="D818" s="22" t="s">
        <v>1061</v>
      </c>
      <c r="E818" s="22" t="s">
        <v>11</v>
      </c>
      <c r="F818" s="24" t="s">
        <v>12</v>
      </c>
    </row>
    <row r="819" ht="22.5" customHeight="1" spans="1:6">
      <c r="A819" s="23">
        <v>818</v>
      </c>
      <c r="B819" s="23" t="s">
        <v>1070</v>
      </c>
      <c r="C819" s="23" t="s">
        <v>1060</v>
      </c>
      <c r="D819" s="23" t="s">
        <v>1071</v>
      </c>
      <c r="E819" s="23" t="s">
        <v>11</v>
      </c>
      <c r="F819" s="25" t="s">
        <v>12</v>
      </c>
    </row>
    <row r="820" ht="22.5" customHeight="1" spans="1:6">
      <c r="A820" s="22">
        <v>819</v>
      </c>
      <c r="B820" s="22" t="s">
        <v>1072</v>
      </c>
      <c r="C820" s="22" t="s">
        <v>1060</v>
      </c>
      <c r="D820" s="22" t="s">
        <v>1073</v>
      </c>
      <c r="E820" s="22" t="s">
        <v>11</v>
      </c>
      <c r="F820" s="24" t="s">
        <v>12</v>
      </c>
    </row>
    <row r="821" ht="22.5" customHeight="1" spans="1:6">
      <c r="A821" s="23">
        <v>820</v>
      </c>
      <c r="B821" s="23" t="s">
        <v>1074</v>
      </c>
      <c r="C821" s="23" t="s">
        <v>1060</v>
      </c>
      <c r="D821" s="23" t="s">
        <v>1075</v>
      </c>
      <c r="E821" s="23" t="s">
        <v>11</v>
      </c>
      <c r="F821" s="25" t="s">
        <v>12</v>
      </c>
    </row>
    <row r="822" ht="22.5" customHeight="1" spans="1:6">
      <c r="A822" s="22">
        <v>821</v>
      </c>
      <c r="B822" s="22" t="s">
        <v>1076</v>
      </c>
      <c r="C822" s="22" t="s">
        <v>1060</v>
      </c>
      <c r="D822" s="22" t="s">
        <v>1077</v>
      </c>
      <c r="E822" s="22" t="s">
        <v>11</v>
      </c>
      <c r="F822" s="24" t="s">
        <v>12</v>
      </c>
    </row>
    <row r="823" ht="22.5" customHeight="1" spans="1:6">
      <c r="A823" s="23">
        <v>822</v>
      </c>
      <c r="B823" s="23" t="s">
        <v>1078</v>
      </c>
      <c r="C823" s="23" t="s">
        <v>1060</v>
      </c>
      <c r="D823" s="23" t="s">
        <v>1079</v>
      </c>
      <c r="E823" s="23" t="s">
        <v>11</v>
      </c>
      <c r="F823" s="25" t="s">
        <v>12</v>
      </c>
    </row>
    <row r="824" ht="22.5" customHeight="1" spans="1:6">
      <c r="A824" s="22">
        <v>823</v>
      </c>
      <c r="B824" s="22" t="s">
        <v>1080</v>
      </c>
      <c r="C824" s="22" t="s">
        <v>1060</v>
      </c>
      <c r="D824" s="22" t="s">
        <v>1061</v>
      </c>
      <c r="E824" s="22" t="s">
        <v>11</v>
      </c>
      <c r="F824" s="24" t="s">
        <v>12</v>
      </c>
    </row>
    <row r="825" ht="22.5" customHeight="1" spans="1:6">
      <c r="A825" s="23">
        <v>824</v>
      </c>
      <c r="B825" s="23" t="s">
        <v>1081</v>
      </c>
      <c r="C825" s="23" t="s">
        <v>1060</v>
      </c>
      <c r="D825" s="23" t="s">
        <v>1061</v>
      </c>
      <c r="E825" s="23" t="s">
        <v>11</v>
      </c>
      <c r="F825" s="25" t="s">
        <v>12</v>
      </c>
    </row>
    <row r="826" ht="22.5" customHeight="1" spans="1:6">
      <c r="A826" s="22">
        <v>825</v>
      </c>
      <c r="B826" s="22" t="s">
        <v>1082</v>
      </c>
      <c r="C826" s="22" t="s">
        <v>1060</v>
      </c>
      <c r="D826" s="22" t="s">
        <v>1061</v>
      </c>
      <c r="E826" s="22" t="s">
        <v>11</v>
      </c>
      <c r="F826" s="24" t="s">
        <v>12</v>
      </c>
    </row>
    <row r="827" ht="22.5" customHeight="1" spans="1:6">
      <c r="A827" s="23">
        <v>826</v>
      </c>
      <c r="B827" s="23" t="s">
        <v>1083</v>
      </c>
      <c r="C827" s="23" t="s">
        <v>1060</v>
      </c>
      <c r="D827" s="23" t="s">
        <v>1084</v>
      </c>
      <c r="E827" s="23" t="s">
        <v>11</v>
      </c>
      <c r="F827" s="25" t="s">
        <v>12</v>
      </c>
    </row>
    <row r="828" ht="22.5" customHeight="1" spans="1:6">
      <c r="A828" s="22">
        <v>827</v>
      </c>
      <c r="B828" s="22" t="s">
        <v>1085</v>
      </c>
      <c r="C828" s="22" t="s">
        <v>1060</v>
      </c>
      <c r="D828" s="22" t="s">
        <v>1086</v>
      </c>
      <c r="E828" s="22" t="s">
        <v>11</v>
      </c>
      <c r="F828" s="24" t="s">
        <v>12</v>
      </c>
    </row>
    <row r="829" ht="22.5" customHeight="1" spans="1:6">
      <c r="A829" s="23">
        <v>828</v>
      </c>
      <c r="B829" s="23" t="s">
        <v>1087</v>
      </c>
      <c r="C829" s="23" t="s">
        <v>1060</v>
      </c>
      <c r="D829" s="23" t="s">
        <v>1061</v>
      </c>
      <c r="E829" s="23" t="s">
        <v>11</v>
      </c>
      <c r="F829" s="25" t="s">
        <v>12</v>
      </c>
    </row>
    <row r="830" ht="22.5" customHeight="1" spans="1:6">
      <c r="A830" s="22">
        <v>829</v>
      </c>
      <c r="B830" s="22" t="s">
        <v>1088</v>
      </c>
      <c r="C830" s="22" t="s">
        <v>1060</v>
      </c>
      <c r="D830" s="22" t="s">
        <v>1061</v>
      </c>
      <c r="E830" s="22" t="s">
        <v>11</v>
      </c>
      <c r="F830" s="24" t="s">
        <v>12</v>
      </c>
    </row>
    <row r="831" ht="22.5" customHeight="1" spans="1:6">
      <c r="A831" s="23">
        <v>830</v>
      </c>
      <c r="B831" s="23" t="s">
        <v>1089</v>
      </c>
      <c r="C831" s="23" t="s">
        <v>1060</v>
      </c>
      <c r="D831" s="23" t="s">
        <v>1090</v>
      </c>
      <c r="E831" s="23" t="s">
        <v>11</v>
      </c>
      <c r="F831" s="25" t="s">
        <v>12</v>
      </c>
    </row>
    <row r="832" ht="22.5" customHeight="1" spans="1:6">
      <c r="A832" s="22">
        <v>831</v>
      </c>
      <c r="B832" s="22" t="s">
        <v>1091</v>
      </c>
      <c r="C832" s="22" t="s">
        <v>1060</v>
      </c>
      <c r="D832" s="22" t="s">
        <v>1092</v>
      </c>
      <c r="E832" s="22" t="s">
        <v>11</v>
      </c>
      <c r="F832" s="24" t="s">
        <v>12</v>
      </c>
    </row>
    <row r="833" ht="22.5" customHeight="1" spans="1:6">
      <c r="A833" s="23">
        <v>832</v>
      </c>
      <c r="B833" s="23" t="s">
        <v>1093</v>
      </c>
      <c r="C833" s="23" t="s">
        <v>1060</v>
      </c>
      <c r="D833" s="23" t="s">
        <v>1067</v>
      </c>
      <c r="E833" s="23" t="s">
        <v>11</v>
      </c>
      <c r="F833" s="25" t="s">
        <v>12</v>
      </c>
    </row>
    <row r="834" ht="22.5" customHeight="1" spans="1:6">
      <c r="A834" s="22">
        <v>833</v>
      </c>
      <c r="B834" s="22" t="s">
        <v>1094</v>
      </c>
      <c r="C834" s="22" t="s">
        <v>1060</v>
      </c>
      <c r="D834" s="22" t="s">
        <v>1061</v>
      </c>
      <c r="E834" s="22" t="s">
        <v>11</v>
      </c>
      <c r="F834" s="24" t="s">
        <v>12</v>
      </c>
    </row>
    <row r="835" ht="22.5" customHeight="1" spans="1:6">
      <c r="A835" s="23">
        <v>834</v>
      </c>
      <c r="B835" s="23" t="s">
        <v>1095</v>
      </c>
      <c r="C835" s="23" t="s">
        <v>1060</v>
      </c>
      <c r="D835" s="23" t="s">
        <v>1073</v>
      </c>
      <c r="E835" s="23" t="s">
        <v>11</v>
      </c>
      <c r="F835" s="25" t="s">
        <v>12</v>
      </c>
    </row>
    <row r="836" ht="22.5" customHeight="1" spans="1:6">
      <c r="A836" s="22">
        <v>835</v>
      </c>
      <c r="B836" s="22" t="s">
        <v>1096</v>
      </c>
      <c r="C836" s="22" t="s">
        <v>1060</v>
      </c>
      <c r="D836" s="22" t="s">
        <v>1097</v>
      </c>
      <c r="E836" s="22" t="s">
        <v>11</v>
      </c>
      <c r="F836" s="24" t="s">
        <v>12</v>
      </c>
    </row>
    <row r="837" ht="22.5" customHeight="1" spans="1:6">
      <c r="A837" s="23">
        <v>836</v>
      </c>
      <c r="B837" s="23" t="s">
        <v>1098</v>
      </c>
      <c r="C837" s="23" t="s">
        <v>1060</v>
      </c>
      <c r="D837" s="23" t="s">
        <v>1099</v>
      </c>
      <c r="E837" s="23" t="s">
        <v>11</v>
      </c>
      <c r="F837" s="25" t="s">
        <v>12</v>
      </c>
    </row>
    <row r="838" ht="22.5" customHeight="1" spans="1:6">
      <c r="A838" s="22">
        <v>837</v>
      </c>
      <c r="B838" s="22" t="s">
        <v>1100</v>
      </c>
      <c r="C838" s="22" t="s">
        <v>1101</v>
      </c>
      <c r="D838" s="22" t="s">
        <v>1102</v>
      </c>
      <c r="E838" s="22" t="s">
        <v>11</v>
      </c>
      <c r="F838" s="24" t="s">
        <v>12</v>
      </c>
    </row>
    <row r="839" ht="22.5" customHeight="1" spans="1:6">
      <c r="A839" s="23">
        <v>838</v>
      </c>
      <c r="B839" s="23" t="s">
        <v>1103</v>
      </c>
      <c r="C839" s="23" t="s">
        <v>1101</v>
      </c>
      <c r="D839" s="23" t="s">
        <v>1104</v>
      </c>
      <c r="E839" s="23" t="s">
        <v>11</v>
      </c>
      <c r="F839" s="25" t="s">
        <v>12</v>
      </c>
    </row>
    <row r="840" ht="22.5" customHeight="1" spans="1:6">
      <c r="A840" s="22">
        <v>839</v>
      </c>
      <c r="B840" s="22" t="s">
        <v>1105</v>
      </c>
      <c r="C840" s="22" t="s">
        <v>1106</v>
      </c>
      <c r="D840" s="22" t="s">
        <v>1107</v>
      </c>
      <c r="E840" s="22" t="s">
        <v>11</v>
      </c>
      <c r="F840" s="24" t="s">
        <v>12</v>
      </c>
    </row>
    <row r="841" ht="22.5" customHeight="1" spans="1:6">
      <c r="A841" s="23">
        <v>840</v>
      </c>
      <c r="B841" s="23" t="s">
        <v>1108</v>
      </c>
      <c r="C841" s="23" t="s">
        <v>1101</v>
      </c>
      <c r="D841" s="23" t="s">
        <v>1104</v>
      </c>
      <c r="E841" s="23" t="s">
        <v>11</v>
      </c>
      <c r="F841" s="25" t="s">
        <v>12</v>
      </c>
    </row>
    <row r="842" ht="22.5" customHeight="1" spans="1:6">
      <c r="A842" s="22">
        <v>841</v>
      </c>
      <c r="B842" s="22" t="s">
        <v>1109</v>
      </c>
      <c r="C842" s="22" t="s">
        <v>1101</v>
      </c>
      <c r="D842" s="22" t="s">
        <v>1104</v>
      </c>
      <c r="E842" s="22" t="s">
        <v>11</v>
      </c>
      <c r="F842" s="24" t="s">
        <v>12</v>
      </c>
    </row>
    <row r="843" ht="22.5" customHeight="1" spans="1:6">
      <c r="A843" s="23">
        <v>842</v>
      </c>
      <c r="B843" s="23" t="s">
        <v>1110</v>
      </c>
      <c r="C843" s="23" t="s">
        <v>1106</v>
      </c>
      <c r="D843" s="23" t="s">
        <v>1111</v>
      </c>
      <c r="E843" s="23" t="s">
        <v>11</v>
      </c>
      <c r="F843" s="25" t="s">
        <v>12</v>
      </c>
    </row>
    <row r="844" ht="22.5" customHeight="1" spans="1:6">
      <c r="A844" s="22">
        <v>843</v>
      </c>
      <c r="B844" s="22" t="s">
        <v>1112</v>
      </c>
      <c r="C844" s="22" t="s">
        <v>1106</v>
      </c>
      <c r="D844" s="22" t="s">
        <v>1111</v>
      </c>
      <c r="E844" s="22" t="s">
        <v>11</v>
      </c>
      <c r="F844" s="24" t="s">
        <v>12</v>
      </c>
    </row>
    <row r="845" ht="22.5" customHeight="1" spans="1:6">
      <c r="A845" s="23">
        <v>844</v>
      </c>
      <c r="B845" s="23" t="s">
        <v>1113</v>
      </c>
      <c r="C845" s="23" t="s">
        <v>1106</v>
      </c>
      <c r="D845" s="23" t="s">
        <v>1111</v>
      </c>
      <c r="E845" s="23" t="s">
        <v>11</v>
      </c>
      <c r="F845" s="25" t="s">
        <v>12</v>
      </c>
    </row>
    <row r="846" ht="22.5" customHeight="1" spans="1:6">
      <c r="A846" s="22">
        <v>845</v>
      </c>
      <c r="B846" s="22" t="s">
        <v>1114</v>
      </c>
      <c r="C846" s="22" t="s">
        <v>1106</v>
      </c>
      <c r="D846" s="22" t="s">
        <v>1111</v>
      </c>
      <c r="E846" s="22" t="s">
        <v>11</v>
      </c>
      <c r="F846" s="24" t="s">
        <v>12</v>
      </c>
    </row>
    <row r="847" ht="22.5" customHeight="1" spans="1:6">
      <c r="A847" s="23">
        <v>846</v>
      </c>
      <c r="B847" s="23" t="s">
        <v>1115</v>
      </c>
      <c r="C847" s="23" t="s">
        <v>1106</v>
      </c>
      <c r="D847" s="23" t="s">
        <v>1111</v>
      </c>
      <c r="E847" s="23" t="s">
        <v>11</v>
      </c>
      <c r="F847" s="25" t="s">
        <v>12</v>
      </c>
    </row>
    <row r="848" ht="22.5" customHeight="1" spans="1:6">
      <c r="A848" s="22">
        <v>847</v>
      </c>
      <c r="B848" s="22" t="s">
        <v>1116</v>
      </c>
      <c r="C848" s="22" t="s">
        <v>1106</v>
      </c>
      <c r="D848" s="22" t="s">
        <v>1111</v>
      </c>
      <c r="E848" s="22" t="s">
        <v>11</v>
      </c>
      <c r="F848" s="24" t="s">
        <v>12</v>
      </c>
    </row>
    <row r="849" ht="22.5" customHeight="1" spans="1:6">
      <c r="A849" s="23">
        <v>848</v>
      </c>
      <c r="B849" s="23" t="s">
        <v>1117</v>
      </c>
      <c r="C849" s="23" t="s">
        <v>1106</v>
      </c>
      <c r="D849" s="23" t="s">
        <v>1111</v>
      </c>
      <c r="E849" s="23" t="s">
        <v>11</v>
      </c>
      <c r="F849" s="25" t="s">
        <v>12</v>
      </c>
    </row>
    <row r="850" ht="22.5" customHeight="1" spans="1:6">
      <c r="A850" s="22">
        <v>849</v>
      </c>
      <c r="B850" s="22" t="s">
        <v>1118</v>
      </c>
      <c r="C850" s="22" t="s">
        <v>1106</v>
      </c>
      <c r="D850" s="22" t="s">
        <v>1111</v>
      </c>
      <c r="E850" s="22" t="s">
        <v>11</v>
      </c>
      <c r="F850" s="24" t="s">
        <v>12</v>
      </c>
    </row>
    <row r="851" ht="22.5" customHeight="1" spans="1:6">
      <c r="A851" s="23">
        <v>850</v>
      </c>
      <c r="B851" s="23" t="s">
        <v>1119</v>
      </c>
      <c r="C851" s="23" t="s">
        <v>1106</v>
      </c>
      <c r="D851" s="23" t="s">
        <v>1111</v>
      </c>
      <c r="E851" s="23" t="s">
        <v>11</v>
      </c>
      <c r="F851" s="25" t="s">
        <v>12</v>
      </c>
    </row>
    <row r="852" ht="22.5" customHeight="1" spans="1:6">
      <c r="A852" s="22">
        <v>851</v>
      </c>
      <c r="B852" s="22" t="s">
        <v>1120</v>
      </c>
      <c r="C852" s="22" t="s">
        <v>1106</v>
      </c>
      <c r="D852" s="22" t="s">
        <v>1111</v>
      </c>
      <c r="E852" s="22" t="s">
        <v>11</v>
      </c>
      <c r="F852" s="24" t="s">
        <v>12</v>
      </c>
    </row>
    <row r="853" ht="22.5" customHeight="1" spans="1:6">
      <c r="A853" s="23">
        <v>852</v>
      </c>
      <c r="B853" s="23" t="s">
        <v>1121</v>
      </c>
      <c r="C853" s="23" t="s">
        <v>1106</v>
      </c>
      <c r="D853" s="23" t="s">
        <v>1111</v>
      </c>
      <c r="E853" s="23" t="s">
        <v>11</v>
      </c>
      <c r="F853" s="25" t="s">
        <v>12</v>
      </c>
    </row>
    <row r="854" ht="22.5" customHeight="1" spans="1:6">
      <c r="A854" s="22">
        <v>853</v>
      </c>
      <c r="B854" s="22" t="s">
        <v>1122</v>
      </c>
      <c r="C854" s="22" t="s">
        <v>1106</v>
      </c>
      <c r="D854" s="22" t="s">
        <v>1111</v>
      </c>
      <c r="E854" s="22" t="s">
        <v>11</v>
      </c>
      <c r="F854" s="24" t="s">
        <v>12</v>
      </c>
    </row>
    <row r="855" ht="22.5" customHeight="1" spans="1:6">
      <c r="A855" s="23">
        <v>854</v>
      </c>
      <c r="B855" s="23" t="s">
        <v>1123</v>
      </c>
      <c r="C855" s="23" t="s">
        <v>1106</v>
      </c>
      <c r="D855" s="23" t="s">
        <v>1107</v>
      </c>
      <c r="E855" s="23" t="s">
        <v>11</v>
      </c>
      <c r="F855" s="25" t="s">
        <v>12</v>
      </c>
    </row>
    <row r="856" ht="22.5" customHeight="1" spans="1:6">
      <c r="A856" s="22">
        <v>855</v>
      </c>
      <c r="B856" s="22" t="s">
        <v>1124</v>
      </c>
      <c r="C856" s="22" t="s">
        <v>1106</v>
      </c>
      <c r="D856" s="22" t="s">
        <v>1107</v>
      </c>
      <c r="E856" s="22" t="s">
        <v>11</v>
      </c>
      <c r="F856" s="24" t="s">
        <v>12</v>
      </c>
    </row>
    <row r="857" ht="22.5" customHeight="1" spans="1:6">
      <c r="A857" s="23">
        <v>856</v>
      </c>
      <c r="B857" s="23" t="s">
        <v>1125</v>
      </c>
      <c r="C857" s="23" t="s">
        <v>1106</v>
      </c>
      <c r="D857" s="23" t="s">
        <v>1111</v>
      </c>
      <c r="E857" s="23" t="s">
        <v>11</v>
      </c>
      <c r="F857" s="25" t="s">
        <v>12</v>
      </c>
    </row>
    <row r="858" ht="22.5" customHeight="1" spans="1:6">
      <c r="A858" s="22">
        <v>857</v>
      </c>
      <c r="B858" s="22" t="s">
        <v>1126</v>
      </c>
      <c r="C858" s="22" t="s">
        <v>1106</v>
      </c>
      <c r="D858" s="22" t="s">
        <v>1127</v>
      </c>
      <c r="E858" s="22" t="s">
        <v>11</v>
      </c>
      <c r="F858" s="24" t="s">
        <v>12</v>
      </c>
    </row>
    <row r="859" ht="22.5" customHeight="1" spans="1:6">
      <c r="A859" s="23">
        <v>858</v>
      </c>
      <c r="B859" s="23" t="s">
        <v>1128</v>
      </c>
      <c r="C859" s="23" t="s">
        <v>1106</v>
      </c>
      <c r="D859" s="23" t="s">
        <v>1129</v>
      </c>
      <c r="E859" s="23" t="s">
        <v>11</v>
      </c>
      <c r="F859" s="25" t="s">
        <v>12</v>
      </c>
    </row>
    <row r="860" ht="22.5" customHeight="1" spans="1:6">
      <c r="A860" s="22">
        <v>859</v>
      </c>
      <c r="B860" s="22" t="s">
        <v>1130</v>
      </c>
      <c r="C860" s="22" t="s">
        <v>1106</v>
      </c>
      <c r="D860" s="22" t="s">
        <v>1131</v>
      </c>
      <c r="E860" s="22" t="s">
        <v>11</v>
      </c>
      <c r="F860" s="24" t="s">
        <v>12</v>
      </c>
    </row>
    <row r="861" ht="22.5" customHeight="1" spans="1:6">
      <c r="A861" s="23">
        <v>860</v>
      </c>
      <c r="B861" s="23" t="s">
        <v>1132</v>
      </c>
      <c r="C861" s="23" t="s">
        <v>1106</v>
      </c>
      <c r="D861" s="23" t="s">
        <v>1107</v>
      </c>
      <c r="E861" s="23" t="s">
        <v>11</v>
      </c>
      <c r="F861" s="25" t="s">
        <v>12</v>
      </c>
    </row>
    <row r="862" ht="22.5" customHeight="1" spans="1:6">
      <c r="A862" s="22">
        <v>861</v>
      </c>
      <c r="B862" s="22" t="s">
        <v>1133</v>
      </c>
      <c r="C862" s="22" t="s">
        <v>1106</v>
      </c>
      <c r="D862" s="22" t="s">
        <v>1134</v>
      </c>
      <c r="E862" s="22" t="s">
        <v>11</v>
      </c>
      <c r="F862" s="24" t="s">
        <v>12</v>
      </c>
    </row>
    <row r="863" ht="22.5" customHeight="1" spans="1:6">
      <c r="A863" s="23">
        <v>862</v>
      </c>
      <c r="B863" s="23" t="s">
        <v>1135</v>
      </c>
      <c r="C863" s="23" t="s">
        <v>1106</v>
      </c>
      <c r="D863" s="23" t="s">
        <v>1111</v>
      </c>
      <c r="E863" s="23" t="s">
        <v>11</v>
      </c>
      <c r="F863" s="25" t="s">
        <v>12</v>
      </c>
    </row>
    <row r="864" ht="22.5" customHeight="1" spans="1:6">
      <c r="A864" s="22">
        <v>863</v>
      </c>
      <c r="B864" s="22" t="s">
        <v>1136</v>
      </c>
      <c r="C864" s="22" t="s">
        <v>1106</v>
      </c>
      <c r="D864" s="22" t="s">
        <v>1111</v>
      </c>
      <c r="E864" s="22" t="s">
        <v>11</v>
      </c>
      <c r="F864" s="24" t="s">
        <v>12</v>
      </c>
    </row>
    <row r="865" ht="22.5" customHeight="1" spans="1:6">
      <c r="A865" s="23">
        <v>864</v>
      </c>
      <c r="B865" s="23" t="s">
        <v>1137</v>
      </c>
      <c r="C865" s="23" t="s">
        <v>1106</v>
      </c>
      <c r="D865" s="23" t="s">
        <v>1111</v>
      </c>
      <c r="E865" s="23" t="s">
        <v>11</v>
      </c>
      <c r="F865" s="25" t="s">
        <v>12</v>
      </c>
    </row>
    <row r="866" ht="22.5" customHeight="1" spans="1:6">
      <c r="A866" s="22">
        <v>865</v>
      </c>
      <c r="B866" s="22" t="s">
        <v>1138</v>
      </c>
      <c r="C866" s="22" t="s">
        <v>1106</v>
      </c>
      <c r="D866" s="22" t="s">
        <v>1111</v>
      </c>
      <c r="E866" s="22" t="s">
        <v>11</v>
      </c>
      <c r="F866" s="24" t="s">
        <v>12</v>
      </c>
    </row>
    <row r="867" ht="22.5" customHeight="1" spans="1:6">
      <c r="A867" s="23">
        <v>866</v>
      </c>
      <c r="B867" s="23" t="s">
        <v>1139</v>
      </c>
      <c r="C867" s="23" t="s">
        <v>1106</v>
      </c>
      <c r="D867" s="23" t="s">
        <v>1111</v>
      </c>
      <c r="E867" s="23" t="s">
        <v>11</v>
      </c>
      <c r="F867" s="25" t="s">
        <v>12</v>
      </c>
    </row>
    <row r="868" ht="22.5" customHeight="1" spans="1:6">
      <c r="A868" s="22">
        <v>867</v>
      </c>
      <c r="B868" s="22" t="s">
        <v>1140</v>
      </c>
      <c r="C868" s="22" t="s">
        <v>1106</v>
      </c>
      <c r="D868" s="22" t="s">
        <v>1111</v>
      </c>
      <c r="E868" s="22" t="s">
        <v>11</v>
      </c>
      <c r="F868" s="24" t="s">
        <v>12</v>
      </c>
    </row>
    <row r="869" ht="22.5" customHeight="1" spans="1:6">
      <c r="A869" s="23">
        <v>868</v>
      </c>
      <c r="B869" s="23" t="s">
        <v>1141</v>
      </c>
      <c r="C869" s="23" t="s">
        <v>1106</v>
      </c>
      <c r="D869" s="23" t="s">
        <v>1142</v>
      </c>
      <c r="E869" s="23" t="s">
        <v>11</v>
      </c>
      <c r="F869" s="25" t="s">
        <v>12</v>
      </c>
    </row>
    <row r="870" ht="22.5" customHeight="1" spans="1:6">
      <c r="A870" s="22">
        <v>869</v>
      </c>
      <c r="B870" s="22" t="s">
        <v>1143</v>
      </c>
      <c r="C870" s="22" t="s">
        <v>1106</v>
      </c>
      <c r="D870" s="22" t="s">
        <v>1144</v>
      </c>
      <c r="E870" s="22" t="s">
        <v>11</v>
      </c>
      <c r="F870" s="24" t="s">
        <v>12</v>
      </c>
    </row>
    <row r="871" ht="22.5" customHeight="1" spans="1:6">
      <c r="A871" s="23">
        <v>870</v>
      </c>
      <c r="B871" s="23" t="s">
        <v>1145</v>
      </c>
      <c r="C871" s="23" t="s">
        <v>1106</v>
      </c>
      <c r="D871" s="23" t="s">
        <v>1146</v>
      </c>
      <c r="E871" s="23" t="s">
        <v>11</v>
      </c>
      <c r="F871" s="25" t="s">
        <v>12</v>
      </c>
    </row>
    <row r="872" ht="22.5" customHeight="1" spans="1:6">
      <c r="A872" s="22">
        <v>871</v>
      </c>
      <c r="B872" s="22" t="s">
        <v>1147</v>
      </c>
      <c r="C872" s="22" t="s">
        <v>1106</v>
      </c>
      <c r="D872" s="22" t="s">
        <v>1111</v>
      </c>
      <c r="E872" s="22" t="s">
        <v>11</v>
      </c>
      <c r="F872" s="24" t="s">
        <v>12</v>
      </c>
    </row>
    <row r="873" ht="22.5" customHeight="1" spans="1:6">
      <c r="A873" s="23">
        <v>872</v>
      </c>
      <c r="B873" s="23" t="s">
        <v>1148</v>
      </c>
      <c r="C873" s="23" t="s">
        <v>1106</v>
      </c>
      <c r="D873" s="23" t="s">
        <v>1111</v>
      </c>
      <c r="E873" s="23" t="s">
        <v>11</v>
      </c>
      <c r="F873" s="25" t="s">
        <v>12</v>
      </c>
    </row>
    <row r="874" ht="22.5" customHeight="1" spans="1:6">
      <c r="A874" s="22">
        <v>873</v>
      </c>
      <c r="B874" s="22" t="s">
        <v>1149</v>
      </c>
      <c r="C874" s="22" t="s">
        <v>1106</v>
      </c>
      <c r="D874" s="22" t="s">
        <v>1111</v>
      </c>
      <c r="E874" s="22" t="s">
        <v>11</v>
      </c>
      <c r="F874" s="24" t="s">
        <v>12</v>
      </c>
    </row>
    <row r="875" ht="22.5" customHeight="1" spans="1:6">
      <c r="A875" s="23">
        <v>874</v>
      </c>
      <c r="B875" s="23" t="s">
        <v>1150</v>
      </c>
      <c r="C875" s="23" t="s">
        <v>1106</v>
      </c>
      <c r="D875" s="23" t="s">
        <v>1111</v>
      </c>
      <c r="E875" s="23" t="s">
        <v>11</v>
      </c>
      <c r="F875" s="25" t="s">
        <v>12</v>
      </c>
    </row>
    <row r="876" ht="22.5" customHeight="1" spans="1:6">
      <c r="A876" s="22">
        <v>875</v>
      </c>
      <c r="B876" s="22" t="s">
        <v>1151</v>
      </c>
      <c r="C876" s="22" t="s">
        <v>1106</v>
      </c>
      <c r="D876" s="22" t="s">
        <v>1111</v>
      </c>
      <c r="E876" s="22" t="s">
        <v>11</v>
      </c>
      <c r="F876" s="24" t="s">
        <v>12</v>
      </c>
    </row>
    <row r="877" ht="22.5" customHeight="1" spans="1:6">
      <c r="A877" s="23">
        <v>876</v>
      </c>
      <c r="B877" s="23" t="s">
        <v>1152</v>
      </c>
      <c r="C877" s="23" t="s">
        <v>1106</v>
      </c>
      <c r="D877" s="23" t="s">
        <v>1107</v>
      </c>
      <c r="E877" s="23" t="s">
        <v>11</v>
      </c>
      <c r="F877" s="25" t="s">
        <v>12</v>
      </c>
    </row>
    <row r="878" ht="22.5" customHeight="1" spans="1:6">
      <c r="A878" s="22">
        <v>877</v>
      </c>
      <c r="B878" s="22" t="s">
        <v>1153</v>
      </c>
      <c r="C878" s="22" t="s">
        <v>1106</v>
      </c>
      <c r="D878" s="22" t="s">
        <v>1107</v>
      </c>
      <c r="E878" s="22" t="s">
        <v>11</v>
      </c>
      <c r="F878" s="24" t="s">
        <v>12</v>
      </c>
    </row>
    <row r="879" ht="22.5" customHeight="1" spans="1:6">
      <c r="A879" s="23">
        <v>878</v>
      </c>
      <c r="B879" s="23" t="s">
        <v>1154</v>
      </c>
      <c r="C879" s="23" t="s">
        <v>1106</v>
      </c>
      <c r="D879" s="23" t="s">
        <v>1111</v>
      </c>
      <c r="E879" s="23" t="s">
        <v>11</v>
      </c>
      <c r="F879" s="25" t="s">
        <v>12</v>
      </c>
    </row>
    <row r="880" ht="22.5" customHeight="1" spans="1:6">
      <c r="A880" s="22">
        <v>879</v>
      </c>
      <c r="B880" s="22" t="s">
        <v>1155</v>
      </c>
      <c r="C880" s="22" t="s">
        <v>1156</v>
      </c>
      <c r="D880" s="22" t="s">
        <v>1157</v>
      </c>
      <c r="E880" s="22" t="s">
        <v>11</v>
      </c>
      <c r="F880" s="24" t="s">
        <v>12</v>
      </c>
    </row>
    <row r="881" ht="22.5" customHeight="1" spans="1:6">
      <c r="A881" s="23">
        <v>880</v>
      </c>
      <c r="B881" s="23" t="s">
        <v>1158</v>
      </c>
      <c r="C881" s="23" t="s">
        <v>1156</v>
      </c>
      <c r="D881" s="23" t="s">
        <v>1157</v>
      </c>
      <c r="E881" s="23" t="s">
        <v>11</v>
      </c>
      <c r="F881" s="25" t="s">
        <v>12</v>
      </c>
    </row>
    <row r="882" ht="22.5" customHeight="1" spans="1:6">
      <c r="A882" s="22">
        <v>881</v>
      </c>
      <c r="B882" s="22" t="s">
        <v>1159</v>
      </c>
      <c r="C882" s="22" t="s">
        <v>1156</v>
      </c>
      <c r="D882" s="22" t="s">
        <v>1157</v>
      </c>
      <c r="E882" s="22" t="s">
        <v>11</v>
      </c>
      <c r="F882" s="24" t="s">
        <v>12</v>
      </c>
    </row>
    <row r="883" ht="22.5" customHeight="1" spans="1:6">
      <c r="A883" s="23">
        <v>882</v>
      </c>
      <c r="B883" s="23" t="s">
        <v>1160</v>
      </c>
      <c r="C883" s="23" t="s">
        <v>1156</v>
      </c>
      <c r="D883" s="23" t="s">
        <v>1157</v>
      </c>
      <c r="E883" s="23" t="s">
        <v>11</v>
      </c>
      <c r="F883" s="25" t="s">
        <v>12</v>
      </c>
    </row>
    <row r="884" ht="22.5" customHeight="1" spans="1:6">
      <c r="A884" s="22">
        <v>883</v>
      </c>
      <c r="B884" s="22" t="s">
        <v>1161</v>
      </c>
      <c r="C884" s="22" t="s">
        <v>1156</v>
      </c>
      <c r="D884" s="22" t="s">
        <v>1157</v>
      </c>
      <c r="E884" s="22" t="s">
        <v>11</v>
      </c>
      <c r="F884" s="24" t="s">
        <v>12</v>
      </c>
    </row>
    <row r="885" ht="22.5" customHeight="1" spans="1:6">
      <c r="A885" s="23">
        <v>884</v>
      </c>
      <c r="B885" s="23" t="s">
        <v>1162</v>
      </c>
      <c r="C885" s="23" t="s">
        <v>1156</v>
      </c>
      <c r="D885" s="23" t="s">
        <v>1157</v>
      </c>
      <c r="E885" s="23" t="s">
        <v>11</v>
      </c>
      <c r="F885" s="25" t="s">
        <v>12</v>
      </c>
    </row>
    <row r="886" ht="22.5" customHeight="1" spans="1:6">
      <c r="A886" s="22">
        <v>885</v>
      </c>
      <c r="B886" s="22" t="s">
        <v>1163</v>
      </c>
      <c r="C886" s="22" t="s">
        <v>1156</v>
      </c>
      <c r="D886" s="22" t="s">
        <v>1157</v>
      </c>
      <c r="E886" s="22" t="s">
        <v>11</v>
      </c>
      <c r="F886" s="24" t="s">
        <v>12</v>
      </c>
    </row>
    <row r="887" ht="22.5" customHeight="1" spans="1:6">
      <c r="A887" s="23">
        <v>886</v>
      </c>
      <c r="B887" s="23" t="s">
        <v>1164</v>
      </c>
      <c r="C887" s="23" t="s">
        <v>1156</v>
      </c>
      <c r="D887" s="23" t="s">
        <v>1165</v>
      </c>
      <c r="E887" s="23" t="s">
        <v>11</v>
      </c>
      <c r="F887" s="25" t="s">
        <v>12</v>
      </c>
    </row>
    <row r="888" ht="22.5" customHeight="1" spans="1:6">
      <c r="A888" s="22">
        <v>887</v>
      </c>
      <c r="B888" s="22" t="s">
        <v>1166</v>
      </c>
      <c r="C888" s="22" t="s">
        <v>1156</v>
      </c>
      <c r="D888" s="22" t="s">
        <v>1167</v>
      </c>
      <c r="E888" s="22" t="s">
        <v>11</v>
      </c>
      <c r="F888" s="24" t="s">
        <v>12</v>
      </c>
    </row>
    <row r="889" ht="22.5" customHeight="1" spans="1:6">
      <c r="A889" s="23">
        <v>888</v>
      </c>
      <c r="B889" s="23" t="s">
        <v>1168</v>
      </c>
      <c r="C889" s="23" t="s">
        <v>1156</v>
      </c>
      <c r="D889" s="23" t="s">
        <v>1169</v>
      </c>
      <c r="E889" s="23" t="s">
        <v>11</v>
      </c>
      <c r="F889" s="25" t="s">
        <v>12</v>
      </c>
    </row>
    <row r="890" ht="22.5" customHeight="1" spans="1:6">
      <c r="A890" s="22">
        <v>889</v>
      </c>
      <c r="B890" s="22" t="s">
        <v>1170</v>
      </c>
      <c r="C890" s="22" t="s">
        <v>1156</v>
      </c>
      <c r="D890" s="22" t="s">
        <v>1157</v>
      </c>
      <c r="E890" s="22" t="s">
        <v>11</v>
      </c>
      <c r="F890" s="24" t="s">
        <v>12</v>
      </c>
    </row>
    <row r="891" ht="22.5" customHeight="1" spans="1:6">
      <c r="A891" s="23">
        <v>890</v>
      </c>
      <c r="B891" s="23" t="s">
        <v>1171</v>
      </c>
      <c r="C891" s="23" t="s">
        <v>1156</v>
      </c>
      <c r="D891" s="23" t="s">
        <v>1157</v>
      </c>
      <c r="E891" s="23" t="s">
        <v>11</v>
      </c>
      <c r="F891" s="25" t="s">
        <v>12</v>
      </c>
    </row>
    <row r="892" ht="22.5" customHeight="1" spans="1:6">
      <c r="A892" s="22">
        <v>891</v>
      </c>
      <c r="B892" s="22" t="s">
        <v>1172</v>
      </c>
      <c r="C892" s="22" t="s">
        <v>1156</v>
      </c>
      <c r="D892" s="22" t="s">
        <v>1157</v>
      </c>
      <c r="E892" s="22" t="s">
        <v>11</v>
      </c>
      <c r="F892" s="24" t="s">
        <v>12</v>
      </c>
    </row>
    <row r="893" ht="22.5" customHeight="1" spans="1:6">
      <c r="A893" s="23">
        <v>892</v>
      </c>
      <c r="B893" s="23" t="s">
        <v>1173</v>
      </c>
      <c r="C893" s="23" t="s">
        <v>1156</v>
      </c>
      <c r="D893" s="23" t="s">
        <v>1174</v>
      </c>
      <c r="E893" s="23" t="s">
        <v>11</v>
      </c>
      <c r="F893" s="25" t="s">
        <v>12</v>
      </c>
    </row>
    <row r="894" ht="22.5" customHeight="1" spans="1:6">
      <c r="A894" s="22">
        <v>893</v>
      </c>
      <c r="B894" s="22" t="s">
        <v>1175</v>
      </c>
      <c r="C894" s="22" t="s">
        <v>1156</v>
      </c>
      <c r="D894" s="22" t="s">
        <v>1157</v>
      </c>
      <c r="E894" s="22" t="s">
        <v>11</v>
      </c>
      <c r="F894" s="24" t="s">
        <v>12</v>
      </c>
    </row>
    <row r="895" ht="22.5" customHeight="1" spans="1:6">
      <c r="A895" s="23">
        <v>894</v>
      </c>
      <c r="B895" s="23" t="s">
        <v>1176</v>
      </c>
      <c r="C895" s="23" t="s">
        <v>1156</v>
      </c>
      <c r="D895" s="23" t="s">
        <v>1177</v>
      </c>
      <c r="E895" s="23" t="s">
        <v>11</v>
      </c>
      <c r="F895" s="25" t="s">
        <v>12</v>
      </c>
    </row>
    <row r="896" ht="22.5" customHeight="1" spans="1:6">
      <c r="A896" s="22">
        <v>895</v>
      </c>
      <c r="B896" s="22" t="s">
        <v>1178</v>
      </c>
      <c r="C896" s="22" t="s">
        <v>1156</v>
      </c>
      <c r="D896" s="22" t="s">
        <v>1157</v>
      </c>
      <c r="E896" s="22" t="s">
        <v>11</v>
      </c>
      <c r="F896" s="24" t="s">
        <v>12</v>
      </c>
    </row>
    <row r="897" ht="22.5" customHeight="1" spans="1:6">
      <c r="A897" s="23">
        <v>896</v>
      </c>
      <c r="B897" s="23" t="s">
        <v>1179</v>
      </c>
      <c r="C897" s="23" t="s">
        <v>1156</v>
      </c>
      <c r="D897" s="23" t="s">
        <v>1157</v>
      </c>
      <c r="E897" s="23" t="s">
        <v>11</v>
      </c>
      <c r="F897" s="25" t="s">
        <v>12</v>
      </c>
    </row>
    <row r="898" ht="22.5" customHeight="1" spans="1:6">
      <c r="A898" s="22">
        <v>897</v>
      </c>
      <c r="B898" s="22" t="s">
        <v>1180</v>
      </c>
      <c r="C898" s="22" t="s">
        <v>1156</v>
      </c>
      <c r="D898" s="22" t="s">
        <v>1157</v>
      </c>
      <c r="E898" s="22" t="s">
        <v>11</v>
      </c>
      <c r="F898" s="24" t="s">
        <v>12</v>
      </c>
    </row>
    <row r="899" ht="22.5" customHeight="1" spans="1:6">
      <c r="A899" s="23">
        <v>898</v>
      </c>
      <c r="B899" s="23" t="s">
        <v>1181</v>
      </c>
      <c r="C899" s="23" t="s">
        <v>1156</v>
      </c>
      <c r="D899" s="23" t="s">
        <v>1182</v>
      </c>
      <c r="E899" s="23" t="s">
        <v>11</v>
      </c>
      <c r="F899" s="25" t="s">
        <v>12</v>
      </c>
    </row>
    <row r="900" ht="22.5" customHeight="1" spans="1:6">
      <c r="A900" s="22">
        <v>899</v>
      </c>
      <c r="B900" s="22" t="s">
        <v>1183</v>
      </c>
      <c r="C900" s="22" t="s">
        <v>1156</v>
      </c>
      <c r="D900" s="22" t="s">
        <v>1184</v>
      </c>
      <c r="E900" s="22" t="s">
        <v>11</v>
      </c>
      <c r="F900" s="24" t="s">
        <v>12</v>
      </c>
    </row>
    <row r="901" ht="22.5" customHeight="1" spans="1:6">
      <c r="A901" s="23">
        <v>900</v>
      </c>
      <c r="B901" s="23" t="s">
        <v>1185</v>
      </c>
      <c r="C901" s="23" t="s">
        <v>1156</v>
      </c>
      <c r="D901" s="23" t="s">
        <v>1157</v>
      </c>
      <c r="E901" s="23" t="s">
        <v>11</v>
      </c>
      <c r="F901" s="25" t="s">
        <v>12</v>
      </c>
    </row>
    <row r="902" ht="22.5" customHeight="1" spans="1:6">
      <c r="A902" s="22">
        <v>901</v>
      </c>
      <c r="B902" s="22" t="s">
        <v>1186</v>
      </c>
      <c r="C902" s="22" t="s">
        <v>1156</v>
      </c>
      <c r="D902" s="22" t="s">
        <v>1167</v>
      </c>
      <c r="E902" s="22" t="s">
        <v>11</v>
      </c>
      <c r="F902" s="24" t="s">
        <v>12</v>
      </c>
    </row>
    <row r="903" ht="22.5" customHeight="1" spans="1:6">
      <c r="A903" s="23">
        <v>902</v>
      </c>
      <c r="B903" s="23" t="s">
        <v>1187</v>
      </c>
      <c r="C903" s="23" t="s">
        <v>1156</v>
      </c>
      <c r="D903" s="23" t="s">
        <v>1167</v>
      </c>
      <c r="E903" s="23" t="s">
        <v>11</v>
      </c>
      <c r="F903" s="25" t="s">
        <v>12</v>
      </c>
    </row>
    <row r="904" ht="22.5" customHeight="1" spans="1:6">
      <c r="A904" s="22">
        <v>903</v>
      </c>
      <c r="B904" s="22" t="s">
        <v>1188</v>
      </c>
      <c r="C904" s="22" t="s">
        <v>1156</v>
      </c>
      <c r="D904" s="22" t="s">
        <v>1189</v>
      </c>
      <c r="E904" s="22" t="s">
        <v>11</v>
      </c>
      <c r="F904" s="24" t="s">
        <v>12</v>
      </c>
    </row>
    <row r="905" ht="22.5" customHeight="1" spans="1:6">
      <c r="A905" s="23">
        <v>904</v>
      </c>
      <c r="B905" s="23" t="s">
        <v>1190</v>
      </c>
      <c r="C905" s="23" t="s">
        <v>1191</v>
      </c>
      <c r="D905" s="23" t="s">
        <v>1192</v>
      </c>
      <c r="E905" s="23" t="s">
        <v>11</v>
      </c>
      <c r="F905" s="25" t="s">
        <v>12</v>
      </c>
    </row>
    <row r="906" ht="22.5" customHeight="1" spans="1:6">
      <c r="A906" s="22">
        <v>905</v>
      </c>
      <c r="B906" s="22" t="s">
        <v>1193</v>
      </c>
      <c r="C906" s="22" t="s">
        <v>1191</v>
      </c>
      <c r="D906" s="22" t="s">
        <v>1192</v>
      </c>
      <c r="E906" s="22" t="s">
        <v>11</v>
      </c>
      <c r="F906" s="24" t="s">
        <v>12</v>
      </c>
    </row>
    <row r="907" ht="22.5" customHeight="1" spans="1:6">
      <c r="A907" s="23">
        <v>906</v>
      </c>
      <c r="B907" s="23" t="s">
        <v>1194</v>
      </c>
      <c r="C907" s="23" t="s">
        <v>1191</v>
      </c>
      <c r="D907" s="23" t="s">
        <v>1192</v>
      </c>
      <c r="E907" s="23" t="s">
        <v>11</v>
      </c>
      <c r="F907" s="25" t="s">
        <v>12</v>
      </c>
    </row>
    <row r="908" ht="22.5" customHeight="1" spans="1:6">
      <c r="A908" s="22">
        <v>907</v>
      </c>
      <c r="B908" s="22" t="s">
        <v>1195</v>
      </c>
      <c r="C908" s="22" t="s">
        <v>1191</v>
      </c>
      <c r="D908" s="22" t="s">
        <v>1192</v>
      </c>
      <c r="E908" s="22" t="s">
        <v>11</v>
      </c>
      <c r="F908" s="24" t="s">
        <v>12</v>
      </c>
    </row>
    <row r="909" ht="22.5" customHeight="1" spans="1:6">
      <c r="A909" s="23">
        <v>908</v>
      </c>
      <c r="B909" s="23" t="s">
        <v>1196</v>
      </c>
      <c r="C909" s="23" t="s">
        <v>1197</v>
      </c>
      <c r="D909" s="23" t="s">
        <v>1198</v>
      </c>
      <c r="E909" s="23" t="s">
        <v>11</v>
      </c>
      <c r="F909" s="25" t="s">
        <v>12</v>
      </c>
    </row>
    <row r="910" ht="22.5" customHeight="1" spans="1:6">
      <c r="A910" s="22">
        <v>909</v>
      </c>
      <c r="B910" s="22" t="s">
        <v>1199</v>
      </c>
      <c r="C910" s="22" t="s">
        <v>1197</v>
      </c>
      <c r="D910" s="22" t="s">
        <v>1198</v>
      </c>
      <c r="E910" s="22" t="s">
        <v>11</v>
      </c>
      <c r="F910" s="24" t="s">
        <v>12</v>
      </c>
    </row>
    <row r="911" ht="22.5" customHeight="1" spans="1:6">
      <c r="A911" s="23">
        <v>910</v>
      </c>
      <c r="B911" s="23" t="s">
        <v>1200</v>
      </c>
      <c r="C911" s="23" t="s">
        <v>1197</v>
      </c>
      <c r="D911" s="23" t="s">
        <v>1201</v>
      </c>
      <c r="E911" s="23" t="s">
        <v>11</v>
      </c>
      <c r="F911" s="25" t="s">
        <v>12</v>
      </c>
    </row>
    <row r="912" ht="22.5" customHeight="1" spans="1:6">
      <c r="A912" s="22">
        <v>911</v>
      </c>
      <c r="B912" s="22" t="s">
        <v>1202</v>
      </c>
      <c r="C912" s="22" t="s">
        <v>1197</v>
      </c>
      <c r="D912" s="22" t="s">
        <v>1198</v>
      </c>
      <c r="E912" s="22" t="s">
        <v>11</v>
      </c>
      <c r="F912" s="24" t="s">
        <v>12</v>
      </c>
    </row>
    <row r="913" ht="22.5" customHeight="1" spans="1:6">
      <c r="A913" s="23">
        <v>912</v>
      </c>
      <c r="B913" s="23" t="s">
        <v>1203</v>
      </c>
      <c r="C913" s="23" t="s">
        <v>1197</v>
      </c>
      <c r="D913" s="23" t="s">
        <v>1198</v>
      </c>
      <c r="E913" s="23" t="s">
        <v>11</v>
      </c>
      <c r="F913" s="25" t="s">
        <v>12</v>
      </c>
    </row>
    <row r="914" ht="22.5" customHeight="1" spans="1:6">
      <c r="A914" s="22">
        <v>913</v>
      </c>
      <c r="B914" s="22" t="s">
        <v>1204</v>
      </c>
      <c r="C914" s="22" t="s">
        <v>1197</v>
      </c>
      <c r="D914" s="22" t="s">
        <v>1198</v>
      </c>
      <c r="E914" s="22" t="s">
        <v>11</v>
      </c>
      <c r="F914" s="24" t="s">
        <v>12</v>
      </c>
    </row>
    <row r="915" ht="22.5" customHeight="1" spans="1:6">
      <c r="A915" s="23">
        <v>914</v>
      </c>
      <c r="B915" s="23" t="s">
        <v>1205</v>
      </c>
      <c r="C915" s="23" t="s">
        <v>1206</v>
      </c>
      <c r="D915" s="23" t="s">
        <v>1207</v>
      </c>
      <c r="E915" s="23" t="s">
        <v>11</v>
      </c>
      <c r="F915" s="25" t="s">
        <v>12</v>
      </c>
    </row>
    <row r="916" ht="22.5" customHeight="1" spans="1:6">
      <c r="A916" s="22">
        <v>915</v>
      </c>
      <c r="B916" s="22" t="s">
        <v>1208</v>
      </c>
      <c r="C916" s="22" t="s">
        <v>1206</v>
      </c>
      <c r="D916" s="22" t="s">
        <v>1209</v>
      </c>
      <c r="E916" s="22" t="s">
        <v>11</v>
      </c>
      <c r="F916" s="24" t="s">
        <v>12</v>
      </c>
    </row>
    <row r="917" ht="22.5" customHeight="1" spans="1:6">
      <c r="A917" s="23">
        <v>916</v>
      </c>
      <c r="B917" s="23" t="s">
        <v>1210</v>
      </c>
      <c r="C917" s="23" t="s">
        <v>1206</v>
      </c>
      <c r="D917" s="23" t="s">
        <v>1207</v>
      </c>
      <c r="E917" s="23" t="s">
        <v>11</v>
      </c>
      <c r="F917" s="25" t="s">
        <v>12</v>
      </c>
    </row>
    <row r="918" ht="22.5" customHeight="1" spans="1:6">
      <c r="A918" s="22">
        <v>917</v>
      </c>
      <c r="B918" s="22" t="s">
        <v>1211</v>
      </c>
      <c r="C918" s="22" t="s">
        <v>1206</v>
      </c>
      <c r="D918" s="22" t="s">
        <v>1212</v>
      </c>
      <c r="E918" s="22" t="s">
        <v>11</v>
      </c>
      <c r="F918" s="24" t="s">
        <v>12</v>
      </c>
    </row>
    <row r="919" ht="22.5" customHeight="1" spans="1:6">
      <c r="A919" s="23">
        <v>918</v>
      </c>
      <c r="B919" s="23" t="s">
        <v>1213</v>
      </c>
      <c r="C919" s="23" t="s">
        <v>1206</v>
      </c>
      <c r="D919" s="23" t="s">
        <v>1207</v>
      </c>
      <c r="E919" s="23" t="s">
        <v>11</v>
      </c>
      <c r="F919" s="25" t="s">
        <v>12</v>
      </c>
    </row>
    <row r="920" ht="22.5" customHeight="1" spans="1:6">
      <c r="A920" s="22">
        <v>919</v>
      </c>
      <c r="B920" s="22" t="s">
        <v>1214</v>
      </c>
      <c r="C920" s="22" t="s">
        <v>1206</v>
      </c>
      <c r="D920" s="22" t="s">
        <v>1207</v>
      </c>
      <c r="E920" s="22" t="s">
        <v>11</v>
      </c>
      <c r="F920" s="24" t="s">
        <v>12</v>
      </c>
    </row>
    <row r="921" ht="22.5" customHeight="1" spans="1:6">
      <c r="A921" s="23">
        <v>920</v>
      </c>
      <c r="B921" s="23" t="s">
        <v>1215</v>
      </c>
      <c r="C921" s="23" t="s">
        <v>1206</v>
      </c>
      <c r="D921" s="23" t="s">
        <v>1216</v>
      </c>
      <c r="E921" s="23" t="s">
        <v>11</v>
      </c>
      <c r="F921" s="25" t="s">
        <v>12</v>
      </c>
    </row>
    <row r="922" ht="22.5" customHeight="1" spans="1:6">
      <c r="A922" s="22">
        <v>921</v>
      </c>
      <c r="B922" s="22" t="s">
        <v>1217</v>
      </c>
      <c r="C922" s="22" t="s">
        <v>1206</v>
      </c>
      <c r="D922" s="22" t="s">
        <v>1218</v>
      </c>
      <c r="E922" s="22" t="s">
        <v>11</v>
      </c>
      <c r="F922" s="24" t="s">
        <v>12</v>
      </c>
    </row>
    <row r="923" ht="22.5" customHeight="1" spans="1:6">
      <c r="A923" s="23">
        <v>922</v>
      </c>
      <c r="B923" s="23" t="s">
        <v>1219</v>
      </c>
      <c r="C923" s="23" t="s">
        <v>1206</v>
      </c>
      <c r="D923" s="23" t="s">
        <v>1207</v>
      </c>
      <c r="E923" s="23" t="s">
        <v>11</v>
      </c>
      <c r="F923" s="25" t="s">
        <v>12</v>
      </c>
    </row>
    <row r="924" ht="22.5" customHeight="1" spans="1:6">
      <c r="A924" s="22">
        <v>923</v>
      </c>
      <c r="B924" s="22" t="s">
        <v>1220</v>
      </c>
      <c r="C924" s="22" t="s">
        <v>1206</v>
      </c>
      <c r="D924" s="22" t="s">
        <v>1207</v>
      </c>
      <c r="E924" s="22" t="s">
        <v>11</v>
      </c>
      <c r="F924" s="24" t="s">
        <v>12</v>
      </c>
    </row>
    <row r="925" ht="22.5" customHeight="1" spans="1:6">
      <c r="A925" s="23">
        <v>924</v>
      </c>
      <c r="B925" s="23" t="s">
        <v>1221</v>
      </c>
      <c r="C925" s="23" t="s">
        <v>1206</v>
      </c>
      <c r="D925" s="23" t="s">
        <v>1207</v>
      </c>
      <c r="E925" s="23" t="s">
        <v>11</v>
      </c>
      <c r="F925" s="25" t="s">
        <v>12</v>
      </c>
    </row>
    <row r="926" ht="22.5" customHeight="1" spans="1:6">
      <c r="A926" s="22">
        <v>925</v>
      </c>
      <c r="B926" s="22" t="s">
        <v>1222</v>
      </c>
      <c r="C926" s="22" t="s">
        <v>1206</v>
      </c>
      <c r="D926" s="22" t="s">
        <v>1223</v>
      </c>
      <c r="E926" s="22" t="s">
        <v>11</v>
      </c>
      <c r="F926" s="24" t="s">
        <v>12</v>
      </c>
    </row>
    <row r="927" ht="22.5" customHeight="1" spans="1:6">
      <c r="A927" s="23">
        <v>926</v>
      </c>
      <c r="B927" s="23" t="s">
        <v>1224</v>
      </c>
      <c r="C927" s="23" t="s">
        <v>1206</v>
      </c>
      <c r="D927" s="23" t="s">
        <v>1207</v>
      </c>
      <c r="E927" s="23" t="s">
        <v>11</v>
      </c>
      <c r="F927" s="25" t="s">
        <v>12</v>
      </c>
    </row>
    <row r="928" ht="22.5" customHeight="1" spans="1:6">
      <c r="A928" s="22">
        <v>927</v>
      </c>
      <c r="B928" s="22" t="s">
        <v>1225</v>
      </c>
      <c r="C928" s="22" t="s">
        <v>1206</v>
      </c>
      <c r="D928" s="22" t="s">
        <v>1226</v>
      </c>
      <c r="E928" s="22" t="s">
        <v>11</v>
      </c>
      <c r="F928" s="24" t="s">
        <v>12</v>
      </c>
    </row>
    <row r="929" ht="22.5" customHeight="1" spans="1:6">
      <c r="A929" s="23">
        <v>928</v>
      </c>
      <c r="B929" s="23" t="s">
        <v>1227</v>
      </c>
      <c r="C929" s="23" t="s">
        <v>1206</v>
      </c>
      <c r="D929" s="23" t="s">
        <v>1228</v>
      </c>
      <c r="E929" s="23" t="s">
        <v>11</v>
      </c>
      <c r="F929" s="25" t="s">
        <v>12</v>
      </c>
    </row>
    <row r="930" ht="22.5" customHeight="1" spans="1:6">
      <c r="A930" s="22">
        <v>929</v>
      </c>
      <c r="B930" s="22" t="s">
        <v>1229</v>
      </c>
      <c r="C930" s="22" t="s">
        <v>1206</v>
      </c>
      <c r="D930" s="22" t="s">
        <v>1230</v>
      </c>
      <c r="E930" s="22" t="s">
        <v>11</v>
      </c>
      <c r="F930" s="24" t="s">
        <v>12</v>
      </c>
    </row>
    <row r="931" ht="22.5" customHeight="1" spans="1:6">
      <c r="A931" s="23">
        <v>930</v>
      </c>
      <c r="B931" s="23" t="s">
        <v>1231</v>
      </c>
      <c r="C931" s="23" t="s">
        <v>1206</v>
      </c>
      <c r="D931" s="23" t="s">
        <v>1232</v>
      </c>
      <c r="E931" s="23" t="s">
        <v>11</v>
      </c>
      <c r="F931" s="25" t="s">
        <v>12</v>
      </c>
    </row>
    <row r="932" ht="22.5" customHeight="1" spans="1:6">
      <c r="A932" s="22">
        <v>931</v>
      </c>
      <c r="B932" s="22" t="s">
        <v>1233</v>
      </c>
      <c r="C932" s="22" t="s">
        <v>1206</v>
      </c>
      <c r="D932" s="22" t="s">
        <v>1234</v>
      </c>
      <c r="E932" s="22" t="s">
        <v>11</v>
      </c>
      <c r="F932" s="24" t="s">
        <v>12</v>
      </c>
    </row>
    <row r="933" ht="22.5" customHeight="1" spans="1:6">
      <c r="A933" s="23">
        <v>932</v>
      </c>
      <c r="B933" s="23" t="s">
        <v>1235</v>
      </c>
      <c r="C933" s="23" t="s">
        <v>1206</v>
      </c>
      <c r="D933" s="23" t="s">
        <v>1223</v>
      </c>
      <c r="E933" s="23" t="s">
        <v>11</v>
      </c>
      <c r="F933" s="25" t="s">
        <v>12</v>
      </c>
    </row>
    <row r="934" ht="22.5" customHeight="1" spans="1:6">
      <c r="A934" s="22">
        <v>933</v>
      </c>
      <c r="B934" s="22" t="s">
        <v>1236</v>
      </c>
      <c r="C934" s="22" t="s">
        <v>1206</v>
      </c>
      <c r="D934" s="22" t="s">
        <v>1207</v>
      </c>
      <c r="E934" s="22" t="s">
        <v>11</v>
      </c>
      <c r="F934" s="24" t="s">
        <v>12</v>
      </c>
    </row>
    <row r="935" ht="22.5" customHeight="1" spans="1:6">
      <c r="A935" s="23">
        <v>934</v>
      </c>
      <c r="B935" s="23" t="s">
        <v>1237</v>
      </c>
      <c r="C935" s="23" t="s">
        <v>1206</v>
      </c>
      <c r="D935" s="23" t="s">
        <v>1207</v>
      </c>
      <c r="E935" s="23" t="s">
        <v>11</v>
      </c>
      <c r="F935" s="25" t="s">
        <v>12</v>
      </c>
    </row>
    <row r="936" ht="22.5" customHeight="1" spans="1:6">
      <c r="A936" s="22">
        <v>935</v>
      </c>
      <c r="B936" s="22" t="s">
        <v>1238</v>
      </c>
      <c r="C936" s="22" t="s">
        <v>1106</v>
      </c>
      <c r="D936" s="22" t="s">
        <v>1111</v>
      </c>
      <c r="E936" s="22" t="s">
        <v>11</v>
      </c>
      <c r="F936" s="24" t="s">
        <v>12</v>
      </c>
    </row>
    <row r="937" ht="22.5" customHeight="1" spans="1:6">
      <c r="A937" s="23">
        <v>936</v>
      </c>
      <c r="B937" s="23" t="s">
        <v>1239</v>
      </c>
      <c r="C937" s="23" t="s">
        <v>951</v>
      </c>
      <c r="D937" s="23" t="s">
        <v>951</v>
      </c>
      <c r="E937" s="23" t="s">
        <v>11</v>
      </c>
      <c r="F937" s="25" t="s">
        <v>12</v>
      </c>
    </row>
    <row r="938" ht="22.5" customHeight="1" spans="1:6">
      <c r="A938" s="22">
        <v>937</v>
      </c>
      <c r="B938" s="22" t="s">
        <v>1240</v>
      </c>
      <c r="C938" s="22" t="s">
        <v>502</v>
      </c>
      <c r="D938" s="22" t="s">
        <v>503</v>
      </c>
      <c r="E938" s="22" t="s">
        <v>11</v>
      </c>
      <c r="F938" s="24" t="s">
        <v>12</v>
      </c>
    </row>
    <row r="939" ht="22.5" customHeight="1" spans="1:6">
      <c r="A939" s="23">
        <v>938</v>
      </c>
      <c r="B939" s="23" t="s">
        <v>1241</v>
      </c>
      <c r="C939" s="23" t="s">
        <v>628</v>
      </c>
      <c r="D939" s="23" t="s">
        <v>631</v>
      </c>
      <c r="E939" s="23" t="s">
        <v>11</v>
      </c>
      <c r="F939" s="25" t="s">
        <v>12</v>
      </c>
    </row>
    <row r="940" ht="22.5" customHeight="1" spans="1:6">
      <c r="A940" s="22">
        <v>939</v>
      </c>
      <c r="B940" s="22" t="s">
        <v>1242</v>
      </c>
      <c r="C940" s="22" t="s">
        <v>692</v>
      </c>
      <c r="D940" s="22" t="s">
        <v>693</v>
      </c>
      <c r="E940" s="22" t="s">
        <v>11</v>
      </c>
      <c r="F940" s="24" t="s">
        <v>12</v>
      </c>
    </row>
    <row r="941" ht="22.5" customHeight="1" spans="1:6">
      <c r="A941" s="23">
        <v>940</v>
      </c>
      <c r="B941" s="23" t="s">
        <v>1243</v>
      </c>
      <c r="C941" s="23" t="s">
        <v>844</v>
      </c>
      <c r="D941" s="23" t="s">
        <v>874</v>
      </c>
      <c r="E941" s="23" t="s">
        <v>11</v>
      </c>
      <c r="F941" s="25" t="s">
        <v>12</v>
      </c>
    </row>
    <row r="942" ht="22.5" customHeight="1" spans="1:6">
      <c r="A942" s="22">
        <v>941</v>
      </c>
      <c r="B942" s="22" t="s">
        <v>1244</v>
      </c>
      <c r="C942" s="22" t="s">
        <v>1191</v>
      </c>
      <c r="D942" s="22" t="s">
        <v>1192</v>
      </c>
      <c r="E942" s="22" t="s">
        <v>11</v>
      </c>
      <c r="F942" s="24" t="s">
        <v>12</v>
      </c>
    </row>
    <row r="943" ht="22.5" customHeight="1" spans="1:6">
      <c r="A943" s="23">
        <v>942</v>
      </c>
      <c r="B943" s="23" t="s">
        <v>1245</v>
      </c>
      <c r="C943" s="23" t="s">
        <v>1206</v>
      </c>
      <c r="D943" s="23" t="s">
        <v>1234</v>
      </c>
      <c r="E943" s="23" t="s">
        <v>11</v>
      </c>
      <c r="F943" s="25" t="s">
        <v>12</v>
      </c>
    </row>
    <row r="944" ht="22.5" customHeight="1" spans="1:6">
      <c r="A944" s="22">
        <v>943</v>
      </c>
      <c r="B944" s="22" t="s">
        <v>1246</v>
      </c>
      <c r="C944" s="22" t="s">
        <v>151</v>
      </c>
      <c r="D944" s="22" t="s">
        <v>174</v>
      </c>
      <c r="E944" s="22" t="s">
        <v>11</v>
      </c>
      <c r="F944" s="24" t="s">
        <v>12</v>
      </c>
    </row>
    <row r="945" ht="22.5" customHeight="1" spans="1:6">
      <c r="A945" s="23">
        <v>944</v>
      </c>
      <c r="B945" s="23" t="s">
        <v>1247</v>
      </c>
      <c r="C945" s="23" t="s">
        <v>844</v>
      </c>
      <c r="D945" s="23" t="s">
        <v>886</v>
      </c>
      <c r="E945" s="23" t="s">
        <v>11</v>
      </c>
      <c r="F945" s="25" t="s">
        <v>12</v>
      </c>
    </row>
    <row r="946" ht="22.5" customHeight="1" spans="1:6">
      <c r="A946" s="22">
        <v>945</v>
      </c>
      <c r="B946" s="22" t="s">
        <v>1248</v>
      </c>
      <c r="C946" s="22" t="s">
        <v>943</v>
      </c>
      <c r="D946" s="22" t="s">
        <v>944</v>
      </c>
      <c r="E946" s="22" t="s">
        <v>11</v>
      </c>
      <c r="F946" s="24" t="s">
        <v>12</v>
      </c>
    </row>
    <row r="947" ht="22.5" customHeight="1" spans="1:6">
      <c r="A947" s="23">
        <v>946</v>
      </c>
      <c r="B947" s="23" t="s">
        <v>1249</v>
      </c>
      <c r="C947" s="23" t="s">
        <v>1106</v>
      </c>
      <c r="D947" s="23" t="s">
        <v>1111</v>
      </c>
      <c r="E947" s="23" t="s">
        <v>11</v>
      </c>
      <c r="F947" s="25" t="s">
        <v>12</v>
      </c>
    </row>
    <row r="948" ht="22.5" customHeight="1" spans="1:6">
      <c r="A948" s="22">
        <v>947</v>
      </c>
      <c r="B948" s="22" t="s">
        <v>1250</v>
      </c>
      <c r="C948" s="22" t="s">
        <v>1206</v>
      </c>
      <c r="D948" s="22" t="s">
        <v>1216</v>
      </c>
      <c r="E948" s="22" t="s">
        <v>11</v>
      </c>
      <c r="F948" s="24" t="s">
        <v>12</v>
      </c>
    </row>
    <row r="949" ht="22.5" customHeight="1" spans="1:6">
      <c r="A949" s="23">
        <v>948</v>
      </c>
      <c r="B949" s="23" t="s">
        <v>1251</v>
      </c>
      <c r="C949" s="23" t="s">
        <v>10</v>
      </c>
      <c r="D949" s="23" t="s">
        <v>10</v>
      </c>
      <c r="E949" s="23" t="s">
        <v>11</v>
      </c>
      <c r="F949" s="25" t="s">
        <v>1252</v>
      </c>
    </row>
    <row r="950" ht="22.5" customHeight="1" spans="1:6">
      <c r="A950" s="22">
        <v>949</v>
      </c>
      <c r="B950" s="22" t="s">
        <v>1253</v>
      </c>
      <c r="C950" s="22" t="s">
        <v>10</v>
      </c>
      <c r="D950" s="22" t="s">
        <v>10</v>
      </c>
      <c r="E950" s="22" t="s">
        <v>11</v>
      </c>
      <c r="F950" s="24" t="s">
        <v>1252</v>
      </c>
    </row>
    <row r="951" ht="22.5" customHeight="1" spans="1:6">
      <c r="A951" s="23">
        <v>950</v>
      </c>
      <c r="B951" s="23" t="s">
        <v>1254</v>
      </c>
      <c r="C951" s="23" t="s">
        <v>10</v>
      </c>
      <c r="D951" s="23" t="s">
        <v>10</v>
      </c>
      <c r="E951" s="23" t="s">
        <v>11</v>
      </c>
      <c r="F951" s="25" t="s">
        <v>1252</v>
      </c>
    </row>
    <row r="952" ht="22.5" customHeight="1" spans="1:6">
      <c r="A952" s="22">
        <v>951</v>
      </c>
      <c r="B952" s="22" t="s">
        <v>1255</v>
      </c>
      <c r="C952" s="22" t="s">
        <v>10</v>
      </c>
      <c r="D952" s="22" t="s">
        <v>10</v>
      </c>
      <c r="E952" s="22" t="s">
        <v>11</v>
      </c>
      <c r="F952" s="24" t="s">
        <v>1252</v>
      </c>
    </row>
    <row r="953" ht="22.5" customHeight="1" spans="1:6">
      <c r="A953" s="23">
        <v>952</v>
      </c>
      <c r="B953" s="23" t="s">
        <v>1256</v>
      </c>
      <c r="C953" s="23" t="s">
        <v>10</v>
      </c>
      <c r="D953" s="23" t="s">
        <v>10</v>
      </c>
      <c r="E953" s="23" t="s">
        <v>11</v>
      </c>
      <c r="F953" s="25" t="s">
        <v>1252</v>
      </c>
    </row>
    <row r="954" ht="22.5" customHeight="1" spans="1:6">
      <c r="A954" s="22">
        <v>953</v>
      </c>
      <c r="B954" s="22" t="s">
        <v>1257</v>
      </c>
      <c r="C954" s="22" t="s">
        <v>10</v>
      </c>
      <c r="D954" s="22" t="s">
        <v>10</v>
      </c>
      <c r="E954" s="22" t="s">
        <v>11</v>
      </c>
      <c r="F954" s="24" t="s">
        <v>1252</v>
      </c>
    </row>
    <row r="955" ht="22.5" customHeight="1" spans="1:6">
      <c r="A955" s="23">
        <v>954</v>
      </c>
      <c r="B955" s="23" t="s">
        <v>1258</v>
      </c>
      <c r="C955" s="23" t="s">
        <v>76</v>
      </c>
      <c r="D955" s="23" t="s">
        <v>76</v>
      </c>
      <c r="E955" s="23" t="s">
        <v>11</v>
      </c>
      <c r="F955" s="25" t="s">
        <v>1252</v>
      </c>
    </row>
    <row r="956" ht="22.5" customHeight="1" spans="1:6">
      <c r="A956" s="22">
        <v>955</v>
      </c>
      <c r="B956" s="22" t="s">
        <v>1259</v>
      </c>
      <c r="C956" s="22" t="s">
        <v>76</v>
      </c>
      <c r="D956" s="22" t="s">
        <v>76</v>
      </c>
      <c r="E956" s="22" t="s">
        <v>11</v>
      </c>
      <c r="F956" s="24" t="s">
        <v>1252</v>
      </c>
    </row>
    <row r="957" ht="22.5" customHeight="1" spans="1:6">
      <c r="A957" s="23">
        <v>956</v>
      </c>
      <c r="B957" s="23" t="s">
        <v>1260</v>
      </c>
      <c r="C957" s="23" t="s">
        <v>76</v>
      </c>
      <c r="D957" s="23" t="s">
        <v>76</v>
      </c>
      <c r="E957" s="23" t="s">
        <v>11</v>
      </c>
      <c r="F957" s="25" t="s">
        <v>1252</v>
      </c>
    </row>
    <row r="958" ht="22.5" customHeight="1" spans="1:6">
      <c r="A958" s="22">
        <v>957</v>
      </c>
      <c r="B958" s="22" t="s">
        <v>1261</v>
      </c>
      <c r="C958" s="22" t="s">
        <v>76</v>
      </c>
      <c r="D958" s="22" t="s">
        <v>76</v>
      </c>
      <c r="E958" s="22" t="s">
        <v>11</v>
      </c>
      <c r="F958" s="24" t="s">
        <v>1252</v>
      </c>
    </row>
    <row r="959" ht="22.5" customHeight="1" spans="1:6">
      <c r="A959" s="23">
        <v>958</v>
      </c>
      <c r="B959" s="23" t="s">
        <v>1262</v>
      </c>
      <c r="C959" s="23" t="s">
        <v>76</v>
      </c>
      <c r="D959" s="23" t="s">
        <v>76</v>
      </c>
      <c r="E959" s="23" t="s">
        <v>11</v>
      </c>
      <c r="F959" s="25" t="s">
        <v>1252</v>
      </c>
    </row>
    <row r="960" ht="22.5" customHeight="1" spans="1:6">
      <c r="A960" s="22">
        <v>959</v>
      </c>
      <c r="B960" s="22" t="s">
        <v>1263</v>
      </c>
      <c r="C960" s="22" t="s">
        <v>76</v>
      </c>
      <c r="D960" s="22" t="s">
        <v>76</v>
      </c>
      <c r="E960" s="22" t="s">
        <v>11</v>
      </c>
      <c r="F960" s="24" t="s">
        <v>1252</v>
      </c>
    </row>
    <row r="961" ht="22.5" customHeight="1" spans="1:6">
      <c r="A961" s="23">
        <v>960</v>
      </c>
      <c r="B961" s="23" t="s">
        <v>1264</v>
      </c>
      <c r="C961" s="23" t="s">
        <v>76</v>
      </c>
      <c r="D961" s="23" t="s">
        <v>76</v>
      </c>
      <c r="E961" s="23" t="s">
        <v>11</v>
      </c>
      <c r="F961" s="25" t="s">
        <v>1252</v>
      </c>
    </row>
    <row r="962" ht="22.5" customHeight="1" spans="1:6">
      <c r="A962" s="22">
        <v>961</v>
      </c>
      <c r="B962" s="22" t="s">
        <v>1265</v>
      </c>
      <c r="C962" s="22" t="s">
        <v>76</v>
      </c>
      <c r="D962" s="22" t="s">
        <v>76</v>
      </c>
      <c r="E962" s="22" t="s">
        <v>11</v>
      </c>
      <c r="F962" s="24" t="s">
        <v>1252</v>
      </c>
    </row>
    <row r="963" ht="22.5" customHeight="1" spans="1:6">
      <c r="A963" s="23">
        <v>962</v>
      </c>
      <c r="B963" s="23" t="s">
        <v>1266</v>
      </c>
      <c r="C963" s="23" t="s">
        <v>76</v>
      </c>
      <c r="D963" s="23" t="s">
        <v>76</v>
      </c>
      <c r="E963" s="23" t="s">
        <v>11</v>
      </c>
      <c r="F963" s="25" t="s">
        <v>1252</v>
      </c>
    </row>
    <row r="964" ht="22.5" customHeight="1" spans="1:6">
      <c r="A964" s="22">
        <v>963</v>
      </c>
      <c r="B964" s="22" t="s">
        <v>1267</v>
      </c>
      <c r="C964" s="22" t="s">
        <v>76</v>
      </c>
      <c r="D964" s="22" t="s">
        <v>76</v>
      </c>
      <c r="E964" s="22" t="s">
        <v>11</v>
      </c>
      <c r="F964" s="24" t="s">
        <v>1252</v>
      </c>
    </row>
    <row r="965" ht="22.5" customHeight="1" spans="1:6">
      <c r="A965" s="23">
        <v>964</v>
      </c>
      <c r="B965" s="23" t="s">
        <v>1268</v>
      </c>
      <c r="C965" s="23" t="s">
        <v>76</v>
      </c>
      <c r="D965" s="23" t="s">
        <v>76</v>
      </c>
      <c r="E965" s="23" t="s">
        <v>11</v>
      </c>
      <c r="F965" s="25" t="s">
        <v>1252</v>
      </c>
    </row>
    <row r="966" ht="22.5" customHeight="1" spans="1:6">
      <c r="A966" s="22">
        <v>965</v>
      </c>
      <c r="B966" s="22" t="s">
        <v>1269</v>
      </c>
      <c r="C966" s="22" t="s">
        <v>98</v>
      </c>
      <c r="D966" s="22" t="s">
        <v>103</v>
      </c>
      <c r="E966" s="22" t="s">
        <v>11</v>
      </c>
      <c r="F966" s="24" t="s">
        <v>1252</v>
      </c>
    </row>
    <row r="967" ht="22.5" customHeight="1" spans="1:6">
      <c r="A967" s="23">
        <v>966</v>
      </c>
      <c r="B967" s="23" t="s">
        <v>1270</v>
      </c>
      <c r="C967" s="23" t="s">
        <v>98</v>
      </c>
      <c r="D967" s="23" t="s">
        <v>103</v>
      </c>
      <c r="E967" s="23" t="s">
        <v>11</v>
      </c>
      <c r="F967" s="25" t="s">
        <v>1252</v>
      </c>
    </row>
    <row r="968" ht="22.5" customHeight="1" spans="1:6">
      <c r="A968" s="22">
        <v>967</v>
      </c>
      <c r="B968" s="22" t="s">
        <v>1271</v>
      </c>
      <c r="C968" s="22" t="s">
        <v>98</v>
      </c>
      <c r="D968" s="22" t="s">
        <v>103</v>
      </c>
      <c r="E968" s="22" t="s">
        <v>11</v>
      </c>
      <c r="F968" s="24" t="s">
        <v>1252</v>
      </c>
    </row>
    <row r="969" ht="22.5" customHeight="1" spans="1:6">
      <c r="A969" s="23">
        <v>968</v>
      </c>
      <c r="B969" s="23" t="s">
        <v>1272</v>
      </c>
      <c r="C969" s="23" t="s">
        <v>98</v>
      </c>
      <c r="D969" s="23" t="s">
        <v>99</v>
      </c>
      <c r="E969" s="23" t="s">
        <v>11</v>
      </c>
      <c r="F969" s="25" t="s">
        <v>1252</v>
      </c>
    </row>
    <row r="970" ht="22.5" customHeight="1" spans="1:6">
      <c r="A970" s="22">
        <v>969</v>
      </c>
      <c r="B970" s="22" t="s">
        <v>1273</v>
      </c>
      <c r="C970" s="22" t="s">
        <v>98</v>
      </c>
      <c r="D970" s="22" t="s">
        <v>103</v>
      </c>
      <c r="E970" s="22" t="s">
        <v>11</v>
      </c>
      <c r="F970" s="24" t="s">
        <v>1252</v>
      </c>
    </row>
    <row r="971" ht="22.5" customHeight="1" spans="1:6">
      <c r="A971" s="23">
        <v>970</v>
      </c>
      <c r="B971" s="23" t="s">
        <v>1274</v>
      </c>
      <c r="C971" s="23" t="s">
        <v>98</v>
      </c>
      <c r="D971" s="23" t="s">
        <v>99</v>
      </c>
      <c r="E971" s="23" t="s">
        <v>11</v>
      </c>
      <c r="F971" s="25" t="s">
        <v>1252</v>
      </c>
    </row>
    <row r="972" ht="22.5" customHeight="1" spans="1:6">
      <c r="A972" s="22">
        <v>971</v>
      </c>
      <c r="B972" s="22" t="s">
        <v>1275</v>
      </c>
      <c r="C972" s="22" t="s">
        <v>98</v>
      </c>
      <c r="D972" s="22" t="s">
        <v>106</v>
      </c>
      <c r="E972" s="22" t="s">
        <v>11</v>
      </c>
      <c r="F972" s="24" t="s">
        <v>1252</v>
      </c>
    </row>
    <row r="973" ht="22.5" customHeight="1" spans="1:6">
      <c r="A973" s="23">
        <v>972</v>
      </c>
      <c r="B973" s="23" t="s">
        <v>1276</v>
      </c>
      <c r="C973" s="23" t="s">
        <v>98</v>
      </c>
      <c r="D973" s="23" t="s">
        <v>103</v>
      </c>
      <c r="E973" s="23" t="s">
        <v>11</v>
      </c>
      <c r="F973" s="25" t="s">
        <v>1252</v>
      </c>
    </row>
    <row r="974" ht="22.5" customHeight="1" spans="1:6">
      <c r="A974" s="22">
        <v>973</v>
      </c>
      <c r="B974" s="22" t="s">
        <v>1277</v>
      </c>
      <c r="C974" s="22" t="s">
        <v>98</v>
      </c>
      <c r="D974" s="22" t="s">
        <v>103</v>
      </c>
      <c r="E974" s="22" t="s">
        <v>11</v>
      </c>
      <c r="F974" s="24" t="s">
        <v>1252</v>
      </c>
    </row>
    <row r="975" ht="22.5" customHeight="1" spans="1:6">
      <c r="A975" s="23">
        <v>974</v>
      </c>
      <c r="B975" s="23" t="s">
        <v>1278</v>
      </c>
      <c r="C975" s="23" t="s">
        <v>98</v>
      </c>
      <c r="D975" s="23" t="s">
        <v>103</v>
      </c>
      <c r="E975" s="23" t="s">
        <v>11</v>
      </c>
      <c r="F975" s="25" t="s">
        <v>1252</v>
      </c>
    </row>
    <row r="976" ht="22.5" customHeight="1" spans="1:6">
      <c r="A976" s="22">
        <v>975</v>
      </c>
      <c r="B976" s="22" t="s">
        <v>1279</v>
      </c>
      <c r="C976" s="22" t="s">
        <v>98</v>
      </c>
      <c r="D976" s="22" t="s">
        <v>101</v>
      </c>
      <c r="E976" s="22" t="s">
        <v>11</v>
      </c>
      <c r="F976" s="24" t="s">
        <v>1252</v>
      </c>
    </row>
    <row r="977" ht="22.5" customHeight="1" spans="1:6">
      <c r="A977" s="23">
        <v>976</v>
      </c>
      <c r="B977" s="23" t="s">
        <v>1280</v>
      </c>
      <c r="C977" s="23" t="s">
        <v>98</v>
      </c>
      <c r="D977" s="23" t="s">
        <v>132</v>
      </c>
      <c r="E977" s="23" t="s">
        <v>11</v>
      </c>
      <c r="F977" s="25" t="s">
        <v>1252</v>
      </c>
    </row>
    <row r="978" ht="22.5" customHeight="1" spans="1:6">
      <c r="A978" s="22">
        <v>977</v>
      </c>
      <c r="B978" s="22" t="s">
        <v>1281</v>
      </c>
      <c r="C978" s="22" t="s">
        <v>98</v>
      </c>
      <c r="D978" s="22" t="s">
        <v>103</v>
      </c>
      <c r="E978" s="22" t="s">
        <v>11</v>
      </c>
      <c r="F978" s="24" t="s">
        <v>1252</v>
      </c>
    </row>
    <row r="979" ht="22.5" customHeight="1" spans="1:6">
      <c r="A979" s="23">
        <v>978</v>
      </c>
      <c r="B979" s="23" t="s">
        <v>1282</v>
      </c>
      <c r="C979" s="23" t="s">
        <v>98</v>
      </c>
      <c r="D979" s="23" t="s">
        <v>103</v>
      </c>
      <c r="E979" s="23" t="s">
        <v>11</v>
      </c>
      <c r="F979" s="25" t="s">
        <v>1252</v>
      </c>
    </row>
    <row r="980" ht="22.5" customHeight="1" spans="1:6">
      <c r="A980" s="22">
        <v>979</v>
      </c>
      <c r="B980" s="22" t="s">
        <v>1283</v>
      </c>
      <c r="C980" s="22" t="s">
        <v>98</v>
      </c>
      <c r="D980" s="22" t="s">
        <v>99</v>
      </c>
      <c r="E980" s="22" t="s">
        <v>11</v>
      </c>
      <c r="F980" s="24" t="s">
        <v>1252</v>
      </c>
    </row>
    <row r="981" ht="22.5" customHeight="1" spans="1:6">
      <c r="A981" s="23">
        <v>980</v>
      </c>
      <c r="B981" s="23" t="s">
        <v>1284</v>
      </c>
      <c r="C981" s="23" t="s">
        <v>98</v>
      </c>
      <c r="D981" s="23" t="s">
        <v>106</v>
      </c>
      <c r="E981" s="23" t="s">
        <v>11</v>
      </c>
      <c r="F981" s="25" t="s">
        <v>1252</v>
      </c>
    </row>
    <row r="982" ht="22.5" customHeight="1" spans="1:6">
      <c r="A982" s="22">
        <v>981</v>
      </c>
      <c r="B982" s="22" t="s">
        <v>1285</v>
      </c>
      <c r="C982" s="22" t="s">
        <v>98</v>
      </c>
      <c r="D982" s="22" t="s">
        <v>99</v>
      </c>
      <c r="E982" s="22" t="s">
        <v>11</v>
      </c>
      <c r="F982" s="24" t="s">
        <v>1252</v>
      </c>
    </row>
    <row r="983" ht="22.5" customHeight="1" spans="1:6">
      <c r="A983" s="23">
        <v>982</v>
      </c>
      <c r="B983" s="23" t="s">
        <v>1286</v>
      </c>
      <c r="C983" s="23" t="s">
        <v>98</v>
      </c>
      <c r="D983" s="23" t="s">
        <v>122</v>
      </c>
      <c r="E983" s="23" t="s">
        <v>11</v>
      </c>
      <c r="F983" s="25" t="s">
        <v>1252</v>
      </c>
    </row>
    <row r="984" ht="22.5" customHeight="1" spans="1:6">
      <c r="A984" s="22">
        <v>983</v>
      </c>
      <c r="B984" s="22" t="s">
        <v>1287</v>
      </c>
      <c r="C984" s="22" t="s">
        <v>98</v>
      </c>
      <c r="D984" s="22" t="s">
        <v>122</v>
      </c>
      <c r="E984" s="22" t="s">
        <v>11</v>
      </c>
      <c r="F984" s="24" t="s">
        <v>1252</v>
      </c>
    </row>
    <row r="985" ht="22.5" customHeight="1" spans="1:6">
      <c r="A985" s="23">
        <v>984</v>
      </c>
      <c r="B985" s="23" t="s">
        <v>1288</v>
      </c>
      <c r="C985" s="23" t="s">
        <v>98</v>
      </c>
      <c r="D985" s="23" t="s">
        <v>111</v>
      </c>
      <c r="E985" s="23" t="s">
        <v>11</v>
      </c>
      <c r="F985" s="25" t="s">
        <v>1252</v>
      </c>
    </row>
    <row r="986" ht="22.5" customHeight="1" spans="1:6">
      <c r="A986" s="22">
        <v>985</v>
      </c>
      <c r="B986" s="22" t="s">
        <v>1289</v>
      </c>
      <c r="C986" s="22" t="s">
        <v>98</v>
      </c>
      <c r="D986" s="22" t="s">
        <v>122</v>
      </c>
      <c r="E986" s="22" t="s">
        <v>11</v>
      </c>
      <c r="F986" s="24" t="s">
        <v>1252</v>
      </c>
    </row>
    <row r="987" ht="22.5" customHeight="1" spans="1:6">
      <c r="A987" s="23">
        <v>986</v>
      </c>
      <c r="B987" s="23" t="s">
        <v>1290</v>
      </c>
      <c r="C987" s="23" t="s">
        <v>151</v>
      </c>
      <c r="D987" s="23" t="s">
        <v>152</v>
      </c>
      <c r="E987" s="23" t="s">
        <v>11</v>
      </c>
      <c r="F987" s="25" t="s">
        <v>1252</v>
      </c>
    </row>
    <row r="988" ht="22.5" customHeight="1" spans="1:6">
      <c r="A988" s="22">
        <v>987</v>
      </c>
      <c r="B988" s="22" t="s">
        <v>1291</v>
      </c>
      <c r="C988" s="22" t="s">
        <v>151</v>
      </c>
      <c r="D988" s="22" t="s">
        <v>157</v>
      </c>
      <c r="E988" s="22" t="s">
        <v>11</v>
      </c>
      <c r="F988" s="24" t="s">
        <v>1252</v>
      </c>
    </row>
    <row r="989" ht="22.5" customHeight="1" spans="1:6">
      <c r="A989" s="23">
        <v>988</v>
      </c>
      <c r="B989" s="23" t="s">
        <v>1292</v>
      </c>
      <c r="C989" s="23" t="s">
        <v>151</v>
      </c>
      <c r="D989" s="23" t="s">
        <v>157</v>
      </c>
      <c r="E989" s="23" t="s">
        <v>11</v>
      </c>
      <c r="F989" s="25" t="s">
        <v>1252</v>
      </c>
    </row>
    <row r="990" ht="22.5" customHeight="1" spans="1:6">
      <c r="A990" s="22">
        <v>989</v>
      </c>
      <c r="B990" s="22" t="s">
        <v>1293</v>
      </c>
      <c r="C990" s="22" t="s">
        <v>151</v>
      </c>
      <c r="D990" s="22" t="s">
        <v>157</v>
      </c>
      <c r="E990" s="22" t="s">
        <v>11</v>
      </c>
      <c r="F990" s="24" t="s">
        <v>1252</v>
      </c>
    </row>
    <row r="991" ht="22.5" customHeight="1" spans="1:6">
      <c r="A991" s="23">
        <v>990</v>
      </c>
      <c r="B991" s="23" t="s">
        <v>1294</v>
      </c>
      <c r="C991" s="23" t="s">
        <v>151</v>
      </c>
      <c r="D991" s="23" t="s">
        <v>152</v>
      </c>
      <c r="E991" s="23" t="s">
        <v>11</v>
      </c>
      <c r="F991" s="25" t="s">
        <v>1252</v>
      </c>
    </row>
    <row r="992" ht="22.5" customHeight="1" spans="1:6">
      <c r="A992" s="22">
        <v>991</v>
      </c>
      <c r="B992" s="22" t="s">
        <v>1295</v>
      </c>
      <c r="C992" s="22" t="s">
        <v>151</v>
      </c>
      <c r="D992" s="22" t="s">
        <v>152</v>
      </c>
      <c r="E992" s="22" t="s">
        <v>11</v>
      </c>
      <c r="F992" s="24" t="s">
        <v>1252</v>
      </c>
    </row>
    <row r="993" ht="22.5" customHeight="1" spans="1:6">
      <c r="A993" s="23">
        <v>992</v>
      </c>
      <c r="B993" s="23" t="s">
        <v>1296</v>
      </c>
      <c r="C993" s="23" t="s">
        <v>151</v>
      </c>
      <c r="D993" s="23" t="s">
        <v>168</v>
      </c>
      <c r="E993" s="23" t="s">
        <v>11</v>
      </c>
      <c r="F993" s="25" t="s">
        <v>1252</v>
      </c>
    </row>
    <row r="994" ht="22.5" customHeight="1" spans="1:6">
      <c r="A994" s="22">
        <v>993</v>
      </c>
      <c r="B994" s="22" t="s">
        <v>1297</v>
      </c>
      <c r="C994" s="22" t="s">
        <v>191</v>
      </c>
      <c r="D994" s="22" t="s">
        <v>192</v>
      </c>
      <c r="E994" s="22" t="s">
        <v>11</v>
      </c>
      <c r="F994" s="24" t="s">
        <v>1252</v>
      </c>
    </row>
    <row r="995" ht="22.5" customHeight="1" spans="1:6">
      <c r="A995" s="23">
        <v>994</v>
      </c>
      <c r="B995" s="23" t="s">
        <v>1298</v>
      </c>
      <c r="C995" s="23" t="s">
        <v>191</v>
      </c>
      <c r="D995" s="23" t="s">
        <v>192</v>
      </c>
      <c r="E995" s="23" t="s">
        <v>11</v>
      </c>
      <c r="F995" s="25" t="s">
        <v>1252</v>
      </c>
    </row>
    <row r="996" ht="22.5" customHeight="1" spans="1:6">
      <c r="A996" s="22">
        <v>995</v>
      </c>
      <c r="B996" s="22" t="s">
        <v>1299</v>
      </c>
      <c r="C996" s="22" t="s">
        <v>220</v>
      </c>
      <c r="D996" s="22" t="s">
        <v>223</v>
      </c>
      <c r="E996" s="22" t="s">
        <v>11</v>
      </c>
      <c r="F996" s="24" t="s">
        <v>1252</v>
      </c>
    </row>
    <row r="997" ht="22.5" customHeight="1" spans="1:6">
      <c r="A997" s="23">
        <v>996</v>
      </c>
      <c r="B997" s="23" t="s">
        <v>1300</v>
      </c>
      <c r="C997" s="23" t="s">
        <v>220</v>
      </c>
      <c r="D997" s="23" t="s">
        <v>240</v>
      </c>
      <c r="E997" s="23" t="s">
        <v>11</v>
      </c>
      <c r="F997" s="25" t="s">
        <v>1252</v>
      </c>
    </row>
    <row r="998" ht="22.5" customHeight="1" spans="1:6">
      <c r="A998" s="22">
        <v>997</v>
      </c>
      <c r="B998" s="22" t="s">
        <v>1301</v>
      </c>
      <c r="C998" s="22" t="s">
        <v>220</v>
      </c>
      <c r="D998" s="22" t="s">
        <v>223</v>
      </c>
      <c r="E998" s="22" t="s">
        <v>11</v>
      </c>
      <c r="F998" s="24" t="s">
        <v>1252</v>
      </c>
    </row>
    <row r="999" ht="22.5" customHeight="1" spans="1:6">
      <c r="A999" s="23">
        <v>998</v>
      </c>
      <c r="B999" s="23" t="s">
        <v>1302</v>
      </c>
      <c r="C999" s="23" t="s">
        <v>220</v>
      </c>
      <c r="D999" s="23" t="s">
        <v>1303</v>
      </c>
      <c r="E999" s="23" t="s">
        <v>11</v>
      </c>
      <c r="F999" s="25" t="s">
        <v>1252</v>
      </c>
    </row>
    <row r="1000" ht="22.5" customHeight="1" spans="1:6">
      <c r="A1000" s="22">
        <v>999</v>
      </c>
      <c r="B1000" s="22" t="s">
        <v>1304</v>
      </c>
      <c r="C1000" s="22" t="s">
        <v>220</v>
      </c>
      <c r="D1000" s="22" t="s">
        <v>221</v>
      </c>
      <c r="E1000" s="22" t="s">
        <v>11</v>
      </c>
      <c r="F1000" s="24" t="s">
        <v>1252</v>
      </c>
    </row>
    <row r="1001" ht="22.5" customHeight="1" spans="1:6">
      <c r="A1001" s="23">
        <v>1000</v>
      </c>
      <c r="B1001" s="23" t="s">
        <v>1305</v>
      </c>
      <c r="C1001" s="23" t="s">
        <v>220</v>
      </c>
      <c r="D1001" s="23" t="s">
        <v>233</v>
      </c>
      <c r="E1001" s="23" t="s">
        <v>11</v>
      </c>
      <c r="F1001" s="25" t="s">
        <v>1252</v>
      </c>
    </row>
    <row r="1002" ht="22.5" customHeight="1" spans="1:6">
      <c r="A1002" s="22">
        <v>1001</v>
      </c>
      <c r="B1002" s="22" t="s">
        <v>1306</v>
      </c>
      <c r="C1002" s="22" t="s">
        <v>220</v>
      </c>
      <c r="D1002" s="22" t="s">
        <v>223</v>
      </c>
      <c r="E1002" s="22" t="s">
        <v>11</v>
      </c>
      <c r="F1002" s="24" t="s">
        <v>1252</v>
      </c>
    </row>
    <row r="1003" ht="22.5" customHeight="1" spans="1:6">
      <c r="A1003" s="23">
        <v>1002</v>
      </c>
      <c r="B1003" s="23" t="s">
        <v>1307</v>
      </c>
      <c r="C1003" s="23" t="s">
        <v>220</v>
      </c>
      <c r="D1003" s="23" t="s">
        <v>223</v>
      </c>
      <c r="E1003" s="23" t="s">
        <v>11</v>
      </c>
      <c r="F1003" s="25" t="s">
        <v>1252</v>
      </c>
    </row>
    <row r="1004" ht="22.5" customHeight="1" spans="1:6">
      <c r="A1004" s="22">
        <v>1003</v>
      </c>
      <c r="B1004" s="22" t="s">
        <v>1308</v>
      </c>
      <c r="C1004" s="22" t="s">
        <v>220</v>
      </c>
      <c r="D1004" s="22" t="s">
        <v>221</v>
      </c>
      <c r="E1004" s="22" t="s">
        <v>11</v>
      </c>
      <c r="F1004" s="24" t="s">
        <v>1252</v>
      </c>
    </row>
    <row r="1005" ht="22.5" customHeight="1" spans="1:6">
      <c r="A1005" s="23">
        <v>1004</v>
      </c>
      <c r="B1005" s="23" t="s">
        <v>1309</v>
      </c>
      <c r="C1005" s="23" t="s">
        <v>220</v>
      </c>
      <c r="D1005" s="23" t="s">
        <v>223</v>
      </c>
      <c r="E1005" s="23" t="s">
        <v>11</v>
      </c>
      <c r="F1005" s="25" t="s">
        <v>1252</v>
      </c>
    </row>
    <row r="1006" ht="22.5" customHeight="1" spans="1:6">
      <c r="A1006" s="22">
        <v>1005</v>
      </c>
      <c r="B1006" s="22" t="s">
        <v>1310</v>
      </c>
      <c r="C1006" s="22" t="s">
        <v>220</v>
      </c>
      <c r="D1006" s="22" t="s">
        <v>240</v>
      </c>
      <c r="E1006" s="22" t="s">
        <v>11</v>
      </c>
      <c r="F1006" s="24" t="s">
        <v>1252</v>
      </c>
    </row>
    <row r="1007" ht="22.5" customHeight="1" spans="1:6">
      <c r="A1007" s="23">
        <v>1006</v>
      </c>
      <c r="B1007" s="23" t="s">
        <v>1311</v>
      </c>
      <c r="C1007" s="23" t="s">
        <v>220</v>
      </c>
      <c r="D1007" s="23" t="s">
        <v>223</v>
      </c>
      <c r="E1007" s="23" t="s">
        <v>11</v>
      </c>
      <c r="F1007" s="25" t="s">
        <v>1252</v>
      </c>
    </row>
    <row r="1008" ht="22.5" customHeight="1" spans="1:6">
      <c r="A1008" s="22">
        <v>1007</v>
      </c>
      <c r="B1008" s="22" t="s">
        <v>1312</v>
      </c>
      <c r="C1008" s="22" t="s">
        <v>220</v>
      </c>
      <c r="D1008" s="22" t="s">
        <v>240</v>
      </c>
      <c r="E1008" s="22" t="s">
        <v>11</v>
      </c>
      <c r="F1008" s="24" t="s">
        <v>1252</v>
      </c>
    </row>
    <row r="1009" ht="22.5" customHeight="1" spans="1:6">
      <c r="A1009" s="23">
        <v>1008</v>
      </c>
      <c r="B1009" s="23" t="s">
        <v>1313</v>
      </c>
      <c r="C1009" s="23" t="s">
        <v>220</v>
      </c>
      <c r="D1009" s="23" t="s">
        <v>223</v>
      </c>
      <c r="E1009" s="23" t="s">
        <v>11</v>
      </c>
      <c r="F1009" s="25" t="s">
        <v>1252</v>
      </c>
    </row>
    <row r="1010" ht="22.5" customHeight="1" spans="1:6">
      <c r="A1010" s="22">
        <v>1009</v>
      </c>
      <c r="B1010" s="22" t="s">
        <v>1314</v>
      </c>
      <c r="C1010" s="22" t="s">
        <v>220</v>
      </c>
      <c r="D1010" s="22" t="s">
        <v>221</v>
      </c>
      <c r="E1010" s="22" t="s">
        <v>11</v>
      </c>
      <c r="F1010" s="24" t="s">
        <v>1252</v>
      </c>
    </row>
    <row r="1011" ht="22.5" customHeight="1" spans="1:6">
      <c r="A1011" s="23">
        <v>1010</v>
      </c>
      <c r="B1011" s="23" t="s">
        <v>1315</v>
      </c>
      <c r="C1011" s="23" t="s">
        <v>220</v>
      </c>
      <c r="D1011" s="23" t="s">
        <v>223</v>
      </c>
      <c r="E1011" s="23" t="s">
        <v>11</v>
      </c>
      <c r="F1011" s="25" t="s">
        <v>1252</v>
      </c>
    </row>
    <row r="1012" ht="22.5" customHeight="1" spans="1:6">
      <c r="A1012" s="22">
        <v>1011</v>
      </c>
      <c r="B1012" s="22" t="s">
        <v>1316</v>
      </c>
      <c r="C1012" s="22" t="s">
        <v>220</v>
      </c>
      <c r="D1012" s="22" t="s">
        <v>221</v>
      </c>
      <c r="E1012" s="22" t="s">
        <v>11</v>
      </c>
      <c r="F1012" s="24" t="s">
        <v>1252</v>
      </c>
    </row>
    <row r="1013" ht="22.5" customHeight="1" spans="1:6">
      <c r="A1013" s="23">
        <v>1012</v>
      </c>
      <c r="B1013" s="23" t="s">
        <v>1317</v>
      </c>
      <c r="C1013" s="23" t="s">
        <v>220</v>
      </c>
      <c r="D1013" s="23" t="s">
        <v>221</v>
      </c>
      <c r="E1013" s="23" t="s">
        <v>11</v>
      </c>
      <c r="F1013" s="25" t="s">
        <v>1252</v>
      </c>
    </row>
    <row r="1014" ht="22.5" customHeight="1" spans="1:6">
      <c r="A1014" s="22">
        <v>1013</v>
      </c>
      <c r="B1014" s="22" t="s">
        <v>1318</v>
      </c>
      <c r="C1014" s="22" t="s">
        <v>220</v>
      </c>
      <c r="D1014" s="22" t="s">
        <v>221</v>
      </c>
      <c r="E1014" s="22" t="s">
        <v>11</v>
      </c>
      <c r="F1014" s="24" t="s">
        <v>1252</v>
      </c>
    </row>
    <row r="1015" ht="22.5" customHeight="1" spans="1:6">
      <c r="A1015" s="23">
        <v>1014</v>
      </c>
      <c r="B1015" s="23" t="s">
        <v>1319</v>
      </c>
      <c r="C1015" s="23" t="s">
        <v>220</v>
      </c>
      <c r="D1015" s="23" t="s">
        <v>223</v>
      </c>
      <c r="E1015" s="23" t="s">
        <v>11</v>
      </c>
      <c r="F1015" s="25" t="s">
        <v>1252</v>
      </c>
    </row>
    <row r="1016" ht="22.5" customHeight="1" spans="1:6">
      <c r="A1016" s="22">
        <v>1015</v>
      </c>
      <c r="B1016" s="22" t="s">
        <v>1320</v>
      </c>
      <c r="C1016" s="22" t="s">
        <v>220</v>
      </c>
      <c r="D1016" s="22" t="s">
        <v>1321</v>
      </c>
      <c r="E1016" s="22" t="s">
        <v>11</v>
      </c>
      <c r="F1016" s="24" t="s">
        <v>1252</v>
      </c>
    </row>
    <row r="1017" ht="22.5" customHeight="1" spans="1:6">
      <c r="A1017" s="23">
        <v>1016</v>
      </c>
      <c r="B1017" s="23" t="s">
        <v>1322</v>
      </c>
      <c r="C1017" s="23" t="s">
        <v>220</v>
      </c>
      <c r="D1017" s="23" t="s">
        <v>221</v>
      </c>
      <c r="E1017" s="23" t="s">
        <v>11</v>
      </c>
      <c r="F1017" s="25" t="s">
        <v>1252</v>
      </c>
    </row>
    <row r="1018" ht="22.5" customHeight="1" spans="1:6">
      <c r="A1018" s="22">
        <v>1017</v>
      </c>
      <c r="B1018" s="22" t="s">
        <v>1323</v>
      </c>
      <c r="C1018" s="22" t="s">
        <v>273</v>
      </c>
      <c r="D1018" s="22" t="s">
        <v>274</v>
      </c>
      <c r="E1018" s="22" t="s">
        <v>11</v>
      </c>
      <c r="F1018" s="24" t="s">
        <v>1252</v>
      </c>
    </row>
    <row r="1019" ht="22.5" customHeight="1" spans="1:6">
      <c r="A1019" s="23">
        <v>1018</v>
      </c>
      <c r="B1019" s="23" t="s">
        <v>1324</v>
      </c>
      <c r="C1019" s="23" t="s">
        <v>273</v>
      </c>
      <c r="D1019" s="23" t="s">
        <v>274</v>
      </c>
      <c r="E1019" s="23" t="s">
        <v>11</v>
      </c>
      <c r="F1019" s="25" t="s">
        <v>1252</v>
      </c>
    </row>
    <row r="1020" ht="22.5" customHeight="1" spans="1:6">
      <c r="A1020" s="22">
        <v>1019</v>
      </c>
      <c r="B1020" s="22" t="s">
        <v>1325</v>
      </c>
      <c r="C1020" s="22" t="s">
        <v>273</v>
      </c>
      <c r="D1020" s="22" t="s">
        <v>274</v>
      </c>
      <c r="E1020" s="22" t="s">
        <v>11</v>
      </c>
      <c r="F1020" s="24" t="s">
        <v>1252</v>
      </c>
    </row>
    <row r="1021" ht="22.5" customHeight="1" spans="1:6">
      <c r="A1021" s="23">
        <v>1020</v>
      </c>
      <c r="B1021" s="23" t="s">
        <v>1326</v>
      </c>
      <c r="C1021" s="23" t="s">
        <v>273</v>
      </c>
      <c r="D1021" s="23" t="s">
        <v>274</v>
      </c>
      <c r="E1021" s="23" t="s">
        <v>11</v>
      </c>
      <c r="F1021" s="25" t="s">
        <v>1252</v>
      </c>
    </row>
    <row r="1022" ht="22.5" customHeight="1" spans="1:6">
      <c r="A1022" s="22">
        <v>1021</v>
      </c>
      <c r="B1022" s="22" t="s">
        <v>1327</v>
      </c>
      <c r="C1022" s="22" t="s">
        <v>273</v>
      </c>
      <c r="D1022" s="22" t="s">
        <v>274</v>
      </c>
      <c r="E1022" s="22" t="s">
        <v>11</v>
      </c>
      <c r="F1022" s="24" t="s">
        <v>1252</v>
      </c>
    </row>
    <row r="1023" ht="22.5" customHeight="1" spans="1:6">
      <c r="A1023" s="23">
        <v>1022</v>
      </c>
      <c r="B1023" s="23" t="s">
        <v>1328</v>
      </c>
      <c r="C1023" s="23" t="s">
        <v>273</v>
      </c>
      <c r="D1023" s="23" t="s">
        <v>274</v>
      </c>
      <c r="E1023" s="23" t="s">
        <v>11</v>
      </c>
      <c r="F1023" s="25" t="s">
        <v>1252</v>
      </c>
    </row>
    <row r="1024" ht="22.5" customHeight="1" spans="1:6">
      <c r="A1024" s="22">
        <v>1023</v>
      </c>
      <c r="B1024" s="22" t="s">
        <v>1329</v>
      </c>
      <c r="C1024" s="22" t="s">
        <v>273</v>
      </c>
      <c r="D1024" s="22" t="s">
        <v>274</v>
      </c>
      <c r="E1024" s="22" t="s">
        <v>11</v>
      </c>
      <c r="F1024" s="24" t="s">
        <v>1252</v>
      </c>
    </row>
    <row r="1025" ht="22.5" customHeight="1" spans="1:6">
      <c r="A1025" s="23">
        <v>1024</v>
      </c>
      <c r="B1025" s="23" t="s">
        <v>1330</v>
      </c>
      <c r="C1025" s="23" t="s">
        <v>273</v>
      </c>
      <c r="D1025" s="23" t="s">
        <v>274</v>
      </c>
      <c r="E1025" s="23" t="s">
        <v>11</v>
      </c>
      <c r="F1025" s="25" t="s">
        <v>1252</v>
      </c>
    </row>
    <row r="1026" ht="22.5" customHeight="1" spans="1:6">
      <c r="A1026" s="22">
        <v>1025</v>
      </c>
      <c r="B1026" s="22" t="s">
        <v>1331</v>
      </c>
      <c r="C1026" s="22" t="s">
        <v>273</v>
      </c>
      <c r="D1026" s="22" t="s">
        <v>274</v>
      </c>
      <c r="E1026" s="22" t="s">
        <v>11</v>
      </c>
      <c r="F1026" s="24" t="s">
        <v>1252</v>
      </c>
    </row>
    <row r="1027" ht="22.5" customHeight="1" spans="1:6">
      <c r="A1027" s="23">
        <v>1026</v>
      </c>
      <c r="B1027" s="23" t="s">
        <v>1332</v>
      </c>
      <c r="C1027" s="23" t="s">
        <v>273</v>
      </c>
      <c r="D1027" s="23" t="s">
        <v>290</v>
      </c>
      <c r="E1027" s="23" t="s">
        <v>11</v>
      </c>
      <c r="F1027" s="25" t="s">
        <v>1252</v>
      </c>
    </row>
    <row r="1028" ht="22.5" customHeight="1" spans="1:6">
      <c r="A1028" s="22">
        <v>1027</v>
      </c>
      <c r="B1028" s="22" t="s">
        <v>1333</v>
      </c>
      <c r="C1028" s="22" t="s">
        <v>273</v>
      </c>
      <c r="D1028" s="22" t="s">
        <v>274</v>
      </c>
      <c r="E1028" s="22" t="s">
        <v>11</v>
      </c>
      <c r="F1028" s="24" t="s">
        <v>1252</v>
      </c>
    </row>
    <row r="1029" ht="22.5" customHeight="1" spans="1:6">
      <c r="A1029" s="23">
        <v>1028</v>
      </c>
      <c r="B1029" s="23" t="s">
        <v>1334</v>
      </c>
      <c r="C1029" s="23" t="s">
        <v>273</v>
      </c>
      <c r="D1029" s="23" t="s">
        <v>274</v>
      </c>
      <c r="E1029" s="23" t="s">
        <v>11</v>
      </c>
      <c r="F1029" s="25" t="s">
        <v>1252</v>
      </c>
    </row>
    <row r="1030" ht="22.5" customHeight="1" spans="1:6">
      <c r="A1030" s="22">
        <v>1029</v>
      </c>
      <c r="B1030" s="22" t="s">
        <v>1335</v>
      </c>
      <c r="C1030" s="22" t="s">
        <v>308</v>
      </c>
      <c r="D1030" s="22" t="s">
        <v>309</v>
      </c>
      <c r="E1030" s="22" t="s">
        <v>11</v>
      </c>
      <c r="F1030" s="24" t="s">
        <v>1252</v>
      </c>
    </row>
    <row r="1031" ht="22.5" customHeight="1" spans="1:6">
      <c r="A1031" s="23">
        <v>1030</v>
      </c>
      <c r="B1031" s="23" t="s">
        <v>1336</v>
      </c>
      <c r="C1031" s="23" t="s">
        <v>308</v>
      </c>
      <c r="D1031" s="23" t="s">
        <v>309</v>
      </c>
      <c r="E1031" s="23" t="s">
        <v>11</v>
      </c>
      <c r="F1031" s="25" t="s">
        <v>1252</v>
      </c>
    </row>
    <row r="1032" ht="22.5" customHeight="1" spans="1:6">
      <c r="A1032" s="22">
        <v>1031</v>
      </c>
      <c r="B1032" s="22" t="s">
        <v>1337</v>
      </c>
      <c r="C1032" s="22" t="s">
        <v>308</v>
      </c>
      <c r="D1032" s="22" t="s">
        <v>327</v>
      </c>
      <c r="E1032" s="22" t="s">
        <v>11</v>
      </c>
      <c r="F1032" s="24" t="s">
        <v>1252</v>
      </c>
    </row>
    <row r="1033" ht="22.5" customHeight="1" spans="1:6">
      <c r="A1033" s="23">
        <v>1032</v>
      </c>
      <c r="B1033" s="23" t="s">
        <v>1338</v>
      </c>
      <c r="C1033" s="23" t="s">
        <v>308</v>
      </c>
      <c r="D1033" s="23" t="s">
        <v>309</v>
      </c>
      <c r="E1033" s="23" t="s">
        <v>11</v>
      </c>
      <c r="F1033" s="25" t="s">
        <v>1252</v>
      </c>
    </row>
    <row r="1034" ht="22.5" customHeight="1" spans="1:6">
      <c r="A1034" s="22">
        <v>1033</v>
      </c>
      <c r="B1034" s="22" t="s">
        <v>1339</v>
      </c>
      <c r="C1034" s="22" t="s">
        <v>308</v>
      </c>
      <c r="D1034" s="22" t="s">
        <v>309</v>
      </c>
      <c r="E1034" s="22" t="s">
        <v>11</v>
      </c>
      <c r="F1034" s="24" t="s">
        <v>1252</v>
      </c>
    </row>
    <row r="1035" ht="22.5" customHeight="1" spans="1:6">
      <c r="A1035" s="23">
        <v>1034</v>
      </c>
      <c r="B1035" s="23" t="s">
        <v>1340</v>
      </c>
      <c r="C1035" s="23" t="s">
        <v>308</v>
      </c>
      <c r="D1035" s="23" t="s">
        <v>309</v>
      </c>
      <c r="E1035" s="23" t="s">
        <v>11</v>
      </c>
      <c r="F1035" s="25" t="s">
        <v>1252</v>
      </c>
    </row>
    <row r="1036" ht="22.5" customHeight="1" spans="1:6">
      <c r="A1036" s="22">
        <v>1035</v>
      </c>
      <c r="B1036" s="22" t="s">
        <v>1341</v>
      </c>
      <c r="C1036" s="22" t="s">
        <v>308</v>
      </c>
      <c r="D1036" s="22" t="s">
        <v>309</v>
      </c>
      <c r="E1036" s="22" t="s">
        <v>11</v>
      </c>
      <c r="F1036" s="24" t="s">
        <v>1252</v>
      </c>
    </row>
    <row r="1037" ht="22.5" customHeight="1" spans="1:6">
      <c r="A1037" s="23">
        <v>1036</v>
      </c>
      <c r="B1037" s="23" t="s">
        <v>1342</v>
      </c>
      <c r="C1037" s="23" t="s">
        <v>308</v>
      </c>
      <c r="D1037" s="23" t="s">
        <v>309</v>
      </c>
      <c r="E1037" s="23" t="s">
        <v>11</v>
      </c>
      <c r="F1037" s="25" t="s">
        <v>1252</v>
      </c>
    </row>
    <row r="1038" ht="22.5" customHeight="1" spans="1:6">
      <c r="A1038" s="22">
        <v>1037</v>
      </c>
      <c r="B1038" s="22" t="s">
        <v>1343</v>
      </c>
      <c r="C1038" s="22" t="s">
        <v>308</v>
      </c>
      <c r="D1038" s="22" t="s">
        <v>309</v>
      </c>
      <c r="E1038" s="22" t="s">
        <v>11</v>
      </c>
      <c r="F1038" s="24" t="s">
        <v>1252</v>
      </c>
    </row>
    <row r="1039" ht="22.5" customHeight="1" spans="1:6">
      <c r="A1039" s="23">
        <v>1038</v>
      </c>
      <c r="B1039" s="23" t="s">
        <v>1344</v>
      </c>
      <c r="C1039" s="23" t="s">
        <v>308</v>
      </c>
      <c r="D1039" s="23" t="s">
        <v>309</v>
      </c>
      <c r="E1039" s="23" t="s">
        <v>11</v>
      </c>
      <c r="F1039" s="25" t="s">
        <v>1252</v>
      </c>
    </row>
    <row r="1040" ht="22.5" customHeight="1" spans="1:6">
      <c r="A1040" s="22">
        <v>1039</v>
      </c>
      <c r="B1040" s="22" t="s">
        <v>1345</v>
      </c>
      <c r="C1040" s="22" t="s">
        <v>308</v>
      </c>
      <c r="D1040" s="22" t="s">
        <v>309</v>
      </c>
      <c r="E1040" s="22" t="s">
        <v>11</v>
      </c>
      <c r="F1040" s="24" t="s">
        <v>1252</v>
      </c>
    </row>
    <row r="1041" ht="22.5" customHeight="1" spans="1:6">
      <c r="A1041" s="23">
        <v>1040</v>
      </c>
      <c r="B1041" s="23" t="s">
        <v>1346</v>
      </c>
      <c r="C1041" s="23" t="s">
        <v>308</v>
      </c>
      <c r="D1041" s="23" t="s">
        <v>309</v>
      </c>
      <c r="E1041" s="23" t="s">
        <v>11</v>
      </c>
      <c r="F1041" s="25" t="s">
        <v>1252</v>
      </c>
    </row>
    <row r="1042" ht="22.5" customHeight="1" spans="1:6">
      <c r="A1042" s="22">
        <v>1041</v>
      </c>
      <c r="B1042" s="22" t="s">
        <v>1347</v>
      </c>
      <c r="C1042" s="22" t="s">
        <v>347</v>
      </c>
      <c r="D1042" s="22" t="s">
        <v>347</v>
      </c>
      <c r="E1042" s="22" t="s">
        <v>11</v>
      </c>
      <c r="F1042" s="24" t="s">
        <v>1252</v>
      </c>
    </row>
    <row r="1043" ht="22.5" customHeight="1" spans="1:6">
      <c r="A1043" s="23">
        <v>1042</v>
      </c>
      <c r="B1043" s="23" t="s">
        <v>1348</v>
      </c>
      <c r="C1043" s="23" t="s">
        <v>347</v>
      </c>
      <c r="D1043" s="23" t="s">
        <v>347</v>
      </c>
      <c r="E1043" s="23" t="s">
        <v>11</v>
      </c>
      <c r="F1043" s="25" t="s">
        <v>1252</v>
      </c>
    </row>
    <row r="1044" ht="22.5" customHeight="1" spans="1:6">
      <c r="A1044" s="22">
        <v>1043</v>
      </c>
      <c r="B1044" s="22" t="s">
        <v>1349</v>
      </c>
      <c r="C1044" s="22" t="s">
        <v>347</v>
      </c>
      <c r="D1044" s="22" t="s">
        <v>347</v>
      </c>
      <c r="E1044" s="22" t="s">
        <v>11</v>
      </c>
      <c r="F1044" s="24" t="s">
        <v>1252</v>
      </c>
    </row>
    <row r="1045" ht="22.5" customHeight="1" spans="1:6">
      <c r="A1045" s="23">
        <v>1044</v>
      </c>
      <c r="B1045" s="23" t="s">
        <v>1350</v>
      </c>
      <c r="C1045" s="23" t="s">
        <v>347</v>
      </c>
      <c r="D1045" s="23" t="s">
        <v>347</v>
      </c>
      <c r="E1045" s="23" t="s">
        <v>11</v>
      </c>
      <c r="F1045" s="25" t="s">
        <v>1252</v>
      </c>
    </row>
    <row r="1046" ht="22.5" customHeight="1" spans="1:6">
      <c r="A1046" s="22">
        <v>1045</v>
      </c>
      <c r="B1046" s="22" t="s">
        <v>1351</v>
      </c>
      <c r="C1046" s="22" t="s">
        <v>347</v>
      </c>
      <c r="D1046" s="22" t="s">
        <v>347</v>
      </c>
      <c r="E1046" s="22" t="s">
        <v>11</v>
      </c>
      <c r="F1046" s="24" t="s">
        <v>1252</v>
      </c>
    </row>
    <row r="1047" ht="22.5" customHeight="1" spans="1:6">
      <c r="A1047" s="23">
        <v>1046</v>
      </c>
      <c r="B1047" s="23" t="s">
        <v>1352</v>
      </c>
      <c r="C1047" s="23" t="s">
        <v>347</v>
      </c>
      <c r="D1047" s="23" t="s">
        <v>347</v>
      </c>
      <c r="E1047" s="23" t="s">
        <v>11</v>
      </c>
      <c r="F1047" s="25" t="s">
        <v>1252</v>
      </c>
    </row>
    <row r="1048" ht="22.5" customHeight="1" spans="1:6">
      <c r="A1048" s="22">
        <v>1047</v>
      </c>
      <c r="B1048" s="22" t="s">
        <v>1353</v>
      </c>
      <c r="C1048" s="22" t="s">
        <v>347</v>
      </c>
      <c r="D1048" s="22" t="s">
        <v>347</v>
      </c>
      <c r="E1048" s="22" t="s">
        <v>11</v>
      </c>
      <c r="F1048" s="24" t="s">
        <v>1252</v>
      </c>
    </row>
    <row r="1049" ht="22.5" customHeight="1" spans="1:6">
      <c r="A1049" s="23">
        <v>1048</v>
      </c>
      <c r="B1049" s="23" t="s">
        <v>1354</v>
      </c>
      <c r="C1049" s="23" t="s">
        <v>347</v>
      </c>
      <c r="D1049" s="23" t="s">
        <v>347</v>
      </c>
      <c r="E1049" s="23" t="s">
        <v>11</v>
      </c>
      <c r="F1049" s="25" t="s">
        <v>1252</v>
      </c>
    </row>
    <row r="1050" ht="22.5" customHeight="1" spans="1:6">
      <c r="A1050" s="22">
        <v>1049</v>
      </c>
      <c r="B1050" s="22" t="s">
        <v>1355</v>
      </c>
      <c r="C1050" s="22" t="s">
        <v>379</v>
      </c>
      <c r="D1050" s="22" t="s">
        <v>380</v>
      </c>
      <c r="E1050" s="22" t="s">
        <v>11</v>
      </c>
      <c r="F1050" s="24" t="s">
        <v>1252</v>
      </c>
    </row>
    <row r="1051" ht="22.5" customHeight="1" spans="1:6">
      <c r="A1051" s="23">
        <v>1050</v>
      </c>
      <c r="B1051" s="23" t="s">
        <v>1356</v>
      </c>
      <c r="C1051" s="23" t="s">
        <v>379</v>
      </c>
      <c r="D1051" s="23" t="s">
        <v>401</v>
      </c>
      <c r="E1051" s="23" t="s">
        <v>11</v>
      </c>
      <c r="F1051" s="25" t="s">
        <v>1252</v>
      </c>
    </row>
    <row r="1052" ht="22.5" customHeight="1" spans="1:6">
      <c r="A1052" s="22">
        <v>1051</v>
      </c>
      <c r="B1052" s="22" t="s">
        <v>1357</v>
      </c>
      <c r="C1052" s="22" t="s">
        <v>379</v>
      </c>
      <c r="D1052" s="22" t="s">
        <v>380</v>
      </c>
      <c r="E1052" s="22" t="s">
        <v>11</v>
      </c>
      <c r="F1052" s="24" t="s">
        <v>1252</v>
      </c>
    </row>
    <row r="1053" ht="22.5" customHeight="1" spans="1:6">
      <c r="A1053" s="23">
        <v>1052</v>
      </c>
      <c r="B1053" s="23" t="s">
        <v>1358</v>
      </c>
      <c r="C1053" s="23" t="s">
        <v>379</v>
      </c>
      <c r="D1053" s="23" t="s">
        <v>396</v>
      </c>
      <c r="E1053" s="23" t="s">
        <v>11</v>
      </c>
      <c r="F1053" s="25" t="s">
        <v>1252</v>
      </c>
    </row>
    <row r="1054" ht="22.5" customHeight="1" spans="1:6">
      <c r="A1054" s="22">
        <v>1053</v>
      </c>
      <c r="B1054" s="22" t="s">
        <v>1359</v>
      </c>
      <c r="C1054" s="22" t="s">
        <v>379</v>
      </c>
      <c r="D1054" s="22" t="s">
        <v>389</v>
      </c>
      <c r="E1054" s="22" t="s">
        <v>11</v>
      </c>
      <c r="F1054" s="24" t="s">
        <v>1252</v>
      </c>
    </row>
    <row r="1055" ht="22.5" customHeight="1" spans="1:6">
      <c r="A1055" s="23">
        <v>1054</v>
      </c>
      <c r="B1055" s="23" t="s">
        <v>1360</v>
      </c>
      <c r="C1055" s="23" t="s">
        <v>379</v>
      </c>
      <c r="D1055" s="23" t="s">
        <v>380</v>
      </c>
      <c r="E1055" s="23" t="s">
        <v>11</v>
      </c>
      <c r="F1055" s="25" t="s">
        <v>1252</v>
      </c>
    </row>
    <row r="1056" ht="22.5" customHeight="1" spans="1:6">
      <c r="A1056" s="22">
        <v>1055</v>
      </c>
      <c r="B1056" s="22" t="s">
        <v>1361</v>
      </c>
      <c r="C1056" s="22" t="s">
        <v>379</v>
      </c>
      <c r="D1056" s="22" t="s">
        <v>380</v>
      </c>
      <c r="E1056" s="22" t="s">
        <v>11</v>
      </c>
      <c r="F1056" s="24" t="s">
        <v>1252</v>
      </c>
    </row>
    <row r="1057" ht="22.5" customHeight="1" spans="1:6">
      <c r="A1057" s="23">
        <v>1056</v>
      </c>
      <c r="B1057" s="23" t="s">
        <v>1362</v>
      </c>
      <c r="C1057" s="23" t="s">
        <v>379</v>
      </c>
      <c r="D1057" s="23" t="s">
        <v>380</v>
      </c>
      <c r="E1057" s="23" t="s">
        <v>11</v>
      </c>
      <c r="F1057" s="25" t="s">
        <v>1252</v>
      </c>
    </row>
    <row r="1058" ht="22.5" customHeight="1" spans="1:6">
      <c r="A1058" s="22">
        <v>1057</v>
      </c>
      <c r="B1058" s="22" t="s">
        <v>1363</v>
      </c>
      <c r="C1058" s="22" t="s">
        <v>379</v>
      </c>
      <c r="D1058" s="22" t="s">
        <v>380</v>
      </c>
      <c r="E1058" s="22" t="s">
        <v>11</v>
      </c>
      <c r="F1058" s="24" t="s">
        <v>1252</v>
      </c>
    </row>
    <row r="1059" ht="22.5" customHeight="1" spans="1:6">
      <c r="A1059" s="23">
        <v>1058</v>
      </c>
      <c r="B1059" s="23" t="s">
        <v>1364</v>
      </c>
      <c r="C1059" s="23" t="s">
        <v>379</v>
      </c>
      <c r="D1059" s="23" t="s">
        <v>435</v>
      </c>
      <c r="E1059" s="23" t="s">
        <v>11</v>
      </c>
      <c r="F1059" s="25" t="s">
        <v>1252</v>
      </c>
    </row>
    <row r="1060" ht="22.5" customHeight="1" spans="1:6">
      <c r="A1060" s="22">
        <v>1059</v>
      </c>
      <c r="B1060" s="22" t="s">
        <v>1365</v>
      </c>
      <c r="C1060" s="22" t="s">
        <v>379</v>
      </c>
      <c r="D1060" s="22" t="s">
        <v>435</v>
      </c>
      <c r="E1060" s="22" t="s">
        <v>11</v>
      </c>
      <c r="F1060" s="24" t="s">
        <v>1252</v>
      </c>
    </row>
    <row r="1061" ht="22.5" customHeight="1" spans="1:6">
      <c r="A1061" s="23">
        <v>1060</v>
      </c>
      <c r="B1061" s="23" t="s">
        <v>1366</v>
      </c>
      <c r="C1061" s="23" t="s">
        <v>379</v>
      </c>
      <c r="D1061" s="23" t="s">
        <v>380</v>
      </c>
      <c r="E1061" s="23" t="s">
        <v>11</v>
      </c>
      <c r="F1061" s="25" t="s">
        <v>1252</v>
      </c>
    </row>
    <row r="1062" ht="22.5" customHeight="1" spans="1:6">
      <c r="A1062" s="22">
        <v>1061</v>
      </c>
      <c r="B1062" s="22" t="s">
        <v>1367</v>
      </c>
      <c r="C1062" s="22" t="s">
        <v>379</v>
      </c>
      <c r="D1062" s="22" t="s">
        <v>387</v>
      </c>
      <c r="E1062" s="22" t="s">
        <v>11</v>
      </c>
      <c r="F1062" s="24" t="s">
        <v>1252</v>
      </c>
    </row>
    <row r="1063" ht="22.5" customHeight="1" spans="1:6">
      <c r="A1063" s="23">
        <v>1062</v>
      </c>
      <c r="B1063" s="23" t="s">
        <v>1368</v>
      </c>
      <c r="C1063" s="23" t="s">
        <v>379</v>
      </c>
      <c r="D1063" s="23" t="s">
        <v>430</v>
      </c>
      <c r="E1063" s="23" t="s">
        <v>11</v>
      </c>
      <c r="F1063" s="25" t="s">
        <v>1252</v>
      </c>
    </row>
    <row r="1064" ht="22.5" customHeight="1" spans="1:6">
      <c r="A1064" s="22">
        <v>1063</v>
      </c>
      <c r="B1064" s="22" t="s">
        <v>1369</v>
      </c>
      <c r="C1064" s="22" t="s">
        <v>379</v>
      </c>
      <c r="D1064" s="22" t="s">
        <v>435</v>
      </c>
      <c r="E1064" s="22" t="s">
        <v>11</v>
      </c>
      <c r="F1064" s="24" t="s">
        <v>1252</v>
      </c>
    </row>
    <row r="1065" ht="22.5" customHeight="1" spans="1:6">
      <c r="A1065" s="23">
        <v>1064</v>
      </c>
      <c r="B1065" s="23" t="s">
        <v>1370</v>
      </c>
      <c r="C1065" s="23" t="s">
        <v>379</v>
      </c>
      <c r="D1065" s="23" t="s">
        <v>382</v>
      </c>
      <c r="E1065" s="23" t="s">
        <v>11</v>
      </c>
      <c r="F1065" s="25" t="s">
        <v>1252</v>
      </c>
    </row>
    <row r="1066" ht="22.5" customHeight="1" spans="1:6">
      <c r="A1066" s="22">
        <v>1065</v>
      </c>
      <c r="B1066" s="22" t="s">
        <v>1371</v>
      </c>
      <c r="C1066" s="22" t="s">
        <v>379</v>
      </c>
      <c r="D1066" s="22" t="s">
        <v>380</v>
      </c>
      <c r="E1066" s="22" t="s">
        <v>11</v>
      </c>
      <c r="F1066" s="24" t="s">
        <v>1252</v>
      </c>
    </row>
    <row r="1067" ht="22.5" customHeight="1" spans="1:6">
      <c r="A1067" s="23">
        <v>1066</v>
      </c>
      <c r="B1067" s="23" t="s">
        <v>1372</v>
      </c>
      <c r="C1067" s="23" t="s">
        <v>379</v>
      </c>
      <c r="D1067" s="23" t="s">
        <v>387</v>
      </c>
      <c r="E1067" s="23" t="s">
        <v>11</v>
      </c>
      <c r="F1067" s="25" t="s">
        <v>1252</v>
      </c>
    </row>
    <row r="1068" ht="22.5" customHeight="1" spans="1:6">
      <c r="A1068" s="22">
        <v>1067</v>
      </c>
      <c r="B1068" s="22" t="s">
        <v>1373</v>
      </c>
      <c r="C1068" s="22" t="s">
        <v>379</v>
      </c>
      <c r="D1068" s="22" t="s">
        <v>424</v>
      </c>
      <c r="E1068" s="22" t="s">
        <v>11</v>
      </c>
      <c r="F1068" s="24" t="s">
        <v>1252</v>
      </c>
    </row>
    <row r="1069" ht="22.5" customHeight="1" spans="1:6">
      <c r="A1069" s="23">
        <v>1068</v>
      </c>
      <c r="B1069" s="23" t="s">
        <v>1374</v>
      </c>
      <c r="C1069" s="23" t="s">
        <v>379</v>
      </c>
      <c r="D1069" s="23" t="s">
        <v>389</v>
      </c>
      <c r="E1069" s="23" t="s">
        <v>11</v>
      </c>
      <c r="F1069" s="25" t="s">
        <v>1252</v>
      </c>
    </row>
    <row r="1070" ht="22.5" customHeight="1" spans="1:6">
      <c r="A1070" s="22">
        <v>1069</v>
      </c>
      <c r="B1070" s="22" t="s">
        <v>1375</v>
      </c>
      <c r="C1070" s="22" t="s">
        <v>379</v>
      </c>
      <c r="D1070" s="22" t="s">
        <v>424</v>
      </c>
      <c r="E1070" s="22" t="s">
        <v>11</v>
      </c>
      <c r="F1070" s="24" t="s">
        <v>1252</v>
      </c>
    </row>
    <row r="1071" ht="22.5" customHeight="1" spans="1:6">
      <c r="A1071" s="23">
        <v>1070</v>
      </c>
      <c r="B1071" s="23" t="s">
        <v>1376</v>
      </c>
      <c r="C1071" s="23" t="s">
        <v>379</v>
      </c>
      <c r="D1071" s="23" t="s">
        <v>380</v>
      </c>
      <c r="E1071" s="23" t="s">
        <v>11</v>
      </c>
      <c r="F1071" s="25" t="s">
        <v>1252</v>
      </c>
    </row>
    <row r="1072" ht="22.5" customHeight="1" spans="1:6">
      <c r="A1072" s="22">
        <v>1071</v>
      </c>
      <c r="B1072" s="22" t="s">
        <v>1377</v>
      </c>
      <c r="C1072" s="22" t="s">
        <v>379</v>
      </c>
      <c r="D1072" s="22" t="s">
        <v>382</v>
      </c>
      <c r="E1072" s="22" t="s">
        <v>11</v>
      </c>
      <c r="F1072" s="24" t="s">
        <v>1252</v>
      </c>
    </row>
    <row r="1073" ht="22.5" customHeight="1" spans="1:6">
      <c r="A1073" s="23">
        <v>1072</v>
      </c>
      <c r="B1073" s="23" t="s">
        <v>1378</v>
      </c>
      <c r="C1073" s="23" t="s">
        <v>379</v>
      </c>
      <c r="D1073" s="23" t="s">
        <v>435</v>
      </c>
      <c r="E1073" s="23" t="s">
        <v>11</v>
      </c>
      <c r="F1073" s="25" t="s">
        <v>1252</v>
      </c>
    </row>
    <row r="1074" ht="22.5" customHeight="1" spans="1:6">
      <c r="A1074" s="22">
        <v>1073</v>
      </c>
      <c r="B1074" s="22" t="s">
        <v>1379</v>
      </c>
      <c r="C1074" s="22" t="s">
        <v>379</v>
      </c>
      <c r="D1074" s="22" t="s">
        <v>401</v>
      </c>
      <c r="E1074" s="22" t="s">
        <v>11</v>
      </c>
      <c r="F1074" s="24" t="s">
        <v>1252</v>
      </c>
    </row>
    <row r="1075" ht="22.5" customHeight="1" spans="1:6">
      <c r="A1075" s="23">
        <v>1074</v>
      </c>
      <c r="B1075" s="23" t="s">
        <v>1380</v>
      </c>
      <c r="C1075" s="23" t="s">
        <v>379</v>
      </c>
      <c r="D1075" s="23" t="s">
        <v>380</v>
      </c>
      <c r="E1075" s="23" t="s">
        <v>11</v>
      </c>
      <c r="F1075" s="25" t="s">
        <v>1252</v>
      </c>
    </row>
    <row r="1076" ht="22.5" customHeight="1" spans="1:6">
      <c r="A1076" s="22">
        <v>1075</v>
      </c>
      <c r="B1076" s="22" t="s">
        <v>1381</v>
      </c>
      <c r="C1076" s="22" t="s">
        <v>448</v>
      </c>
      <c r="D1076" s="22" t="s">
        <v>449</v>
      </c>
      <c r="E1076" s="22" t="s">
        <v>11</v>
      </c>
      <c r="F1076" s="24" t="s">
        <v>1252</v>
      </c>
    </row>
    <row r="1077" ht="22.5" customHeight="1" spans="1:6">
      <c r="A1077" s="23">
        <v>1076</v>
      </c>
      <c r="B1077" s="23" t="s">
        <v>1382</v>
      </c>
      <c r="C1077" s="23" t="s">
        <v>448</v>
      </c>
      <c r="D1077" s="23" t="s">
        <v>465</v>
      </c>
      <c r="E1077" s="23" t="s">
        <v>11</v>
      </c>
      <c r="F1077" s="25" t="s">
        <v>1252</v>
      </c>
    </row>
    <row r="1078" ht="22.5" customHeight="1" spans="1:6">
      <c r="A1078" s="22">
        <v>1077</v>
      </c>
      <c r="B1078" s="22" t="s">
        <v>1383</v>
      </c>
      <c r="C1078" s="22" t="s">
        <v>448</v>
      </c>
      <c r="D1078" s="22" t="s">
        <v>477</v>
      </c>
      <c r="E1078" s="22" t="s">
        <v>11</v>
      </c>
      <c r="F1078" s="24" t="s">
        <v>1252</v>
      </c>
    </row>
    <row r="1079" ht="22.5" customHeight="1" spans="1:6">
      <c r="A1079" s="23">
        <v>1078</v>
      </c>
      <c r="B1079" s="23" t="s">
        <v>1384</v>
      </c>
      <c r="C1079" s="23" t="s">
        <v>448</v>
      </c>
      <c r="D1079" s="23" t="s">
        <v>460</v>
      </c>
      <c r="E1079" s="23" t="s">
        <v>11</v>
      </c>
      <c r="F1079" s="25" t="s">
        <v>1252</v>
      </c>
    </row>
    <row r="1080" ht="22.5" customHeight="1" spans="1:6">
      <c r="A1080" s="22">
        <v>1079</v>
      </c>
      <c r="B1080" s="22" t="s">
        <v>1385</v>
      </c>
      <c r="C1080" s="22" t="s">
        <v>448</v>
      </c>
      <c r="D1080" s="22" t="s">
        <v>449</v>
      </c>
      <c r="E1080" s="22" t="s">
        <v>11</v>
      </c>
      <c r="F1080" s="24" t="s">
        <v>1252</v>
      </c>
    </row>
    <row r="1081" ht="22.5" customHeight="1" spans="1:6">
      <c r="A1081" s="23">
        <v>1080</v>
      </c>
      <c r="B1081" s="23" t="s">
        <v>1386</v>
      </c>
      <c r="C1081" s="23" t="s">
        <v>448</v>
      </c>
      <c r="D1081" s="23" t="s">
        <v>460</v>
      </c>
      <c r="E1081" s="23" t="s">
        <v>11</v>
      </c>
      <c r="F1081" s="25" t="s">
        <v>1252</v>
      </c>
    </row>
    <row r="1082" ht="22.5" customHeight="1" spans="1:6">
      <c r="A1082" s="22">
        <v>1081</v>
      </c>
      <c r="B1082" s="22" t="s">
        <v>1387</v>
      </c>
      <c r="C1082" s="22" t="s">
        <v>448</v>
      </c>
      <c r="D1082" s="22" t="s">
        <v>477</v>
      </c>
      <c r="E1082" s="22" t="s">
        <v>11</v>
      </c>
      <c r="F1082" s="24" t="s">
        <v>1252</v>
      </c>
    </row>
    <row r="1083" ht="22.5" customHeight="1" spans="1:6">
      <c r="A1083" s="23">
        <v>1082</v>
      </c>
      <c r="B1083" s="23" t="s">
        <v>1388</v>
      </c>
      <c r="C1083" s="23" t="s">
        <v>448</v>
      </c>
      <c r="D1083" s="23" t="s">
        <v>449</v>
      </c>
      <c r="E1083" s="23" t="s">
        <v>11</v>
      </c>
      <c r="F1083" s="25" t="s">
        <v>1252</v>
      </c>
    </row>
    <row r="1084" ht="22.5" customHeight="1" spans="1:6">
      <c r="A1084" s="22">
        <v>1083</v>
      </c>
      <c r="B1084" s="22" t="s">
        <v>1389</v>
      </c>
      <c r="C1084" s="22" t="s">
        <v>448</v>
      </c>
      <c r="D1084" s="22" t="s">
        <v>449</v>
      </c>
      <c r="E1084" s="22" t="s">
        <v>11</v>
      </c>
      <c r="F1084" s="24" t="s">
        <v>1252</v>
      </c>
    </row>
    <row r="1085" ht="22.5" customHeight="1" spans="1:6">
      <c r="A1085" s="23">
        <v>1084</v>
      </c>
      <c r="B1085" s="23" t="s">
        <v>1390</v>
      </c>
      <c r="C1085" s="23" t="s">
        <v>448</v>
      </c>
      <c r="D1085" s="23" t="s">
        <v>465</v>
      </c>
      <c r="E1085" s="23" t="s">
        <v>11</v>
      </c>
      <c r="F1085" s="25" t="s">
        <v>1252</v>
      </c>
    </row>
    <row r="1086" ht="22.5" customHeight="1" spans="1:6">
      <c r="A1086" s="22">
        <v>1085</v>
      </c>
      <c r="B1086" s="22" t="s">
        <v>1391</v>
      </c>
      <c r="C1086" s="22" t="s">
        <v>448</v>
      </c>
      <c r="D1086" s="22" t="s">
        <v>457</v>
      </c>
      <c r="E1086" s="22" t="s">
        <v>11</v>
      </c>
      <c r="F1086" s="24" t="s">
        <v>1252</v>
      </c>
    </row>
    <row r="1087" ht="22.5" customHeight="1" spans="1:6">
      <c r="A1087" s="23">
        <v>1086</v>
      </c>
      <c r="B1087" s="23" t="s">
        <v>1392</v>
      </c>
      <c r="C1087" s="23" t="s">
        <v>448</v>
      </c>
      <c r="D1087" s="23" t="s">
        <v>449</v>
      </c>
      <c r="E1087" s="23" t="s">
        <v>11</v>
      </c>
      <c r="F1087" s="25" t="s">
        <v>1252</v>
      </c>
    </row>
    <row r="1088" ht="22.5" customHeight="1" spans="1:6">
      <c r="A1088" s="22">
        <v>1087</v>
      </c>
      <c r="B1088" s="22" t="s">
        <v>1393</v>
      </c>
      <c r="C1088" s="22" t="s">
        <v>448</v>
      </c>
      <c r="D1088" s="22" t="s">
        <v>449</v>
      </c>
      <c r="E1088" s="22" t="s">
        <v>11</v>
      </c>
      <c r="F1088" s="24" t="s">
        <v>1252</v>
      </c>
    </row>
    <row r="1089" ht="22.5" customHeight="1" spans="1:6">
      <c r="A1089" s="23">
        <v>1088</v>
      </c>
      <c r="B1089" s="23" t="s">
        <v>1394</v>
      </c>
      <c r="C1089" s="23" t="s">
        <v>448</v>
      </c>
      <c r="D1089" s="23" t="s">
        <v>449</v>
      </c>
      <c r="E1089" s="23" t="s">
        <v>11</v>
      </c>
      <c r="F1089" s="25" t="s">
        <v>1252</v>
      </c>
    </row>
    <row r="1090" ht="22.5" customHeight="1" spans="1:6">
      <c r="A1090" s="22">
        <v>1089</v>
      </c>
      <c r="B1090" s="22" t="s">
        <v>1395</v>
      </c>
      <c r="C1090" s="22" t="s">
        <v>448</v>
      </c>
      <c r="D1090" s="22" t="s">
        <v>449</v>
      </c>
      <c r="E1090" s="22" t="s">
        <v>11</v>
      </c>
      <c r="F1090" s="24" t="s">
        <v>1252</v>
      </c>
    </row>
    <row r="1091" ht="22.5" customHeight="1" spans="1:6">
      <c r="A1091" s="23">
        <v>1090</v>
      </c>
      <c r="B1091" s="23" t="s">
        <v>1396</v>
      </c>
      <c r="C1091" s="23" t="s">
        <v>448</v>
      </c>
      <c r="D1091" s="23" t="s">
        <v>473</v>
      </c>
      <c r="E1091" s="23" t="s">
        <v>11</v>
      </c>
      <c r="F1091" s="25" t="s">
        <v>1252</v>
      </c>
    </row>
    <row r="1092" ht="22.5" customHeight="1" spans="1:6">
      <c r="A1092" s="22">
        <v>1091</v>
      </c>
      <c r="B1092" s="22" t="s">
        <v>1397</v>
      </c>
      <c r="C1092" s="22" t="s">
        <v>448</v>
      </c>
      <c r="D1092" s="22" t="s">
        <v>457</v>
      </c>
      <c r="E1092" s="22" t="s">
        <v>11</v>
      </c>
      <c r="F1092" s="24" t="s">
        <v>1252</v>
      </c>
    </row>
    <row r="1093" ht="22.5" customHeight="1" spans="1:6">
      <c r="A1093" s="23">
        <v>1092</v>
      </c>
      <c r="B1093" s="23" t="s">
        <v>1398</v>
      </c>
      <c r="C1093" s="23" t="s">
        <v>448</v>
      </c>
      <c r="D1093" s="23" t="s">
        <v>473</v>
      </c>
      <c r="E1093" s="23" t="s">
        <v>11</v>
      </c>
      <c r="F1093" s="25" t="s">
        <v>1252</v>
      </c>
    </row>
    <row r="1094" ht="22.5" customHeight="1" spans="1:6">
      <c r="A1094" s="22">
        <v>1093</v>
      </c>
      <c r="B1094" s="22" t="s">
        <v>1399</v>
      </c>
      <c r="C1094" s="22" t="s">
        <v>448</v>
      </c>
      <c r="D1094" s="22" t="s">
        <v>460</v>
      </c>
      <c r="E1094" s="22" t="s">
        <v>11</v>
      </c>
      <c r="F1094" s="24" t="s">
        <v>1252</v>
      </c>
    </row>
    <row r="1095" ht="22.5" customHeight="1" spans="1:6">
      <c r="A1095" s="23">
        <v>1094</v>
      </c>
      <c r="B1095" s="23" t="s">
        <v>1400</v>
      </c>
      <c r="C1095" s="23" t="s">
        <v>448</v>
      </c>
      <c r="D1095" s="23" t="s">
        <v>449</v>
      </c>
      <c r="E1095" s="23" t="s">
        <v>11</v>
      </c>
      <c r="F1095" s="25" t="s">
        <v>1252</v>
      </c>
    </row>
    <row r="1096" ht="22.5" customHeight="1" spans="1:6">
      <c r="A1096" s="22">
        <v>1095</v>
      </c>
      <c r="B1096" s="22" t="s">
        <v>1401</v>
      </c>
      <c r="C1096" s="22" t="s">
        <v>502</v>
      </c>
      <c r="D1096" s="22" t="s">
        <v>503</v>
      </c>
      <c r="E1096" s="22" t="s">
        <v>11</v>
      </c>
      <c r="F1096" s="24" t="s">
        <v>1252</v>
      </c>
    </row>
    <row r="1097" ht="22.5" customHeight="1" spans="1:6">
      <c r="A1097" s="23">
        <v>1096</v>
      </c>
      <c r="B1097" s="23" t="s">
        <v>1402</v>
      </c>
      <c r="C1097" s="23" t="s">
        <v>502</v>
      </c>
      <c r="D1097" s="23" t="s">
        <v>503</v>
      </c>
      <c r="E1097" s="23" t="s">
        <v>11</v>
      </c>
      <c r="F1097" s="25" t="s">
        <v>1252</v>
      </c>
    </row>
    <row r="1098" ht="22.5" customHeight="1" spans="1:6">
      <c r="A1098" s="22">
        <v>1097</v>
      </c>
      <c r="B1098" s="22" t="s">
        <v>1403</v>
      </c>
      <c r="C1098" s="22" t="s">
        <v>502</v>
      </c>
      <c r="D1098" s="22" t="s">
        <v>503</v>
      </c>
      <c r="E1098" s="22" t="s">
        <v>11</v>
      </c>
      <c r="F1098" s="24" t="s">
        <v>1252</v>
      </c>
    </row>
    <row r="1099" ht="22.5" customHeight="1" spans="1:6">
      <c r="A1099" s="23">
        <v>1098</v>
      </c>
      <c r="B1099" s="23" t="s">
        <v>1404</v>
      </c>
      <c r="C1099" s="23" t="s">
        <v>502</v>
      </c>
      <c r="D1099" s="23" t="s">
        <v>503</v>
      </c>
      <c r="E1099" s="23" t="s">
        <v>11</v>
      </c>
      <c r="F1099" s="25" t="s">
        <v>1252</v>
      </c>
    </row>
    <row r="1100" ht="22.5" customHeight="1" spans="1:6">
      <c r="A1100" s="22">
        <v>1099</v>
      </c>
      <c r="B1100" s="22" t="s">
        <v>1405</v>
      </c>
      <c r="C1100" s="22" t="s">
        <v>502</v>
      </c>
      <c r="D1100" s="22" t="s">
        <v>515</v>
      </c>
      <c r="E1100" s="22" t="s">
        <v>11</v>
      </c>
      <c r="F1100" s="24" t="s">
        <v>1252</v>
      </c>
    </row>
    <row r="1101" ht="22.5" customHeight="1" spans="1:6">
      <c r="A1101" s="23">
        <v>1100</v>
      </c>
      <c r="B1101" s="23" t="s">
        <v>1406</v>
      </c>
      <c r="C1101" s="23" t="s">
        <v>502</v>
      </c>
      <c r="D1101" s="23" t="s">
        <v>511</v>
      </c>
      <c r="E1101" s="23" t="s">
        <v>11</v>
      </c>
      <c r="F1101" s="25" t="s">
        <v>1252</v>
      </c>
    </row>
    <row r="1102" ht="22.5" customHeight="1" spans="1:6">
      <c r="A1102" s="22">
        <v>1101</v>
      </c>
      <c r="B1102" s="22" t="s">
        <v>1407</v>
      </c>
      <c r="C1102" s="22" t="s">
        <v>502</v>
      </c>
      <c r="D1102" s="22" t="s">
        <v>507</v>
      </c>
      <c r="E1102" s="22" t="s">
        <v>11</v>
      </c>
      <c r="F1102" s="24" t="s">
        <v>1252</v>
      </c>
    </row>
    <row r="1103" ht="22.5" customHeight="1" spans="1:6">
      <c r="A1103" s="23">
        <v>1102</v>
      </c>
      <c r="B1103" s="23" t="s">
        <v>1408</v>
      </c>
      <c r="C1103" s="23" t="s">
        <v>502</v>
      </c>
      <c r="D1103" s="23" t="s">
        <v>503</v>
      </c>
      <c r="E1103" s="23" t="s">
        <v>11</v>
      </c>
      <c r="F1103" s="25" t="s">
        <v>1252</v>
      </c>
    </row>
    <row r="1104" ht="22.5" customHeight="1" spans="1:6">
      <c r="A1104" s="22">
        <v>1103</v>
      </c>
      <c r="B1104" s="22" t="s">
        <v>1409</v>
      </c>
      <c r="C1104" s="22" t="s">
        <v>502</v>
      </c>
      <c r="D1104" s="22" t="s">
        <v>503</v>
      </c>
      <c r="E1104" s="22" t="s">
        <v>11</v>
      </c>
      <c r="F1104" s="24" t="s">
        <v>1252</v>
      </c>
    </row>
    <row r="1105" ht="22.5" customHeight="1" spans="1:6">
      <c r="A1105" s="23">
        <v>1104</v>
      </c>
      <c r="B1105" s="23" t="s">
        <v>1410</v>
      </c>
      <c r="C1105" s="23" t="s">
        <v>502</v>
      </c>
      <c r="D1105" s="23" t="s">
        <v>511</v>
      </c>
      <c r="E1105" s="23" t="s">
        <v>11</v>
      </c>
      <c r="F1105" s="25" t="s">
        <v>1252</v>
      </c>
    </row>
    <row r="1106" ht="22.5" customHeight="1" spans="1:6">
      <c r="A1106" s="22">
        <v>1105</v>
      </c>
      <c r="B1106" s="22" t="s">
        <v>1411</v>
      </c>
      <c r="C1106" s="22" t="s">
        <v>502</v>
      </c>
      <c r="D1106" s="22" t="s">
        <v>503</v>
      </c>
      <c r="E1106" s="22" t="s">
        <v>11</v>
      </c>
      <c r="F1106" s="24" t="s">
        <v>1252</v>
      </c>
    </row>
    <row r="1107" ht="22.5" customHeight="1" spans="1:6">
      <c r="A1107" s="23">
        <v>1106</v>
      </c>
      <c r="B1107" s="23" t="s">
        <v>1412</v>
      </c>
      <c r="C1107" s="23" t="s">
        <v>502</v>
      </c>
      <c r="D1107" s="23" t="s">
        <v>520</v>
      </c>
      <c r="E1107" s="23" t="s">
        <v>11</v>
      </c>
      <c r="F1107" s="25" t="s">
        <v>1252</v>
      </c>
    </row>
    <row r="1108" ht="22.5" customHeight="1" spans="1:6">
      <c r="A1108" s="22">
        <v>1107</v>
      </c>
      <c r="B1108" s="22" t="s">
        <v>1413</v>
      </c>
      <c r="C1108" s="22" t="s">
        <v>502</v>
      </c>
      <c r="D1108" s="22" t="s">
        <v>524</v>
      </c>
      <c r="E1108" s="22" t="s">
        <v>11</v>
      </c>
      <c r="F1108" s="24" t="s">
        <v>1252</v>
      </c>
    </row>
    <row r="1109" ht="22.5" customHeight="1" spans="1:6">
      <c r="A1109" s="23">
        <v>1108</v>
      </c>
      <c r="B1109" s="23" t="s">
        <v>1414</v>
      </c>
      <c r="C1109" s="23" t="s">
        <v>502</v>
      </c>
      <c r="D1109" s="23" t="s">
        <v>507</v>
      </c>
      <c r="E1109" s="23" t="s">
        <v>11</v>
      </c>
      <c r="F1109" s="25" t="s">
        <v>1252</v>
      </c>
    </row>
    <row r="1110" ht="22.5" customHeight="1" spans="1:6">
      <c r="A1110" s="22">
        <v>1109</v>
      </c>
      <c r="B1110" s="22" t="s">
        <v>1415</v>
      </c>
      <c r="C1110" s="22" t="s">
        <v>553</v>
      </c>
      <c r="D1110" s="22" t="s">
        <v>556</v>
      </c>
      <c r="E1110" s="22" t="s">
        <v>11</v>
      </c>
      <c r="F1110" s="24" t="s">
        <v>1252</v>
      </c>
    </row>
    <row r="1111" ht="22.5" customHeight="1" spans="1:6">
      <c r="A1111" s="23">
        <v>1110</v>
      </c>
      <c r="B1111" s="23" t="s">
        <v>1416</v>
      </c>
      <c r="C1111" s="23" t="s">
        <v>553</v>
      </c>
      <c r="D1111" s="23" t="s">
        <v>554</v>
      </c>
      <c r="E1111" s="23" t="s">
        <v>11</v>
      </c>
      <c r="F1111" s="25" t="s">
        <v>1252</v>
      </c>
    </row>
    <row r="1112" ht="22.5" customHeight="1" spans="1:6">
      <c r="A1112" s="22">
        <v>1111</v>
      </c>
      <c r="B1112" s="22" t="s">
        <v>1417</v>
      </c>
      <c r="C1112" s="22" t="s">
        <v>553</v>
      </c>
      <c r="D1112" s="22" t="s">
        <v>556</v>
      </c>
      <c r="E1112" s="22" t="s">
        <v>11</v>
      </c>
      <c r="F1112" s="24" t="s">
        <v>1252</v>
      </c>
    </row>
    <row r="1113" ht="22.5" customHeight="1" spans="1:6">
      <c r="A1113" s="23">
        <v>1112</v>
      </c>
      <c r="B1113" s="23" t="s">
        <v>1418</v>
      </c>
      <c r="C1113" s="23" t="s">
        <v>553</v>
      </c>
      <c r="D1113" s="23" t="s">
        <v>556</v>
      </c>
      <c r="E1113" s="23" t="s">
        <v>11</v>
      </c>
      <c r="F1113" s="25" t="s">
        <v>1252</v>
      </c>
    </row>
    <row r="1114" ht="22.5" customHeight="1" spans="1:6">
      <c r="A1114" s="22">
        <v>1113</v>
      </c>
      <c r="B1114" s="22" t="s">
        <v>1419</v>
      </c>
      <c r="C1114" s="22" t="s">
        <v>553</v>
      </c>
      <c r="D1114" s="22" t="s">
        <v>556</v>
      </c>
      <c r="E1114" s="22" t="s">
        <v>11</v>
      </c>
      <c r="F1114" s="24" t="s">
        <v>1252</v>
      </c>
    </row>
    <row r="1115" ht="22.5" customHeight="1" spans="1:6">
      <c r="A1115" s="23">
        <v>1114</v>
      </c>
      <c r="B1115" s="23" t="s">
        <v>1420</v>
      </c>
      <c r="C1115" s="23" t="s">
        <v>553</v>
      </c>
      <c r="D1115" s="23" t="s">
        <v>558</v>
      </c>
      <c r="E1115" s="23" t="s">
        <v>11</v>
      </c>
      <c r="F1115" s="25" t="s">
        <v>1252</v>
      </c>
    </row>
    <row r="1116" ht="22.5" customHeight="1" spans="1:6">
      <c r="A1116" s="22">
        <v>1115</v>
      </c>
      <c r="B1116" s="22" t="s">
        <v>1421</v>
      </c>
      <c r="C1116" s="22" t="s">
        <v>553</v>
      </c>
      <c r="D1116" s="22" t="s">
        <v>554</v>
      </c>
      <c r="E1116" s="22" t="s">
        <v>11</v>
      </c>
      <c r="F1116" s="24" t="s">
        <v>1252</v>
      </c>
    </row>
    <row r="1117" ht="22.5" customHeight="1" spans="1:6">
      <c r="A1117" s="23">
        <v>1116</v>
      </c>
      <c r="B1117" s="23" t="s">
        <v>1422</v>
      </c>
      <c r="C1117" s="23" t="s">
        <v>553</v>
      </c>
      <c r="D1117" s="23" t="s">
        <v>558</v>
      </c>
      <c r="E1117" s="23" t="s">
        <v>11</v>
      </c>
      <c r="F1117" s="25" t="s">
        <v>1252</v>
      </c>
    </row>
    <row r="1118" ht="22.5" customHeight="1" spans="1:6">
      <c r="A1118" s="22">
        <v>1117</v>
      </c>
      <c r="B1118" s="22" t="s">
        <v>1423</v>
      </c>
      <c r="C1118" s="22" t="s">
        <v>553</v>
      </c>
      <c r="D1118" s="22" t="s">
        <v>572</v>
      </c>
      <c r="E1118" s="22" t="s">
        <v>11</v>
      </c>
      <c r="F1118" s="24" t="s">
        <v>1252</v>
      </c>
    </row>
    <row r="1119" ht="22.5" customHeight="1" spans="1:6">
      <c r="A1119" s="23">
        <v>1118</v>
      </c>
      <c r="B1119" s="23" t="s">
        <v>1424</v>
      </c>
      <c r="C1119" s="23" t="s">
        <v>553</v>
      </c>
      <c r="D1119" s="23" t="s">
        <v>558</v>
      </c>
      <c r="E1119" s="23" t="s">
        <v>11</v>
      </c>
      <c r="F1119" s="25" t="s">
        <v>1252</v>
      </c>
    </row>
    <row r="1120" ht="22.5" customHeight="1" spans="1:6">
      <c r="A1120" s="22">
        <v>1119</v>
      </c>
      <c r="B1120" s="22" t="s">
        <v>1425</v>
      </c>
      <c r="C1120" s="22" t="s">
        <v>553</v>
      </c>
      <c r="D1120" s="22" t="s">
        <v>554</v>
      </c>
      <c r="E1120" s="22" t="s">
        <v>11</v>
      </c>
      <c r="F1120" s="24" t="s">
        <v>1252</v>
      </c>
    </row>
    <row r="1121" ht="22.5" customHeight="1" spans="1:6">
      <c r="A1121" s="23">
        <v>1120</v>
      </c>
      <c r="B1121" s="23" t="s">
        <v>1426</v>
      </c>
      <c r="C1121" s="23" t="s">
        <v>553</v>
      </c>
      <c r="D1121" s="23" t="s">
        <v>558</v>
      </c>
      <c r="E1121" s="23" t="s">
        <v>11</v>
      </c>
      <c r="F1121" s="25" t="s">
        <v>1252</v>
      </c>
    </row>
    <row r="1122" ht="22.5" customHeight="1" spans="1:6">
      <c r="A1122" s="22">
        <v>1121</v>
      </c>
      <c r="B1122" s="22" t="s">
        <v>1427</v>
      </c>
      <c r="C1122" s="22" t="s">
        <v>553</v>
      </c>
      <c r="D1122" s="22" t="s">
        <v>558</v>
      </c>
      <c r="E1122" s="22" t="s">
        <v>11</v>
      </c>
      <c r="F1122" s="24" t="s">
        <v>1252</v>
      </c>
    </row>
    <row r="1123" ht="22.5" customHeight="1" spans="1:6">
      <c r="A1123" s="23">
        <v>1122</v>
      </c>
      <c r="B1123" s="23" t="s">
        <v>1428</v>
      </c>
      <c r="C1123" s="23" t="s">
        <v>553</v>
      </c>
      <c r="D1123" s="23" t="s">
        <v>556</v>
      </c>
      <c r="E1123" s="23" t="s">
        <v>11</v>
      </c>
      <c r="F1123" s="25" t="s">
        <v>1252</v>
      </c>
    </row>
    <row r="1124" ht="22.5" customHeight="1" spans="1:6">
      <c r="A1124" s="22">
        <v>1123</v>
      </c>
      <c r="B1124" s="22" t="s">
        <v>1429</v>
      </c>
      <c r="C1124" s="22" t="s">
        <v>553</v>
      </c>
      <c r="D1124" s="22" t="s">
        <v>558</v>
      </c>
      <c r="E1124" s="22" t="s">
        <v>11</v>
      </c>
      <c r="F1124" s="24" t="s">
        <v>1252</v>
      </c>
    </row>
    <row r="1125" ht="22.5" customHeight="1" spans="1:6">
      <c r="A1125" s="23">
        <v>1124</v>
      </c>
      <c r="B1125" s="23" t="s">
        <v>1430</v>
      </c>
      <c r="C1125" s="23" t="s">
        <v>553</v>
      </c>
      <c r="D1125" s="23" t="s">
        <v>558</v>
      </c>
      <c r="E1125" s="23" t="s">
        <v>11</v>
      </c>
      <c r="F1125" s="25" t="s">
        <v>1252</v>
      </c>
    </row>
    <row r="1126" ht="22.5" customHeight="1" spans="1:6">
      <c r="A1126" s="22">
        <v>1125</v>
      </c>
      <c r="B1126" s="22" t="s">
        <v>1431</v>
      </c>
      <c r="C1126" s="22" t="s">
        <v>587</v>
      </c>
      <c r="D1126" s="22" t="s">
        <v>588</v>
      </c>
      <c r="E1126" s="22" t="s">
        <v>11</v>
      </c>
      <c r="F1126" s="24" t="s">
        <v>1252</v>
      </c>
    </row>
    <row r="1127" ht="22.5" customHeight="1" spans="1:6">
      <c r="A1127" s="23">
        <v>1126</v>
      </c>
      <c r="B1127" s="23" t="s">
        <v>1432</v>
      </c>
      <c r="C1127" s="23" t="s">
        <v>587</v>
      </c>
      <c r="D1127" s="23" t="s">
        <v>616</v>
      </c>
      <c r="E1127" s="23" t="s">
        <v>11</v>
      </c>
      <c r="F1127" s="25" t="s">
        <v>1252</v>
      </c>
    </row>
    <row r="1128" ht="22.5" customHeight="1" spans="1:6">
      <c r="A1128" s="22">
        <v>1127</v>
      </c>
      <c r="B1128" s="22" t="s">
        <v>1433</v>
      </c>
      <c r="C1128" s="22" t="s">
        <v>587</v>
      </c>
      <c r="D1128" s="22" t="s">
        <v>588</v>
      </c>
      <c r="E1128" s="22" t="s">
        <v>11</v>
      </c>
      <c r="F1128" s="24" t="s">
        <v>1252</v>
      </c>
    </row>
    <row r="1129" ht="22.5" customHeight="1" spans="1:6">
      <c r="A1129" s="23">
        <v>1128</v>
      </c>
      <c r="B1129" s="23" t="s">
        <v>1434</v>
      </c>
      <c r="C1129" s="23" t="s">
        <v>587</v>
      </c>
      <c r="D1129" s="23" t="s">
        <v>588</v>
      </c>
      <c r="E1129" s="23" t="s">
        <v>11</v>
      </c>
      <c r="F1129" s="25" t="s">
        <v>1252</v>
      </c>
    </row>
    <row r="1130" ht="22.5" customHeight="1" spans="1:6">
      <c r="A1130" s="22">
        <v>1129</v>
      </c>
      <c r="B1130" s="22" t="s">
        <v>1435</v>
      </c>
      <c r="C1130" s="22" t="s">
        <v>587</v>
      </c>
      <c r="D1130" s="22" t="s">
        <v>588</v>
      </c>
      <c r="E1130" s="22" t="s">
        <v>11</v>
      </c>
      <c r="F1130" s="24" t="s">
        <v>1252</v>
      </c>
    </row>
    <row r="1131" ht="22.5" customHeight="1" spans="1:6">
      <c r="A1131" s="23">
        <v>1130</v>
      </c>
      <c r="B1131" s="23" t="s">
        <v>1436</v>
      </c>
      <c r="C1131" s="23" t="s">
        <v>587</v>
      </c>
      <c r="D1131" s="23" t="s">
        <v>588</v>
      </c>
      <c r="E1131" s="23" t="s">
        <v>11</v>
      </c>
      <c r="F1131" s="25" t="s">
        <v>1252</v>
      </c>
    </row>
    <row r="1132" ht="22.5" customHeight="1" spans="1:6">
      <c r="A1132" s="22">
        <v>1131</v>
      </c>
      <c r="B1132" s="22" t="s">
        <v>1437</v>
      </c>
      <c r="C1132" s="22" t="s">
        <v>587</v>
      </c>
      <c r="D1132" s="22" t="s">
        <v>588</v>
      </c>
      <c r="E1132" s="22" t="s">
        <v>11</v>
      </c>
      <c r="F1132" s="24" t="s">
        <v>1252</v>
      </c>
    </row>
    <row r="1133" ht="22.5" customHeight="1" spans="1:6">
      <c r="A1133" s="23">
        <v>1132</v>
      </c>
      <c r="B1133" s="23" t="s">
        <v>1438</v>
      </c>
      <c r="C1133" s="23" t="s">
        <v>587</v>
      </c>
      <c r="D1133" s="23" t="s">
        <v>588</v>
      </c>
      <c r="E1133" s="23" t="s">
        <v>11</v>
      </c>
      <c r="F1133" s="25" t="s">
        <v>1252</v>
      </c>
    </row>
    <row r="1134" ht="22.5" customHeight="1" spans="1:6">
      <c r="A1134" s="22">
        <v>1133</v>
      </c>
      <c r="B1134" s="22" t="s">
        <v>1439</v>
      </c>
      <c r="C1134" s="22" t="s">
        <v>587</v>
      </c>
      <c r="D1134" s="22" t="s">
        <v>618</v>
      </c>
      <c r="E1134" s="22" t="s">
        <v>11</v>
      </c>
      <c r="F1134" s="24" t="s">
        <v>1252</v>
      </c>
    </row>
    <row r="1135" ht="22.5" customHeight="1" spans="1:6">
      <c r="A1135" s="23">
        <v>1134</v>
      </c>
      <c r="B1135" s="23" t="s">
        <v>1440</v>
      </c>
      <c r="C1135" s="23" t="s">
        <v>587</v>
      </c>
      <c r="D1135" s="23" t="s">
        <v>588</v>
      </c>
      <c r="E1135" s="23" t="s">
        <v>11</v>
      </c>
      <c r="F1135" s="25" t="s">
        <v>1252</v>
      </c>
    </row>
    <row r="1136" ht="22.5" customHeight="1" spans="1:6">
      <c r="A1136" s="22">
        <v>1135</v>
      </c>
      <c r="B1136" s="22" t="s">
        <v>1441</v>
      </c>
      <c r="C1136" s="22" t="s">
        <v>587</v>
      </c>
      <c r="D1136" s="22" t="s">
        <v>588</v>
      </c>
      <c r="E1136" s="22" t="s">
        <v>11</v>
      </c>
      <c r="F1136" s="24" t="s">
        <v>1252</v>
      </c>
    </row>
    <row r="1137" ht="22.5" customHeight="1" spans="1:6">
      <c r="A1137" s="23">
        <v>1136</v>
      </c>
      <c r="B1137" s="23" t="s">
        <v>1442</v>
      </c>
      <c r="C1137" s="23" t="s">
        <v>587</v>
      </c>
      <c r="D1137" s="23" t="s">
        <v>596</v>
      </c>
      <c r="E1137" s="23" t="s">
        <v>11</v>
      </c>
      <c r="F1137" s="25" t="s">
        <v>1252</v>
      </c>
    </row>
    <row r="1138" ht="22.5" customHeight="1" spans="1:6">
      <c r="A1138" s="22">
        <v>1137</v>
      </c>
      <c r="B1138" s="22" t="s">
        <v>1443</v>
      </c>
      <c r="C1138" s="22" t="s">
        <v>587</v>
      </c>
      <c r="D1138" s="22" t="s">
        <v>588</v>
      </c>
      <c r="E1138" s="22" t="s">
        <v>11</v>
      </c>
      <c r="F1138" s="24" t="s">
        <v>1252</v>
      </c>
    </row>
    <row r="1139" ht="22.5" customHeight="1" spans="1:6">
      <c r="A1139" s="23">
        <v>1138</v>
      </c>
      <c r="B1139" s="23" t="s">
        <v>1444</v>
      </c>
      <c r="C1139" s="23" t="s">
        <v>587</v>
      </c>
      <c r="D1139" s="23" t="s">
        <v>588</v>
      </c>
      <c r="E1139" s="23" t="s">
        <v>11</v>
      </c>
      <c r="F1139" s="25" t="s">
        <v>1252</v>
      </c>
    </row>
    <row r="1140" ht="22.5" customHeight="1" spans="1:6">
      <c r="A1140" s="22">
        <v>1139</v>
      </c>
      <c r="B1140" s="22" t="s">
        <v>1445</v>
      </c>
      <c r="C1140" s="22" t="s">
        <v>587</v>
      </c>
      <c r="D1140" s="22" t="s">
        <v>594</v>
      </c>
      <c r="E1140" s="22" t="s">
        <v>11</v>
      </c>
      <c r="F1140" s="24" t="s">
        <v>1252</v>
      </c>
    </row>
    <row r="1141" ht="22.5" customHeight="1" spans="1:6">
      <c r="A1141" s="23">
        <v>1140</v>
      </c>
      <c r="B1141" s="23" t="s">
        <v>1446</v>
      </c>
      <c r="C1141" s="23" t="s">
        <v>587</v>
      </c>
      <c r="D1141" s="23" t="s">
        <v>588</v>
      </c>
      <c r="E1141" s="23" t="s">
        <v>11</v>
      </c>
      <c r="F1141" s="25" t="s">
        <v>1252</v>
      </c>
    </row>
    <row r="1142" ht="22.5" customHeight="1" spans="1:6">
      <c r="A1142" s="22">
        <v>1141</v>
      </c>
      <c r="B1142" s="22" t="s">
        <v>1447</v>
      </c>
      <c r="C1142" s="22" t="s">
        <v>587</v>
      </c>
      <c r="D1142" s="22" t="s">
        <v>588</v>
      </c>
      <c r="E1142" s="22" t="s">
        <v>11</v>
      </c>
      <c r="F1142" s="24" t="s">
        <v>1252</v>
      </c>
    </row>
    <row r="1143" ht="22.5" customHeight="1" spans="1:6">
      <c r="A1143" s="23">
        <v>1142</v>
      </c>
      <c r="B1143" s="23" t="s">
        <v>1448</v>
      </c>
      <c r="C1143" s="23" t="s">
        <v>587</v>
      </c>
      <c r="D1143" s="23" t="s">
        <v>588</v>
      </c>
      <c r="E1143" s="23" t="s">
        <v>11</v>
      </c>
      <c r="F1143" s="25" t="s">
        <v>1252</v>
      </c>
    </row>
    <row r="1144" ht="22.5" customHeight="1" spans="1:6">
      <c r="A1144" s="22">
        <v>1143</v>
      </c>
      <c r="B1144" s="22" t="s">
        <v>1449</v>
      </c>
      <c r="C1144" s="22" t="s">
        <v>587</v>
      </c>
      <c r="D1144" s="22" t="s">
        <v>588</v>
      </c>
      <c r="E1144" s="22" t="s">
        <v>11</v>
      </c>
      <c r="F1144" s="24" t="s">
        <v>1252</v>
      </c>
    </row>
    <row r="1145" ht="22.5" customHeight="1" spans="1:6">
      <c r="A1145" s="23">
        <v>1144</v>
      </c>
      <c r="B1145" s="23" t="s">
        <v>1450</v>
      </c>
      <c r="C1145" s="23" t="s">
        <v>587</v>
      </c>
      <c r="D1145" s="23" t="s">
        <v>618</v>
      </c>
      <c r="E1145" s="23" t="s">
        <v>11</v>
      </c>
      <c r="F1145" s="25" t="s">
        <v>1252</v>
      </c>
    </row>
    <row r="1146" ht="22.5" customHeight="1" spans="1:6">
      <c r="A1146" s="22">
        <v>1145</v>
      </c>
      <c r="B1146" s="22" t="s">
        <v>1451</v>
      </c>
      <c r="C1146" s="22" t="s">
        <v>628</v>
      </c>
      <c r="D1146" s="22" t="s">
        <v>640</v>
      </c>
      <c r="E1146" s="22" t="s">
        <v>11</v>
      </c>
      <c r="F1146" s="24" t="s">
        <v>1252</v>
      </c>
    </row>
    <row r="1147" ht="22.5" customHeight="1" spans="1:6">
      <c r="A1147" s="23">
        <v>1146</v>
      </c>
      <c r="B1147" s="23" t="s">
        <v>1452</v>
      </c>
      <c r="C1147" s="23" t="s">
        <v>628</v>
      </c>
      <c r="D1147" s="23" t="s">
        <v>631</v>
      </c>
      <c r="E1147" s="23" t="s">
        <v>11</v>
      </c>
      <c r="F1147" s="25" t="s">
        <v>1252</v>
      </c>
    </row>
    <row r="1148" ht="22.5" customHeight="1" spans="1:6">
      <c r="A1148" s="22">
        <v>1147</v>
      </c>
      <c r="B1148" s="22" t="s">
        <v>1453</v>
      </c>
      <c r="C1148" s="22" t="s">
        <v>628</v>
      </c>
      <c r="D1148" s="22" t="s">
        <v>660</v>
      </c>
      <c r="E1148" s="22" t="s">
        <v>11</v>
      </c>
      <c r="F1148" s="24" t="s">
        <v>1252</v>
      </c>
    </row>
    <row r="1149" ht="22.5" customHeight="1" spans="1:6">
      <c r="A1149" s="23">
        <v>1148</v>
      </c>
      <c r="B1149" s="23" t="s">
        <v>1454</v>
      </c>
      <c r="C1149" s="23" t="s">
        <v>628</v>
      </c>
      <c r="D1149" s="23" t="s">
        <v>645</v>
      </c>
      <c r="E1149" s="23" t="s">
        <v>11</v>
      </c>
      <c r="F1149" s="25" t="s">
        <v>1252</v>
      </c>
    </row>
    <row r="1150" ht="22.5" customHeight="1" spans="1:6">
      <c r="A1150" s="22">
        <v>1149</v>
      </c>
      <c r="B1150" s="22" t="s">
        <v>1455</v>
      </c>
      <c r="C1150" s="22" t="s">
        <v>628</v>
      </c>
      <c r="D1150" s="22" t="s">
        <v>629</v>
      </c>
      <c r="E1150" s="22" t="s">
        <v>11</v>
      </c>
      <c r="F1150" s="24" t="s">
        <v>1252</v>
      </c>
    </row>
    <row r="1151" ht="22.5" customHeight="1" spans="1:6">
      <c r="A1151" s="23">
        <v>1150</v>
      </c>
      <c r="B1151" s="23" t="s">
        <v>1456</v>
      </c>
      <c r="C1151" s="23" t="s">
        <v>628</v>
      </c>
      <c r="D1151" s="23" t="s">
        <v>631</v>
      </c>
      <c r="E1151" s="23" t="s">
        <v>11</v>
      </c>
      <c r="F1151" s="25" t="s">
        <v>1252</v>
      </c>
    </row>
    <row r="1152" ht="22.5" customHeight="1" spans="1:6">
      <c r="A1152" s="22">
        <v>1151</v>
      </c>
      <c r="B1152" s="22" t="s">
        <v>1457</v>
      </c>
      <c r="C1152" s="22" t="s">
        <v>628</v>
      </c>
      <c r="D1152" s="22" t="s">
        <v>631</v>
      </c>
      <c r="E1152" s="22" t="s">
        <v>11</v>
      </c>
      <c r="F1152" s="24" t="s">
        <v>1252</v>
      </c>
    </row>
    <row r="1153" ht="22.5" customHeight="1" spans="1:6">
      <c r="A1153" s="23">
        <v>1152</v>
      </c>
      <c r="B1153" s="23" t="s">
        <v>1458</v>
      </c>
      <c r="C1153" s="23" t="s">
        <v>628</v>
      </c>
      <c r="D1153" s="23" t="s">
        <v>629</v>
      </c>
      <c r="E1153" s="23" t="s">
        <v>11</v>
      </c>
      <c r="F1153" s="25" t="s">
        <v>1252</v>
      </c>
    </row>
    <row r="1154" ht="22.5" customHeight="1" spans="1:6">
      <c r="A1154" s="22">
        <v>1153</v>
      </c>
      <c r="B1154" s="22" t="s">
        <v>1459</v>
      </c>
      <c r="C1154" s="22" t="s">
        <v>628</v>
      </c>
      <c r="D1154" s="22" t="s">
        <v>629</v>
      </c>
      <c r="E1154" s="22" t="s">
        <v>11</v>
      </c>
      <c r="F1154" s="24" t="s">
        <v>1252</v>
      </c>
    </row>
    <row r="1155" ht="22.5" customHeight="1" spans="1:6">
      <c r="A1155" s="23">
        <v>1154</v>
      </c>
      <c r="B1155" s="23" t="s">
        <v>1460</v>
      </c>
      <c r="C1155" s="23" t="s">
        <v>628</v>
      </c>
      <c r="D1155" s="23" t="s">
        <v>629</v>
      </c>
      <c r="E1155" s="23" t="s">
        <v>11</v>
      </c>
      <c r="F1155" s="25" t="s">
        <v>1252</v>
      </c>
    </row>
    <row r="1156" ht="22.5" customHeight="1" spans="1:6">
      <c r="A1156" s="22">
        <v>1155</v>
      </c>
      <c r="B1156" s="22" t="s">
        <v>1461</v>
      </c>
      <c r="C1156" s="22" t="s">
        <v>628</v>
      </c>
      <c r="D1156" s="22" t="s">
        <v>660</v>
      </c>
      <c r="E1156" s="22" t="s">
        <v>11</v>
      </c>
      <c r="F1156" s="24" t="s">
        <v>1252</v>
      </c>
    </row>
    <row r="1157" ht="22.5" customHeight="1" spans="1:6">
      <c r="A1157" s="23">
        <v>1156</v>
      </c>
      <c r="B1157" s="23" t="s">
        <v>1462</v>
      </c>
      <c r="C1157" s="23" t="s">
        <v>628</v>
      </c>
      <c r="D1157" s="23" t="s">
        <v>655</v>
      </c>
      <c r="E1157" s="23" t="s">
        <v>11</v>
      </c>
      <c r="F1157" s="25" t="s">
        <v>1252</v>
      </c>
    </row>
    <row r="1158" ht="22.5" customHeight="1" spans="1:6">
      <c r="A1158" s="22">
        <v>1157</v>
      </c>
      <c r="B1158" s="22" t="s">
        <v>1463</v>
      </c>
      <c r="C1158" s="22" t="s">
        <v>628</v>
      </c>
      <c r="D1158" s="22" t="s">
        <v>631</v>
      </c>
      <c r="E1158" s="22" t="s">
        <v>11</v>
      </c>
      <c r="F1158" s="24" t="s">
        <v>1252</v>
      </c>
    </row>
    <row r="1159" ht="22.5" customHeight="1" spans="1:6">
      <c r="A1159" s="23">
        <v>1158</v>
      </c>
      <c r="B1159" s="23" t="s">
        <v>1464</v>
      </c>
      <c r="C1159" s="23" t="s">
        <v>628</v>
      </c>
      <c r="D1159" s="23" t="s">
        <v>645</v>
      </c>
      <c r="E1159" s="23" t="s">
        <v>11</v>
      </c>
      <c r="F1159" s="25" t="s">
        <v>1252</v>
      </c>
    </row>
    <row r="1160" ht="22.5" customHeight="1" spans="1:6">
      <c r="A1160" s="22">
        <v>1159</v>
      </c>
      <c r="B1160" s="22" t="s">
        <v>1465</v>
      </c>
      <c r="C1160" s="22" t="s">
        <v>628</v>
      </c>
      <c r="D1160" s="22" t="s">
        <v>629</v>
      </c>
      <c r="E1160" s="22" t="s">
        <v>11</v>
      </c>
      <c r="F1160" s="24" t="s">
        <v>1252</v>
      </c>
    </row>
    <row r="1161" ht="22.5" customHeight="1" spans="1:6">
      <c r="A1161" s="23">
        <v>1160</v>
      </c>
      <c r="B1161" s="23" t="s">
        <v>1466</v>
      </c>
      <c r="C1161" s="23" t="s">
        <v>628</v>
      </c>
      <c r="D1161" s="23" t="s">
        <v>688</v>
      </c>
      <c r="E1161" s="23" t="s">
        <v>11</v>
      </c>
      <c r="F1161" s="25" t="s">
        <v>1252</v>
      </c>
    </row>
    <row r="1162" ht="22.5" customHeight="1" spans="1:6">
      <c r="A1162" s="22">
        <v>1161</v>
      </c>
      <c r="B1162" s="22" t="s">
        <v>1467</v>
      </c>
      <c r="C1162" s="22" t="s">
        <v>628</v>
      </c>
      <c r="D1162" s="22" t="s">
        <v>642</v>
      </c>
      <c r="E1162" s="22" t="s">
        <v>11</v>
      </c>
      <c r="F1162" s="24" t="s">
        <v>1252</v>
      </c>
    </row>
    <row r="1163" ht="22.5" customHeight="1" spans="1:6">
      <c r="A1163" s="23">
        <v>1162</v>
      </c>
      <c r="B1163" s="23" t="s">
        <v>1468</v>
      </c>
      <c r="C1163" s="23" t="s">
        <v>628</v>
      </c>
      <c r="D1163" s="23" t="s">
        <v>657</v>
      </c>
      <c r="E1163" s="23" t="s">
        <v>11</v>
      </c>
      <c r="F1163" s="25" t="s">
        <v>1252</v>
      </c>
    </row>
    <row r="1164" ht="22.5" customHeight="1" spans="1:6">
      <c r="A1164" s="22">
        <v>1163</v>
      </c>
      <c r="B1164" s="22" t="s">
        <v>1469</v>
      </c>
      <c r="C1164" s="22" t="s">
        <v>628</v>
      </c>
      <c r="D1164" s="22" t="s">
        <v>1470</v>
      </c>
      <c r="E1164" s="22" t="s">
        <v>11</v>
      </c>
      <c r="F1164" s="24" t="s">
        <v>1252</v>
      </c>
    </row>
    <row r="1165" ht="22.5" customHeight="1" spans="1:6">
      <c r="A1165" s="23">
        <v>1164</v>
      </c>
      <c r="B1165" s="23" t="s">
        <v>1471</v>
      </c>
      <c r="C1165" s="23" t="s">
        <v>628</v>
      </c>
      <c r="D1165" s="23" t="s">
        <v>631</v>
      </c>
      <c r="E1165" s="23" t="s">
        <v>11</v>
      </c>
      <c r="F1165" s="25" t="s">
        <v>1252</v>
      </c>
    </row>
    <row r="1166" ht="22.5" customHeight="1" spans="1:6">
      <c r="A1166" s="22">
        <v>1165</v>
      </c>
      <c r="B1166" s="22" t="s">
        <v>1472</v>
      </c>
      <c r="C1166" s="22" t="s">
        <v>628</v>
      </c>
      <c r="D1166" s="22" t="s">
        <v>660</v>
      </c>
      <c r="E1166" s="22" t="s">
        <v>11</v>
      </c>
      <c r="F1166" s="24" t="s">
        <v>1252</v>
      </c>
    </row>
    <row r="1167" ht="22.5" customHeight="1" spans="1:6">
      <c r="A1167" s="23">
        <v>1166</v>
      </c>
      <c r="B1167" s="23" t="s">
        <v>1473</v>
      </c>
      <c r="C1167" s="23" t="s">
        <v>628</v>
      </c>
      <c r="D1167" s="23" t="s">
        <v>629</v>
      </c>
      <c r="E1167" s="23" t="s">
        <v>11</v>
      </c>
      <c r="F1167" s="25" t="s">
        <v>1252</v>
      </c>
    </row>
    <row r="1168" ht="22.5" customHeight="1" spans="1:6">
      <c r="A1168" s="22">
        <v>1167</v>
      </c>
      <c r="B1168" s="22" t="s">
        <v>1474</v>
      </c>
      <c r="C1168" s="22" t="s">
        <v>628</v>
      </c>
      <c r="D1168" s="22" t="s">
        <v>642</v>
      </c>
      <c r="E1168" s="22" t="s">
        <v>11</v>
      </c>
      <c r="F1168" s="24" t="s">
        <v>1252</v>
      </c>
    </row>
    <row r="1169" ht="22.5" customHeight="1" spans="1:6">
      <c r="A1169" s="23">
        <v>1168</v>
      </c>
      <c r="B1169" s="23" t="s">
        <v>1475</v>
      </c>
      <c r="C1169" s="23" t="s">
        <v>628</v>
      </c>
      <c r="D1169" s="23" t="s">
        <v>660</v>
      </c>
      <c r="E1169" s="23" t="s">
        <v>11</v>
      </c>
      <c r="F1169" s="25" t="s">
        <v>1252</v>
      </c>
    </row>
    <row r="1170" ht="22.5" customHeight="1" spans="1:6">
      <c r="A1170" s="22">
        <v>1169</v>
      </c>
      <c r="B1170" s="22" t="s">
        <v>1476</v>
      </c>
      <c r="C1170" s="22" t="s">
        <v>628</v>
      </c>
      <c r="D1170" s="22" t="s">
        <v>631</v>
      </c>
      <c r="E1170" s="22" t="s">
        <v>11</v>
      </c>
      <c r="F1170" s="24" t="s">
        <v>1252</v>
      </c>
    </row>
    <row r="1171" ht="22.5" customHeight="1" spans="1:6">
      <c r="A1171" s="23">
        <v>1170</v>
      </c>
      <c r="B1171" s="23" t="s">
        <v>1477</v>
      </c>
      <c r="C1171" s="23" t="s">
        <v>692</v>
      </c>
      <c r="D1171" s="23" t="s">
        <v>693</v>
      </c>
      <c r="E1171" s="23" t="s">
        <v>11</v>
      </c>
      <c r="F1171" s="25" t="s">
        <v>1252</v>
      </c>
    </row>
    <row r="1172" ht="22.5" customHeight="1" spans="1:6">
      <c r="A1172" s="22">
        <v>1171</v>
      </c>
      <c r="B1172" s="22" t="s">
        <v>1478</v>
      </c>
      <c r="C1172" s="22" t="s">
        <v>692</v>
      </c>
      <c r="D1172" s="22" t="s">
        <v>693</v>
      </c>
      <c r="E1172" s="22" t="s">
        <v>11</v>
      </c>
      <c r="F1172" s="24" t="s">
        <v>1252</v>
      </c>
    </row>
    <row r="1173" ht="22.5" customHeight="1" spans="1:6">
      <c r="A1173" s="23">
        <v>1172</v>
      </c>
      <c r="B1173" s="23" t="s">
        <v>1479</v>
      </c>
      <c r="C1173" s="23" t="s">
        <v>692</v>
      </c>
      <c r="D1173" s="23" t="s">
        <v>693</v>
      </c>
      <c r="E1173" s="23" t="s">
        <v>11</v>
      </c>
      <c r="F1173" s="25" t="s">
        <v>1252</v>
      </c>
    </row>
    <row r="1174" ht="22.5" customHeight="1" spans="1:6">
      <c r="A1174" s="22">
        <v>1173</v>
      </c>
      <c r="B1174" s="22" t="s">
        <v>1480</v>
      </c>
      <c r="C1174" s="22" t="s">
        <v>692</v>
      </c>
      <c r="D1174" s="22" t="s">
        <v>693</v>
      </c>
      <c r="E1174" s="22" t="s">
        <v>11</v>
      </c>
      <c r="F1174" s="24" t="s">
        <v>1252</v>
      </c>
    </row>
    <row r="1175" ht="22.5" customHeight="1" spans="1:6">
      <c r="A1175" s="23">
        <v>1174</v>
      </c>
      <c r="B1175" s="23" t="s">
        <v>1481</v>
      </c>
      <c r="C1175" s="23" t="s">
        <v>692</v>
      </c>
      <c r="D1175" s="23" t="s">
        <v>696</v>
      </c>
      <c r="E1175" s="23" t="s">
        <v>11</v>
      </c>
      <c r="F1175" s="25" t="s">
        <v>1252</v>
      </c>
    </row>
    <row r="1176" ht="22.5" customHeight="1" spans="1:6">
      <c r="A1176" s="22">
        <v>1175</v>
      </c>
      <c r="B1176" s="22" t="s">
        <v>1482</v>
      </c>
      <c r="C1176" s="22" t="s">
        <v>692</v>
      </c>
      <c r="D1176" s="22" t="s">
        <v>723</v>
      </c>
      <c r="E1176" s="22" t="s">
        <v>11</v>
      </c>
      <c r="F1176" s="24" t="s">
        <v>1252</v>
      </c>
    </row>
    <row r="1177" ht="22.5" customHeight="1" spans="1:6">
      <c r="A1177" s="23">
        <v>1176</v>
      </c>
      <c r="B1177" s="23" t="s">
        <v>1483</v>
      </c>
      <c r="C1177" s="23" t="s">
        <v>692</v>
      </c>
      <c r="D1177" s="23" t="s">
        <v>709</v>
      </c>
      <c r="E1177" s="23" t="s">
        <v>11</v>
      </c>
      <c r="F1177" s="25" t="s">
        <v>1252</v>
      </c>
    </row>
    <row r="1178" ht="22.5" customHeight="1" spans="1:6">
      <c r="A1178" s="22">
        <v>1177</v>
      </c>
      <c r="B1178" s="22" t="s">
        <v>1484</v>
      </c>
      <c r="C1178" s="22" t="s">
        <v>692</v>
      </c>
      <c r="D1178" s="22" t="s">
        <v>693</v>
      </c>
      <c r="E1178" s="22" t="s">
        <v>11</v>
      </c>
      <c r="F1178" s="24" t="s">
        <v>1252</v>
      </c>
    </row>
    <row r="1179" ht="22.5" customHeight="1" spans="1:6">
      <c r="A1179" s="23">
        <v>1178</v>
      </c>
      <c r="B1179" s="23" t="s">
        <v>1485</v>
      </c>
      <c r="C1179" s="23" t="s">
        <v>692</v>
      </c>
      <c r="D1179" s="23" t="s">
        <v>712</v>
      </c>
      <c r="E1179" s="23" t="s">
        <v>11</v>
      </c>
      <c r="F1179" s="25" t="s">
        <v>1252</v>
      </c>
    </row>
    <row r="1180" ht="22.5" customHeight="1" spans="1:6">
      <c r="A1180" s="22">
        <v>1179</v>
      </c>
      <c r="B1180" s="22" t="s">
        <v>1486</v>
      </c>
      <c r="C1180" s="22" t="s">
        <v>692</v>
      </c>
      <c r="D1180" s="22" t="s">
        <v>716</v>
      </c>
      <c r="E1180" s="22" t="s">
        <v>11</v>
      </c>
      <c r="F1180" s="24" t="s">
        <v>1252</v>
      </c>
    </row>
    <row r="1181" ht="22.5" customHeight="1" spans="1:6">
      <c r="A1181" s="23">
        <v>1180</v>
      </c>
      <c r="B1181" s="23" t="s">
        <v>1487</v>
      </c>
      <c r="C1181" s="23" t="s">
        <v>692</v>
      </c>
      <c r="D1181" s="23" t="s">
        <v>704</v>
      </c>
      <c r="E1181" s="23" t="s">
        <v>11</v>
      </c>
      <c r="F1181" s="25" t="s">
        <v>1252</v>
      </c>
    </row>
    <row r="1182" ht="22.5" customHeight="1" spans="1:6">
      <c r="A1182" s="22">
        <v>1181</v>
      </c>
      <c r="B1182" s="22" t="s">
        <v>1488</v>
      </c>
      <c r="C1182" s="22" t="s">
        <v>692</v>
      </c>
      <c r="D1182" s="22" t="s">
        <v>704</v>
      </c>
      <c r="E1182" s="22" t="s">
        <v>11</v>
      </c>
      <c r="F1182" s="24" t="s">
        <v>1252</v>
      </c>
    </row>
    <row r="1183" ht="22.5" customHeight="1" spans="1:6">
      <c r="A1183" s="23">
        <v>1182</v>
      </c>
      <c r="B1183" s="23" t="s">
        <v>1489</v>
      </c>
      <c r="C1183" s="23" t="s">
        <v>692</v>
      </c>
      <c r="D1183" s="23" t="s">
        <v>693</v>
      </c>
      <c r="E1183" s="23" t="s">
        <v>11</v>
      </c>
      <c r="F1183" s="25" t="s">
        <v>1252</v>
      </c>
    </row>
    <row r="1184" ht="22.5" customHeight="1" spans="1:6">
      <c r="A1184" s="22">
        <v>1183</v>
      </c>
      <c r="B1184" s="22" t="s">
        <v>1490</v>
      </c>
      <c r="C1184" s="22" t="s">
        <v>692</v>
      </c>
      <c r="D1184" s="22" t="s">
        <v>693</v>
      </c>
      <c r="E1184" s="22" t="s">
        <v>11</v>
      </c>
      <c r="F1184" s="24" t="s">
        <v>1252</v>
      </c>
    </row>
    <row r="1185" ht="22.5" customHeight="1" spans="1:6">
      <c r="A1185" s="23">
        <v>1184</v>
      </c>
      <c r="B1185" s="23" t="s">
        <v>1491</v>
      </c>
      <c r="C1185" s="23" t="s">
        <v>692</v>
      </c>
      <c r="D1185" s="23" t="s">
        <v>723</v>
      </c>
      <c r="E1185" s="23" t="s">
        <v>11</v>
      </c>
      <c r="F1185" s="25" t="s">
        <v>1252</v>
      </c>
    </row>
    <row r="1186" ht="22.5" customHeight="1" spans="1:6">
      <c r="A1186" s="22">
        <v>1185</v>
      </c>
      <c r="B1186" s="22" t="s">
        <v>1492</v>
      </c>
      <c r="C1186" s="22" t="s">
        <v>692</v>
      </c>
      <c r="D1186" s="22" t="s">
        <v>693</v>
      </c>
      <c r="E1186" s="22" t="s">
        <v>11</v>
      </c>
      <c r="F1186" s="24" t="s">
        <v>1252</v>
      </c>
    </row>
    <row r="1187" ht="22.5" customHeight="1" spans="1:6">
      <c r="A1187" s="23">
        <v>1186</v>
      </c>
      <c r="B1187" s="23" t="s">
        <v>1493</v>
      </c>
      <c r="C1187" s="23" t="s">
        <v>692</v>
      </c>
      <c r="D1187" s="23" t="s">
        <v>714</v>
      </c>
      <c r="E1187" s="23" t="s">
        <v>11</v>
      </c>
      <c r="F1187" s="25" t="s">
        <v>1252</v>
      </c>
    </row>
    <row r="1188" ht="22.5" customHeight="1" spans="1:6">
      <c r="A1188" s="22">
        <v>1187</v>
      </c>
      <c r="B1188" s="22" t="s">
        <v>1494</v>
      </c>
      <c r="C1188" s="22" t="s">
        <v>692</v>
      </c>
      <c r="D1188" s="22" t="s">
        <v>693</v>
      </c>
      <c r="E1188" s="22" t="s">
        <v>11</v>
      </c>
      <c r="F1188" s="24" t="s">
        <v>1252</v>
      </c>
    </row>
    <row r="1189" ht="22.5" customHeight="1" spans="1:6">
      <c r="A1189" s="23">
        <v>1188</v>
      </c>
      <c r="B1189" s="23" t="s">
        <v>1495</v>
      </c>
      <c r="C1189" s="23" t="s">
        <v>692</v>
      </c>
      <c r="D1189" s="23" t="s">
        <v>693</v>
      </c>
      <c r="E1189" s="23" t="s">
        <v>11</v>
      </c>
      <c r="F1189" s="25" t="s">
        <v>1252</v>
      </c>
    </row>
    <row r="1190" ht="22.5" customHeight="1" spans="1:6">
      <c r="A1190" s="22">
        <v>1189</v>
      </c>
      <c r="B1190" s="22" t="s">
        <v>1496</v>
      </c>
      <c r="C1190" s="22" t="s">
        <v>692</v>
      </c>
      <c r="D1190" s="22" t="s">
        <v>693</v>
      </c>
      <c r="E1190" s="22" t="s">
        <v>11</v>
      </c>
      <c r="F1190" s="24" t="s">
        <v>1252</v>
      </c>
    </row>
    <row r="1191" ht="22.5" customHeight="1" spans="1:6">
      <c r="A1191" s="23">
        <v>1190</v>
      </c>
      <c r="B1191" s="23" t="s">
        <v>1497</v>
      </c>
      <c r="C1191" s="23" t="s">
        <v>692</v>
      </c>
      <c r="D1191" s="23" t="s">
        <v>1498</v>
      </c>
      <c r="E1191" s="23" t="s">
        <v>11</v>
      </c>
      <c r="F1191" s="25" t="s">
        <v>1252</v>
      </c>
    </row>
    <row r="1192" ht="22.5" customHeight="1" spans="1:6">
      <c r="A1192" s="22">
        <v>1191</v>
      </c>
      <c r="B1192" s="22" t="s">
        <v>1499</v>
      </c>
      <c r="C1192" s="22" t="s">
        <v>746</v>
      </c>
      <c r="D1192" s="22" t="s">
        <v>747</v>
      </c>
      <c r="E1192" s="22" t="s">
        <v>11</v>
      </c>
      <c r="F1192" s="24" t="s">
        <v>1252</v>
      </c>
    </row>
    <row r="1193" ht="22.5" customHeight="1" spans="1:6">
      <c r="A1193" s="23">
        <v>1192</v>
      </c>
      <c r="B1193" s="23" t="s">
        <v>1500</v>
      </c>
      <c r="C1193" s="23" t="s">
        <v>746</v>
      </c>
      <c r="D1193" s="23" t="s">
        <v>747</v>
      </c>
      <c r="E1193" s="23" t="s">
        <v>11</v>
      </c>
      <c r="F1193" s="25" t="s">
        <v>1252</v>
      </c>
    </row>
    <row r="1194" ht="22.5" customHeight="1" spans="1:6">
      <c r="A1194" s="22">
        <v>1193</v>
      </c>
      <c r="B1194" s="22" t="s">
        <v>1501</v>
      </c>
      <c r="C1194" s="22" t="s">
        <v>746</v>
      </c>
      <c r="D1194" s="22" t="s">
        <v>747</v>
      </c>
      <c r="E1194" s="22" t="s">
        <v>11</v>
      </c>
      <c r="F1194" s="24" t="s">
        <v>1252</v>
      </c>
    </row>
    <row r="1195" ht="22.5" customHeight="1" spans="1:6">
      <c r="A1195" s="23">
        <v>1194</v>
      </c>
      <c r="B1195" s="23" t="s">
        <v>1502</v>
      </c>
      <c r="C1195" s="23" t="s">
        <v>746</v>
      </c>
      <c r="D1195" s="23" t="s">
        <v>747</v>
      </c>
      <c r="E1195" s="23" t="s">
        <v>11</v>
      </c>
      <c r="F1195" s="25" t="s">
        <v>1252</v>
      </c>
    </row>
    <row r="1196" ht="22.5" customHeight="1" spans="1:6">
      <c r="A1196" s="22">
        <v>1195</v>
      </c>
      <c r="B1196" s="22" t="s">
        <v>1503</v>
      </c>
      <c r="C1196" s="22" t="s">
        <v>746</v>
      </c>
      <c r="D1196" s="22" t="s">
        <v>747</v>
      </c>
      <c r="E1196" s="22" t="s">
        <v>11</v>
      </c>
      <c r="F1196" s="24" t="s">
        <v>1252</v>
      </c>
    </row>
    <row r="1197" ht="22.5" customHeight="1" spans="1:6">
      <c r="A1197" s="23">
        <v>1196</v>
      </c>
      <c r="B1197" s="23" t="s">
        <v>1504</v>
      </c>
      <c r="C1197" s="23" t="s">
        <v>746</v>
      </c>
      <c r="D1197" s="23" t="s">
        <v>747</v>
      </c>
      <c r="E1197" s="23" t="s">
        <v>11</v>
      </c>
      <c r="F1197" s="25" t="s">
        <v>1252</v>
      </c>
    </row>
    <row r="1198" ht="22.5" customHeight="1" spans="1:6">
      <c r="A1198" s="22">
        <v>1197</v>
      </c>
      <c r="B1198" s="22" t="s">
        <v>1505</v>
      </c>
      <c r="C1198" s="22" t="s">
        <v>746</v>
      </c>
      <c r="D1198" s="22" t="s">
        <v>747</v>
      </c>
      <c r="E1198" s="22" t="s">
        <v>11</v>
      </c>
      <c r="F1198" s="24" t="s">
        <v>1252</v>
      </c>
    </row>
    <row r="1199" ht="22.5" customHeight="1" spans="1:6">
      <c r="A1199" s="23">
        <v>1198</v>
      </c>
      <c r="B1199" s="23" t="s">
        <v>1506</v>
      </c>
      <c r="C1199" s="23" t="s">
        <v>746</v>
      </c>
      <c r="D1199" s="23" t="s">
        <v>747</v>
      </c>
      <c r="E1199" s="23" t="s">
        <v>11</v>
      </c>
      <c r="F1199" s="25" t="s">
        <v>1252</v>
      </c>
    </row>
    <row r="1200" ht="22.5" customHeight="1" spans="1:6">
      <c r="A1200" s="22">
        <v>1199</v>
      </c>
      <c r="B1200" s="22" t="s">
        <v>1507</v>
      </c>
      <c r="C1200" s="22" t="s">
        <v>746</v>
      </c>
      <c r="D1200" s="22" t="s">
        <v>785</v>
      </c>
      <c r="E1200" s="22" t="s">
        <v>11</v>
      </c>
      <c r="F1200" s="24" t="s">
        <v>1252</v>
      </c>
    </row>
    <row r="1201" ht="22.5" customHeight="1" spans="1:6">
      <c r="A1201" s="23">
        <v>1200</v>
      </c>
      <c r="B1201" s="23" t="s">
        <v>1508</v>
      </c>
      <c r="C1201" s="23" t="s">
        <v>746</v>
      </c>
      <c r="D1201" s="23" t="s">
        <v>747</v>
      </c>
      <c r="E1201" s="23" t="s">
        <v>11</v>
      </c>
      <c r="F1201" s="25" t="s">
        <v>1252</v>
      </c>
    </row>
    <row r="1202" ht="22.5" customHeight="1" spans="1:6">
      <c r="A1202" s="22">
        <v>1201</v>
      </c>
      <c r="B1202" s="22" t="s">
        <v>1509</v>
      </c>
      <c r="C1202" s="22" t="s">
        <v>746</v>
      </c>
      <c r="D1202" s="22" t="s">
        <v>747</v>
      </c>
      <c r="E1202" s="22" t="s">
        <v>11</v>
      </c>
      <c r="F1202" s="24" t="s">
        <v>1252</v>
      </c>
    </row>
    <row r="1203" ht="22.5" customHeight="1" spans="1:6">
      <c r="A1203" s="23">
        <v>1202</v>
      </c>
      <c r="B1203" s="23" t="s">
        <v>1510</v>
      </c>
      <c r="C1203" s="23" t="s">
        <v>746</v>
      </c>
      <c r="D1203" s="23" t="s">
        <v>747</v>
      </c>
      <c r="E1203" s="23" t="s">
        <v>11</v>
      </c>
      <c r="F1203" s="25" t="s">
        <v>1252</v>
      </c>
    </row>
    <row r="1204" ht="22.5" customHeight="1" spans="1:6">
      <c r="A1204" s="22">
        <v>1203</v>
      </c>
      <c r="B1204" s="22" t="s">
        <v>1511</v>
      </c>
      <c r="C1204" s="22" t="s">
        <v>746</v>
      </c>
      <c r="D1204" s="22" t="s">
        <v>747</v>
      </c>
      <c r="E1204" s="22" t="s">
        <v>11</v>
      </c>
      <c r="F1204" s="24" t="s">
        <v>1252</v>
      </c>
    </row>
    <row r="1205" ht="22.5" customHeight="1" spans="1:6">
      <c r="A1205" s="23">
        <v>1204</v>
      </c>
      <c r="B1205" s="23" t="s">
        <v>1512</v>
      </c>
      <c r="C1205" s="23" t="s">
        <v>746</v>
      </c>
      <c r="D1205" s="23" t="s">
        <v>747</v>
      </c>
      <c r="E1205" s="23" t="s">
        <v>11</v>
      </c>
      <c r="F1205" s="25" t="s">
        <v>1252</v>
      </c>
    </row>
    <row r="1206" ht="22.5" customHeight="1" spans="1:6">
      <c r="A1206" s="22">
        <v>1205</v>
      </c>
      <c r="B1206" s="22" t="s">
        <v>1513</v>
      </c>
      <c r="C1206" s="22" t="s">
        <v>746</v>
      </c>
      <c r="D1206" s="22" t="s">
        <v>747</v>
      </c>
      <c r="E1206" s="22" t="s">
        <v>11</v>
      </c>
      <c r="F1206" s="24" t="s">
        <v>1252</v>
      </c>
    </row>
    <row r="1207" ht="22.5" customHeight="1" spans="1:6">
      <c r="A1207" s="23">
        <v>1206</v>
      </c>
      <c r="B1207" s="23" t="s">
        <v>1514</v>
      </c>
      <c r="C1207" s="23" t="s">
        <v>746</v>
      </c>
      <c r="D1207" s="23" t="s">
        <v>751</v>
      </c>
      <c r="E1207" s="23" t="s">
        <v>11</v>
      </c>
      <c r="F1207" s="25" t="s">
        <v>1252</v>
      </c>
    </row>
    <row r="1208" ht="22.5" customHeight="1" spans="1:6">
      <c r="A1208" s="22">
        <v>1207</v>
      </c>
      <c r="B1208" s="22" t="s">
        <v>1515</v>
      </c>
      <c r="C1208" s="22" t="s">
        <v>746</v>
      </c>
      <c r="D1208" s="22" t="s">
        <v>751</v>
      </c>
      <c r="E1208" s="22" t="s">
        <v>11</v>
      </c>
      <c r="F1208" s="24" t="s">
        <v>1252</v>
      </c>
    </row>
    <row r="1209" ht="22.5" customHeight="1" spans="1:6">
      <c r="A1209" s="23">
        <v>1208</v>
      </c>
      <c r="B1209" s="23" t="s">
        <v>1516</v>
      </c>
      <c r="C1209" s="23" t="s">
        <v>746</v>
      </c>
      <c r="D1209" s="23" t="s">
        <v>747</v>
      </c>
      <c r="E1209" s="23" t="s">
        <v>11</v>
      </c>
      <c r="F1209" s="25" t="s">
        <v>1252</v>
      </c>
    </row>
    <row r="1210" ht="22.5" customHeight="1" spans="1:6">
      <c r="A1210" s="22">
        <v>1209</v>
      </c>
      <c r="B1210" s="22" t="s">
        <v>1517</v>
      </c>
      <c r="C1210" s="22" t="s">
        <v>746</v>
      </c>
      <c r="D1210" s="22" t="s">
        <v>769</v>
      </c>
      <c r="E1210" s="22" t="s">
        <v>11</v>
      </c>
      <c r="F1210" s="24" t="s">
        <v>1252</v>
      </c>
    </row>
    <row r="1211" ht="22.5" customHeight="1" spans="1:6">
      <c r="A1211" s="23">
        <v>1210</v>
      </c>
      <c r="B1211" s="23" t="s">
        <v>1518</v>
      </c>
      <c r="C1211" s="23" t="s">
        <v>746</v>
      </c>
      <c r="D1211" s="23" t="s">
        <v>769</v>
      </c>
      <c r="E1211" s="23" t="s">
        <v>11</v>
      </c>
      <c r="F1211" s="25" t="s">
        <v>1252</v>
      </c>
    </row>
    <row r="1212" ht="22.5" customHeight="1" spans="1:6">
      <c r="A1212" s="22">
        <v>1211</v>
      </c>
      <c r="B1212" s="22" t="s">
        <v>1519</v>
      </c>
      <c r="C1212" s="22" t="s">
        <v>746</v>
      </c>
      <c r="D1212" s="22" t="s">
        <v>767</v>
      </c>
      <c r="E1212" s="22" t="s">
        <v>11</v>
      </c>
      <c r="F1212" s="24" t="s">
        <v>1252</v>
      </c>
    </row>
    <row r="1213" ht="22.5" customHeight="1" spans="1:6">
      <c r="A1213" s="23">
        <v>1212</v>
      </c>
      <c r="B1213" s="23" t="s">
        <v>1520</v>
      </c>
      <c r="C1213" s="23" t="s">
        <v>746</v>
      </c>
      <c r="D1213" s="23" t="s">
        <v>747</v>
      </c>
      <c r="E1213" s="23" t="s">
        <v>11</v>
      </c>
      <c r="F1213" s="25" t="s">
        <v>1252</v>
      </c>
    </row>
    <row r="1214" ht="22.5" customHeight="1" spans="1:6">
      <c r="A1214" s="22">
        <v>1213</v>
      </c>
      <c r="B1214" s="22" t="s">
        <v>1521</v>
      </c>
      <c r="C1214" s="22" t="s">
        <v>746</v>
      </c>
      <c r="D1214" s="22" t="s">
        <v>747</v>
      </c>
      <c r="E1214" s="22" t="s">
        <v>11</v>
      </c>
      <c r="F1214" s="24" t="s">
        <v>1252</v>
      </c>
    </row>
    <row r="1215" ht="22.5" customHeight="1" spans="1:6">
      <c r="A1215" s="23">
        <v>1214</v>
      </c>
      <c r="B1215" s="23" t="s">
        <v>1522</v>
      </c>
      <c r="C1215" s="23" t="s">
        <v>746</v>
      </c>
      <c r="D1215" s="23" t="s">
        <v>763</v>
      </c>
      <c r="E1215" s="23" t="s">
        <v>11</v>
      </c>
      <c r="F1215" s="25" t="s">
        <v>1252</v>
      </c>
    </row>
    <row r="1216" ht="22.5" customHeight="1" spans="1:6">
      <c r="A1216" s="22">
        <v>1215</v>
      </c>
      <c r="B1216" s="22" t="s">
        <v>1523</v>
      </c>
      <c r="C1216" s="22" t="s">
        <v>746</v>
      </c>
      <c r="D1216" s="22" t="s">
        <v>771</v>
      </c>
      <c r="E1216" s="22" t="s">
        <v>11</v>
      </c>
      <c r="F1216" s="24" t="s">
        <v>1252</v>
      </c>
    </row>
    <row r="1217" ht="22.5" customHeight="1" spans="1:6">
      <c r="A1217" s="23">
        <v>1216</v>
      </c>
      <c r="B1217" s="23" t="s">
        <v>1524</v>
      </c>
      <c r="C1217" s="23" t="s">
        <v>746</v>
      </c>
      <c r="D1217" s="23" t="s">
        <v>778</v>
      </c>
      <c r="E1217" s="23" t="s">
        <v>11</v>
      </c>
      <c r="F1217" s="25" t="s">
        <v>1252</v>
      </c>
    </row>
    <row r="1218" ht="22.5" customHeight="1" spans="1:6">
      <c r="A1218" s="22">
        <v>1217</v>
      </c>
      <c r="B1218" s="22" t="s">
        <v>1525</v>
      </c>
      <c r="C1218" s="22" t="s">
        <v>746</v>
      </c>
      <c r="D1218" s="22" t="s">
        <v>747</v>
      </c>
      <c r="E1218" s="22" t="s">
        <v>11</v>
      </c>
      <c r="F1218" s="24" t="s">
        <v>1252</v>
      </c>
    </row>
    <row r="1219" ht="22.5" customHeight="1" spans="1:6">
      <c r="A1219" s="23">
        <v>1218</v>
      </c>
      <c r="B1219" s="23" t="s">
        <v>1526</v>
      </c>
      <c r="C1219" s="23" t="s">
        <v>746</v>
      </c>
      <c r="D1219" s="23" t="s">
        <v>747</v>
      </c>
      <c r="E1219" s="23" t="s">
        <v>11</v>
      </c>
      <c r="F1219" s="25" t="s">
        <v>1252</v>
      </c>
    </row>
    <row r="1220" ht="22.5" customHeight="1" spans="1:6">
      <c r="A1220" s="22">
        <v>1219</v>
      </c>
      <c r="B1220" s="22" t="s">
        <v>1527</v>
      </c>
      <c r="C1220" s="22" t="s">
        <v>746</v>
      </c>
      <c r="D1220" s="22" t="s">
        <v>747</v>
      </c>
      <c r="E1220" s="22" t="s">
        <v>11</v>
      </c>
      <c r="F1220" s="24" t="s">
        <v>1252</v>
      </c>
    </row>
    <row r="1221" ht="22.5" customHeight="1" spans="1:6">
      <c r="A1221" s="23">
        <v>1220</v>
      </c>
      <c r="B1221" s="23" t="s">
        <v>1528</v>
      </c>
      <c r="C1221" s="23" t="s">
        <v>746</v>
      </c>
      <c r="D1221" s="23" t="s">
        <v>747</v>
      </c>
      <c r="E1221" s="23" t="s">
        <v>11</v>
      </c>
      <c r="F1221" s="25" t="s">
        <v>1252</v>
      </c>
    </row>
    <row r="1222" ht="22.5" customHeight="1" spans="1:6">
      <c r="A1222" s="22">
        <v>1221</v>
      </c>
      <c r="B1222" s="22" t="s">
        <v>1529</v>
      </c>
      <c r="C1222" s="22" t="s">
        <v>746</v>
      </c>
      <c r="D1222" s="22" t="s">
        <v>747</v>
      </c>
      <c r="E1222" s="22" t="s">
        <v>11</v>
      </c>
      <c r="F1222" s="24" t="s">
        <v>1252</v>
      </c>
    </row>
    <row r="1223" ht="22.5" customHeight="1" spans="1:6">
      <c r="A1223" s="23">
        <v>1222</v>
      </c>
      <c r="B1223" s="23" t="s">
        <v>1530</v>
      </c>
      <c r="C1223" s="23" t="s">
        <v>746</v>
      </c>
      <c r="D1223" s="23" t="s">
        <v>747</v>
      </c>
      <c r="E1223" s="23" t="s">
        <v>11</v>
      </c>
      <c r="F1223" s="25" t="s">
        <v>1252</v>
      </c>
    </row>
    <row r="1224" ht="22.5" customHeight="1" spans="1:6">
      <c r="A1224" s="22">
        <v>1223</v>
      </c>
      <c r="B1224" s="22" t="s">
        <v>1531</v>
      </c>
      <c r="C1224" s="22" t="s">
        <v>797</v>
      </c>
      <c r="D1224" s="22" t="s">
        <v>802</v>
      </c>
      <c r="E1224" s="22" t="s">
        <v>11</v>
      </c>
      <c r="F1224" s="24" t="s">
        <v>1252</v>
      </c>
    </row>
    <row r="1225" ht="22.5" customHeight="1" spans="1:6">
      <c r="A1225" s="23">
        <v>1224</v>
      </c>
      <c r="B1225" s="23" t="s">
        <v>1532</v>
      </c>
      <c r="C1225" s="23" t="s">
        <v>797</v>
      </c>
      <c r="D1225" s="23" t="s">
        <v>802</v>
      </c>
      <c r="E1225" s="23" t="s">
        <v>11</v>
      </c>
      <c r="F1225" s="25" t="s">
        <v>1252</v>
      </c>
    </row>
    <row r="1226" ht="22.5" customHeight="1" spans="1:6">
      <c r="A1226" s="22">
        <v>1225</v>
      </c>
      <c r="B1226" s="22" t="s">
        <v>1533</v>
      </c>
      <c r="C1226" s="22" t="s">
        <v>797</v>
      </c>
      <c r="D1226" s="22" t="s">
        <v>798</v>
      </c>
      <c r="E1226" s="22" t="s">
        <v>11</v>
      </c>
      <c r="F1226" s="24" t="s">
        <v>1252</v>
      </c>
    </row>
    <row r="1227" ht="22.5" customHeight="1" spans="1:6">
      <c r="A1227" s="23">
        <v>1226</v>
      </c>
      <c r="B1227" s="23" t="s">
        <v>1534</v>
      </c>
      <c r="C1227" s="23" t="s">
        <v>797</v>
      </c>
      <c r="D1227" s="23" t="s">
        <v>836</v>
      </c>
      <c r="E1227" s="23" t="s">
        <v>11</v>
      </c>
      <c r="F1227" s="25" t="s">
        <v>1252</v>
      </c>
    </row>
    <row r="1228" ht="22.5" customHeight="1" spans="1:6">
      <c r="A1228" s="22">
        <v>1227</v>
      </c>
      <c r="B1228" s="22" t="s">
        <v>1535</v>
      </c>
      <c r="C1228" s="22" t="s">
        <v>797</v>
      </c>
      <c r="D1228" s="22" t="s">
        <v>798</v>
      </c>
      <c r="E1228" s="22" t="s">
        <v>11</v>
      </c>
      <c r="F1228" s="24" t="s">
        <v>1252</v>
      </c>
    </row>
    <row r="1229" ht="22.5" customHeight="1" spans="1:6">
      <c r="A1229" s="23">
        <v>1228</v>
      </c>
      <c r="B1229" s="23" t="s">
        <v>1536</v>
      </c>
      <c r="C1229" s="23" t="s">
        <v>797</v>
      </c>
      <c r="D1229" s="23" t="s">
        <v>815</v>
      </c>
      <c r="E1229" s="23" t="s">
        <v>11</v>
      </c>
      <c r="F1229" s="25" t="s">
        <v>1252</v>
      </c>
    </row>
    <row r="1230" ht="22.5" customHeight="1" spans="1:6">
      <c r="A1230" s="22">
        <v>1229</v>
      </c>
      <c r="B1230" s="22" t="s">
        <v>1537</v>
      </c>
      <c r="C1230" s="22" t="s">
        <v>797</v>
      </c>
      <c r="D1230" s="22" t="s">
        <v>798</v>
      </c>
      <c r="E1230" s="22" t="s">
        <v>11</v>
      </c>
      <c r="F1230" s="24" t="s">
        <v>1252</v>
      </c>
    </row>
    <row r="1231" ht="22.5" customHeight="1" spans="1:6">
      <c r="A1231" s="23">
        <v>1230</v>
      </c>
      <c r="B1231" s="23" t="s">
        <v>1538</v>
      </c>
      <c r="C1231" s="23" t="s">
        <v>797</v>
      </c>
      <c r="D1231" s="23" t="s">
        <v>802</v>
      </c>
      <c r="E1231" s="23" t="s">
        <v>11</v>
      </c>
      <c r="F1231" s="25" t="s">
        <v>1252</v>
      </c>
    </row>
    <row r="1232" ht="22.5" customHeight="1" spans="1:6">
      <c r="A1232" s="22">
        <v>1231</v>
      </c>
      <c r="B1232" s="22" t="s">
        <v>1539</v>
      </c>
      <c r="C1232" s="22" t="s">
        <v>797</v>
      </c>
      <c r="D1232" s="22" t="s">
        <v>802</v>
      </c>
      <c r="E1232" s="22" t="s">
        <v>11</v>
      </c>
      <c r="F1232" s="24" t="s">
        <v>1252</v>
      </c>
    </row>
    <row r="1233" ht="22.5" customHeight="1" spans="1:6">
      <c r="A1233" s="23">
        <v>1232</v>
      </c>
      <c r="B1233" s="23" t="s">
        <v>1540</v>
      </c>
      <c r="C1233" s="23" t="s">
        <v>797</v>
      </c>
      <c r="D1233" s="23" t="s">
        <v>821</v>
      </c>
      <c r="E1233" s="23" t="s">
        <v>11</v>
      </c>
      <c r="F1233" s="25" t="s">
        <v>1252</v>
      </c>
    </row>
    <row r="1234" ht="22.5" customHeight="1" spans="1:6">
      <c r="A1234" s="22">
        <v>1233</v>
      </c>
      <c r="B1234" s="22" t="s">
        <v>1541</v>
      </c>
      <c r="C1234" s="22" t="s">
        <v>797</v>
      </c>
      <c r="D1234" s="22" t="s">
        <v>811</v>
      </c>
      <c r="E1234" s="22" t="s">
        <v>11</v>
      </c>
      <c r="F1234" s="24" t="s">
        <v>1252</v>
      </c>
    </row>
    <row r="1235" ht="22.5" customHeight="1" spans="1:6">
      <c r="A1235" s="23">
        <v>1234</v>
      </c>
      <c r="B1235" s="23" t="s">
        <v>1542</v>
      </c>
      <c r="C1235" s="23" t="s">
        <v>797</v>
      </c>
      <c r="D1235" s="23" t="s">
        <v>815</v>
      </c>
      <c r="E1235" s="23" t="s">
        <v>11</v>
      </c>
      <c r="F1235" s="25" t="s">
        <v>1252</v>
      </c>
    </row>
    <row r="1236" ht="22.5" customHeight="1" spans="1:6">
      <c r="A1236" s="22">
        <v>1235</v>
      </c>
      <c r="B1236" s="22" t="s">
        <v>1543</v>
      </c>
      <c r="C1236" s="22" t="s">
        <v>797</v>
      </c>
      <c r="D1236" s="22" t="s">
        <v>798</v>
      </c>
      <c r="E1236" s="22" t="s">
        <v>11</v>
      </c>
      <c r="F1236" s="24" t="s">
        <v>1252</v>
      </c>
    </row>
    <row r="1237" ht="22.5" customHeight="1" spans="1:6">
      <c r="A1237" s="23">
        <v>1236</v>
      </c>
      <c r="B1237" s="23" t="s">
        <v>1544</v>
      </c>
      <c r="C1237" s="23" t="s">
        <v>797</v>
      </c>
      <c r="D1237" s="23" t="s">
        <v>802</v>
      </c>
      <c r="E1237" s="23" t="s">
        <v>11</v>
      </c>
      <c r="F1237" s="25" t="s">
        <v>1252</v>
      </c>
    </row>
    <row r="1238" ht="22.5" customHeight="1" spans="1:6">
      <c r="A1238" s="22">
        <v>1237</v>
      </c>
      <c r="B1238" s="22" t="s">
        <v>1545</v>
      </c>
      <c r="C1238" s="22" t="s">
        <v>797</v>
      </c>
      <c r="D1238" s="22" t="s">
        <v>1546</v>
      </c>
      <c r="E1238" s="22" t="s">
        <v>11</v>
      </c>
      <c r="F1238" s="24" t="s">
        <v>1252</v>
      </c>
    </row>
    <row r="1239" ht="22.5" customHeight="1" spans="1:6">
      <c r="A1239" s="23">
        <v>1238</v>
      </c>
      <c r="B1239" s="23" t="s">
        <v>1547</v>
      </c>
      <c r="C1239" s="23" t="s">
        <v>797</v>
      </c>
      <c r="D1239" s="23" t="s">
        <v>802</v>
      </c>
      <c r="E1239" s="23" t="s">
        <v>11</v>
      </c>
      <c r="F1239" s="25" t="s">
        <v>1252</v>
      </c>
    </row>
    <row r="1240" ht="22.5" customHeight="1" spans="1:6">
      <c r="A1240" s="22">
        <v>1239</v>
      </c>
      <c r="B1240" s="22" t="s">
        <v>1548</v>
      </c>
      <c r="C1240" s="22" t="s">
        <v>797</v>
      </c>
      <c r="D1240" s="22" t="s">
        <v>821</v>
      </c>
      <c r="E1240" s="22" t="s">
        <v>11</v>
      </c>
      <c r="F1240" s="24" t="s">
        <v>1252</v>
      </c>
    </row>
    <row r="1241" ht="22.5" customHeight="1" spans="1:6">
      <c r="A1241" s="23">
        <v>1240</v>
      </c>
      <c r="B1241" s="23" t="s">
        <v>1549</v>
      </c>
      <c r="C1241" s="23" t="s">
        <v>797</v>
      </c>
      <c r="D1241" s="23" t="s">
        <v>802</v>
      </c>
      <c r="E1241" s="23" t="s">
        <v>11</v>
      </c>
      <c r="F1241" s="25" t="s">
        <v>1252</v>
      </c>
    </row>
    <row r="1242" ht="22.5" customHeight="1" spans="1:6">
      <c r="A1242" s="22">
        <v>1241</v>
      </c>
      <c r="B1242" s="22" t="s">
        <v>1550</v>
      </c>
      <c r="C1242" s="22" t="s">
        <v>797</v>
      </c>
      <c r="D1242" s="22" t="s">
        <v>815</v>
      </c>
      <c r="E1242" s="22" t="s">
        <v>11</v>
      </c>
      <c r="F1242" s="24" t="s">
        <v>1252</v>
      </c>
    </row>
    <row r="1243" ht="22.5" customHeight="1" spans="1:6">
      <c r="A1243" s="23">
        <v>1242</v>
      </c>
      <c r="B1243" s="23" t="s">
        <v>1551</v>
      </c>
      <c r="C1243" s="23" t="s">
        <v>797</v>
      </c>
      <c r="D1243" s="23" t="s">
        <v>798</v>
      </c>
      <c r="E1243" s="23" t="s">
        <v>11</v>
      </c>
      <c r="F1243" s="25" t="s">
        <v>1252</v>
      </c>
    </row>
    <row r="1244" ht="22.5" customHeight="1" spans="1:6">
      <c r="A1244" s="22">
        <v>1243</v>
      </c>
      <c r="B1244" s="22" t="s">
        <v>1552</v>
      </c>
      <c r="C1244" s="22" t="s">
        <v>844</v>
      </c>
      <c r="D1244" s="22" t="s">
        <v>845</v>
      </c>
      <c r="E1244" s="22" t="s">
        <v>11</v>
      </c>
      <c r="F1244" s="24" t="s">
        <v>1252</v>
      </c>
    </row>
    <row r="1245" ht="22.5" customHeight="1" spans="1:6">
      <c r="A1245" s="23">
        <v>1244</v>
      </c>
      <c r="B1245" s="23" t="s">
        <v>1553</v>
      </c>
      <c r="C1245" s="23" t="s">
        <v>844</v>
      </c>
      <c r="D1245" s="23" t="s">
        <v>1554</v>
      </c>
      <c r="E1245" s="23" t="s">
        <v>11</v>
      </c>
      <c r="F1245" s="25" t="s">
        <v>1252</v>
      </c>
    </row>
    <row r="1246" ht="22.5" customHeight="1" spans="1:6">
      <c r="A1246" s="22">
        <v>1245</v>
      </c>
      <c r="B1246" s="22" t="s">
        <v>1555</v>
      </c>
      <c r="C1246" s="22" t="s">
        <v>844</v>
      </c>
      <c r="D1246" s="22" t="s">
        <v>845</v>
      </c>
      <c r="E1246" s="22" t="s">
        <v>11</v>
      </c>
      <c r="F1246" s="24" t="s">
        <v>1252</v>
      </c>
    </row>
    <row r="1247" ht="22.5" customHeight="1" spans="1:6">
      <c r="A1247" s="23">
        <v>1246</v>
      </c>
      <c r="B1247" s="23" t="s">
        <v>1556</v>
      </c>
      <c r="C1247" s="23" t="s">
        <v>844</v>
      </c>
      <c r="D1247" s="23" t="s">
        <v>890</v>
      </c>
      <c r="E1247" s="23" t="s">
        <v>11</v>
      </c>
      <c r="F1247" s="25" t="s">
        <v>1252</v>
      </c>
    </row>
    <row r="1248" ht="22.5" customHeight="1" spans="1:6">
      <c r="A1248" s="22">
        <v>1247</v>
      </c>
      <c r="B1248" s="22" t="s">
        <v>1557</v>
      </c>
      <c r="C1248" s="22" t="s">
        <v>844</v>
      </c>
      <c r="D1248" s="22" t="s">
        <v>845</v>
      </c>
      <c r="E1248" s="22" t="s">
        <v>11</v>
      </c>
      <c r="F1248" s="24" t="s">
        <v>1252</v>
      </c>
    </row>
    <row r="1249" ht="22.5" customHeight="1" spans="1:6">
      <c r="A1249" s="23">
        <v>1248</v>
      </c>
      <c r="B1249" s="23" t="s">
        <v>1558</v>
      </c>
      <c r="C1249" s="23" t="s">
        <v>844</v>
      </c>
      <c r="D1249" s="23" t="s">
        <v>845</v>
      </c>
      <c r="E1249" s="23" t="s">
        <v>11</v>
      </c>
      <c r="F1249" s="25" t="s">
        <v>1252</v>
      </c>
    </row>
    <row r="1250" ht="22.5" customHeight="1" spans="1:6">
      <c r="A1250" s="22">
        <v>1249</v>
      </c>
      <c r="B1250" s="22" t="s">
        <v>1559</v>
      </c>
      <c r="C1250" s="22" t="s">
        <v>844</v>
      </c>
      <c r="D1250" s="22" t="s">
        <v>845</v>
      </c>
      <c r="E1250" s="22" t="s">
        <v>11</v>
      </c>
      <c r="F1250" s="24" t="s">
        <v>1252</v>
      </c>
    </row>
    <row r="1251" ht="22.5" customHeight="1" spans="1:6">
      <c r="A1251" s="23">
        <v>1250</v>
      </c>
      <c r="B1251" s="23" t="s">
        <v>1560</v>
      </c>
      <c r="C1251" s="23" t="s">
        <v>844</v>
      </c>
      <c r="D1251" s="23" t="s">
        <v>845</v>
      </c>
      <c r="E1251" s="23" t="s">
        <v>11</v>
      </c>
      <c r="F1251" s="25" t="s">
        <v>1252</v>
      </c>
    </row>
    <row r="1252" ht="22.5" customHeight="1" spans="1:6">
      <c r="A1252" s="22">
        <v>1251</v>
      </c>
      <c r="B1252" s="22" t="s">
        <v>1561</v>
      </c>
      <c r="C1252" s="22" t="s">
        <v>844</v>
      </c>
      <c r="D1252" s="22" t="s">
        <v>845</v>
      </c>
      <c r="E1252" s="22" t="s">
        <v>11</v>
      </c>
      <c r="F1252" s="24" t="s">
        <v>1252</v>
      </c>
    </row>
    <row r="1253" ht="22.5" customHeight="1" spans="1:6">
      <c r="A1253" s="23">
        <v>1252</v>
      </c>
      <c r="B1253" s="23" t="s">
        <v>1562</v>
      </c>
      <c r="C1253" s="23" t="s">
        <v>844</v>
      </c>
      <c r="D1253" s="23" t="s">
        <v>852</v>
      </c>
      <c r="E1253" s="23" t="s">
        <v>11</v>
      </c>
      <c r="F1253" s="25" t="s">
        <v>1252</v>
      </c>
    </row>
    <row r="1254" ht="22.5" customHeight="1" spans="1:6">
      <c r="A1254" s="22">
        <v>1253</v>
      </c>
      <c r="B1254" s="22" t="s">
        <v>1563</v>
      </c>
      <c r="C1254" s="22" t="s">
        <v>844</v>
      </c>
      <c r="D1254" s="22" t="s">
        <v>845</v>
      </c>
      <c r="E1254" s="22" t="s">
        <v>11</v>
      </c>
      <c r="F1254" s="24" t="s">
        <v>1252</v>
      </c>
    </row>
    <row r="1255" ht="22.5" customHeight="1" spans="1:6">
      <c r="A1255" s="23">
        <v>1254</v>
      </c>
      <c r="B1255" s="23" t="s">
        <v>1564</v>
      </c>
      <c r="C1255" s="23" t="s">
        <v>844</v>
      </c>
      <c r="D1255" s="23" t="s">
        <v>845</v>
      </c>
      <c r="E1255" s="23" t="s">
        <v>11</v>
      </c>
      <c r="F1255" s="25" t="s">
        <v>1252</v>
      </c>
    </row>
    <row r="1256" ht="22.5" customHeight="1" spans="1:6">
      <c r="A1256" s="22">
        <v>1255</v>
      </c>
      <c r="B1256" s="22" t="s">
        <v>1565</v>
      </c>
      <c r="C1256" s="22" t="s">
        <v>844</v>
      </c>
      <c r="D1256" s="22" t="s">
        <v>845</v>
      </c>
      <c r="E1256" s="22" t="s">
        <v>11</v>
      </c>
      <c r="F1256" s="24" t="s">
        <v>1252</v>
      </c>
    </row>
    <row r="1257" ht="22.5" customHeight="1" spans="1:6">
      <c r="A1257" s="23">
        <v>1256</v>
      </c>
      <c r="B1257" s="23" t="s">
        <v>1566</v>
      </c>
      <c r="C1257" s="23" t="s">
        <v>844</v>
      </c>
      <c r="D1257" s="23" t="s">
        <v>845</v>
      </c>
      <c r="E1257" s="23" t="s">
        <v>11</v>
      </c>
      <c r="F1257" s="25" t="s">
        <v>1252</v>
      </c>
    </row>
    <row r="1258" ht="22.5" customHeight="1" spans="1:6">
      <c r="A1258" s="22">
        <v>1257</v>
      </c>
      <c r="B1258" s="22" t="s">
        <v>1567</v>
      </c>
      <c r="C1258" s="22" t="s">
        <v>844</v>
      </c>
      <c r="D1258" s="22" t="s">
        <v>845</v>
      </c>
      <c r="E1258" s="22" t="s">
        <v>11</v>
      </c>
      <c r="F1258" s="24" t="s">
        <v>1252</v>
      </c>
    </row>
    <row r="1259" ht="22.5" customHeight="1" spans="1:6">
      <c r="A1259" s="23">
        <v>1258</v>
      </c>
      <c r="B1259" s="23" t="s">
        <v>1568</v>
      </c>
      <c r="C1259" s="23" t="s">
        <v>844</v>
      </c>
      <c r="D1259" s="23" t="s">
        <v>1569</v>
      </c>
      <c r="E1259" s="23" t="s">
        <v>11</v>
      </c>
      <c r="F1259" s="25" t="s">
        <v>1252</v>
      </c>
    </row>
    <row r="1260" ht="22.5" customHeight="1" spans="1:6">
      <c r="A1260" s="22">
        <v>1259</v>
      </c>
      <c r="B1260" s="22" t="s">
        <v>1570</v>
      </c>
      <c r="C1260" s="22" t="s">
        <v>844</v>
      </c>
      <c r="D1260" s="22" t="s">
        <v>1569</v>
      </c>
      <c r="E1260" s="22" t="s">
        <v>11</v>
      </c>
      <c r="F1260" s="24" t="s">
        <v>1252</v>
      </c>
    </row>
    <row r="1261" ht="22.5" customHeight="1" spans="1:6">
      <c r="A1261" s="23">
        <v>1260</v>
      </c>
      <c r="B1261" s="23" t="s">
        <v>1571</v>
      </c>
      <c r="C1261" s="23" t="s">
        <v>844</v>
      </c>
      <c r="D1261" s="23" t="s">
        <v>845</v>
      </c>
      <c r="E1261" s="23" t="s">
        <v>11</v>
      </c>
      <c r="F1261" s="25" t="s">
        <v>1252</v>
      </c>
    </row>
    <row r="1262" ht="22.5" customHeight="1" spans="1:6">
      <c r="A1262" s="22">
        <v>1261</v>
      </c>
      <c r="B1262" s="22" t="s">
        <v>1572</v>
      </c>
      <c r="C1262" s="22" t="s">
        <v>844</v>
      </c>
      <c r="D1262" s="22" t="s">
        <v>845</v>
      </c>
      <c r="E1262" s="22" t="s">
        <v>11</v>
      </c>
      <c r="F1262" s="24" t="s">
        <v>1252</v>
      </c>
    </row>
    <row r="1263" ht="22.5" customHeight="1" spans="1:6">
      <c r="A1263" s="23">
        <v>1262</v>
      </c>
      <c r="B1263" s="23" t="s">
        <v>1573</v>
      </c>
      <c r="C1263" s="23" t="s">
        <v>844</v>
      </c>
      <c r="D1263" s="23" t="s">
        <v>886</v>
      </c>
      <c r="E1263" s="23" t="s">
        <v>11</v>
      </c>
      <c r="F1263" s="25" t="s">
        <v>1252</v>
      </c>
    </row>
    <row r="1264" ht="22.5" customHeight="1" spans="1:6">
      <c r="A1264" s="22">
        <v>1263</v>
      </c>
      <c r="B1264" s="22" t="s">
        <v>1574</v>
      </c>
      <c r="C1264" s="22" t="s">
        <v>844</v>
      </c>
      <c r="D1264" s="22" t="s">
        <v>866</v>
      </c>
      <c r="E1264" s="22" t="s">
        <v>11</v>
      </c>
      <c r="F1264" s="24" t="s">
        <v>1252</v>
      </c>
    </row>
    <row r="1265" ht="22.5" customHeight="1" spans="1:6">
      <c r="A1265" s="23">
        <v>1264</v>
      </c>
      <c r="B1265" s="23" t="s">
        <v>1575</v>
      </c>
      <c r="C1265" s="23" t="s">
        <v>844</v>
      </c>
      <c r="D1265" s="23" t="s">
        <v>866</v>
      </c>
      <c r="E1265" s="23" t="s">
        <v>11</v>
      </c>
      <c r="F1265" s="25" t="s">
        <v>1252</v>
      </c>
    </row>
    <row r="1266" ht="22.5" customHeight="1" spans="1:6">
      <c r="A1266" s="22">
        <v>1265</v>
      </c>
      <c r="B1266" s="22" t="s">
        <v>1576</v>
      </c>
      <c r="C1266" s="22" t="s">
        <v>844</v>
      </c>
      <c r="D1266" s="22" t="s">
        <v>886</v>
      </c>
      <c r="E1266" s="22" t="s">
        <v>11</v>
      </c>
      <c r="F1266" s="24" t="s">
        <v>1252</v>
      </c>
    </row>
    <row r="1267" ht="22.5" customHeight="1" spans="1:6">
      <c r="A1267" s="23">
        <v>1266</v>
      </c>
      <c r="B1267" s="23" t="s">
        <v>1577</v>
      </c>
      <c r="C1267" s="23" t="s">
        <v>844</v>
      </c>
      <c r="D1267" s="23" t="s">
        <v>845</v>
      </c>
      <c r="E1267" s="23" t="s">
        <v>11</v>
      </c>
      <c r="F1267" s="25" t="s">
        <v>1252</v>
      </c>
    </row>
    <row r="1268" ht="22.5" customHeight="1" spans="1:6">
      <c r="A1268" s="22">
        <v>1267</v>
      </c>
      <c r="B1268" s="22" t="s">
        <v>1578</v>
      </c>
      <c r="C1268" s="22" t="s">
        <v>902</v>
      </c>
      <c r="D1268" s="22" t="s">
        <v>903</v>
      </c>
      <c r="E1268" s="22" t="s">
        <v>11</v>
      </c>
      <c r="F1268" s="24" t="s">
        <v>1252</v>
      </c>
    </row>
    <row r="1269" ht="22.5" customHeight="1" spans="1:6">
      <c r="A1269" s="23">
        <v>1268</v>
      </c>
      <c r="B1269" s="23" t="s">
        <v>1579</v>
      </c>
      <c r="C1269" s="23" t="s">
        <v>902</v>
      </c>
      <c r="D1269" s="23" t="s">
        <v>1580</v>
      </c>
      <c r="E1269" s="23" t="s">
        <v>11</v>
      </c>
      <c r="F1269" s="25" t="s">
        <v>1252</v>
      </c>
    </row>
    <row r="1270" ht="22.5" customHeight="1" spans="1:6">
      <c r="A1270" s="22">
        <v>1269</v>
      </c>
      <c r="B1270" s="22" t="s">
        <v>1581</v>
      </c>
      <c r="C1270" s="22" t="s">
        <v>902</v>
      </c>
      <c r="D1270" s="22" t="s">
        <v>905</v>
      </c>
      <c r="E1270" s="22" t="s">
        <v>11</v>
      </c>
      <c r="F1270" s="24" t="s">
        <v>1252</v>
      </c>
    </row>
    <row r="1271" ht="22.5" customHeight="1" spans="1:6">
      <c r="A1271" s="23">
        <v>1270</v>
      </c>
      <c r="B1271" s="23" t="s">
        <v>1582</v>
      </c>
      <c r="C1271" s="23" t="s">
        <v>902</v>
      </c>
      <c r="D1271" s="23" t="s">
        <v>903</v>
      </c>
      <c r="E1271" s="23" t="s">
        <v>11</v>
      </c>
      <c r="F1271" s="25" t="s">
        <v>1252</v>
      </c>
    </row>
    <row r="1272" ht="22.5" customHeight="1" spans="1:6">
      <c r="A1272" s="22">
        <v>1271</v>
      </c>
      <c r="B1272" s="22" t="s">
        <v>1583</v>
      </c>
      <c r="C1272" s="22" t="s">
        <v>902</v>
      </c>
      <c r="D1272" s="22" t="s">
        <v>907</v>
      </c>
      <c r="E1272" s="22" t="s">
        <v>11</v>
      </c>
      <c r="F1272" s="24" t="s">
        <v>1252</v>
      </c>
    </row>
    <row r="1273" ht="22.5" customHeight="1" spans="1:6">
      <c r="A1273" s="23">
        <v>1272</v>
      </c>
      <c r="B1273" s="23" t="s">
        <v>1584</v>
      </c>
      <c r="C1273" s="23" t="s">
        <v>902</v>
      </c>
      <c r="D1273" s="23" t="s">
        <v>903</v>
      </c>
      <c r="E1273" s="23" t="s">
        <v>11</v>
      </c>
      <c r="F1273" s="25" t="s">
        <v>1252</v>
      </c>
    </row>
    <row r="1274" ht="22.5" customHeight="1" spans="1:6">
      <c r="A1274" s="22">
        <v>1273</v>
      </c>
      <c r="B1274" s="22" t="s">
        <v>1585</v>
      </c>
      <c r="C1274" s="22" t="s">
        <v>902</v>
      </c>
      <c r="D1274" s="22" t="s">
        <v>903</v>
      </c>
      <c r="E1274" s="22" t="s">
        <v>11</v>
      </c>
      <c r="F1274" s="24" t="s">
        <v>1252</v>
      </c>
    </row>
    <row r="1275" ht="22.5" customHeight="1" spans="1:6">
      <c r="A1275" s="23">
        <v>1274</v>
      </c>
      <c r="B1275" s="23" t="s">
        <v>1586</v>
      </c>
      <c r="C1275" s="23" t="s">
        <v>902</v>
      </c>
      <c r="D1275" s="23" t="s">
        <v>907</v>
      </c>
      <c r="E1275" s="23" t="s">
        <v>11</v>
      </c>
      <c r="F1275" s="25" t="s">
        <v>1252</v>
      </c>
    </row>
    <row r="1276" ht="22.5" customHeight="1" spans="1:6">
      <c r="A1276" s="22">
        <v>1275</v>
      </c>
      <c r="B1276" s="22" t="s">
        <v>1587</v>
      </c>
      <c r="C1276" s="22" t="s">
        <v>902</v>
      </c>
      <c r="D1276" s="22" t="s">
        <v>907</v>
      </c>
      <c r="E1276" s="22" t="s">
        <v>11</v>
      </c>
      <c r="F1276" s="24" t="s">
        <v>1252</v>
      </c>
    </row>
    <row r="1277" ht="22.5" customHeight="1" spans="1:6">
      <c r="A1277" s="23">
        <v>1276</v>
      </c>
      <c r="B1277" s="23" t="s">
        <v>1588</v>
      </c>
      <c r="C1277" s="23" t="s">
        <v>902</v>
      </c>
      <c r="D1277" s="23" t="s">
        <v>903</v>
      </c>
      <c r="E1277" s="23" t="s">
        <v>11</v>
      </c>
      <c r="F1277" s="25" t="s">
        <v>1252</v>
      </c>
    </row>
    <row r="1278" ht="22.5" customHeight="1" spans="1:6">
      <c r="A1278" s="22">
        <v>1277</v>
      </c>
      <c r="B1278" s="22" t="s">
        <v>1589</v>
      </c>
      <c r="C1278" s="22" t="s">
        <v>902</v>
      </c>
      <c r="D1278" s="22" t="s">
        <v>1580</v>
      </c>
      <c r="E1278" s="22" t="s">
        <v>11</v>
      </c>
      <c r="F1278" s="24" t="s">
        <v>1252</v>
      </c>
    </row>
    <row r="1279" ht="22.5" customHeight="1" spans="1:6">
      <c r="A1279" s="23">
        <v>1278</v>
      </c>
      <c r="B1279" s="23" t="s">
        <v>1590</v>
      </c>
      <c r="C1279" s="23" t="s">
        <v>902</v>
      </c>
      <c r="D1279" s="23" t="s">
        <v>917</v>
      </c>
      <c r="E1279" s="23" t="s">
        <v>11</v>
      </c>
      <c r="F1279" s="25" t="s">
        <v>1252</v>
      </c>
    </row>
    <row r="1280" ht="22.5" customHeight="1" spans="1:6">
      <c r="A1280" s="22">
        <v>1279</v>
      </c>
      <c r="B1280" s="22" t="s">
        <v>1591</v>
      </c>
      <c r="C1280" s="22" t="s">
        <v>943</v>
      </c>
      <c r="D1280" s="22" t="s">
        <v>944</v>
      </c>
      <c r="E1280" s="22" t="s">
        <v>11</v>
      </c>
      <c r="F1280" s="24" t="s">
        <v>1252</v>
      </c>
    </row>
    <row r="1281" ht="22.5" customHeight="1" spans="1:6">
      <c r="A1281" s="23">
        <v>1280</v>
      </c>
      <c r="B1281" s="23" t="s">
        <v>1592</v>
      </c>
      <c r="C1281" s="23" t="s">
        <v>943</v>
      </c>
      <c r="D1281" s="23" t="s">
        <v>946</v>
      </c>
      <c r="E1281" s="23" t="s">
        <v>11</v>
      </c>
      <c r="F1281" s="25" t="s">
        <v>1252</v>
      </c>
    </row>
    <row r="1282" ht="22.5" customHeight="1" spans="1:6">
      <c r="A1282" s="22">
        <v>1281</v>
      </c>
      <c r="B1282" s="22" t="s">
        <v>1593</v>
      </c>
      <c r="C1282" s="22" t="s">
        <v>943</v>
      </c>
      <c r="D1282" s="22" t="s">
        <v>944</v>
      </c>
      <c r="E1282" s="22" t="s">
        <v>11</v>
      </c>
      <c r="F1282" s="24" t="s">
        <v>1252</v>
      </c>
    </row>
    <row r="1283" ht="22.5" customHeight="1" spans="1:6">
      <c r="A1283" s="23">
        <v>1282</v>
      </c>
      <c r="B1283" s="23" t="s">
        <v>1594</v>
      </c>
      <c r="C1283" s="23" t="s">
        <v>951</v>
      </c>
      <c r="D1283" s="23" t="s">
        <v>951</v>
      </c>
      <c r="E1283" s="23" t="s">
        <v>11</v>
      </c>
      <c r="F1283" s="25" t="s">
        <v>1252</v>
      </c>
    </row>
    <row r="1284" ht="22.5" customHeight="1" spans="1:6">
      <c r="A1284" s="22">
        <v>1283</v>
      </c>
      <c r="B1284" s="22" t="s">
        <v>1595</v>
      </c>
      <c r="C1284" s="22" t="s">
        <v>951</v>
      </c>
      <c r="D1284" s="22" t="s">
        <v>951</v>
      </c>
      <c r="E1284" s="22" t="s">
        <v>11</v>
      </c>
      <c r="F1284" s="24" t="s">
        <v>1252</v>
      </c>
    </row>
    <row r="1285" ht="22.5" customHeight="1" spans="1:6">
      <c r="A1285" s="23">
        <v>1284</v>
      </c>
      <c r="B1285" s="23" t="s">
        <v>1596</v>
      </c>
      <c r="C1285" s="23" t="s">
        <v>951</v>
      </c>
      <c r="D1285" s="23" t="s">
        <v>951</v>
      </c>
      <c r="E1285" s="23" t="s">
        <v>11</v>
      </c>
      <c r="F1285" s="25" t="s">
        <v>1252</v>
      </c>
    </row>
    <row r="1286" ht="22.5" customHeight="1" spans="1:6">
      <c r="A1286" s="22">
        <v>1285</v>
      </c>
      <c r="B1286" s="22" t="s">
        <v>1597</v>
      </c>
      <c r="C1286" s="22" t="s">
        <v>951</v>
      </c>
      <c r="D1286" s="22" t="s">
        <v>951</v>
      </c>
      <c r="E1286" s="22" t="s">
        <v>11</v>
      </c>
      <c r="F1286" s="24" t="s">
        <v>1252</v>
      </c>
    </row>
    <row r="1287" ht="22.5" customHeight="1" spans="1:6">
      <c r="A1287" s="23">
        <v>1286</v>
      </c>
      <c r="B1287" s="23" t="s">
        <v>1598</v>
      </c>
      <c r="C1287" s="23" t="s">
        <v>951</v>
      </c>
      <c r="D1287" s="23" t="s">
        <v>951</v>
      </c>
      <c r="E1287" s="23" t="s">
        <v>11</v>
      </c>
      <c r="F1287" s="25" t="s">
        <v>1252</v>
      </c>
    </row>
    <row r="1288" ht="22.5" customHeight="1" spans="1:6">
      <c r="A1288" s="22">
        <v>1287</v>
      </c>
      <c r="B1288" s="22" t="s">
        <v>1599</v>
      </c>
      <c r="C1288" s="22" t="s">
        <v>951</v>
      </c>
      <c r="D1288" s="22" t="s">
        <v>951</v>
      </c>
      <c r="E1288" s="22" t="s">
        <v>11</v>
      </c>
      <c r="F1288" s="24" t="s">
        <v>1252</v>
      </c>
    </row>
    <row r="1289" ht="22.5" customHeight="1" spans="1:6">
      <c r="A1289" s="23">
        <v>1288</v>
      </c>
      <c r="B1289" s="23" t="s">
        <v>1600</v>
      </c>
      <c r="C1289" s="23" t="s">
        <v>951</v>
      </c>
      <c r="D1289" s="23" t="s">
        <v>951</v>
      </c>
      <c r="E1289" s="23" t="s">
        <v>11</v>
      </c>
      <c r="F1289" s="25" t="s">
        <v>1252</v>
      </c>
    </row>
    <row r="1290" ht="22.5" customHeight="1" spans="1:6">
      <c r="A1290" s="22">
        <v>1289</v>
      </c>
      <c r="B1290" s="22" t="s">
        <v>1601</v>
      </c>
      <c r="C1290" s="22" t="s">
        <v>951</v>
      </c>
      <c r="D1290" s="22" t="s">
        <v>951</v>
      </c>
      <c r="E1290" s="22" t="s">
        <v>11</v>
      </c>
      <c r="F1290" s="24" t="s">
        <v>1252</v>
      </c>
    </row>
    <row r="1291" ht="22.5" customHeight="1" spans="1:6">
      <c r="A1291" s="23">
        <v>1290</v>
      </c>
      <c r="B1291" s="23" t="s">
        <v>1602</v>
      </c>
      <c r="C1291" s="23" t="s">
        <v>951</v>
      </c>
      <c r="D1291" s="23" t="s">
        <v>951</v>
      </c>
      <c r="E1291" s="23" t="s">
        <v>11</v>
      </c>
      <c r="F1291" s="25" t="s">
        <v>1252</v>
      </c>
    </row>
    <row r="1292" ht="22.5" customHeight="1" spans="1:6">
      <c r="A1292" s="22">
        <v>1291</v>
      </c>
      <c r="B1292" s="22" t="s">
        <v>1603</v>
      </c>
      <c r="C1292" s="22" t="s">
        <v>971</v>
      </c>
      <c r="D1292" s="22" t="s">
        <v>972</v>
      </c>
      <c r="E1292" s="22" t="s">
        <v>11</v>
      </c>
      <c r="F1292" s="24" t="s">
        <v>1252</v>
      </c>
    </row>
    <row r="1293" ht="22.5" customHeight="1" spans="1:6">
      <c r="A1293" s="23">
        <v>1292</v>
      </c>
      <c r="B1293" s="23" t="s">
        <v>1604</v>
      </c>
      <c r="C1293" s="23" t="s">
        <v>971</v>
      </c>
      <c r="D1293" s="23" t="s">
        <v>972</v>
      </c>
      <c r="E1293" s="23" t="s">
        <v>11</v>
      </c>
      <c r="F1293" s="25" t="s">
        <v>1252</v>
      </c>
    </row>
    <row r="1294" ht="22.5" customHeight="1" spans="1:6">
      <c r="A1294" s="22">
        <v>1293</v>
      </c>
      <c r="B1294" s="22" t="s">
        <v>1605</v>
      </c>
      <c r="C1294" s="22" t="s">
        <v>971</v>
      </c>
      <c r="D1294" s="22" t="s">
        <v>972</v>
      </c>
      <c r="E1294" s="22" t="s">
        <v>11</v>
      </c>
      <c r="F1294" s="24" t="s">
        <v>1252</v>
      </c>
    </row>
    <row r="1295" ht="22.5" customHeight="1" spans="1:6">
      <c r="A1295" s="23">
        <v>1294</v>
      </c>
      <c r="B1295" s="23" t="s">
        <v>1606</v>
      </c>
      <c r="C1295" s="23" t="s">
        <v>971</v>
      </c>
      <c r="D1295" s="23" t="s">
        <v>1006</v>
      </c>
      <c r="E1295" s="23" t="s">
        <v>11</v>
      </c>
      <c r="F1295" s="25" t="s">
        <v>1252</v>
      </c>
    </row>
    <row r="1296" ht="22.5" customHeight="1" spans="1:6">
      <c r="A1296" s="22">
        <v>1295</v>
      </c>
      <c r="B1296" s="22" t="s">
        <v>1607</v>
      </c>
      <c r="C1296" s="22" t="s">
        <v>971</v>
      </c>
      <c r="D1296" s="22" t="s">
        <v>972</v>
      </c>
      <c r="E1296" s="22" t="s">
        <v>11</v>
      </c>
      <c r="F1296" s="24" t="s">
        <v>1252</v>
      </c>
    </row>
    <row r="1297" ht="22.5" customHeight="1" spans="1:6">
      <c r="A1297" s="23">
        <v>1296</v>
      </c>
      <c r="B1297" s="23" t="s">
        <v>1608</v>
      </c>
      <c r="C1297" s="23" t="s">
        <v>971</v>
      </c>
      <c r="D1297" s="23" t="s">
        <v>972</v>
      </c>
      <c r="E1297" s="23" t="s">
        <v>11</v>
      </c>
      <c r="F1297" s="25" t="s">
        <v>1252</v>
      </c>
    </row>
    <row r="1298" ht="22.5" customHeight="1" spans="1:6">
      <c r="A1298" s="22">
        <v>1297</v>
      </c>
      <c r="B1298" s="22" t="s">
        <v>1609</v>
      </c>
      <c r="C1298" s="22" t="s">
        <v>971</v>
      </c>
      <c r="D1298" s="22" t="s">
        <v>972</v>
      </c>
      <c r="E1298" s="22" t="s">
        <v>11</v>
      </c>
      <c r="F1298" s="24" t="s">
        <v>1252</v>
      </c>
    </row>
    <row r="1299" ht="22.5" customHeight="1" spans="1:6">
      <c r="A1299" s="23">
        <v>1298</v>
      </c>
      <c r="B1299" s="23" t="s">
        <v>1610</v>
      </c>
      <c r="C1299" s="23" t="s">
        <v>971</v>
      </c>
      <c r="D1299" s="23" t="s">
        <v>972</v>
      </c>
      <c r="E1299" s="23" t="s">
        <v>11</v>
      </c>
      <c r="F1299" s="25" t="s">
        <v>1252</v>
      </c>
    </row>
    <row r="1300" ht="22.5" customHeight="1" spans="1:6">
      <c r="A1300" s="22">
        <v>1299</v>
      </c>
      <c r="B1300" s="22" t="s">
        <v>1611</v>
      </c>
      <c r="C1300" s="22" t="s">
        <v>971</v>
      </c>
      <c r="D1300" s="22" t="s">
        <v>972</v>
      </c>
      <c r="E1300" s="22" t="s">
        <v>11</v>
      </c>
      <c r="F1300" s="24" t="s">
        <v>1252</v>
      </c>
    </row>
    <row r="1301" ht="22.5" customHeight="1" spans="1:6">
      <c r="A1301" s="23">
        <v>1300</v>
      </c>
      <c r="B1301" s="23" t="s">
        <v>1612</v>
      </c>
      <c r="C1301" s="23" t="s">
        <v>971</v>
      </c>
      <c r="D1301" s="23" t="s">
        <v>984</v>
      </c>
      <c r="E1301" s="23" t="s">
        <v>11</v>
      </c>
      <c r="F1301" s="25" t="s">
        <v>1252</v>
      </c>
    </row>
    <row r="1302" ht="22.5" customHeight="1" spans="1:6">
      <c r="A1302" s="22">
        <v>1301</v>
      </c>
      <c r="B1302" s="22" t="s">
        <v>1613</v>
      </c>
      <c r="C1302" s="22" t="s">
        <v>971</v>
      </c>
      <c r="D1302" s="22" t="s">
        <v>972</v>
      </c>
      <c r="E1302" s="22" t="s">
        <v>11</v>
      </c>
      <c r="F1302" s="24" t="s">
        <v>1252</v>
      </c>
    </row>
    <row r="1303" ht="22.5" customHeight="1" spans="1:6">
      <c r="A1303" s="23">
        <v>1302</v>
      </c>
      <c r="B1303" s="23" t="s">
        <v>1614</v>
      </c>
      <c r="C1303" s="23" t="s">
        <v>971</v>
      </c>
      <c r="D1303" s="23" t="s">
        <v>978</v>
      </c>
      <c r="E1303" s="23" t="s">
        <v>11</v>
      </c>
      <c r="F1303" s="25" t="s">
        <v>1252</v>
      </c>
    </row>
    <row r="1304" ht="22.5" customHeight="1" spans="1:6">
      <c r="A1304" s="22">
        <v>1303</v>
      </c>
      <c r="B1304" s="22" t="s">
        <v>1615</v>
      </c>
      <c r="C1304" s="22" t="s">
        <v>971</v>
      </c>
      <c r="D1304" s="22" t="s">
        <v>1616</v>
      </c>
      <c r="E1304" s="22" t="s">
        <v>11</v>
      </c>
      <c r="F1304" s="24" t="s">
        <v>1252</v>
      </c>
    </row>
    <row r="1305" ht="22.5" customHeight="1" spans="1:6">
      <c r="A1305" s="23">
        <v>1304</v>
      </c>
      <c r="B1305" s="23" t="s">
        <v>1617</v>
      </c>
      <c r="C1305" s="23" t="s">
        <v>971</v>
      </c>
      <c r="D1305" s="23" t="s">
        <v>978</v>
      </c>
      <c r="E1305" s="23" t="s">
        <v>11</v>
      </c>
      <c r="F1305" s="25" t="s">
        <v>1252</v>
      </c>
    </row>
    <row r="1306" ht="22.5" customHeight="1" spans="1:6">
      <c r="A1306" s="22">
        <v>1305</v>
      </c>
      <c r="B1306" s="22" t="s">
        <v>1618</v>
      </c>
      <c r="C1306" s="22" t="s">
        <v>971</v>
      </c>
      <c r="D1306" s="22" t="s">
        <v>978</v>
      </c>
      <c r="E1306" s="22" t="s">
        <v>11</v>
      </c>
      <c r="F1306" s="24" t="s">
        <v>1252</v>
      </c>
    </row>
    <row r="1307" ht="22.5" customHeight="1" spans="1:6">
      <c r="A1307" s="23">
        <v>1306</v>
      </c>
      <c r="B1307" s="23" t="s">
        <v>1619</v>
      </c>
      <c r="C1307" s="23" t="s">
        <v>971</v>
      </c>
      <c r="D1307" s="23" t="s">
        <v>993</v>
      </c>
      <c r="E1307" s="23" t="s">
        <v>11</v>
      </c>
      <c r="F1307" s="25" t="s">
        <v>1252</v>
      </c>
    </row>
    <row r="1308" ht="22.5" customHeight="1" spans="1:6">
      <c r="A1308" s="22">
        <v>1307</v>
      </c>
      <c r="B1308" s="22" t="s">
        <v>1620</v>
      </c>
      <c r="C1308" s="22" t="s">
        <v>971</v>
      </c>
      <c r="D1308" s="22" t="s">
        <v>972</v>
      </c>
      <c r="E1308" s="22" t="s">
        <v>11</v>
      </c>
      <c r="F1308" s="24" t="s">
        <v>1252</v>
      </c>
    </row>
    <row r="1309" ht="22.5" customHeight="1" spans="1:6">
      <c r="A1309" s="23">
        <v>1308</v>
      </c>
      <c r="B1309" s="23" t="s">
        <v>1621</v>
      </c>
      <c r="C1309" s="23" t="s">
        <v>971</v>
      </c>
      <c r="D1309" s="23" t="s">
        <v>972</v>
      </c>
      <c r="E1309" s="23" t="s">
        <v>11</v>
      </c>
      <c r="F1309" s="25" t="s">
        <v>1252</v>
      </c>
    </row>
    <row r="1310" ht="22.5" customHeight="1" spans="1:6">
      <c r="A1310" s="22">
        <v>1309</v>
      </c>
      <c r="B1310" s="22" t="s">
        <v>1622</v>
      </c>
      <c r="C1310" s="22" t="s">
        <v>1026</v>
      </c>
      <c r="D1310" s="22" t="s">
        <v>1027</v>
      </c>
      <c r="E1310" s="22" t="s">
        <v>11</v>
      </c>
      <c r="F1310" s="24" t="s">
        <v>1252</v>
      </c>
    </row>
    <row r="1311" ht="22.5" customHeight="1" spans="1:6">
      <c r="A1311" s="23">
        <v>1310</v>
      </c>
      <c r="B1311" s="23" t="s">
        <v>1623</v>
      </c>
      <c r="C1311" s="23" t="s">
        <v>1026</v>
      </c>
      <c r="D1311" s="23" t="s">
        <v>1045</v>
      </c>
      <c r="E1311" s="23" t="s">
        <v>11</v>
      </c>
      <c r="F1311" s="25" t="s">
        <v>1252</v>
      </c>
    </row>
    <row r="1312" ht="22.5" customHeight="1" spans="1:6">
      <c r="A1312" s="22">
        <v>1311</v>
      </c>
      <c r="B1312" s="22" t="s">
        <v>1624</v>
      </c>
      <c r="C1312" s="22" t="s">
        <v>1026</v>
      </c>
      <c r="D1312" s="22" t="s">
        <v>1045</v>
      </c>
      <c r="E1312" s="22" t="s">
        <v>11</v>
      </c>
      <c r="F1312" s="24" t="s">
        <v>1252</v>
      </c>
    </row>
    <row r="1313" ht="22.5" customHeight="1" spans="1:6">
      <c r="A1313" s="23">
        <v>1312</v>
      </c>
      <c r="B1313" s="23" t="s">
        <v>1625</v>
      </c>
      <c r="C1313" s="23" t="s">
        <v>1026</v>
      </c>
      <c r="D1313" s="23" t="s">
        <v>1027</v>
      </c>
      <c r="E1313" s="23" t="s">
        <v>11</v>
      </c>
      <c r="F1313" s="25" t="s">
        <v>1252</v>
      </c>
    </row>
    <row r="1314" ht="22.5" customHeight="1" spans="1:6">
      <c r="A1314" s="22">
        <v>1313</v>
      </c>
      <c r="B1314" s="22" t="s">
        <v>1626</v>
      </c>
      <c r="C1314" s="22" t="s">
        <v>1026</v>
      </c>
      <c r="D1314" s="22" t="s">
        <v>1027</v>
      </c>
      <c r="E1314" s="22" t="s">
        <v>11</v>
      </c>
      <c r="F1314" s="24" t="s">
        <v>1252</v>
      </c>
    </row>
    <row r="1315" ht="22.5" customHeight="1" spans="1:6">
      <c r="A1315" s="23">
        <v>1314</v>
      </c>
      <c r="B1315" s="23" t="s">
        <v>1627</v>
      </c>
      <c r="C1315" s="23" t="s">
        <v>1026</v>
      </c>
      <c r="D1315" s="23" t="s">
        <v>1030</v>
      </c>
      <c r="E1315" s="23" t="s">
        <v>11</v>
      </c>
      <c r="F1315" s="25" t="s">
        <v>1252</v>
      </c>
    </row>
    <row r="1316" ht="22.5" customHeight="1" spans="1:6">
      <c r="A1316" s="22">
        <v>1315</v>
      </c>
      <c r="B1316" s="22" t="s">
        <v>1628</v>
      </c>
      <c r="C1316" s="22" t="s">
        <v>1026</v>
      </c>
      <c r="D1316" s="22" t="s">
        <v>1027</v>
      </c>
      <c r="E1316" s="22" t="s">
        <v>11</v>
      </c>
      <c r="F1316" s="24" t="s">
        <v>1252</v>
      </c>
    </row>
    <row r="1317" ht="22.5" customHeight="1" spans="1:6">
      <c r="A1317" s="23">
        <v>1316</v>
      </c>
      <c r="B1317" s="23" t="s">
        <v>1629</v>
      </c>
      <c r="C1317" s="23" t="s">
        <v>1026</v>
      </c>
      <c r="D1317" s="23" t="s">
        <v>1030</v>
      </c>
      <c r="E1317" s="23" t="s">
        <v>11</v>
      </c>
      <c r="F1317" s="25" t="s">
        <v>1252</v>
      </c>
    </row>
    <row r="1318" ht="22.5" customHeight="1" spans="1:6">
      <c r="A1318" s="22">
        <v>1317</v>
      </c>
      <c r="B1318" s="22" t="s">
        <v>1630</v>
      </c>
      <c r="C1318" s="22" t="s">
        <v>1026</v>
      </c>
      <c r="D1318" s="22" t="s">
        <v>1027</v>
      </c>
      <c r="E1318" s="22" t="s">
        <v>11</v>
      </c>
      <c r="F1318" s="24" t="s">
        <v>1252</v>
      </c>
    </row>
    <row r="1319" ht="22.5" customHeight="1" spans="1:6">
      <c r="A1319" s="23">
        <v>1318</v>
      </c>
      <c r="B1319" s="23" t="s">
        <v>1631</v>
      </c>
      <c r="C1319" s="23" t="s">
        <v>1060</v>
      </c>
      <c r="D1319" s="23" t="s">
        <v>1061</v>
      </c>
      <c r="E1319" s="23" t="s">
        <v>11</v>
      </c>
      <c r="F1319" s="25" t="s">
        <v>1252</v>
      </c>
    </row>
    <row r="1320" ht="22.5" customHeight="1" spans="1:6">
      <c r="A1320" s="22">
        <v>1319</v>
      </c>
      <c r="B1320" s="22" t="s">
        <v>1632</v>
      </c>
      <c r="C1320" s="22" t="s">
        <v>1060</v>
      </c>
      <c r="D1320" s="22" t="s">
        <v>1061</v>
      </c>
      <c r="E1320" s="22" t="s">
        <v>11</v>
      </c>
      <c r="F1320" s="24" t="s">
        <v>1252</v>
      </c>
    </row>
    <row r="1321" ht="22.5" customHeight="1" spans="1:6">
      <c r="A1321" s="23">
        <v>1320</v>
      </c>
      <c r="B1321" s="23" t="s">
        <v>1633</v>
      </c>
      <c r="C1321" s="23" t="s">
        <v>1060</v>
      </c>
      <c r="D1321" s="23" t="s">
        <v>1097</v>
      </c>
      <c r="E1321" s="23" t="s">
        <v>11</v>
      </c>
      <c r="F1321" s="25" t="s">
        <v>1252</v>
      </c>
    </row>
    <row r="1322" ht="22.5" customHeight="1" spans="1:6">
      <c r="A1322" s="22">
        <v>1321</v>
      </c>
      <c r="B1322" s="22" t="s">
        <v>1634</v>
      </c>
      <c r="C1322" s="22" t="s">
        <v>1060</v>
      </c>
      <c r="D1322" s="22" t="s">
        <v>1061</v>
      </c>
      <c r="E1322" s="22" t="s">
        <v>11</v>
      </c>
      <c r="F1322" s="24" t="s">
        <v>1252</v>
      </c>
    </row>
    <row r="1323" ht="22.5" customHeight="1" spans="1:6">
      <c r="A1323" s="23">
        <v>1322</v>
      </c>
      <c r="B1323" s="23" t="s">
        <v>1635</v>
      </c>
      <c r="C1323" s="23" t="s">
        <v>1060</v>
      </c>
      <c r="D1323" s="23" t="s">
        <v>1061</v>
      </c>
      <c r="E1323" s="23" t="s">
        <v>11</v>
      </c>
      <c r="F1323" s="25" t="s">
        <v>1252</v>
      </c>
    </row>
    <row r="1324" ht="22.5" customHeight="1" spans="1:6">
      <c r="A1324" s="22">
        <v>1323</v>
      </c>
      <c r="B1324" s="22" t="s">
        <v>1636</v>
      </c>
      <c r="C1324" s="22" t="s">
        <v>1060</v>
      </c>
      <c r="D1324" s="22" t="s">
        <v>1061</v>
      </c>
      <c r="E1324" s="22" t="s">
        <v>11</v>
      </c>
      <c r="F1324" s="24" t="s">
        <v>1252</v>
      </c>
    </row>
    <row r="1325" ht="22.5" customHeight="1" spans="1:6">
      <c r="A1325" s="23">
        <v>1324</v>
      </c>
      <c r="B1325" s="23" t="s">
        <v>1637</v>
      </c>
      <c r="C1325" s="23" t="s">
        <v>1060</v>
      </c>
      <c r="D1325" s="23" t="s">
        <v>1061</v>
      </c>
      <c r="E1325" s="23" t="s">
        <v>11</v>
      </c>
      <c r="F1325" s="25" t="s">
        <v>1252</v>
      </c>
    </row>
    <row r="1326" ht="22.5" customHeight="1" spans="1:6">
      <c r="A1326" s="22">
        <v>1325</v>
      </c>
      <c r="B1326" s="22" t="s">
        <v>1638</v>
      </c>
      <c r="C1326" s="22" t="s">
        <v>1060</v>
      </c>
      <c r="D1326" s="22" t="s">
        <v>1061</v>
      </c>
      <c r="E1326" s="22" t="s">
        <v>11</v>
      </c>
      <c r="F1326" s="24" t="s">
        <v>1252</v>
      </c>
    </row>
    <row r="1327" ht="22.5" customHeight="1" spans="1:6">
      <c r="A1327" s="23">
        <v>1326</v>
      </c>
      <c r="B1327" s="23" t="s">
        <v>1639</v>
      </c>
      <c r="C1327" s="23" t="s">
        <v>1060</v>
      </c>
      <c r="D1327" s="23" t="s">
        <v>1061</v>
      </c>
      <c r="E1327" s="23" t="s">
        <v>11</v>
      </c>
      <c r="F1327" s="25" t="s">
        <v>1252</v>
      </c>
    </row>
    <row r="1328" ht="22.5" customHeight="1" spans="1:6">
      <c r="A1328" s="22">
        <v>1327</v>
      </c>
      <c r="B1328" s="22" t="s">
        <v>1640</v>
      </c>
      <c r="C1328" s="22" t="s">
        <v>1060</v>
      </c>
      <c r="D1328" s="22" t="s">
        <v>1061</v>
      </c>
      <c r="E1328" s="22" t="s">
        <v>11</v>
      </c>
      <c r="F1328" s="24" t="s">
        <v>1252</v>
      </c>
    </row>
    <row r="1329" ht="22.5" customHeight="1" spans="1:6">
      <c r="A1329" s="23">
        <v>1328</v>
      </c>
      <c r="B1329" s="23" t="s">
        <v>1641</v>
      </c>
      <c r="C1329" s="23" t="s">
        <v>1106</v>
      </c>
      <c r="D1329" s="23" t="s">
        <v>1111</v>
      </c>
      <c r="E1329" s="23" t="s">
        <v>11</v>
      </c>
      <c r="F1329" s="25" t="s">
        <v>1252</v>
      </c>
    </row>
    <row r="1330" ht="22.5" customHeight="1" spans="1:6">
      <c r="A1330" s="22">
        <v>1329</v>
      </c>
      <c r="B1330" s="22" t="s">
        <v>1642</v>
      </c>
      <c r="C1330" s="22" t="s">
        <v>1106</v>
      </c>
      <c r="D1330" s="22" t="s">
        <v>1111</v>
      </c>
      <c r="E1330" s="22" t="s">
        <v>11</v>
      </c>
      <c r="F1330" s="24" t="s">
        <v>1252</v>
      </c>
    </row>
    <row r="1331" ht="22.5" customHeight="1" spans="1:6">
      <c r="A1331" s="23">
        <v>1330</v>
      </c>
      <c r="B1331" s="23" t="s">
        <v>1643</v>
      </c>
      <c r="C1331" s="23" t="s">
        <v>1106</v>
      </c>
      <c r="D1331" s="23" t="s">
        <v>1111</v>
      </c>
      <c r="E1331" s="23" t="s">
        <v>11</v>
      </c>
      <c r="F1331" s="25" t="s">
        <v>1252</v>
      </c>
    </row>
    <row r="1332" ht="22.5" customHeight="1" spans="1:6">
      <c r="A1332" s="22">
        <v>1331</v>
      </c>
      <c r="B1332" s="22" t="s">
        <v>1644</v>
      </c>
      <c r="C1332" s="22" t="s">
        <v>1106</v>
      </c>
      <c r="D1332" s="22" t="s">
        <v>1111</v>
      </c>
      <c r="E1332" s="22" t="s">
        <v>11</v>
      </c>
      <c r="F1332" s="24" t="s">
        <v>1252</v>
      </c>
    </row>
    <row r="1333" ht="22.5" customHeight="1" spans="1:6">
      <c r="A1333" s="23">
        <v>1332</v>
      </c>
      <c r="B1333" s="23" t="s">
        <v>1645</v>
      </c>
      <c r="C1333" s="23" t="s">
        <v>1106</v>
      </c>
      <c r="D1333" s="23" t="s">
        <v>1111</v>
      </c>
      <c r="E1333" s="23" t="s">
        <v>11</v>
      </c>
      <c r="F1333" s="25" t="s">
        <v>1252</v>
      </c>
    </row>
    <row r="1334" ht="22.5" customHeight="1" spans="1:6">
      <c r="A1334" s="22">
        <v>1333</v>
      </c>
      <c r="B1334" s="22" t="s">
        <v>1646</v>
      </c>
      <c r="C1334" s="22" t="s">
        <v>1106</v>
      </c>
      <c r="D1334" s="22" t="s">
        <v>1111</v>
      </c>
      <c r="E1334" s="22" t="s">
        <v>11</v>
      </c>
      <c r="F1334" s="24" t="s">
        <v>1252</v>
      </c>
    </row>
    <row r="1335" ht="22.5" customHeight="1" spans="1:6">
      <c r="A1335" s="23">
        <v>1334</v>
      </c>
      <c r="B1335" s="23" t="s">
        <v>1647</v>
      </c>
      <c r="C1335" s="23" t="s">
        <v>1106</v>
      </c>
      <c r="D1335" s="23" t="s">
        <v>1107</v>
      </c>
      <c r="E1335" s="23" t="s">
        <v>11</v>
      </c>
      <c r="F1335" s="25" t="s">
        <v>1252</v>
      </c>
    </row>
    <row r="1336" ht="22.5" customHeight="1" spans="1:6">
      <c r="A1336" s="22">
        <v>1335</v>
      </c>
      <c r="B1336" s="22" t="s">
        <v>1648</v>
      </c>
      <c r="C1336" s="22" t="s">
        <v>1106</v>
      </c>
      <c r="D1336" s="22" t="s">
        <v>1107</v>
      </c>
      <c r="E1336" s="22" t="s">
        <v>11</v>
      </c>
      <c r="F1336" s="24" t="s">
        <v>1252</v>
      </c>
    </row>
    <row r="1337" ht="22.5" customHeight="1" spans="1:6">
      <c r="A1337" s="23">
        <v>1336</v>
      </c>
      <c r="B1337" s="23" t="s">
        <v>1649</v>
      </c>
      <c r="C1337" s="23" t="s">
        <v>1106</v>
      </c>
      <c r="D1337" s="23" t="s">
        <v>1111</v>
      </c>
      <c r="E1337" s="23" t="s">
        <v>11</v>
      </c>
      <c r="F1337" s="25" t="s">
        <v>1252</v>
      </c>
    </row>
    <row r="1338" ht="22.5" customHeight="1" spans="1:6">
      <c r="A1338" s="22">
        <v>1337</v>
      </c>
      <c r="B1338" s="22" t="s">
        <v>1650</v>
      </c>
      <c r="C1338" s="22" t="s">
        <v>1106</v>
      </c>
      <c r="D1338" s="22" t="s">
        <v>1111</v>
      </c>
      <c r="E1338" s="22" t="s">
        <v>11</v>
      </c>
      <c r="F1338" s="24" t="s">
        <v>1252</v>
      </c>
    </row>
    <row r="1339" ht="22.5" customHeight="1" spans="1:6">
      <c r="A1339" s="23">
        <v>1338</v>
      </c>
      <c r="B1339" s="23" t="s">
        <v>1651</v>
      </c>
      <c r="C1339" s="23" t="s">
        <v>1106</v>
      </c>
      <c r="D1339" s="23" t="s">
        <v>1111</v>
      </c>
      <c r="E1339" s="23" t="s">
        <v>11</v>
      </c>
      <c r="F1339" s="25" t="s">
        <v>1252</v>
      </c>
    </row>
    <row r="1340" ht="22.5" customHeight="1" spans="1:6">
      <c r="A1340" s="22">
        <v>1339</v>
      </c>
      <c r="B1340" s="22" t="s">
        <v>1652</v>
      </c>
      <c r="C1340" s="22" t="s">
        <v>1106</v>
      </c>
      <c r="D1340" s="22" t="s">
        <v>1111</v>
      </c>
      <c r="E1340" s="22" t="s">
        <v>11</v>
      </c>
      <c r="F1340" s="24" t="s">
        <v>1252</v>
      </c>
    </row>
    <row r="1341" ht="22.5" customHeight="1" spans="1:6">
      <c r="A1341" s="23">
        <v>1340</v>
      </c>
      <c r="B1341" s="23" t="s">
        <v>1653</v>
      </c>
      <c r="C1341" s="23" t="s">
        <v>1106</v>
      </c>
      <c r="D1341" s="23" t="s">
        <v>1111</v>
      </c>
      <c r="E1341" s="23" t="s">
        <v>11</v>
      </c>
      <c r="F1341" s="25" t="s">
        <v>1252</v>
      </c>
    </row>
    <row r="1342" ht="22.5" customHeight="1" spans="1:6">
      <c r="A1342" s="22">
        <v>1341</v>
      </c>
      <c r="B1342" s="22" t="s">
        <v>1654</v>
      </c>
      <c r="C1342" s="22" t="s">
        <v>1106</v>
      </c>
      <c r="D1342" s="22" t="s">
        <v>1107</v>
      </c>
      <c r="E1342" s="22" t="s">
        <v>11</v>
      </c>
      <c r="F1342" s="24" t="s">
        <v>1252</v>
      </c>
    </row>
    <row r="1343" ht="22.5" customHeight="1" spans="1:6">
      <c r="A1343" s="23">
        <v>1342</v>
      </c>
      <c r="B1343" s="23" t="s">
        <v>1655</v>
      </c>
      <c r="C1343" s="23" t="s">
        <v>1106</v>
      </c>
      <c r="D1343" s="23" t="s">
        <v>1111</v>
      </c>
      <c r="E1343" s="23" t="s">
        <v>11</v>
      </c>
      <c r="F1343" s="25" t="s">
        <v>1252</v>
      </c>
    </row>
    <row r="1344" ht="22.5" customHeight="1" spans="1:6">
      <c r="A1344" s="22">
        <v>1343</v>
      </c>
      <c r="B1344" s="22" t="s">
        <v>1656</v>
      </c>
      <c r="C1344" s="22" t="s">
        <v>1106</v>
      </c>
      <c r="D1344" s="22" t="s">
        <v>1111</v>
      </c>
      <c r="E1344" s="22" t="s">
        <v>11</v>
      </c>
      <c r="F1344" s="24" t="s">
        <v>1252</v>
      </c>
    </row>
    <row r="1345" ht="22.5" customHeight="1" spans="1:6">
      <c r="A1345" s="23">
        <v>1344</v>
      </c>
      <c r="B1345" s="23" t="s">
        <v>1657</v>
      </c>
      <c r="C1345" s="23" t="s">
        <v>1106</v>
      </c>
      <c r="D1345" s="23" t="s">
        <v>1111</v>
      </c>
      <c r="E1345" s="23" t="s">
        <v>11</v>
      </c>
      <c r="F1345" s="25" t="s">
        <v>1252</v>
      </c>
    </row>
    <row r="1346" ht="22.5" customHeight="1" spans="1:6">
      <c r="A1346" s="22">
        <v>1345</v>
      </c>
      <c r="B1346" s="22" t="s">
        <v>1658</v>
      </c>
      <c r="C1346" s="22" t="s">
        <v>1106</v>
      </c>
      <c r="D1346" s="22" t="s">
        <v>1111</v>
      </c>
      <c r="E1346" s="22" t="s">
        <v>11</v>
      </c>
      <c r="F1346" s="24" t="s">
        <v>1252</v>
      </c>
    </row>
    <row r="1347" ht="22.5" customHeight="1" spans="1:6">
      <c r="A1347" s="23">
        <v>1346</v>
      </c>
      <c r="B1347" s="23" t="s">
        <v>1659</v>
      </c>
      <c r="C1347" s="23" t="s">
        <v>1106</v>
      </c>
      <c r="D1347" s="23" t="s">
        <v>1111</v>
      </c>
      <c r="E1347" s="23" t="s">
        <v>11</v>
      </c>
      <c r="F1347" s="25" t="s">
        <v>1252</v>
      </c>
    </row>
    <row r="1348" ht="22.5" customHeight="1" spans="1:6">
      <c r="A1348" s="22">
        <v>1347</v>
      </c>
      <c r="B1348" s="22" t="s">
        <v>1660</v>
      </c>
      <c r="C1348" s="22" t="s">
        <v>1106</v>
      </c>
      <c r="D1348" s="22" t="s">
        <v>1111</v>
      </c>
      <c r="E1348" s="22" t="s">
        <v>11</v>
      </c>
      <c r="F1348" s="24" t="s">
        <v>1252</v>
      </c>
    </row>
    <row r="1349" ht="22.5" customHeight="1" spans="1:6">
      <c r="A1349" s="23">
        <v>1348</v>
      </c>
      <c r="B1349" s="23" t="s">
        <v>1661</v>
      </c>
      <c r="C1349" s="23" t="s">
        <v>1106</v>
      </c>
      <c r="D1349" s="23" t="s">
        <v>1111</v>
      </c>
      <c r="E1349" s="23" t="s">
        <v>11</v>
      </c>
      <c r="F1349" s="25" t="s">
        <v>1252</v>
      </c>
    </row>
    <row r="1350" ht="22.5" customHeight="1" spans="1:6">
      <c r="A1350" s="22">
        <v>1349</v>
      </c>
      <c r="B1350" s="22" t="s">
        <v>1662</v>
      </c>
      <c r="C1350" s="22" t="s">
        <v>1106</v>
      </c>
      <c r="D1350" s="22" t="s">
        <v>1111</v>
      </c>
      <c r="E1350" s="22" t="s">
        <v>11</v>
      </c>
      <c r="F1350" s="24" t="s">
        <v>1252</v>
      </c>
    </row>
    <row r="1351" ht="22.5" customHeight="1" spans="1:6">
      <c r="A1351" s="23">
        <v>1350</v>
      </c>
      <c r="B1351" s="23" t="s">
        <v>1663</v>
      </c>
      <c r="C1351" s="23" t="s">
        <v>1106</v>
      </c>
      <c r="D1351" s="23" t="s">
        <v>1111</v>
      </c>
      <c r="E1351" s="23" t="s">
        <v>11</v>
      </c>
      <c r="F1351" s="25" t="s">
        <v>1252</v>
      </c>
    </row>
    <row r="1352" ht="22.5" customHeight="1" spans="1:6">
      <c r="A1352" s="22">
        <v>1351</v>
      </c>
      <c r="B1352" s="22" t="s">
        <v>1664</v>
      </c>
      <c r="C1352" s="22" t="s">
        <v>1156</v>
      </c>
      <c r="D1352" s="22" t="s">
        <v>1157</v>
      </c>
      <c r="E1352" s="22" t="s">
        <v>11</v>
      </c>
      <c r="F1352" s="24" t="s">
        <v>1252</v>
      </c>
    </row>
    <row r="1353" ht="22.5" customHeight="1" spans="1:6">
      <c r="A1353" s="23">
        <v>1352</v>
      </c>
      <c r="B1353" s="23" t="s">
        <v>1665</v>
      </c>
      <c r="C1353" s="23" t="s">
        <v>1156</v>
      </c>
      <c r="D1353" s="23" t="s">
        <v>1157</v>
      </c>
      <c r="E1353" s="23" t="s">
        <v>11</v>
      </c>
      <c r="F1353" s="25" t="s">
        <v>1252</v>
      </c>
    </row>
    <row r="1354" ht="22.5" customHeight="1" spans="1:6">
      <c r="A1354" s="22">
        <v>1353</v>
      </c>
      <c r="B1354" s="22" t="s">
        <v>1666</v>
      </c>
      <c r="C1354" s="22" t="s">
        <v>1156</v>
      </c>
      <c r="D1354" s="22" t="s">
        <v>1157</v>
      </c>
      <c r="E1354" s="22" t="s">
        <v>11</v>
      </c>
      <c r="F1354" s="24" t="s">
        <v>1252</v>
      </c>
    </row>
    <row r="1355" ht="22.5" customHeight="1" spans="1:6">
      <c r="A1355" s="23">
        <v>1354</v>
      </c>
      <c r="B1355" s="23" t="s">
        <v>1667</v>
      </c>
      <c r="C1355" s="23" t="s">
        <v>1191</v>
      </c>
      <c r="D1355" s="23" t="s">
        <v>1192</v>
      </c>
      <c r="E1355" s="23" t="s">
        <v>11</v>
      </c>
      <c r="F1355" s="25" t="s">
        <v>1252</v>
      </c>
    </row>
    <row r="1356" ht="22.5" customHeight="1" spans="1:6">
      <c r="A1356" s="22">
        <v>1355</v>
      </c>
      <c r="B1356" s="22" t="s">
        <v>1668</v>
      </c>
      <c r="C1356" s="22" t="s">
        <v>1197</v>
      </c>
      <c r="D1356" s="22" t="s">
        <v>1669</v>
      </c>
      <c r="E1356" s="22" t="s">
        <v>11</v>
      </c>
      <c r="F1356" s="24" t="s">
        <v>1252</v>
      </c>
    </row>
    <row r="1357" ht="22.5" customHeight="1" spans="1:6">
      <c r="A1357" s="23">
        <v>1356</v>
      </c>
      <c r="B1357" s="23" t="s">
        <v>1670</v>
      </c>
      <c r="C1357" s="23" t="s">
        <v>1197</v>
      </c>
      <c r="D1357" s="23" t="s">
        <v>1198</v>
      </c>
      <c r="E1357" s="23" t="s">
        <v>11</v>
      </c>
      <c r="F1357" s="25" t="s">
        <v>1252</v>
      </c>
    </row>
    <row r="1358" ht="22.5" customHeight="1" spans="1:6">
      <c r="A1358" s="22">
        <v>1357</v>
      </c>
      <c r="B1358" s="22" t="s">
        <v>1671</v>
      </c>
      <c r="C1358" s="22" t="s">
        <v>1197</v>
      </c>
      <c r="D1358" s="22" t="s">
        <v>1198</v>
      </c>
      <c r="E1358" s="22" t="s">
        <v>11</v>
      </c>
      <c r="F1358" s="24" t="s">
        <v>1252</v>
      </c>
    </row>
    <row r="1359" ht="22.5" customHeight="1" spans="1:6">
      <c r="A1359" s="23">
        <v>1358</v>
      </c>
      <c r="B1359" s="23" t="s">
        <v>1672</v>
      </c>
      <c r="C1359" s="23" t="s">
        <v>1197</v>
      </c>
      <c r="D1359" s="23" t="s">
        <v>1198</v>
      </c>
      <c r="E1359" s="23" t="s">
        <v>11</v>
      </c>
      <c r="F1359" s="25" t="s">
        <v>1252</v>
      </c>
    </row>
    <row r="1360" ht="22.5" customHeight="1" spans="1:6">
      <c r="A1360" s="22">
        <v>1359</v>
      </c>
      <c r="B1360" s="22" t="s">
        <v>1673</v>
      </c>
      <c r="C1360" s="22" t="s">
        <v>1206</v>
      </c>
      <c r="D1360" s="22" t="s">
        <v>1207</v>
      </c>
      <c r="E1360" s="22" t="s">
        <v>11</v>
      </c>
      <c r="F1360" s="24" t="s">
        <v>1252</v>
      </c>
    </row>
    <row r="1361" ht="22.5" customHeight="1" spans="1:6">
      <c r="A1361" s="23">
        <v>1360</v>
      </c>
      <c r="B1361" s="23" t="s">
        <v>1674</v>
      </c>
      <c r="C1361" s="23" t="s">
        <v>1206</v>
      </c>
      <c r="D1361" s="23" t="s">
        <v>1207</v>
      </c>
      <c r="E1361" s="23" t="s">
        <v>11</v>
      </c>
      <c r="F1361" s="25" t="s">
        <v>1252</v>
      </c>
    </row>
    <row r="1362" ht="22.5" customHeight="1" spans="1:6">
      <c r="A1362" s="22">
        <v>1361</v>
      </c>
      <c r="B1362" s="22" t="s">
        <v>1675</v>
      </c>
      <c r="C1362" s="22" t="s">
        <v>692</v>
      </c>
      <c r="D1362" s="22" t="s">
        <v>693</v>
      </c>
      <c r="E1362" s="22" t="s">
        <v>11</v>
      </c>
      <c r="F1362" s="24" t="s">
        <v>1252</v>
      </c>
    </row>
    <row r="1363" ht="22.5" customHeight="1" spans="1:6">
      <c r="A1363" s="23">
        <v>1362</v>
      </c>
      <c r="B1363" s="23" t="s">
        <v>1676</v>
      </c>
      <c r="C1363" s="23" t="s">
        <v>553</v>
      </c>
      <c r="D1363" s="23" t="s">
        <v>558</v>
      </c>
      <c r="E1363" s="23" t="s">
        <v>11</v>
      </c>
      <c r="F1363" s="25" t="s">
        <v>1252</v>
      </c>
    </row>
    <row r="1364" ht="22.5" customHeight="1" spans="1:6">
      <c r="A1364" s="22">
        <v>1363</v>
      </c>
      <c r="B1364" s="22" t="s">
        <v>1677</v>
      </c>
      <c r="C1364" s="22" t="s">
        <v>746</v>
      </c>
      <c r="D1364" s="22" t="s">
        <v>785</v>
      </c>
      <c r="E1364" s="22" t="s">
        <v>11</v>
      </c>
      <c r="F1364" s="24" t="s">
        <v>1252</v>
      </c>
    </row>
    <row r="1365" ht="22.5" customHeight="1" spans="1:6">
      <c r="A1365" s="23">
        <v>1364</v>
      </c>
      <c r="B1365" s="23" t="s">
        <v>1678</v>
      </c>
      <c r="C1365" s="23" t="s">
        <v>797</v>
      </c>
      <c r="D1365" s="23" t="s">
        <v>802</v>
      </c>
      <c r="E1365" s="23" t="s">
        <v>11</v>
      </c>
      <c r="F1365" s="25" t="s">
        <v>1252</v>
      </c>
    </row>
    <row r="1366" ht="22.5" customHeight="1" spans="1:6">
      <c r="A1366" s="22">
        <v>1365</v>
      </c>
      <c r="B1366" s="22" t="s">
        <v>1679</v>
      </c>
      <c r="C1366" s="22" t="s">
        <v>1206</v>
      </c>
      <c r="D1366" s="22" t="s">
        <v>1209</v>
      </c>
      <c r="E1366" s="22" t="s">
        <v>11</v>
      </c>
      <c r="F1366" s="24" t="s">
        <v>1252</v>
      </c>
    </row>
    <row r="1367" ht="22.5" customHeight="1" spans="1:6">
      <c r="A1367" s="23">
        <v>1366</v>
      </c>
      <c r="B1367" s="23" t="s">
        <v>1680</v>
      </c>
      <c r="C1367" s="23" t="s">
        <v>448</v>
      </c>
      <c r="D1367" s="23" t="s">
        <v>477</v>
      </c>
      <c r="E1367" s="23" t="s">
        <v>11</v>
      </c>
      <c r="F1367" s="25" t="s">
        <v>1252</v>
      </c>
    </row>
    <row r="1368" ht="22.5" customHeight="1" spans="1:6">
      <c r="A1368" s="22">
        <v>1367</v>
      </c>
      <c r="B1368" s="22" t="s">
        <v>1681</v>
      </c>
      <c r="C1368" s="22" t="s">
        <v>844</v>
      </c>
      <c r="D1368" s="22" t="s">
        <v>1569</v>
      </c>
      <c r="E1368" s="22" t="s">
        <v>11</v>
      </c>
      <c r="F1368" s="24" t="s">
        <v>1682</v>
      </c>
    </row>
    <row r="1369" ht="22.5" customHeight="1" spans="1:6">
      <c r="A1369" s="23">
        <v>1368</v>
      </c>
      <c r="B1369" s="23" t="s">
        <v>1683</v>
      </c>
      <c r="C1369" s="23" t="s">
        <v>844</v>
      </c>
      <c r="D1369" s="23" t="s">
        <v>874</v>
      </c>
      <c r="E1369" s="23" t="s">
        <v>11</v>
      </c>
      <c r="F1369" s="25" t="s">
        <v>1682</v>
      </c>
    </row>
    <row r="1370" ht="22.5" customHeight="1" spans="1:6">
      <c r="A1370" s="22">
        <v>1369</v>
      </c>
      <c r="B1370" s="22" t="s">
        <v>1684</v>
      </c>
      <c r="C1370" s="22" t="s">
        <v>844</v>
      </c>
      <c r="D1370" s="22" t="s">
        <v>845</v>
      </c>
      <c r="E1370" s="22" t="s">
        <v>11</v>
      </c>
      <c r="F1370" s="24" t="s">
        <v>1682</v>
      </c>
    </row>
    <row r="1371" ht="22.5" customHeight="1" spans="1:6">
      <c r="A1371" s="23">
        <v>1370</v>
      </c>
      <c r="B1371" s="23" t="s">
        <v>1685</v>
      </c>
      <c r="C1371" s="23" t="s">
        <v>844</v>
      </c>
      <c r="D1371" s="23" t="s">
        <v>886</v>
      </c>
      <c r="E1371" s="23" t="s">
        <v>11</v>
      </c>
      <c r="F1371" s="25" t="s">
        <v>1682</v>
      </c>
    </row>
    <row r="1372" ht="22.5" customHeight="1" spans="1:6">
      <c r="A1372" s="22">
        <v>1371</v>
      </c>
      <c r="B1372" s="22" t="s">
        <v>1686</v>
      </c>
      <c r="C1372" s="22" t="s">
        <v>347</v>
      </c>
      <c r="D1372" s="22" t="s">
        <v>347</v>
      </c>
      <c r="E1372" s="22" t="s">
        <v>11</v>
      </c>
      <c r="F1372" s="24" t="s">
        <v>1687</v>
      </c>
    </row>
    <row r="1373" ht="22.5" customHeight="1" spans="1:6">
      <c r="A1373" s="23">
        <v>1372</v>
      </c>
      <c r="B1373" s="23" t="s">
        <v>1688</v>
      </c>
      <c r="C1373" s="23" t="s">
        <v>379</v>
      </c>
      <c r="D1373" s="23" t="s">
        <v>382</v>
      </c>
      <c r="E1373" s="23" t="s">
        <v>11</v>
      </c>
      <c r="F1373" s="25" t="s">
        <v>1687</v>
      </c>
    </row>
    <row r="1374" ht="22.5" customHeight="1" spans="1:6">
      <c r="A1374" s="22">
        <v>1373</v>
      </c>
      <c r="B1374" s="22" t="s">
        <v>1689</v>
      </c>
      <c r="C1374" s="22" t="s">
        <v>379</v>
      </c>
      <c r="D1374" s="22" t="s">
        <v>1690</v>
      </c>
      <c r="E1374" s="22" t="s">
        <v>11</v>
      </c>
      <c r="F1374" s="24" t="s">
        <v>1687</v>
      </c>
    </row>
    <row r="1375" ht="22.5" customHeight="1" spans="1:6">
      <c r="A1375" s="23">
        <v>1374</v>
      </c>
      <c r="B1375" s="23" t="s">
        <v>1691</v>
      </c>
      <c r="C1375" s="23" t="s">
        <v>448</v>
      </c>
      <c r="D1375" s="23" t="s">
        <v>477</v>
      </c>
      <c r="E1375" s="23" t="s">
        <v>11</v>
      </c>
      <c r="F1375" s="25" t="s">
        <v>1687</v>
      </c>
    </row>
    <row r="1376" ht="22.5" customHeight="1" spans="1:6">
      <c r="A1376" s="22">
        <v>1375</v>
      </c>
      <c r="B1376" s="22" t="s">
        <v>1692</v>
      </c>
      <c r="C1376" s="22" t="s">
        <v>448</v>
      </c>
      <c r="D1376" s="22" t="s">
        <v>457</v>
      </c>
      <c r="E1376" s="22" t="s">
        <v>11</v>
      </c>
      <c r="F1376" s="24" t="s">
        <v>1687</v>
      </c>
    </row>
    <row r="1377" ht="22.5" customHeight="1" spans="1:6">
      <c r="A1377" s="23">
        <v>1376</v>
      </c>
      <c r="B1377" s="23" t="s">
        <v>1693</v>
      </c>
      <c r="C1377" s="23" t="s">
        <v>844</v>
      </c>
      <c r="D1377" s="23" t="s">
        <v>874</v>
      </c>
      <c r="E1377" s="23" t="s">
        <v>11</v>
      </c>
      <c r="F1377" s="25" t="s">
        <v>1687</v>
      </c>
    </row>
    <row r="1378" ht="22.5" customHeight="1" spans="1:6">
      <c r="A1378" s="22">
        <v>1377</v>
      </c>
      <c r="B1378" s="22" t="s">
        <v>1694</v>
      </c>
      <c r="C1378" s="22" t="s">
        <v>844</v>
      </c>
      <c r="D1378" s="22" t="s">
        <v>848</v>
      </c>
      <c r="E1378" s="22" t="s">
        <v>11</v>
      </c>
      <c r="F1378" s="24" t="s">
        <v>1687</v>
      </c>
    </row>
    <row r="1379" ht="39" customHeight="1" spans="1:6">
      <c r="A1379" s="23">
        <v>1378</v>
      </c>
      <c r="B1379" s="23" t="s">
        <v>1695</v>
      </c>
      <c r="C1379" s="23" t="s">
        <v>943</v>
      </c>
      <c r="D1379" s="23" t="s">
        <v>1696</v>
      </c>
      <c r="E1379" s="23" t="s">
        <v>11</v>
      </c>
      <c r="F1379" s="25" t="s">
        <v>1697</v>
      </c>
    </row>
    <row r="1380" ht="39" customHeight="1" spans="1:6">
      <c r="A1380" s="22">
        <v>1379</v>
      </c>
      <c r="B1380" s="22" t="s">
        <v>1698</v>
      </c>
      <c r="C1380" s="22" t="s">
        <v>943</v>
      </c>
      <c r="D1380" s="22" t="s">
        <v>946</v>
      </c>
      <c r="E1380" s="22" t="s">
        <v>11</v>
      </c>
      <c r="F1380" s="24" t="s">
        <v>1697</v>
      </c>
    </row>
    <row r="1381" ht="18.6" customHeight="1" spans="1:6">
      <c r="A1381" s="23">
        <v>1380</v>
      </c>
      <c r="B1381" s="22" t="s">
        <v>1699</v>
      </c>
      <c r="C1381" s="22" t="s">
        <v>10</v>
      </c>
      <c r="D1381" s="22" t="s">
        <v>10</v>
      </c>
      <c r="E1381" s="22" t="s">
        <v>1700</v>
      </c>
      <c r="F1381" s="22" t="s">
        <v>12</v>
      </c>
    </row>
    <row r="1382" ht="18.6" customHeight="1" spans="1:6">
      <c r="A1382" s="22">
        <v>1381</v>
      </c>
      <c r="B1382" s="23" t="s">
        <v>1701</v>
      </c>
      <c r="C1382" s="23" t="s">
        <v>10</v>
      </c>
      <c r="D1382" s="23" t="s">
        <v>10</v>
      </c>
      <c r="E1382" s="23" t="s">
        <v>1700</v>
      </c>
      <c r="F1382" s="23" t="s">
        <v>12</v>
      </c>
    </row>
    <row r="1383" ht="18.6" customHeight="1" spans="1:6">
      <c r="A1383" s="23">
        <v>1382</v>
      </c>
      <c r="B1383" s="22" t="s">
        <v>1702</v>
      </c>
      <c r="C1383" s="22" t="s">
        <v>10</v>
      </c>
      <c r="D1383" s="22" t="s">
        <v>10</v>
      </c>
      <c r="E1383" s="22" t="s">
        <v>1700</v>
      </c>
      <c r="F1383" s="22" t="s">
        <v>12</v>
      </c>
    </row>
    <row r="1384" ht="18.6" customHeight="1" spans="1:6">
      <c r="A1384" s="22">
        <v>1383</v>
      </c>
      <c r="B1384" s="23" t="s">
        <v>1703</v>
      </c>
      <c r="C1384" s="23" t="s">
        <v>10</v>
      </c>
      <c r="D1384" s="23" t="s">
        <v>10</v>
      </c>
      <c r="E1384" s="23" t="s">
        <v>1700</v>
      </c>
      <c r="F1384" s="23" t="s">
        <v>12</v>
      </c>
    </row>
    <row r="1385" ht="18.6" customHeight="1" spans="1:6">
      <c r="A1385" s="23">
        <v>1384</v>
      </c>
      <c r="B1385" s="22" t="s">
        <v>1704</v>
      </c>
      <c r="C1385" s="22" t="s">
        <v>10</v>
      </c>
      <c r="D1385" s="22" t="s">
        <v>10</v>
      </c>
      <c r="E1385" s="22" t="s">
        <v>1700</v>
      </c>
      <c r="F1385" s="22" t="s">
        <v>12</v>
      </c>
    </row>
    <row r="1386" ht="18.6" customHeight="1" spans="1:6">
      <c r="A1386" s="22">
        <v>1385</v>
      </c>
      <c r="B1386" s="23" t="s">
        <v>1705</v>
      </c>
      <c r="C1386" s="23" t="s">
        <v>10</v>
      </c>
      <c r="D1386" s="23" t="s">
        <v>10</v>
      </c>
      <c r="E1386" s="23" t="s">
        <v>1700</v>
      </c>
      <c r="F1386" s="23" t="s">
        <v>12</v>
      </c>
    </row>
    <row r="1387" ht="18.6" customHeight="1" spans="1:6">
      <c r="A1387" s="23">
        <v>1386</v>
      </c>
      <c r="B1387" s="22" t="s">
        <v>1706</v>
      </c>
      <c r="C1387" s="22" t="s">
        <v>10</v>
      </c>
      <c r="D1387" s="22" t="s">
        <v>10</v>
      </c>
      <c r="E1387" s="22" t="s">
        <v>1700</v>
      </c>
      <c r="F1387" s="22" t="s">
        <v>12</v>
      </c>
    </row>
    <row r="1388" ht="18.6" customHeight="1" spans="1:6">
      <c r="A1388" s="22">
        <v>1387</v>
      </c>
      <c r="B1388" s="23" t="s">
        <v>1707</v>
      </c>
      <c r="C1388" s="23" t="s">
        <v>10</v>
      </c>
      <c r="D1388" s="23" t="s">
        <v>10</v>
      </c>
      <c r="E1388" s="23" t="s">
        <v>1700</v>
      </c>
      <c r="F1388" s="23" t="s">
        <v>12</v>
      </c>
    </row>
    <row r="1389" ht="18.6" customHeight="1" spans="1:6">
      <c r="A1389" s="23">
        <v>1388</v>
      </c>
      <c r="B1389" s="22" t="s">
        <v>1708</v>
      </c>
      <c r="C1389" s="22" t="s">
        <v>10</v>
      </c>
      <c r="D1389" s="22" t="s">
        <v>10</v>
      </c>
      <c r="E1389" s="22" t="s">
        <v>1700</v>
      </c>
      <c r="F1389" s="22" t="s">
        <v>12</v>
      </c>
    </row>
    <row r="1390" ht="18.6" customHeight="1" spans="1:6">
      <c r="A1390" s="22">
        <v>1389</v>
      </c>
      <c r="B1390" s="23" t="s">
        <v>1709</v>
      </c>
      <c r="C1390" s="23" t="s">
        <v>10</v>
      </c>
      <c r="D1390" s="23" t="s">
        <v>10</v>
      </c>
      <c r="E1390" s="23" t="s">
        <v>1700</v>
      </c>
      <c r="F1390" s="23" t="s">
        <v>12</v>
      </c>
    </row>
    <row r="1391" ht="18.6" customHeight="1" spans="1:6">
      <c r="A1391" s="23">
        <v>1390</v>
      </c>
      <c r="B1391" s="22" t="s">
        <v>1710</v>
      </c>
      <c r="C1391" s="22" t="s">
        <v>10</v>
      </c>
      <c r="D1391" s="22" t="s">
        <v>10</v>
      </c>
      <c r="E1391" s="22" t="s">
        <v>1700</v>
      </c>
      <c r="F1391" s="22" t="s">
        <v>12</v>
      </c>
    </row>
    <row r="1392" ht="18.6" customHeight="1" spans="1:6">
      <c r="A1392" s="22">
        <v>1391</v>
      </c>
      <c r="B1392" s="23" t="s">
        <v>1711</v>
      </c>
      <c r="C1392" s="23" t="s">
        <v>10</v>
      </c>
      <c r="D1392" s="23" t="s">
        <v>10</v>
      </c>
      <c r="E1392" s="23" t="s">
        <v>1700</v>
      </c>
      <c r="F1392" s="23" t="s">
        <v>12</v>
      </c>
    </row>
    <row r="1393" ht="18.6" customHeight="1" spans="1:6">
      <c r="A1393" s="23">
        <v>1392</v>
      </c>
      <c r="B1393" s="22" t="s">
        <v>1712</v>
      </c>
      <c r="C1393" s="22" t="s">
        <v>10</v>
      </c>
      <c r="D1393" s="22" t="s">
        <v>10</v>
      </c>
      <c r="E1393" s="22" t="s">
        <v>1700</v>
      </c>
      <c r="F1393" s="22" t="s">
        <v>12</v>
      </c>
    </row>
    <row r="1394" ht="18.6" customHeight="1" spans="1:6">
      <c r="A1394" s="22">
        <v>1393</v>
      </c>
      <c r="B1394" s="23" t="s">
        <v>1713</v>
      </c>
      <c r="C1394" s="23" t="s">
        <v>10</v>
      </c>
      <c r="D1394" s="23" t="s">
        <v>10</v>
      </c>
      <c r="E1394" s="23" t="s">
        <v>1700</v>
      </c>
      <c r="F1394" s="23" t="s">
        <v>12</v>
      </c>
    </row>
    <row r="1395" ht="18.6" customHeight="1" spans="1:6">
      <c r="A1395" s="23">
        <v>1394</v>
      </c>
      <c r="B1395" s="22" t="s">
        <v>1714</v>
      </c>
      <c r="C1395" s="22" t="s">
        <v>76</v>
      </c>
      <c r="D1395" s="22" t="s">
        <v>76</v>
      </c>
      <c r="E1395" s="22" t="s">
        <v>1700</v>
      </c>
      <c r="F1395" s="22" t="s">
        <v>12</v>
      </c>
    </row>
    <row r="1396" ht="18.6" customHeight="1" spans="1:6">
      <c r="A1396" s="22">
        <v>1395</v>
      </c>
      <c r="B1396" s="23" t="s">
        <v>1715</v>
      </c>
      <c r="C1396" s="23" t="s">
        <v>76</v>
      </c>
      <c r="D1396" s="23" t="s">
        <v>76</v>
      </c>
      <c r="E1396" s="23" t="s">
        <v>1700</v>
      </c>
      <c r="F1396" s="23" t="s">
        <v>12</v>
      </c>
    </row>
    <row r="1397" ht="18.6" customHeight="1" spans="1:6">
      <c r="A1397" s="23">
        <v>1396</v>
      </c>
      <c r="B1397" s="22" t="s">
        <v>1716</v>
      </c>
      <c r="C1397" s="22" t="s">
        <v>76</v>
      </c>
      <c r="D1397" s="22" t="s">
        <v>76</v>
      </c>
      <c r="E1397" s="22" t="s">
        <v>1700</v>
      </c>
      <c r="F1397" s="22" t="s">
        <v>12</v>
      </c>
    </row>
    <row r="1398" ht="18.6" customHeight="1" spans="1:6">
      <c r="A1398" s="22">
        <v>1397</v>
      </c>
      <c r="B1398" s="23" t="s">
        <v>1717</v>
      </c>
      <c r="C1398" s="23" t="s">
        <v>76</v>
      </c>
      <c r="D1398" s="23" t="s">
        <v>76</v>
      </c>
      <c r="E1398" s="23" t="s">
        <v>1700</v>
      </c>
      <c r="F1398" s="23" t="s">
        <v>12</v>
      </c>
    </row>
    <row r="1399" ht="18.6" customHeight="1" spans="1:6">
      <c r="A1399" s="23">
        <v>1398</v>
      </c>
      <c r="B1399" s="22" t="s">
        <v>1718</v>
      </c>
      <c r="C1399" s="22" t="s">
        <v>76</v>
      </c>
      <c r="D1399" s="22" t="s">
        <v>76</v>
      </c>
      <c r="E1399" s="22" t="s">
        <v>1700</v>
      </c>
      <c r="F1399" s="22" t="s">
        <v>12</v>
      </c>
    </row>
    <row r="1400" ht="18.6" customHeight="1" spans="1:6">
      <c r="A1400" s="22">
        <v>1399</v>
      </c>
      <c r="B1400" s="23" t="s">
        <v>1719</v>
      </c>
      <c r="C1400" s="23" t="s">
        <v>76</v>
      </c>
      <c r="D1400" s="23" t="s">
        <v>76</v>
      </c>
      <c r="E1400" s="23" t="s">
        <v>1700</v>
      </c>
      <c r="F1400" s="23" t="s">
        <v>12</v>
      </c>
    </row>
    <row r="1401" ht="18.6" customHeight="1" spans="1:6">
      <c r="A1401" s="23">
        <v>1400</v>
      </c>
      <c r="B1401" s="22" t="s">
        <v>1720</v>
      </c>
      <c r="C1401" s="22" t="s">
        <v>76</v>
      </c>
      <c r="D1401" s="22" t="s">
        <v>76</v>
      </c>
      <c r="E1401" s="22" t="s">
        <v>1700</v>
      </c>
      <c r="F1401" s="22" t="s">
        <v>12</v>
      </c>
    </row>
    <row r="1402" ht="18.6" customHeight="1" spans="1:6">
      <c r="A1402" s="22">
        <v>1401</v>
      </c>
      <c r="B1402" s="23" t="s">
        <v>1721</v>
      </c>
      <c r="C1402" s="23" t="s">
        <v>76</v>
      </c>
      <c r="D1402" s="23" t="s">
        <v>76</v>
      </c>
      <c r="E1402" s="23" t="s">
        <v>1700</v>
      </c>
      <c r="F1402" s="23" t="s">
        <v>12</v>
      </c>
    </row>
    <row r="1403" ht="18.6" customHeight="1" spans="1:6">
      <c r="A1403" s="23">
        <v>1402</v>
      </c>
      <c r="B1403" s="22" t="s">
        <v>1722</v>
      </c>
      <c r="C1403" s="22" t="s">
        <v>76</v>
      </c>
      <c r="D1403" s="22" t="s">
        <v>76</v>
      </c>
      <c r="E1403" s="22" t="s">
        <v>1700</v>
      </c>
      <c r="F1403" s="22" t="s">
        <v>12</v>
      </c>
    </row>
    <row r="1404" ht="18.6" customHeight="1" spans="1:6">
      <c r="A1404" s="22">
        <v>1403</v>
      </c>
      <c r="B1404" s="23" t="s">
        <v>1723</v>
      </c>
      <c r="C1404" s="23" t="s">
        <v>76</v>
      </c>
      <c r="D1404" s="23" t="s">
        <v>76</v>
      </c>
      <c r="E1404" s="23" t="s">
        <v>1700</v>
      </c>
      <c r="F1404" s="23" t="s">
        <v>12</v>
      </c>
    </row>
    <row r="1405" ht="18.6" customHeight="1" spans="1:6">
      <c r="A1405" s="23">
        <v>1404</v>
      </c>
      <c r="B1405" s="22" t="s">
        <v>1724</v>
      </c>
      <c r="C1405" s="22" t="s">
        <v>76</v>
      </c>
      <c r="D1405" s="22" t="s">
        <v>76</v>
      </c>
      <c r="E1405" s="22" t="s">
        <v>1700</v>
      </c>
      <c r="F1405" s="22" t="s">
        <v>12</v>
      </c>
    </row>
    <row r="1406" ht="18.6" customHeight="1" spans="1:6">
      <c r="A1406" s="22">
        <v>1405</v>
      </c>
      <c r="B1406" s="23" t="s">
        <v>1725</v>
      </c>
      <c r="C1406" s="23" t="s">
        <v>76</v>
      </c>
      <c r="D1406" s="23" t="s">
        <v>76</v>
      </c>
      <c r="E1406" s="23" t="s">
        <v>1700</v>
      </c>
      <c r="F1406" s="23" t="s">
        <v>12</v>
      </c>
    </row>
    <row r="1407" ht="18.6" customHeight="1" spans="1:6">
      <c r="A1407" s="23">
        <v>1406</v>
      </c>
      <c r="B1407" s="22" t="s">
        <v>1726</v>
      </c>
      <c r="C1407" s="22" t="s">
        <v>76</v>
      </c>
      <c r="D1407" s="22" t="s">
        <v>76</v>
      </c>
      <c r="E1407" s="22" t="s">
        <v>1700</v>
      </c>
      <c r="F1407" s="22" t="s">
        <v>12</v>
      </c>
    </row>
    <row r="1408" ht="18.6" customHeight="1" spans="1:6">
      <c r="A1408" s="22">
        <v>1407</v>
      </c>
      <c r="B1408" s="23" t="s">
        <v>1727</v>
      </c>
      <c r="C1408" s="23" t="s">
        <v>76</v>
      </c>
      <c r="D1408" s="23" t="s">
        <v>76</v>
      </c>
      <c r="E1408" s="23" t="s">
        <v>1700</v>
      </c>
      <c r="F1408" s="23" t="s">
        <v>12</v>
      </c>
    </row>
    <row r="1409" ht="18.6" customHeight="1" spans="1:6">
      <c r="A1409" s="23">
        <v>1408</v>
      </c>
      <c r="B1409" s="22" t="s">
        <v>1728</v>
      </c>
      <c r="C1409" s="22" t="s">
        <v>76</v>
      </c>
      <c r="D1409" s="22" t="s">
        <v>76</v>
      </c>
      <c r="E1409" s="22" t="s">
        <v>1700</v>
      </c>
      <c r="F1409" s="22" t="s">
        <v>12</v>
      </c>
    </row>
    <row r="1410" ht="18.6" customHeight="1" spans="1:6">
      <c r="A1410" s="22">
        <v>1409</v>
      </c>
      <c r="B1410" s="23" t="s">
        <v>1729</v>
      </c>
      <c r="C1410" s="23" t="s">
        <v>76</v>
      </c>
      <c r="D1410" s="23" t="s">
        <v>76</v>
      </c>
      <c r="E1410" s="23" t="s">
        <v>1700</v>
      </c>
      <c r="F1410" s="23" t="s">
        <v>12</v>
      </c>
    </row>
    <row r="1411" ht="18.6" customHeight="1" spans="1:6">
      <c r="A1411" s="23">
        <v>1410</v>
      </c>
      <c r="B1411" s="22" t="s">
        <v>1730</v>
      </c>
      <c r="C1411" s="22" t="s">
        <v>76</v>
      </c>
      <c r="D1411" s="22" t="s">
        <v>76</v>
      </c>
      <c r="E1411" s="22" t="s">
        <v>1700</v>
      </c>
      <c r="F1411" s="22" t="s">
        <v>12</v>
      </c>
    </row>
    <row r="1412" ht="18.6" customHeight="1" spans="1:6">
      <c r="A1412" s="22">
        <v>1411</v>
      </c>
      <c r="B1412" s="23" t="s">
        <v>1731</v>
      </c>
      <c r="C1412" s="23" t="s">
        <v>76</v>
      </c>
      <c r="D1412" s="23" t="s">
        <v>76</v>
      </c>
      <c r="E1412" s="23" t="s">
        <v>1700</v>
      </c>
      <c r="F1412" s="23" t="s">
        <v>12</v>
      </c>
    </row>
    <row r="1413" ht="18.6" customHeight="1" spans="1:6">
      <c r="A1413" s="23">
        <v>1412</v>
      </c>
      <c r="B1413" s="22" t="s">
        <v>1732</v>
      </c>
      <c r="C1413" s="22" t="s">
        <v>76</v>
      </c>
      <c r="D1413" s="22" t="s">
        <v>76</v>
      </c>
      <c r="E1413" s="22" t="s">
        <v>1700</v>
      </c>
      <c r="F1413" s="22" t="s">
        <v>12</v>
      </c>
    </row>
    <row r="1414" ht="18.6" customHeight="1" spans="1:6">
      <c r="A1414" s="22">
        <v>1413</v>
      </c>
      <c r="B1414" s="23" t="s">
        <v>1733</v>
      </c>
      <c r="C1414" s="23" t="s">
        <v>76</v>
      </c>
      <c r="D1414" s="23" t="s">
        <v>76</v>
      </c>
      <c r="E1414" s="23" t="s">
        <v>1700</v>
      </c>
      <c r="F1414" s="23" t="s">
        <v>12</v>
      </c>
    </row>
    <row r="1415" ht="18.6" customHeight="1" spans="1:6">
      <c r="A1415" s="23">
        <v>1414</v>
      </c>
      <c r="B1415" s="22" t="s">
        <v>1734</v>
      </c>
      <c r="C1415" s="22" t="s">
        <v>76</v>
      </c>
      <c r="D1415" s="22" t="s">
        <v>76</v>
      </c>
      <c r="E1415" s="22" t="s">
        <v>1700</v>
      </c>
      <c r="F1415" s="22" t="s">
        <v>12</v>
      </c>
    </row>
    <row r="1416" ht="18.6" customHeight="1" spans="1:6">
      <c r="A1416" s="22">
        <v>1415</v>
      </c>
      <c r="B1416" s="23" t="s">
        <v>1735</v>
      </c>
      <c r="C1416" s="23" t="s">
        <v>76</v>
      </c>
      <c r="D1416" s="23" t="s">
        <v>76</v>
      </c>
      <c r="E1416" s="23" t="s">
        <v>1700</v>
      </c>
      <c r="F1416" s="23" t="s">
        <v>12</v>
      </c>
    </row>
    <row r="1417" ht="18.6" customHeight="1" spans="1:6">
      <c r="A1417" s="23">
        <v>1416</v>
      </c>
      <c r="B1417" s="22" t="s">
        <v>1736</v>
      </c>
      <c r="C1417" s="22" t="s">
        <v>76</v>
      </c>
      <c r="D1417" s="22" t="s">
        <v>76</v>
      </c>
      <c r="E1417" s="22" t="s">
        <v>1700</v>
      </c>
      <c r="F1417" s="22" t="s">
        <v>12</v>
      </c>
    </row>
    <row r="1418" ht="18.6" customHeight="1" spans="1:6">
      <c r="A1418" s="22">
        <v>1417</v>
      </c>
      <c r="B1418" s="23" t="s">
        <v>1737</v>
      </c>
      <c r="C1418" s="23" t="s">
        <v>98</v>
      </c>
      <c r="D1418" s="23" t="s">
        <v>101</v>
      </c>
      <c r="E1418" s="23" t="s">
        <v>1700</v>
      </c>
      <c r="F1418" s="23" t="s">
        <v>12</v>
      </c>
    </row>
    <row r="1419" ht="18.6" customHeight="1" spans="1:6">
      <c r="A1419" s="23">
        <v>1418</v>
      </c>
      <c r="B1419" s="22" t="s">
        <v>1738</v>
      </c>
      <c r="C1419" s="22" t="s">
        <v>98</v>
      </c>
      <c r="D1419" s="22" t="s">
        <v>103</v>
      </c>
      <c r="E1419" s="22" t="s">
        <v>1700</v>
      </c>
      <c r="F1419" s="22" t="s">
        <v>12</v>
      </c>
    </row>
    <row r="1420" ht="18.6" customHeight="1" spans="1:6">
      <c r="A1420" s="22">
        <v>1419</v>
      </c>
      <c r="B1420" s="23" t="s">
        <v>1739</v>
      </c>
      <c r="C1420" s="23" t="s">
        <v>98</v>
      </c>
      <c r="D1420" s="23" t="s">
        <v>109</v>
      </c>
      <c r="E1420" s="23" t="s">
        <v>1700</v>
      </c>
      <c r="F1420" s="23" t="s">
        <v>12</v>
      </c>
    </row>
    <row r="1421" ht="18.6" customHeight="1" spans="1:6">
      <c r="A1421" s="23">
        <v>1420</v>
      </c>
      <c r="B1421" s="22" t="s">
        <v>1740</v>
      </c>
      <c r="C1421" s="22" t="s">
        <v>98</v>
      </c>
      <c r="D1421" s="22" t="s">
        <v>99</v>
      </c>
      <c r="E1421" s="22" t="s">
        <v>1700</v>
      </c>
      <c r="F1421" s="22" t="s">
        <v>12</v>
      </c>
    </row>
    <row r="1422" ht="18.6" customHeight="1" spans="1:6">
      <c r="A1422" s="22">
        <v>1421</v>
      </c>
      <c r="B1422" s="23" t="s">
        <v>1741</v>
      </c>
      <c r="C1422" s="23" t="s">
        <v>98</v>
      </c>
      <c r="D1422" s="23" t="s">
        <v>122</v>
      </c>
      <c r="E1422" s="23" t="s">
        <v>1700</v>
      </c>
      <c r="F1422" s="23" t="s">
        <v>12</v>
      </c>
    </row>
    <row r="1423" ht="18.6" customHeight="1" spans="1:6">
      <c r="A1423" s="23">
        <v>1422</v>
      </c>
      <c r="B1423" s="22" t="s">
        <v>1742</v>
      </c>
      <c r="C1423" s="22" t="s">
        <v>98</v>
      </c>
      <c r="D1423" s="22" t="s">
        <v>132</v>
      </c>
      <c r="E1423" s="22" t="s">
        <v>1700</v>
      </c>
      <c r="F1423" s="22" t="s">
        <v>12</v>
      </c>
    </row>
    <row r="1424" ht="18.6" customHeight="1" spans="1:6">
      <c r="A1424" s="22">
        <v>1423</v>
      </c>
      <c r="B1424" s="23" t="s">
        <v>1743</v>
      </c>
      <c r="C1424" s="23" t="s">
        <v>98</v>
      </c>
      <c r="D1424" s="23" t="s">
        <v>103</v>
      </c>
      <c r="E1424" s="23" t="s">
        <v>1700</v>
      </c>
      <c r="F1424" s="23" t="s">
        <v>12</v>
      </c>
    </row>
    <row r="1425" ht="18.6" customHeight="1" spans="1:6">
      <c r="A1425" s="23">
        <v>1424</v>
      </c>
      <c r="B1425" s="22" t="s">
        <v>1744</v>
      </c>
      <c r="C1425" s="22" t="s">
        <v>98</v>
      </c>
      <c r="D1425" s="22" t="s">
        <v>111</v>
      </c>
      <c r="E1425" s="22" t="s">
        <v>1700</v>
      </c>
      <c r="F1425" s="22" t="s">
        <v>12</v>
      </c>
    </row>
    <row r="1426" ht="18.6" customHeight="1" spans="1:6">
      <c r="A1426" s="22">
        <v>1425</v>
      </c>
      <c r="B1426" s="23" t="s">
        <v>1745</v>
      </c>
      <c r="C1426" s="23" t="s">
        <v>98</v>
      </c>
      <c r="D1426" s="23" t="s">
        <v>106</v>
      </c>
      <c r="E1426" s="23" t="s">
        <v>1700</v>
      </c>
      <c r="F1426" s="23" t="s">
        <v>12</v>
      </c>
    </row>
    <row r="1427" ht="18.6" customHeight="1" spans="1:6">
      <c r="A1427" s="23">
        <v>1426</v>
      </c>
      <c r="B1427" s="22" t="s">
        <v>1746</v>
      </c>
      <c r="C1427" s="22" t="s">
        <v>98</v>
      </c>
      <c r="D1427" s="22" t="s">
        <v>103</v>
      </c>
      <c r="E1427" s="22" t="s">
        <v>1700</v>
      </c>
      <c r="F1427" s="22" t="s">
        <v>12</v>
      </c>
    </row>
    <row r="1428" ht="18.6" customHeight="1" spans="1:6">
      <c r="A1428" s="22">
        <v>1427</v>
      </c>
      <c r="B1428" s="23" t="s">
        <v>1747</v>
      </c>
      <c r="C1428" s="23" t="s">
        <v>98</v>
      </c>
      <c r="D1428" s="23" t="s">
        <v>99</v>
      </c>
      <c r="E1428" s="23" t="s">
        <v>1700</v>
      </c>
      <c r="F1428" s="23" t="s">
        <v>12</v>
      </c>
    </row>
    <row r="1429" ht="18.6" customHeight="1" spans="1:6">
      <c r="A1429" s="23">
        <v>1428</v>
      </c>
      <c r="B1429" s="22" t="s">
        <v>1748</v>
      </c>
      <c r="C1429" s="22" t="s">
        <v>98</v>
      </c>
      <c r="D1429" s="22" t="s">
        <v>132</v>
      </c>
      <c r="E1429" s="22" t="s">
        <v>1700</v>
      </c>
      <c r="F1429" s="22" t="s">
        <v>12</v>
      </c>
    </row>
    <row r="1430" ht="18.6" customHeight="1" spans="1:6">
      <c r="A1430" s="22">
        <v>1429</v>
      </c>
      <c r="B1430" s="23" t="s">
        <v>1749</v>
      </c>
      <c r="C1430" s="23" t="s">
        <v>98</v>
      </c>
      <c r="D1430" s="23" t="s">
        <v>106</v>
      </c>
      <c r="E1430" s="23" t="s">
        <v>1700</v>
      </c>
      <c r="F1430" s="23" t="s">
        <v>12</v>
      </c>
    </row>
    <row r="1431" ht="18.6" customHeight="1" spans="1:6">
      <c r="A1431" s="23">
        <v>1430</v>
      </c>
      <c r="B1431" s="22" t="s">
        <v>1750</v>
      </c>
      <c r="C1431" s="22" t="s">
        <v>98</v>
      </c>
      <c r="D1431" s="22" t="s">
        <v>124</v>
      </c>
      <c r="E1431" s="22" t="s">
        <v>1700</v>
      </c>
      <c r="F1431" s="22" t="s">
        <v>12</v>
      </c>
    </row>
    <row r="1432" ht="18.6" customHeight="1" spans="1:6">
      <c r="A1432" s="22">
        <v>1431</v>
      </c>
      <c r="B1432" s="23" t="s">
        <v>1751</v>
      </c>
      <c r="C1432" s="23" t="s">
        <v>98</v>
      </c>
      <c r="D1432" s="23" t="s">
        <v>103</v>
      </c>
      <c r="E1432" s="23" t="s">
        <v>1700</v>
      </c>
      <c r="F1432" s="23" t="s">
        <v>12</v>
      </c>
    </row>
    <row r="1433" ht="18.6" customHeight="1" spans="1:6">
      <c r="A1433" s="23">
        <v>1432</v>
      </c>
      <c r="B1433" s="22" t="s">
        <v>1752</v>
      </c>
      <c r="C1433" s="22" t="s">
        <v>98</v>
      </c>
      <c r="D1433" s="22" t="s">
        <v>116</v>
      </c>
      <c r="E1433" s="22" t="s">
        <v>1700</v>
      </c>
      <c r="F1433" s="22" t="s">
        <v>12</v>
      </c>
    </row>
    <row r="1434" ht="18.6" customHeight="1" spans="1:6">
      <c r="A1434" s="22">
        <v>1433</v>
      </c>
      <c r="B1434" s="23" t="s">
        <v>1753</v>
      </c>
      <c r="C1434" s="23" t="s">
        <v>98</v>
      </c>
      <c r="D1434" s="23" t="s">
        <v>103</v>
      </c>
      <c r="E1434" s="23" t="s">
        <v>1700</v>
      </c>
      <c r="F1434" s="23" t="s">
        <v>12</v>
      </c>
    </row>
    <row r="1435" ht="18.6" customHeight="1" spans="1:6">
      <c r="A1435" s="23">
        <v>1434</v>
      </c>
      <c r="B1435" s="22" t="s">
        <v>1754</v>
      </c>
      <c r="C1435" s="22" t="s">
        <v>98</v>
      </c>
      <c r="D1435" s="22" t="s">
        <v>103</v>
      </c>
      <c r="E1435" s="22" t="s">
        <v>1700</v>
      </c>
      <c r="F1435" s="22" t="s">
        <v>12</v>
      </c>
    </row>
    <row r="1436" ht="18.6" customHeight="1" spans="1:6">
      <c r="A1436" s="22">
        <v>1435</v>
      </c>
      <c r="B1436" s="23" t="s">
        <v>1755</v>
      </c>
      <c r="C1436" s="23" t="s">
        <v>98</v>
      </c>
      <c r="D1436" s="23" t="s">
        <v>103</v>
      </c>
      <c r="E1436" s="23" t="s">
        <v>1700</v>
      </c>
      <c r="F1436" s="23" t="s">
        <v>12</v>
      </c>
    </row>
    <row r="1437" ht="18.6" customHeight="1" spans="1:6">
      <c r="A1437" s="23">
        <v>1436</v>
      </c>
      <c r="B1437" s="22" t="s">
        <v>1756</v>
      </c>
      <c r="C1437" s="22" t="s">
        <v>98</v>
      </c>
      <c r="D1437" s="22" t="s">
        <v>132</v>
      </c>
      <c r="E1437" s="22" t="s">
        <v>1700</v>
      </c>
      <c r="F1437" s="22" t="s">
        <v>12</v>
      </c>
    </row>
    <row r="1438" ht="18.6" customHeight="1" spans="1:6">
      <c r="A1438" s="22">
        <v>1437</v>
      </c>
      <c r="B1438" s="23" t="s">
        <v>1757</v>
      </c>
      <c r="C1438" s="23" t="s">
        <v>98</v>
      </c>
      <c r="D1438" s="23" t="s">
        <v>99</v>
      </c>
      <c r="E1438" s="23" t="s">
        <v>1700</v>
      </c>
      <c r="F1438" s="23" t="s">
        <v>12</v>
      </c>
    </row>
    <row r="1439" ht="18.6" customHeight="1" spans="1:6">
      <c r="A1439" s="23">
        <v>1438</v>
      </c>
      <c r="B1439" s="22" t="s">
        <v>1758</v>
      </c>
      <c r="C1439" s="22" t="s">
        <v>98</v>
      </c>
      <c r="D1439" s="22" t="s">
        <v>128</v>
      </c>
      <c r="E1439" s="22" t="s">
        <v>1700</v>
      </c>
      <c r="F1439" s="22" t="s">
        <v>12</v>
      </c>
    </row>
    <row r="1440" ht="18.6" customHeight="1" spans="1:6">
      <c r="A1440" s="22">
        <v>1439</v>
      </c>
      <c r="B1440" s="23" t="s">
        <v>1759</v>
      </c>
      <c r="C1440" s="23" t="s">
        <v>98</v>
      </c>
      <c r="D1440" s="23" t="s">
        <v>111</v>
      </c>
      <c r="E1440" s="23" t="s">
        <v>1700</v>
      </c>
      <c r="F1440" s="23" t="s">
        <v>12</v>
      </c>
    </row>
    <row r="1441" ht="18.6" customHeight="1" spans="1:6">
      <c r="A1441" s="23">
        <v>1440</v>
      </c>
      <c r="B1441" s="22" t="s">
        <v>1760</v>
      </c>
      <c r="C1441" s="22" t="s">
        <v>98</v>
      </c>
      <c r="D1441" s="22" t="s">
        <v>122</v>
      </c>
      <c r="E1441" s="22" t="s">
        <v>1700</v>
      </c>
      <c r="F1441" s="22" t="s">
        <v>12</v>
      </c>
    </row>
    <row r="1442" ht="18.6" customHeight="1" spans="1:6">
      <c r="A1442" s="22">
        <v>1441</v>
      </c>
      <c r="B1442" s="23" t="s">
        <v>1761</v>
      </c>
      <c r="C1442" s="23" t="s">
        <v>98</v>
      </c>
      <c r="D1442" s="23" t="s">
        <v>106</v>
      </c>
      <c r="E1442" s="23" t="s">
        <v>1700</v>
      </c>
      <c r="F1442" s="23" t="s">
        <v>12</v>
      </c>
    </row>
    <row r="1443" ht="18.6" customHeight="1" spans="1:6">
      <c r="A1443" s="23">
        <v>1442</v>
      </c>
      <c r="B1443" s="22" t="s">
        <v>1762</v>
      </c>
      <c r="C1443" s="22" t="s">
        <v>98</v>
      </c>
      <c r="D1443" s="22" t="s">
        <v>103</v>
      </c>
      <c r="E1443" s="22" t="s">
        <v>1700</v>
      </c>
      <c r="F1443" s="22" t="s">
        <v>12</v>
      </c>
    </row>
    <row r="1444" ht="18.6" customHeight="1" spans="1:6">
      <c r="A1444" s="22">
        <v>1443</v>
      </c>
      <c r="B1444" s="23" t="s">
        <v>1763</v>
      </c>
      <c r="C1444" s="23" t="s">
        <v>98</v>
      </c>
      <c r="D1444" s="23" t="s">
        <v>103</v>
      </c>
      <c r="E1444" s="23" t="s">
        <v>1700</v>
      </c>
      <c r="F1444" s="23" t="s">
        <v>12</v>
      </c>
    </row>
    <row r="1445" ht="18.6" customHeight="1" spans="1:6">
      <c r="A1445" s="23">
        <v>1444</v>
      </c>
      <c r="B1445" s="22" t="s">
        <v>1764</v>
      </c>
      <c r="C1445" s="22" t="s">
        <v>98</v>
      </c>
      <c r="D1445" s="22" t="s">
        <v>101</v>
      </c>
      <c r="E1445" s="22" t="s">
        <v>1700</v>
      </c>
      <c r="F1445" s="22" t="s">
        <v>12</v>
      </c>
    </row>
    <row r="1446" ht="18.6" customHeight="1" spans="1:6">
      <c r="A1446" s="22">
        <v>1445</v>
      </c>
      <c r="B1446" s="23" t="s">
        <v>1765</v>
      </c>
      <c r="C1446" s="23" t="s">
        <v>98</v>
      </c>
      <c r="D1446" s="23" t="s">
        <v>111</v>
      </c>
      <c r="E1446" s="23" t="s">
        <v>1700</v>
      </c>
      <c r="F1446" s="23" t="s">
        <v>12</v>
      </c>
    </row>
    <row r="1447" ht="18.6" customHeight="1" spans="1:6">
      <c r="A1447" s="23">
        <v>1446</v>
      </c>
      <c r="B1447" s="22" t="s">
        <v>1766</v>
      </c>
      <c r="C1447" s="22" t="s">
        <v>98</v>
      </c>
      <c r="D1447" s="22" t="s">
        <v>103</v>
      </c>
      <c r="E1447" s="22" t="s">
        <v>1700</v>
      </c>
      <c r="F1447" s="22" t="s">
        <v>12</v>
      </c>
    </row>
    <row r="1448" ht="18.6" customHeight="1" spans="1:6">
      <c r="A1448" s="22">
        <v>1447</v>
      </c>
      <c r="B1448" s="23" t="s">
        <v>1767</v>
      </c>
      <c r="C1448" s="23" t="s">
        <v>98</v>
      </c>
      <c r="D1448" s="23" t="s">
        <v>99</v>
      </c>
      <c r="E1448" s="23" t="s">
        <v>1700</v>
      </c>
      <c r="F1448" s="23" t="s">
        <v>12</v>
      </c>
    </row>
    <row r="1449" ht="18.6" customHeight="1" spans="1:6">
      <c r="A1449" s="23">
        <v>1448</v>
      </c>
      <c r="B1449" s="22" t="s">
        <v>1768</v>
      </c>
      <c r="C1449" s="22" t="s">
        <v>98</v>
      </c>
      <c r="D1449" s="22" t="s">
        <v>103</v>
      </c>
      <c r="E1449" s="22" t="s">
        <v>1700</v>
      </c>
      <c r="F1449" s="22" t="s">
        <v>12</v>
      </c>
    </row>
    <row r="1450" ht="18.6" customHeight="1" spans="1:6">
      <c r="A1450" s="22">
        <v>1449</v>
      </c>
      <c r="B1450" s="23" t="s">
        <v>1769</v>
      </c>
      <c r="C1450" s="23" t="s">
        <v>98</v>
      </c>
      <c r="D1450" s="23" t="s">
        <v>103</v>
      </c>
      <c r="E1450" s="23" t="s">
        <v>1700</v>
      </c>
      <c r="F1450" s="23" t="s">
        <v>12</v>
      </c>
    </row>
    <row r="1451" ht="18.6" customHeight="1" spans="1:6">
      <c r="A1451" s="23">
        <v>1450</v>
      </c>
      <c r="B1451" s="22" t="s">
        <v>1770</v>
      </c>
      <c r="C1451" s="22" t="s">
        <v>98</v>
      </c>
      <c r="D1451" s="22" t="s">
        <v>111</v>
      </c>
      <c r="E1451" s="22" t="s">
        <v>1700</v>
      </c>
      <c r="F1451" s="22" t="s">
        <v>12</v>
      </c>
    </row>
    <row r="1452" ht="18.6" customHeight="1" spans="1:6">
      <c r="A1452" s="22">
        <v>1451</v>
      </c>
      <c r="B1452" s="23" t="s">
        <v>1771</v>
      </c>
      <c r="C1452" s="23" t="s">
        <v>98</v>
      </c>
      <c r="D1452" s="23" t="s">
        <v>109</v>
      </c>
      <c r="E1452" s="23" t="s">
        <v>1700</v>
      </c>
      <c r="F1452" s="23" t="s">
        <v>12</v>
      </c>
    </row>
    <row r="1453" ht="18.6" customHeight="1" spans="1:6">
      <c r="A1453" s="23">
        <v>1452</v>
      </c>
      <c r="B1453" s="22" t="s">
        <v>1772</v>
      </c>
      <c r="C1453" s="22" t="s">
        <v>98</v>
      </c>
      <c r="D1453" s="22" t="s">
        <v>122</v>
      </c>
      <c r="E1453" s="22" t="s">
        <v>1700</v>
      </c>
      <c r="F1453" s="22" t="s">
        <v>12</v>
      </c>
    </row>
    <row r="1454" ht="18.6" customHeight="1" spans="1:6">
      <c r="A1454" s="22">
        <v>1453</v>
      </c>
      <c r="B1454" s="23" t="s">
        <v>1773</v>
      </c>
      <c r="C1454" s="23" t="s">
        <v>98</v>
      </c>
      <c r="D1454" s="23" t="s">
        <v>116</v>
      </c>
      <c r="E1454" s="23" t="s">
        <v>1700</v>
      </c>
      <c r="F1454" s="23" t="s">
        <v>12</v>
      </c>
    </row>
    <row r="1455" ht="18.6" customHeight="1" spans="1:6">
      <c r="A1455" s="23">
        <v>1454</v>
      </c>
      <c r="B1455" s="22" t="s">
        <v>1774</v>
      </c>
      <c r="C1455" s="22" t="s">
        <v>98</v>
      </c>
      <c r="D1455" s="22" t="s">
        <v>103</v>
      </c>
      <c r="E1455" s="22" t="s">
        <v>1700</v>
      </c>
      <c r="F1455" s="22" t="s">
        <v>12</v>
      </c>
    </row>
    <row r="1456" ht="18.6" customHeight="1" spans="1:6">
      <c r="A1456" s="22">
        <v>1455</v>
      </c>
      <c r="B1456" s="23" t="s">
        <v>1775</v>
      </c>
      <c r="C1456" s="23" t="s">
        <v>98</v>
      </c>
      <c r="D1456" s="23" t="s">
        <v>122</v>
      </c>
      <c r="E1456" s="23" t="s">
        <v>1700</v>
      </c>
      <c r="F1456" s="23" t="s">
        <v>12</v>
      </c>
    </row>
    <row r="1457" ht="18.6" customHeight="1" spans="1:6">
      <c r="A1457" s="23">
        <v>1456</v>
      </c>
      <c r="B1457" s="22" t="s">
        <v>1776</v>
      </c>
      <c r="C1457" s="22" t="s">
        <v>98</v>
      </c>
      <c r="D1457" s="22" t="s">
        <v>103</v>
      </c>
      <c r="E1457" s="22" t="s">
        <v>1700</v>
      </c>
      <c r="F1457" s="22" t="s">
        <v>12</v>
      </c>
    </row>
    <row r="1458" ht="18.6" customHeight="1" spans="1:6">
      <c r="A1458" s="22">
        <v>1457</v>
      </c>
      <c r="B1458" s="23" t="s">
        <v>1777</v>
      </c>
      <c r="C1458" s="23" t="s">
        <v>98</v>
      </c>
      <c r="D1458" s="23" t="s">
        <v>99</v>
      </c>
      <c r="E1458" s="23" t="s">
        <v>1700</v>
      </c>
      <c r="F1458" s="23" t="s">
        <v>12</v>
      </c>
    </row>
    <row r="1459" ht="18.6" customHeight="1" spans="1:6">
      <c r="A1459" s="23">
        <v>1458</v>
      </c>
      <c r="B1459" s="22" t="s">
        <v>1778</v>
      </c>
      <c r="C1459" s="22" t="s">
        <v>98</v>
      </c>
      <c r="D1459" s="22" t="s">
        <v>99</v>
      </c>
      <c r="E1459" s="22" t="s">
        <v>1700</v>
      </c>
      <c r="F1459" s="22" t="s">
        <v>12</v>
      </c>
    </row>
    <row r="1460" ht="18.6" customHeight="1" spans="1:6">
      <c r="A1460" s="22">
        <v>1459</v>
      </c>
      <c r="B1460" s="23" t="s">
        <v>1779</v>
      </c>
      <c r="C1460" s="23" t="s">
        <v>98</v>
      </c>
      <c r="D1460" s="23" t="s">
        <v>106</v>
      </c>
      <c r="E1460" s="23" t="s">
        <v>1700</v>
      </c>
      <c r="F1460" s="23" t="s">
        <v>12</v>
      </c>
    </row>
    <row r="1461" ht="18.6" customHeight="1" spans="1:6">
      <c r="A1461" s="23">
        <v>1460</v>
      </c>
      <c r="B1461" s="22" t="s">
        <v>1780</v>
      </c>
      <c r="C1461" s="22" t="s">
        <v>98</v>
      </c>
      <c r="D1461" s="22" t="s">
        <v>116</v>
      </c>
      <c r="E1461" s="22" t="s">
        <v>1700</v>
      </c>
      <c r="F1461" s="22" t="s">
        <v>12</v>
      </c>
    </row>
    <row r="1462" ht="18.6" customHeight="1" spans="1:6">
      <c r="A1462" s="22">
        <v>1461</v>
      </c>
      <c r="B1462" s="23" t="s">
        <v>1781</v>
      </c>
      <c r="C1462" s="23" t="s">
        <v>98</v>
      </c>
      <c r="D1462" s="23" t="s">
        <v>101</v>
      </c>
      <c r="E1462" s="23" t="s">
        <v>1700</v>
      </c>
      <c r="F1462" s="23" t="s">
        <v>12</v>
      </c>
    </row>
    <row r="1463" ht="18.6" customHeight="1" spans="1:6">
      <c r="A1463" s="23">
        <v>1462</v>
      </c>
      <c r="B1463" s="22" t="s">
        <v>1782</v>
      </c>
      <c r="C1463" s="22" t="s">
        <v>98</v>
      </c>
      <c r="D1463" s="22" t="s">
        <v>101</v>
      </c>
      <c r="E1463" s="22" t="s">
        <v>1700</v>
      </c>
      <c r="F1463" s="22" t="s">
        <v>12</v>
      </c>
    </row>
    <row r="1464" ht="18.6" customHeight="1" spans="1:6">
      <c r="A1464" s="22">
        <v>1463</v>
      </c>
      <c r="B1464" s="23" t="s">
        <v>1783</v>
      </c>
      <c r="C1464" s="23" t="s">
        <v>151</v>
      </c>
      <c r="D1464" s="23" t="s">
        <v>152</v>
      </c>
      <c r="E1464" s="23" t="s">
        <v>1700</v>
      </c>
      <c r="F1464" s="23" t="s">
        <v>12</v>
      </c>
    </row>
    <row r="1465" ht="18.6" customHeight="1" spans="1:6">
      <c r="A1465" s="23">
        <v>1464</v>
      </c>
      <c r="B1465" s="22" t="s">
        <v>1784</v>
      </c>
      <c r="C1465" s="22" t="s">
        <v>151</v>
      </c>
      <c r="D1465" s="22" t="s">
        <v>160</v>
      </c>
      <c r="E1465" s="22" t="s">
        <v>1700</v>
      </c>
      <c r="F1465" s="22" t="s">
        <v>12</v>
      </c>
    </row>
    <row r="1466" ht="18.6" customHeight="1" spans="1:6">
      <c r="A1466" s="22">
        <v>1465</v>
      </c>
      <c r="B1466" s="23" t="s">
        <v>1785</v>
      </c>
      <c r="C1466" s="23" t="s">
        <v>151</v>
      </c>
      <c r="D1466" s="23" t="s">
        <v>183</v>
      </c>
      <c r="E1466" s="23" t="s">
        <v>1700</v>
      </c>
      <c r="F1466" s="23" t="s">
        <v>12</v>
      </c>
    </row>
    <row r="1467" ht="18.6" customHeight="1" spans="1:6">
      <c r="A1467" s="23">
        <v>1466</v>
      </c>
      <c r="B1467" s="22" t="s">
        <v>1786</v>
      </c>
      <c r="C1467" s="22" t="s">
        <v>151</v>
      </c>
      <c r="D1467" s="22" t="s">
        <v>152</v>
      </c>
      <c r="E1467" s="22" t="s">
        <v>1700</v>
      </c>
      <c r="F1467" s="22" t="s">
        <v>12</v>
      </c>
    </row>
    <row r="1468" ht="18.6" customHeight="1" spans="1:6">
      <c r="A1468" s="22">
        <v>1467</v>
      </c>
      <c r="B1468" s="23" t="s">
        <v>1787</v>
      </c>
      <c r="C1468" s="23" t="s">
        <v>151</v>
      </c>
      <c r="D1468" s="23" t="s">
        <v>164</v>
      </c>
      <c r="E1468" s="23" t="s">
        <v>1700</v>
      </c>
      <c r="F1468" s="23" t="s">
        <v>12</v>
      </c>
    </row>
    <row r="1469" ht="18.6" customHeight="1" spans="1:6">
      <c r="A1469" s="23">
        <v>1468</v>
      </c>
      <c r="B1469" s="22" t="s">
        <v>1788</v>
      </c>
      <c r="C1469" s="22" t="s">
        <v>151</v>
      </c>
      <c r="D1469" s="22" t="s">
        <v>160</v>
      </c>
      <c r="E1469" s="22" t="s">
        <v>1700</v>
      </c>
      <c r="F1469" s="22" t="s">
        <v>12</v>
      </c>
    </row>
    <row r="1470" ht="18.6" customHeight="1" spans="1:6">
      <c r="A1470" s="22">
        <v>1469</v>
      </c>
      <c r="B1470" s="23" t="s">
        <v>1789</v>
      </c>
      <c r="C1470" s="23" t="s">
        <v>151</v>
      </c>
      <c r="D1470" s="23" t="s">
        <v>152</v>
      </c>
      <c r="E1470" s="23" t="s">
        <v>1700</v>
      </c>
      <c r="F1470" s="23" t="s">
        <v>12</v>
      </c>
    </row>
    <row r="1471" ht="18.6" customHeight="1" spans="1:6">
      <c r="A1471" s="23">
        <v>1470</v>
      </c>
      <c r="B1471" s="22" t="s">
        <v>1790</v>
      </c>
      <c r="C1471" s="22" t="s">
        <v>151</v>
      </c>
      <c r="D1471" s="22" t="s">
        <v>152</v>
      </c>
      <c r="E1471" s="22" t="s">
        <v>1700</v>
      </c>
      <c r="F1471" s="22" t="s">
        <v>12</v>
      </c>
    </row>
    <row r="1472" ht="18.6" customHeight="1" spans="1:6">
      <c r="A1472" s="22">
        <v>1471</v>
      </c>
      <c r="B1472" s="23" t="s">
        <v>1791</v>
      </c>
      <c r="C1472" s="23" t="s">
        <v>151</v>
      </c>
      <c r="D1472" s="23" t="s">
        <v>168</v>
      </c>
      <c r="E1472" s="23" t="s">
        <v>1700</v>
      </c>
      <c r="F1472" s="23" t="s">
        <v>12</v>
      </c>
    </row>
    <row r="1473" ht="18.6" customHeight="1" spans="1:6">
      <c r="A1473" s="23">
        <v>1472</v>
      </c>
      <c r="B1473" s="22" t="s">
        <v>1792</v>
      </c>
      <c r="C1473" s="22" t="s">
        <v>151</v>
      </c>
      <c r="D1473" s="22" t="s">
        <v>187</v>
      </c>
      <c r="E1473" s="22" t="s">
        <v>1700</v>
      </c>
      <c r="F1473" s="22" t="s">
        <v>12</v>
      </c>
    </row>
    <row r="1474" ht="18.6" customHeight="1" spans="1:6">
      <c r="A1474" s="22">
        <v>1473</v>
      </c>
      <c r="B1474" s="23" t="s">
        <v>1793</v>
      </c>
      <c r="C1474" s="23" t="s">
        <v>151</v>
      </c>
      <c r="D1474" s="23" t="s">
        <v>181</v>
      </c>
      <c r="E1474" s="23" t="s">
        <v>1700</v>
      </c>
      <c r="F1474" s="23" t="s">
        <v>12</v>
      </c>
    </row>
    <row r="1475" ht="18.6" customHeight="1" spans="1:6">
      <c r="A1475" s="23">
        <v>1474</v>
      </c>
      <c r="B1475" s="22" t="s">
        <v>1794</v>
      </c>
      <c r="C1475" s="22" t="s">
        <v>151</v>
      </c>
      <c r="D1475" s="22" t="s">
        <v>152</v>
      </c>
      <c r="E1475" s="22" t="s">
        <v>1700</v>
      </c>
      <c r="F1475" s="22" t="s">
        <v>12</v>
      </c>
    </row>
    <row r="1476" ht="18.6" customHeight="1" spans="1:6">
      <c r="A1476" s="22">
        <v>1475</v>
      </c>
      <c r="B1476" s="23" t="s">
        <v>1795</v>
      </c>
      <c r="C1476" s="23" t="s">
        <v>151</v>
      </c>
      <c r="D1476" s="23" t="s">
        <v>152</v>
      </c>
      <c r="E1476" s="23" t="s">
        <v>1700</v>
      </c>
      <c r="F1476" s="23" t="s">
        <v>12</v>
      </c>
    </row>
    <row r="1477" ht="18.6" customHeight="1" spans="1:6">
      <c r="A1477" s="23">
        <v>1476</v>
      </c>
      <c r="B1477" s="22" t="s">
        <v>1796</v>
      </c>
      <c r="C1477" s="22" t="s">
        <v>151</v>
      </c>
      <c r="D1477" s="22" t="s">
        <v>152</v>
      </c>
      <c r="E1477" s="22" t="s">
        <v>1700</v>
      </c>
      <c r="F1477" s="22" t="s">
        <v>12</v>
      </c>
    </row>
    <row r="1478" ht="18.6" customHeight="1" spans="1:6">
      <c r="A1478" s="22">
        <v>1477</v>
      </c>
      <c r="B1478" s="23" t="s">
        <v>1797</v>
      </c>
      <c r="C1478" s="23" t="s">
        <v>151</v>
      </c>
      <c r="D1478" s="23" t="s">
        <v>152</v>
      </c>
      <c r="E1478" s="23" t="s">
        <v>1700</v>
      </c>
      <c r="F1478" s="23" t="s">
        <v>12</v>
      </c>
    </row>
    <row r="1479" ht="18.6" customHeight="1" spans="1:6">
      <c r="A1479" s="23">
        <v>1478</v>
      </c>
      <c r="B1479" s="22" t="s">
        <v>1798</v>
      </c>
      <c r="C1479" s="22" t="s">
        <v>151</v>
      </c>
      <c r="D1479" s="22" t="s">
        <v>152</v>
      </c>
      <c r="E1479" s="22" t="s">
        <v>1700</v>
      </c>
      <c r="F1479" s="22" t="s">
        <v>12</v>
      </c>
    </row>
    <row r="1480" ht="18.6" customHeight="1" spans="1:6">
      <c r="A1480" s="22">
        <v>1479</v>
      </c>
      <c r="B1480" s="23" t="s">
        <v>1799</v>
      </c>
      <c r="C1480" s="23" t="s">
        <v>151</v>
      </c>
      <c r="D1480" s="23" t="s">
        <v>152</v>
      </c>
      <c r="E1480" s="23" t="s">
        <v>1700</v>
      </c>
      <c r="F1480" s="23" t="s">
        <v>12</v>
      </c>
    </row>
    <row r="1481" ht="18.6" customHeight="1" spans="1:6">
      <c r="A1481" s="23">
        <v>1480</v>
      </c>
      <c r="B1481" s="22" t="s">
        <v>1800</v>
      </c>
      <c r="C1481" s="22" t="s">
        <v>151</v>
      </c>
      <c r="D1481" s="22" t="s">
        <v>160</v>
      </c>
      <c r="E1481" s="22" t="s">
        <v>1700</v>
      </c>
      <c r="F1481" s="22" t="s">
        <v>12</v>
      </c>
    </row>
    <row r="1482" ht="18.6" customHeight="1" spans="1:6">
      <c r="A1482" s="22">
        <v>1481</v>
      </c>
      <c r="B1482" s="23" t="s">
        <v>1801</v>
      </c>
      <c r="C1482" s="23" t="s">
        <v>151</v>
      </c>
      <c r="D1482" s="23" t="s">
        <v>181</v>
      </c>
      <c r="E1482" s="23" t="s">
        <v>1700</v>
      </c>
      <c r="F1482" s="23" t="s">
        <v>12</v>
      </c>
    </row>
    <row r="1483" ht="18.6" customHeight="1" spans="1:6">
      <c r="A1483" s="23">
        <v>1482</v>
      </c>
      <c r="B1483" s="22" t="s">
        <v>1802</v>
      </c>
      <c r="C1483" s="22" t="s">
        <v>151</v>
      </c>
      <c r="D1483" s="22" t="s">
        <v>152</v>
      </c>
      <c r="E1483" s="22" t="s">
        <v>1700</v>
      </c>
      <c r="F1483" s="22" t="s">
        <v>12</v>
      </c>
    </row>
    <row r="1484" ht="18.6" customHeight="1" spans="1:6">
      <c r="A1484" s="22">
        <v>1483</v>
      </c>
      <c r="B1484" s="23" t="s">
        <v>1803</v>
      </c>
      <c r="C1484" s="23" t="s">
        <v>151</v>
      </c>
      <c r="D1484" s="23" t="s">
        <v>170</v>
      </c>
      <c r="E1484" s="23" t="s">
        <v>1700</v>
      </c>
      <c r="F1484" s="23" t="s">
        <v>12</v>
      </c>
    </row>
    <row r="1485" ht="18.6" customHeight="1" spans="1:6">
      <c r="A1485" s="23">
        <v>1484</v>
      </c>
      <c r="B1485" s="22" t="s">
        <v>1804</v>
      </c>
      <c r="C1485" s="22" t="s">
        <v>151</v>
      </c>
      <c r="D1485" s="22" t="s">
        <v>157</v>
      </c>
      <c r="E1485" s="22" t="s">
        <v>1700</v>
      </c>
      <c r="F1485" s="22" t="s">
        <v>12</v>
      </c>
    </row>
    <row r="1486" ht="18.6" customHeight="1" spans="1:6">
      <c r="A1486" s="22">
        <v>1485</v>
      </c>
      <c r="B1486" s="23" t="s">
        <v>1805</v>
      </c>
      <c r="C1486" s="23" t="s">
        <v>151</v>
      </c>
      <c r="D1486" s="23" t="s">
        <v>168</v>
      </c>
      <c r="E1486" s="23" t="s">
        <v>1700</v>
      </c>
      <c r="F1486" s="23" t="s">
        <v>12</v>
      </c>
    </row>
    <row r="1487" ht="18.6" customHeight="1" spans="1:6">
      <c r="A1487" s="23">
        <v>1486</v>
      </c>
      <c r="B1487" s="22" t="s">
        <v>1806</v>
      </c>
      <c r="C1487" s="22" t="s">
        <v>151</v>
      </c>
      <c r="D1487" s="22" t="s">
        <v>168</v>
      </c>
      <c r="E1487" s="22" t="s">
        <v>1700</v>
      </c>
      <c r="F1487" s="22" t="s">
        <v>12</v>
      </c>
    </row>
    <row r="1488" ht="18.6" customHeight="1" spans="1:6">
      <c r="A1488" s="22">
        <v>1487</v>
      </c>
      <c r="B1488" s="23" t="s">
        <v>1807</v>
      </c>
      <c r="C1488" s="23" t="s">
        <v>151</v>
      </c>
      <c r="D1488" s="23" t="s">
        <v>152</v>
      </c>
      <c r="E1488" s="23" t="s">
        <v>1700</v>
      </c>
      <c r="F1488" s="23" t="s">
        <v>12</v>
      </c>
    </row>
    <row r="1489" ht="18.6" customHeight="1" spans="1:6">
      <c r="A1489" s="23">
        <v>1488</v>
      </c>
      <c r="B1489" s="22" t="s">
        <v>1808</v>
      </c>
      <c r="C1489" s="22" t="s">
        <v>151</v>
      </c>
      <c r="D1489" s="22" t="s">
        <v>179</v>
      </c>
      <c r="E1489" s="22" t="s">
        <v>1700</v>
      </c>
      <c r="F1489" s="22" t="s">
        <v>12</v>
      </c>
    </row>
    <row r="1490" ht="18.6" customHeight="1" spans="1:6">
      <c r="A1490" s="22">
        <v>1489</v>
      </c>
      <c r="B1490" s="23" t="s">
        <v>1809</v>
      </c>
      <c r="C1490" s="23" t="s">
        <v>151</v>
      </c>
      <c r="D1490" s="23" t="s">
        <v>152</v>
      </c>
      <c r="E1490" s="23" t="s">
        <v>1700</v>
      </c>
      <c r="F1490" s="23" t="s">
        <v>12</v>
      </c>
    </row>
    <row r="1491" ht="18.6" customHeight="1" spans="1:6">
      <c r="A1491" s="23">
        <v>1490</v>
      </c>
      <c r="B1491" s="22" t="s">
        <v>1810</v>
      </c>
      <c r="C1491" s="22" t="s">
        <v>151</v>
      </c>
      <c r="D1491" s="22" t="s">
        <v>157</v>
      </c>
      <c r="E1491" s="22" t="s">
        <v>1700</v>
      </c>
      <c r="F1491" s="22" t="s">
        <v>12</v>
      </c>
    </row>
    <row r="1492" ht="18.6" customHeight="1" spans="1:6">
      <c r="A1492" s="22">
        <v>1491</v>
      </c>
      <c r="B1492" s="23" t="s">
        <v>1811</v>
      </c>
      <c r="C1492" s="23" t="s">
        <v>151</v>
      </c>
      <c r="D1492" s="23" t="s">
        <v>187</v>
      </c>
      <c r="E1492" s="23" t="s">
        <v>1700</v>
      </c>
      <c r="F1492" s="23" t="s">
        <v>12</v>
      </c>
    </row>
    <row r="1493" ht="18.6" customHeight="1" spans="1:6">
      <c r="A1493" s="23">
        <v>1492</v>
      </c>
      <c r="B1493" s="22" t="s">
        <v>1812</v>
      </c>
      <c r="C1493" s="22" t="s">
        <v>151</v>
      </c>
      <c r="D1493" s="22" t="s">
        <v>168</v>
      </c>
      <c r="E1493" s="22" t="s">
        <v>1700</v>
      </c>
      <c r="F1493" s="22" t="s">
        <v>12</v>
      </c>
    </row>
    <row r="1494" ht="18.6" customHeight="1" spans="1:6">
      <c r="A1494" s="22">
        <v>1493</v>
      </c>
      <c r="B1494" s="23" t="s">
        <v>1813</v>
      </c>
      <c r="C1494" s="23" t="s">
        <v>151</v>
      </c>
      <c r="D1494" s="23" t="s">
        <v>168</v>
      </c>
      <c r="E1494" s="23" t="s">
        <v>1700</v>
      </c>
      <c r="F1494" s="23" t="s">
        <v>12</v>
      </c>
    </row>
    <row r="1495" ht="18.6" customHeight="1" spans="1:6">
      <c r="A1495" s="23">
        <v>1494</v>
      </c>
      <c r="B1495" s="22" t="s">
        <v>1814</v>
      </c>
      <c r="C1495" s="22" t="s">
        <v>151</v>
      </c>
      <c r="D1495" s="22" t="s">
        <v>179</v>
      </c>
      <c r="E1495" s="22" t="s">
        <v>1700</v>
      </c>
      <c r="F1495" s="22" t="s">
        <v>12</v>
      </c>
    </row>
    <row r="1496" ht="18.6" customHeight="1" spans="1:6">
      <c r="A1496" s="22">
        <v>1495</v>
      </c>
      <c r="B1496" s="23" t="s">
        <v>1815</v>
      </c>
      <c r="C1496" s="23" t="s">
        <v>151</v>
      </c>
      <c r="D1496" s="23" t="s">
        <v>174</v>
      </c>
      <c r="E1496" s="23" t="s">
        <v>1700</v>
      </c>
      <c r="F1496" s="23" t="s">
        <v>12</v>
      </c>
    </row>
    <row r="1497" ht="18.6" customHeight="1" spans="1:6">
      <c r="A1497" s="23">
        <v>1496</v>
      </c>
      <c r="B1497" s="22" t="s">
        <v>1816</v>
      </c>
      <c r="C1497" s="22" t="s">
        <v>151</v>
      </c>
      <c r="D1497" s="22" t="s">
        <v>164</v>
      </c>
      <c r="E1497" s="22" t="s">
        <v>1700</v>
      </c>
      <c r="F1497" s="22" t="s">
        <v>12</v>
      </c>
    </row>
    <row r="1498" ht="18.6" customHeight="1" spans="1:6">
      <c r="A1498" s="22">
        <v>1497</v>
      </c>
      <c r="B1498" s="23" t="s">
        <v>1817</v>
      </c>
      <c r="C1498" s="23" t="s">
        <v>151</v>
      </c>
      <c r="D1498" s="23" t="s">
        <v>152</v>
      </c>
      <c r="E1498" s="23" t="s">
        <v>1700</v>
      </c>
      <c r="F1498" s="23" t="s">
        <v>12</v>
      </c>
    </row>
    <row r="1499" ht="18.6" customHeight="1" spans="1:6">
      <c r="A1499" s="23">
        <v>1498</v>
      </c>
      <c r="B1499" s="22" t="s">
        <v>1818</v>
      </c>
      <c r="C1499" s="22" t="s">
        <v>151</v>
      </c>
      <c r="D1499" s="22" t="s">
        <v>152</v>
      </c>
      <c r="E1499" s="22" t="s">
        <v>1700</v>
      </c>
      <c r="F1499" s="22" t="s">
        <v>12</v>
      </c>
    </row>
    <row r="1500" ht="18.6" customHeight="1" spans="1:6">
      <c r="A1500" s="22">
        <v>1499</v>
      </c>
      <c r="B1500" s="23" t="s">
        <v>1819</v>
      </c>
      <c r="C1500" s="23" t="s">
        <v>151</v>
      </c>
      <c r="D1500" s="23" t="s">
        <v>160</v>
      </c>
      <c r="E1500" s="23" t="s">
        <v>1700</v>
      </c>
      <c r="F1500" s="23" t="s">
        <v>12</v>
      </c>
    </row>
    <row r="1501" ht="18.6" customHeight="1" spans="1:6">
      <c r="A1501" s="23">
        <v>1500</v>
      </c>
      <c r="B1501" s="22" t="s">
        <v>1820</v>
      </c>
      <c r="C1501" s="22" t="s">
        <v>151</v>
      </c>
      <c r="D1501" s="22" t="s">
        <v>164</v>
      </c>
      <c r="E1501" s="22" t="s">
        <v>1700</v>
      </c>
      <c r="F1501" s="22" t="s">
        <v>12</v>
      </c>
    </row>
    <row r="1502" ht="18.6" customHeight="1" spans="1:6">
      <c r="A1502" s="22">
        <v>1501</v>
      </c>
      <c r="B1502" s="23" t="s">
        <v>1821</v>
      </c>
      <c r="C1502" s="23" t="s">
        <v>151</v>
      </c>
      <c r="D1502" s="23" t="s">
        <v>179</v>
      </c>
      <c r="E1502" s="23" t="s">
        <v>1700</v>
      </c>
      <c r="F1502" s="23" t="s">
        <v>12</v>
      </c>
    </row>
    <row r="1503" ht="18.6" customHeight="1" spans="1:6">
      <c r="A1503" s="23">
        <v>1502</v>
      </c>
      <c r="B1503" s="22" t="s">
        <v>1822</v>
      </c>
      <c r="C1503" s="22" t="s">
        <v>151</v>
      </c>
      <c r="D1503" s="22" t="s">
        <v>152</v>
      </c>
      <c r="E1503" s="22" t="s">
        <v>1700</v>
      </c>
      <c r="F1503" s="22" t="s">
        <v>12</v>
      </c>
    </row>
    <row r="1504" ht="18.6" customHeight="1" spans="1:6">
      <c r="A1504" s="22">
        <v>1503</v>
      </c>
      <c r="B1504" s="23" t="s">
        <v>1823</v>
      </c>
      <c r="C1504" s="23" t="s">
        <v>191</v>
      </c>
      <c r="D1504" s="23" t="s">
        <v>194</v>
      </c>
      <c r="E1504" s="23" t="s">
        <v>1700</v>
      </c>
      <c r="F1504" s="23" t="s">
        <v>12</v>
      </c>
    </row>
    <row r="1505" ht="18.6" customHeight="1" spans="1:6">
      <c r="A1505" s="23">
        <v>1504</v>
      </c>
      <c r="B1505" s="22" t="s">
        <v>1824</v>
      </c>
      <c r="C1505" s="22" t="s">
        <v>191</v>
      </c>
      <c r="D1505" s="22" t="s">
        <v>194</v>
      </c>
      <c r="E1505" s="22" t="s">
        <v>1700</v>
      </c>
      <c r="F1505" s="22" t="s">
        <v>12</v>
      </c>
    </row>
    <row r="1506" ht="18.6" customHeight="1" spans="1:6">
      <c r="A1506" s="22">
        <v>1505</v>
      </c>
      <c r="B1506" s="23" t="s">
        <v>1825</v>
      </c>
      <c r="C1506" s="23" t="s">
        <v>191</v>
      </c>
      <c r="D1506" s="23" t="s">
        <v>192</v>
      </c>
      <c r="E1506" s="23" t="s">
        <v>1700</v>
      </c>
      <c r="F1506" s="23" t="s">
        <v>12</v>
      </c>
    </row>
    <row r="1507" ht="18.6" customHeight="1" spans="1:6">
      <c r="A1507" s="23">
        <v>1506</v>
      </c>
      <c r="B1507" s="22" t="s">
        <v>1826</v>
      </c>
      <c r="C1507" s="22" t="s">
        <v>191</v>
      </c>
      <c r="D1507" s="22" t="s">
        <v>192</v>
      </c>
      <c r="E1507" s="22" t="s">
        <v>1700</v>
      </c>
      <c r="F1507" s="22" t="s">
        <v>12</v>
      </c>
    </row>
    <row r="1508" ht="18.6" customHeight="1" spans="1:6">
      <c r="A1508" s="22">
        <v>1507</v>
      </c>
      <c r="B1508" s="23" t="s">
        <v>1827</v>
      </c>
      <c r="C1508" s="23" t="s">
        <v>191</v>
      </c>
      <c r="D1508" s="23" t="s">
        <v>192</v>
      </c>
      <c r="E1508" s="23" t="s">
        <v>1700</v>
      </c>
      <c r="F1508" s="23" t="s">
        <v>12</v>
      </c>
    </row>
    <row r="1509" ht="18.6" customHeight="1" spans="1:6">
      <c r="A1509" s="23">
        <v>1508</v>
      </c>
      <c r="B1509" s="22" t="s">
        <v>1828</v>
      </c>
      <c r="C1509" s="22" t="s">
        <v>191</v>
      </c>
      <c r="D1509" s="22" t="s">
        <v>192</v>
      </c>
      <c r="E1509" s="22" t="s">
        <v>1700</v>
      </c>
      <c r="F1509" s="22" t="s">
        <v>12</v>
      </c>
    </row>
    <row r="1510" ht="18.6" customHeight="1" spans="1:6">
      <c r="A1510" s="22">
        <v>1509</v>
      </c>
      <c r="B1510" s="23" t="s">
        <v>1829</v>
      </c>
      <c r="C1510" s="23" t="s">
        <v>191</v>
      </c>
      <c r="D1510" s="23" t="s">
        <v>1830</v>
      </c>
      <c r="E1510" s="23" t="s">
        <v>1700</v>
      </c>
      <c r="F1510" s="23" t="s">
        <v>12</v>
      </c>
    </row>
    <row r="1511" ht="18.6" customHeight="1" spans="1:6">
      <c r="A1511" s="23">
        <v>1510</v>
      </c>
      <c r="B1511" s="22" t="s">
        <v>1831</v>
      </c>
      <c r="C1511" s="22" t="s">
        <v>191</v>
      </c>
      <c r="D1511" s="22" t="s">
        <v>192</v>
      </c>
      <c r="E1511" s="22" t="s">
        <v>1700</v>
      </c>
      <c r="F1511" s="22" t="s">
        <v>12</v>
      </c>
    </row>
    <row r="1512" ht="18.6" customHeight="1" spans="1:6">
      <c r="A1512" s="22">
        <v>1511</v>
      </c>
      <c r="B1512" s="23" t="s">
        <v>1832</v>
      </c>
      <c r="C1512" s="23" t="s">
        <v>191</v>
      </c>
      <c r="D1512" s="23" t="s">
        <v>207</v>
      </c>
      <c r="E1512" s="23" t="s">
        <v>1700</v>
      </c>
      <c r="F1512" s="23" t="s">
        <v>12</v>
      </c>
    </row>
    <row r="1513" ht="18.6" customHeight="1" spans="1:6">
      <c r="A1513" s="23">
        <v>1512</v>
      </c>
      <c r="B1513" s="22" t="s">
        <v>1833</v>
      </c>
      <c r="C1513" s="22" t="s">
        <v>191</v>
      </c>
      <c r="D1513" s="22" t="s">
        <v>200</v>
      </c>
      <c r="E1513" s="22" t="s">
        <v>1700</v>
      </c>
      <c r="F1513" s="22" t="s">
        <v>12</v>
      </c>
    </row>
    <row r="1514" ht="18.6" customHeight="1" spans="1:6">
      <c r="A1514" s="22">
        <v>1513</v>
      </c>
      <c r="B1514" s="23" t="s">
        <v>1834</v>
      </c>
      <c r="C1514" s="23" t="s">
        <v>191</v>
      </c>
      <c r="D1514" s="23" t="s">
        <v>200</v>
      </c>
      <c r="E1514" s="23" t="s">
        <v>1700</v>
      </c>
      <c r="F1514" s="23" t="s">
        <v>12</v>
      </c>
    </row>
    <row r="1515" ht="18.6" customHeight="1" spans="1:6">
      <c r="A1515" s="23">
        <v>1514</v>
      </c>
      <c r="B1515" s="22" t="s">
        <v>1835</v>
      </c>
      <c r="C1515" s="22" t="s">
        <v>191</v>
      </c>
      <c r="D1515" s="22" t="s">
        <v>202</v>
      </c>
      <c r="E1515" s="22" t="s">
        <v>1700</v>
      </c>
      <c r="F1515" s="22" t="s">
        <v>12</v>
      </c>
    </row>
    <row r="1516" ht="18.6" customHeight="1" spans="1:6">
      <c r="A1516" s="22">
        <v>1515</v>
      </c>
      <c r="B1516" s="23" t="s">
        <v>1836</v>
      </c>
      <c r="C1516" s="23" t="s">
        <v>191</v>
      </c>
      <c r="D1516" s="23" t="s">
        <v>194</v>
      </c>
      <c r="E1516" s="23" t="s">
        <v>1700</v>
      </c>
      <c r="F1516" s="23" t="s">
        <v>12</v>
      </c>
    </row>
    <row r="1517" ht="18.6" customHeight="1" spans="1:6">
      <c r="A1517" s="23">
        <v>1516</v>
      </c>
      <c r="B1517" s="22" t="s">
        <v>1837</v>
      </c>
      <c r="C1517" s="22" t="s">
        <v>191</v>
      </c>
      <c r="D1517" s="22" t="s">
        <v>1838</v>
      </c>
      <c r="E1517" s="22" t="s">
        <v>1700</v>
      </c>
      <c r="F1517" s="22" t="s">
        <v>12</v>
      </c>
    </row>
    <row r="1518" ht="18.6" customHeight="1" spans="1:6">
      <c r="A1518" s="22">
        <v>1517</v>
      </c>
      <c r="B1518" s="23" t="s">
        <v>1839</v>
      </c>
      <c r="C1518" s="23" t="s">
        <v>191</v>
      </c>
      <c r="D1518" s="23" t="s">
        <v>194</v>
      </c>
      <c r="E1518" s="23" t="s">
        <v>1700</v>
      </c>
      <c r="F1518" s="23" t="s">
        <v>12</v>
      </c>
    </row>
    <row r="1519" ht="18.6" customHeight="1" spans="1:6">
      <c r="A1519" s="23">
        <v>1518</v>
      </c>
      <c r="B1519" s="22" t="s">
        <v>1840</v>
      </c>
      <c r="C1519" s="22" t="s">
        <v>191</v>
      </c>
      <c r="D1519" s="22" t="s">
        <v>207</v>
      </c>
      <c r="E1519" s="22" t="s">
        <v>1700</v>
      </c>
      <c r="F1519" s="22" t="s">
        <v>12</v>
      </c>
    </row>
    <row r="1520" ht="18.6" customHeight="1" spans="1:6">
      <c r="A1520" s="22">
        <v>1519</v>
      </c>
      <c r="B1520" s="23" t="s">
        <v>1841</v>
      </c>
      <c r="C1520" s="23" t="s">
        <v>191</v>
      </c>
      <c r="D1520" s="23" t="s">
        <v>213</v>
      </c>
      <c r="E1520" s="23" t="s">
        <v>1700</v>
      </c>
      <c r="F1520" s="23" t="s">
        <v>12</v>
      </c>
    </row>
    <row r="1521" ht="18.6" customHeight="1" spans="1:6">
      <c r="A1521" s="23">
        <v>1520</v>
      </c>
      <c r="B1521" s="22" t="s">
        <v>1842</v>
      </c>
      <c r="C1521" s="22" t="s">
        <v>191</v>
      </c>
      <c r="D1521" s="22" t="s">
        <v>205</v>
      </c>
      <c r="E1521" s="22" t="s">
        <v>1700</v>
      </c>
      <c r="F1521" s="22" t="s">
        <v>12</v>
      </c>
    </row>
    <row r="1522" ht="18.6" customHeight="1" spans="1:6">
      <c r="A1522" s="22">
        <v>1521</v>
      </c>
      <c r="B1522" s="23" t="s">
        <v>1843</v>
      </c>
      <c r="C1522" s="23" t="s">
        <v>191</v>
      </c>
      <c r="D1522" s="23" t="s">
        <v>205</v>
      </c>
      <c r="E1522" s="23" t="s">
        <v>1700</v>
      </c>
      <c r="F1522" s="23" t="s">
        <v>12</v>
      </c>
    </row>
    <row r="1523" ht="18.6" customHeight="1" spans="1:6">
      <c r="A1523" s="23">
        <v>1522</v>
      </c>
      <c r="B1523" s="22" t="s">
        <v>1844</v>
      </c>
      <c r="C1523" s="22" t="s">
        <v>191</v>
      </c>
      <c r="D1523" s="22" t="s">
        <v>202</v>
      </c>
      <c r="E1523" s="22" t="s">
        <v>1700</v>
      </c>
      <c r="F1523" s="22" t="s">
        <v>12</v>
      </c>
    </row>
    <row r="1524" ht="18.6" customHeight="1" spans="1:6">
      <c r="A1524" s="22">
        <v>1523</v>
      </c>
      <c r="B1524" s="23" t="s">
        <v>1845</v>
      </c>
      <c r="C1524" s="23" t="s">
        <v>191</v>
      </c>
      <c r="D1524" s="23" t="s">
        <v>1846</v>
      </c>
      <c r="E1524" s="23" t="s">
        <v>1700</v>
      </c>
      <c r="F1524" s="23" t="s">
        <v>12</v>
      </c>
    </row>
    <row r="1525" ht="18.6" customHeight="1" spans="1:6">
      <c r="A1525" s="23">
        <v>1524</v>
      </c>
      <c r="B1525" s="22" t="s">
        <v>1847</v>
      </c>
      <c r="C1525" s="22" t="s">
        <v>191</v>
      </c>
      <c r="D1525" s="22" t="s">
        <v>213</v>
      </c>
      <c r="E1525" s="22" t="s">
        <v>1700</v>
      </c>
      <c r="F1525" s="22" t="s">
        <v>12</v>
      </c>
    </row>
    <row r="1526" ht="18.6" customHeight="1" spans="1:6">
      <c r="A1526" s="22">
        <v>1525</v>
      </c>
      <c r="B1526" s="23" t="s">
        <v>1848</v>
      </c>
      <c r="C1526" s="23" t="s">
        <v>191</v>
      </c>
      <c r="D1526" s="23" t="s">
        <v>213</v>
      </c>
      <c r="E1526" s="23" t="s">
        <v>1700</v>
      </c>
      <c r="F1526" s="23" t="s">
        <v>12</v>
      </c>
    </row>
    <row r="1527" ht="18.6" customHeight="1" spans="1:6">
      <c r="A1527" s="23">
        <v>1526</v>
      </c>
      <c r="B1527" s="22" t="s">
        <v>1849</v>
      </c>
      <c r="C1527" s="22" t="s">
        <v>191</v>
      </c>
      <c r="D1527" s="22" t="s">
        <v>205</v>
      </c>
      <c r="E1527" s="22" t="s">
        <v>1700</v>
      </c>
      <c r="F1527" s="22" t="s">
        <v>12</v>
      </c>
    </row>
    <row r="1528" ht="18.6" customHeight="1" spans="1:6">
      <c r="A1528" s="22">
        <v>1527</v>
      </c>
      <c r="B1528" s="23" t="s">
        <v>1850</v>
      </c>
      <c r="C1528" s="23" t="s">
        <v>191</v>
      </c>
      <c r="D1528" s="23" t="s">
        <v>202</v>
      </c>
      <c r="E1528" s="23" t="s">
        <v>1700</v>
      </c>
      <c r="F1528" s="23" t="s">
        <v>12</v>
      </c>
    </row>
    <row r="1529" ht="18.6" customHeight="1" spans="1:6">
      <c r="A1529" s="23">
        <v>1528</v>
      </c>
      <c r="B1529" s="22" t="s">
        <v>1851</v>
      </c>
      <c r="C1529" s="22" t="s">
        <v>220</v>
      </c>
      <c r="D1529" s="22" t="s">
        <v>233</v>
      </c>
      <c r="E1529" s="22" t="s">
        <v>1700</v>
      </c>
      <c r="F1529" s="22" t="s">
        <v>12</v>
      </c>
    </row>
    <row r="1530" ht="18.6" customHeight="1" spans="1:6">
      <c r="A1530" s="22">
        <v>1529</v>
      </c>
      <c r="B1530" s="23" t="s">
        <v>1852</v>
      </c>
      <c r="C1530" s="23" t="s">
        <v>220</v>
      </c>
      <c r="D1530" s="23" t="s">
        <v>240</v>
      </c>
      <c r="E1530" s="23" t="s">
        <v>1700</v>
      </c>
      <c r="F1530" s="23" t="s">
        <v>12</v>
      </c>
    </row>
    <row r="1531" ht="18.6" customHeight="1" spans="1:6">
      <c r="A1531" s="23">
        <v>1530</v>
      </c>
      <c r="B1531" s="22" t="s">
        <v>1853</v>
      </c>
      <c r="C1531" s="22" t="s">
        <v>220</v>
      </c>
      <c r="D1531" s="22" t="s">
        <v>269</v>
      </c>
      <c r="E1531" s="22" t="s">
        <v>1700</v>
      </c>
      <c r="F1531" s="22" t="s">
        <v>12</v>
      </c>
    </row>
    <row r="1532" ht="18.6" customHeight="1" spans="1:6">
      <c r="A1532" s="22">
        <v>1531</v>
      </c>
      <c r="B1532" s="23" t="s">
        <v>1854</v>
      </c>
      <c r="C1532" s="23" t="s">
        <v>220</v>
      </c>
      <c r="D1532" s="23" t="s">
        <v>1855</v>
      </c>
      <c r="E1532" s="23" t="s">
        <v>1700</v>
      </c>
      <c r="F1532" s="23" t="s">
        <v>12</v>
      </c>
    </row>
    <row r="1533" ht="18.6" customHeight="1" spans="1:6">
      <c r="A1533" s="23">
        <v>1532</v>
      </c>
      <c r="B1533" s="22" t="s">
        <v>1856</v>
      </c>
      <c r="C1533" s="22" t="s">
        <v>220</v>
      </c>
      <c r="D1533" s="22" t="s">
        <v>223</v>
      </c>
      <c r="E1533" s="22" t="s">
        <v>1700</v>
      </c>
      <c r="F1533" s="22" t="s">
        <v>12</v>
      </c>
    </row>
    <row r="1534" ht="18.6" customHeight="1" spans="1:6">
      <c r="A1534" s="22">
        <v>1533</v>
      </c>
      <c r="B1534" s="23" t="s">
        <v>1857</v>
      </c>
      <c r="C1534" s="23" t="s">
        <v>220</v>
      </c>
      <c r="D1534" s="23" t="s">
        <v>269</v>
      </c>
      <c r="E1534" s="23" t="s">
        <v>1700</v>
      </c>
      <c r="F1534" s="23" t="s">
        <v>12</v>
      </c>
    </row>
    <row r="1535" ht="18.6" customHeight="1" spans="1:6">
      <c r="A1535" s="23">
        <v>1534</v>
      </c>
      <c r="B1535" s="22" t="s">
        <v>1858</v>
      </c>
      <c r="C1535" s="22" t="s">
        <v>220</v>
      </c>
      <c r="D1535" s="22" t="s">
        <v>233</v>
      </c>
      <c r="E1535" s="22" t="s">
        <v>1700</v>
      </c>
      <c r="F1535" s="22" t="s">
        <v>12</v>
      </c>
    </row>
    <row r="1536" ht="18.6" customHeight="1" spans="1:6">
      <c r="A1536" s="22">
        <v>1535</v>
      </c>
      <c r="B1536" s="23" t="s">
        <v>1859</v>
      </c>
      <c r="C1536" s="23" t="s">
        <v>220</v>
      </c>
      <c r="D1536" s="23" t="s">
        <v>1303</v>
      </c>
      <c r="E1536" s="23" t="s">
        <v>1700</v>
      </c>
      <c r="F1536" s="23" t="s">
        <v>12</v>
      </c>
    </row>
    <row r="1537" ht="18.6" customHeight="1" spans="1:6">
      <c r="A1537" s="23">
        <v>1536</v>
      </c>
      <c r="B1537" s="22" t="s">
        <v>1860</v>
      </c>
      <c r="C1537" s="22" t="s">
        <v>220</v>
      </c>
      <c r="D1537" s="22" t="s">
        <v>231</v>
      </c>
      <c r="E1537" s="22" t="s">
        <v>1700</v>
      </c>
      <c r="F1537" s="22" t="s">
        <v>12</v>
      </c>
    </row>
    <row r="1538" ht="18.6" customHeight="1" spans="1:6">
      <c r="A1538" s="22">
        <v>1537</v>
      </c>
      <c r="B1538" s="23" t="s">
        <v>1861</v>
      </c>
      <c r="C1538" s="23" t="s">
        <v>220</v>
      </c>
      <c r="D1538" s="23" t="s">
        <v>221</v>
      </c>
      <c r="E1538" s="23" t="s">
        <v>1700</v>
      </c>
      <c r="F1538" s="23" t="s">
        <v>12</v>
      </c>
    </row>
    <row r="1539" ht="18.6" customHeight="1" spans="1:6">
      <c r="A1539" s="23">
        <v>1538</v>
      </c>
      <c r="B1539" s="22" t="s">
        <v>1862</v>
      </c>
      <c r="C1539" s="22" t="s">
        <v>220</v>
      </c>
      <c r="D1539" s="22" t="s">
        <v>223</v>
      </c>
      <c r="E1539" s="22" t="s">
        <v>1700</v>
      </c>
      <c r="F1539" s="22" t="s">
        <v>12</v>
      </c>
    </row>
    <row r="1540" ht="18.6" customHeight="1" spans="1:6">
      <c r="A1540" s="22">
        <v>1539</v>
      </c>
      <c r="B1540" s="23" t="s">
        <v>1863</v>
      </c>
      <c r="C1540" s="23" t="s">
        <v>220</v>
      </c>
      <c r="D1540" s="23" t="s">
        <v>1864</v>
      </c>
      <c r="E1540" s="23" t="s">
        <v>1700</v>
      </c>
      <c r="F1540" s="23" t="s">
        <v>12</v>
      </c>
    </row>
    <row r="1541" ht="18.6" customHeight="1" spans="1:6">
      <c r="A1541" s="23">
        <v>1540</v>
      </c>
      <c r="B1541" s="22" t="s">
        <v>1865</v>
      </c>
      <c r="C1541" s="22" t="s">
        <v>220</v>
      </c>
      <c r="D1541" s="22" t="s">
        <v>221</v>
      </c>
      <c r="E1541" s="22" t="s">
        <v>1700</v>
      </c>
      <c r="F1541" s="22" t="s">
        <v>12</v>
      </c>
    </row>
    <row r="1542" ht="18.6" customHeight="1" spans="1:6">
      <c r="A1542" s="22">
        <v>1541</v>
      </c>
      <c r="B1542" s="23" t="s">
        <v>1866</v>
      </c>
      <c r="C1542" s="23" t="s">
        <v>220</v>
      </c>
      <c r="D1542" s="23" t="s">
        <v>221</v>
      </c>
      <c r="E1542" s="23" t="s">
        <v>1700</v>
      </c>
      <c r="F1542" s="23" t="s">
        <v>12</v>
      </c>
    </row>
    <row r="1543" ht="18.6" customHeight="1" spans="1:6">
      <c r="A1543" s="23">
        <v>1542</v>
      </c>
      <c r="B1543" s="22" t="s">
        <v>1867</v>
      </c>
      <c r="C1543" s="22" t="s">
        <v>220</v>
      </c>
      <c r="D1543" s="22" t="s">
        <v>1855</v>
      </c>
      <c r="E1543" s="22" t="s">
        <v>1700</v>
      </c>
      <c r="F1543" s="22" t="s">
        <v>12</v>
      </c>
    </row>
    <row r="1544" ht="18.6" customHeight="1" spans="1:6">
      <c r="A1544" s="22">
        <v>1543</v>
      </c>
      <c r="B1544" s="23" t="s">
        <v>1868</v>
      </c>
      <c r="C1544" s="23" t="s">
        <v>220</v>
      </c>
      <c r="D1544" s="23" t="s">
        <v>221</v>
      </c>
      <c r="E1544" s="23" t="s">
        <v>1700</v>
      </c>
      <c r="F1544" s="23" t="s">
        <v>12</v>
      </c>
    </row>
    <row r="1545" ht="18.6" customHeight="1" spans="1:6">
      <c r="A1545" s="23">
        <v>1544</v>
      </c>
      <c r="B1545" s="22" t="s">
        <v>1869</v>
      </c>
      <c r="C1545" s="22" t="s">
        <v>220</v>
      </c>
      <c r="D1545" s="22" t="s">
        <v>221</v>
      </c>
      <c r="E1545" s="22" t="s">
        <v>1700</v>
      </c>
      <c r="F1545" s="22" t="s">
        <v>12</v>
      </c>
    </row>
    <row r="1546" ht="18.6" customHeight="1" spans="1:6">
      <c r="A1546" s="22">
        <v>1545</v>
      </c>
      <c r="B1546" s="23" t="s">
        <v>1870</v>
      </c>
      <c r="C1546" s="23" t="s">
        <v>220</v>
      </c>
      <c r="D1546" s="23" t="s">
        <v>221</v>
      </c>
      <c r="E1546" s="23" t="s">
        <v>1700</v>
      </c>
      <c r="F1546" s="23" t="s">
        <v>12</v>
      </c>
    </row>
    <row r="1547" ht="18.6" customHeight="1" spans="1:6">
      <c r="A1547" s="23">
        <v>1546</v>
      </c>
      <c r="B1547" s="22" t="s">
        <v>1871</v>
      </c>
      <c r="C1547" s="22" t="s">
        <v>220</v>
      </c>
      <c r="D1547" s="22" t="s">
        <v>221</v>
      </c>
      <c r="E1547" s="22" t="s">
        <v>1700</v>
      </c>
      <c r="F1547" s="22" t="s">
        <v>12</v>
      </c>
    </row>
    <row r="1548" ht="18.6" customHeight="1" spans="1:6">
      <c r="A1548" s="22">
        <v>1547</v>
      </c>
      <c r="B1548" s="23" t="s">
        <v>1872</v>
      </c>
      <c r="C1548" s="23" t="s">
        <v>220</v>
      </c>
      <c r="D1548" s="23" t="s">
        <v>266</v>
      </c>
      <c r="E1548" s="23" t="s">
        <v>1700</v>
      </c>
      <c r="F1548" s="23" t="s">
        <v>12</v>
      </c>
    </row>
    <row r="1549" ht="18.6" customHeight="1" spans="1:6">
      <c r="A1549" s="23">
        <v>1548</v>
      </c>
      <c r="B1549" s="22" t="s">
        <v>1873</v>
      </c>
      <c r="C1549" s="22" t="s">
        <v>220</v>
      </c>
      <c r="D1549" s="22" t="s">
        <v>221</v>
      </c>
      <c r="E1549" s="22" t="s">
        <v>1700</v>
      </c>
      <c r="F1549" s="22" t="s">
        <v>12</v>
      </c>
    </row>
    <row r="1550" ht="18.6" customHeight="1" spans="1:6">
      <c r="A1550" s="22">
        <v>1549</v>
      </c>
      <c r="B1550" s="23" t="s">
        <v>1874</v>
      </c>
      <c r="C1550" s="23" t="s">
        <v>220</v>
      </c>
      <c r="D1550" s="23" t="s">
        <v>240</v>
      </c>
      <c r="E1550" s="23" t="s">
        <v>1700</v>
      </c>
      <c r="F1550" s="23" t="s">
        <v>12</v>
      </c>
    </row>
    <row r="1551" ht="18.6" customHeight="1" spans="1:6">
      <c r="A1551" s="23">
        <v>1550</v>
      </c>
      <c r="B1551" s="22" t="s">
        <v>1875</v>
      </c>
      <c r="C1551" s="22" t="s">
        <v>220</v>
      </c>
      <c r="D1551" s="22" t="s">
        <v>1321</v>
      </c>
      <c r="E1551" s="22" t="s">
        <v>1700</v>
      </c>
      <c r="F1551" s="22" t="s">
        <v>12</v>
      </c>
    </row>
    <row r="1552" ht="18.6" customHeight="1" spans="1:6">
      <c r="A1552" s="22">
        <v>1551</v>
      </c>
      <c r="B1552" s="23" t="s">
        <v>1876</v>
      </c>
      <c r="C1552" s="23" t="s">
        <v>220</v>
      </c>
      <c r="D1552" s="23" t="s">
        <v>221</v>
      </c>
      <c r="E1552" s="23" t="s">
        <v>1700</v>
      </c>
      <c r="F1552" s="23" t="s">
        <v>12</v>
      </c>
    </row>
    <row r="1553" ht="18.6" customHeight="1" spans="1:6">
      <c r="A1553" s="23">
        <v>1552</v>
      </c>
      <c r="B1553" s="22" t="s">
        <v>1877</v>
      </c>
      <c r="C1553" s="22" t="s">
        <v>220</v>
      </c>
      <c r="D1553" s="22" t="s">
        <v>221</v>
      </c>
      <c r="E1553" s="22" t="s">
        <v>1700</v>
      </c>
      <c r="F1553" s="22" t="s">
        <v>12</v>
      </c>
    </row>
    <row r="1554" ht="18.6" customHeight="1" spans="1:6">
      <c r="A1554" s="22">
        <v>1553</v>
      </c>
      <c r="B1554" s="23" t="s">
        <v>1878</v>
      </c>
      <c r="C1554" s="23" t="s">
        <v>220</v>
      </c>
      <c r="D1554" s="23" t="s">
        <v>1864</v>
      </c>
      <c r="E1554" s="23" t="s">
        <v>1700</v>
      </c>
      <c r="F1554" s="23" t="s">
        <v>12</v>
      </c>
    </row>
    <row r="1555" ht="18.6" customHeight="1" spans="1:6">
      <c r="A1555" s="23">
        <v>1554</v>
      </c>
      <c r="B1555" s="22" t="s">
        <v>1879</v>
      </c>
      <c r="C1555" s="22" t="s">
        <v>220</v>
      </c>
      <c r="D1555" s="22" t="s">
        <v>266</v>
      </c>
      <c r="E1555" s="22" t="s">
        <v>1700</v>
      </c>
      <c r="F1555" s="22" t="s">
        <v>12</v>
      </c>
    </row>
    <row r="1556" ht="18.6" customHeight="1" spans="1:6">
      <c r="A1556" s="22">
        <v>1555</v>
      </c>
      <c r="B1556" s="23" t="s">
        <v>1880</v>
      </c>
      <c r="C1556" s="23" t="s">
        <v>220</v>
      </c>
      <c r="D1556" s="23" t="s">
        <v>240</v>
      </c>
      <c r="E1556" s="23" t="s">
        <v>1700</v>
      </c>
      <c r="F1556" s="23" t="s">
        <v>12</v>
      </c>
    </row>
    <row r="1557" ht="18.6" customHeight="1" spans="1:6">
      <c r="A1557" s="23">
        <v>1556</v>
      </c>
      <c r="B1557" s="22" t="s">
        <v>1881</v>
      </c>
      <c r="C1557" s="22" t="s">
        <v>220</v>
      </c>
      <c r="D1557" s="22" t="s">
        <v>1303</v>
      </c>
      <c r="E1557" s="22" t="s">
        <v>1700</v>
      </c>
      <c r="F1557" s="22" t="s">
        <v>12</v>
      </c>
    </row>
    <row r="1558" ht="18.6" customHeight="1" spans="1:6">
      <c r="A1558" s="22">
        <v>1557</v>
      </c>
      <c r="B1558" s="23" t="s">
        <v>1882</v>
      </c>
      <c r="C1558" s="23" t="s">
        <v>220</v>
      </c>
      <c r="D1558" s="23" t="s">
        <v>221</v>
      </c>
      <c r="E1558" s="23" t="s">
        <v>1700</v>
      </c>
      <c r="F1558" s="23" t="s">
        <v>12</v>
      </c>
    </row>
    <row r="1559" ht="18.6" customHeight="1" spans="1:6">
      <c r="A1559" s="23">
        <v>1558</v>
      </c>
      <c r="B1559" s="22" t="s">
        <v>1883</v>
      </c>
      <c r="C1559" s="22" t="s">
        <v>220</v>
      </c>
      <c r="D1559" s="22" t="s">
        <v>262</v>
      </c>
      <c r="E1559" s="22" t="s">
        <v>1700</v>
      </c>
      <c r="F1559" s="22" t="s">
        <v>12</v>
      </c>
    </row>
    <row r="1560" ht="18.6" customHeight="1" spans="1:6">
      <c r="A1560" s="22">
        <v>1559</v>
      </c>
      <c r="B1560" s="23" t="s">
        <v>1884</v>
      </c>
      <c r="C1560" s="23" t="s">
        <v>220</v>
      </c>
      <c r="D1560" s="23" t="s">
        <v>1855</v>
      </c>
      <c r="E1560" s="23" t="s">
        <v>1700</v>
      </c>
      <c r="F1560" s="23" t="s">
        <v>12</v>
      </c>
    </row>
    <row r="1561" ht="18.6" customHeight="1" spans="1:6">
      <c r="A1561" s="23">
        <v>1560</v>
      </c>
      <c r="B1561" s="22" t="s">
        <v>1885</v>
      </c>
      <c r="C1561" s="22" t="s">
        <v>220</v>
      </c>
      <c r="D1561" s="22" t="s">
        <v>221</v>
      </c>
      <c r="E1561" s="22" t="s">
        <v>1700</v>
      </c>
      <c r="F1561" s="22" t="s">
        <v>12</v>
      </c>
    </row>
    <row r="1562" ht="18.6" customHeight="1" spans="1:6">
      <c r="A1562" s="22">
        <v>1561</v>
      </c>
      <c r="B1562" s="23" t="s">
        <v>1886</v>
      </c>
      <c r="C1562" s="23" t="s">
        <v>220</v>
      </c>
      <c r="D1562" s="23" t="s">
        <v>221</v>
      </c>
      <c r="E1562" s="23" t="s">
        <v>1700</v>
      </c>
      <c r="F1562" s="23" t="s">
        <v>12</v>
      </c>
    </row>
    <row r="1563" ht="18.6" customHeight="1" spans="1:6">
      <c r="A1563" s="23">
        <v>1562</v>
      </c>
      <c r="B1563" s="22" t="s">
        <v>1887</v>
      </c>
      <c r="C1563" s="22" t="s">
        <v>220</v>
      </c>
      <c r="D1563" s="22" t="s">
        <v>1855</v>
      </c>
      <c r="E1563" s="22" t="s">
        <v>1700</v>
      </c>
      <c r="F1563" s="22" t="s">
        <v>12</v>
      </c>
    </row>
    <row r="1564" ht="18.6" customHeight="1" spans="1:6">
      <c r="A1564" s="22">
        <v>1563</v>
      </c>
      <c r="B1564" s="23" t="s">
        <v>1888</v>
      </c>
      <c r="C1564" s="23" t="s">
        <v>220</v>
      </c>
      <c r="D1564" s="23" t="s">
        <v>221</v>
      </c>
      <c r="E1564" s="23" t="s">
        <v>1700</v>
      </c>
      <c r="F1564" s="23" t="s">
        <v>12</v>
      </c>
    </row>
    <row r="1565" ht="18.6" customHeight="1" spans="1:6">
      <c r="A1565" s="23">
        <v>1564</v>
      </c>
      <c r="B1565" s="22" t="s">
        <v>1889</v>
      </c>
      <c r="C1565" s="22" t="s">
        <v>220</v>
      </c>
      <c r="D1565" s="22" t="s">
        <v>221</v>
      </c>
      <c r="E1565" s="22" t="s">
        <v>1700</v>
      </c>
      <c r="F1565" s="22" t="s">
        <v>12</v>
      </c>
    </row>
    <row r="1566" ht="18.6" customHeight="1" spans="1:6">
      <c r="A1566" s="22">
        <v>1565</v>
      </c>
      <c r="B1566" s="23" t="s">
        <v>1890</v>
      </c>
      <c r="C1566" s="23" t="s">
        <v>220</v>
      </c>
      <c r="D1566" s="23" t="s">
        <v>223</v>
      </c>
      <c r="E1566" s="23" t="s">
        <v>1700</v>
      </c>
      <c r="F1566" s="23" t="s">
        <v>12</v>
      </c>
    </row>
    <row r="1567" ht="18.6" customHeight="1" spans="1:6">
      <c r="A1567" s="23">
        <v>1566</v>
      </c>
      <c r="B1567" s="22" t="s">
        <v>1891</v>
      </c>
      <c r="C1567" s="22" t="s">
        <v>220</v>
      </c>
      <c r="D1567" s="22" t="s">
        <v>221</v>
      </c>
      <c r="E1567" s="22" t="s">
        <v>1700</v>
      </c>
      <c r="F1567" s="22" t="s">
        <v>12</v>
      </c>
    </row>
    <row r="1568" ht="18.6" customHeight="1" spans="1:6">
      <c r="A1568" s="22">
        <v>1567</v>
      </c>
      <c r="B1568" s="23" t="s">
        <v>1892</v>
      </c>
      <c r="C1568" s="23" t="s">
        <v>220</v>
      </c>
      <c r="D1568" s="23" t="s">
        <v>221</v>
      </c>
      <c r="E1568" s="23" t="s">
        <v>1700</v>
      </c>
      <c r="F1568" s="23" t="s">
        <v>12</v>
      </c>
    </row>
    <row r="1569" ht="18.6" customHeight="1" spans="1:6">
      <c r="A1569" s="23">
        <v>1568</v>
      </c>
      <c r="B1569" s="22" t="s">
        <v>1893</v>
      </c>
      <c r="C1569" s="22" t="s">
        <v>220</v>
      </c>
      <c r="D1569" s="22" t="s">
        <v>229</v>
      </c>
      <c r="E1569" s="22" t="s">
        <v>1700</v>
      </c>
      <c r="F1569" s="22" t="s">
        <v>12</v>
      </c>
    </row>
    <row r="1570" ht="18.6" customHeight="1" spans="1:6">
      <c r="A1570" s="22">
        <v>1569</v>
      </c>
      <c r="B1570" s="23" t="s">
        <v>1894</v>
      </c>
      <c r="C1570" s="23" t="s">
        <v>273</v>
      </c>
      <c r="D1570" s="23" t="s">
        <v>274</v>
      </c>
      <c r="E1570" s="23" t="s">
        <v>1700</v>
      </c>
      <c r="F1570" s="23" t="s">
        <v>12</v>
      </c>
    </row>
    <row r="1571" ht="18.6" customHeight="1" spans="1:6">
      <c r="A1571" s="23">
        <v>1570</v>
      </c>
      <c r="B1571" s="22" t="s">
        <v>1895</v>
      </c>
      <c r="C1571" s="22" t="s">
        <v>273</v>
      </c>
      <c r="D1571" s="22" t="s">
        <v>1896</v>
      </c>
      <c r="E1571" s="22" t="s">
        <v>1700</v>
      </c>
      <c r="F1571" s="22" t="s">
        <v>12</v>
      </c>
    </row>
    <row r="1572" ht="18.6" customHeight="1" spans="1:6">
      <c r="A1572" s="22">
        <v>1571</v>
      </c>
      <c r="B1572" s="23" t="s">
        <v>1897</v>
      </c>
      <c r="C1572" s="23" t="s">
        <v>273</v>
      </c>
      <c r="D1572" s="23" t="s">
        <v>290</v>
      </c>
      <c r="E1572" s="23" t="s">
        <v>1700</v>
      </c>
      <c r="F1572" s="23" t="s">
        <v>12</v>
      </c>
    </row>
    <row r="1573" ht="18.6" customHeight="1" spans="1:6">
      <c r="A1573" s="23">
        <v>1572</v>
      </c>
      <c r="B1573" s="22" t="s">
        <v>1898</v>
      </c>
      <c r="C1573" s="22" t="s">
        <v>273</v>
      </c>
      <c r="D1573" s="22" t="s">
        <v>274</v>
      </c>
      <c r="E1573" s="22" t="s">
        <v>1700</v>
      </c>
      <c r="F1573" s="22" t="s">
        <v>12</v>
      </c>
    </row>
    <row r="1574" ht="18.6" customHeight="1" spans="1:6">
      <c r="A1574" s="22">
        <v>1573</v>
      </c>
      <c r="B1574" s="23" t="s">
        <v>1899</v>
      </c>
      <c r="C1574" s="23" t="s">
        <v>273</v>
      </c>
      <c r="D1574" s="23" t="s">
        <v>274</v>
      </c>
      <c r="E1574" s="23" t="s">
        <v>1700</v>
      </c>
      <c r="F1574" s="23" t="s">
        <v>12</v>
      </c>
    </row>
    <row r="1575" ht="18.6" customHeight="1" spans="1:6">
      <c r="A1575" s="23">
        <v>1574</v>
      </c>
      <c r="B1575" s="22" t="s">
        <v>1900</v>
      </c>
      <c r="C1575" s="22" t="s">
        <v>273</v>
      </c>
      <c r="D1575" s="22" t="s">
        <v>274</v>
      </c>
      <c r="E1575" s="22" t="s">
        <v>1700</v>
      </c>
      <c r="F1575" s="22" t="s">
        <v>12</v>
      </c>
    </row>
    <row r="1576" ht="18.6" customHeight="1" spans="1:6">
      <c r="A1576" s="22">
        <v>1575</v>
      </c>
      <c r="B1576" s="23" t="s">
        <v>1901</v>
      </c>
      <c r="C1576" s="23" t="s">
        <v>273</v>
      </c>
      <c r="D1576" s="23" t="s">
        <v>274</v>
      </c>
      <c r="E1576" s="23" t="s">
        <v>1700</v>
      </c>
      <c r="F1576" s="23" t="s">
        <v>12</v>
      </c>
    </row>
    <row r="1577" ht="18.6" customHeight="1" spans="1:6">
      <c r="A1577" s="23">
        <v>1576</v>
      </c>
      <c r="B1577" s="22" t="s">
        <v>1902</v>
      </c>
      <c r="C1577" s="22" t="s">
        <v>273</v>
      </c>
      <c r="D1577" s="22" t="s">
        <v>279</v>
      </c>
      <c r="E1577" s="22" t="s">
        <v>1700</v>
      </c>
      <c r="F1577" s="22" t="s">
        <v>12</v>
      </c>
    </row>
    <row r="1578" ht="18.6" customHeight="1" spans="1:6">
      <c r="A1578" s="22">
        <v>1577</v>
      </c>
      <c r="B1578" s="23" t="s">
        <v>1903</v>
      </c>
      <c r="C1578" s="23" t="s">
        <v>273</v>
      </c>
      <c r="D1578" s="23" t="s">
        <v>279</v>
      </c>
      <c r="E1578" s="23" t="s">
        <v>1700</v>
      </c>
      <c r="F1578" s="23" t="s">
        <v>12</v>
      </c>
    </row>
    <row r="1579" ht="18.6" customHeight="1" spans="1:6">
      <c r="A1579" s="23">
        <v>1578</v>
      </c>
      <c r="B1579" s="22" t="s">
        <v>1904</v>
      </c>
      <c r="C1579" s="22" t="s">
        <v>273</v>
      </c>
      <c r="D1579" s="22" t="s">
        <v>290</v>
      </c>
      <c r="E1579" s="22" t="s">
        <v>1700</v>
      </c>
      <c r="F1579" s="22" t="s">
        <v>12</v>
      </c>
    </row>
    <row r="1580" ht="18.6" customHeight="1" spans="1:6">
      <c r="A1580" s="22">
        <v>1579</v>
      </c>
      <c r="B1580" s="23" t="s">
        <v>1905</v>
      </c>
      <c r="C1580" s="23" t="s">
        <v>273</v>
      </c>
      <c r="D1580" s="23" t="s">
        <v>294</v>
      </c>
      <c r="E1580" s="23" t="s">
        <v>1700</v>
      </c>
      <c r="F1580" s="23" t="s">
        <v>12</v>
      </c>
    </row>
    <row r="1581" ht="18.6" customHeight="1" spans="1:6">
      <c r="A1581" s="23">
        <v>1580</v>
      </c>
      <c r="B1581" s="22" t="s">
        <v>1906</v>
      </c>
      <c r="C1581" s="22" t="s">
        <v>273</v>
      </c>
      <c r="D1581" s="22" t="s">
        <v>1907</v>
      </c>
      <c r="E1581" s="22" t="s">
        <v>1700</v>
      </c>
      <c r="F1581" s="22" t="s">
        <v>12</v>
      </c>
    </row>
    <row r="1582" ht="18.6" customHeight="1" spans="1:6">
      <c r="A1582" s="22">
        <v>1581</v>
      </c>
      <c r="B1582" s="23" t="s">
        <v>1908</v>
      </c>
      <c r="C1582" s="23" t="s">
        <v>273</v>
      </c>
      <c r="D1582" s="23" t="s">
        <v>294</v>
      </c>
      <c r="E1582" s="23" t="s">
        <v>1700</v>
      </c>
      <c r="F1582" s="23" t="s">
        <v>12</v>
      </c>
    </row>
    <row r="1583" ht="18.6" customHeight="1" spans="1:6">
      <c r="A1583" s="23">
        <v>1582</v>
      </c>
      <c r="B1583" s="22" t="s">
        <v>1909</v>
      </c>
      <c r="C1583" s="22" t="s">
        <v>273</v>
      </c>
      <c r="D1583" s="22" t="s">
        <v>1910</v>
      </c>
      <c r="E1583" s="22" t="s">
        <v>1700</v>
      </c>
      <c r="F1583" s="22" t="s">
        <v>12</v>
      </c>
    </row>
    <row r="1584" ht="18.6" customHeight="1" spans="1:6">
      <c r="A1584" s="22">
        <v>1583</v>
      </c>
      <c r="B1584" s="23" t="s">
        <v>1911</v>
      </c>
      <c r="C1584" s="23" t="s">
        <v>273</v>
      </c>
      <c r="D1584" s="23" t="s">
        <v>276</v>
      </c>
      <c r="E1584" s="23" t="s">
        <v>1700</v>
      </c>
      <c r="F1584" s="23" t="s">
        <v>12</v>
      </c>
    </row>
    <row r="1585" ht="18.6" customHeight="1" spans="1:6">
      <c r="A1585" s="23">
        <v>1584</v>
      </c>
      <c r="B1585" s="22" t="s">
        <v>1912</v>
      </c>
      <c r="C1585" s="22" t="s">
        <v>273</v>
      </c>
      <c r="D1585" s="22" t="s">
        <v>274</v>
      </c>
      <c r="E1585" s="22" t="s">
        <v>1700</v>
      </c>
      <c r="F1585" s="22" t="s">
        <v>12</v>
      </c>
    </row>
    <row r="1586" ht="18.6" customHeight="1" spans="1:6">
      <c r="A1586" s="22">
        <v>1585</v>
      </c>
      <c r="B1586" s="23" t="s">
        <v>1913</v>
      </c>
      <c r="C1586" s="23" t="s">
        <v>273</v>
      </c>
      <c r="D1586" s="23" t="s">
        <v>279</v>
      </c>
      <c r="E1586" s="23" t="s">
        <v>1700</v>
      </c>
      <c r="F1586" s="23" t="s">
        <v>12</v>
      </c>
    </row>
    <row r="1587" ht="18.6" customHeight="1" spans="1:6">
      <c r="A1587" s="23">
        <v>1586</v>
      </c>
      <c r="B1587" s="22" t="s">
        <v>1914</v>
      </c>
      <c r="C1587" s="22" t="s">
        <v>273</v>
      </c>
      <c r="D1587" s="22" t="s">
        <v>288</v>
      </c>
      <c r="E1587" s="22" t="s">
        <v>1700</v>
      </c>
      <c r="F1587" s="22" t="s">
        <v>12</v>
      </c>
    </row>
    <row r="1588" ht="18.6" customHeight="1" spans="1:6">
      <c r="A1588" s="22">
        <v>1587</v>
      </c>
      <c r="B1588" s="23" t="s">
        <v>1915</v>
      </c>
      <c r="C1588" s="23" t="s">
        <v>308</v>
      </c>
      <c r="D1588" s="23" t="s">
        <v>327</v>
      </c>
      <c r="E1588" s="23" t="s">
        <v>1700</v>
      </c>
      <c r="F1588" s="23" t="s">
        <v>12</v>
      </c>
    </row>
    <row r="1589" ht="18.6" customHeight="1" spans="1:6">
      <c r="A1589" s="23">
        <v>1588</v>
      </c>
      <c r="B1589" s="22" t="s">
        <v>1916</v>
      </c>
      <c r="C1589" s="22" t="s">
        <v>308</v>
      </c>
      <c r="D1589" s="22" t="s">
        <v>1917</v>
      </c>
      <c r="E1589" s="22" t="s">
        <v>1700</v>
      </c>
      <c r="F1589" s="22" t="s">
        <v>12</v>
      </c>
    </row>
    <row r="1590" ht="18.6" customHeight="1" spans="1:6">
      <c r="A1590" s="22">
        <v>1589</v>
      </c>
      <c r="B1590" s="23" t="s">
        <v>1918</v>
      </c>
      <c r="C1590" s="23" t="s">
        <v>308</v>
      </c>
      <c r="D1590" s="23" t="s">
        <v>324</v>
      </c>
      <c r="E1590" s="23" t="s">
        <v>1700</v>
      </c>
      <c r="F1590" s="23" t="s">
        <v>12</v>
      </c>
    </row>
    <row r="1591" ht="18.6" customHeight="1" spans="1:6">
      <c r="A1591" s="23">
        <v>1590</v>
      </c>
      <c r="B1591" s="22" t="s">
        <v>1919</v>
      </c>
      <c r="C1591" s="22" t="s">
        <v>308</v>
      </c>
      <c r="D1591" s="22" t="s">
        <v>309</v>
      </c>
      <c r="E1591" s="22" t="s">
        <v>1700</v>
      </c>
      <c r="F1591" s="22" t="s">
        <v>12</v>
      </c>
    </row>
    <row r="1592" ht="18.6" customHeight="1" spans="1:6">
      <c r="A1592" s="22">
        <v>1591</v>
      </c>
      <c r="B1592" s="23" t="s">
        <v>1920</v>
      </c>
      <c r="C1592" s="23" t="s">
        <v>308</v>
      </c>
      <c r="D1592" s="23" t="s">
        <v>309</v>
      </c>
      <c r="E1592" s="23" t="s">
        <v>1700</v>
      </c>
      <c r="F1592" s="23" t="s">
        <v>12</v>
      </c>
    </row>
    <row r="1593" ht="18.6" customHeight="1" spans="1:6">
      <c r="A1593" s="23">
        <v>1592</v>
      </c>
      <c r="B1593" s="22" t="s">
        <v>1921</v>
      </c>
      <c r="C1593" s="22" t="s">
        <v>308</v>
      </c>
      <c r="D1593" s="22" t="s">
        <v>315</v>
      </c>
      <c r="E1593" s="22" t="s">
        <v>1700</v>
      </c>
      <c r="F1593" s="22" t="s">
        <v>12</v>
      </c>
    </row>
    <row r="1594" ht="18.6" customHeight="1" spans="1:6">
      <c r="A1594" s="22">
        <v>1593</v>
      </c>
      <c r="B1594" s="23" t="s">
        <v>1922</v>
      </c>
      <c r="C1594" s="23" t="s">
        <v>308</v>
      </c>
      <c r="D1594" s="23" t="s">
        <v>324</v>
      </c>
      <c r="E1594" s="23" t="s">
        <v>1700</v>
      </c>
      <c r="F1594" s="23" t="s">
        <v>12</v>
      </c>
    </row>
    <row r="1595" ht="18.6" customHeight="1" spans="1:6">
      <c r="A1595" s="23">
        <v>1594</v>
      </c>
      <c r="B1595" s="22" t="s">
        <v>1923</v>
      </c>
      <c r="C1595" s="22" t="s">
        <v>308</v>
      </c>
      <c r="D1595" s="22" t="s">
        <v>317</v>
      </c>
      <c r="E1595" s="22" t="s">
        <v>1700</v>
      </c>
      <c r="F1595" s="22" t="s">
        <v>12</v>
      </c>
    </row>
    <row r="1596" ht="18.6" customHeight="1" spans="1:6">
      <c r="A1596" s="22">
        <v>1595</v>
      </c>
      <c r="B1596" s="23" t="s">
        <v>1924</v>
      </c>
      <c r="C1596" s="23" t="s">
        <v>308</v>
      </c>
      <c r="D1596" s="23" t="s">
        <v>309</v>
      </c>
      <c r="E1596" s="23" t="s">
        <v>1700</v>
      </c>
      <c r="F1596" s="23" t="s">
        <v>12</v>
      </c>
    </row>
    <row r="1597" ht="18.6" customHeight="1" spans="1:6">
      <c r="A1597" s="23">
        <v>1596</v>
      </c>
      <c r="B1597" s="22" t="s">
        <v>1925</v>
      </c>
      <c r="C1597" s="22" t="s">
        <v>308</v>
      </c>
      <c r="D1597" s="22" t="s">
        <v>309</v>
      </c>
      <c r="E1597" s="22" t="s">
        <v>1700</v>
      </c>
      <c r="F1597" s="22" t="s">
        <v>12</v>
      </c>
    </row>
    <row r="1598" ht="18.6" customHeight="1" spans="1:6">
      <c r="A1598" s="22">
        <v>1597</v>
      </c>
      <c r="B1598" s="23" t="s">
        <v>1926</v>
      </c>
      <c r="C1598" s="23" t="s">
        <v>308</v>
      </c>
      <c r="D1598" s="23" t="s">
        <v>1927</v>
      </c>
      <c r="E1598" s="23" t="s">
        <v>1700</v>
      </c>
      <c r="F1598" s="23" t="s">
        <v>12</v>
      </c>
    </row>
    <row r="1599" ht="18.6" customHeight="1" spans="1:6">
      <c r="A1599" s="23">
        <v>1598</v>
      </c>
      <c r="B1599" s="22" t="s">
        <v>1928</v>
      </c>
      <c r="C1599" s="22" t="s">
        <v>308</v>
      </c>
      <c r="D1599" s="22" t="s">
        <v>309</v>
      </c>
      <c r="E1599" s="22" t="s">
        <v>1700</v>
      </c>
      <c r="F1599" s="22" t="s">
        <v>12</v>
      </c>
    </row>
    <row r="1600" ht="18.6" customHeight="1" spans="1:6">
      <c r="A1600" s="22">
        <v>1599</v>
      </c>
      <c r="B1600" s="23" t="s">
        <v>1929</v>
      </c>
      <c r="C1600" s="23" t="s">
        <v>308</v>
      </c>
      <c r="D1600" s="23" t="s">
        <v>309</v>
      </c>
      <c r="E1600" s="23" t="s">
        <v>1700</v>
      </c>
      <c r="F1600" s="23" t="s">
        <v>12</v>
      </c>
    </row>
    <row r="1601" ht="18.6" customHeight="1" spans="1:6">
      <c r="A1601" s="23">
        <v>1600</v>
      </c>
      <c r="B1601" s="22" t="s">
        <v>1930</v>
      </c>
      <c r="C1601" s="22" t="s">
        <v>308</v>
      </c>
      <c r="D1601" s="22" t="s">
        <v>1931</v>
      </c>
      <c r="E1601" s="22" t="s">
        <v>1700</v>
      </c>
      <c r="F1601" s="22" t="s">
        <v>12</v>
      </c>
    </row>
    <row r="1602" ht="18.6" customHeight="1" spans="1:6">
      <c r="A1602" s="22">
        <v>1601</v>
      </c>
      <c r="B1602" s="23" t="s">
        <v>1932</v>
      </c>
      <c r="C1602" s="23" t="s">
        <v>308</v>
      </c>
      <c r="D1602" s="23" t="s">
        <v>324</v>
      </c>
      <c r="E1602" s="23" t="s">
        <v>1700</v>
      </c>
      <c r="F1602" s="23" t="s">
        <v>12</v>
      </c>
    </row>
    <row r="1603" ht="18.6" customHeight="1" spans="1:6">
      <c r="A1603" s="23">
        <v>1602</v>
      </c>
      <c r="B1603" s="22" t="s">
        <v>1933</v>
      </c>
      <c r="C1603" s="22" t="s">
        <v>308</v>
      </c>
      <c r="D1603" s="22" t="s">
        <v>324</v>
      </c>
      <c r="E1603" s="22" t="s">
        <v>1700</v>
      </c>
      <c r="F1603" s="22" t="s">
        <v>12</v>
      </c>
    </row>
    <row r="1604" ht="18.6" customHeight="1" spans="1:6">
      <c r="A1604" s="22">
        <v>1603</v>
      </c>
      <c r="B1604" s="23" t="s">
        <v>1934</v>
      </c>
      <c r="C1604" s="23" t="s">
        <v>308</v>
      </c>
      <c r="D1604" s="23" t="s">
        <v>309</v>
      </c>
      <c r="E1604" s="23" t="s">
        <v>1700</v>
      </c>
      <c r="F1604" s="23" t="s">
        <v>12</v>
      </c>
    </row>
    <row r="1605" ht="18.6" customHeight="1" spans="1:6">
      <c r="A1605" s="23">
        <v>1604</v>
      </c>
      <c r="B1605" s="22" t="s">
        <v>1935</v>
      </c>
      <c r="C1605" s="22" t="s">
        <v>308</v>
      </c>
      <c r="D1605" s="22" t="s">
        <v>309</v>
      </c>
      <c r="E1605" s="22" t="s">
        <v>1700</v>
      </c>
      <c r="F1605" s="22" t="s">
        <v>12</v>
      </c>
    </row>
    <row r="1606" ht="18.6" customHeight="1" spans="1:6">
      <c r="A1606" s="22">
        <v>1605</v>
      </c>
      <c r="B1606" s="23" t="s">
        <v>1936</v>
      </c>
      <c r="C1606" s="23" t="s">
        <v>308</v>
      </c>
      <c r="D1606" s="23" t="s">
        <v>309</v>
      </c>
      <c r="E1606" s="23" t="s">
        <v>1700</v>
      </c>
      <c r="F1606" s="23" t="s">
        <v>12</v>
      </c>
    </row>
    <row r="1607" ht="18.6" customHeight="1" spans="1:6">
      <c r="A1607" s="23">
        <v>1606</v>
      </c>
      <c r="B1607" s="22" t="s">
        <v>1937</v>
      </c>
      <c r="C1607" s="22" t="s">
        <v>308</v>
      </c>
      <c r="D1607" s="22" t="s">
        <v>1938</v>
      </c>
      <c r="E1607" s="22" t="s">
        <v>1700</v>
      </c>
      <c r="F1607" s="22" t="s">
        <v>12</v>
      </c>
    </row>
    <row r="1608" ht="18.6" customHeight="1" spans="1:6">
      <c r="A1608" s="22">
        <v>1607</v>
      </c>
      <c r="B1608" s="23" t="s">
        <v>1939</v>
      </c>
      <c r="C1608" s="23" t="s">
        <v>308</v>
      </c>
      <c r="D1608" s="23" t="s">
        <v>1940</v>
      </c>
      <c r="E1608" s="23" t="s">
        <v>1700</v>
      </c>
      <c r="F1608" s="23" t="s">
        <v>12</v>
      </c>
    </row>
    <row r="1609" ht="18.6" customHeight="1" spans="1:6">
      <c r="A1609" s="23">
        <v>1608</v>
      </c>
      <c r="B1609" s="22" t="s">
        <v>1941</v>
      </c>
      <c r="C1609" s="22" t="s">
        <v>308</v>
      </c>
      <c r="D1609" s="22" t="s">
        <v>309</v>
      </c>
      <c r="E1609" s="22" t="s">
        <v>1700</v>
      </c>
      <c r="F1609" s="22" t="s">
        <v>12</v>
      </c>
    </row>
    <row r="1610" ht="18.6" customHeight="1" spans="1:6">
      <c r="A1610" s="22">
        <v>1609</v>
      </c>
      <c r="B1610" s="23" t="s">
        <v>1942</v>
      </c>
      <c r="C1610" s="23" t="s">
        <v>308</v>
      </c>
      <c r="D1610" s="23" t="s">
        <v>315</v>
      </c>
      <c r="E1610" s="23" t="s">
        <v>1700</v>
      </c>
      <c r="F1610" s="23" t="s">
        <v>12</v>
      </c>
    </row>
    <row r="1611" ht="18.6" customHeight="1" spans="1:6">
      <c r="A1611" s="23">
        <v>1610</v>
      </c>
      <c r="B1611" s="22" t="s">
        <v>1943</v>
      </c>
      <c r="C1611" s="22" t="s">
        <v>308</v>
      </c>
      <c r="D1611" s="22" t="s">
        <v>309</v>
      </c>
      <c r="E1611" s="22" t="s">
        <v>1700</v>
      </c>
      <c r="F1611" s="22" t="s">
        <v>12</v>
      </c>
    </row>
    <row r="1612" ht="18.6" customHeight="1" spans="1:6">
      <c r="A1612" s="22">
        <v>1611</v>
      </c>
      <c r="B1612" s="23" t="s">
        <v>1944</v>
      </c>
      <c r="C1612" s="23" t="s">
        <v>308</v>
      </c>
      <c r="D1612" s="23" t="s">
        <v>324</v>
      </c>
      <c r="E1612" s="23" t="s">
        <v>1700</v>
      </c>
      <c r="F1612" s="23" t="s">
        <v>12</v>
      </c>
    </row>
    <row r="1613" ht="18.6" customHeight="1" spans="1:6">
      <c r="A1613" s="23">
        <v>1612</v>
      </c>
      <c r="B1613" s="22" t="s">
        <v>1945</v>
      </c>
      <c r="C1613" s="22" t="s">
        <v>308</v>
      </c>
      <c r="D1613" s="22" t="s">
        <v>309</v>
      </c>
      <c r="E1613" s="22" t="s">
        <v>1700</v>
      </c>
      <c r="F1613" s="22" t="s">
        <v>12</v>
      </c>
    </row>
    <row r="1614" ht="18.6" customHeight="1" spans="1:6">
      <c r="A1614" s="22">
        <v>1613</v>
      </c>
      <c r="B1614" s="23" t="s">
        <v>1946</v>
      </c>
      <c r="C1614" s="23" t="s">
        <v>308</v>
      </c>
      <c r="D1614" s="23" t="s">
        <v>317</v>
      </c>
      <c r="E1614" s="23" t="s">
        <v>1700</v>
      </c>
      <c r="F1614" s="23" t="s">
        <v>12</v>
      </c>
    </row>
    <row r="1615" ht="18.6" customHeight="1" spans="1:6">
      <c r="A1615" s="23">
        <v>1614</v>
      </c>
      <c r="B1615" s="22" t="s">
        <v>1947</v>
      </c>
      <c r="C1615" s="22" t="s">
        <v>308</v>
      </c>
      <c r="D1615" s="22" t="s">
        <v>309</v>
      </c>
      <c r="E1615" s="22" t="s">
        <v>1700</v>
      </c>
      <c r="F1615" s="22" t="s">
        <v>12</v>
      </c>
    </row>
    <row r="1616" ht="18.6" customHeight="1" spans="1:6">
      <c r="A1616" s="22">
        <v>1615</v>
      </c>
      <c r="B1616" s="23" t="s">
        <v>1948</v>
      </c>
      <c r="C1616" s="23" t="s">
        <v>308</v>
      </c>
      <c r="D1616" s="23" t="s">
        <v>309</v>
      </c>
      <c r="E1616" s="23" t="s">
        <v>1700</v>
      </c>
      <c r="F1616" s="23" t="s">
        <v>12</v>
      </c>
    </row>
    <row r="1617" ht="18.6" customHeight="1" spans="1:6">
      <c r="A1617" s="23">
        <v>1616</v>
      </c>
      <c r="B1617" s="22" t="s">
        <v>1949</v>
      </c>
      <c r="C1617" s="22" t="s">
        <v>308</v>
      </c>
      <c r="D1617" s="22" t="s">
        <v>309</v>
      </c>
      <c r="E1617" s="22" t="s">
        <v>1700</v>
      </c>
      <c r="F1617" s="22" t="s">
        <v>12</v>
      </c>
    </row>
    <row r="1618" ht="18.6" customHeight="1" spans="1:6">
      <c r="A1618" s="22">
        <v>1617</v>
      </c>
      <c r="B1618" s="23" t="s">
        <v>1950</v>
      </c>
      <c r="C1618" s="23" t="s">
        <v>347</v>
      </c>
      <c r="D1618" s="23" t="s">
        <v>347</v>
      </c>
      <c r="E1618" s="23" t="s">
        <v>1700</v>
      </c>
      <c r="F1618" s="23" t="s">
        <v>12</v>
      </c>
    </row>
    <row r="1619" ht="18.6" customHeight="1" spans="1:6">
      <c r="A1619" s="23">
        <v>1618</v>
      </c>
      <c r="B1619" s="22" t="s">
        <v>1951</v>
      </c>
      <c r="C1619" s="22" t="s">
        <v>347</v>
      </c>
      <c r="D1619" s="22" t="s">
        <v>347</v>
      </c>
      <c r="E1619" s="22" t="s">
        <v>1700</v>
      </c>
      <c r="F1619" s="22" t="s">
        <v>12</v>
      </c>
    </row>
    <row r="1620" ht="18.6" customHeight="1" spans="1:6">
      <c r="A1620" s="22">
        <v>1619</v>
      </c>
      <c r="B1620" s="23" t="s">
        <v>1952</v>
      </c>
      <c r="C1620" s="23" t="s">
        <v>347</v>
      </c>
      <c r="D1620" s="23" t="s">
        <v>347</v>
      </c>
      <c r="E1620" s="23" t="s">
        <v>1700</v>
      </c>
      <c r="F1620" s="23" t="s">
        <v>12</v>
      </c>
    </row>
    <row r="1621" ht="18.6" customHeight="1" spans="1:6">
      <c r="A1621" s="23">
        <v>1620</v>
      </c>
      <c r="B1621" s="22" t="s">
        <v>1953</v>
      </c>
      <c r="C1621" s="22" t="s">
        <v>347</v>
      </c>
      <c r="D1621" s="22" t="s">
        <v>347</v>
      </c>
      <c r="E1621" s="22" t="s">
        <v>1700</v>
      </c>
      <c r="F1621" s="22" t="s">
        <v>12</v>
      </c>
    </row>
    <row r="1622" ht="18.6" customHeight="1" spans="1:6">
      <c r="A1622" s="22">
        <v>1621</v>
      </c>
      <c r="B1622" s="23" t="s">
        <v>1954</v>
      </c>
      <c r="C1622" s="23" t="s">
        <v>347</v>
      </c>
      <c r="D1622" s="23" t="s">
        <v>347</v>
      </c>
      <c r="E1622" s="23" t="s">
        <v>1700</v>
      </c>
      <c r="F1622" s="23" t="s">
        <v>12</v>
      </c>
    </row>
    <row r="1623" ht="18.6" customHeight="1" spans="1:6">
      <c r="A1623" s="23">
        <v>1622</v>
      </c>
      <c r="B1623" s="22" t="s">
        <v>1955</v>
      </c>
      <c r="C1623" s="22" t="s">
        <v>347</v>
      </c>
      <c r="D1623" s="22" t="s">
        <v>347</v>
      </c>
      <c r="E1623" s="22" t="s">
        <v>1700</v>
      </c>
      <c r="F1623" s="22" t="s">
        <v>12</v>
      </c>
    </row>
    <row r="1624" ht="18.6" customHeight="1" spans="1:6">
      <c r="A1624" s="22">
        <v>1623</v>
      </c>
      <c r="B1624" s="23" t="s">
        <v>1956</v>
      </c>
      <c r="C1624" s="23" t="s">
        <v>347</v>
      </c>
      <c r="D1624" s="23" t="s">
        <v>347</v>
      </c>
      <c r="E1624" s="23" t="s">
        <v>1700</v>
      </c>
      <c r="F1624" s="23" t="s">
        <v>12</v>
      </c>
    </row>
    <row r="1625" ht="18.6" customHeight="1" spans="1:6">
      <c r="A1625" s="23">
        <v>1624</v>
      </c>
      <c r="B1625" s="22" t="s">
        <v>1957</v>
      </c>
      <c r="C1625" s="22" t="s">
        <v>347</v>
      </c>
      <c r="D1625" s="22" t="s">
        <v>347</v>
      </c>
      <c r="E1625" s="22" t="s">
        <v>1700</v>
      </c>
      <c r="F1625" s="22" t="s">
        <v>12</v>
      </c>
    </row>
    <row r="1626" ht="18.6" customHeight="1" spans="1:6">
      <c r="A1626" s="22">
        <v>1625</v>
      </c>
      <c r="B1626" s="23" t="s">
        <v>1958</v>
      </c>
      <c r="C1626" s="23" t="s">
        <v>347</v>
      </c>
      <c r="D1626" s="23" t="s">
        <v>347</v>
      </c>
      <c r="E1626" s="23" t="s">
        <v>1700</v>
      </c>
      <c r="F1626" s="23" t="s">
        <v>12</v>
      </c>
    </row>
    <row r="1627" ht="18.6" customHeight="1" spans="1:6">
      <c r="A1627" s="23">
        <v>1626</v>
      </c>
      <c r="B1627" s="22" t="s">
        <v>1959</v>
      </c>
      <c r="C1627" s="22" t="s">
        <v>347</v>
      </c>
      <c r="D1627" s="22" t="s">
        <v>347</v>
      </c>
      <c r="E1627" s="22" t="s">
        <v>1700</v>
      </c>
      <c r="F1627" s="22" t="s">
        <v>12</v>
      </c>
    </row>
    <row r="1628" ht="18.6" customHeight="1" spans="1:6">
      <c r="A1628" s="22">
        <v>1627</v>
      </c>
      <c r="B1628" s="23" t="s">
        <v>1960</v>
      </c>
      <c r="C1628" s="23" t="s">
        <v>347</v>
      </c>
      <c r="D1628" s="23" t="s">
        <v>347</v>
      </c>
      <c r="E1628" s="23" t="s">
        <v>1700</v>
      </c>
      <c r="F1628" s="23" t="s">
        <v>12</v>
      </c>
    </row>
    <row r="1629" ht="18.6" customHeight="1" spans="1:6">
      <c r="A1629" s="23">
        <v>1628</v>
      </c>
      <c r="B1629" s="22" t="s">
        <v>1961</v>
      </c>
      <c r="C1629" s="22" t="s">
        <v>347</v>
      </c>
      <c r="D1629" s="22" t="s">
        <v>347</v>
      </c>
      <c r="E1629" s="22" t="s">
        <v>1700</v>
      </c>
      <c r="F1629" s="22" t="s">
        <v>12</v>
      </c>
    </row>
    <row r="1630" ht="18.6" customHeight="1" spans="1:6">
      <c r="A1630" s="22">
        <v>1629</v>
      </c>
      <c r="B1630" s="23" t="s">
        <v>1962</v>
      </c>
      <c r="C1630" s="23" t="s">
        <v>347</v>
      </c>
      <c r="D1630" s="23" t="s">
        <v>347</v>
      </c>
      <c r="E1630" s="23" t="s">
        <v>1700</v>
      </c>
      <c r="F1630" s="23" t="s">
        <v>12</v>
      </c>
    </row>
    <row r="1631" ht="18.6" customHeight="1" spans="1:6">
      <c r="A1631" s="23">
        <v>1630</v>
      </c>
      <c r="B1631" s="22" t="s">
        <v>1963</v>
      </c>
      <c r="C1631" s="22" t="s">
        <v>379</v>
      </c>
      <c r="D1631" s="22" t="s">
        <v>403</v>
      </c>
      <c r="E1631" s="22" t="s">
        <v>1700</v>
      </c>
      <c r="F1631" s="22" t="s">
        <v>12</v>
      </c>
    </row>
    <row r="1632" ht="18.6" customHeight="1" spans="1:6">
      <c r="A1632" s="22">
        <v>1631</v>
      </c>
      <c r="B1632" s="23" t="s">
        <v>1964</v>
      </c>
      <c r="C1632" s="23" t="s">
        <v>379</v>
      </c>
      <c r="D1632" s="23" t="s">
        <v>382</v>
      </c>
      <c r="E1632" s="23" t="s">
        <v>1700</v>
      </c>
      <c r="F1632" s="23" t="s">
        <v>12</v>
      </c>
    </row>
    <row r="1633" ht="18.6" customHeight="1" spans="1:6">
      <c r="A1633" s="23">
        <v>1632</v>
      </c>
      <c r="B1633" s="22" t="s">
        <v>1965</v>
      </c>
      <c r="C1633" s="22" t="s">
        <v>379</v>
      </c>
      <c r="D1633" s="22" t="s">
        <v>401</v>
      </c>
      <c r="E1633" s="22" t="s">
        <v>1700</v>
      </c>
      <c r="F1633" s="22" t="s">
        <v>12</v>
      </c>
    </row>
    <row r="1634" ht="18.6" customHeight="1" spans="1:6">
      <c r="A1634" s="22">
        <v>1633</v>
      </c>
      <c r="B1634" s="23" t="s">
        <v>1966</v>
      </c>
      <c r="C1634" s="23" t="s">
        <v>379</v>
      </c>
      <c r="D1634" s="23" t="s">
        <v>382</v>
      </c>
      <c r="E1634" s="23" t="s">
        <v>1700</v>
      </c>
      <c r="F1634" s="23" t="s">
        <v>12</v>
      </c>
    </row>
    <row r="1635" ht="18.6" customHeight="1" spans="1:6">
      <c r="A1635" s="23">
        <v>1634</v>
      </c>
      <c r="B1635" s="22" t="s">
        <v>1967</v>
      </c>
      <c r="C1635" s="22" t="s">
        <v>379</v>
      </c>
      <c r="D1635" s="22" t="s">
        <v>430</v>
      </c>
      <c r="E1635" s="22" t="s">
        <v>1700</v>
      </c>
      <c r="F1635" s="22" t="s">
        <v>12</v>
      </c>
    </row>
    <row r="1636" ht="18.6" customHeight="1" spans="1:6">
      <c r="A1636" s="22">
        <v>1635</v>
      </c>
      <c r="B1636" s="23" t="s">
        <v>1968</v>
      </c>
      <c r="C1636" s="23" t="s">
        <v>379</v>
      </c>
      <c r="D1636" s="23" t="s">
        <v>387</v>
      </c>
      <c r="E1636" s="23" t="s">
        <v>1700</v>
      </c>
      <c r="F1636" s="23" t="s">
        <v>12</v>
      </c>
    </row>
    <row r="1637" ht="18.6" customHeight="1" spans="1:6">
      <c r="A1637" s="23">
        <v>1636</v>
      </c>
      <c r="B1637" s="22" t="s">
        <v>1969</v>
      </c>
      <c r="C1637" s="22" t="s">
        <v>379</v>
      </c>
      <c r="D1637" s="22" t="s">
        <v>401</v>
      </c>
      <c r="E1637" s="22" t="s">
        <v>1700</v>
      </c>
      <c r="F1637" s="22" t="s">
        <v>12</v>
      </c>
    </row>
    <row r="1638" ht="18.6" customHeight="1" spans="1:6">
      <c r="A1638" s="22">
        <v>1637</v>
      </c>
      <c r="B1638" s="23" t="s">
        <v>1970</v>
      </c>
      <c r="C1638" s="23" t="s">
        <v>379</v>
      </c>
      <c r="D1638" s="23" t="s">
        <v>382</v>
      </c>
      <c r="E1638" s="23" t="s">
        <v>1700</v>
      </c>
      <c r="F1638" s="23" t="s">
        <v>12</v>
      </c>
    </row>
    <row r="1639" ht="18.6" customHeight="1" spans="1:6">
      <c r="A1639" s="23">
        <v>1638</v>
      </c>
      <c r="B1639" s="22" t="s">
        <v>1971</v>
      </c>
      <c r="C1639" s="22" t="s">
        <v>379</v>
      </c>
      <c r="D1639" s="22" t="s">
        <v>380</v>
      </c>
      <c r="E1639" s="22" t="s">
        <v>1700</v>
      </c>
      <c r="F1639" s="22" t="s">
        <v>12</v>
      </c>
    </row>
    <row r="1640" ht="18.6" customHeight="1" spans="1:6">
      <c r="A1640" s="22">
        <v>1639</v>
      </c>
      <c r="B1640" s="23" t="s">
        <v>1972</v>
      </c>
      <c r="C1640" s="23" t="s">
        <v>379</v>
      </c>
      <c r="D1640" s="23" t="s">
        <v>435</v>
      </c>
      <c r="E1640" s="23" t="s">
        <v>1700</v>
      </c>
      <c r="F1640" s="23" t="s">
        <v>12</v>
      </c>
    </row>
    <row r="1641" ht="18.6" customHeight="1" spans="1:6">
      <c r="A1641" s="23">
        <v>1640</v>
      </c>
      <c r="B1641" s="22" t="s">
        <v>1973</v>
      </c>
      <c r="C1641" s="22" t="s">
        <v>379</v>
      </c>
      <c r="D1641" s="22" t="s">
        <v>392</v>
      </c>
      <c r="E1641" s="22" t="s">
        <v>1700</v>
      </c>
      <c r="F1641" s="22" t="s">
        <v>12</v>
      </c>
    </row>
    <row r="1642" ht="18.6" customHeight="1" spans="1:6">
      <c r="A1642" s="22">
        <v>1641</v>
      </c>
      <c r="B1642" s="23" t="s">
        <v>1974</v>
      </c>
      <c r="C1642" s="23" t="s">
        <v>379</v>
      </c>
      <c r="D1642" s="23" t="s">
        <v>380</v>
      </c>
      <c r="E1642" s="23" t="s">
        <v>1700</v>
      </c>
      <c r="F1642" s="23" t="s">
        <v>12</v>
      </c>
    </row>
    <row r="1643" ht="18.6" customHeight="1" spans="1:6">
      <c r="A1643" s="23">
        <v>1642</v>
      </c>
      <c r="B1643" s="22" t="s">
        <v>1975</v>
      </c>
      <c r="C1643" s="22" t="s">
        <v>379</v>
      </c>
      <c r="D1643" s="22" t="s">
        <v>380</v>
      </c>
      <c r="E1643" s="22" t="s">
        <v>1700</v>
      </c>
      <c r="F1643" s="22" t="s">
        <v>12</v>
      </c>
    </row>
    <row r="1644" ht="18.6" customHeight="1" spans="1:6">
      <c r="A1644" s="22">
        <v>1643</v>
      </c>
      <c r="B1644" s="23" t="s">
        <v>1976</v>
      </c>
      <c r="C1644" s="23" t="s">
        <v>379</v>
      </c>
      <c r="D1644" s="23" t="s">
        <v>396</v>
      </c>
      <c r="E1644" s="23" t="s">
        <v>1700</v>
      </c>
      <c r="F1644" s="23" t="s">
        <v>12</v>
      </c>
    </row>
    <row r="1645" ht="18.6" customHeight="1" spans="1:6">
      <c r="A1645" s="23">
        <v>1644</v>
      </c>
      <c r="B1645" s="22" t="s">
        <v>1977</v>
      </c>
      <c r="C1645" s="22" t="s">
        <v>379</v>
      </c>
      <c r="D1645" s="22" t="s">
        <v>403</v>
      </c>
      <c r="E1645" s="22" t="s">
        <v>1700</v>
      </c>
      <c r="F1645" s="22" t="s">
        <v>12</v>
      </c>
    </row>
    <row r="1646" ht="18.6" customHeight="1" spans="1:6">
      <c r="A1646" s="22">
        <v>1645</v>
      </c>
      <c r="B1646" s="23" t="s">
        <v>1978</v>
      </c>
      <c r="C1646" s="23" t="s">
        <v>379</v>
      </c>
      <c r="D1646" s="23" t="s">
        <v>424</v>
      </c>
      <c r="E1646" s="23" t="s">
        <v>1700</v>
      </c>
      <c r="F1646" s="23" t="s">
        <v>12</v>
      </c>
    </row>
    <row r="1647" ht="18.6" customHeight="1" spans="1:6">
      <c r="A1647" s="23">
        <v>1646</v>
      </c>
      <c r="B1647" s="22" t="s">
        <v>1979</v>
      </c>
      <c r="C1647" s="22" t="s">
        <v>379</v>
      </c>
      <c r="D1647" s="22" t="s">
        <v>401</v>
      </c>
      <c r="E1647" s="22" t="s">
        <v>1700</v>
      </c>
      <c r="F1647" s="22" t="s">
        <v>12</v>
      </c>
    </row>
    <row r="1648" ht="18.6" customHeight="1" spans="1:6">
      <c r="A1648" s="22">
        <v>1647</v>
      </c>
      <c r="B1648" s="23" t="s">
        <v>1980</v>
      </c>
      <c r="C1648" s="23" t="s">
        <v>379</v>
      </c>
      <c r="D1648" s="23" t="s">
        <v>382</v>
      </c>
      <c r="E1648" s="23" t="s">
        <v>1700</v>
      </c>
      <c r="F1648" s="23" t="s">
        <v>12</v>
      </c>
    </row>
    <row r="1649" ht="18.6" customHeight="1" spans="1:6">
      <c r="A1649" s="23">
        <v>1648</v>
      </c>
      <c r="B1649" s="22" t="s">
        <v>1981</v>
      </c>
      <c r="C1649" s="22" t="s">
        <v>379</v>
      </c>
      <c r="D1649" s="22" t="s">
        <v>382</v>
      </c>
      <c r="E1649" s="22" t="s">
        <v>1700</v>
      </c>
      <c r="F1649" s="22" t="s">
        <v>12</v>
      </c>
    </row>
    <row r="1650" ht="18.6" customHeight="1" spans="1:6">
      <c r="A1650" s="22">
        <v>1649</v>
      </c>
      <c r="B1650" s="23" t="s">
        <v>1982</v>
      </c>
      <c r="C1650" s="23" t="s">
        <v>379</v>
      </c>
      <c r="D1650" s="23" t="s">
        <v>382</v>
      </c>
      <c r="E1650" s="23" t="s">
        <v>1700</v>
      </c>
      <c r="F1650" s="23" t="s">
        <v>12</v>
      </c>
    </row>
    <row r="1651" ht="18.6" customHeight="1" spans="1:6">
      <c r="A1651" s="23">
        <v>1650</v>
      </c>
      <c r="B1651" s="22" t="s">
        <v>1983</v>
      </c>
      <c r="C1651" s="22" t="s">
        <v>379</v>
      </c>
      <c r="D1651" s="22" t="s">
        <v>396</v>
      </c>
      <c r="E1651" s="22" t="s">
        <v>1700</v>
      </c>
      <c r="F1651" s="22" t="s">
        <v>12</v>
      </c>
    </row>
    <row r="1652" ht="18.6" customHeight="1" spans="1:6">
      <c r="A1652" s="22">
        <v>1651</v>
      </c>
      <c r="B1652" s="23" t="s">
        <v>1984</v>
      </c>
      <c r="C1652" s="23" t="s">
        <v>379</v>
      </c>
      <c r="D1652" s="23" t="s">
        <v>401</v>
      </c>
      <c r="E1652" s="23" t="s">
        <v>1700</v>
      </c>
      <c r="F1652" s="23" t="s">
        <v>12</v>
      </c>
    </row>
    <row r="1653" ht="18.6" customHeight="1" spans="1:6">
      <c r="A1653" s="23">
        <v>1652</v>
      </c>
      <c r="B1653" s="22" t="s">
        <v>1985</v>
      </c>
      <c r="C1653" s="22" t="s">
        <v>379</v>
      </c>
      <c r="D1653" s="22" t="s">
        <v>380</v>
      </c>
      <c r="E1653" s="22" t="s">
        <v>1700</v>
      </c>
      <c r="F1653" s="22" t="s">
        <v>12</v>
      </c>
    </row>
    <row r="1654" ht="18.6" customHeight="1" spans="1:6">
      <c r="A1654" s="22">
        <v>1653</v>
      </c>
      <c r="B1654" s="23" t="s">
        <v>1986</v>
      </c>
      <c r="C1654" s="23" t="s">
        <v>379</v>
      </c>
      <c r="D1654" s="23" t="s">
        <v>412</v>
      </c>
      <c r="E1654" s="23" t="s">
        <v>1700</v>
      </c>
      <c r="F1654" s="23" t="s">
        <v>12</v>
      </c>
    </row>
    <row r="1655" ht="18.6" customHeight="1" spans="1:6">
      <c r="A1655" s="23">
        <v>1654</v>
      </c>
      <c r="B1655" s="22" t="s">
        <v>1987</v>
      </c>
      <c r="C1655" s="22" t="s">
        <v>379</v>
      </c>
      <c r="D1655" s="22" t="s">
        <v>435</v>
      </c>
      <c r="E1655" s="22" t="s">
        <v>1700</v>
      </c>
      <c r="F1655" s="22" t="s">
        <v>12</v>
      </c>
    </row>
    <row r="1656" ht="18.6" customHeight="1" spans="1:6">
      <c r="A1656" s="22">
        <v>1655</v>
      </c>
      <c r="B1656" s="23" t="s">
        <v>1988</v>
      </c>
      <c r="C1656" s="23" t="s">
        <v>379</v>
      </c>
      <c r="D1656" s="23" t="s">
        <v>392</v>
      </c>
      <c r="E1656" s="23" t="s">
        <v>1700</v>
      </c>
      <c r="F1656" s="23" t="s">
        <v>12</v>
      </c>
    </row>
    <row r="1657" ht="18.6" customHeight="1" spans="1:6">
      <c r="A1657" s="23">
        <v>1656</v>
      </c>
      <c r="B1657" s="22" t="s">
        <v>1989</v>
      </c>
      <c r="C1657" s="22" t="s">
        <v>379</v>
      </c>
      <c r="D1657" s="22" t="s">
        <v>382</v>
      </c>
      <c r="E1657" s="22" t="s">
        <v>1700</v>
      </c>
      <c r="F1657" s="22" t="s">
        <v>12</v>
      </c>
    </row>
    <row r="1658" ht="18.6" customHeight="1" spans="1:6">
      <c r="A1658" s="22">
        <v>1657</v>
      </c>
      <c r="B1658" s="23" t="s">
        <v>1990</v>
      </c>
      <c r="C1658" s="23" t="s">
        <v>379</v>
      </c>
      <c r="D1658" s="23" t="s">
        <v>382</v>
      </c>
      <c r="E1658" s="23" t="s">
        <v>1700</v>
      </c>
      <c r="F1658" s="23" t="s">
        <v>12</v>
      </c>
    </row>
    <row r="1659" ht="18.6" customHeight="1" spans="1:6">
      <c r="A1659" s="23">
        <v>1658</v>
      </c>
      <c r="B1659" s="22" t="s">
        <v>1991</v>
      </c>
      <c r="C1659" s="22" t="s">
        <v>379</v>
      </c>
      <c r="D1659" s="22" t="s">
        <v>380</v>
      </c>
      <c r="E1659" s="22" t="s">
        <v>1700</v>
      </c>
      <c r="F1659" s="22" t="s">
        <v>12</v>
      </c>
    </row>
    <row r="1660" ht="18.6" customHeight="1" spans="1:6">
      <c r="A1660" s="22">
        <v>1659</v>
      </c>
      <c r="B1660" s="23" t="s">
        <v>1992</v>
      </c>
      <c r="C1660" s="23" t="s">
        <v>379</v>
      </c>
      <c r="D1660" s="23" t="s">
        <v>392</v>
      </c>
      <c r="E1660" s="23" t="s">
        <v>1700</v>
      </c>
      <c r="F1660" s="23" t="s">
        <v>12</v>
      </c>
    </row>
    <row r="1661" ht="18.6" customHeight="1" spans="1:6">
      <c r="A1661" s="23">
        <v>1660</v>
      </c>
      <c r="B1661" s="22" t="s">
        <v>1993</v>
      </c>
      <c r="C1661" s="22" t="s">
        <v>379</v>
      </c>
      <c r="D1661" s="22" t="s">
        <v>392</v>
      </c>
      <c r="E1661" s="22" t="s">
        <v>1700</v>
      </c>
      <c r="F1661" s="22" t="s">
        <v>12</v>
      </c>
    </row>
    <row r="1662" ht="18.6" customHeight="1" spans="1:6">
      <c r="A1662" s="22">
        <v>1661</v>
      </c>
      <c r="B1662" s="23" t="s">
        <v>1994</v>
      </c>
      <c r="C1662" s="23" t="s">
        <v>379</v>
      </c>
      <c r="D1662" s="23" t="s">
        <v>387</v>
      </c>
      <c r="E1662" s="23" t="s">
        <v>1700</v>
      </c>
      <c r="F1662" s="23" t="s">
        <v>12</v>
      </c>
    </row>
    <row r="1663" ht="18.6" customHeight="1" spans="1:6">
      <c r="A1663" s="23">
        <v>1662</v>
      </c>
      <c r="B1663" s="22" t="s">
        <v>1995</v>
      </c>
      <c r="C1663" s="22" t="s">
        <v>379</v>
      </c>
      <c r="D1663" s="22" t="s">
        <v>412</v>
      </c>
      <c r="E1663" s="22" t="s">
        <v>1700</v>
      </c>
      <c r="F1663" s="22" t="s">
        <v>12</v>
      </c>
    </row>
    <row r="1664" ht="18.6" customHeight="1" spans="1:6">
      <c r="A1664" s="22">
        <v>1663</v>
      </c>
      <c r="B1664" s="23" t="s">
        <v>1996</v>
      </c>
      <c r="C1664" s="23" t="s">
        <v>379</v>
      </c>
      <c r="D1664" s="23" t="s">
        <v>380</v>
      </c>
      <c r="E1664" s="23" t="s">
        <v>1700</v>
      </c>
      <c r="F1664" s="23" t="s">
        <v>12</v>
      </c>
    </row>
    <row r="1665" ht="18.6" customHeight="1" spans="1:6">
      <c r="A1665" s="23">
        <v>1664</v>
      </c>
      <c r="B1665" s="22" t="s">
        <v>1997</v>
      </c>
      <c r="C1665" s="22" t="s">
        <v>379</v>
      </c>
      <c r="D1665" s="22" t="s">
        <v>389</v>
      </c>
      <c r="E1665" s="22" t="s">
        <v>1700</v>
      </c>
      <c r="F1665" s="22" t="s">
        <v>12</v>
      </c>
    </row>
    <row r="1666" ht="18.6" customHeight="1" spans="1:6">
      <c r="A1666" s="22">
        <v>1665</v>
      </c>
      <c r="B1666" s="23" t="s">
        <v>1998</v>
      </c>
      <c r="C1666" s="23" t="s">
        <v>379</v>
      </c>
      <c r="D1666" s="23" t="s">
        <v>396</v>
      </c>
      <c r="E1666" s="23" t="s">
        <v>1700</v>
      </c>
      <c r="F1666" s="23" t="s">
        <v>12</v>
      </c>
    </row>
    <row r="1667" ht="18.6" customHeight="1" spans="1:6">
      <c r="A1667" s="23">
        <v>1666</v>
      </c>
      <c r="B1667" s="22" t="s">
        <v>1999</v>
      </c>
      <c r="C1667" s="22" t="s">
        <v>379</v>
      </c>
      <c r="D1667" s="22" t="s">
        <v>440</v>
      </c>
      <c r="E1667" s="22" t="s">
        <v>1700</v>
      </c>
      <c r="F1667" s="22" t="s">
        <v>12</v>
      </c>
    </row>
    <row r="1668" ht="18.6" customHeight="1" spans="1:6">
      <c r="A1668" s="22">
        <v>1667</v>
      </c>
      <c r="B1668" s="23" t="s">
        <v>2000</v>
      </c>
      <c r="C1668" s="23" t="s">
        <v>379</v>
      </c>
      <c r="D1668" s="23" t="s">
        <v>380</v>
      </c>
      <c r="E1668" s="23" t="s">
        <v>1700</v>
      </c>
      <c r="F1668" s="23" t="s">
        <v>12</v>
      </c>
    </row>
    <row r="1669" ht="18.6" customHeight="1" spans="1:6">
      <c r="A1669" s="23">
        <v>1668</v>
      </c>
      <c r="B1669" s="22" t="s">
        <v>2001</v>
      </c>
      <c r="C1669" s="22" t="s">
        <v>379</v>
      </c>
      <c r="D1669" s="22" t="s">
        <v>392</v>
      </c>
      <c r="E1669" s="22" t="s">
        <v>1700</v>
      </c>
      <c r="F1669" s="22" t="s">
        <v>12</v>
      </c>
    </row>
    <row r="1670" ht="18.6" customHeight="1" spans="1:6">
      <c r="A1670" s="22">
        <v>1669</v>
      </c>
      <c r="B1670" s="23" t="s">
        <v>2002</v>
      </c>
      <c r="C1670" s="23" t="s">
        <v>379</v>
      </c>
      <c r="D1670" s="23" t="s">
        <v>396</v>
      </c>
      <c r="E1670" s="23" t="s">
        <v>1700</v>
      </c>
      <c r="F1670" s="23" t="s">
        <v>12</v>
      </c>
    </row>
    <row r="1671" ht="18.6" customHeight="1" spans="1:6">
      <c r="A1671" s="23">
        <v>1670</v>
      </c>
      <c r="B1671" s="22" t="s">
        <v>2003</v>
      </c>
      <c r="C1671" s="22" t="s">
        <v>379</v>
      </c>
      <c r="D1671" s="22" t="s">
        <v>396</v>
      </c>
      <c r="E1671" s="22" t="s">
        <v>1700</v>
      </c>
      <c r="F1671" s="22" t="s">
        <v>12</v>
      </c>
    </row>
    <row r="1672" ht="18.6" customHeight="1" spans="1:6">
      <c r="A1672" s="22">
        <v>1671</v>
      </c>
      <c r="B1672" s="23" t="s">
        <v>2004</v>
      </c>
      <c r="C1672" s="23" t="s">
        <v>379</v>
      </c>
      <c r="D1672" s="23" t="s">
        <v>396</v>
      </c>
      <c r="E1672" s="23" t="s">
        <v>1700</v>
      </c>
      <c r="F1672" s="23" t="s">
        <v>12</v>
      </c>
    </row>
    <row r="1673" ht="18.6" customHeight="1" spans="1:6">
      <c r="A1673" s="23">
        <v>1672</v>
      </c>
      <c r="B1673" s="22" t="s">
        <v>2005</v>
      </c>
      <c r="C1673" s="22" t="s">
        <v>379</v>
      </c>
      <c r="D1673" s="22" t="s">
        <v>382</v>
      </c>
      <c r="E1673" s="22" t="s">
        <v>1700</v>
      </c>
      <c r="F1673" s="22" t="s">
        <v>12</v>
      </c>
    </row>
    <row r="1674" ht="18.6" customHeight="1" spans="1:6">
      <c r="A1674" s="22">
        <v>1673</v>
      </c>
      <c r="B1674" s="23" t="s">
        <v>2006</v>
      </c>
      <c r="C1674" s="23" t="s">
        <v>379</v>
      </c>
      <c r="D1674" s="23" t="s">
        <v>403</v>
      </c>
      <c r="E1674" s="23" t="s">
        <v>1700</v>
      </c>
      <c r="F1674" s="23" t="s">
        <v>12</v>
      </c>
    </row>
    <row r="1675" ht="18.6" customHeight="1" spans="1:6">
      <c r="A1675" s="23">
        <v>1674</v>
      </c>
      <c r="B1675" s="22" t="s">
        <v>2007</v>
      </c>
      <c r="C1675" s="22" t="s">
        <v>379</v>
      </c>
      <c r="D1675" s="22" t="s">
        <v>412</v>
      </c>
      <c r="E1675" s="22" t="s">
        <v>1700</v>
      </c>
      <c r="F1675" s="22" t="s">
        <v>12</v>
      </c>
    </row>
    <row r="1676" ht="18.6" customHeight="1" spans="1:6">
      <c r="A1676" s="22">
        <v>1675</v>
      </c>
      <c r="B1676" s="23" t="s">
        <v>2008</v>
      </c>
      <c r="C1676" s="23" t="s">
        <v>379</v>
      </c>
      <c r="D1676" s="23" t="s">
        <v>424</v>
      </c>
      <c r="E1676" s="23" t="s">
        <v>1700</v>
      </c>
      <c r="F1676" s="23" t="s">
        <v>12</v>
      </c>
    </row>
    <row r="1677" ht="18.6" customHeight="1" spans="1:6">
      <c r="A1677" s="23">
        <v>1676</v>
      </c>
      <c r="B1677" s="22" t="s">
        <v>2009</v>
      </c>
      <c r="C1677" s="22" t="s">
        <v>379</v>
      </c>
      <c r="D1677" s="22" t="s">
        <v>380</v>
      </c>
      <c r="E1677" s="22" t="s">
        <v>1700</v>
      </c>
      <c r="F1677" s="22" t="s">
        <v>12</v>
      </c>
    </row>
    <row r="1678" ht="18.6" customHeight="1" spans="1:6">
      <c r="A1678" s="22">
        <v>1677</v>
      </c>
      <c r="B1678" s="23" t="s">
        <v>2010</v>
      </c>
      <c r="C1678" s="23" t="s">
        <v>379</v>
      </c>
      <c r="D1678" s="23" t="s">
        <v>380</v>
      </c>
      <c r="E1678" s="23" t="s">
        <v>1700</v>
      </c>
      <c r="F1678" s="23" t="s">
        <v>12</v>
      </c>
    </row>
    <row r="1679" ht="18.6" customHeight="1" spans="1:6">
      <c r="A1679" s="23">
        <v>1678</v>
      </c>
      <c r="B1679" s="22" t="s">
        <v>2011</v>
      </c>
      <c r="C1679" s="22" t="s">
        <v>379</v>
      </c>
      <c r="D1679" s="22" t="s">
        <v>380</v>
      </c>
      <c r="E1679" s="22" t="s">
        <v>1700</v>
      </c>
      <c r="F1679" s="22" t="s">
        <v>12</v>
      </c>
    </row>
    <row r="1680" ht="18.6" customHeight="1" spans="1:6">
      <c r="A1680" s="22">
        <v>1679</v>
      </c>
      <c r="B1680" s="23" t="s">
        <v>2012</v>
      </c>
      <c r="C1680" s="23" t="s">
        <v>379</v>
      </c>
      <c r="D1680" s="23" t="s">
        <v>380</v>
      </c>
      <c r="E1680" s="23" t="s">
        <v>1700</v>
      </c>
      <c r="F1680" s="23" t="s">
        <v>12</v>
      </c>
    </row>
    <row r="1681" ht="18.6" customHeight="1" spans="1:6">
      <c r="A1681" s="23">
        <v>1680</v>
      </c>
      <c r="B1681" s="22" t="s">
        <v>2013</v>
      </c>
      <c r="C1681" s="22" t="s">
        <v>379</v>
      </c>
      <c r="D1681" s="22" t="s">
        <v>380</v>
      </c>
      <c r="E1681" s="22" t="s">
        <v>1700</v>
      </c>
      <c r="F1681" s="22" t="s">
        <v>12</v>
      </c>
    </row>
    <row r="1682" ht="18.6" customHeight="1" spans="1:6">
      <c r="A1682" s="22">
        <v>1681</v>
      </c>
      <c r="B1682" s="23" t="s">
        <v>2014</v>
      </c>
      <c r="C1682" s="23" t="s">
        <v>379</v>
      </c>
      <c r="D1682" s="23" t="s">
        <v>382</v>
      </c>
      <c r="E1682" s="23" t="s">
        <v>1700</v>
      </c>
      <c r="F1682" s="23" t="s">
        <v>12</v>
      </c>
    </row>
    <row r="1683" ht="18.6" customHeight="1" spans="1:6">
      <c r="A1683" s="23">
        <v>1682</v>
      </c>
      <c r="B1683" s="22" t="s">
        <v>2015</v>
      </c>
      <c r="C1683" s="22" t="s">
        <v>379</v>
      </c>
      <c r="D1683" s="22" t="s">
        <v>382</v>
      </c>
      <c r="E1683" s="22" t="s">
        <v>1700</v>
      </c>
      <c r="F1683" s="22" t="s">
        <v>12</v>
      </c>
    </row>
    <row r="1684" ht="18.6" customHeight="1" spans="1:6">
      <c r="A1684" s="22">
        <v>1683</v>
      </c>
      <c r="B1684" s="23" t="s">
        <v>2016</v>
      </c>
      <c r="C1684" s="23" t="s">
        <v>379</v>
      </c>
      <c r="D1684" s="23" t="s">
        <v>389</v>
      </c>
      <c r="E1684" s="23" t="s">
        <v>1700</v>
      </c>
      <c r="F1684" s="23" t="s">
        <v>12</v>
      </c>
    </row>
    <row r="1685" ht="18.6" customHeight="1" spans="1:6">
      <c r="A1685" s="23">
        <v>1684</v>
      </c>
      <c r="B1685" s="22" t="s">
        <v>2017</v>
      </c>
      <c r="C1685" s="22" t="s">
        <v>379</v>
      </c>
      <c r="D1685" s="22" t="s">
        <v>389</v>
      </c>
      <c r="E1685" s="22" t="s">
        <v>1700</v>
      </c>
      <c r="F1685" s="22" t="s">
        <v>12</v>
      </c>
    </row>
    <row r="1686" ht="18.6" customHeight="1" spans="1:6">
      <c r="A1686" s="22">
        <v>1685</v>
      </c>
      <c r="B1686" s="23" t="s">
        <v>2018</v>
      </c>
      <c r="C1686" s="23" t="s">
        <v>379</v>
      </c>
      <c r="D1686" s="23" t="s">
        <v>401</v>
      </c>
      <c r="E1686" s="23" t="s">
        <v>1700</v>
      </c>
      <c r="F1686" s="23" t="s">
        <v>12</v>
      </c>
    </row>
    <row r="1687" ht="18.6" customHeight="1" spans="1:6">
      <c r="A1687" s="23">
        <v>1686</v>
      </c>
      <c r="B1687" s="22" t="s">
        <v>2019</v>
      </c>
      <c r="C1687" s="22" t="s">
        <v>379</v>
      </c>
      <c r="D1687" s="22" t="s">
        <v>401</v>
      </c>
      <c r="E1687" s="22" t="s">
        <v>1700</v>
      </c>
      <c r="F1687" s="22" t="s">
        <v>12</v>
      </c>
    </row>
    <row r="1688" ht="18.6" customHeight="1" spans="1:6">
      <c r="A1688" s="22">
        <v>1687</v>
      </c>
      <c r="B1688" s="23" t="s">
        <v>2020</v>
      </c>
      <c r="C1688" s="23" t="s">
        <v>379</v>
      </c>
      <c r="D1688" s="23" t="s">
        <v>412</v>
      </c>
      <c r="E1688" s="23" t="s">
        <v>1700</v>
      </c>
      <c r="F1688" s="23" t="s">
        <v>12</v>
      </c>
    </row>
    <row r="1689" ht="18.6" customHeight="1" spans="1:6">
      <c r="A1689" s="23">
        <v>1688</v>
      </c>
      <c r="B1689" s="22" t="s">
        <v>2021</v>
      </c>
      <c r="C1689" s="22" t="s">
        <v>379</v>
      </c>
      <c r="D1689" s="22" t="s">
        <v>430</v>
      </c>
      <c r="E1689" s="22" t="s">
        <v>1700</v>
      </c>
      <c r="F1689" s="22" t="s">
        <v>12</v>
      </c>
    </row>
    <row r="1690" ht="18.6" customHeight="1" spans="1:6">
      <c r="A1690" s="22">
        <v>1689</v>
      </c>
      <c r="B1690" s="23" t="s">
        <v>2022</v>
      </c>
      <c r="C1690" s="23" t="s">
        <v>379</v>
      </c>
      <c r="D1690" s="23" t="s">
        <v>392</v>
      </c>
      <c r="E1690" s="23" t="s">
        <v>1700</v>
      </c>
      <c r="F1690" s="23" t="s">
        <v>12</v>
      </c>
    </row>
    <row r="1691" ht="18.6" customHeight="1" spans="1:6">
      <c r="A1691" s="23">
        <v>1690</v>
      </c>
      <c r="B1691" s="22" t="s">
        <v>2023</v>
      </c>
      <c r="C1691" s="22" t="s">
        <v>379</v>
      </c>
      <c r="D1691" s="22" t="s">
        <v>387</v>
      </c>
      <c r="E1691" s="22" t="s">
        <v>1700</v>
      </c>
      <c r="F1691" s="22" t="s">
        <v>12</v>
      </c>
    </row>
    <row r="1692" ht="18.6" customHeight="1" spans="1:6">
      <c r="A1692" s="22">
        <v>1691</v>
      </c>
      <c r="B1692" s="23" t="s">
        <v>2024</v>
      </c>
      <c r="C1692" s="23" t="s">
        <v>379</v>
      </c>
      <c r="D1692" s="23" t="s">
        <v>389</v>
      </c>
      <c r="E1692" s="23" t="s">
        <v>1700</v>
      </c>
      <c r="F1692" s="23" t="s">
        <v>12</v>
      </c>
    </row>
    <row r="1693" ht="18.6" customHeight="1" spans="1:6">
      <c r="A1693" s="23">
        <v>1692</v>
      </c>
      <c r="B1693" s="22" t="s">
        <v>2025</v>
      </c>
      <c r="C1693" s="22" t="s">
        <v>379</v>
      </c>
      <c r="D1693" s="22" t="s">
        <v>424</v>
      </c>
      <c r="E1693" s="22" t="s">
        <v>1700</v>
      </c>
      <c r="F1693" s="22" t="s">
        <v>12</v>
      </c>
    </row>
    <row r="1694" ht="18.6" customHeight="1" spans="1:6">
      <c r="A1694" s="22">
        <v>1693</v>
      </c>
      <c r="B1694" s="23" t="s">
        <v>2026</v>
      </c>
      <c r="C1694" s="23" t="s">
        <v>448</v>
      </c>
      <c r="D1694" s="23" t="s">
        <v>457</v>
      </c>
      <c r="E1694" s="23" t="s">
        <v>1700</v>
      </c>
      <c r="F1694" s="23" t="s">
        <v>12</v>
      </c>
    </row>
    <row r="1695" ht="18.6" customHeight="1" spans="1:6">
      <c r="A1695" s="23">
        <v>1694</v>
      </c>
      <c r="B1695" s="22" t="s">
        <v>2027</v>
      </c>
      <c r="C1695" s="22" t="s">
        <v>448</v>
      </c>
      <c r="D1695" s="22" t="s">
        <v>449</v>
      </c>
      <c r="E1695" s="22" t="s">
        <v>1700</v>
      </c>
      <c r="F1695" s="22" t="s">
        <v>12</v>
      </c>
    </row>
    <row r="1696" ht="18.6" customHeight="1" spans="1:6">
      <c r="A1696" s="22">
        <v>1695</v>
      </c>
      <c r="B1696" s="23" t="s">
        <v>2028</v>
      </c>
      <c r="C1696" s="23" t="s">
        <v>448</v>
      </c>
      <c r="D1696" s="23" t="s">
        <v>477</v>
      </c>
      <c r="E1696" s="23" t="s">
        <v>1700</v>
      </c>
      <c r="F1696" s="23" t="s">
        <v>12</v>
      </c>
    </row>
    <row r="1697" ht="18.6" customHeight="1" spans="1:6">
      <c r="A1697" s="23">
        <v>1696</v>
      </c>
      <c r="B1697" s="22" t="s">
        <v>2029</v>
      </c>
      <c r="C1697" s="22" t="s">
        <v>448</v>
      </c>
      <c r="D1697" s="22" t="s">
        <v>449</v>
      </c>
      <c r="E1697" s="22" t="s">
        <v>1700</v>
      </c>
      <c r="F1697" s="22" t="s">
        <v>12</v>
      </c>
    </row>
    <row r="1698" ht="18.6" customHeight="1" spans="1:6">
      <c r="A1698" s="22">
        <v>1697</v>
      </c>
      <c r="B1698" s="23" t="s">
        <v>2030</v>
      </c>
      <c r="C1698" s="23" t="s">
        <v>448</v>
      </c>
      <c r="D1698" s="23" t="s">
        <v>449</v>
      </c>
      <c r="E1698" s="23" t="s">
        <v>1700</v>
      </c>
      <c r="F1698" s="23" t="s">
        <v>12</v>
      </c>
    </row>
    <row r="1699" ht="18.6" customHeight="1" spans="1:6">
      <c r="A1699" s="23">
        <v>1698</v>
      </c>
      <c r="B1699" s="22" t="s">
        <v>2031</v>
      </c>
      <c r="C1699" s="22" t="s">
        <v>448</v>
      </c>
      <c r="D1699" s="22" t="s">
        <v>477</v>
      </c>
      <c r="E1699" s="22" t="s">
        <v>1700</v>
      </c>
      <c r="F1699" s="22" t="s">
        <v>12</v>
      </c>
    </row>
    <row r="1700" ht="18.6" customHeight="1" spans="1:6">
      <c r="A1700" s="22">
        <v>1699</v>
      </c>
      <c r="B1700" s="23" t="s">
        <v>2032</v>
      </c>
      <c r="C1700" s="23" t="s">
        <v>448</v>
      </c>
      <c r="D1700" s="23" t="s">
        <v>467</v>
      </c>
      <c r="E1700" s="23" t="s">
        <v>1700</v>
      </c>
      <c r="F1700" s="23" t="s">
        <v>12</v>
      </c>
    </row>
    <row r="1701" ht="18.6" customHeight="1" spans="1:6">
      <c r="A1701" s="23">
        <v>1700</v>
      </c>
      <c r="B1701" s="22" t="s">
        <v>2033</v>
      </c>
      <c r="C1701" s="22" t="s">
        <v>448</v>
      </c>
      <c r="D1701" s="22" t="s">
        <v>457</v>
      </c>
      <c r="E1701" s="22" t="s">
        <v>1700</v>
      </c>
      <c r="F1701" s="22" t="s">
        <v>12</v>
      </c>
    </row>
    <row r="1702" ht="18.6" customHeight="1" spans="1:6">
      <c r="A1702" s="22">
        <v>1701</v>
      </c>
      <c r="B1702" s="23" t="s">
        <v>2034</v>
      </c>
      <c r="C1702" s="23" t="s">
        <v>448</v>
      </c>
      <c r="D1702" s="23" t="s">
        <v>449</v>
      </c>
      <c r="E1702" s="23" t="s">
        <v>1700</v>
      </c>
      <c r="F1702" s="23" t="s">
        <v>12</v>
      </c>
    </row>
    <row r="1703" ht="18.6" customHeight="1" spans="1:6">
      <c r="A1703" s="23">
        <v>1702</v>
      </c>
      <c r="B1703" s="22" t="s">
        <v>2035</v>
      </c>
      <c r="C1703" s="22" t="s">
        <v>448</v>
      </c>
      <c r="D1703" s="22" t="s">
        <v>449</v>
      </c>
      <c r="E1703" s="22" t="s">
        <v>1700</v>
      </c>
      <c r="F1703" s="22" t="s">
        <v>12</v>
      </c>
    </row>
    <row r="1704" ht="18.6" customHeight="1" spans="1:6">
      <c r="A1704" s="22">
        <v>1703</v>
      </c>
      <c r="B1704" s="23" t="s">
        <v>2036</v>
      </c>
      <c r="C1704" s="23" t="s">
        <v>448</v>
      </c>
      <c r="D1704" s="23" t="s">
        <v>449</v>
      </c>
      <c r="E1704" s="23" t="s">
        <v>1700</v>
      </c>
      <c r="F1704" s="23" t="s">
        <v>12</v>
      </c>
    </row>
    <row r="1705" ht="18.6" customHeight="1" spans="1:6">
      <c r="A1705" s="23">
        <v>1704</v>
      </c>
      <c r="B1705" s="22" t="s">
        <v>2037</v>
      </c>
      <c r="C1705" s="22" t="s">
        <v>448</v>
      </c>
      <c r="D1705" s="22" t="s">
        <v>449</v>
      </c>
      <c r="E1705" s="22" t="s">
        <v>1700</v>
      </c>
      <c r="F1705" s="22" t="s">
        <v>12</v>
      </c>
    </row>
    <row r="1706" ht="18.6" customHeight="1" spans="1:6">
      <c r="A1706" s="22">
        <v>1705</v>
      </c>
      <c r="B1706" s="23" t="s">
        <v>2038</v>
      </c>
      <c r="C1706" s="23" t="s">
        <v>448</v>
      </c>
      <c r="D1706" s="23" t="s">
        <v>449</v>
      </c>
      <c r="E1706" s="23" t="s">
        <v>1700</v>
      </c>
      <c r="F1706" s="23" t="s">
        <v>12</v>
      </c>
    </row>
    <row r="1707" ht="18.6" customHeight="1" spans="1:6">
      <c r="A1707" s="23">
        <v>1706</v>
      </c>
      <c r="B1707" s="22" t="s">
        <v>2039</v>
      </c>
      <c r="C1707" s="22" t="s">
        <v>448</v>
      </c>
      <c r="D1707" s="22" t="s">
        <v>449</v>
      </c>
      <c r="E1707" s="22" t="s">
        <v>1700</v>
      </c>
      <c r="F1707" s="22" t="s">
        <v>12</v>
      </c>
    </row>
    <row r="1708" ht="18.6" customHeight="1" spans="1:6">
      <c r="A1708" s="22">
        <v>1707</v>
      </c>
      <c r="B1708" s="23" t="s">
        <v>2040</v>
      </c>
      <c r="C1708" s="23" t="s">
        <v>448</v>
      </c>
      <c r="D1708" s="23" t="s">
        <v>449</v>
      </c>
      <c r="E1708" s="23" t="s">
        <v>1700</v>
      </c>
      <c r="F1708" s="23" t="s">
        <v>12</v>
      </c>
    </row>
    <row r="1709" ht="18.6" customHeight="1" spans="1:6">
      <c r="A1709" s="23">
        <v>1708</v>
      </c>
      <c r="B1709" s="22" t="s">
        <v>2041</v>
      </c>
      <c r="C1709" s="22" t="s">
        <v>448</v>
      </c>
      <c r="D1709" s="22" t="s">
        <v>449</v>
      </c>
      <c r="E1709" s="22" t="s">
        <v>1700</v>
      </c>
      <c r="F1709" s="22" t="s">
        <v>12</v>
      </c>
    </row>
    <row r="1710" ht="18.6" customHeight="1" spans="1:6">
      <c r="A1710" s="22">
        <v>1709</v>
      </c>
      <c r="B1710" s="23" t="s">
        <v>2042</v>
      </c>
      <c r="C1710" s="23" t="s">
        <v>448</v>
      </c>
      <c r="D1710" s="23" t="s">
        <v>465</v>
      </c>
      <c r="E1710" s="23" t="s">
        <v>1700</v>
      </c>
      <c r="F1710" s="23" t="s">
        <v>12</v>
      </c>
    </row>
    <row r="1711" ht="18.6" customHeight="1" spans="1:6">
      <c r="A1711" s="23">
        <v>1710</v>
      </c>
      <c r="B1711" s="22" t="s">
        <v>2043</v>
      </c>
      <c r="C1711" s="22" t="s">
        <v>448</v>
      </c>
      <c r="D1711" s="22" t="s">
        <v>473</v>
      </c>
      <c r="E1711" s="22" t="s">
        <v>1700</v>
      </c>
      <c r="F1711" s="22" t="s">
        <v>12</v>
      </c>
    </row>
    <row r="1712" ht="18.6" customHeight="1" spans="1:6">
      <c r="A1712" s="22">
        <v>1711</v>
      </c>
      <c r="B1712" s="23" t="s">
        <v>2044</v>
      </c>
      <c r="C1712" s="23" t="s">
        <v>448</v>
      </c>
      <c r="D1712" s="23" t="s">
        <v>463</v>
      </c>
      <c r="E1712" s="23" t="s">
        <v>1700</v>
      </c>
      <c r="F1712" s="23" t="s">
        <v>12</v>
      </c>
    </row>
    <row r="1713" ht="18.6" customHeight="1" spans="1:6">
      <c r="A1713" s="23">
        <v>1712</v>
      </c>
      <c r="B1713" s="22" t="s">
        <v>2045</v>
      </c>
      <c r="C1713" s="22" t="s">
        <v>448</v>
      </c>
      <c r="D1713" s="22" t="s">
        <v>484</v>
      </c>
      <c r="E1713" s="22" t="s">
        <v>1700</v>
      </c>
      <c r="F1713" s="22" t="s">
        <v>12</v>
      </c>
    </row>
    <row r="1714" ht="18.6" customHeight="1" spans="1:6">
      <c r="A1714" s="22">
        <v>1713</v>
      </c>
      <c r="B1714" s="23" t="s">
        <v>2046</v>
      </c>
      <c r="C1714" s="23" t="s">
        <v>448</v>
      </c>
      <c r="D1714" s="23" t="s">
        <v>470</v>
      </c>
      <c r="E1714" s="23" t="s">
        <v>1700</v>
      </c>
      <c r="F1714" s="23" t="s">
        <v>12</v>
      </c>
    </row>
    <row r="1715" ht="18.6" customHeight="1" spans="1:6">
      <c r="A1715" s="23">
        <v>1714</v>
      </c>
      <c r="B1715" s="22" t="s">
        <v>2047</v>
      </c>
      <c r="C1715" s="22" t="s">
        <v>448</v>
      </c>
      <c r="D1715" s="22" t="s">
        <v>460</v>
      </c>
      <c r="E1715" s="22" t="s">
        <v>1700</v>
      </c>
      <c r="F1715" s="22" t="s">
        <v>12</v>
      </c>
    </row>
    <row r="1716" ht="18.6" customHeight="1" spans="1:6">
      <c r="A1716" s="22">
        <v>1715</v>
      </c>
      <c r="B1716" s="23" t="s">
        <v>2048</v>
      </c>
      <c r="C1716" s="23" t="s">
        <v>448</v>
      </c>
      <c r="D1716" s="23" t="s">
        <v>477</v>
      </c>
      <c r="E1716" s="23" t="s">
        <v>1700</v>
      </c>
      <c r="F1716" s="23" t="s">
        <v>12</v>
      </c>
    </row>
    <row r="1717" ht="18.6" customHeight="1" spans="1:6">
      <c r="A1717" s="23">
        <v>1716</v>
      </c>
      <c r="B1717" s="22" t="s">
        <v>2049</v>
      </c>
      <c r="C1717" s="22" t="s">
        <v>448</v>
      </c>
      <c r="D1717" s="22" t="s">
        <v>449</v>
      </c>
      <c r="E1717" s="22" t="s">
        <v>1700</v>
      </c>
      <c r="F1717" s="22" t="s">
        <v>12</v>
      </c>
    </row>
    <row r="1718" ht="18.6" customHeight="1" spans="1:6">
      <c r="A1718" s="22">
        <v>1717</v>
      </c>
      <c r="B1718" s="23" t="s">
        <v>2050</v>
      </c>
      <c r="C1718" s="23" t="s">
        <v>448</v>
      </c>
      <c r="D1718" s="23" t="s">
        <v>465</v>
      </c>
      <c r="E1718" s="23" t="s">
        <v>1700</v>
      </c>
      <c r="F1718" s="23" t="s">
        <v>12</v>
      </c>
    </row>
    <row r="1719" ht="18.6" customHeight="1" spans="1:6">
      <c r="A1719" s="23">
        <v>1718</v>
      </c>
      <c r="B1719" s="22" t="s">
        <v>2051</v>
      </c>
      <c r="C1719" s="22" t="s">
        <v>448</v>
      </c>
      <c r="D1719" s="22" t="s">
        <v>477</v>
      </c>
      <c r="E1719" s="22" t="s">
        <v>1700</v>
      </c>
      <c r="F1719" s="22" t="s">
        <v>12</v>
      </c>
    </row>
    <row r="1720" ht="18.6" customHeight="1" spans="1:6">
      <c r="A1720" s="22">
        <v>1719</v>
      </c>
      <c r="B1720" s="23" t="s">
        <v>2052</v>
      </c>
      <c r="C1720" s="23" t="s">
        <v>448</v>
      </c>
      <c r="D1720" s="23" t="s">
        <v>467</v>
      </c>
      <c r="E1720" s="23" t="s">
        <v>1700</v>
      </c>
      <c r="F1720" s="23" t="s">
        <v>12</v>
      </c>
    </row>
    <row r="1721" ht="18.6" customHeight="1" spans="1:6">
      <c r="A1721" s="23">
        <v>1720</v>
      </c>
      <c r="B1721" s="22" t="s">
        <v>2053</v>
      </c>
      <c r="C1721" s="22" t="s">
        <v>448</v>
      </c>
      <c r="D1721" s="22" t="s">
        <v>454</v>
      </c>
      <c r="E1721" s="22" t="s">
        <v>1700</v>
      </c>
      <c r="F1721" s="22" t="s">
        <v>12</v>
      </c>
    </row>
    <row r="1722" ht="18.6" customHeight="1" spans="1:6">
      <c r="A1722" s="22">
        <v>1721</v>
      </c>
      <c r="B1722" s="23" t="s">
        <v>2054</v>
      </c>
      <c r="C1722" s="23" t="s">
        <v>448</v>
      </c>
      <c r="D1722" s="23" t="s">
        <v>449</v>
      </c>
      <c r="E1722" s="23" t="s">
        <v>1700</v>
      </c>
      <c r="F1722" s="23" t="s">
        <v>12</v>
      </c>
    </row>
    <row r="1723" ht="18.6" customHeight="1" spans="1:6">
      <c r="A1723" s="23">
        <v>1722</v>
      </c>
      <c r="B1723" s="22" t="s">
        <v>2055</v>
      </c>
      <c r="C1723" s="22" t="s">
        <v>448</v>
      </c>
      <c r="D1723" s="22" t="s">
        <v>457</v>
      </c>
      <c r="E1723" s="22" t="s">
        <v>1700</v>
      </c>
      <c r="F1723" s="22" t="s">
        <v>12</v>
      </c>
    </row>
    <row r="1724" ht="18.6" customHeight="1" spans="1:6">
      <c r="A1724" s="22">
        <v>1723</v>
      </c>
      <c r="B1724" s="23" t="s">
        <v>2056</v>
      </c>
      <c r="C1724" s="23" t="s">
        <v>448</v>
      </c>
      <c r="D1724" s="23" t="s">
        <v>465</v>
      </c>
      <c r="E1724" s="23" t="s">
        <v>1700</v>
      </c>
      <c r="F1724" s="23" t="s">
        <v>12</v>
      </c>
    </row>
    <row r="1725" ht="18.6" customHeight="1" spans="1:6">
      <c r="A1725" s="23">
        <v>1724</v>
      </c>
      <c r="B1725" s="22" t="s">
        <v>2057</v>
      </c>
      <c r="C1725" s="22" t="s">
        <v>448</v>
      </c>
      <c r="D1725" s="22" t="s">
        <v>449</v>
      </c>
      <c r="E1725" s="22" t="s">
        <v>1700</v>
      </c>
      <c r="F1725" s="22" t="s">
        <v>12</v>
      </c>
    </row>
    <row r="1726" ht="18.6" customHeight="1" spans="1:6">
      <c r="A1726" s="22">
        <v>1725</v>
      </c>
      <c r="B1726" s="23" t="s">
        <v>2058</v>
      </c>
      <c r="C1726" s="23" t="s">
        <v>448</v>
      </c>
      <c r="D1726" s="23" t="s">
        <v>457</v>
      </c>
      <c r="E1726" s="23" t="s">
        <v>1700</v>
      </c>
      <c r="F1726" s="23" t="s">
        <v>12</v>
      </c>
    </row>
    <row r="1727" ht="18.6" customHeight="1" spans="1:6">
      <c r="A1727" s="23">
        <v>1726</v>
      </c>
      <c r="B1727" s="22" t="s">
        <v>2059</v>
      </c>
      <c r="C1727" s="22" t="s">
        <v>448</v>
      </c>
      <c r="D1727" s="22" t="s">
        <v>454</v>
      </c>
      <c r="E1727" s="22" t="s">
        <v>1700</v>
      </c>
      <c r="F1727" s="22" t="s">
        <v>12</v>
      </c>
    </row>
    <row r="1728" ht="18.6" customHeight="1" spans="1:6">
      <c r="A1728" s="22">
        <v>1727</v>
      </c>
      <c r="B1728" s="23" t="s">
        <v>2060</v>
      </c>
      <c r="C1728" s="23" t="s">
        <v>448</v>
      </c>
      <c r="D1728" s="23" t="s">
        <v>477</v>
      </c>
      <c r="E1728" s="23" t="s">
        <v>1700</v>
      </c>
      <c r="F1728" s="23" t="s">
        <v>12</v>
      </c>
    </row>
    <row r="1729" ht="18.6" customHeight="1" spans="1:6">
      <c r="A1729" s="23">
        <v>1728</v>
      </c>
      <c r="B1729" s="22" t="s">
        <v>2061</v>
      </c>
      <c r="C1729" s="22" t="s">
        <v>502</v>
      </c>
      <c r="D1729" s="22" t="s">
        <v>524</v>
      </c>
      <c r="E1729" s="22" t="s">
        <v>1700</v>
      </c>
      <c r="F1729" s="22" t="s">
        <v>12</v>
      </c>
    </row>
    <row r="1730" ht="18.6" customHeight="1" spans="1:6">
      <c r="A1730" s="22">
        <v>1729</v>
      </c>
      <c r="B1730" s="23" t="s">
        <v>2062</v>
      </c>
      <c r="C1730" s="23" t="s">
        <v>502</v>
      </c>
      <c r="D1730" s="23" t="s">
        <v>509</v>
      </c>
      <c r="E1730" s="23" t="s">
        <v>1700</v>
      </c>
      <c r="F1730" s="23" t="s">
        <v>12</v>
      </c>
    </row>
    <row r="1731" ht="18.6" customHeight="1" spans="1:6">
      <c r="A1731" s="23">
        <v>1730</v>
      </c>
      <c r="B1731" s="22" t="s">
        <v>2063</v>
      </c>
      <c r="C1731" s="22" t="s">
        <v>502</v>
      </c>
      <c r="D1731" s="22" t="s">
        <v>511</v>
      </c>
      <c r="E1731" s="22" t="s">
        <v>1700</v>
      </c>
      <c r="F1731" s="22" t="s">
        <v>12</v>
      </c>
    </row>
    <row r="1732" ht="18.6" customHeight="1" spans="1:6">
      <c r="A1732" s="22">
        <v>1731</v>
      </c>
      <c r="B1732" s="23" t="s">
        <v>2064</v>
      </c>
      <c r="C1732" s="23" t="s">
        <v>502</v>
      </c>
      <c r="D1732" s="23" t="s">
        <v>503</v>
      </c>
      <c r="E1732" s="23" t="s">
        <v>1700</v>
      </c>
      <c r="F1732" s="23" t="s">
        <v>12</v>
      </c>
    </row>
    <row r="1733" ht="18.6" customHeight="1" spans="1:6">
      <c r="A1733" s="23">
        <v>1732</v>
      </c>
      <c r="B1733" s="22" t="s">
        <v>2065</v>
      </c>
      <c r="C1733" s="22" t="s">
        <v>502</v>
      </c>
      <c r="D1733" s="22" t="s">
        <v>520</v>
      </c>
      <c r="E1733" s="22" t="s">
        <v>1700</v>
      </c>
      <c r="F1733" s="22" t="s">
        <v>12</v>
      </c>
    </row>
    <row r="1734" ht="18.6" customHeight="1" spans="1:6">
      <c r="A1734" s="22">
        <v>1733</v>
      </c>
      <c r="B1734" s="23" t="s">
        <v>2066</v>
      </c>
      <c r="C1734" s="23" t="s">
        <v>502</v>
      </c>
      <c r="D1734" s="23" t="s">
        <v>537</v>
      </c>
      <c r="E1734" s="23" t="s">
        <v>1700</v>
      </c>
      <c r="F1734" s="23" t="s">
        <v>12</v>
      </c>
    </row>
    <row r="1735" ht="18.6" customHeight="1" spans="1:6">
      <c r="A1735" s="23">
        <v>1734</v>
      </c>
      <c r="B1735" s="22" t="s">
        <v>2067</v>
      </c>
      <c r="C1735" s="22" t="s">
        <v>502</v>
      </c>
      <c r="D1735" s="22" t="s">
        <v>503</v>
      </c>
      <c r="E1735" s="22" t="s">
        <v>1700</v>
      </c>
      <c r="F1735" s="22" t="s">
        <v>12</v>
      </c>
    </row>
    <row r="1736" ht="18.6" customHeight="1" spans="1:6">
      <c r="A1736" s="22">
        <v>1735</v>
      </c>
      <c r="B1736" s="23" t="s">
        <v>2068</v>
      </c>
      <c r="C1736" s="23" t="s">
        <v>502</v>
      </c>
      <c r="D1736" s="23" t="s">
        <v>509</v>
      </c>
      <c r="E1736" s="23" t="s">
        <v>1700</v>
      </c>
      <c r="F1736" s="23" t="s">
        <v>12</v>
      </c>
    </row>
    <row r="1737" ht="18.6" customHeight="1" spans="1:6">
      <c r="A1737" s="23">
        <v>1736</v>
      </c>
      <c r="B1737" s="22" t="s">
        <v>2069</v>
      </c>
      <c r="C1737" s="22" t="s">
        <v>502</v>
      </c>
      <c r="D1737" s="22" t="s">
        <v>503</v>
      </c>
      <c r="E1737" s="22" t="s">
        <v>1700</v>
      </c>
      <c r="F1737" s="22" t="s">
        <v>12</v>
      </c>
    </row>
    <row r="1738" ht="18.6" customHeight="1" spans="1:6">
      <c r="A1738" s="22">
        <v>1737</v>
      </c>
      <c r="B1738" s="23" t="s">
        <v>2070</v>
      </c>
      <c r="C1738" s="23" t="s">
        <v>502</v>
      </c>
      <c r="D1738" s="23" t="s">
        <v>503</v>
      </c>
      <c r="E1738" s="23" t="s">
        <v>1700</v>
      </c>
      <c r="F1738" s="23" t="s">
        <v>12</v>
      </c>
    </row>
    <row r="1739" ht="18.6" customHeight="1" spans="1:6">
      <c r="A1739" s="23">
        <v>1738</v>
      </c>
      <c r="B1739" s="22" t="s">
        <v>2071</v>
      </c>
      <c r="C1739" s="22" t="s">
        <v>502</v>
      </c>
      <c r="D1739" s="22" t="s">
        <v>509</v>
      </c>
      <c r="E1739" s="22" t="s">
        <v>1700</v>
      </c>
      <c r="F1739" s="22" t="s">
        <v>12</v>
      </c>
    </row>
    <row r="1740" ht="18.6" customHeight="1" spans="1:6">
      <c r="A1740" s="22">
        <v>1739</v>
      </c>
      <c r="B1740" s="23" t="s">
        <v>2072</v>
      </c>
      <c r="C1740" s="23" t="s">
        <v>502</v>
      </c>
      <c r="D1740" s="23" t="s">
        <v>533</v>
      </c>
      <c r="E1740" s="23" t="s">
        <v>1700</v>
      </c>
      <c r="F1740" s="23" t="s">
        <v>12</v>
      </c>
    </row>
    <row r="1741" ht="18.6" customHeight="1" spans="1:6">
      <c r="A1741" s="23">
        <v>1740</v>
      </c>
      <c r="B1741" s="22" t="s">
        <v>2073</v>
      </c>
      <c r="C1741" s="22" t="s">
        <v>502</v>
      </c>
      <c r="D1741" s="22" t="s">
        <v>528</v>
      </c>
      <c r="E1741" s="22" t="s">
        <v>1700</v>
      </c>
      <c r="F1741" s="22" t="s">
        <v>12</v>
      </c>
    </row>
    <row r="1742" ht="18.6" customHeight="1" spans="1:6">
      <c r="A1742" s="22">
        <v>1741</v>
      </c>
      <c r="B1742" s="23" t="s">
        <v>2074</v>
      </c>
      <c r="C1742" s="23" t="s">
        <v>502</v>
      </c>
      <c r="D1742" s="23" t="s">
        <v>515</v>
      </c>
      <c r="E1742" s="23" t="s">
        <v>1700</v>
      </c>
      <c r="F1742" s="23" t="s">
        <v>12</v>
      </c>
    </row>
    <row r="1743" ht="18.6" customHeight="1" spans="1:6">
      <c r="A1743" s="23">
        <v>1742</v>
      </c>
      <c r="B1743" s="22" t="s">
        <v>2075</v>
      </c>
      <c r="C1743" s="22" t="s">
        <v>502</v>
      </c>
      <c r="D1743" s="22" t="s">
        <v>503</v>
      </c>
      <c r="E1743" s="22" t="s">
        <v>1700</v>
      </c>
      <c r="F1743" s="22" t="s">
        <v>12</v>
      </c>
    </row>
    <row r="1744" ht="18.6" customHeight="1" spans="1:6">
      <c r="A1744" s="22">
        <v>1743</v>
      </c>
      <c r="B1744" s="23" t="s">
        <v>2076</v>
      </c>
      <c r="C1744" s="23" t="s">
        <v>502</v>
      </c>
      <c r="D1744" s="23" t="s">
        <v>503</v>
      </c>
      <c r="E1744" s="23" t="s">
        <v>1700</v>
      </c>
      <c r="F1744" s="23" t="s">
        <v>12</v>
      </c>
    </row>
    <row r="1745" ht="18.6" customHeight="1" spans="1:6">
      <c r="A1745" s="23">
        <v>1744</v>
      </c>
      <c r="B1745" s="22" t="s">
        <v>2077</v>
      </c>
      <c r="C1745" s="22" t="s">
        <v>502</v>
      </c>
      <c r="D1745" s="22" t="s">
        <v>511</v>
      </c>
      <c r="E1745" s="22" t="s">
        <v>1700</v>
      </c>
      <c r="F1745" s="22" t="s">
        <v>12</v>
      </c>
    </row>
    <row r="1746" ht="18.6" customHeight="1" spans="1:6">
      <c r="A1746" s="22">
        <v>1745</v>
      </c>
      <c r="B1746" s="23" t="s">
        <v>2078</v>
      </c>
      <c r="C1746" s="23" t="s">
        <v>502</v>
      </c>
      <c r="D1746" s="23" t="s">
        <v>503</v>
      </c>
      <c r="E1746" s="23" t="s">
        <v>1700</v>
      </c>
      <c r="F1746" s="23" t="s">
        <v>12</v>
      </c>
    </row>
    <row r="1747" ht="18.6" customHeight="1" spans="1:6">
      <c r="A1747" s="23">
        <v>1746</v>
      </c>
      <c r="B1747" s="22" t="s">
        <v>2079</v>
      </c>
      <c r="C1747" s="22" t="s">
        <v>502</v>
      </c>
      <c r="D1747" s="22" t="s">
        <v>530</v>
      </c>
      <c r="E1747" s="22" t="s">
        <v>1700</v>
      </c>
      <c r="F1747" s="22" t="s">
        <v>12</v>
      </c>
    </row>
    <row r="1748" ht="18.6" customHeight="1" spans="1:6">
      <c r="A1748" s="22">
        <v>1747</v>
      </c>
      <c r="B1748" s="23" t="s">
        <v>2080</v>
      </c>
      <c r="C1748" s="23" t="s">
        <v>502</v>
      </c>
      <c r="D1748" s="23" t="s">
        <v>543</v>
      </c>
      <c r="E1748" s="23" t="s">
        <v>1700</v>
      </c>
      <c r="F1748" s="23" t="s">
        <v>12</v>
      </c>
    </row>
    <row r="1749" ht="18.6" customHeight="1" spans="1:6">
      <c r="A1749" s="23">
        <v>1748</v>
      </c>
      <c r="B1749" s="22" t="s">
        <v>2081</v>
      </c>
      <c r="C1749" s="22" t="s">
        <v>502</v>
      </c>
      <c r="D1749" s="22" t="s">
        <v>2082</v>
      </c>
      <c r="E1749" s="22" t="s">
        <v>1700</v>
      </c>
      <c r="F1749" s="22" t="s">
        <v>12</v>
      </c>
    </row>
    <row r="1750" ht="18.6" customHeight="1" spans="1:6">
      <c r="A1750" s="22">
        <v>1749</v>
      </c>
      <c r="B1750" s="23" t="s">
        <v>2083</v>
      </c>
      <c r="C1750" s="23" t="s">
        <v>502</v>
      </c>
      <c r="D1750" s="23" t="s">
        <v>503</v>
      </c>
      <c r="E1750" s="23" t="s">
        <v>1700</v>
      </c>
      <c r="F1750" s="23" t="s">
        <v>12</v>
      </c>
    </row>
    <row r="1751" ht="18.6" customHeight="1" spans="1:6">
      <c r="A1751" s="23">
        <v>1750</v>
      </c>
      <c r="B1751" s="22" t="s">
        <v>2084</v>
      </c>
      <c r="C1751" s="22" t="s">
        <v>502</v>
      </c>
      <c r="D1751" s="22" t="s">
        <v>503</v>
      </c>
      <c r="E1751" s="22" t="s">
        <v>1700</v>
      </c>
      <c r="F1751" s="22" t="s">
        <v>12</v>
      </c>
    </row>
    <row r="1752" ht="18.6" customHeight="1" spans="1:6">
      <c r="A1752" s="22">
        <v>1751</v>
      </c>
      <c r="B1752" s="23" t="s">
        <v>2085</v>
      </c>
      <c r="C1752" s="23" t="s">
        <v>502</v>
      </c>
      <c r="D1752" s="23" t="s">
        <v>507</v>
      </c>
      <c r="E1752" s="23" t="s">
        <v>1700</v>
      </c>
      <c r="F1752" s="23" t="s">
        <v>12</v>
      </c>
    </row>
    <row r="1753" ht="18.6" customHeight="1" spans="1:6">
      <c r="A1753" s="23">
        <v>1752</v>
      </c>
      <c r="B1753" s="22" t="s">
        <v>2086</v>
      </c>
      <c r="C1753" s="22" t="s">
        <v>502</v>
      </c>
      <c r="D1753" s="22" t="s">
        <v>503</v>
      </c>
      <c r="E1753" s="22" t="s">
        <v>1700</v>
      </c>
      <c r="F1753" s="22" t="s">
        <v>12</v>
      </c>
    </row>
    <row r="1754" ht="18.6" customHeight="1" spans="1:6">
      <c r="A1754" s="22">
        <v>1753</v>
      </c>
      <c r="B1754" s="23" t="s">
        <v>2087</v>
      </c>
      <c r="C1754" s="23" t="s">
        <v>502</v>
      </c>
      <c r="D1754" s="23" t="s">
        <v>511</v>
      </c>
      <c r="E1754" s="23" t="s">
        <v>1700</v>
      </c>
      <c r="F1754" s="23" t="s">
        <v>12</v>
      </c>
    </row>
    <row r="1755" ht="18.6" customHeight="1" spans="1:6">
      <c r="A1755" s="23">
        <v>1754</v>
      </c>
      <c r="B1755" s="22" t="s">
        <v>2088</v>
      </c>
      <c r="C1755" s="22" t="s">
        <v>502</v>
      </c>
      <c r="D1755" s="22" t="s">
        <v>503</v>
      </c>
      <c r="E1755" s="22" t="s">
        <v>1700</v>
      </c>
      <c r="F1755" s="22" t="s">
        <v>12</v>
      </c>
    </row>
    <row r="1756" ht="18.6" customHeight="1" spans="1:6">
      <c r="A1756" s="22">
        <v>1755</v>
      </c>
      <c r="B1756" s="23" t="s">
        <v>2089</v>
      </c>
      <c r="C1756" s="23" t="s">
        <v>502</v>
      </c>
      <c r="D1756" s="23" t="s">
        <v>503</v>
      </c>
      <c r="E1756" s="23" t="s">
        <v>1700</v>
      </c>
      <c r="F1756" s="23" t="s">
        <v>12</v>
      </c>
    </row>
    <row r="1757" ht="18.6" customHeight="1" spans="1:6">
      <c r="A1757" s="23">
        <v>1756</v>
      </c>
      <c r="B1757" s="22" t="s">
        <v>2090</v>
      </c>
      <c r="C1757" s="22" t="s">
        <v>502</v>
      </c>
      <c r="D1757" s="22" t="s">
        <v>545</v>
      </c>
      <c r="E1757" s="22" t="s">
        <v>1700</v>
      </c>
      <c r="F1757" s="22" t="s">
        <v>12</v>
      </c>
    </row>
    <row r="1758" ht="18.6" customHeight="1" spans="1:6">
      <c r="A1758" s="22">
        <v>1757</v>
      </c>
      <c r="B1758" s="23" t="s">
        <v>2091</v>
      </c>
      <c r="C1758" s="23" t="s">
        <v>502</v>
      </c>
      <c r="D1758" s="23" t="s">
        <v>528</v>
      </c>
      <c r="E1758" s="23" t="s">
        <v>1700</v>
      </c>
      <c r="F1758" s="23" t="s">
        <v>12</v>
      </c>
    </row>
    <row r="1759" ht="18.6" customHeight="1" spans="1:6">
      <c r="A1759" s="23">
        <v>1758</v>
      </c>
      <c r="B1759" s="22" t="s">
        <v>2092</v>
      </c>
      <c r="C1759" s="22" t="s">
        <v>502</v>
      </c>
      <c r="D1759" s="22" t="s">
        <v>522</v>
      </c>
      <c r="E1759" s="22" t="s">
        <v>1700</v>
      </c>
      <c r="F1759" s="22" t="s">
        <v>12</v>
      </c>
    </row>
    <row r="1760" ht="18.6" customHeight="1" spans="1:6">
      <c r="A1760" s="22">
        <v>1759</v>
      </c>
      <c r="B1760" s="23" t="s">
        <v>2093</v>
      </c>
      <c r="C1760" s="23" t="s">
        <v>502</v>
      </c>
      <c r="D1760" s="23" t="s">
        <v>503</v>
      </c>
      <c r="E1760" s="23" t="s">
        <v>1700</v>
      </c>
      <c r="F1760" s="23" t="s">
        <v>12</v>
      </c>
    </row>
    <row r="1761" ht="18.6" customHeight="1" spans="1:6">
      <c r="A1761" s="23">
        <v>1760</v>
      </c>
      <c r="B1761" s="22" t="s">
        <v>2094</v>
      </c>
      <c r="C1761" s="22" t="s">
        <v>502</v>
      </c>
      <c r="D1761" s="22" t="s">
        <v>507</v>
      </c>
      <c r="E1761" s="22" t="s">
        <v>1700</v>
      </c>
      <c r="F1761" s="22" t="s">
        <v>12</v>
      </c>
    </row>
    <row r="1762" ht="18.6" customHeight="1" spans="1:6">
      <c r="A1762" s="22">
        <v>1761</v>
      </c>
      <c r="B1762" s="23" t="s">
        <v>2095</v>
      </c>
      <c r="C1762" s="23" t="s">
        <v>502</v>
      </c>
      <c r="D1762" s="23" t="s">
        <v>503</v>
      </c>
      <c r="E1762" s="23" t="s">
        <v>1700</v>
      </c>
      <c r="F1762" s="23" t="s">
        <v>12</v>
      </c>
    </row>
    <row r="1763" ht="18.6" customHeight="1" spans="1:6">
      <c r="A1763" s="23">
        <v>1762</v>
      </c>
      <c r="B1763" s="22" t="s">
        <v>2096</v>
      </c>
      <c r="C1763" s="22" t="s">
        <v>502</v>
      </c>
      <c r="D1763" s="22" t="s">
        <v>503</v>
      </c>
      <c r="E1763" s="22" t="s">
        <v>1700</v>
      </c>
      <c r="F1763" s="22" t="s">
        <v>12</v>
      </c>
    </row>
    <row r="1764" ht="18.6" customHeight="1" spans="1:6">
      <c r="A1764" s="22">
        <v>1763</v>
      </c>
      <c r="B1764" s="23" t="s">
        <v>2097</v>
      </c>
      <c r="C1764" s="23" t="s">
        <v>502</v>
      </c>
      <c r="D1764" s="23" t="s">
        <v>503</v>
      </c>
      <c r="E1764" s="23" t="s">
        <v>1700</v>
      </c>
      <c r="F1764" s="23" t="s">
        <v>12</v>
      </c>
    </row>
    <row r="1765" ht="18.6" customHeight="1" spans="1:6">
      <c r="A1765" s="23">
        <v>1764</v>
      </c>
      <c r="B1765" s="22" t="s">
        <v>2098</v>
      </c>
      <c r="C1765" s="22" t="s">
        <v>502</v>
      </c>
      <c r="D1765" s="22" t="s">
        <v>503</v>
      </c>
      <c r="E1765" s="22" t="s">
        <v>1700</v>
      </c>
      <c r="F1765" s="22" t="s">
        <v>12</v>
      </c>
    </row>
    <row r="1766" ht="18.6" customHeight="1" spans="1:6">
      <c r="A1766" s="22">
        <v>1765</v>
      </c>
      <c r="B1766" s="23" t="s">
        <v>2099</v>
      </c>
      <c r="C1766" s="23" t="s">
        <v>502</v>
      </c>
      <c r="D1766" s="23" t="s">
        <v>503</v>
      </c>
      <c r="E1766" s="23" t="s">
        <v>1700</v>
      </c>
      <c r="F1766" s="23" t="s">
        <v>12</v>
      </c>
    </row>
    <row r="1767" ht="18.6" customHeight="1" spans="1:6">
      <c r="A1767" s="23">
        <v>1766</v>
      </c>
      <c r="B1767" s="22" t="s">
        <v>2100</v>
      </c>
      <c r="C1767" s="22" t="s">
        <v>502</v>
      </c>
      <c r="D1767" s="22" t="s">
        <v>503</v>
      </c>
      <c r="E1767" s="22" t="s">
        <v>1700</v>
      </c>
      <c r="F1767" s="22" t="s">
        <v>12</v>
      </c>
    </row>
    <row r="1768" ht="18.6" customHeight="1" spans="1:6">
      <c r="A1768" s="22">
        <v>1767</v>
      </c>
      <c r="B1768" s="23" t="s">
        <v>2101</v>
      </c>
      <c r="C1768" s="23" t="s">
        <v>502</v>
      </c>
      <c r="D1768" s="23" t="s">
        <v>503</v>
      </c>
      <c r="E1768" s="23" t="s">
        <v>1700</v>
      </c>
      <c r="F1768" s="23" t="s">
        <v>12</v>
      </c>
    </row>
    <row r="1769" ht="18.6" customHeight="1" spans="1:6">
      <c r="A1769" s="23">
        <v>1768</v>
      </c>
      <c r="B1769" s="22" t="s">
        <v>2102</v>
      </c>
      <c r="C1769" s="22" t="s">
        <v>502</v>
      </c>
      <c r="D1769" s="22" t="s">
        <v>537</v>
      </c>
      <c r="E1769" s="22" t="s">
        <v>1700</v>
      </c>
      <c r="F1769" s="22" t="s">
        <v>12</v>
      </c>
    </row>
    <row r="1770" ht="18.6" customHeight="1" spans="1:6">
      <c r="A1770" s="22">
        <v>1769</v>
      </c>
      <c r="B1770" s="23" t="s">
        <v>2103</v>
      </c>
      <c r="C1770" s="23" t="s">
        <v>502</v>
      </c>
      <c r="D1770" s="23" t="s">
        <v>522</v>
      </c>
      <c r="E1770" s="23" t="s">
        <v>1700</v>
      </c>
      <c r="F1770" s="23" t="s">
        <v>12</v>
      </c>
    </row>
    <row r="1771" ht="18.6" customHeight="1" spans="1:6">
      <c r="A1771" s="23">
        <v>1770</v>
      </c>
      <c r="B1771" s="22" t="s">
        <v>2104</v>
      </c>
      <c r="C1771" s="22" t="s">
        <v>502</v>
      </c>
      <c r="D1771" s="22" t="s">
        <v>503</v>
      </c>
      <c r="E1771" s="22" t="s">
        <v>1700</v>
      </c>
      <c r="F1771" s="22" t="s">
        <v>12</v>
      </c>
    </row>
    <row r="1772" ht="18.6" customHeight="1" spans="1:6">
      <c r="A1772" s="22">
        <v>1771</v>
      </c>
      <c r="B1772" s="23" t="s">
        <v>2105</v>
      </c>
      <c r="C1772" s="23" t="s">
        <v>502</v>
      </c>
      <c r="D1772" s="23" t="s">
        <v>507</v>
      </c>
      <c r="E1772" s="23" t="s">
        <v>1700</v>
      </c>
      <c r="F1772" s="23" t="s">
        <v>12</v>
      </c>
    </row>
    <row r="1773" ht="18.6" customHeight="1" spans="1:6">
      <c r="A1773" s="23">
        <v>1772</v>
      </c>
      <c r="B1773" s="22" t="s">
        <v>2106</v>
      </c>
      <c r="C1773" s="22" t="s">
        <v>502</v>
      </c>
      <c r="D1773" s="22" t="s">
        <v>522</v>
      </c>
      <c r="E1773" s="22" t="s">
        <v>1700</v>
      </c>
      <c r="F1773" s="22" t="s">
        <v>12</v>
      </c>
    </row>
    <row r="1774" ht="18.6" customHeight="1" spans="1:6">
      <c r="A1774" s="22">
        <v>1773</v>
      </c>
      <c r="B1774" s="23" t="s">
        <v>2107</v>
      </c>
      <c r="C1774" s="23" t="s">
        <v>502</v>
      </c>
      <c r="D1774" s="23" t="s">
        <v>526</v>
      </c>
      <c r="E1774" s="23" t="s">
        <v>1700</v>
      </c>
      <c r="F1774" s="23" t="s">
        <v>12</v>
      </c>
    </row>
    <row r="1775" ht="18.6" customHeight="1" spans="1:6">
      <c r="A1775" s="23">
        <v>1774</v>
      </c>
      <c r="B1775" s="22" t="s">
        <v>2108</v>
      </c>
      <c r="C1775" s="22" t="s">
        <v>502</v>
      </c>
      <c r="D1775" s="22" t="s">
        <v>530</v>
      </c>
      <c r="E1775" s="22" t="s">
        <v>1700</v>
      </c>
      <c r="F1775" s="22" t="s">
        <v>12</v>
      </c>
    </row>
    <row r="1776" ht="18.6" customHeight="1" spans="1:6">
      <c r="A1776" s="22">
        <v>1775</v>
      </c>
      <c r="B1776" s="23" t="s">
        <v>2109</v>
      </c>
      <c r="C1776" s="23" t="s">
        <v>502</v>
      </c>
      <c r="D1776" s="23" t="s">
        <v>503</v>
      </c>
      <c r="E1776" s="23" t="s">
        <v>1700</v>
      </c>
      <c r="F1776" s="23" t="s">
        <v>12</v>
      </c>
    </row>
    <row r="1777" ht="18.6" customHeight="1" spans="1:6">
      <c r="A1777" s="23">
        <v>1776</v>
      </c>
      <c r="B1777" s="22" t="s">
        <v>2110</v>
      </c>
      <c r="C1777" s="22" t="s">
        <v>502</v>
      </c>
      <c r="D1777" s="22" t="s">
        <v>528</v>
      </c>
      <c r="E1777" s="22" t="s">
        <v>1700</v>
      </c>
      <c r="F1777" s="22" t="s">
        <v>12</v>
      </c>
    </row>
    <row r="1778" ht="18.6" customHeight="1" spans="1:6">
      <c r="A1778" s="22">
        <v>1777</v>
      </c>
      <c r="B1778" s="23" t="s">
        <v>2111</v>
      </c>
      <c r="C1778" s="23" t="s">
        <v>502</v>
      </c>
      <c r="D1778" s="23" t="s">
        <v>503</v>
      </c>
      <c r="E1778" s="23" t="s">
        <v>1700</v>
      </c>
      <c r="F1778" s="23" t="s">
        <v>12</v>
      </c>
    </row>
    <row r="1779" ht="18.6" customHeight="1" spans="1:6">
      <c r="A1779" s="23">
        <v>1778</v>
      </c>
      <c r="B1779" s="22" t="s">
        <v>2112</v>
      </c>
      <c r="C1779" s="22" t="s">
        <v>502</v>
      </c>
      <c r="D1779" s="22" t="s">
        <v>522</v>
      </c>
      <c r="E1779" s="22" t="s">
        <v>1700</v>
      </c>
      <c r="F1779" s="22" t="s">
        <v>12</v>
      </c>
    </row>
    <row r="1780" ht="18.6" customHeight="1" spans="1:6">
      <c r="A1780" s="22">
        <v>1779</v>
      </c>
      <c r="B1780" s="23" t="s">
        <v>2113</v>
      </c>
      <c r="C1780" s="23" t="s">
        <v>502</v>
      </c>
      <c r="D1780" s="23" t="s">
        <v>503</v>
      </c>
      <c r="E1780" s="23" t="s">
        <v>1700</v>
      </c>
      <c r="F1780" s="23" t="s">
        <v>12</v>
      </c>
    </row>
    <row r="1781" ht="18.6" customHeight="1" spans="1:6">
      <c r="A1781" s="23">
        <v>1780</v>
      </c>
      <c r="B1781" s="22" t="s">
        <v>2114</v>
      </c>
      <c r="C1781" s="22" t="s">
        <v>502</v>
      </c>
      <c r="D1781" s="22" t="s">
        <v>543</v>
      </c>
      <c r="E1781" s="22" t="s">
        <v>1700</v>
      </c>
      <c r="F1781" s="22" t="s">
        <v>12</v>
      </c>
    </row>
    <row r="1782" ht="18.6" customHeight="1" spans="1:6">
      <c r="A1782" s="22">
        <v>1781</v>
      </c>
      <c r="B1782" s="23" t="s">
        <v>2115</v>
      </c>
      <c r="C1782" s="23" t="s">
        <v>502</v>
      </c>
      <c r="D1782" s="23" t="s">
        <v>533</v>
      </c>
      <c r="E1782" s="23" t="s">
        <v>1700</v>
      </c>
      <c r="F1782" s="23" t="s">
        <v>12</v>
      </c>
    </row>
    <row r="1783" ht="18.6" customHeight="1" spans="1:6">
      <c r="A1783" s="23">
        <v>1782</v>
      </c>
      <c r="B1783" s="22" t="s">
        <v>2116</v>
      </c>
      <c r="C1783" s="22" t="s">
        <v>502</v>
      </c>
      <c r="D1783" s="22" t="s">
        <v>520</v>
      </c>
      <c r="E1783" s="22" t="s">
        <v>1700</v>
      </c>
      <c r="F1783" s="22" t="s">
        <v>12</v>
      </c>
    </row>
    <row r="1784" ht="18.6" customHeight="1" spans="1:6">
      <c r="A1784" s="22">
        <v>1783</v>
      </c>
      <c r="B1784" s="23" t="s">
        <v>2117</v>
      </c>
      <c r="C1784" s="23" t="s">
        <v>553</v>
      </c>
      <c r="D1784" s="23" t="s">
        <v>558</v>
      </c>
      <c r="E1784" s="23" t="s">
        <v>1700</v>
      </c>
      <c r="F1784" s="23" t="s">
        <v>12</v>
      </c>
    </row>
    <row r="1785" ht="18.6" customHeight="1" spans="1:6">
      <c r="A1785" s="23">
        <v>1784</v>
      </c>
      <c r="B1785" s="22" t="s">
        <v>2118</v>
      </c>
      <c r="C1785" s="22" t="s">
        <v>553</v>
      </c>
      <c r="D1785" s="22" t="s">
        <v>572</v>
      </c>
      <c r="E1785" s="22" t="s">
        <v>1700</v>
      </c>
      <c r="F1785" s="22" t="s">
        <v>12</v>
      </c>
    </row>
    <row r="1786" ht="18.6" customHeight="1" spans="1:6">
      <c r="A1786" s="22">
        <v>1785</v>
      </c>
      <c r="B1786" s="23" t="s">
        <v>2119</v>
      </c>
      <c r="C1786" s="23" t="s">
        <v>553</v>
      </c>
      <c r="D1786" s="23" t="s">
        <v>577</v>
      </c>
      <c r="E1786" s="23" t="s">
        <v>1700</v>
      </c>
      <c r="F1786" s="23" t="s">
        <v>12</v>
      </c>
    </row>
    <row r="1787" ht="18.6" customHeight="1" spans="1:6">
      <c r="A1787" s="23">
        <v>1786</v>
      </c>
      <c r="B1787" s="22" t="s">
        <v>2120</v>
      </c>
      <c r="C1787" s="22" t="s">
        <v>553</v>
      </c>
      <c r="D1787" s="22" t="s">
        <v>558</v>
      </c>
      <c r="E1787" s="22" t="s">
        <v>1700</v>
      </c>
      <c r="F1787" s="22" t="s">
        <v>12</v>
      </c>
    </row>
    <row r="1788" ht="18.6" customHeight="1" spans="1:6">
      <c r="A1788" s="22">
        <v>1787</v>
      </c>
      <c r="B1788" s="23" t="s">
        <v>2121</v>
      </c>
      <c r="C1788" s="23" t="s">
        <v>553</v>
      </c>
      <c r="D1788" s="23" t="s">
        <v>567</v>
      </c>
      <c r="E1788" s="23" t="s">
        <v>1700</v>
      </c>
      <c r="F1788" s="23" t="s">
        <v>12</v>
      </c>
    </row>
    <row r="1789" ht="18.6" customHeight="1" spans="1:6">
      <c r="A1789" s="23">
        <v>1788</v>
      </c>
      <c r="B1789" s="22" t="s">
        <v>2122</v>
      </c>
      <c r="C1789" s="22" t="s">
        <v>553</v>
      </c>
      <c r="D1789" s="22" t="s">
        <v>558</v>
      </c>
      <c r="E1789" s="22" t="s">
        <v>1700</v>
      </c>
      <c r="F1789" s="22" t="s">
        <v>12</v>
      </c>
    </row>
    <row r="1790" ht="18.6" customHeight="1" spans="1:6">
      <c r="A1790" s="22">
        <v>1789</v>
      </c>
      <c r="B1790" s="23" t="s">
        <v>2123</v>
      </c>
      <c r="C1790" s="23" t="s">
        <v>553</v>
      </c>
      <c r="D1790" s="23" t="s">
        <v>575</v>
      </c>
      <c r="E1790" s="23" t="s">
        <v>1700</v>
      </c>
      <c r="F1790" s="23" t="s">
        <v>12</v>
      </c>
    </row>
    <row r="1791" ht="18.6" customHeight="1" spans="1:6">
      <c r="A1791" s="23">
        <v>1790</v>
      </c>
      <c r="B1791" s="22" t="s">
        <v>2124</v>
      </c>
      <c r="C1791" s="22" t="s">
        <v>553</v>
      </c>
      <c r="D1791" s="22" t="s">
        <v>556</v>
      </c>
      <c r="E1791" s="22" t="s">
        <v>1700</v>
      </c>
      <c r="F1791" s="22" t="s">
        <v>12</v>
      </c>
    </row>
    <row r="1792" ht="18.6" customHeight="1" spans="1:6">
      <c r="A1792" s="22">
        <v>1791</v>
      </c>
      <c r="B1792" s="23" t="s">
        <v>2125</v>
      </c>
      <c r="C1792" s="23" t="s">
        <v>553</v>
      </c>
      <c r="D1792" s="23" t="s">
        <v>554</v>
      </c>
      <c r="E1792" s="23" t="s">
        <v>1700</v>
      </c>
      <c r="F1792" s="23" t="s">
        <v>12</v>
      </c>
    </row>
    <row r="1793" ht="18.6" customHeight="1" spans="1:6">
      <c r="A1793" s="23">
        <v>1792</v>
      </c>
      <c r="B1793" s="22" t="s">
        <v>2126</v>
      </c>
      <c r="C1793" s="22" t="s">
        <v>553</v>
      </c>
      <c r="D1793" s="22" t="s">
        <v>558</v>
      </c>
      <c r="E1793" s="22" t="s">
        <v>1700</v>
      </c>
      <c r="F1793" s="22" t="s">
        <v>12</v>
      </c>
    </row>
    <row r="1794" ht="18.6" customHeight="1" spans="1:6">
      <c r="A1794" s="22">
        <v>1793</v>
      </c>
      <c r="B1794" s="23" t="s">
        <v>2127</v>
      </c>
      <c r="C1794" s="23" t="s">
        <v>553</v>
      </c>
      <c r="D1794" s="23" t="s">
        <v>558</v>
      </c>
      <c r="E1794" s="23" t="s">
        <v>1700</v>
      </c>
      <c r="F1794" s="23" t="s">
        <v>12</v>
      </c>
    </row>
    <row r="1795" ht="18.6" customHeight="1" spans="1:6">
      <c r="A1795" s="23">
        <v>1794</v>
      </c>
      <c r="B1795" s="22" t="s">
        <v>2128</v>
      </c>
      <c r="C1795" s="22" t="s">
        <v>553</v>
      </c>
      <c r="D1795" s="22" t="s">
        <v>556</v>
      </c>
      <c r="E1795" s="22" t="s">
        <v>1700</v>
      </c>
      <c r="F1795" s="22" t="s">
        <v>12</v>
      </c>
    </row>
    <row r="1796" ht="18.6" customHeight="1" spans="1:6">
      <c r="A1796" s="22">
        <v>1795</v>
      </c>
      <c r="B1796" s="23" t="s">
        <v>2129</v>
      </c>
      <c r="C1796" s="23" t="s">
        <v>553</v>
      </c>
      <c r="D1796" s="23" t="s">
        <v>567</v>
      </c>
      <c r="E1796" s="23" t="s">
        <v>1700</v>
      </c>
      <c r="F1796" s="23" t="s">
        <v>12</v>
      </c>
    </row>
    <row r="1797" ht="18.6" customHeight="1" spans="1:6">
      <c r="A1797" s="23">
        <v>1796</v>
      </c>
      <c r="B1797" s="22" t="s">
        <v>2130</v>
      </c>
      <c r="C1797" s="22" t="s">
        <v>553</v>
      </c>
      <c r="D1797" s="22" t="s">
        <v>556</v>
      </c>
      <c r="E1797" s="22" t="s">
        <v>1700</v>
      </c>
      <c r="F1797" s="22" t="s">
        <v>12</v>
      </c>
    </row>
    <row r="1798" ht="18.6" customHeight="1" spans="1:6">
      <c r="A1798" s="22">
        <v>1797</v>
      </c>
      <c r="B1798" s="23" t="s">
        <v>2131</v>
      </c>
      <c r="C1798" s="23" t="s">
        <v>553</v>
      </c>
      <c r="D1798" s="23" t="s">
        <v>581</v>
      </c>
      <c r="E1798" s="23" t="s">
        <v>1700</v>
      </c>
      <c r="F1798" s="23" t="s">
        <v>12</v>
      </c>
    </row>
    <row r="1799" ht="18.6" customHeight="1" spans="1:6">
      <c r="A1799" s="23">
        <v>1798</v>
      </c>
      <c r="B1799" s="22" t="s">
        <v>2132</v>
      </c>
      <c r="C1799" s="22" t="s">
        <v>553</v>
      </c>
      <c r="D1799" s="22" t="s">
        <v>558</v>
      </c>
      <c r="E1799" s="22" t="s">
        <v>1700</v>
      </c>
      <c r="F1799" s="22" t="s">
        <v>12</v>
      </c>
    </row>
    <row r="1800" ht="18.6" customHeight="1" spans="1:6">
      <c r="A1800" s="22">
        <v>1799</v>
      </c>
      <c r="B1800" s="23" t="s">
        <v>2133</v>
      </c>
      <c r="C1800" s="23" t="s">
        <v>553</v>
      </c>
      <c r="D1800" s="23" t="s">
        <v>558</v>
      </c>
      <c r="E1800" s="23" t="s">
        <v>1700</v>
      </c>
      <c r="F1800" s="23" t="s">
        <v>12</v>
      </c>
    </row>
    <row r="1801" ht="18.6" customHeight="1" spans="1:6">
      <c r="A1801" s="23">
        <v>1800</v>
      </c>
      <c r="B1801" s="22" t="s">
        <v>2134</v>
      </c>
      <c r="C1801" s="22" t="s">
        <v>553</v>
      </c>
      <c r="D1801" s="22" t="s">
        <v>558</v>
      </c>
      <c r="E1801" s="22" t="s">
        <v>1700</v>
      </c>
      <c r="F1801" s="22" t="s">
        <v>12</v>
      </c>
    </row>
    <row r="1802" ht="18.6" customHeight="1" spans="1:6">
      <c r="A1802" s="22">
        <v>1801</v>
      </c>
      <c r="B1802" s="23" t="s">
        <v>2135</v>
      </c>
      <c r="C1802" s="23" t="s">
        <v>553</v>
      </c>
      <c r="D1802" s="23" t="s">
        <v>554</v>
      </c>
      <c r="E1802" s="23" t="s">
        <v>1700</v>
      </c>
      <c r="F1802" s="23" t="s">
        <v>12</v>
      </c>
    </row>
    <row r="1803" ht="18.6" customHeight="1" spans="1:6">
      <c r="A1803" s="23">
        <v>1802</v>
      </c>
      <c r="B1803" s="22" t="s">
        <v>2136</v>
      </c>
      <c r="C1803" s="22" t="s">
        <v>553</v>
      </c>
      <c r="D1803" s="22" t="s">
        <v>556</v>
      </c>
      <c r="E1803" s="22" t="s">
        <v>1700</v>
      </c>
      <c r="F1803" s="22" t="s">
        <v>12</v>
      </c>
    </row>
    <row r="1804" ht="18.6" customHeight="1" spans="1:6">
      <c r="A1804" s="22">
        <v>1803</v>
      </c>
      <c r="B1804" s="23" t="s">
        <v>2137</v>
      </c>
      <c r="C1804" s="23" t="s">
        <v>553</v>
      </c>
      <c r="D1804" s="23" t="s">
        <v>575</v>
      </c>
      <c r="E1804" s="23" t="s">
        <v>1700</v>
      </c>
      <c r="F1804" s="23" t="s">
        <v>12</v>
      </c>
    </row>
    <row r="1805" ht="18.6" customHeight="1" spans="1:6">
      <c r="A1805" s="23">
        <v>1804</v>
      </c>
      <c r="B1805" s="22" t="s">
        <v>2138</v>
      </c>
      <c r="C1805" s="22" t="s">
        <v>553</v>
      </c>
      <c r="D1805" s="22" t="s">
        <v>569</v>
      </c>
      <c r="E1805" s="22" t="s">
        <v>1700</v>
      </c>
      <c r="F1805" s="22" t="s">
        <v>12</v>
      </c>
    </row>
    <row r="1806" ht="18.6" customHeight="1" spans="1:6">
      <c r="A1806" s="22">
        <v>1805</v>
      </c>
      <c r="B1806" s="23" t="s">
        <v>2139</v>
      </c>
      <c r="C1806" s="23" t="s">
        <v>553</v>
      </c>
      <c r="D1806" s="23" t="s">
        <v>558</v>
      </c>
      <c r="E1806" s="23" t="s">
        <v>1700</v>
      </c>
      <c r="F1806" s="23" t="s">
        <v>12</v>
      </c>
    </row>
    <row r="1807" ht="18.6" customHeight="1" spans="1:6">
      <c r="A1807" s="23">
        <v>1806</v>
      </c>
      <c r="B1807" s="22" t="s">
        <v>2140</v>
      </c>
      <c r="C1807" s="22" t="s">
        <v>553</v>
      </c>
      <c r="D1807" s="22" t="s">
        <v>572</v>
      </c>
      <c r="E1807" s="22" t="s">
        <v>1700</v>
      </c>
      <c r="F1807" s="22" t="s">
        <v>12</v>
      </c>
    </row>
    <row r="1808" ht="18.6" customHeight="1" spans="1:6">
      <c r="A1808" s="22">
        <v>1807</v>
      </c>
      <c r="B1808" s="23" t="s">
        <v>2141</v>
      </c>
      <c r="C1808" s="23" t="s">
        <v>553</v>
      </c>
      <c r="D1808" s="23" t="s">
        <v>572</v>
      </c>
      <c r="E1808" s="23" t="s">
        <v>1700</v>
      </c>
      <c r="F1808" s="23" t="s">
        <v>12</v>
      </c>
    </row>
    <row r="1809" ht="18.6" customHeight="1" spans="1:6">
      <c r="A1809" s="23">
        <v>1808</v>
      </c>
      <c r="B1809" s="22" t="s">
        <v>2142</v>
      </c>
      <c r="C1809" s="22" t="s">
        <v>553</v>
      </c>
      <c r="D1809" s="22" t="s">
        <v>556</v>
      </c>
      <c r="E1809" s="22" t="s">
        <v>1700</v>
      </c>
      <c r="F1809" s="22" t="s">
        <v>12</v>
      </c>
    </row>
    <row r="1810" ht="18.6" customHeight="1" spans="1:6">
      <c r="A1810" s="22">
        <v>1809</v>
      </c>
      <c r="B1810" s="23" t="s">
        <v>2143</v>
      </c>
      <c r="C1810" s="23" t="s">
        <v>553</v>
      </c>
      <c r="D1810" s="23" t="s">
        <v>558</v>
      </c>
      <c r="E1810" s="23" t="s">
        <v>1700</v>
      </c>
      <c r="F1810" s="23" t="s">
        <v>12</v>
      </c>
    </row>
    <row r="1811" ht="18.6" customHeight="1" spans="1:6">
      <c r="A1811" s="23">
        <v>1810</v>
      </c>
      <c r="B1811" s="22" t="s">
        <v>2144</v>
      </c>
      <c r="C1811" s="22" t="s">
        <v>587</v>
      </c>
      <c r="D1811" s="22" t="s">
        <v>602</v>
      </c>
      <c r="E1811" s="22" t="s">
        <v>1700</v>
      </c>
      <c r="F1811" s="22" t="s">
        <v>12</v>
      </c>
    </row>
    <row r="1812" ht="18.6" customHeight="1" spans="1:6">
      <c r="A1812" s="22">
        <v>1811</v>
      </c>
      <c r="B1812" s="23" t="s">
        <v>2145</v>
      </c>
      <c r="C1812" s="23" t="s">
        <v>587</v>
      </c>
      <c r="D1812" s="23" t="s">
        <v>591</v>
      </c>
      <c r="E1812" s="23" t="s">
        <v>1700</v>
      </c>
      <c r="F1812" s="23" t="s">
        <v>12</v>
      </c>
    </row>
    <row r="1813" ht="18.6" customHeight="1" spans="1:6">
      <c r="A1813" s="23">
        <v>1812</v>
      </c>
      <c r="B1813" s="22" t="s">
        <v>2146</v>
      </c>
      <c r="C1813" s="22" t="s">
        <v>587</v>
      </c>
      <c r="D1813" s="22" t="s">
        <v>588</v>
      </c>
      <c r="E1813" s="22" t="s">
        <v>1700</v>
      </c>
      <c r="F1813" s="22" t="s">
        <v>12</v>
      </c>
    </row>
    <row r="1814" ht="18.6" customHeight="1" spans="1:6">
      <c r="A1814" s="22">
        <v>1813</v>
      </c>
      <c r="B1814" s="23" t="s">
        <v>2147</v>
      </c>
      <c r="C1814" s="23" t="s">
        <v>587</v>
      </c>
      <c r="D1814" s="23" t="s">
        <v>602</v>
      </c>
      <c r="E1814" s="23" t="s">
        <v>1700</v>
      </c>
      <c r="F1814" s="23" t="s">
        <v>12</v>
      </c>
    </row>
    <row r="1815" ht="18.6" customHeight="1" spans="1:6">
      <c r="A1815" s="23">
        <v>1814</v>
      </c>
      <c r="B1815" s="22" t="s">
        <v>2148</v>
      </c>
      <c r="C1815" s="22" t="s">
        <v>587</v>
      </c>
      <c r="D1815" s="22" t="s">
        <v>618</v>
      </c>
      <c r="E1815" s="22" t="s">
        <v>1700</v>
      </c>
      <c r="F1815" s="22" t="s">
        <v>12</v>
      </c>
    </row>
    <row r="1816" ht="18.6" customHeight="1" spans="1:6">
      <c r="A1816" s="22">
        <v>1815</v>
      </c>
      <c r="B1816" s="23" t="s">
        <v>2149</v>
      </c>
      <c r="C1816" s="23" t="s">
        <v>587</v>
      </c>
      <c r="D1816" s="23" t="s">
        <v>588</v>
      </c>
      <c r="E1816" s="23" t="s">
        <v>1700</v>
      </c>
      <c r="F1816" s="23" t="s">
        <v>12</v>
      </c>
    </row>
    <row r="1817" ht="18.6" customHeight="1" spans="1:6">
      <c r="A1817" s="23">
        <v>1816</v>
      </c>
      <c r="B1817" s="22" t="s">
        <v>2150</v>
      </c>
      <c r="C1817" s="22" t="s">
        <v>587</v>
      </c>
      <c r="D1817" s="22" t="s">
        <v>596</v>
      </c>
      <c r="E1817" s="22" t="s">
        <v>1700</v>
      </c>
      <c r="F1817" s="22" t="s">
        <v>12</v>
      </c>
    </row>
    <row r="1818" ht="18.6" customHeight="1" spans="1:6">
      <c r="A1818" s="22">
        <v>1817</v>
      </c>
      <c r="B1818" s="23" t="s">
        <v>2151</v>
      </c>
      <c r="C1818" s="23" t="s">
        <v>587</v>
      </c>
      <c r="D1818" s="23" t="s">
        <v>588</v>
      </c>
      <c r="E1818" s="23" t="s">
        <v>1700</v>
      </c>
      <c r="F1818" s="23" t="s">
        <v>12</v>
      </c>
    </row>
    <row r="1819" ht="18.6" customHeight="1" spans="1:6">
      <c r="A1819" s="23">
        <v>1818</v>
      </c>
      <c r="B1819" s="22" t="s">
        <v>2152</v>
      </c>
      <c r="C1819" s="22" t="s">
        <v>587</v>
      </c>
      <c r="D1819" s="22" t="s">
        <v>588</v>
      </c>
      <c r="E1819" s="22" t="s">
        <v>1700</v>
      </c>
      <c r="F1819" s="22" t="s">
        <v>12</v>
      </c>
    </row>
    <row r="1820" ht="18.6" customHeight="1" spans="1:6">
      <c r="A1820" s="22">
        <v>1819</v>
      </c>
      <c r="B1820" s="23" t="s">
        <v>2153</v>
      </c>
      <c r="C1820" s="23" t="s">
        <v>587</v>
      </c>
      <c r="D1820" s="23" t="s">
        <v>594</v>
      </c>
      <c r="E1820" s="23" t="s">
        <v>1700</v>
      </c>
      <c r="F1820" s="23" t="s">
        <v>12</v>
      </c>
    </row>
    <row r="1821" ht="18.6" customHeight="1" spans="1:6">
      <c r="A1821" s="23">
        <v>1820</v>
      </c>
      <c r="B1821" s="22" t="s">
        <v>2154</v>
      </c>
      <c r="C1821" s="22" t="s">
        <v>587</v>
      </c>
      <c r="D1821" s="22" t="s">
        <v>588</v>
      </c>
      <c r="E1821" s="22" t="s">
        <v>1700</v>
      </c>
      <c r="F1821" s="22" t="s">
        <v>12</v>
      </c>
    </row>
    <row r="1822" ht="18.6" customHeight="1" spans="1:6">
      <c r="A1822" s="22">
        <v>1821</v>
      </c>
      <c r="B1822" s="23" t="s">
        <v>2155</v>
      </c>
      <c r="C1822" s="23" t="s">
        <v>587</v>
      </c>
      <c r="D1822" s="23" t="s">
        <v>2156</v>
      </c>
      <c r="E1822" s="23" t="s">
        <v>1700</v>
      </c>
      <c r="F1822" s="23" t="s">
        <v>12</v>
      </c>
    </row>
    <row r="1823" ht="18.6" customHeight="1" spans="1:6">
      <c r="A1823" s="23">
        <v>1822</v>
      </c>
      <c r="B1823" s="22" t="s">
        <v>2157</v>
      </c>
      <c r="C1823" s="22" t="s">
        <v>587</v>
      </c>
      <c r="D1823" s="22" t="s">
        <v>588</v>
      </c>
      <c r="E1823" s="22" t="s">
        <v>1700</v>
      </c>
      <c r="F1823" s="22" t="s">
        <v>12</v>
      </c>
    </row>
    <row r="1824" ht="18.6" customHeight="1" spans="1:6">
      <c r="A1824" s="22">
        <v>1823</v>
      </c>
      <c r="B1824" s="23" t="s">
        <v>2158</v>
      </c>
      <c r="C1824" s="23" t="s">
        <v>587</v>
      </c>
      <c r="D1824" s="23" t="s">
        <v>588</v>
      </c>
      <c r="E1824" s="23" t="s">
        <v>1700</v>
      </c>
      <c r="F1824" s="23" t="s">
        <v>12</v>
      </c>
    </row>
    <row r="1825" ht="18.6" customHeight="1" spans="1:6">
      <c r="A1825" s="23">
        <v>1824</v>
      </c>
      <c r="B1825" s="22" t="s">
        <v>2159</v>
      </c>
      <c r="C1825" s="22" t="s">
        <v>587</v>
      </c>
      <c r="D1825" s="22" t="s">
        <v>618</v>
      </c>
      <c r="E1825" s="22" t="s">
        <v>1700</v>
      </c>
      <c r="F1825" s="22" t="s">
        <v>12</v>
      </c>
    </row>
    <row r="1826" ht="18.6" customHeight="1" spans="1:6">
      <c r="A1826" s="22">
        <v>1825</v>
      </c>
      <c r="B1826" s="23" t="s">
        <v>2160</v>
      </c>
      <c r="C1826" s="23" t="s">
        <v>587</v>
      </c>
      <c r="D1826" s="23" t="s">
        <v>594</v>
      </c>
      <c r="E1826" s="23" t="s">
        <v>1700</v>
      </c>
      <c r="F1826" s="23" t="s">
        <v>12</v>
      </c>
    </row>
    <row r="1827" ht="18.6" customHeight="1" spans="1:6">
      <c r="A1827" s="23">
        <v>1826</v>
      </c>
      <c r="B1827" s="22" t="s">
        <v>2161</v>
      </c>
      <c r="C1827" s="22" t="s">
        <v>587</v>
      </c>
      <c r="D1827" s="22" t="s">
        <v>588</v>
      </c>
      <c r="E1827" s="22" t="s">
        <v>1700</v>
      </c>
      <c r="F1827" s="22" t="s">
        <v>12</v>
      </c>
    </row>
    <row r="1828" ht="18.6" customHeight="1" spans="1:6">
      <c r="A1828" s="22">
        <v>1827</v>
      </c>
      <c r="B1828" s="23" t="s">
        <v>2162</v>
      </c>
      <c r="C1828" s="23" t="s">
        <v>587</v>
      </c>
      <c r="D1828" s="23" t="s">
        <v>611</v>
      </c>
      <c r="E1828" s="23" t="s">
        <v>1700</v>
      </c>
      <c r="F1828" s="23" t="s">
        <v>12</v>
      </c>
    </row>
    <row r="1829" ht="18.6" customHeight="1" spans="1:6">
      <c r="A1829" s="23">
        <v>1828</v>
      </c>
      <c r="B1829" s="22" t="s">
        <v>2163</v>
      </c>
      <c r="C1829" s="22" t="s">
        <v>587</v>
      </c>
      <c r="D1829" s="22" t="s">
        <v>588</v>
      </c>
      <c r="E1829" s="22" t="s">
        <v>1700</v>
      </c>
      <c r="F1829" s="22" t="s">
        <v>12</v>
      </c>
    </row>
    <row r="1830" ht="18.6" customHeight="1" spans="1:6">
      <c r="A1830" s="22">
        <v>1829</v>
      </c>
      <c r="B1830" s="23" t="s">
        <v>2164</v>
      </c>
      <c r="C1830" s="23" t="s">
        <v>587</v>
      </c>
      <c r="D1830" s="23" t="s">
        <v>588</v>
      </c>
      <c r="E1830" s="23" t="s">
        <v>1700</v>
      </c>
      <c r="F1830" s="23" t="s">
        <v>12</v>
      </c>
    </row>
    <row r="1831" ht="18.6" customHeight="1" spans="1:6">
      <c r="A1831" s="23">
        <v>1830</v>
      </c>
      <c r="B1831" s="22" t="s">
        <v>2165</v>
      </c>
      <c r="C1831" s="22" t="s">
        <v>587</v>
      </c>
      <c r="D1831" s="22" t="s">
        <v>588</v>
      </c>
      <c r="E1831" s="22" t="s">
        <v>1700</v>
      </c>
      <c r="F1831" s="22" t="s">
        <v>12</v>
      </c>
    </row>
    <row r="1832" ht="18.6" customHeight="1" spans="1:6">
      <c r="A1832" s="22">
        <v>1831</v>
      </c>
      <c r="B1832" s="23" t="s">
        <v>2166</v>
      </c>
      <c r="C1832" s="23" t="s">
        <v>587</v>
      </c>
      <c r="D1832" s="23" t="s">
        <v>604</v>
      </c>
      <c r="E1832" s="23" t="s">
        <v>1700</v>
      </c>
      <c r="F1832" s="23" t="s">
        <v>12</v>
      </c>
    </row>
    <row r="1833" ht="18.6" customHeight="1" spans="1:6">
      <c r="A1833" s="23">
        <v>1832</v>
      </c>
      <c r="B1833" s="22" t="s">
        <v>2167</v>
      </c>
      <c r="C1833" s="22" t="s">
        <v>587</v>
      </c>
      <c r="D1833" s="22" t="s">
        <v>611</v>
      </c>
      <c r="E1833" s="22" t="s">
        <v>1700</v>
      </c>
      <c r="F1833" s="22" t="s">
        <v>12</v>
      </c>
    </row>
    <row r="1834" ht="18.6" customHeight="1" spans="1:6">
      <c r="A1834" s="22">
        <v>1833</v>
      </c>
      <c r="B1834" s="23" t="s">
        <v>2168</v>
      </c>
      <c r="C1834" s="23" t="s">
        <v>587</v>
      </c>
      <c r="D1834" s="23" t="s">
        <v>588</v>
      </c>
      <c r="E1834" s="23" t="s">
        <v>1700</v>
      </c>
      <c r="F1834" s="23" t="s">
        <v>12</v>
      </c>
    </row>
    <row r="1835" ht="18.6" customHeight="1" spans="1:6">
      <c r="A1835" s="23">
        <v>1834</v>
      </c>
      <c r="B1835" s="22" t="s">
        <v>2169</v>
      </c>
      <c r="C1835" s="22" t="s">
        <v>587</v>
      </c>
      <c r="D1835" s="22" t="s">
        <v>588</v>
      </c>
      <c r="E1835" s="22" t="s">
        <v>1700</v>
      </c>
      <c r="F1835" s="22" t="s">
        <v>12</v>
      </c>
    </row>
    <row r="1836" ht="18.6" customHeight="1" spans="1:6">
      <c r="A1836" s="22">
        <v>1835</v>
      </c>
      <c r="B1836" s="23" t="s">
        <v>2170</v>
      </c>
      <c r="C1836" s="23" t="s">
        <v>587</v>
      </c>
      <c r="D1836" s="23" t="s">
        <v>591</v>
      </c>
      <c r="E1836" s="23" t="s">
        <v>1700</v>
      </c>
      <c r="F1836" s="23" t="s">
        <v>12</v>
      </c>
    </row>
    <row r="1837" ht="18.6" customHeight="1" spans="1:6">
      <c r="A1837" s="23">
        <v>1836</v>
      </c>
      <c r="B1837" s="22" t="s">
        <v>2171</v>
      </c>
      <c r="C1837" s="22" t="s">
        <v>587</v>
      </c>
      <c r="D1837" s="22" t="s">
        <v>588</v>
      </c>
      <c r="E1837" s="22" t="s">
        <v>1700</v>
      </c>
      <c r="F1837" s="22" t="s">
        <v>12</v>
      </c>
    </row>
    <row r="1838" ht="18.6" customHeight="1" spans="1:6">
      <c r="A1838" s="22">
        <v>1837</v>
      </c>
      <c r="B1838" s="23" t="s">
        <v>2172</v>
      </c>
      <c r="C1838" s="23" t="s">
        <v>587</v>
      </c>
      <c r="D1838" s="23" t="s">
        <v>588</v>
      </c>
      <c r="E1838" s="23" t="s">
        <v>1700</v>
      </c>
      <c r="F1838" s="23" t="s">
        <v>12</v>
      </c>
    </row>
    <row r="1839" ht="18.6" customHeight="1" spans="1:6">
      <c r="A1839" s="23">
        <v>1838</v>
      </c>
      <c r="B1839" s="22" t="s">
        <v>2173</v>
      </c>
      <c r="C1839" s="22" t="s">
        <v>587</v>
      </c>
      <c r="D1839" s="22" t="s">
        <v>588</v>
      </c>
      <c r="E1839" s="22" t="s">
        <v>1700</v>
      </c>
      <c r="F1839" s="22" t="s">
        <v>12</v>
      </c>
    </row>
    <row r="1840" ht="18.6" customHeight="1" spans="1:6">
      <c r="A1840" s="22">
        <v>1839</v>
      </c>
      <c r="B1840" s="23" t="s">
        <v>2174</v>
      </c>
      <c r="C1840" s="23" t="s">
        <v>587</v>
      </c>
      <c r="D1840" s="23" t="s">
        <v>602</v>
      </c>
      <c r="E1840" s="23" t="s">
        <v>1700</v>
      </c>
      <c r="F1840" s="23" t="s">
        <v>12</v>
      </c>
    </row>
    <row r="1841" ht="18.6" customHeight="1" spans="1:6">
      <c r="A1841" s="23">
        <v>1840</v>
      </c>
      <c r="B1841" s="22" t="s">
        <v>2175</v>
      </c>
      <c r="C1841" s="22" t="s">
        <v>587</v>
      </c>
      <c r="D1841" s="22" t="s">
        <v>604</v>
      </c>
      <c r="E1841" s="22" t="s">
        <v>1700</v>
      </c>
      <c r="F1841" s="22" t="s">
        <v>12</v>
      </c>
    </row>
    <row r="1842" ht="18.6" customHeight="1" spans="1:6">
      <c r="A1842" s="22">
        <v>1841</v>
      </c>
      <c r="B1842" s="23" t="s">
        <v>2176</v>
      </c>
      <c r="C1842" s="23" t="s">
        <v>587</v>
      </c>
      <c r="D1842" s="23" t="s">
        <v>588</v>
      </c>
      <c r="E1842" s="23" t="s">
        <v>1700</v>
      </c>
      <c r="F1842" s="23" t="s">
        <v>12</v>
      </c>
    </row>
    <row r="1843" ht="18.6" customHeight="1" spans="1:6">
      <c r="A1843" s="23">
        <v>1842</v>
      </c>
      <c r="B1843" s="22" t="s">
        <v>2177</v>
      </c>
      <c r="C1843" s="22" t="s">
        <v>587</v>
      </c>
      <c r="D1843" s="22" t="s">
        <v>616</v>
      </c>
      <c r="E1843" s="22" t="s">
        <v>1700</v>
      </c>
      <c r="F1843" s="22" t="s">
        <v>12</v>
      </c>
    </row>
    <row r="1844" ht="18.6" customHeight="1" spans="1:6">
      <c r="A1844" s="22">
        <v>1843</v>
      </c>
      <c r="B1844" s="23" t="s">
        <v>2178</v>
      </c>
      <c r="C1844" s="23" t="s">
        <v>587</v>
      </c>
      <c r="D1844" s="23" t="s">
        <v>588</v>
      </c>
      <c r="E1844" s="23" t="s">
        <v>1700</v>
      </c>
      <c r="F1844" s="23" t="s">
        <v>12</v>
      </c>
    </row>
    <row r="1845" ht="18.6" customHeight="1" spans="1:6">
      <c r="A1845" s="23">
        <v>1844</v>
      </c>
      <c r="B1845" s="22" t="s">
        <v>2179</v>
      </c>
      <c r="C1845" s="22" t="s">
        <v>587</v>
      </c>
      <c r="D1845" s="22" t="s">
        <v>588</v>
      </c>
      <c r="E1845" s="22" t="s">
        <v>1700</v>
      </c>
      <c r="F1845" s="22" t="s">
        <v>12</v>
      </c>
    </row>
    <row r="1846" ht="18.6" customHeight="1" spans="1:6">
      <c r="A1846" s="22">
        <v>1845</v>
      </c>
      <c r="B1846" s="23" t="s">
        <v>2180</v>
      </c>
      <c r="C1846" s="23" t="s">
        <v>587</v>
      </c>
      <c r="D1846" s="23" t="s">
        <v>594</v>
      </c>
      <c r="E1846" s="23" t="s">
        <v>1700</v>
      </c>
      <c r="F1846" s="23" t="s">
        <v>12</v>
      </c>
    </row>
    <row r="1847" ht="18.6" customHeight="1" spans="1:6">
      <c r="A1847" s="23">
        <v>1846</v>
      </c>
      <c r="B1847" s="22" t="s">
        <v>2181</v>
      </c>
      <c r="C1847" s="22" t="s">
        <v>587</v>
      </c>
      <c r="D1847" s="22" t="s">
        <v>588</v>
      </c>
      <c r="E1847" s="22" t="s">
        <v>1700</v>
      </c>
      <c r="F1847" s="22" t="s">
        <v>12</v>
      </c>
    </row>
    <row r="1848" ht="18.6" customHeight="1" spans="1:6">
      <c r="A1848" s="22">
        <v>1847</v>
      </c>
      <c r="B1848" s="23" t="s">
        <v>2182</v>
      </c>
      <c r="C1848" s="23" t="s">
        <v>587</v>
      </c>
      <c r="D1848" s="23" t="s">
        <v>604</v>
      </c>
      <c r="E1848" s="23" t="s">
        <v>1700</v>
      </c>
      <c r="F1848" s="23" t="s">
        <v>12</v>
      </c>
    </row>
    <row r="1849" ht="18.6" customHeight="1" spans="1:6">
      <c r="A1849" s="23">
        <v>1848</v>
      </c>
      <c r="B1849" s="22" t="s">
        <v>2183</v>
      </c>
      <c r="C1849" s="22" t="s">
        <v>587</v>
      </c>
      <c r="D1849" s="22" t="s">
        <v>607</v>
      </c>
      <c r="E1849" s="22" t="s">
        <v>1700</v>
      </c>
      <c r="F1849" s="22" t="s">
        <v>12</v>
      </c>
    </row>
    <row r="1850" ht="18.6" customHeight="1" spans="1:6">
      <c r="A1850" s="22">
        <v>1849</v>
      </c>
      <c r="B1850" s="23" t="s">
        <v>2184</v>
      </c>
      <c r="C1850" s="23" t="s">
        <v>587</v>
      </c>
      <c r="D1850" s="23" t="s">
        <v>2156</v>
      </c>
      <c r="E1850" s="23" t="s">
        <v>1700</v>
      </c>
      <c r="F1850" s="23" t="s">
        <v>12</v>
      </c>
    </row>
    <row r="1851" ht="18.6" customHeight="1" spans="1:6">
      <c r="A1851" s="23">
        <v>1850</v>
      </c>
      <c r="B1851" s="22" t="s">
        <v>2185</v>
      </c>
      <c r="C1851" s="22" t="s">
        <v>587</v>
      </c>
      <c r="D1851" s="22" t="s">
        <v>594</v>
      </c>
      <c r="E1851" s="22" t="s">
        <v>1700</v>
      </c>
      <c r="F1851" s="22" t="s">
        <v>12</v>
      </c>
    </row>
    <row r="1852" ht="18.6" customHeight="1" spans="1:6">
      <c r="A1852" s="22">
        <v>1851</v>
      </c>
      <c r="B1852" s="23" t="s">
        <v>2186</v>
      </c>
      <c r="C1852" s="23" t="s">
        <v>587</v>
      </c>
      <c r="D1852" s="23" t="s">
        <v>611</v>
      </c>
      <c r="E1852" s="23" t="s">
        <v>1700</v>
      </c>
      <c r="F1852" s="23" t="s">
        <v>12</v>
      </c>
    </row>
    <row r="1853" ht="18.6" customHeight="1" spans="1:6">
      <c r="A1853" s="23">
        <v>1852</v>
      </c>
      <c r="B1853" s="22" t="s">
        <v>2187</v>
      </c>
      <c r="C1853" s="22" t="s">
        <v>587</v>
      </c>
      <c r="D1853" s="22" t="s">
        <v>602</v>
      </c>
      <c r="E1853" s="22" t="s">
        <v>1700</v>
      </c>
      <c r="F1853" s="22" t="s">
        <v>12</v>
      </c>
    </row>
    <row r="1854" ht="18.6" customHeight="1" spans="1:6">
      <c r="A1854" s="22">
        <v>1853</v>
      </c>
      <c r="B1854" s="23" t="s">
        <v>2188</v>
      </c>
      <c r="C1854" s="23" t="s">
        <v>587</v>
      </c>
      <c r="D1854" s="23" t="s">
        <v>594</v>
      </c>
      <c r="E1854" s="23" t="s">
        <v>1700</v>
      </c>
      <c r="F1854" s="23" t="s">
        <v>12</v>
      </c>
    </row>
    <row r="1855" ht="18.6" customHeight="1" spans="1:6">
      <c r="A1855" s="23">
        <v>1854</v>
      </c>
      <c r="B1855" s="22" t="s">
        <v>2189</v>
      </c>
      <c r="C1855" s="22" t="s">
        <v>587</v>
      </c>
      <c r="D1855" s="22" t="s">
        <v>588</v>
      </c>
      <c r="E1855" s="22" t="s">
        <v>1700</v>
      </c>
      <c r="F1855" s="22" t="s">
        <v>12</v>
      </c>
    </row>
    <row r="1856" ht="18.6" customHeight="1" spans="1:6">
      <c r="A1856" s="22">
        <v>1855</v>
      </c>
      <c r="B1856" s="23" t="s">
        <v>2190</v>
      </c>
      <c r="C1856" s="23" t="s">
        <v>628</v>
      </c>
      <c r="D1856" s="23" t="s">
        <v>662</v>
      </c>
      <c r="E1856" s="23" t="s">
        <v>1700</v>
      </c>
      <c r="F1856" s="23" t="s">
        <v>12</v>
      </c>
    </row>
    <row r="1857" ht="18.6" customHeight="1" spans="1:6">
      <c r="A1857" s="23">
        <v>1856</v>
      </c>
      <c r="B1857" s="22" t="s">
        <v>2191</v>
      </c>
      <c r="C1857" s="22" t="s">
        <v>628</v>
      </c>
      <c r="D1857" s="22" t="s">
        <v>666</v>
      </c>
      <c r="E1857" s="22" t="s">
        <v>1700</v>
      </c>
      <c r="F1857" s="22" t="s">
        <v>12</v>
      </c>
    </row>
    <row r="1858" ht="18.6" customHeight="1" spans="1:6">
      <c r="A1858" s="22">
        <v>1857</v>
      </c>
      <c r="B1858" s="23" t="s">
        <v>2192</v>
      </c>
      <c r="C1858" s="23" t="s">
        <v>628</v>
      </c>
      <c r="D1858" s="23" t="s">
        <v>629</v>
      </c>
      <c r="E1858" s="23" t="s">
        <v>1700</v>
      </c>
      <c r="F1858" s="23" t="s">
        <v>12</v>
      </c>
    </row>
    <row r="1859" ht="18.6" customHeight="1" spans="1:6">
      <c r="A1859" s="23">
        <v>1858</v>
      </c>
      <c r="B1859" s="22" t="s">
        <v>2193</v>
      </c>
      <c r="C1859" s="22" t="s">
        <v>628</v>
      </c>
      <c r="D1859" s="22" t="s">
        <v>629</v>
      </c>
      <c r="E1859" s="22" t="s">
        <v>1700</v>
      </c>
      <c r="F1859" s="22" t="s">
        <v>12</v>
      </c>
    </row>
    <row r="1860" ht="18.6" customHeight="1" spans="1:6">
      <c r="A1860" s="22">
        <v>1859</v>
      </c>
      <c r="B1860" s="23" t="s">
        <v>2194</v>
      </c>
      <c r="C1860" s="23" t="s">
        <v>628</v>
      </c>
      <c r="D1860" s="23" t="s">
        <v>631</v>
      </c>
      <c r="E1860" s="23" t="s">
        <v>1700</v>
      </c>
      <c r="F1860" s="23" t="s">
        <v>12</v>
      </c>
    </row>
    <row r="1861" ht="18.6" customHeight="1" spans="1:6">
      <c r="A1861" s="23">
        <v>1860</v>
      </c>
      <c r="B1861" s="22" t="s">
        <v>2195</v>
      </c>
      <c r="C1861" s="22" t="s">
        <v>628</v>
      </c>
      <c r="D1861" s="22" t="s">
        <v>1470</v>
      </c>
      <c r="E1861" s="22" t="s">
        <v>1700</v>
      </c>
      <c r="F1861" s="22" t="s">
        <v>12</v>
      </c>
    </row>
    <row r="1862" ht="18.6" customHeight="1" spans="1:6">
      <c r="A1862" s="22">
        <v>1861</v>
      </c>
      <c r="B1862" s="23" t="s">
        <v>2196</v>
      </c>
      <c r="C1862" s="23" t="s">
        <v>628</v>
      </c>
      <c r="D1862" s="23" t="s">
        <v>629</v>
      </c>
      <c r="E1862" s="23" t="s">
        <v>1700</v>
      </c>
      <c r="F1862" s="23" t="s">
        <v>12</v>
      </c>
    </row>
    <row r="1863" ht="18.6" customHeight="1" spans="1:6">
      <c r="A1863" s="23">
        <v>1862</v>
      </c>
      <c r="B1863" s="22" t="s">
        <v>2197</v>
      </c>
      <c r="C1863" s="22" t="s">
        <v>628</v>
      </c>
      <c r="D1863" s="22" t="s">
        <v>629</v>
      </c>
      <c r="E1863" s="22" t="s">
        <v>1700</v>
      </c>
      <c r="F1863" s="22" t="s">
        <v>12</v>
      </c>
    </row>
    <row r="1864" ht="18.6" customHeight="1" spans="1:6">
      <c r="A1864" s="22">
        <v>1863</v>
      </c>
      <c r="B1864" s="23" t="s">
        <v>2198</v>
      </c>
      <c r="C1864" s="23" t="s">
        <v>628</v>
      </c>
      <c r="D1864" s="23" t="s">
        <v>629</v>
      </c>
      <c r="E1864" s="23" t="s">
        <v>1700</v>
      </c>
      <c r="F1864" s="23" t="s">
        <v>12</v>
      </c>
    </row>
    <row r="1865" ht="18.6" customHeight="1" spans="1:6">
      <c r="A1865" s="23">
        <v>1864</v>
      </c>
      <c r="B1865" s="22" t="s">
        <v>2199</v>
      </c>
      <c r="C1865" s="22" t="s">
        <v>628</v>
      </c>
      <c r="D1865" s="22" t="s">
        <v>651</v>
      </c>
      <c r="E1865" s="22" t="s">
        <v>1700</v>
      </c>
      <c r="F1865" s="22" t="s">
        <v>12</v>
      </c>
    </row>
    <row r="1866" ht="18.6" customHeight="1" spans="1:6">
      <c r="A1866" s="22">
        <v>1865</v>
      </c>
      <c r="B1866" s="23" t="s">
        <v>2200</v>
      </c>
      <c r="C1866" s="23" t="s">
        <v>628</v>
      </c>
      <c r="D1866" s="23" t="s">
        <v>645</v>
      </c>
      <c r="E1866" s="23" t="s">
        <v>1700</v>
      </c>
      <c r="F1866" s="23" t="s">
        <v>12</v>
      </c>
    </row>
    <row r="1867" ht="18.6" customHeight="1" spans="1:6">
      <c r="A1867" s="23">
        <v>1866</v>
      </c>
      <c r="B1867" s="22" t="s">
        <v>2201</v>
      </c>
      <c r="C1867" s="22" t="s">
        <v>628</v>
      </c>
      <c r="D1867" s="22" t="s">
        <v>660</v>
      </c>
      <c r="E1867" s="22" t="s">
        <v>1700</v>
      </c>
      <c r="F1867" s="22" t="s">
        <v>12</v>
      </c>
    </row>
    <row r="1868" ht="18.6" customHeight="1" spans="1:6">
      <c r="A1868" s="22">
        <v>1867</v>
      </c>
      <c r="B1868" s="23" t="s">
        <v>2202</v>
      </c>
      <c r="C1868" s="23" t="s">
        <v>628</v>
      </c>
      <c r="D1868" s="23" t="s">
        <v>681</v>
      </c>
      <c r="E1868" s="23" t="s">
        <v>1700</v>
      </c>
      <c r="F1868" s="23" t="s">
        <v>12</v>
      </c>
    </row>
    <row r="1869" ht="18.6" customHeight="1" spans="1:6">
      <c r="A1869" s="23">
        <v>1868</v>
      </c>
      <c r="B1869" s="22" t="s">
        <v>2203</v>
      </c>
      <c r="C1869" s="22" t="s">
        <v>628</v>
      </c>
      <c r="D1869" s="22" t="s">
        <v>655</v>
      </c>
      <c r="E1869" s="22" t="s">
        <v>1700</v>
      </c>
      <c r="F1869" s="22" t="s">
        <v>12</v>
      </c>
    </row>
    <row r="1870" ht="18.6" customHeight="1" spans="1:6">
      <c r="A1870" s="22">
        <v>1869</v>
      </c>
      <c r="B1870" s="23" t="s">
        <v>2204</v>
      </c>
      <c r="C1870" s="23" t="s">
        <v>628</v>
      </c>
      <c r="D1870" s="23" t="s">
        <v>645</v>
      </c>
      <c r="E1870" s="23" t="s">
        <v>1700</v>
      </c>
      <c r="F1870" s="23" t="s">
        <v>12</v>
      </c>
    </row>
    <row r="1871" ht="18.6" customHeight="1" spans="1:6">
      <c r="A1871" s="23">
        <v>1870</v>
      </c>
      <c r="B1871" s="22" t="s">
        <v>2205</v>
      </c>
      <c r="C1871" s="22" t="s">
        <v>628</v>
      </c>
      <c r="D1871" s="22" t="s">
        <v>642</v>
      </c>
      <c r="E1871" s="22" t="s">
        <v>1700</v>
      </c>
      <c r="F1871" s="22" t="s">
        <v>12</v>
      </c>
    </row>
    <row r="1872" ht="18.6" customHeight="1" spans="1:6">
      <c r="A1872" s="22">
        <v>1871</v>
      </c>
      <c r="B1872" s="23" t="s">
        <v>2206</v>
      </c>
      <c r="C1872" s="23" t="s">
        <v>628</v>
      </c>
      <c r="D1872" s="23" t="s">
        <v>688</v>
      </c>
      <c r="E1872" s="23" t="s">
        <v>1700</v>
      </c>
      <c r="F1872" s="23" t="s">
        <v>12</v>
      </c>
    </row>
    <row r="1873" ht="18.6" customHeight="1" spans="1:6">
      <c r="A1873" s="23">
        <v>1872</v>
      </c>
      <c r="B1873" s="22" t="s">
        <v>2207</v>
      </c>
      <c r="C1873" s="22" t="s">
        <v>628</v>
      </c>
      <c r="D1873" s="22" t="s">
        <v>645</v>
      </c>
      <c r="E1873" s="22" t="s">
        <v>1700</v>
      </c>
      <c r="F1873" s="22" t="s">
        <v>12</v>
      </c>
    </row>
    <row r="1874" ht="18.6" customHeight="1" spans="1:6">
      <c r="A1874" s="22">
        <v>1873</v>
      </c>
      <c r="B1874" s="23" t="s">
        <v>2208</v>
      </c>
      <c r="C1874" s="23" t="s">
        <v>628</v>
      </c>
      <c r="D1874" s="23" t="s">
        <v>681</v>
      </c>
      <c r="E1874" s="23" t="s">
        <v>1700</v>
      </c>
      <c r="F1874" s="23" t="s">
        <v>12</v>
      </c>
    </row>
    <row r="1875" ht="18.6" customHeight="1" spans="1:6">
      <c r="A1875" s="23">
        <v>1874</v>
      </c>
      <c r="B1875" s="22" t="s">
        <v>2209</v>
      </c>
      <c r="C1875" s="22" t="s">
        <v>628</v>
      </c>
      <c r="D1875" s="22" t="s">
        <v>645</v>
      </c>
      <c r="E1875" s="22" t="s">
        <v>1700</v>
      </c>
      <c r="F1875" s="22" t="s">
        <v>12</v>
      </c>
    </row>
    <row r="1876" ht="18.6" customHeight="1" spans="1:6">
      <c r="A1876" s="22">
        <v>1875</v>
      </c>
      <c r="B1876" s="23" t="s">
        <v>2210</v>
      </c>
      <c r="C1876" s="23" t="s">
        <v>628</v>
      </c>
      <c r="D1876" s="23" t="s">
        <v>631</v>
      </c>
      <c r="E1876" s="23" t="s">
        <v>1700</v>
      </c>
      <c r="F1876" s="23" t="s">
        <v>12</v>
      </c>
    </row>
    <row r="1877" ht="18.6" customHeight="1" spans="1:6">
      <c r="A1877" s="23">
        <v>1876</v>
      </c>
      <c r="B1877" s="22" t="s">
        <v>2211</v>
      </c>
      <c r="C1877" s="22" t="s">
        <v>628</v>
      </c>
      <c r="D1877" s="22" t="s">
        <v>631</v>
      </c>
      <c r="E1877" s="22" t="s">
        <v>1700</v>
      </c>
      <c r="F1877" s="22" t="s">
        <v>12</v>
      </c>
    </row>
    <row r="1878" ht="18.6" customHeight="1" spans="1:6">
      <c r="A1878" s="22">
        <v>1877</v>
      </c>
      <c r="B1878" s="23" t="s">
        <v>2212</v>
      </c>
      <c r="C1878" s="23" t="s">
        <v>628</v>
      </c>
      <c r="D1878" s="23" t="s">
        <v>645</v>
      </c>
      <c r="E1878" s="23" t="s">
        <v>1700</v>
      </c>
      <c r="F1878" s="23" t="s">
        <v>12</v>
      </c>
    </row>
    <row r="1879" ht="18.6" customHeight="1" spans="1:6">
      <c r="A1879" s="23">
        <v>1878</v>
      </c>
      <c r="B1879" s="22" t="s">
        <v>2213</v>
      </c>
      <c r="C1879" s="22" t="s">
        <v>628</v>
      </c>
      <c r="D1879" s="22" t="s">
        <v>631</v>
      </c>
      <c r="E1879" s="22" t="s">
        <v>1700</v>
      </c>
      <c r="F1879" s="22" t="s">
        <v>12</v>
      </c>
    </row>
    <row r="1880" ht="18.6" customHeight="1" spans="1:6">
      <c r="A1880" s="22">
        <v>1879</v>
      </c>
      <c r="B1880" s="23" t="s">
        <v>2214</v>
      </c>
      <c r="C1880" s="23" t="s">
        <v>628</v>
      </c>
      <c r="D1880" s="23" t="s">
        <v>681</v>
      </c>
      <c r="E1880" s="23" t="s">
        <v>1700</v>
      </c>
      <c r="F1880" s="23" t="s">
        <v>12</v>
      </c>
    </row>
    <row r="1881" ht="18.6" customHeight="1" spans="1:6">
      <c r="A1881" s="23">
        <v>1880</v>
      </c>
      <c r="B1881" s="22" t="s">
        <v>2215</v>
      </c>
      <c r="C1881" s="22" t="s">
        <v>628</v>
      </c>
      <c r="D1881" s="22" t="s">
        <v>645</v>
      </c>
      <c r="E1881" s="22" t="s">
        <v>1700</v>
      </c>
      <c r="F1881" s="22" t="s">
        <v>12</v>
      </c>
    </row>
    <row r="1882" ht="18.6" customHeight="1" spans="1:6">
      <c r="A1882" s="22">
        <v>1881</v>
      </c>
      <c r="B1882" s="23" t="s">
        <v>2216</v>
      </c>
      <c r="C1882" s="23" t="s">
        <v>628</v>
      </c>
      <c r="D1882" s="23" t="s">
        <v>640</v>
      </c>
      <c r="E1882" s="23" t="s">
        <v>1700</v>
      </c>
      <c r="F1882" s="23" t="s">
        <v>12</v>
      </c>
    </row>
    <row r="1883" ht="18.6" customHeight="1" spans="1:6">
      <c r="A1883" s="23">
        <v>1882</v>
      </c>
      <c r="B1883" s="22" t="s">
        <v>2217</v>
      </c>
      <c r="C1883" s="22" t="s">
        <v>628</v>
      </c>
      <c r="D1883" s="22" t="s">
        <v>645</v>
      </c>
      <c r="E1883" s="22" t="s">
        <v>1700</v>
      </c>
      <c r="F1883" s="22" t="s">
        <v>12</v>
      </c>
    </row>
    <row r="1884" ht="18.6" customHeight="1" spans="1:6">
      <c r="A1884" s="22">
        <v>1883</v>
      </c>
      <c r="B1884" s="23" t="s">
        <v>2218</v>
      </c>
      <c r="C1884" s="23" t="s">
        <v>628</v>
      </c>
      <c r="D1884" s="23" t="s">
        <v>629</v>
      </c>
      <c r="E1884" s="23" t="s">
        <v>1700</v>
      </c>
      <c r="F1884" s="23" t="s">
        <v>12</v>
      </c>
    </row>
    <row r="1885" ht="18.6" customHeight="1" spans="1:6">
      <c r="A1885" s="23">
        <v>1884</v>
      </c>
      <c r="B1885" s="22" t="s">
        <v>2219</v>
      </c>
      <c r="C1885" s="22" t="s">
        <v>628</v>
      </c>
      <c r="D1885" s="22" t="s">
        <v>660</v>
      </c>
      <c r="E1885" s="22" t="s">
        <v>1700</v>
      </c>
      <c r="F1885" s="22" t="s">
        <v>12</v>
      </c>
    </row>
    <row r="1886" ht="18.6" customHeight="1" spans="1:6">
      <c r="A1886" s="22">
        <v>1885</v>
      </c>
      <c r="B1886" s="23" t="s">
        <v>2220</v>
      </c>
      <c r="C1886" s="23" t="s">
        <v>628</v>
      </c>
      <c r="D1886" s="23" t="s">
        <v>657</v>
      </c>
      <c r="E1886" s="23" t="s">
        <v>1700</v>
      </c>
      <c r="F1886" s="23" t="s">
        <v>12</v>
      </c>
    </row>
    <row r="1887" ht="18.6" customHeight="1" spans="1:6">
      <c r="A1887" s="23">
        <v>1886</v>
      </c>
      <c r="B1887" s="22" t="s">
        <v>2221</v>
      </c>
      <c r="C1887" s="22" t="s">
        <v>628</v>
      </c>
      <c r="D1887" s="22" t="s">
        <v>671</v>
      </c>
      <c r="E1887" s="22" t="s">
        <v>1700</v>
      </c>
      <c r="F1887" s="22" t="s">
        <v>12</v>
      </c>
    </row>
    <row r="1888" ht="18.6" customHeight="1" spans="1:6">
      <c r="A1888" s="22">
        <v>1887</v>
      </c>
      <c r="B1888" s="23" t="s">
        <v>2222</v>
      </c>
      <c r="C1888" s="23" t="s">
        <v>628</v>
      </c>
      <c r="D1888" s="23" t="s">
        <v>640</v>
      </c>
      <c r="E1888" s="23" t="s">
        <v>1700</v>
      </c>
      <c r="F1888" s="23" t="s">
        <v>12</v>
      </c>
    </row>
    <row r="1889" ht="18.6" customHeight="1" spans="1:6">
      <c r="A1889" s="23">
        <v>1888</v>
      </c>
      <c r="B1889" s="22" t="s">
        <v>2223</v>
      </c>
      <c r="C1889" s="22" t="s">
        <v>628</v>
      </c>
      <c r="D1889" s="22" t="s">
        <v>660</v>
      </c>
      <c r="E1889" s="22" t="s">
        <v>1700</v>
      </c>
      <c r="F1889" s="22" t="s">
        <v>12</v>
      </c>
    </row>
    <row r="1890" ht="18.6" customHeight="1" spans="1:6">
      <c r="A1890" s="22">
        <v>1889</v>
      </c>
      <c r="B1890" s="23" t="s">
        <v>2224</v>
      </c>
      <c r="C1890" s="23" t="s">
        <v>628</v>
      </c>
      <c r="D1890" s="23" t="s">
        <v>629</v>
      </c>
      <c r="E1890" s="23" t="s">
        <v>1700</v>
      </c>
      <c r="F1890" s="23" t="s">
        <v>12</v>
      </c>
    </row>
    <row r="1891" ht="18.6" customHeight="1" spans="1:6">
      <c r="A1891" s="23">
        <v>1890</v>
      </c>
      <c r="B1891" s="22" t="s">
        <v>2225</v>
      </c>
      <c r="C1891" s="22" t="s">
        <v>628</v>
      </c>
      <c r="D1891" s="22" t="s">
        <v>629</v>
      </c>
      <c r="E1891" s="22" t="s">
        <v>1700</v>
      </c>
      <c r="F1891" s="22" t="s">
        <v>12</v>
      </c>
    </row>
    <row r="1892" ht="18.6" customHeight="1" spans="1:6">
      <c r="A1892" s="22">
        <v>1891</v>
      </c>
      <c r="B1892" s="23" t="s">
        <v>2226</v>
      </c>
      <c r="C1892" s="23" t="s">
        <v>628</v>
      </c>
      <c r="D1892" s="23" t="s">
        <v>629</v>
      </c>
      <c r="E1892" s="23" t="s">
        <v>1700</v>
      </c>
      <c r="F1892" s="23" t="s">
        <v>12</v>
      </c>
    </row>
    <row r="1893" ht="18.6" customHeight="1" spans="1:6">
      <c r="A1893" s="23">
        <v>1892</v>
      </c>
      <c r="B1893" s="22" t="s">
        <v>2227</v>
      </c>
      <c r="C1893" s="22" t="s">
        <v>628</v>
      </c>
      <c r="D1893" s="22" t="s">
        <v>640</v>
      </c>
      <c r="E1893" s="22" t="s">
        <v>1700</v>
      </c>
      <c r="F1893" s="22" t="s">
        <v>12</v>
      </c>
    </row>
    <row r="1894" ht="18.6" customHeight="1" spans="1:6">
      <c r="A1894" s="22">
        <v>1893</v>
      </c>
      <c r="B1894" s="23" t="s">
        <v>2228</v>
      </c>
      <c r="C1894" s="23" t="s">
        <v>628</v>
      </c>
      <c r="D1894" s="23" t="s">
        <v>642</v>
      </c>
      <c r="E1894" s="23" t="s">
        <v>1700</v>
      </c>
      <c r="F1894" s="23" t="s">
        <v>12</v>
      </c>
    </row>
    <row r="1895" ht="18.6" customHeight="1" spans="1:6">
      <c r="A1895" s="23">
        <v>1894</v>
      </c>
      <c r="B1895" s="22" t="s">
        <v>2229</v>
      </c>
      <c r="C1895" s="22" t="s">
        <v>628</v>
      </c>
      <c r="D1895" s="22" t="s">
        <v>1470</v>
      </c>
      <c r="E1895" s="22" t="s">
        <v>1700</v>
      </c>
      <c r="F1895" s="22" t="s">
        <v>12</v>
      </c>
    </row>
    <row r="1896" ht="18.6" customHeight="1" spans="1:6">
      <c r="A1896" s="22">
        <v>1895</v>
      </c>
      <c r="B1896" s="23" t="s">
        <v>2230</v>
      </c>
      <c r="C1896" s="23" t="s">
        <v>628</v>
      </c>
      <c r="D1896" s="23" t="s">
        <v>660</v>
      </c>
      <c r="E1896" s="23" t="s">
        <v>1700</v>
      </c>
      <c r="F1896" s="23" t="s">
        <v>12</v>
      </c>
    </row>
    <row r="1897" ht="18.6" customHeight="1" spans="1:6">
      <c r="A1897" s="23">
        <v>1896</v>
      </c>
      <c r="B1897" s="22" t="s">
        <v>2231</v>
      </c>
      <c r="C1897" s="22" t="s">
        <v>628</v>
      </c>
      <c r="D1897" s="22" t="s">
        <v>640</v>
      </c>
      <c r="E1897" s="22" t="s">
        <v>1700</v>
      </c>
      <c r="F1897" s="22" t="s">
        <v>12</v>
      </c>
    </row>
    <row r="1898" ht="18.6" customHeight="1" spans="1:6">
      <c r="A1898" s="22">
        <v>1897</v>
      </c>
      <c r="B1898" s="23" t="s">
        <v>2232</v>
      </c>
      <c r="C1898" s="23" t="s">
        <v>628</v>
      </c>
      <c r="D1898" s="23" t="s">
        <v>629</v>
      </c>
      <c r="E1898" s="23" t="s">
        <v>1700</v>
      </c>
      <c r="F1898" s="23" t="s">
        <v>12</v>
      </c>
    </row>
    <row r="1899" ht="18.6" customHeight="1" spans="1:6">
      <c r="A1899" s="23">
        <v>1898</v>
      </c>
      <c r="B1899" s="22" t="s">
        <v>2233</v>
      </c>
      <c r="C1899" s="22" t="s">
        <v>628</v>
      </c>
      <c r="D1899" s="22" t="s">
        <v>660</v>
      </c>
      <c r="E1899" s="22" t="s">
        <v>1700</v>
      </c>
      <c r="F1899" s="22" t="s">
        <v>12</v>
      </c>
    </row>
    <row r="1900" ht="18.6" customHeight="1" spans="1:6">
      <c r="A1900" s="22">
        <v>1899</v>
      </c>
      <c r="B1900" s="23" t="s">
        <v>2234</v>
      </c>
      <c r="C1900" s="23" t="s">
        <v>628</v>
      </c>
      <c r="D1900" s="23" t="s">
        <v>629</v>
      </c>
      <c r="E1900" s="23" t="s">
        <v>1700</v>
      </c>
      <c r="F1900" s="23" t="s">
        <v>12</v>
      </c>
    </row>
    <row r="1901" ht="18.6" customHeight="1" spans="1:6">
      <c r="A1901" s="23">
        <v>1900</v>
      </c>
      <c r="B1901" s="22" t="s">
        <v>2235</v>
      </c>
      <c r="C1901" s="22" t="s">
        <v>628</v>
      </c>
      <c r="D1901" s="22" t="s">
        <v>666</v>
      </c>
      <c r="E1901" s="22" t="s">
        <v>1700</v>
      </c>
      <c r="F1901" s="22" t="s">
        <v>12</v>
      </c>
    </row>
    <row r="1902" ht="18.6" customHeight="1" spans="1:6">
      <c r="A1902" s="22">
        <v>1901</v>
      </c>
      <c r="B1902" s="23" t="s">
        <v>2236</v>
      </c>
      <c r="C1902" s="23" t="s">
        <v>628</v>
      </c>
      <c r="D1902" s="23" t="s">
        <v>629</v>
      </c>
      <c r="E1902" s="23" t="s">
        <v>1700</v>
      </c>
      <c r="F1902" s="23" t="s">
        <v>12</v>
      </c>
    </row>
    <row r="1903" ht="18.6" customHeight="1" spans="1:6">
      <c r="A1903" s="23">
        <v>1902</v>
      </c>
      <c r="B1903" s="22" t="s">
        <v>2237</v>
      </c>
      <c r="C1903" s="22" t="s">
        <v>628</v>
      </c>
      <c r="D1903" s="22" t="s">
        <v>662</v>
      </c>
      <c r="E1903" s="22" t="s">
        <v>1700</v>
      </c>
      <c r="F1903" s="22" t="s">
        <v>12</v>
      </c>
    </row>
    <row r="1904" ht="18.6" customHeight="1" spans="1:6">
      <c r="A1904" s="22">
        <v>1903</v>
      </c>
      <c r="B1904" s="23" t="s">
        <v>2238</v>
      </c>
      <c r="C1904" s="23" t="s">
        <v>628</v>
      </c>
      <c r="D1904" s="23" t="s">
        <v>671</v>
      </c>
      <c r="E1904" s="23" t="s">
        <v>1700</v>
      </c>
      <c r="F1904" s="23" t="s">
        <v>12</v>
      </c>
    </row>
    <row r="1905" ht="18.6" customHeight="1" spans="1:6">
      <c r="A1905" s="23">
        <v>1904</v>
      </c>
      <c r="B1905" s="22" t="s">
        <v>2239</v>
      </c>
      <c r="C1905" s="22" t="s">
        <v>628</v>
      </c>
      <c r="D1905" s="22" t="s">
        <v>651</v>
      </c>
      <c r="E1905" s="22" t="s">
        <v>1700</v>
      </c>
      <c r="F1905" s="22" t="s">
        <v>12</v>
      </c>
    </row>
    <row r="1906" ht="18.6" customHeight="1" spans="1:6">
      <c r="A1906" s="22">
        <v>1905</v>
      </c>
      <c r="B1906" s="23" t="s">
        <v>2240</v>
      </c>
      <c r="C1906" s="23" t="s">
        <v>628</v>
      </c>
      <c r="D1906" s="23" t="s">
        <v>631</v>
      </c>
      <c r="E1906" s="23" t="s">
        <v>1700</v>
      </c>
      <c r="F1906" s="23" t="s">
        <v>12</v>
      </c>
    </row>
    <row r="1907" ht="18.6" customHeight="1" spans="1:6">
      <c r="A1907" s="23">
        <v>1906</v>
      </c>
      <c r="B1907" s="22" t="s">
        <v>2241</v>
      </c>
      <c r="C1907" s="22" t="s">
        <v>628</v>
      </c>
      <c r="D1907" s="22" t="s">
        <v>629</v>
      </c>
      <c r="E1907" s="22" t="s">
        <v>1700</v>
      </c>
      <c r="F1907" s="22" t="s">
        <v>12</v>
      </c>
    </row>
    <row r="1908" ht="18.6" customHeight="1" spans="1:6">
      <c r="A1908" s="22">
        <v>1907</v>
      </c>
      <c r="B1908" s="23" t="s">
        <v>2242</v>
      </c>
      <c r="C1908" s="23" t="s">
        <v>628</v>
      </c>
      <c r="D1908" s="23" t="s">
        <v>629</v>
      </c>
      <c r="E1908" s="23" t="s">
        <v>1700</v>
      </c>
      <c r="F1908" s="23" t="s">
        <v>12</v>
      </c>
    </row>
    <row r="1909" ht="18.6" customHeight="1" spans="1:6">
      <c r="A1909" s="23">
        <v>1908</v>
      </c>
      <c r="B1909" s="22" t="s">
        <v>2243</v>
      </c>
      <c r="C1909" s="22" t="s">
        <v>628</v>
      </c>
      <c r="D1909" s="22" t="s">
        <v>642</v>
      </c>
      <c r="E1909" s="22" t="s">
        <v>1700</v>
      </c>
      <c r="F1909" s="22" t="s">
        <v>12</v>
      </c>
    </row>
    <row r="1910" ht="18.6" customHeight="1" spans="1:6">
      <c r="A1910" s="22">
        <v>1909</v>
      </c>
      <c r="B1910" s="23" t="s">
        <v>2244</v>
      </c>
      <c r="C1910" s="23" t="s">
        <v>628</v>
      </c>
      <c r="D1910" s="23" t="s">
        <v>645</v>
      </c>
      <c r="E1910" s="23" t="s">
        <v>1700</v>
      </c>
      <c r="F1910" s="23" t="s">
        <v>12</v>
      </c>
    </row>
    <row r="1911" ht="18.6" customHeight="1" spans="1:6">
      <c r="A1911" s="23">
        <v>1910</v>
      </c>
      <c r="B1911" s="22" t="s">
        <v>2245</v>
      </c>
      <c r="C1911" s="22" t="s">
        <v>628</v>
      </c>
      <c r="D1911" s="22" t="s">
        <v>645</v>
      </c>
      <c r="E1911" s="22" t="s">
        <v>1700</v>
      </c>
      <c r="F1911" s="22" t="s">
        <v>12</v>
      </c>
    </row>
    <row r="1912" ht="18.6" customHeight="1" spans="1:6">
      <c r="A1912" s="22">
        <v>1911</v>
      </c>
      <c r="B1912" s="23" t="s">
        <v>2246</v>
      </c>
      <c r="C1912" s="23" t="s">
        <v>628</v>
      </c>
      <c r="D1912" s="23" t="s">
        <v>666</v>
      </c>
      <c r="E1912" s="23" t="s">
        <v>1700</v>
      </c>
      <c r="F1912" s="23" t="s">
        <v>12</v>
      </c>
    </row>
    <row r="1913" ht="18.6" customHeight="1" spans="1:6">
      <c r="A1913" s="23">
        <v>1912</v>
      </c>
      <c r="B1913" s="22" t="s">
        <v>2247</v>
      </c>
      <c r="C1913" s="22" t="s">
        <v>628</v>
      </c>
      <c r="D1913" s="22" t="s">
        <v>1470</v>
      </c>
      <c r="E1913" s="22" t="s">
        <v>1700</v>
      </c>
      <c r="F1913" s="22" t="s">
        <v>12</v>
      </c>
    </row>
    <row r="1914" ht="18.6" customHeight="1" spans="1:6">
      <c r="A1914" s="22">
        <v>1913</v>
      </c>
      <c r="B1914" s="23" t="s">
        <v>2248</v>
      </c>
      <c r="C1914" s="23" t="s">
        <v>628</v>
      </c>
      <c r="D1914" s="23" t="s">
        <v>629</v>
      </c>
      <c r="E1914" s="23" t="s">
        <v>1700</v>
      </c>
      <c r="F1914" s="23" t="s">
        <v>12</v>
      </c>
    </row>
    <row r="1915" ht="18.6" customHeight="1" spans="1:6">
      <c r="A1915" s="23">
        <v>1914</v>
      </c>
      <c r="B1915" s="22" t="s">
        <v>2249</v>
      </c>
      <c r="C1915" s="22" t="s">
        <v>628</v>
      </c>
      <c r="D1915" s="22" t="s">
        <v>631</v>
      </c>
      <c r="E1915" s="22" t="s">
        <v>1700</v>
      </c>
      <c r="F1915" s="22" t="s">
        <v>12</v>
      </c>
    </row>
    <row r="1916" ht="18.6" customHeight="1" spans="1:6">
      <c r="A1916" s="22">
        <v>1915</v>
      </c>
      <c r="B1916" s="23" t="s">
        <v>2250</v>
      </c>
      <c r="C1916" s="23" t="s">
        <v>628</v>
      </c>
      <c r="D1916" s="23" t="s">
        <v>631</v>
      </c>
      <c r="E1916" s="23" t="s">
        <v>1700</v>
      </c>
      <c r="F1916" s="23" t="s">
        <v>12</v>
      </c>
    </row>
    <row r="1917" ht="18.6" customHeight="1" spans="1:6">
      <c r="A1917" s="23">
        <v>1916</v>
      </c>
      <c r="B1917" s="22" t="s">
        <v>2251</v>
      </c>
      <c r="C1917" s="22" t="s">
        <v>628</v>
      </c>
      <c r="D1917" s="22" t="s">
        <v>660</v>
      </c>
      <c r="E1917" s="22" t="s">
        <v>1700</v>
      </c>
      <c r="F1917" s="22" t="s">
        <v>12</v>
      </c>
    </row>
    <row r="1918" ht="18.6" customHeight="1" spans="1:6">
      <c r="A1918" s="22">
        <v>1917</v>
      </c>
      <c r="B1918" s="23" t="s">
        <v>2252</v>
      </c>
      <c r="C1918" s="23" t="s">
        <v>628</v>
      </c>
      <c r="D1918" s="23" t="s">
        <v>660</v>
      </c>
      <c r="E1918" s="23" t="s">
        <v>1700</v>
      </c>
      <c r="F1918" s="23" t="s">
        <v>12</v>
      </c>
    </row>
    <row r="1919" ht="18.6" customHeight="1" spans="1:6">
      <c r="A1919" s="23">
        <v>1918</v>
      </c>
      <c r="B1919" s="22" t="s">
        <v>2253</v>
      </c>
      <c r="C1919" s="22" t="s">
        <v>628</v>
      </c>
      <c r="D1919" s="22" t="s">
        <v>662</v>
      </c>
      <c r="E1919" s="22" t="s">
        <v>1700</v>
      </c>
      <c r="F1919" s="22" t="s">
        <v>12</v>
      </c>
    </row>
    <row r="1920" ht="18.6" customHeight="1" spans="1:6">
      <c r="A1920" s="22">
        <v>1919</v>
      </c>
      <c r="B1920" s="23" t="s">
        <v>2254</v>
      </c>
      <c r="C1920" s="23" t="s">
        <v>692</v>
      </c>
      <c r="D1920" s="23" t="s">
        <v>693</v>
      </c>
      <c r="E1920" s="23" t="s">
        <v>1700</v>
      </c>
      <c r="F1920" s="23" t="s">
        <v>12</v>
      </c>
    </row>
    <row r="1921" ht="18.6" customHeight="1" spans="1:6">
      <c r="A1921" s="23">
        <v>1920</v>
      </c>
      <c r="B1921" s="22" t="s">
        <v>2255</v>
      </c>
      <c r="C1921" s="22" t="s">
        <v>692</v>
      </c>
      <c r="D1921" s="22" t="s">
        <v>1498</v>
      </c>
      <c r="E1921" s="22" t="s">
        <v>1700</v>
      </c>
      <c r="F1921" s="22" t="s">
        <v>12</v>
      </c>
    </row>
    <row r="1922" ht="18.6" customHeight="1" spans="1:6">
      <c r="A1922" s="22">
        <v>1921</v>
      </c>
      <c r="B1922" s="23" t="s">
        <v>2256</v>
      </c>
      <c r="C1922" s="23" t="s">
        <v>692</v>
      </c>
      <c r="D1922" s="23" t="s">
        <v>2257</v>
      </c>
      <c r="E1922" s="23" t="s">
        <v>1700</v>
      </c>
      <c r="F1922" s="23" t="s">
        <v>12</v>
      </c>
    </row>
    <row r="1923" ht="18.6" customHeight="1" spans="1:6">
      <c r="A1923" s="23">
        <v>1922</v>
      </c>
      <c r="B1923" s="22" t="s">
        <v>2258</v>
      </c>
      <c r="C1923" s="22" t="s">
        <v>692</v>
      </c>
      <c r="D1923" s="22" t="s">
        <v>693</v>
      </c>
      <c r="E1923" s="22" t="s">
        <v>1700</v>
      </c>
      <c r="F1923" s="22" t="s">
        <v>12</v>
      </c>
    </row>
    <row r="1924" ht="18.6" customHeight="1" spans="1:6">
      <c r="A1924" s="22">
        <v>1923</v>
      </c>
      <c r="B1924" s="23" t="s">
        <v>2259</v>
      </c>
      <c r="C1924" s="23" t="s">
        <v>692</v>
      </c>
      <c r="D1924" s="23" t="s">
        <v>709</v>
      </c>
      <c r="E1924" s="23" t="s">
        <v>1700</v>
      </c>
      <c r="F1924" s="23" t="s">
        <v>12</v>
      </c>
    </row>
    <row r="1925" ht="18.6" customHeight="1" spans="1:6">
      <c r="A1925" s="23">
        <v>1924</v>
      </c>
      <c r="B1925" s="22" t="s">
        <v>2260</v>
      </c>
      <c r="C1925" s="22" t="s">
        <v>692</v>
      </c>
      <c r="D1925" s="22" t="s">
        <v>696</v>
      </c>
      <c r="E1925" s="22" t="s">
        <v>1700</v>
      </c>
      <c r="F1925" s="22" t="s">
        <v>12</v>
      </c>
    </row>
    <row r="1926" ht="18.6" customHeight="1" spans="1:6">
      <c r="A1926" s="22">
        <v>1925</v>
      </c>
      <c r="B1926" s="23" t="s">
        <v>2261</v>
      </c>
      <c r="C1926" s="23" t="s">
        <v>692</v>
      </c>
      <c r="D1926" s="23" t="s">
        <v>2262</v>
      </c>
      <c r="E1926" s="23" t="s">
        <v>1700</v>
      </c>
      <c r="F1926" s="23" t="s">
        <v>12</v>
      </c>
    </row>
    <row r="1927" ht="18.6" customHeight="1" spans="1:6">
      <c r="A1927" s="23">
        <v>1926</v>
      </c>
      <c r="B1927" s="22" t="s">
        <v>2263</v>
      </c>
      <c r="C1927" s="22" t="s">
        <v>692</v>
      </c>
      <c r="D1927" s="22" t="s">
        <v>693</v>
      </c>
      <c r="E1927" s="22" t="s">
        <v>1700</v>
      </c>
      <c r="F1927" s="22" t="s">
        <v>12</v>
      </c>
    </row>
    <row r="1928" ht="18.6" customHeight="1" spans="1:6">
      <c r="A1928" s="22">
        <v>1927</v>
      </c>
      <c r="B1928" s="23" t="s">
        <v>2264</v>
      </c>
      <c r="C1928" s="23" t="s">
        <v>692</v>
      </c>
      <c r="D1928" s="23" t="s">
        <v>718</v>
      </c>
      <c r="E1928" s="23" t="s">
        <v>1700</v>
      </c>
      <c r="F1928" s="23" t="s">
        <v>12</v>
      </c>
    </row>
    <row r="1929" ht="18.6" customHeight="1" spans="1:6">
      <c r="A1929" s="23">
        <v>1928</v>
      </c>
      <c r="B1929" s="22" t="s">
        <v>2265</v>
      </c>
      <c r="C1929" s="22" t="s">
        <v>692</v>
      </c>
      <c r="D1929" s="22" t="s">
        <v>696</v>
      </c>
      <c r="E1929" s="22" t="s">
        <v>1700</v>
      </c>
      <c r="F1929" s="22" t="s">
        <v>12</v>
      </c>
    </row>
    <row r="1930" ht="18.6" customHeight="1" spans="1:6">
      <c r="A1930" s="22">
        <v>1929</v>
      </c>
      <c r="B1930" s="23" t="s">
        <v>2266</v>
      </c>
      <c r="C1930" s="23" t="s">
        <v>692</v>
      </c>
      <c r="D1930" s="23" t="s">
        <v>693</v>
      </c>
      <c r="E1930" s="23" t="s">
        <v>1700</v>
      </c>
      <c r="F1930" s="23" t="s">
        <v>12</v>
      </c>
    </row>
    <row r="1931" ht="18.6" customHeight="1" spans="1:6">
      <c r="A1931" s="23">
        <v>1930</v>
      </c>
      <c r="B1931" s="22" t="s">
        <v>2267</v>
      </c>
      <c r="C1931" s="22" t="s">
        <v>692</v>
      </c>
      <c r="D1931" s="22" t="s">
        <v>723</v>
      </c>
      <c r="E1931" s="22" t="s">
        <v>1700</v>
      </c>
      <c r="F1931" s="22" t="s">
        <v>12</v>
      </c>
    </row>
    <row r="1932" ht="18.6" customHeight="1" spans="1:6">
      <c r="A1932" s="22">
        <v>1931</v>
      </c>
      <c r="B1932" s="23" t="s">
        <v>2268</v>
      </c>
      <c r="C1932" s="23" t="s">
        <v>692</v>
      </c>
      <c r="D1932" s="23" t="s">
        <v>729</v>
      </c>
      <c r="E1932" s="23" t="s">
        <v>1700</v>
      </c>
      <c r="F1932" s="23" t="s">
        <v>12</v>
      </c>
    </row>
    <row r="1933" ht="18.6" customHeight="1" spans="1:6">
      <c r="A1933" s="23">
        <v>1932</v>
      </c>
      <c r="B1933" s="22" t="s">
        <v>2269</v>
      </c>
      <c r="C1933" s="22" t="s">
        <v>692</v>
      </c>
      <c r="D1933" s="22" t="s">
        <v>714</v>
      </c>
      <c r="E1933" s="22" t="s">
        <v>1700</v>
      </c>
      <c r="F1933" s="22" t="s">
        <v>12</v>
      </c>
    </row>
    <row r="1934" ht="18.6" customHeight="1" spans="1:6">
      <c r="A1934" s="22">
        <v>1933</v>
      </c>
      <c r="B1934" s="23" t="s">
        <v>2270</v>
      </c>
      <c r="C1934" s="23" t="s">
        <v>692</v>
      </c>
      <c r="D1934" s="23" t="s">
        <v>2271</v>
      </c>
      <c r="E1934" s="23" t="s">
        <v>1700</v>
      </c>
      <c r="F1934" s="23" t="s">
        <v>12</v>
      </c>
    </row>
    <row r="1935" ht="18.6" customHeight="1" spans="1:6">
      <c r="A1935" s="23">
        <v>1934</v>
      </c>
      <c r="B1935" s="22" t="s">
        <v>2272</v>
      </c>
      <c r="C1935" s="22" t="s">
        <v>692</v>
      </c>
      <c r="D1935" s="22" t="s">
        <v>693</v>
      </c>
      <c r="E1935" s="22" t="s">
        <v>1700</v>
      </c>
      <c r="F1935" s="22" t="s">
        <v>12</v>
      </c>
    </row>
    <row r="1936" ht="18.6" customHeight="1" spans="1:6">
      <c r="A1936" s="22">
        <v>1935</v>
      </c>
      <c r="B1936" s="23" t="s">
        <v>2273</v>
      </c>
      <c r="C1936" s="23" t="s">
        <v>692</v>
      </c>
      <c r="D1936" s="23" t="s">
        <v>2274</v>
      </c>
      <c r="E1936" s="23" t="s">
        <v>1700</v>
      </c>
      <c r="F1936" s="23" t="s">
        <v>12</v>
      </c>
    </row>
    <row r="1937" ht="18.6" customHeight="1" spans="1:6">
      <c r="A1937" s="23">
        <v>1936</v>
      </c>
      <c r="B1937" s="22" t="s">
        <v>2275</v>
      </c>
      <c r="C1937" s="22" t="s">
        <v>692</v>
      </c>
      <c r="D1937" s="22" t="s">
        <v>696</v>
      </c>
      <c r="E1937" s="22" t="s">
        <v>1700</v>
      </c>
      <c r="F1937" s="22" t="s">
        <v>12</v>
      </c>
    </row>
    <row r="1938" ht="18.6" customHeight="1" spans="1:6">
      <c r="A1938" s="22">
        <v>1937</v>
      </c>
      <c r="B1938" s="23" t="s">
        <v>2276</v>
      </c>
      <c r="C1938" s="23" t="s">
        <v>692</v>
      </c>
      <c r="D1938" s="23" t="s">
        <v>693</v>
      </c>
      <c r="E1938" s="23" t="s">
        <v>1700</v>
      </c>
      <c r="F1938" s="23" t="s">
        <v>12</v>
      </c>
    </row>
    <row r="1939" ht="18.6" customHeight="1" spans="1:6">
      <c r="A1939" s="23">
        <v>1938</v>
      </c>
      <c r="B1939" s="22" t="s">
        <v>2277</v>
      </c>
      <c r="C1939" s="22" t="s">
        <v>692</v>
      </c>
      <c r="D1939" s="22" t="s">
        <v>729</v>
      </c>
      <c r="E1939" s="22" t="s">
        <v>1700</v>
      </c>
      <c r="F1939" s="22" t="s">
        <v>12</v>
      </c>
    </row>
    <row r="1940" ht="18.6" customHeight="1" spans="1:6">
      <c r="A1940" s="22">
        <v>1939</v>
      </c>
      <c r="B1940" s="23" t="s">
        <v>2278</v>
      </c>
      <c r="C1940" s="23" t="s">
        <v>692</v>
      </c>
      <c r="D1940" s="23" t="s">
        <v>693</v>
      </c>
      <c r="E1940" s="23" t="s">
        <v>1700</v>
      </c>
      <c r="F1940" s="23" t="s">
        <v>12</v>
      </c>
    </row>
    <row r="1941" ht="18.6" customHeight="1" spans="1:6">
      <c r="A1941" s="23">
        <v>1940</v>
      </c>
      <c r="B1941" s="22" t="s">
        <v>2279</v>
      </c>
      <c r="C1941" s="22" t="s">
        <v>692</v>
      </c>
      <c r="D1941" s="22" t="s">
        <v>1498</v>
      </c>
      <c r="E1941" s="22" t="s">
        <v>1700</v>
      </c>
      <c r="F1941" s="22" t="s">
        <v>12</v>
      </c>
    </row>
    <row r="1942" ht="18.6" customHeight="1" spans="1:6">
      <c r="A1942" s="22">
        <v>1941</v>
      </c>
      <c r="B1942" s="23" t="s">
        <v>2280</v>
      </c>
      <c r="C1942" s="23" t="s">
        <v>692</v>
      </c>
      <c r="D1942" s="23" t="s">
        <v>720</v>
      </c>
      <c r="E1942" s="23" t="s">
        <v>1700</v>
      </c>
      <c r="F1942" s="23" t="s">
        <v>12</v>
      </c>
    </row>
    <row r="1943" ht="18.6" customHeight="1" spans="1:6">
      <c r="A1943" s="23">
        <v>1942</v>
      </c>
      <c r="B1943" s="22" t="s">
        <v>2281</v>
      </c>
      <c r="C1943" s="22" t="s">
        <v>692</v>
      </c>
      <c r="D1943" s="22" t="s">
        <v>723</v>
      </c>
      <c r="E1943" s="22" t="s">
        <v>1700</v>
      </c>
      <c r="F1943" s="22" t="s">
        <v>12</v>
      </c>
    </row>
    <row r="1944" ht="18.6" customHeight="1" spans="1:6">
      <c r="A1944" s="22">
        <v>1943</v>
      </c>
      <c r="B1944" s="23" t="s">
        <v>2282</v>
      </c>
      <c r="C1944" s="23" t="s">
        <v>692</v>
      </c>
      <c r="D1944" s="23" t="s">
        <v>712</v>
      </c>
      <c r="E1944" s="23" t="s">
        <v>1700</v>
      </c>
      <c r="F1944" s="23" t="s">
        <v>12</v>
      </c>
    </row>
    <row r="1945" ht="18.6" customHeight="1" spans="1:6">
      <c r="A1945" s="23">
        <v>1944</v>
      </c>
      <c r="B1945" s="22" t="s">
        <v>2283</v>
      </c>
      <c r="C1945" s="22" t="s">
        <v>692</v>
      </c>
      <c r="D1945" s="22" t="s">
        <v>693</v>
      </c>
      <c r="E1945" s="22" t="s">
        <v>1700</v>
      </c>
      <c r="F1945" s="22" t="s">
        <v>12</v>
      </c>
    </row>
    <row r="1946" ht="18.6" customHeight="1" spans="1:6">
      <c r="A1946" s="22">
        <v>1945</v>
      </c>
      <c r="B1946" s="23" t="s">
        <v>2284</v>
      </c>
      <c r="C1946" s="23" t="s">
        <v>692</v>
      </c>
      <c r="D1946" s="23" t="s">
        <v>723</v>
      </c>
      <c r="E1946" s="23" t="s">
        <v>1700</v>
      </c>
      <c r="F1946" s="23" t="s">
        <v>12</v>
      </c>
    </row>
    <row r="1947" ht="18.6" customHeight="1" spans="1:6">
      <c r="A1947" s="23">
        <v>1946</v>
      </c>
      <c r="B1947" s="22" t="s">
        <v>2285</v>
      </c>
      <c r="C1947" s="22" t="s">
        <v>692</v>
      </c>
      <c r="D1947" s="22" t="s">
        <v>693</v>
      </c>
      <c r="E1947" s="22" t="s">
        <v>1700</v>
      </c>
      <c r="F1947" s="22" t="s">
        <v>12</v>
      </c>
    </row>
    <row r="1948" ht="18.6" customHeight="1" spans="1:6">
      <c r="A1948" s="22">
        <v>1947</v>
      </c>
      <c r="B1948" s="23" t="s">
        <v>2286</v>
      </c>
      <c r="C1948" s="23" t="s">
        <v>692</v>
      </c>
      <c r="D1948" s="23" t="s">
        <v>693</v>
      </c>
      <c r="E1948" s="23" t="s">
        <v>1700</v>
      </c>
      <c r="F1948" s="23" t="s">
        <v>12</v>
      </c>
    </row>
    <row r="1949" ht="18.6" customHeight="1" spans="1:6">
      <c r="A1949" s="23">
        <v>1948</v>
      </c>
      <c r="B1949" s="22" t="s">
        <v>2287</v>
      </c>
      <c r="C1949" s="22" t="s">
        <v>692</v>
      </c>
      <c r="D1949" s="22" t="s">
        <v>693</v>
      </c>
      <c r="E1949" s="22" t="s">
        <v>1700</v>
      </c>
      <c r="F1949" s="22" t="s">
        <v>12</v>
      </c>
    </row>
    <row r="1950" ht="18.6" customHeight="1" spans="1:6">
      <c r="A1950" s="22">
        <v>1949</v>
      </c>
      <c r="B1950" s="23" t="s">
        <v>2288</v>
      </c>
      <c r="C1950" s="23" t="s">
        <v>692</v>
      </c>
      <c r="D1950" s="23" t="s">
        <v>693</v>
      </c>
      <c r="E1950" s="23" t="s">
        <v>1700</v>
      </c>
      <c r="F1950" s="23" t="s">
        <v>12</v>
      </c>
    </row>
    <row r="1951" ht="18.6" customHeight="1" spans="1:6">
      <c r="A1951" s="23">
        <v>1950</v>
      </c>
      <c r="B1951" s="22" t="s">
        <v>2289</v>
      </c>
      <c r="C1951" s="22" t="s">
        <v>692</v>
      </c>
      <c r="D1951" s="22" t="s">
        <v>693</v>
      </c>
      <c r="E1951" s="22" t="s">
        <v>1700</v>
      </c>
      <c r="F1951" s="22" t="s">
        <v>12</v>
      </c>
    </row>
    <row r="1952" ht="18.6" customHeight="1" spans="1:6">
      <c r="A1952" s="22">
        <v>1951</v>
      </c>
      <c r="B1952" s="23" t="s">
        <v>2290</v>
      </c>
      <c r="C1952" s="23" t="s">
        <v>692</v>
      </c>
      <c r="D1952" s="23" t="s">
        <v>693</v>
      </c>
      <c r="E1952" s="23" t="s">
        <v>1700</v>
      </c>
      <c r="F1952" s="23" t="s">
        <v>12</v>
      </c>
    </row>
    <row r="1953" ht="18.6" customHeight="1" spans="1:6">
      <c r="A1953" s="23">
        <v>1952</v>
      </c>
      <c r="B1953" s="22" t="s">
        <v>2291</v>
      </c>
      <c r="C1953" s="22" t="s">
        <v>692</v>
      </c>
      <c r="D1953" s="22" t="s">
        <v>700</v>
      </c>
      <c r="E1953" s="22" t="s">
        <v>1700</v>
      </c>
      <c r="F1953" s="22" t="s">
        <v>12</v>
      </c>
    </row>
    <row r="1954" ht="18.6" customHeight="1" spans="1:6">
      <c r="A1954" s="22">
        <v>1953</v>
      </c>
      <c r="B1954" s="23" t="s">
        <v>2292</v>
      </c>
      <c r="C1954" s="23" t="s">
        <v>692</v>
      </c>
      <c r="D1954" s="23" t="s">
        <v>693</v>
      </c>
      <c r="E1954" s="23" t="s">
        <v>1700</v>
      </c>
      <c r="F1954" s="23" t="s">
        <v>12</v>
      </c>
    </row>
    <row r="1955" ht="18.6" customHeight="1" spans="1:6">
      <c r="A1955" s="23">
        <v>1954</v>
      </c>
      <c r="B1955" s="22" t="s">
        <v>2293</v>
      </c>
      <c r="C1955" s="22" t="s">
        <v>692</v>
      </c>
      <c r="D1955" s="22" t="s">
        <v>693</v>
      </c>
      <c r="E1955" s="22" t="s">
        <v>1700</v>
      </c>
      <c r="F1955" s="22" t="s">
        <v>12</v>
      </c>
    </row>
    <row r="1956" ht="18.6" customHeight="1" spans="1:6">
      <c r="A1956" s="22">
        <v>1955</v>
      </c>
      <c r="B1956" s="23" t="s">
        <v>2294</v>
      </c>
      <c r="C1956" s="23" t="s">
        <v>692</v>
      </c>
      <c r="D1956" s="23" t="s">
        <v>716</v>
      </c>
      <c r="E1956" s="23" t="s">
        <v>1700</v>
      </c>
      <c r="F1956" s="23" t="s">
        <v>12</v>
      </c>
    </row>
    <row r="1957" ht="18.6" customHeight="1" spans="1:6">
      <c r="A1957" s="23">
        <v>1956</v>
      </c>
      <c r="B1957" s="22" t="s">
        <v>2295</v>
      </c>
      <c r="C1957" s="22" t="s">
        <v>692</v>
      </c>
      <c r="D1957" s="22" t="s">
        <v>704</v>
      </c>
      <c r="E1957" s="22" t="s">
        <v>1700</v>
      </c>
      <c r="F1957" s="22" t="s">
        <v>12</v>
      </c>
    </row>
    <row r="1958" ht="18.6" customHeight="1" spans="1:6">
      <c r="A1958" s="22">
        <v>1957</v>
      </c>
      <c r="B1958" s="23" t="s">
        <v>2296</v>
      </c>
      <c r="C1958" s="23" t="s">
        <v>692</v>
      </c>
      <c r="D1958" s="23" t="s">
        <v>727</v>
      </c>
      <c r="E1958" s="23" t="s">
        <v>1700</v>
      </c>
      <c r="F1958" s="23" t="s">
        <v>12</v>
      </c>
    </row>
    <row r="1959" ht="18.6" customHeight="1" spans="1:6">
      <c r="A1959" s="23">
        <v>1958</v>
      </c>
      <c r="B1959" s="22" t="s">
        <v>2297</v>
      </c>
      <c r="C1959" s="22" t="s">
        <v>692</v>
      </c>
      <c r="D1959" s="22" t="s">
        <v>709</v>
      </c>
      <c r="E1959" s="22" t="s">
        <v>1700</v>
      </c>
      <c r="F1959" s="22" t="s">
        <v>12</v>
      </c>
    </row>
    <row r="1960" ht="18.6" customHeight="1" spans="1:6">
      <c r="A1960" s="22">
        <v>1959</v>
      </c>
      <c r="B1960" s="23" t="s">
        <v>2298</v>
      </c>
      <c r="C1960" s="23" t="s">
        <v>692</v>
      </c>
      <c r="D1960" s="23" t="s">
        <v>693</v>
      </c>
      <c r="E1960" s="23" t="s">
        <v>1700</v>
      </c>
      <c r="F1960" s="23" t="s">
        <v>12</v>
      </c>
    </row>
    <row r="1961" ht="18.6" customHeight="1" spans="1:6">
      <c r="A1961" s="23">
        <v>1960</v>
      </c>
      <c r="B1961" s="22" t="s">
        <v>2299</v>
      </c>
      <c r="C1961" s="22" t="s">
        <v>692</v>
      </c>
      <c r="D1961" s="22" t="s">
        <v>693</v>
      </c>
      <c r="E1961" s="22" t="s">
        <v>1700</v>
      </c>
      <c r="F1961" s="22" t="s">
        <v>12</v>
      </c>
    </row>
    <row r="1962" ht="18.6" customHeight="1" spans="1:6">
      <c r="A1962" s="22">
        <v>1961</v>
      </c>
      <c r="B1962" s="23" t="s">
        <v>2300</v>
      </c>
      <c r="C1962" s="23" t="s">
        <v>692</v>
      </c>
      <c r="D1962" s="23" t="s">
        <v>693</v>
      </c>
      <c r="E1962" s="23" t="s">
        <v>1700</v>
      </c>
      <c r="F1962" s="23" t="s">
        <v>12</v>
      </c>
    </row>
    <row r="1963" ht="18.6" customHeight="1" spans="1:6">
      <c r="A1963" s="23">
        <v>1962</v>
      </c>
      <c r="B1963" s="22" t="s">
        <v>2301</v>
      </c>
      <c r="C1963" s="22" t="s">
        <v>692</v>
      </c>
      <c r="D1963" s="22" t="s">
        <v>716</v>
      </c>
      <c r="E1963" s="22" t="s">
        <v>1700</v>
      </c>
      <c r="F1963" s="22" t="s">
        <v>12</v>
      </c>
    </row>
    <row r="1964" ht="18.6" customHeight="1" spans="1:6">
      <c r="A1964" s="22">
        <v>1963</v>
      </c>
      <c r="B1964" s="23" t="s">
        <v>2302</v>
      </c>
      <c r="C1964" s="23" t="s">
        <v>692</v>
      </c>
      <c r="D1964" s="23" t="s">
        <v>718</v>
      </c>
      <c r="E1964" s="23" t="s">
        <v>1700</v>
      </c>
      <c r="F1964" s="23" t="s">
        <v>12</v>
      </c>
    </row>
    <row r="1965" ht="18.6" customHeight="1" spans="1:6">
      <c r="A1965" s="23">
        <v>1964</v>
      </c>
      <c r="B1965" s="22" t="s">
        <v>2303</v>
      </c>
      <c r="C1965" s="22" t="s">
        <v>692</v>
      </c>
      <c r="D1965" s="22" t="s">
        <v>700</v>
      </c>
      <c r="E1965" s="22" t="s">
        <v>1700</v>
      </c>
      <c r="F1965" s="22" t="s">
        <v>12</v>
      </c>
    </row>
    <row r="1966" ht="18.6" customHeight="1" spans="1:6">
      <c r="A1966" s="22">
        <v>1965</v>
      </c>
      <c r="B1966" s="23" t="s">
        <v>2304</v>
      </c>
      <c r="C1966" s="23" t="s">
        <v>692</v>
      </c>
      <c r="D1966" s="23" t="s">
        <v>700</v>
      </c>
      <c r="E1966" s="23" t="s">
        <v>1700</v>
      </c>
      <c r="F1966" s="23" t="s">
        <v>12</v>
      </c>
    </row>
    <row r="1967" ht="18.6" customHeight="1" spans="1:6">
      <c r="A1967" s="23">
        <v>1966</v>
      </c>
      <c r="B1967" s="22" t="s">
        <v>2305</v>
      </c>
      <c r="C1967" s="22" t="s">
        <v>692</v>
      </c>
      <c r="D1967" s="22" t="s">
        <v>693</v>
      </c>
      <c r="E1967" s="22" t="s">
        <v>1700</v>
      </c>
      <c r="F1967" s="22" t="s">
        <v>12</v>
      </c>
    </row>
    <row r="1968" ht="18.6" customHeight="1" spans="1:6">
      <c r="A1968" s="22">
        <v>1967</v>
      </c>
      <c r="B1968" s="23" t="s">
        <v>2306</v>
      </c>
      <c r="C1968" s="23" t="s">
        <v>692</v>
      </c>
      <c r="D1968" s="23" t="s">
        <v>716</v>
      </c>
      <c r="E1968" s="23" t="s">
        <v>1700</v>
      </c>
      <c r="F1968" s="23" t="s">
        <v>12</v>
      </c>
    </row>
    <row r="1969" ht="18.6" customHeight="1" spans="1:6">
      <c r="A1969" s="23">
        <v>1968</v>
      </c>
      <c r="B1969" s="22" t="s">
        <v>2307</v>
      </c>
      <c r="C1969" s="22" t="s">
        <v>692</v>
      </c>
      <c r="D1969" s="22" t="s">
        <v>693</v>
      </c>
      <c r="E1969" s="22" t="s">
        <v>1700</v>
      </c>
      <c r="F1969" s="22" t="s">
        <v>12</v>
      </c>
    </row>
    <row r="1970" ht="18.6" customHeight="1" spans="1:6">
      <c r="A1970" s="22">
        <v>1969</v>
      </c>
      <c r="B1970" s="23" t="s">
        <v>2308</v>
      </c>
      <c r="C1970" s="23" t="s">
        <v>692</v>
      </c>
      <c r="D1970" s="23" t="s">
        <v>693</v>
      </c>
      <c r="E1970" s="23" t="s">
        <v>1700</v>
      </c>
      <c r="F1970" s="23" t="s">
        <v>12</v>
      </c>
    </row>
    <row r="1971" ht="18.6" customHeight="1" spans="1:6">
      <c r="A1971" s="23">
        <v>1970</v>
      </c>
      <c r="B1971" s="22" t="s">
        <v>2309</v>
      </c>
      <c r="C1971" s="22" t="s">
        <v>692</v>
      </c>
      <c r="D1971" s="22" t="s">
        <v>720</v>
      </c>
      <c r="E1971" s="22" t="s">
        <v>1700</v>
      </c>
      <c r="F1971" s="22" t="s">
        <v>12</v>
      </c>
    </row>
    <row r="1972" ht="18.6" customHeight="1" spans="1:6">
      <c r="A1972" s="22">
        <v>1971</v>
      </c>
      <c r="B1972" s="23" t="s">
        <v>2310</v>
      </c>
      <c r="C1972" s="23" t="s">
        <v>692</v>
      </c>
      <c r="D1972" s="23" t="s">
        <v>2274</v>
      </c>
      <c r="E1972" s="23" t="s">
        <v>1700</v>
      </c>
      <c r="F1972" s="23" t="s">
        <v>12</v>
      </c>
    </row>
    <row r="1973" ht="18.6" customHeight="1" spans="1:6">
      <c r="A1973" s="23">
        <v>1972</v>
      </c>
      <c r="B1973" s="22" t="s">
        <v>2311</v>
      </c>
      <c r="C1973" s="22" t="s">
        <v>692</v>
      </c>
      <c r="D1973" s="22" t="s">
        <v>2262</v>
      </c>
      <c r="E1973" s="22" t="s">
        <v>1700</v>
      </c>
      <c r="F1973" s="22" t="s">
        <v>12</v>
      </c>
    </row>
    <row r="1974" ht="18.6" customHeight="1" spans="1:6">
      <c r="A1974" s="22">
        <v>1973</v>
      </c>
      <c r="B1974" s="23" t="s">
        <v>2312</v>
      </c>
      <c r="C1974" s="23" t="s">
        <v>692</v>
      </c>
      <c r="D1974" s="23" t="s">
        <v>727</v>
      </c>
      <c r="E1974" s="23" t="s">
        <v>1700</v>
      </c>
      <c r="F1974" s="23" t="s">
        <v>12</v>
      </c>
    </row>
    <row r="1975" ht="18.6" customHeight="1" spans="1:6">
      <c r="A1975" s="23">
        <v>1974</v>
      </c>
      <c r="B1975" s="22" t="s">
        <v>2313</v>
      </c>
      <c r="C1975" s="22" t="s">
        <v>692</v>
      </c>
      <c r="D1975" s="22" t="s">
        <v>2257</v>
      </c>
      <c r="E1975" s="22" t="s">
        <v>1700</v>
      </c>
      <c r="F1975" s="22" t="s">
        <v>12</v>
      </c>
    </row>
    <row r="1976" ht="18.6" customHeight="1" spans="1:6">
      <c r="A1976" s="22">
        <v>1975</v>
      </c>
      <c r="B1976" s="23" t="s">
        <v>2314</v>
      </c>
      <c r="C1976" s="23" t="s">
        <v>692</v>
      </c>
      <c r="D1976" s="23" t="s">
        <v>693</v>
      </c>
      <c r="E1976" s="23" t="s">
        <v>1700</v>
      </c>
      <c r="F1976" s="23" t="s">
        <v>12</v>
      </c>
    </row>
    <row r="1977" ht="18.6" customHeight="1" spans="1:6">
      <c r="A1977" s="23">
        <v>1976</v>
      </c>
      <c r="B1977" s="22" t="s">
        <v>2315</v>
      </c>
      <c r="C1977" s="22" t="s">
        <v>692</v>
      </c>
      <c r="D1977" s="22" t="s">
        <v>693</v>
      </c>
      <c r="E1977" s="22" t="s">
        <v>1700</v>
      </c>
      <c r="F1977" s="22" t="s">
        <v>12</v>
      </c>
    </row>
    <row r="1978" ht="18.6" customHeight="1" spans="1:6">
      <c r="A1978" s="22">
        <v>1977</v>
      </c>
      <c r="B1978" s="23" t="s">
        <v>2316</v>
      </c>
      <c r="C1978" s="23" t="s">
        <v>692</v>
      </c>
      <c r="D1978" s="23" t="s">
        <v>693</v>
      </c>
      <c r="E1978" s="23" t="s">
        <v>1700</v>
      </c>
      <c r="F1978" s="23" t="s">
        <v>12</v>
      </c>
    </row>
    <row r="1979" ht="18.6" customHeight="1" spans="1:6">
      <c r="A1979" s="23">
        <v>1978</v>
      </c>
      <c r="B1979" s="22" t="s">
        <v>2317</v>
      </c>
      <c r="C1979" s="22" t="s">
        <v>692</v>
      </c>
      <c r="D1979" s="22" t="s">
        <v>704</v>
      </c>
      <c r="E1979" s="22" t="s">
        <v>1700</v>
      </c>
      <c r="F1979" s="22" t="s">
        <v>12</v>
      </c>
    </row>
    <row r="1980" ht="18.6" customHeight="1" spans="1:6">
      <c r="A1980" s="22">
        <v>1979</v>
      </c>
      <c r="B1980" s="23" t="s">
        <v>2318</v>
      </c>
      <c r="C1980" s="23" t="s">
        <v>692</v>
      </c>
      <c r="D1980" s="23" t="s">
        <v>693</v>
      </c>
      <c r="E1980" s="23" t="s">
        <v>1700</v>
      </c>
      <c r="F1980" s="23" t="s">
        <v>12</v>
      </c>
    </row>
    <row r="1981" ht="18.6" customHeight="1" spans="1:6">
      <c r="A1981" s="23">
        <v>1980</v>
      </c>
      <c r="B1981" s="22" t="s">
        <v>2319</v>
      </c>
      <c r="C1981" s="22" t="s">
        <v>692</v>
      </c>
      <c r="D1981" s="22" t="s">
        <v>704</v>
      </c>
      <c r="E1981" s="22" t="s">
        <v>1700</v>
      </c>
      <c r="F1981" s="22" t="s">
        <v>12</v>
      </c>
    </row>
    <row r="1982" ht="18.6" customHeight="1" spans="1:6">
      <c r="A1982" s="22">
        <v>1981</v>
      </c>
      <c r="B1982" s="23" t="s">
        <v>2320</v>
      </c>
      <c r="C1982" s="23" t="s">
        <v>692</v>
      </c>
      <c r="D1982" s="23" t="s">
        <v>709</v>
      </c>
      <c r="E1982" s="23" t="s">
        <v>1700</v>
      </c>
      <c r="F1982" s="23" t="s">
        <v>12</v>
      </c>
    </row>
    <row r="1983" ht="18.6" customHeight="1" spans="1:6">
      <c r="A1983" s="23">
        <v>1982</v>
      </c>
      <c r="B1983" s="22" t="s">
        <v>2321</v>
      </c>
      <c r="C1983" s="22" t="s">
        <v>692</v>
      </c>
      <c r="D1983" s="22" t="s">
        <v>2262</v>
      </c>
      <c r="E1983" s="22" t="s">
        <v>1700</v>
      </c>
      <c r="F1983" s="22" t="s">
        <v>12</v>
      </c>
    </row>
    <row r="1984" ht="18.6" customHeight="1" spans="1:6">
      <c r="A1984" s="22">
        <v>1983</v>
      </c>
      <c r="B1984" s="23" t="s">
        <v>2322</v>
      </c>
      <c r="C1984" s="23" t="s">
        <v>692</v>
      </c>
      <c r="D1984" s="23" t="s">
        <v>720</v>
      </c>
      <c r="E1984" s="23" t="s">
        <v>1700</v>
      </c>
      <c r="F1984" s="23" t="s">
        <v>12</v>
      </c>
    </row>
    <row r="1985" ht="18.6" customHeight="1" spans="1:6">
      <c r="A1985" s="23">
        <v>1984</v>
      </c>
      <c r="B1985" s="22" t="s">
        <v>2323</v>
      </c>
      <c r="C1985" s="22" t="s">
        <v>692</v>
      </c>
      <c r="D1985" s="22" t="s">
        <v>709</v>
      </c>
      <c r="E1985" s="22" t="s">
        <v>1700</v>
      </c>
      <c r="F1985" s="22" t="s">
        <v>12</v>
      </c>
    </row>
    <row r="1986" ht="18.6" customHeight="1" spans="1:6">
      <c r="A1986" s="22">
        <v>1985</v>
      </c>
      <c r="B1986" s="23" t="s">
        <v>2324</v>
      </c>
      <c r="C1986" s="23" t="s">
        <v>692</v>
      </c>
      <c r="D1986" s="23" t="s">
        <v>729</v>
      </c>
      <c r="E1986" s="23" t="s">
        <v>1700</v>
      </c>
      <c r="F1986" s="23" t="s">
        <v>12</v>
      </c>
    </row>
    <row r="1987" ht="18.6" customHeight="1" spans="1:6">
      <c r="A1987" s="23">
        <v>1986</v>
      </c>
      <c r="B1987" s="22" t="s">
        <v>2325</v>
      </c>
      <c r="C1987" s="22" t="s">
        <v>692</v>
      </c>
      <c r="D1987" s="22" t="s">
        <v>700</v>
      </c>
      <c r="E1987" s="22" t="s">
        <v>1700</v>
      </c>
      <c r="F1987" s="22" t="s">
        <v>12</v>
      </c>
    </row>
    <row r="1988" ht="18.6" customHeight="1" spans="1:6">
      <c r="A1988" s="22">
        <v>1987</v>
      </c>
      <c r="B1988" s="23" t="s">
        <v>2326</v>
      </c>
      <c r="C1988" s="23" t="s">
        <v>692</v>
      </c>
      <c r="D1988" s="23" t="s">
        <v>714</v>
      </c>
      <c r="E1988" s="23" t="s">
        <v>1700</v>
      </c>
      <c r="F1988" s="23" t="s">
        <v>12</v>
      </c>
    </row>
    <row r="1989" ht="18.6" customHeight="1" spans="1:6">
      <c r="A1989" s="23">
        <v>1988</v>
      </c>
      <c r="B1989" s="22" t="s">
        <v>2327</v>
      </c>
      <c r="C1989" s="22" t="s">
        <v>692</v>
      </c>
      <c r="D1989" s="22" t="s">
        <v>712</v>
      </c>
      <c r="E1989" s="22" t="s">
        <v>1700</v>
      </c>
      <c r="F1989" s="22" t="s">
        <v>12</v>
      </c>
    </row>
    <row r="1990" ht="18.6" customHeight="1" spans="1:6">
      <c r="A1990" s="22">
        <v>1989</v>
      </c>
      <c r="B1990" s="23" t="s">
        <v>2328</v>
      </c>
      <c r="C1990" s="23" t="s">
        <v>692</v>
      </c>
      <c r="D1990" s="23" t="s">
        <v>729</v>
      </c>
      <c r="E1990" s="23" t="s">
        <v>1700</v>
      </c>
      <c r="F1990" s="23" t="s">
        <v>12</v>
      </c>
    </row>
    <row r="1991" ht="18.6" customHeight="1" spans="1:6">
      <c r="A1991" s="23">
        <v>1990</v>
      </c>
      <c r="B1991" s="22" t="s">
        <v>2329</v>
      </c>
      <c r="C1991" s="22" t="s">
        <v>746</v>
      </c>
      <c r="D1991" s="22" t="s">
        <v>747</v>
      </c>
      <c r="E1991" s="22" t="s">
        <v>1700</v>
      </c>
      <c r="F1991" s="22" t="s">
        <v>12</v>
      </c>
    </row>
    <row r="1992" ht="18.6" customHeight="1" spans="1:6">
      <c r="A1992" s="22">
        <v>1991</v>
      </c>
      <c r="B1992" s="23" t="s">
        <v>2330</v>
      </c>
      <c r="C1992" s="23" t="s">
        <v>746</v>
      </c>
      <c r="D1992" s="23" t="s">
        <v>751</v>
      </c>
      <c r="E1992" s="23" t="s">
        <v>1700</v>
      </c>
      <c r="F1992" s="23" t="s">
        <v>12</v>
      </c>
    </row>
    <row r="1993" ht="18.6" customHeight="1" spans="1:6">
      <c r="A1993" s="23">
        <v>1992</v>
      </c>
      <c r="B1993" s="22" t="s">
        <v>2331</v>
      </c>
      <c r="C1993" s="22" t="s">
        <v>746</v>
      </c>
      <c r="D1993" s="22" t="s">
        <v>769</v>
      </c>
      <c r="E1993" s="22" t="s">
        <v>1700</v>
      </c>
      <c r="F1993" s="22" t="s">
        <v>12</v>
      </c>
    </row>
    <row r="1994" ht="18.6" customHeight="1" spans="1:6">
      <c r="A1994" s="22">
        <v>1993</v>
      </c>
      <c r="B1994" s="23" t="s">
        <v>2332</v>
      </c>
      <c r="C1994" s="23" t="s">
        <v>746</v>
      </c>
      <c r="D1994" s="23" t="s">
        <v>2333</v>
      </c>
      <c r="E1994" s="23" t="s">
        <v>1700</v>
      </c>
      <c r="F1994" s="23" t="s">
        <v>12</v>
      </c>
    </row>
    <row r="1995" ht="18.6" customHeight="1" spans="1:6">
      <c r="A1995" s="23">
        <v>1994</v>
      </c>
      <c r="B1995" s="22" t="s">
        <v>2334</v>
      </c>
      <c r="C1995" s="22" t="s">
        <v>746</v>
      </c>
      <c r="D1995" s="22" t="s">
        <v>747</v>
      </c>
      <c r="E1995" s="22" t="s">
        <v>1700</v>
      </c>
      <c r="F1995" s="22" t="s">
        <v>12</v>
      </c>
    </row>
    <row r="1996" ht="18.6" customHeight="1" spans="1:6">
      <c r="A1996" s="22">
        <v>1995</v>
      </c>
      <c r="B1996" s="23" t="s">
        <v>2335</v>
      </c>
      <c r="C1996" s="23" t="s">
        <v>746</v>
      </c>
      <c r="D1996" s="23" t="s">
        <v>778</v>
      </c>
      <c r="E1996" s="23" t="s">
        <v>1700</v>
      </c>
      <c r="F1996" s="23" t="s">
        <v>12</v>
      </c>
    </row>
    <row r="1997" ht="18.6" customHeight="1" spans="1:6">
      <c r="A1997" s="23">
        <v>1996</v>
      </c>
      <c r="B1997" s="22" t="s">
        <v>2336</v>
      </c>
      <c r="C1997" s="22" t="s">
        <v>746</v>
      </c>
      <c r="D1997" s="22" t="s">
        <v>747</v>
      </c>
      <c r="E1997" s="22" t="s">
        <v>1700</v>
      </c>
      <c r="F1997" s="22" t="s">
        <v>12</v>
      </c>
    </row>
    <row r="1998" ht="18.6" customHeight="1" spans="1:6">
      <c r="A1998" s="22">
        <v>1997</v>
      </c>
      <c r="B1998" s="23" t="s">
        <v>2337</v>
      </c>
      <c r="C1998" s="23" t="s">
        <v>746</v>
      </c>
      <c r="D1998" s="23" t="s">
        <v>767</v>
      </c>
      <c r="E1998" s="23" t="s">
        <v>1700</v>
      </c>
      <c r="F1998" s="23" t="s">
        <v>12</v>
      </c>
    </row>
    <row r="1999" ht="18.6" customHeight="1" spans="1:6">
      <c r="A1999" s="23">
        <v>1998</v>
      </c>
      <c r="B1999" s="22" t="s">
        <v>2338</v>
      </c>
      <c r="C1999" s="22" t="s">
        <v>746</v>
      </c>
      <c r="D1999" s="22" t="s">
        <v>751</v>
      </c>
      <c r="E1999" s="22" t="s">
        <v>1700</v>
      </c>
      <c r="F1999" s="22" t="s">
        <v>12</v>
      </c>
    </row>
    <row r="2000" ht="18.6" customHeight="1" spans="1:6">
      <c r="A2000" s="22">
        <v>1999</v>
      </c>
      <c r="B2000" s="23" t="s">
        <v>2339</v>
      </c>
      <c r="C2000" s="23" t="s">
        <v>746</v>
      </c>
      <c r="D2000" s="23" t="s">
        <v>747</v>
      </c>
      <c r="E2000" s="23" t="s">
        <v>1700</v>
      </c>
      <c r="F2000" s="23" t="s">
        <v>12</v>
      </c>
    </row>
    <row r="2001" ht="18.6" customHeight="1" spans="1:6">
      <c r="A2001" s="23">
        <v>2000</v>
      </c>
      <c r="B2001" s="22" t="s">
        <v>2340</v>
      </c>
      <c r="C2001" s="22" t="s">
        <v>746</v>
      </c>
      <c r="D2001" s="22" t="s">
        <v>2341</v>
      </c>
      <c r="E2001" s="22" t="s">
        <v>1700</v>
      </c>
      <c r="F2001" s="22" t="s">
        <v>12</v>
      </c>
    </row>
    <row r="2002" ht="18.6" customHeight="1" spans="1:6">
      <c r="A2002" s="22">
        <v>2001</v>
      </c>
      <c r="B2002" s="23" t="s">
        <v>2342</v>
      </c>
      <c r="C2002" s="23" t="s">
        <v>746</v>
      </c>
      <c r="D2002" s="23" t="s">
        <v>747</v>
      </c>
      <c r="E2002" s="23" t="s">
        <v>1700</v>
      </c>
      <c r="F2002" s="23" t="s">
        <v>12</v>
      </c>
    </row>
    <row r="2003" ht="18.6" customHeight="1" spans="1:6">
      <c r="A2003" s="23">
        <v>2002</v>
      </c>
      <c r="B2003" s="22" t="s">
        <v>2343</v>
      </c>
      <c r="C2003" s="22" t="s">
        <v>746</v>
      </c>
      <c r="D2003" s="22" t="s">
        <v>747</v>
      </c>
      <c r="E2003" s="22" t="s">
        <v>1700</v>
      </c>
      <c r="F2003" s="22" t="s">
        <v>12</v>
      </c>
    </row>
    <row r="2004" ht="18.6" customHeight="1" spans="1:6">
      <c r="A2004" s="22">
        <v>2003</v>
      </c>
      <c r="B2004" s="23" t="s">
        <v>2344</v>
      </c>
      <c r="C2004" s="23" t="s">
        <v>746</v>
      </c>
      <c r="D2004" s="23" t="s">
        <v>751</v>
      </c>
      <c r="E2004" s="23" t="s">
        <v>1700</v>
      </c>
      <c r="F2004" s="23" t="s">
        <v>12</v>
      </c>
    </row>
    <row r="2005" ht="18.6" customHeight="1" spans="1:6">
      <c r="A2005" s="23">
        <v>2004</v>
      </c>
      <c r="B2005" s="22" t="s">
        <v>2345</v>
      </c>
      <c r="C2005" s="22" t="s">
        <v>746</v>
      </c>
      <c r="D2005" s="22" t="s">
        <v>747</v>
      </c>
      <c r="E2005" s="22" t="s">
        <v>1700</v>
      </c>
      <c r="F2005" s="22" t="s">
        <v>12</v>
      </c>
    </row>
    <row r="2006" ht="18.6" customHeight="1" spans="1:6">
      <c r="A2006" s="22">
        <v>2005</v>
      </c>
      <c r="B2006" s="23" t="s">
        <v>2346</v>
      </c>
      <c r="C2006" s="23" t="s">
        <v>746</v>
      </c>
      <c r="D2006" s="23" t="s">
        <v>747</v>
      </c>
      <c r="E2006" s="23" t="s">
        <v>1700</v>
      </c>
      <c r="F2006" s="23" t="s">
        <v>12</v>
      </c>
    </row>
    <row r="2007" ht="18.6" customHeight="1" spans="1:6">
      <c r="A2007" s="23">
        <v>2006</v>
      </c>
      <c r="B2007" s="22" t="s">
        <v>2347</v>
      </c>
      <c r="C2007" s="22" t="s">
        <v>746</v>
      </c>
      <c r="D2007" s="22" t="s">
        <v>747</v>
      </c>
      <c r="E2007" s="22" t="s">
        <v>1700</v>
      </c>
      <c r="F2007" s="22" t="s">
        <v>12</v>
      </c>
    </row>
    <row r="2008" ht="18.6" customHeight="1" spans="1:6">
      <c r="A2008" s="22">
        <v>2007</v>
      </c>
      <c r="B2008" s="23" t="s">
        <v>2348</v>
      </c>
      <c r="C2008" s="23" t="s">
        <v>746</v>
      </c>
      <c r="D2008" s="23" t="s">
        <v>785</v>
      </c>
      <c r="E2008" s="23" t="s">
        <v>1700</v>
      </c>
      <c r="F2008" s="23" t="s">
        <v>12</v>
      </c>
    </row>
    <row r="2009" ht="18.6" customHeight="1" spans="1:6">
      <c r="A2009" s="23">
        <v>2008</v>
      </c>
      <c r="B2009" s="22" t="s">
        <v>2349</v>
      </c>
      <c r="C2009" s="22" t="s">
        <v>746</v>
      </c>
      <c r="D2009" s="22" t="s">
        <v>2350</v>
      </c>
      <c r="E2009" s="22" t="s">
        <v>1700</v>
      </c>
      <c r="F2009" s="22" t="s">
        <v>12</v>
      </c>
    </row>
    <row r="2010" ht="18.6" customHeight="1" spans="1:6">
      <c r="A2010" s="22">
        <v>2009</v>
      </c>
      <c r="B2010" s="23" t="s">
        <v>2351</v>
      </c>
      <c r="C2010" s="23" t="s">
        <v>746</v>
      </c>
      <c r="D2010" s="23" t="s">
        <v>747</v>
      </c>
      <c r="E2010" s="23" t="s">
        <v>1700</v>
      </c>
      <c r="F2010" s="23" t="s">
        <v>12</v>
      </c>
    </row>
    <row r="2011" ht="18.6" customHeight="1" spans="1:6">
      <c r="A2011" s="23">
        <v>2010</v>
      </c>
      <c r="B2011" s="22" t="s">
        <v>2352</v>
      </c>
      <c r="C2011" s="22" t="s">
        <v>746</v>
      </c>
      <c r="D2011" s="22" t="s">
        <v>747</v>
      </c>
      <c r="E2011" s="22" t="s">
        <v>1700</v>
      </c>
      <c r="F2011" s="22" t="s">
        <v>12</v>
      </c>
    </row>
    <row r="2012" ht="18.6" customHeight="1" spans="1:6">
      <c r="A2012" s="22">
        <v>2011</v>
      </c>
      <c r="B2012" s="23" t="s">
        <v>2353</v>
      </c>
      <c r="C2012" s="23" t="s">
        <v>746</v>
      </c>
      <c r="D2012" s="23" t="s">
        <v>747</v>
      </c>
      <c r="E2012" s="23" t="s">
        <v>1700</v>
      </c>
      <c r="F2012" s="23" t="s">
        <v>12</v>
      </c>
    </row>
    <row r="2013" ht="18.6" customHeight="1" spans="1:6">
      <c r="A2013" s="23">
        <v>2012</v>
      </c>
      <c r="B2013" s="22" t="s">
        <v>2354</v>
      </c>
      <c r="C2013" s="22" t="s">
        <v>746</v>
      </c>
      <c r="D2013" s="22" t="s">
        <v>747</v>
      </c>
      <c r="E2013" s="22" t="s">
        <v>1700</v>
      </c>
      <c r="F2013" s="22" t="s">
        <v>12</v>
      </c>
    </row>
    <row r="2014" ht="18.6" customHeight="1" spans="1:6">
      <c r="A2014" s="22">
        <v>2013</v>
      </c>
      <c r="B2014" s="23" t="s">
        <v>2355</v>
      </c>
      <c r="C2014" s="23" t="s">
        <v>746</v>
      </c>
      <c r="D2014" s="23" t="s">
        <v>747</v>
      </c>
      <c r="E2014" s="23" t="s">
        <v>1700</v>
      </c>
      <c r="F2014" s="23" t="s">
        <v>12</v>
      </c>
    </row>
    <row r="2015" ht="18.6" customHeight="1" spans="1:6">
      <c r="A2015" s="23">
        <v>2014</v>
      </c>
      <c r="B2015" s="22" t="s">
        <v>2356</v>
      </c>
      <c r="C2015" s="22" t="s">
        <v>746</v>
      </c>
      <c r="D2015" s="22" t="s">
        <v>747</v>
      </c>
      <c r="E2015" s="22" t="s">
        <v>1700</v>
      </c>
      <c r="F2015" s="22" t="s">
        <v>12</v>
      </c>
    </row>
    <row r="2016" ht="18.6" customHeight="1" spans="1:6">
      <c r="A2016" s="22">
        <v>2015</v>
      </c>
      <c r="B2016" s="23" t="s">
        <v>2357</v>
      </c>
      <c r="C2016" s="23" t="s">
        <v>746</v>
      </c>
      <c r="D2016" s="23" t="s">
        <v>747</v>
      </c>
      <c r="E2016" s="23" t="s">
        <v>1700</v>
      </c>
      <c r="F2016" s="23" t="s">
        <v>12</v>
      </c>
    </row>
    <row r="2017" ht="18.6" customHeight="1" spans="1:6">
      <c r="A2017" s="23">
        <v>2016</v>
      </c>
      <c r="B2017" s="22" t="s">
        <v>2358</v>
      </c>
      <c r="C2017" s="22" t="s">
        <v>746</v>
      </c>
      <c r="D2017" s="22" t="s">
        <v>781</v>
      </c>
      <c r="E2017" s="22" t="s">
        <v>1700</v>
      </c>
      <c r="F2017" s="22" t="s">
        <v>12</v>
      </c>
    </row>
    <row r="2018" ht="18.6" customHeight="1" spans="1:6">
      <c r="A2018" s="22">
        <v>2017</v>
      </c>
      <c r="B2018" s="23" t="s">
        <v>2359</v>
      </c>
      <c r="C2018" s="23" t="s">
        <v>746</v>
      </c>
      <c r="D2018" s="23" t="s">
        <v>747</v>
      </c>
      <c r="E2018" s="23" t="s">
        <v>1700</v>
      </c>
      <c r="F2018" s="23" t="s">
        <v>12</v>
      </c>
    </row>
    <row r="2019" ht="18.6" customHeight="1" spans="1:6">
      <c r="A2019" s="23">
        <v>2018</v>
      </c>
      <c r="B2019" s="22" t="s">
        <v>2360</v>
      </c>
      <c r="C2019" s="22" t="s">
        <v>746</v>
      </c>
      <c r="D2019" s="22" t="s">
        <v>2361</v>
      </c>
      <c r="E2019" s="22" t="s">
        <v>1700</v>
      </c>
      <c r="F2019" s="22" t="s">
        <v>12</v>
      </c>
    </row>
    <row r="2020" ht="18.6" customHeight="1" spans="1:6">
      <c r="A2020" s="22">
        <v>2019</v>
      </c>
      <c r="B2020" s="23" t="s">
        <v>2362</v>
      </c>
      <c r="C2020" s="23" t="s">
        <v>746</v>
      </c>
      <c r="D2020" s="23" t="s">
        <v>747</v>
      </c>
      <c r="E2020" s="23" t="s">
        <v>1700</v>
      </c>
      <c r="F2020" s="23" t="s">
        <v>12</v>
      </c>
    </row>
    <row r="2021" ht="18.6" customHeight="1" spans="1:6">
      <c r="A2021" s="23">
        <v>2020</v>
      </c>
      <c r="B2021" s="22" t="s">
        <v>2363</v>
      </c>
      <c r="C2021" s="22" t="s">
        <v>746</v>
      </c>
      <c r="D2021" s="22" t="s">
        <v>765</v>
      </c>
      <c r="E2021" s="22" t="s">
        <v>1700</v>
      </c>
      <c r="F2021" s="22" t="s">
        <v>12</v>
      </c>
    </row>
    <row r="2022" ht="18.6" customHeight="1" spans="1:6">
      <c r="A2022" s="22">
        <v>2021</v>
      </c>
      <c r="B2022" s="23" t="s">
        <v>2364</v>
      </c>
      <c r="C2022" s="23" t="s">
        <v>746</v>
      </c>
      <c r="D2022" s="23" t="s">
        <v>747</v>
      </c>
      <c r="E2022" s="23" t="s">
        <v>1700</v>
      </c>
      <c r="F2022" s="23" t="s">
        <v>12</v>
      </c>
    </row>
    <row r="2023" ht="18.6" customHeight="1" spans="1:6">
      <c r="A2023" s="23">
        <v>2022</v>
      </c>
      <c r="B2023" s="22" t="s">
        <v>2365</v>
      </c>
      <c r="C2023" s="22" t="s">
        <v>746</v>
      </c>
      <c r="D2023" s="22" t="s">
        <v>747</v>
      </c>
      <c r="E2023" s="22" t="s">
        <v>1700</v>
      </c>
      <c r="F2023" s="22" t="s">
        <v>12</v>
      </c>
    </row>
    <row r="2024" ht="18.6" customHeight="1" spans="1:6">
      <c r="A2024" s="22">
        <v>2023</v>
      </c>
      <c r="B2024" s="23" t="s">
        <v>2366</v>
      </c>
      <c r="C2024" s="23" t="s">
        <v>746</v>
      </c>
      <c r="D2024" s="23" t="s">
        <v>747</v>
      </c>
      <c r="E2024" s="23" t="s">
        <v>1700</v>
      </c>
      <c r="F2024" s="23" t="s">
        <v>12</v>
      </c>
    </row>
    <row r="2025" ht="18.6" customHeight="1" spans="1:6">
      <c r="A2025" s="23">
        <v>2024</v>
      </c>
      <c r="B2025" s="22" t="s">
        <v>2367</v>
      </c>
      <c r="C2025" s="22" t="s">
        <v>746</v>
      </c>
      <c r="D2025" s="22" t="s">
        <v>785</v>
      </c>
      <c r="E2025" s="22" t="s">
        <v>1700</v>
      </c>
      <c r="F2025" s="22" t="s">
        <v>12</v>
      </c>
    </row>
    <row r="2026" ht="18.6" customHeight="1" spans="1:6">
      <c r="A2026" s="22">
        <v>2025</v>
      </c>
      <c r="B2026" s="23" t="s">
        <v>2368</v>
      </c>
      <c r="C2026" s="23" t="s">
        <v>746</v>
      </c>
      <c r="D2026" s="23" t="s">
        <v>747</v>
      </c>
      <c r="E2026" s="23" t="s">
        <v>1700</v>
      </c>
      <c r="F2026" s="23" t="s">
        <v>12</v>
      </c>
    </row>
    <row r="2027" ht="18.6" customHeight="1" spans="1:6">
      <c r="A2027" s="23">
        <v>2026</v>
      </c>
      <c r="B2027" s="22" t="s">
        <v>2369</v>
      </c>
      <c r="C2027" s="22" t="s">
        <v>746</v>
      </c>
      <c r="D2027" s="22" t="s">
        <v>747</v>
      </c>
      <c r="E2027" s="22" t="s">
        <v>1700</v>
      </c>
      <c r="F2027" s="22" t="s">
        <v>12</v>
      </c>
    </row>
    <row r="2028" ht="18.6" customHeight="1" spans="1:6">
      <c r="A2028" s="22">
        <v>2027</v>
      </c>
      <c r="B2028" s="23" t="s">
        <v>2370</v>
      </c>
      <c r="C2028" s="23" t="s">
        <v>746</v>
      </c>
      <c r="D2028" s="23" t="s">
        <v>763</v>
      </c>
      <c r="E2028" s="23" t="s">
        <v>1700</v>
      </c>
      <c r="F2028" s="23" t="s">
        <v>12</v>
      </c>
    </row>
    <row r="2029" ht="18.6" customHeight="1" spans="1:6">
      <c r="A2029" s="23">
        <v>2028</v>
      </c>
      <c r="B2029" s="22" t="s">
        <v>2371</v>
      </c>
      <c r="C2029" s="22" t="s">
        <v>746</v>
      </c>
      <c r="D2029" s="22" t="s">
        <v>785</v>
      </c>
      <c r="E2029" s="22" t="s">
        <v>1700</v>
      </c>
      <c r="F2029" s="22" t="s">
        <v>12</v>
      </c>
    </row>
    <row r="2030" ht="18.6" customHeight="1" spans="1:6">
      <c r="A2030" s="22">
        <v>2029</v>
      </c>
      <c r="B2030" s="23" t="s">
        <v>2372</v>
      </c>
      <c r="C2030" s="23" t="s">
        <v>746</v>
      </c>
      <c r="D2030" s="23" t="s">
        <v>2373</v>
      </c>
      <c r="E2030" s="23" t="s">
        <v>1700</v>
      </c>
      <c r="F2030" s="23" t="s">
        <v>12</v>
      </c>
    </row>
    <row r="2031" ht="18.6" customHeight="1" spans="1:6">
      <c r="A2031" s="23">
        <v>2030</v>
      </c>
      <c r="B2031" s="22" t="s">
        <v>2374</v>
      </c>
      <c r="C2031" s="22" t="s">
        <v>746</v>
      </c>
      <c r="D2031" s="22" t="s">
        <v>747</v>
      </c>
      <c r="E2031" s="22" t="s">
        <v>1700</v>
      </c>
      <c r="F2031" s="22" t="s">
        <v>12</v>
      </c>
    </row>
    <row r="2032" ht="18.6" customHeight="1" spans="1:6">
      <c r="A2032" s="22">
        <v>2031</v>
      </c>
      <c r="B2032" s="23" t="s">
        <v>2375</v>
      </c>
      <c r="C2032" s="23" t="s">
        <v>746</v>
      </c>
      <c r="D2032" s="23" t="s">
        <v>771</v>
      </c>
      <c r="E2032" s="23" t="s">
        <v>1700</v>
      </c>
      <c r="F2032" s="23" t="s">
        <v>12</v>
      </c>
    </row>
    <row r="2033" ht="18.6" customHeight="1" spans="1:6">
      <c r="A2033" s="23">
        <v>2032</v>
      </c>
      <c r="B2033" s="22" t="s">
        <v>2376</v>
      </c>
      <c r="C2033" s="22" t="s">
        <v>746</v>
      </c>
      <c r="D2033" s="22" t="s">
        <v>747</v>
      </c>
      <c r="E2033" s="22" t="s">
        <v>1700</v>
      </c>
      <c r="F2033" s="22" t="s">
        <v>12</v>
      </c>
    </row>
    <row r="2034" ht="18.6" customHeight="1" spans="1:6">
      <c r="A2034" s="22">
        <v>2033</v>
      </c>
      <c r="B2034" s="23" t="s">
        <v>2377</v>
      </c>
      <c r="C2034" s="23" t="s">
        <v>746</v>
      </c>
      <c r="D2034" s="23" t="s">
        <v>747</v>
      </c>
      <c r="E2034" s="23" t="s">
        <v>1700</v>
      </c>
      <c r="F2034" s="23" t="s">
        <v>12</v>
      </c>
    </row>
    <row r="2035" ht="18.6" customHeight="1" spans="1:6">
      <c r="A2035" s="23">
        <v>2034</v>
      </c>
      <c r="B2035" s="22" t="s">
        <v>2378</v>
      </c>
      <c r="C2035" s="22" t="s">
        <v>746</v>
      </c>
      <c r="D2035" s="22" t="s">
        <v>747</v>
      </c>
      <c r="E2035" s="22" t="s">
        <v>1700</v>
      </c>
      <c r="F2035" s="22" t="s">
        <v>12</v>
      </c>
    </row>
    <row r="2036" ht="18.6" customHeight="1" spans="1:6">
      <c r="A2036" s="22">
        <v>2035</v>
      </c>
      <c r="B2036" s="23" t="s">
        <v>2379</v>
      </c>
      <c r="C2036" s="23" t="s">
        <v>746</v>
      </c>
      <c r="D2036" s="23" t="s">
        <v>788</v>
      </c>
      <c r="E2036" s="23" t="s">
        <v>1700</v>
      </c>
      <c r="F2036" s="23" t="s">
        <v>12</v>
      </c>
    </row>
    <row r="2037" ht="18.6" customHeight="1" spans="1:6">
      <c r="A2037" s="23">
        <v>2036</v>
      </c>
      <c r="B2037" s="22" t="s">
        <v>2380</v>
      </c>
      <c r="C2037" s="22" t="s">
        <v>746</v>
      </c>
      <c r="D2037" s="22" t="s">
        <v>747</v>
      </c>
      <c r="E2037" s="22" t="s">
        <v>1700</v>
      </c>
      <c r="F2037" s="22" t="s">
        <v>12</v>
      </c>
    </row>
    <row r="2038" ht="18.6" customHeight="1" spans="1:6">
      <c r="A2038" s="22">
        <v>2037</v>
      </c>
      <c r="B2038" s="23" t="s">
        <v>2381</v>
      </c>
      <c r="C2038" s="23" t="s">
        <v>797</v>
      </c>
      <c r="D2038" s="23" t="s">
        <v>817</v>
      </c>
      <c r="E2038" s="23" t="s">
        <v>1700</v>
      </c>
      <c r="F2038" s="23" t="s">
        <v>12</v>
      </c>
    </row>
    <row r="2039" ht="18.6" customHeight="1" spans="1:6">
      <c r="A2039" s="23">
        <v>2038</v>
      </c>
      <c r="B2039" s="22" t="s">
        <v>2382</v>
      </c>
      <c r="C2039" s="22" t="s">
        <v>797</v>
      </c>
      <c r="D2039" s="22" t="s">
        <v>802</v>
      </c>
      <c r="E2039" s="22" t="s">
        <v>1700</v>
      </c>
      <c r="F2039" s="22" t="s">
        <v>12</v>
      </c>
    </row>
    <row r="2040" ht="18.6" customHeight="1" spans="1:6">
      <c r="A2040" s="22">
        <v>2039</v>
      </c>
      <c r="B2040" s="23" t="s">
        <v>2383</v>
      </c>
      <c r="C2040" s="23" t="s">
        <v>797</v>
      </c>
      <c r="D2040" s="23" t="s">
        <v>802</v>
      </c>
      <c r="E2040" s="23" t="s">
        <v>1700</v>
      </c>
      <c r="F2040" s="23" t="s">
        <v>12</v>
      </c>
    </row>
    <row r="2041" ht="18.6" customHeight="1" spans="1:6">
      <c r="A2041" s="23">
        <v>2040</v>
      </c>
      <c r="B2041" s="22" t="s">
        <v>2384</v>
      </c>
      <c r="C2041" s="22" t="s">
        <v>797</v>
      </c>
      <c r="D2041" s="22" t="s">
        <v>836</v>
      </c>
      <c r="E2041" s="22" t="s">
        <v>1700</v>
      </c>
      <c r="F2041" s="22" t="s">
        <v>12</v>
      </c>
    </row>
    <row r="2042" ht="18.6" customHeight="1" spans="1:6">
      <c r="A2042" s="22">
        <v>2041</v>
      </c>
      <c r="B2042" s="23" t="s">
        <v>2385</v>
      </c>
      <c r="C2042" s="23" t="s">
        <v>797</v>
      </c>
      <c r="D2042" s="23" t="s">
        <v>802</v>
      </c>
      <c r="E2042" s="23" t="s">
        <v>1700</v>
      </c>
      <c r="F2042" s="23" t="s">
        <v>12</v>
      </c>
    </row>
    <row r="2043" ht="18.6" customHeight="1" spans="1:6">
      <c r="A2043" s="23">
        <v>2042</v>
      </c>
      <c r="B2043" s="22" t="s">
        <v>2386</v>
      </c>
      <c r="C2043" s="22" t="s">
        <v>797</v>
      </c>
      <c r="D2043" s="22" t="s">
        <v>802</v>
      </c>
      <c r="E2043" s="22" t="s">
        <v>1700</v>
      </c>
      <c r="F2043" s="22" t="s">
        <v>12</v>
      </c>
    </row>
    <row r="2044" ht="18.6" customHeight="1" spans="1:6">
      <c r="A2044" s="22">
        <v>2043</v>
      </c>
      <c r="B2044" s="23" t="s">
        <v>2387</v>
      </c>
      <c r="C2044" s="23" t="s">
        <v>797</v>
      </c>
      <c r="D2044" s="23" t="s">
        <v>836</v>
      </c>
      <c r="E2044" s="23" t="s">
        <v>1700</v>
      </c>
      <c r="F2044" s="23" t="s">
        <v>12</v>
      </c>
    </row>
    <row r="2045" ht="18.6" customHeight="1" spans="1:6">
      <c r="A2045" s="23">
        <v>2044</v>
      </c>
      <c r="B2045" s="22" t="s">
        <v>2388</v>
      </c>
      <c r="C2045" s="22" t="s">
        <v>797</v>
      </c>
      <c r="D2045" s="22" t="s">
        <v>802</v>
      </c>
      <c r="E2045" s="22" t="s">
        <v>1700</v>
      </c>
      <c r="F2045" s="22" t="s">
        <v>12</v>
      </c>
    </row>
    <row r="2046" ht="18.6" customHeight="1" spans="1:6">
      <c r="A2046" s="22">
        <v>2045</v>
      </c>
      <c r="B2046" s="23" t="s">
        <v>2389</v>
      </c>
      <c r="C2046" s="23" t="s">
        <v>797</v>
      </c>
      <c r="D2046" s="23" t="s">
        <v>802</v>
      </c>
      <c r="E2046" s="23" t="s">
        <v>1700</v>
      </c>
      <c r="F2046" s="23" t="s">
        <v>12</v>
      </c>
    </row>
    <row r="2047" ht="18.6" customHeight="1" spans="1:6">
      <c r="A2047" s="23">
        <v>2046</v>
      </c>
      <c r="B2047" s="22" t="s">
        <v>2390</v>
      </c>
      <c r="C2047" s="22" t="s">
        <v>797</v>
      </c>
      <c r="D2047" s="22" t="s">
        <v>823</v>
      </c>
      <c r="E2047" s="22" t="s">
        <v>1700</v>
      </c>
      <c r="F2047" s="22" t="s">
        <v>12</v>
      </c>
    </row>
    <row r="2048" ht="18.6" customHeight="1" spans="1:6">
      <c r="A2048" s="22">
        <v>2047</v>
      </c>
      <c r="B2048" s="23" t="s">
        <v>2391</v>
      </c>
      <c r="C2048" s="23" t="s">
        <v>797</v>
      </c>
      <c r="D2048" s="23" t="s">
        <v>836</v>
      </c>
      <c r="E2048" s="23" t="s">
        <v>1700</v>
      </c>
      <c r="F2048" s="23" t="s">
        <v>12</v>
      </c>
    </row>
    <row r="2049" ht="18.6" customHeight="1" spans="1:6">
      <c r="A2049" s="23">
        <v>2048</v>
      </c>
      <c r="B2049" s="22" t="s">
        <v>2392</v>
      </c>
      <c r="C2049" s="22" t="s">
        <v>797</v>
      </c>
      <c r="D2049" s="22" t="s">
        <v>802</v>
      </c>
      <c r="E2049" s="22" t="s">
        <v>1700</v>
      </c>
      <c r="F2049" s="22" t="s">
        <v>12</v>
      </c>
    </row>
    <row r="2050" ht="18.6" customHeight="1" spans="1:6">
      <c r="A2050" s="22">
        <v>2049</v>
      </c>
      <c r="B2050" s="23" t="s">
        <v>2393</v>
      </c>
      <c r="C2050" s="23" t="s">
        <v>797</v>
      </c>
      <c r="D2050" s="23" t="s">
        <v>802</v>
      </c>
      <c r="E2050" s="23" t="s">
        <v>1700</v>
      </c>
      <c r="F2050" s="23" t="s">
        <v>12</v>
      </c>
    </row>
    <row r="2051" ht="18.6" customHeight="1" spans="1:6">
      <c r="A2051" s="23">
        <v>2050</v>
      </c>
      <c r="B2051" s="22" t="s">
        <v>2394</v>
      </c>
      <c r="C2051" s="22" t="s">
        <v>797</v>
      </c>
      <c r="D2051" s="22" t="s">
        <v>802</v>
      </c>
      <c r="E2051" s="22" t="s">
        <v>1700</v>
      </c>
      <c r="F2051" s="22" t="s">
        <v>12</v>
      </c>
    </row>
    <row r="2052" ht="18.6" customHeight="1" spans="1:6">
      <c r="A2052" s="22">
        <v>2051</v>
      </c>
      <c r="B2052" s="23" t="s">
        <v>2395</v>
      </c>
      <c r="C2052" s="23" t="s">
        <v>797</v>
      </c>
      <c r="D2052" s="23" t="s">
        <v>802</v>
      </c>
      <c r="E2052" s="23" t="s">
        <v>1700</v>
      </c>
      <c r="F2052" s="23" t="s">
        <v>12</v>
      </c>
    </row>
    <row r="2053" ht="18.6" customHeight="1" spans="1:6">
      <c r="A2053" s="23">
        <v>2052</v>
      </c>
      <c r="B2053" s="22" t="s">
        <v>2396</v>
      </c>
      <c r="C2053" s="22" t="s">
        <v>797</v>
      </c>
      <c r="D2053" s="22" t="s">
        <v>802</v>
      </c>
      <c r="E2053" s="22" t="s">
        <v>1700</v>
      </c>
      <c r="F2053" s="22" t="s">
        <v>12</v>
      </c>
    </row>
    <row r="2054" ht="18.6" customHeight="1" spans="1:6">
      <c r="A2054" s="22">
        <v>2053</v>
      </c>
      <c r="B2054" s="23" t="s">
        <v>2397</v>
      </c>
      <c r="C2054" s="23" t="s">
        <v>797</v>
      </c>
      <c r="D2054" s="23" t="s">
        <v>802</v>
      </c>
      <c r="E2054" s="23" t="s">
        <v>1700</v>
      </c>
      <c r="F2054" s="23" t="s">
        <v>12</v>
      </c>
    </row>
    <row r="2055" ht="18.6" customHeight="1" spans="1:6">
      <c r="A2055" s="23">
        <v>2054</v>
      </c>
      <c r="B2055" s="22" t="s">
        <v>2398</v>
      </c>
      <c r="C2055" s="22" t="s">
        <v>797</v>
      </c>
      <c r="D2055" s="22" t="s">
        <v>802</v>
      </c>
      <c r="E2055" s="22" t="s">
        <v>1700</v>
      </c>
      <c r="F2055" s="22" t="s">
        <v>12</v>
      </c>
    </row>
    <row r="2056" ht="17.25" spans="1:6">
      <c r="A2056" s="22">
        <v>2055</v>
      </c>
      <c r="B2056" s="23" t="s">
        <v>2399</v>
      </c>
      <c r="C2056" s="23" t="s">
        <v>797</v>
      </c>
      <c r="D2056" s="23" t="s">
        <v>802</v>
      </c>
      <c r="E2056" s="23" t="s">
        <v>1700</v>
      </c>
      <c r="F2056" s="23" t="s">
        <v>12</v>
      </c>
    </row>
    <row r="2057" ht="17.25" spans="1:6">
      <c r="A2057" s="23">
        <v>2056</v>
      </c>
      <c r="B2057" s="22" t="s">
        <v>2400</v>
      </c>
      <c r="C2057" s="22" t="s">
        <v>797</v>
      </c>
      <c r="D2057" s="22" t="s">
        <v>802</v>
      </c>
      <c r="E2057" s="22" t="s">
        <v>1700</v>
      </c>
      <c r="F2057" s="22" t="s">
        <v>12</v>
      </c>
    </row>
    <row r="2058" ht="17.25" spans="1:6">
      <c r="A2058" s="22">
        <v>2057</v>
      </c>
      <c r="B2058" s="23" t="s">
        <v>2401</v>
      </c>
      <c r="C2058" s="23" t="s">
        <v>797</v>
      </c>
      <c r="D2058" s="23" t="s">
        <v>817</v>
      </c>
      <c r="E2058" s="23" t="s">
        <v>1700</v>
      </c>
      <c r="F2058" s="23" t="s">
        <v>12</v>
      </c>
    </row>
    <row r="2059" ht="17.25" spans="1:6">
      <c r="A2059" s="23">
        <v>2058</v>
      </c>
      <c r="B2059" s="22" t="s">
        <v>2402</v>
      </c>
      <c r="C2059" s="22" t="s">
        <v>797</v>
      </c>
      <c r="D2059" s="22" t="s">
        <v>802</v>
      </c>
      <c r="E2059" s="22" t="s">
        <v>1700</v>
      </c>
      <c r="F2059" s="22" t="s">
        <v>12</v>
      </c>
    </row>
    <row r="2060" ht="17.25" spans="1:6">
      <c r="A2060" s="22">
        <v>2059</v>
      </c>
      <c r="B2060" s="23" t="s">
        <v>2403</v>
      </c>
      <c r="C2060" s="23" t="s">
        <v>797</v>
      </c>
      <c r="D2060" s="23" t="s">
        <v>802</v>
      </c>
      <c r="E2060" s="23" t="s">
        <v>1700</v>
      </c>
      <c r="F2060" s="23" t="s">
        <v>12</v>
      </c>
    </row>
    <row r="2061" ht="17.25" spans="1:6">
      <c r="A2061" s="23">
        <v>2060</v>
      </c>
      <c r="B2061" s="22" t="s">
        <v>2404</v>
      </c>
      <c r="C2061" s="22" t="s">
        <v>797</v>
      </c>
      <c r="D2061" s="22" t="s">
        <v>815</v>
      </c>
      <c r="E2061" s="22" t="s">
        <v>1700</v>
      </c>
      <c r="F2061" s="22" t="s">
        <v>12</v>
      </c>
    </row>
    <row r="2062" ht="17.25" spans="1:6">
      <c r="A2062" s="22">
        <v>2061</v>
      </c>
      <c r="B2062" s="23" t="s">
        <v>2405</v>
      </c>
      <c r="C2062" s="23" t="s">
        <v>797</v>
      </c>
      <c r="D2062" s="23" t="s">
        <v>802</v>
      </c>
      <c r="E2062" s="23" t="s">
        <v>1700</v>
      </c>
      <c r="F2062" s="23" t="s">
        <v>12</v>
      </c>
    </row>
    <row r="2063" ht="17.25" spans="1:6">
      <c r="A2063" s="23">
        <v>2062</v>
      </c>
      <c r="B2063" s="22" t="s">
        <v>2406</v>
      </c>
      <c r="C2063" s="22" t="s">
        <v>797</v>
      </c>
      <c r="D2063" s="22" t="s">
        <v>798</v>
      </c>
      <c r="E2063" s="22" t="s">
        <v>1700</v>
      </c>
      <c r="F2063" s="22" t="s">
        <v>12</v>
      </c>
    </row>
    <row r="2064" ht="17.25" spans="1:6">
      <c r="A2064" s="22">
        <v>2063</v>
      </c>
      <c r="B2064" s="23" t="s">
        <v>2407</v>
      </c>
      <c r="C2064" s="23" t="s">
        <v>797</v>
      </c>
      <c r="D2064" s="23" t="s">
        <v>813</v>
      </c>
      <c r="E2064" s="23" t="s">
        <v>1700</v>
      </c>
      <c r="F2064" s="23" t="s">
        <v>12</v>
      </c>
    </row>
    <row r="2065" ht="17.25" spans="1:6">
      <c r="A2065" s="23">
        <v>2064</v>
      </c>
      <c r="B2065" s="22" t="s">
        <v>2408</v>
      </c>
      <c r="C2065" s="22" t="s">
        <v>797</v>
      </c>
      <c r="D2065" s="22" t="s">
        <v>825</v>
      </c>
      <c r="E2065" s="22" t="s">
        <v>1700</v>
      </c>
      <c r="F2065" s="22" t="s">
        <v>12</v>
      </c>
    </row>
    <row r="2066" ht="17.25" spans="1:6">
      <c r="A2066" s="22">
        <v>2065</v>
      </c>
      <c r="B2066" s="23" t="s">
        <v>2409</v>
      </c>
      <c r="C2066" s="23" t="s">
        <v>797</v>
      </c>
      <c r="D2066" s="23" t="s">
        <v>1546</v>
      </c>
      <c r="E2066" s="23" t="s">
        <v>1700</v>
      </c>
      <c r="F2066" s="23" t="s">
        <v>12</v>
      </c>
    </row>
    <row r="2067" ht="17.25" spans="1:6">
      <c r="A2067" s="23">
        <v>2066</v>
      </c>
      <c r="B2067" s="22" t="s">
        <v>2410</v>
      </c>
      <c r="C2067" s="22" t="s">
        <v>797</v>
      </c>
      <c r="D2067" s="22" t="s">
        <v>802</v>
      </c>
      <c r="E2067" s="22" t="s">
        <v>1700</v>
      </c>
      <c r="F2067" s="22" t="s">
        <v>12</v>
      </c>
    </row>
    <row r="2068" ht="17.25" spans="1:6">
      <c r="A2068" s="22">
        <v>2067</v>
      </c>
      <c r="B2068" s="23" t="s">
        <v>2411</v>
      </c>
      <c r="C2068" s="23" t="s">
        <v>797</v>
      </c>
      <c r="D2068" s="23" t="s">
        <v>802</v>
      </c>
      <c r="E2068" s="23" t="s">
        <v>1700</v>
      </c>
      <c r="F2068" s="23" t="s">
        <v>12</v>
      </c>
    </row>
    <row r="2069" ht="17.25" spans="1:6">
      <c r="A2069" s="23">
        <v>2068</v>
      </c>
      <c r="B2069" s="22" t="s">
        <v>2412</v>
      </c>
      <c r="C2069" s="22" t="s">
        <v>797</v>
      </c>
      <c r="D2069" s="22" t="s">
        <v>802</v>
      </c>
      <c r="E2069" s="22" t="s">
        <v>1700</v>
      </c>
      <c r="F2069" s="22" t="s">
        <v>12</v>
      </c>
    </row>
    <row r="2070" ht="17.25" spans="1:6">
      <c r="A2070" s="22">
        <v>2069</v>
      </c>
      <c r="B2070" s="23" t="s">
        <v>2413</v>
      </c>
      <c r="C2070" s="23" t="s">
        <v>797</v>
      </c>
      <c r="D2070" s="23" t="s">
        <v>802</v>
      </c>
      <c r="E2070" s="23" t="s">
        <v>1700</v>
      </c>
      <c r="F2070" s="23" t="s">
        <v>12</v>
      </c>
    </row>
    <row r="2071" ht="17.25" spans="1:6">
      <c r="A2071" s="23">
        <v>2070</v>
      </c>
      <c r="B2071" s="22" t="s">
        <v>2414</v>
      </c>
      <c r="C2071" s="22" t="s">
        <v>797</v>
      </c>
      <c r="D2071" s="22" t="s">
        <v>819</v>
      </c>
      <c r="E2071" s="22" t="s">
        <v>1700</v>
      </c>
      <c r="F2071" s="22" t="s">
        <v>12</v>
      </c>
    </row>
    <row r="2072" ht="17.25" spans="1:6">
      <c r="A2072" s="22">
        <v>2071</v>
      </c>
      <c r="B2072" s="23" t="s">
        <v>2415</v>
      </c>
      <c r="C2072" s="23" t="s">
        <v>797</v>
      </c>
      <c r="D2072" s="23" t="s">
        <v>811</v>
      </c>
      <c r="E2072" s="23" t="s">
        <v>1700</v>
      </c>
      <c r="F2072" s="23" t="s">
        <v>12</v>
      </c>
    </row>
    <row r="2073" ht="17.25" spans="1:6">
      <c r="A2073" s="23">
        <v>2072</v>
      </c>
      <c r="B2073" s="22" t="s">
        <v>2416</v>
      </c>
      <c r="C2073" s="22" t="s">
        <v>797</v>
      </c>
      <c r="D2073" s="22" t="s">
        <v>821</v>
      </c>
      <c r="E2073" s="22" t="s">
        <v>1700</v>
      </c>
      <c r="F2073" s="22" t="s">
        <v>12</v>
      </c>
    </row>
    <row r="2074" ht="17.25" spans="1:6">
      <c r="A2074" s="22">
        <v>2073</v>
      </c>
      <c r="B2074" s="23" t="s">
        <v>2417</v>
      </c>
      <c r="C2074" s="23" t="s">
        <v>797</v>
      </c>
      <c r="D2074" s="23" t="s">
        <v>836</v>
      </c>
      <c r="E2074" s="23" t="s">
        <v>1700</v>
      </c>
      <c r="F2074" s="23" t="s">
        <v>12</v>
      </c>
    </row>
    <row r="2075" ht="17.25" spans="1:6">
      <c r="A2075" s="23">
        <v>2074</v>
      </c>
      <c r="B2075" s="22" t="s">
        <v>2418</v>
      </c>
      <c r="C2075" s="22" t="s">
        <v>797</v>
      </c>
      <c r="D2075" s="22" t="s">
        <v>798</v>
      </c>
      <c r="E2075" s="22" t="s">
        <v>1700</v>
      </c>
      <c r="F2075" s="22" t="s">
        <v>12</v>
      </c>
    </row>
    <row r="2076" ht="17.25" spans="1:6">
      <c r="A2076" s="22">
        <v>2075</v>
      </c>
      <c r="B2076" s="23" t="s">
        <v>2419</v>
      </c>
      <c r="C2076" s="23" t="s">
        <v>797</v>
      </c>
      <c r="D2076" s="23" t="s">
        <v>811</v>
      </c>
      <c r="E2076" s="23" t="s">
        <v>1700</v>
      </c>
      <c r="F2076" s="23" t="s">
        <v>12</v>
      </c>
    </row>
    <row r="2077" ht="17.25" spans="1:6">
      <c r="A2077" s="23">
        <v>2076</v>
      </c>
      <c r="B2077" s="22" t="s">
        <v>2420</v>
      </c>
      <c r="C2077" s="22" t="s">
        <v>797</v>
      </c>
      <c r="D2077" s="22" t="s">
        <v>836</v>
      </c>
      <c r="E2077" s="22" t="s">
        <v>1700</v>
      </c>
      <c r="F2077" s="22" t="s">
        <v>12</v>
      </c>
    </row>
    <row r="2078" ht="17.25" spans="1:6">
      <c r="A2078" s="22">
        <v>2077</v>
      </c>
      <c r="B2078" s="23" t="s">
        <v>2421</v>
      </c>
      <c r="C2078" s="23" t="s">
        <v>797</v>
      </c>
      <c r="D2078" s="23" t="s">
        <v>811</v>
      </c>
      <c r="E2078" s="23" t="s">
        <v>1700</v>
      </c>
      <c r="F2078" s="23" t="s">
        <v>12</v>
      </c>
    </row>
    <row r="2079" ht="17.25" spans="1:6">
      <c r="A2079" s="23">
        <v>2078</v>
      </c>
      <c r="B2079" s="22" t="s">
        <v>2422</v>
      </c>
      <c r="C2079" s="22" t="s">
        <v>797</v>
      </c>
      <c r="D2079" s="22" t="s">
        <v>800</v>
      </c>
      <c r="E2079" s="22" t="s">
        <v>1700</v>
      </c>
      <c r="F2079" s="22" t="s">
        <v>12</v>
      </c>
    </row>
    <row r="2080" ht="17.25" spans="1:6">
      <c r="A2080" s="22">
        <v>2079</v>
      </c>
      <c r="B2080" s="23" t="s">
        <v>2423</v>
      </c>
      <c r="C2080" s="23" t="s">
        <v>797</v>
      </c>
      <c r="D2080" s="23" t="s">
        <v>815</v>
      </c>
      <c r="E2080" s="23" t="s">
        <v>1700</v>
      </c>
      <c r="F2080" s="23" t="s">
        <v>12</v>
      </c>
    </row>
    <row r="2081" ht="17.25" spans="1:6">
      <c r="A2081" s="23">
        <v>2080</v>
      </c>
      <c r="B2081" s="22" t="s">
        <v>2424</v>
      </c>
      <c r="C2081" s="22" t="s">
        <v>797</v>
      </c>
      <c r="D2081" s="22" t="s">
        <v>831</v>
      </c>
      <c r="E2081" s="22" t="s">
        <v>1700</v>
      </c>
      <c r="F2081" s="22" t="s">
        <v>12</v>
      </c>
    </row>
    <row r="2082" ht="17.25" spans="1:6">
      <c r="A2082" s="22">
        <v>2081</v>
      </c>
      <c r="B2082" s="23" t="s">
        <v>2425</v>
      </c>
      <c r="C2082" s="23" t="s">
        <v>797</v>
      </c>
      <c r="D2082" s="23" t="s">
        <v>831</v>
      </c>
      <c r="E2082" s="23" t="s">
        <v>1700</v>
      </c>
      <c r="F2082" s="23" t="s">
        <v>12</v>
      </c>
    </row>
    <row r="2083" ht="17.25" spans="1:6">
      <c r="A2083" s="23">
        <v>2082</v>
      </c>
      <c r="B2083" s="22" t="s">
        <v>2426</v>
      </c>
      <c r="C2083" s="22" t="s">
        <v>797</v>
      </c>
      <c r="D2083" s="22" t="s">
        <v>823</v>
      </c>
      <c r="E2083" s="22" t="s">
        <v>1700</v>
      </c>
      <c r="F2083" s="22" t="s">
        <v>12</v>
      </c>
    </row>
    <row r="2084" ht="17.25" spans="1:6">
      <c r="A2084" s="22">
        <v>2083</v>
      </c>
      <c r="B2084" s="23" t="s">
        <v>2427</v>
      </c>
      <c r="C2084" s="23" t="s">
        <v>797</v>
      </c>
      <c r="D2084" s="23" t="s">
        <v>798</v>
      </c>
      <c r="E2084" s="23" t="s">
        <v>1700</v>
      </c>
      <c r="F2084" s="23" t="s">
        <v>12</v>
      </c>
    </row>
    <row r="2085" ht="17.25" spans="1:6">
      <c r="A2085" s="23">
        <v>2084</v>
      </c>
      <c r="B2085" s="22" t="s">
        <v>2428</v>
      </c>
      <c r="C2085" s="22" t="s">
        <v>797</v>
      </c>
      <c r="D2085" s="22" t="s">
        <v>802</v>
      </c>
      <c r="E2085" s="22" t="s">
        <v>1700</v>
      </c>
      <c r="F2085" s="22" t="s">
        <v>12</v>
      </c>
    </row>
    <row r="2086" ht="17.25" spans="1:6">
      <c r="A2086" s="22">
        <v>2085</v>
      </c>
      <c r="B2086" s="23" t="s">
        <v>2429</v>
      </c>
      <c r="C2086" s="23" t="s">
        <v>797</v>
      </c>
      <c r="D2086" s="23" t="s">
        <v>802</v>
      </c>
      <c r="E2086" s="23" t="s">
        <v>1700</v>
      </c>
      <c r="F2086" s="23" t="s">
        <v>12</v>
      </c>
    </row>
    <row r="2087" ht="17.25" spans="1:6">
      <c r="A2087" s="23">
        <v>2086</v>
      </c>
      <c r="B2087" s="22" t="s">
        <v>2430</v>
      </c>
      <c r="C2087" s="22" t="s">
        <v>797</v>
      </c>
      <c r="D2087" s="22" t="s">
        <v>802</v>
      </c>
      <c r="E2087" s="22" t="s">
        <v>1700</v>
      </c>
      <c r="F2087" s="22" t="s">
        <v>12</v>
      </c>
    </row>
    <row r="2088" ht="17.25" spans="1:6">
      <c r="A2088" s="22">
        <v>2087</v>
      </c>
      <c r="B2088" s="23" t="s">
        <v>2431</v>
      </c>
      <c r="C2088" s="23" t="s">
        <v>797</v>
      </c>
      <c r="D2088" s="23" t="s">
        <v>815</v>
      </c>
      <c r="E2088" s="23" t="s">
        <v>1700</v>
      </c>
      <c r="F2088" s="23" t="s">
        <v>12</v>
      </c>
    </row>
    <row r="2089" ht="17.25" spans="1:6">
      <c r="A2089" s="23">
        <v>2088</v>
      </c>
      <c r="B2089" s="22" t="s">
        <v>2432</v>
      </c>
      <c r="C2089" s="22" t="s">
        <v>797</v>
      </c>
      <c r="D2089" s="22" t="s">
        <v>836</v>
      </c>
      <c r="E2089" s="22" t="s">
        <v>1700</v>
      </c>
      <c r="F2089" s="22" t="s">
        <v>12</v>
      </c>
    </row>
    <row r="2090" ht="17.25" spans="1:6">
      <c r="A2090" s="22">
        <v>2089</v>
      </c>
      <c r="B2090" s="23" t="s">
        <v>2433</v>
      </c>
      <c r="C2090" s="23" t="s">
        <v>797</v>
      </c>
      <c r="D2090" s="23" t="s">
        <v>802</v>
      </c>
      <c r="E2090" s="23" t="s">
        <v>1700</v>
      </c>
      <c r="F2090" s="23" t="s">
        <v>12</v>
      </c>
    </row>
    <row r="2091" ht="17.25" spans="1:6">
      <c r="A2091" s="23">
        <v>2090</v>
      </c>
      <c r="B2091" s="22" t="s">
        <v>2434</v>
      </c>
      <c r="C2091" s="22" t="s">
        <v>797</v>
      </c>
      <c r="D2091" s="22" t="s">
        <v>798</v>
      </c>
      <c r="E2091" s="22" t="s">
        <v>1700</v>
      </c>
      <c r="F2091" s="22" t="s">
        <v>12</v>
      </c>
    </row>
    <row r="2092" ht="17.25" spans="1:6">
      <c r="A2092" s="22">
        <v>2091</v>
      </c>
      <c r="B2092" s="23" t="s">
        <v>2435</v>
      </c>
      <c r="C2092" s="23" t="s">
        <v>797</v>
      </c>
      <c r="D2092" s="23" t="s">
        <v>831</v>
      </c>
      <c r="E2092" s="23" t="s">
        <v>1700</v>
      </c>
      <c r="F2092" s="23" t="s">
        <v>12</v>
      </c>
    </row>
    <row r="2093" ht="17.25" spans="1:6">
      <c r="A2093" s="23">
        <v>2092</v>
      </c>
      <c r="B2093" s="22" t="s">
        <v>2436</v>
      </c>
      <c r="C2093" s="22" t="s">
        <v>797</v>
      </c>
      <c r="D2093" s="22" t="s">
        <v>798</v>
      </c>
      <c r="E2093" s="22" t="s">
        <v>1700</v>
      </c>
      <c r="F2093" s="22" t="s">
        <v>12</v>
      </c>
    </row>
    <row r="2094" ht="17.25" spans="1:6">
      <c r="A2094" s="22">
        <v>2093</v>
      </c>
      <c r="B2094" s="23" t="s">
        <v>2437</v>
      </c>
      <c r="C2094" s="23" t="s">
        <v>797</v>
      </c>
      <c r="D2094" s="23" t="s">
        <v>802</v>
      </c>
      <c r="E2094" s="23" t="s">
        <v>1700</v>
      </c>
      <c r="F2094" s="23" t="s">
        <v>12</v>
      </c>
    </row>
    <row r="2095" ht="17.25" spans="1:6">
      <c r="A2095" s="23">
        <v>2094</v>
      </c>
      <c r="B2095" s="22" t="s">
        <v>2438</v>
      </c>
      <c r="C2095" s="22" t="s">
        <v>797</v>
      </c>
      <c r="D2095" s="22" t="s">
        <v>802</v>
      </c>
      <c r="E2095" s="22" t="s">
        <v>1700</v>
      </c>
      <c r="F2095" s="22" t="s">
        <v>12</v>
      </c>
    </row>
    <row r="2096" ht="17.25" spans="1:6">
      <c r="A2096" s="22">
        <v>2095</v>
      </c>
      <c r="B2096" s="23" t="s">
        <v>2439</v>
      </c>
      <c r="C2096" s="23" t="s">
        <v>797</v>
      </c>
      <c r="D2096" s="23" t="s">
        <v>836</v>
      </c>
      <c r="E2096" s="23" t="s">
        <v>1700</v>
      </c>
      <c r="F2096" s="23" t="s">
        <v>12</v>
      </c>
    </row>
    <row r="2097" ht="17.25" spans="1:6">
      <c r="A2097" s="23">
        <v>2096</v>
      </c>
      <c r="B2097" s="22" t="s">
        <v>2440</v>
      </c>
      <c r="C2097" s="22" t="s">
        <v>797</v>
      </c>
      <c r="D2097" s="22" t="s">
        <v>821</v>
      </c>
      <c r="E2097" s="22" t="s">
        <v>1700</v>
      </c>
      <c r="F2097" s="22" t="s">
        <v>12</v>
      </c>
    </row>
    <row r="2098" ht="17.25" spans="1:6">
      <c r="A2098" s="22">
        <v>2097</v>
      </c>
      <c r="B2098" s="23" t="s">
        <v>2441</v>
      </c>
      <c r="C2098" s="23" t="s">
        <v>797</v>
      </c>
      <c r="D2098" s="23" t="s">
        <v>813</v>
      </c>
      <c r="E2098" s="23" t="s">
        <v>1700</v>
      </c>
      <c r="F2098" s="23" t="s">
        <v>12</v>
      </c>
    </row>
    <row r="2099" ht="17.25" spans="1:6">
      <c r="A2099" s="23">
        <v>2098</v>
      </c>
      <c r="B2099" s="22" t="s">
        <v>2442</v>
      </c>
      <c r="C2099" s="22" t="s">
        <v>797</v>
      </c>
      <c r="D2099" s="22" t="s">
        <v>802</v>
      </c>
      <c r="E2099" s="22" t="s">
        <v>1700</v>
      </c>
      <c r="F2099" s="22" t="s">
        <v>12</v>
      </c>
    </row>
    <row r="2100" ht="17.25" spans="1:6">
      <c r="A2100" s="22">
        <v>2099</v>
      </c>
      <c r="B2100" s="23" t="s">
        <v>2443</v>
      </c>
      <c r="C2100" s="23" t="s">
        <v>797</v>
      </c>
      <c r="D2100" s="23" t="s">
        <v>819</v>
      </c>
      <c r="E2100" s="23" t="s">
        <v>1700</v>
      </c>
      <c r="F2100" s="23" t="s">
        <v>12</v>
      </c>
    </row>
    <row r="2101" ht="17.25" spans="1:6">
      <c r="A2101" s="23">
        <v>2100</v>
      </c>
      <c r="B2101" s="22" t="s">
        <v>2444</v>
      </c>
      <c r="C2101" s="22" t="s">
        <v>797</v>
      </c>
      <c r="D2101" s="22" t="s">
        <v>823</v>
      </c>
      <c r="E2101" s="22" t="s">
        <v>1700</v>
      </c>
      <c r="F2101" s="22" t="s">
        <v>12</v>
      </c>
    </row>
    <row r="2102" ht="17.25" spans="1:6">
      <c r="A2102" s="22">
        <v>2101</v>
      </c>
      <c r="B2102" s="23" t="s">
        <v>2445</v>
      </c>
      <c r="C2102" s="23" t="s">
        <v>797</v>
      </c>
      <c r="D2102" s="23" t="s">
        <v>815</v>
      </c>
      <c r="E2102" s="23" t="s">
        <v>1700</v>
      </c>
      <c r="F2102" s="23" t="s">
        <v>12</v>
      </c>
    </row>
    <row r="2103" ht="17.25" spans="1:6">
      <c r="A2103" s="23">
        <v>2102</v>
      </c>
      <c r="B2103" s="22" t="s">
        <v>2446</v>
      </c>
      <c r="C2103" s="22" t="s">
        <v>797</v>
      </c>
      <c r="D2103" s="22" t="s">
        <v>802</v>
      </c>
      <c r="E2103" s="22" t="s">
        <v>1700</v>
      </c>
      <c r="F2103" s="22" t="s">
        <v>12</v>
      </c>
    </row>
    <row r="2104" ht="17.25" spans="1:6">
      <c r="A2104" s="22">
        <v>2103</v>
      </c>
      <c r="B2104" s="23" t="s">
        <v>2447</v>
      </c>
      <c r="C2104" s="23" t="s">
        <v>844</v>
      </c>
      <c r="D2104" s="23" t="s">
        <v>845</v>
      </c>
      <c r="E2104" s="23" t="s">
        <v>1700</v>
      </c>
      <c r="F2104" s="23" t="s">
        <v>12</v>
      </c>
    </row>
    <row r="2105" ht="17.25" spans="1:6">
      <c r="A2105" s="23">
        <v>2104</v>
      </c>
      <c r="B2105" s="22" t="s">
        <v>2448</v>
      </c>
      <c r="C2105" s="22" t="s">
        <v>844</v>
      </c>
      <c r="D2105" s="22" t="s">
        <v>845</v>
      </c>
      <c r="E2105" s="22" t="s">
        <v>1700</v>
      </c>
      <c r="F2105" s="22" t="s">
        <v>12</v>
      </c>
    </row>
    <row r="2106" ht="17.25" spans="1:6">
      <c r="A2106" s="22">
        <v>2105</v>
      </c>
      <c r="B2106" s="23" t="s">
        <v>2449</v>
      </c>
      <c r="C2106" s="23" t="s">
        <v>844</v>
      </c>
      <c r="D2106" s="23" t="s">
        <v>845</v>
      </c>
      <c r="E2106" s="23" t="s">
        <v>1700</v>
      </c>
      <c r="F2106" s="23" t="s">
        <v>12</v>
      </c>
    </row>
    <row r="2107" ht="17.25" spans="1:6">
      <c r="A2107" s="23">
        <v>2106</v>
      </c>
      <c r="B2107" s="22" t="s">
        <v>2450</v>
      </c>
      <c r="C2107" s="22" t="s">
        <v>844</v>
      </c>
      <c r="D2107" s="22" t="s">
        <v>845</v>
      </c>
      <c r="E2107" s="22" t="s">
        <v>1700</v>
      </c>
      <c r="F2107" s="22" t="s">
        <v>12</v>
      </c>
    </row>
    <row r="2108" ht="17.25" spans="1:6">
      <c r="A2108" s="22">
        <v>2107</v>
      </c>
      <c r="B2108" s="23" t="s">
        <v>2451</v>
      </c>
      <c r="C2108" s="23" t="s">
        <v>844</v>
      </c>
      <c r="D2108" s="23" t="s">
        <v>859</v>
      </c>
      <c r="E2108" s="23" t="s">
        <v>1700</v>
      </c>
      <c r="F2108" s="23" t="s">
        <v>12</v>
      </c>
    </row>
    <row r="2109" ht="17.25" spans="1:6">
      <c r="A2109" s="23">
        <v>2108</v>
      </c>
      <c r="B2109" s="22" t="s">
        <v>2452</v>
      </c>
      <c r="C2109" s="22" t="s">
        <v>844</v>
      </c>
      <c r="D2109" s="22" t="s">
        <v>845</v>
      </c>
      <c r="E2109" s="22" t="s">
        <v>1700</v>
      </c>
      <c r="F2109" s="22" t="s">
        <v>12</v>
      </c>
    </row>
    <row r="2110" ht="17.25" spans="1:6">
      <c r="A2110" s="22">
        <v>2109</v>
      </c>
      <c r="B2110" s="23" t="s">
        <v>2453</v>
      </c>
      <c r="C2110" s="23" t="s">
        <v>844</v>
      </c>
      <c r="D2110" s="23" t="s">
        <v>890</v>
      </c>
      <c r="E2110" s="23" t="s">
        <v>1700</v>
      </c>
      <c r="F2110" s="23" t="s">
        <v>12</v>
      </c>
    </row>
    <row r="2111" ht="17.25" spans="1:6">
      <c r="A2111" s="23">
        <v>2110</v>
      </c>
      <c r="B2111" s="22" t="s">
        <v>2454</v>
      </c>
      <c r="C2111" s="22" t="s">
        <v>844</v>
      </c>
      <c r="D2111" s="22" t="s">
        <v>845</v>
      </c>
      <c r="E2111" s="22" t="s">
        <v>1700</v>
      </c>
      <c r="F2111" s="22" t="s">
        <v>12</v>
      </c>
    </row>
    <row r="2112" ht="17.25" spans="1:6">
      <c r="A2112" s="22">
        <v>2111</v>
      </c>
      <c r="B2112" s="23" t="s">
        <v>2455</v>
      </c>
      <c r="C2112" s="23" t="s">
        <v>844</v>
      </c>
      <c r="D2112" s="23" t="s">
        <v>845</v>
      </c>
      <c r="E2112" s="23" t="s">
        <v>1700</v>
      </c>
      <c r="F2112" s="23" t="s">
        <v>12</v>
      </c>
    </row>
    <row r="2113" ht="17.25" spans="1:6">
      <c r="A2113" s="23">
        <v>2112</v>
      </c>
      <c r="B2113" s="22" t="s">
        <v>2456</v>
      </c>
      <c r="C2113" s="22" t="s">
        <v>844</v>
      </c>
      <c r="D2113" s="22" t="s">
        <v>845</v>
      </c>
      <c r="E2113" s="22" t="s">
        <v>1700</v>
      </c>
      <c r="F2113" s="22" t="s">
        <v>12</v>
      </c>
    </row>
    <row r="2114" ht="17.25" spans="1:6">
      <c r="A2114" s="22">
        <v>2113</v>
      </c>
      <c r="B2114" s="23" t="s">
        <v>2457</v>
      </c>
      <c r="C2114" s="23" t="s">
        <v>844</v>
      </c>
      <c r="D2114" s="23" t="s">
        <v>845</v>
      </c>
      <c r="E2114" s="23" t="s">
        <v>1700</v>
      </c>
      <c r="F2114" s="23" t="s">
        <v>12</v>
      </c>
    </row>
    <row r="2115" ht="17.25" spans="1:6">
      <c r="A2115" s="23">
        <v>2114</v>
      </c>
      <c r="B2115" s="22" t="s">
        <v>2458</v>
      </c>
      <c r="C2115" s="22" t="s">
        <v>844</v>
      </c>
      <c r="D2115" s="22" t="s">
        <v>890</v>
      </c>
      <c r="E2115" s="22" t="s">
        <v>1700</v>
      </c>
      <c r="F2115" s="22" t="s">
        <v>12</v>
      </c>
    </row>
    <row r="2116" ht="17.25" spans="1:6">
      <c r="A2116" s="22">
        <v>2115</v>
      </c>
      <c r="B2116" s="23" t="s">
        <v>2459</v>
      </c>
      <c r="C2116" s="23" t="s">
        <v>844</v>
      </c>
      <c r="D2116" s="23" t="s">
        <v>845</v>
      </c>
      <c r="E2116" s="23" t="s">
        <v>1700</v>
      </c>
      <c r="F2116" s="23" t="s">
        <v>12</v>
      </c>
    </row>
    <row r="2117" ht="17.25" spans="1:6">
      <c r="A2117" s="23">
        <v>2116</v>
      </c>
      <c r="B2117" s="22" t="s">
        <v>2460</v>
      </c>
      <c r="C2117" s="22" t="s">
        <v>844</v>
      </c>
      <c r="D2117" s="22" t="s">
        <v>845</v>
      </c>
      <c r="E2117" s="22" t="s">
        <v>1700</v>
      </c>
      <c r="F2117" s="22" t="s">
        <v>12</v>
      </c>
    </row>
    <row r="2118" ht="17.25" spans="1:6">
      <c r="A2118" s="22">
        <v>2117</v>
      </c>
      <c r="B2118" s="23" t="s">
        <v>2461</v>
      </c>
      <c r="C2118" s="23" t="s">
        <v>844</v>
      </c>
      <c r="D2118" s="23" t="s">
        <v>845</v>
      </c>
      <c r="E2118" s="23" t="s">
        <v>1700</v>
      </c>
      <c r="F2118" s="23" t="s">
        <v>12</v>
      </c>
    </row>
    <row r="2119" ht="17.25" spans="1:6">
      <c r="A2119" s="23">
        <v>2118</v>
      </c>
      <c r="B2119" s="22" t="s">
        <v>2462</v>
      </c>
      <c r="C2119" s="22" t="s">
        <v>844</v>
      </c>
      <c r="D2119" s="22" t="s">
        <v>2463</v>
      </c>
      <c r="E2119" s="22" t="s">
        <v>1700</v>
      </c>
      <c r="F2119" s="22" t="s">
        <v>12</v>
      </c>
    </row>
    <row r="2120" ht="17.25" spans="1:6">
      <c r="A2120" s="22">
        <v>2119</v>
      </c>
      <c r="B2120" s="23" t="s">
        <v>2464</v>
      </c>
      <c r="C2120" s="23" t="s">
        <v>844</v>
      </c>
      <c r="D2120" s="23" t="s">
        <v>2465</v>
      </c>
      <c r="E2120" s="23" t="s">
        <v>1700</v>
      </c>
      <c r="F2120" s="23" t="s">
        <v>12</v>
      </c>
    </row>
    <row r="2121" ht="17.25" spans="1:6">
      <c r="A2121" s="23">
        <v>2120</v>
      </c>
      <c r="B2121" s="22" t="s">
        <v>2466</v>
      </c>
      <c r="C2121" s="22" t="s">
        <v>844</v>
      </c>
      <c r="D2121" s="22" t="s">
        <v>2467</v>
      </c>
      <c r="E2121" s="22" t="s">
        <v>1700</v>
      </c>
      <c r="F2121" s="22" t="s">
        <v>12</v>
      </c>
    </row>
    <row r="2122" ht="17.25" spans="1:6">
      <c r="A2122" s="22">
        <v>2121</v>
      </c>
      <c r="B2122" s="23" t="s">
        <v>2468</v>
      </c>
      <c r="C2122" s="23" t="s">
        <v>844</v>
      </c>
      <c r="D2122" s="23" t="s">
        <v>2469</v>
      </c>
      <c r="E2122" s="23" t="s">
        <v>1700</v>
      </c>
      <c r="F2122" s="23" t="s">
        <v>12</v>
      </c>
    </row>
    <row r="2123" ht="17.25" spans="1:6">
      <c r="A2123" s="23">
        <v>2122</v>
      </c>
      <c r="B2123" s="22" t="s">
        <v>2470</v>
      </c>
      <c r="C2123" s="22" t="s">
        <v>844</v>
      </c>
      <c r="D2123" s="22" t="s">
        <v>845</v>
      </c>
      <c r="E2123" s="22" t="s">
        <v>1700</v>
      </c>
      <c r="F2123" s="22" t="s">
        <v>12</v>
      </c>
    </row>
    <row r="2124" ht="17.25" spans="1:6">
      <c r="A2124" s="22">
        <v>2123</v>
      </c>
      <c r="B2124" s="23" t="s">
        <v>2471</v>
      </c>
      <c r="C2124" s="23" t="s">
        <v>844</v>
      </c>
      <c r="D2124" s="23" t="s">
        <v>848</v>
      </c>
      <c r="E2124" s="23" t="s">
        <v>1700</v>
      </c>
      <c r="F2124" s="23" t="s">
        <v>12</v>
      </c>
    </row>
    <row r="2125" ht="17.25" spans="1:6">
      <c r="A2125" s="23">
        <v>2124</v>
      </c>
      <c r="B2125" s="22" t="s">
        <v>2472</v>
      </c>
      <c r="C2125" s="22" t="s">
        <v>844</v>
      </c>
      <c r="D2125" s="22" t="s">
        <v>2473</v>
      </c>
      <c r="E2125" s="22" t="s">
        <v>1700</v>
      </c>
      <c r="F2125" s="22" t="s">
        <v>12</v>
      </c>
    </row>
    <row r="2126" ht="17.25" spans="1:6">
      <c r="A2126" s="22">
        <v>2125</v>
      </c>
      <c r="B2126" s="23" t="s">
        <v>2474</v>
      </c>
      <c r="C2126" s="23" t="s">
        <v>844</v>
      </c>
      <c r="D2126" s="23" t="s">
        <v>2475</v>
      </c>
      <c r="E2126" s="23" t="s">
        <v>1700</v>
      </c>
      <c r="F2126" s="23" t="s">
        <v>12</v>
      </c>
    </row>
    <row r="2127" ht="17.25" spans="1:6">
      <c r="A2127" s="23">
        <v>2126</v>
      </c>
      <c r="B2127" s="22" t="s">
        <v>2476</v>
      </c>
      <c r="C2127" s="22" t="s">
        <v>844</v>
      </c>
      <c r="D2127" s="22" t="s">
        <v>845</v>
      </c>
      <c r="E2127" s="22" t="s">
        <v>1700</v>
      </c>
      <c r="F2127" s="22" t="s">
        <v>12</v>
      </c>
    </row>
    <row r="2128" ht="17.25" spans="1:6">
      <c r="A2128" s="22">
        <v>2127</v>
      </c>
      <c r="B2128" s="23" t="s">
        <v>2477</v>
      </c>
      <c r="C2128" s="23" t="s">
        <v>844</v>
      </c>
      <c r="D2128" s="23" t="s">
        <v>845</v>
      </c>
      <c r="E2128" s="23" t="s">
        <v>1700</v>
      </c>
      <c r="F2128" s="23" t="s">
        <v>12</v>
      </c>
    </row>
    <row r="2129" ht="17.25" spans="1:6">
      <c r="A2129" s="23">
        <v>2128</v>
      </c>
      <c r="B2129" s="22" t="s">
        <v>2478</v>
      </c>
      <c r="C2129" s="22" t="s">
        <v>844</v>
      </c>
      <c r="D2129" s="22" t="s">
        <v>845</v>
      </c>
      <c r="E2129" s="22" t="s">
        <v>1700</v>
      </c>
      <c r="F2129" s="22" t="s">
        <v>12</v>
      </c>
    </row>
    <row r="2130" ht="17.25" spans="1:6">
      <c r="A2130" s="22">
        <v>2129</v>
      </c>
      <c r="B2130" s="23" t="s">
        <v>2479</v>
      </c>
      <c r="C2130" s="23" t="s">
        <v>844</v>
      </c>
      <c r="D2130" s="23" t="s">
        <v>845</v>
      </c>
      <c r="E2130" s="23" t="s">
        <v>1700</v>
      </c>
      <c r="F2130" s="23" t="s">
        <v>12</v>
      </c>
    </row>
    <row r="2131" ht="17.25" spans="1:6">
      <c r="A2131" s="23">
        <v>2130</v>
      </c>
      <c r="B2131" s="22" t="s">
        <v>2480</v>
      </c>
      <c r="C2131" s="22" t="s">
        <v>844</v>
      </c>
      <c r="D2131" s="22" t="s">
        <v>845</v>
      </c>
      <c r="E2131" s="22" t="s">
        <v>1700</v>
      </c>
      <c r="F2131" s="22" t="s">
        <v>12</v>
      </c>
    </row>
    <row r="2132" ht="17.25" spans="1:6">
      <c r="A2132" s="22">
        <v>2131</v>
      </c>
      <c r="B2132" s="23" t="s">
        <v>2481</v>
      </c>
      <c r="C2132" s="23" t="s">
        <v>844</v>
      </c>
      <c r="D2132" s="23" t="s">
        <v>845</v>
      </c>
      <c r="E2132" s="23" t="s">
        <v>1700</v>
      </c>
      <c r="F2132" s="23" t="s">
        <v>12</v>
      </c>
    </row>
    <row r="2133" ht="17.25" spans="1:6">
      <c r="A2133" s="23">
        <v>2132</v>
      </c>
      <c r="B2133" s="22" t="s">
        <v>2482</v>
      </c>
      <c r="C2133" s="22" t="s">
        <v>844</v>
      </c>
      <c r="D2133" s="22" t="s">
        <v>1554</v>
      </c>
      <c r="E2133" s="22" t="s">
        <v>1700</v>
      </c>
      <c r="F2133" s="22" t="s">
        <v>12</v>
      </c>
    </row>
    <row r="2134" ht="17.25" spans="1:6">
      <c r="A2134" s="22">
        <v>2133</v>
      </c>
      <c r="B2134" s="23" t="s">
        <v>2483</v>
      </c>
      <c r="C2134" s="23" t="s">
        <v>844</v>
      </c>
      <c r="D2134" s="23" t="s">
        <v>881</v>
      </c>
      <c r="E2134" s="23" t="s">
        <v>1700</v>
      </c>
      <c r="F2134" s="23" t="s">
        <v>12</v>
      </c>
    </row>
    <row r="2135" ht="17.25" spans="1:6">
      <c r="A2135" s="23">
        <v>2134</v>
      </c>
      <c r="B2135" s="22" t="s">
        <v>2484</v>
      </c>
      <c r="C2135" s="22" t="s">
        <v>844</v>
      </c>
      <c r="D2135" s="22" t="s">
        <v>884</v>
      </c>
      <c r="E2135" s="22" t="s">
        <v>1700</v>
      </c>
      <c r="F2135" s="22" t="s">
        <v>12</v>
      </c>
    </row>
    <row r="2136" ht="17.25" spans="1:6">
      <c r="A2136" s="22">
        <v>2135</v>
      </c>
      <c r="B2136" s="23" t="s">
        <v>2485</v>
      </c>
      <c r="C2136" s="23" t="s">
        <v>844</v>
      </c>
      <c r="D2136" s="23" t="s">
        <v>1569</v>
      </c>
      <c r="E2136" s="23" t="s">
        <v>1700</v>
      </c>
      <c r="F2136" s="23" t="s">
        <v>12</v>
      </c>
    </row>
    <row r="2137" ht="17.25" spans="1:6">
      <c r="A2137" s="23">
        <v>2136</v>
      </c>
      <c r="B2137" s="22" t="s">
        <v>2486</v>
      </c>
      <c r="C2137" s="22" t="s">
        <v>844</v>
      </c>
      <c r="D2137" s="22" t="s">
        <v>845</v>
      </c>
      <c r="E2137" s="22" t="s">
        <v>1700</v>
      </c>
      <c r="F2137" s="22" t="s">
        <v>12</v>
      </c>
    </row>
    <row r="2138" ht="17.25" spans="1:6">
      <c r="A2138" s="22">
        <v>2137</v>
      </c>
      <c r="B2138" s="23" t="s">
        <v>2487</v>
      </c>
      <c r="C2138" s="23" t="s">
        <v>844</v>
      </c>
      <c r="D2138" s="23" t="s">
        <v>845</v>
      </c>
      <c r="E2138" s="23" t="s">
        <v>1700</v>
      </c>
      <c r="F2138" s="23" t="s">
        <v>12</v>
      </c>
    </row>
    <row r="2139" ht="17.25" spans="1:6">
      <c r="A2139" s="23">
        <v>2138</v>
      </c>
      <c r="B2139" s="22" t="s">
        <v>2488</v>
      </c>
      <c r="C2139" s="22" t="s">
        <v>844</v>
      </c>
      <c r="D2139" s="22" t="s">
        <v>845</v>
      </c>
      <c r="E2139" s="22" t="s">
        <v>1700</v>
      </c>
      <c r="F2139" s="22" t="s">
        <v>12</v>
      </c>
    </row>
    <row r="2140" ht="17.25" spans="1:6">
      <c r="A2140" s="22">
        <v>2139</v>
      </c>
      <c r="B2140" s="23" t="s">
        <v>2489</v>
      </c>
      <c r="C2140" s="23" t="s">
        <v>844</v>
      </c>
      <c r="D2140" s="23" t="s">
        <v>845</v>
      </c>
      <c r="E2140" s="23" t="s">
        <v>1700</v>
      </c>
      <c r="F2140" s="23" t="s">
        <v>12</v>
      </c>
    </row>
    <row r="2141" ht="17.25" spans="1:6">
      <c r="A2141" s="23">
        <v>2140</v>
      </c>
      <c r="B2141" s="22" t="s">
        <v>2490</v>
      </c>
      <c r="C2141" s="22" t="s">
        <v>844</v>
      </c>
      <c r="D2141" s="22" t="s">
        <v>845</v>
      </c>
      <c r="E2141" s="22" t="s">
        <v>1700</v>
      </c>
      <c r="F2141" s="22" t="s">
        <v>12</v>
      </c>
    </row>
    <row r="2142" ht="17.25" spans="1:6">
      <c r="A2142" s="22">
        <v>2141</v>
      </c>
      <c r="B2142" s="23" t="s">
        <v>2491</v>
      </c>
      <c r="C2142" s="23" t="s">
        <v>844</v>
      </c>
      <c r="D2142" s="23" t="s">
        <v>845</v>
      </c>
      <c r="E2142" s="23" t="s">
        <v>1700</v>
      </c>
      <c r="F2142" s="23" t="s">
        <v>12</v>
      </c>
    </row>
    <row r="2143" ht="17.25" spans="1:6">
      <c r="A2143" s="23">
        <v>2142</v>
      </c>
      <c r="B2143" s="22" t="s">
        <v>2492</v>
      </c>
      <c r="C2143" s="22" t="s">
        <v>844</v>
      </c>
      <c r="D2143" s="22" t="s">
        <v>1554</v>
      </c>
      <c r="E2143" s="22" t="s">
        <v>1700</v>
      </c>
      <c r="F2143" s="22" t="s">
        <v>12</v>
      </c>
    </row>
    <row r="2144" ht="17.25" spans="1:6">
      <c r="A2144" s="22">
        <v>2143</v>
      </c>
      <c r="B2144" s="23" t="s">
        <v>2493</v>
      </c>
      <c r="C2144" s="23" t="s">
        <v>844</v>
      </c>
      <c r="D2144" s="23" t="s">
        <v>886</v>
      </c>
      <c r="E2144" s="23" t="s">
        <v>1700</v>
      </c>
      <c r="F2144" s="23" t="s">
        <v>12</v>
      </c>
    </row>
    <row r="2145" ht="17.25" spans="1:6">
      <c r="A2145" s="23">
        <v>2144</v>
      </c>
      <c r="B2145" s="22" t="s">
        <v>2494</v>
      </c>
      <c r="C2145" s="22" t="s">
        <v>844</v>
      </c>
      <c r="D2145" s="22" t="s">
        <v>890</v>
      </c>
      <c r="E2145" s="22" t="s">
        <v>1700</v>
      </c>
      <c r="F2145" s="22" t="s">
        <v>12</v>
      </c>
    </row>
    <row r="2146" ht="17.25" spans="1:6">
      <c r="A2146" s="22">
        <v>2145</v>
      </c>
      <c r="B2146" s="23" t="s">
        <v>2495</v>
      </c>
      <c r="C2146" s="23" t="s">
        <v>844</v>
      </c>
      <c r="D2146" s="23" t="s">
        <v>845</v>
      </c>
      <c r="E2146" s="23" t="s">
        <v>1700</v>
      </c>
      <c r="F2146" s="23" t="s">
        <v>12</v>
      </c>
    </row>
    <row r="2147" ht="17.25" spans="1:6">
      <c r="A2147" s="23">
        <v>2146</v>
      </c>
      <c r="B2147" s="22" t="s">
        <v>2496</v>
      </c>
      <c r="C2147" s="22" t="s">
        <v>844</v>
      </c>
      <c r="D2147" s="22" t="s">
        <v>845</v>
      </c>
      <c r="E2147" s="22" t="s">
        <v>1700</v>
      </c>
      <c r="F2147" s="22" t="s">
        <v>12</v>
      </c>
    </row>
    <row r="2148" ht="17.25" spans="1:6">
      <c r="A2148" s="22">
        <v>2147</v>
      </c>
      <c r="B2148" s="23" t="s">
        <v>2497</v>
      </c>
      <c r="C2148" s="23" t="s">
        <v>844</v>
      </c>
      <c r="D2148" s="23" t="s">
        <v>861</v>
      </c>
      <c r="E2148" s="23" t="s">
        <v>1700</v>
      </c>
      <c r="F2148" s="23" t="s">
        <v>12</v>
      </c>
    </row>
    <row r="2149" ht="17.25" spans="1:6">
      <c r="A2149" s="23">
        <v>2148</v>
      </c>
      <c r="B2149" s="22" t="s">
        <v>2498</v>
      </c>
      <c r="C2149" s="22" t="s">
        <v>844</v>
      </c>
      <c r="D2149" s="22" t="s">
        <v>845</v>
      </c>
      <c r="E2149" s="22" t="s">
        <v>1700</v>
      </c>
      <c r="F2149" s="22" t="s">
        <v>12</v>
      </c>
    </row>
    <row r="2150" ht="17.25" spans="1:6">
      <c r="A2150" s="22">
        <v>2149</v>
      </c>
      <c r="B2150" s="23" t="s">
        <v>2499</v>
      </c>
      <c r="C2150" s="23" t="s">
        <v>844</v>
      </c>
      <c r="D2150" s="23" t="s">
        <v>861</v>
      </c>
      <c r="E2150" s="23" t="s">
        <v>1700</v>
      </c>
      <c r="F2150" s="23" t="s">
        <v>12</v>
      </c>
    </row>
    <row r="2151" ht="17.25" spans="1:6">
      <c r="A2151" s="23">
        <v>2150</v>
      </c>
      <c r="B2151" s="22" t="s">
        <v>2500</v>
      </c>
      <c r="C2151" s="22" t="s">
        <v>844</v>
      </c>
      <c r="D2151" s="22" t="s">
        <v>884</v>
      </c>
      <c r="E2151" s="22" t="s">
        <v>1700</v>
      </c>
      <c r="F2151" s="22" t="s">
        <v>12</v>
      </c>
    </row>
    <row r="2152" ht="17.25" spans="1:6">
      <c r="A2152" s="22">
        <v>2151</v>
      </c>
      <c r="B2152" s="23" t="s">
        <v>2501</v>
      </c>
      <c r="C2152" s="23" t="s">
        <v>844</v>
      </c>
      <c r="D2152" s="23" t="s">
        <v>884</v>
      </c>
      <c r="E2152" s="23" t="s">
        <v>1700</v>
      </c>
      <c r="F2152" s="23" t="s">
        <v>12</v>
      </c>
    </row>
    <row r="2153" ht="17.25" spans="1:6">
      <c r="A2153" s="23">
        <v>2152</v>
      </c>
      <c r="B2153" s="22" t="s">
        <v>2502</v>
      </c>
      <c r="C2153" s="22" t="s">
        <v>844</v>
      </c>
      <c r="D2153" s="22" t="s">
        <v>845</v>
      </c>
      <c r="E2153" s="22" t="s">
        <v>1700</v>
      </c>
      <c r="F2153" s="22" t="s">
        <v>12</v>
      </c>
    </row>
    <row r="2154" ht="17.25" spans="1:6">
      <c r="A2154" s="22">
        <v>2153</v>
      </c>
      <c r="B2154" s="23" t="s">
        <v>2503</v>
      </c>
      <c r="C2154" s="23" t="s">
        <v>844</v>
      </c>
      <c r="D2154" s="23" t="s">
        <v>861</v>
      </c>
      <c r="E2154" s="23" t="s">
        <v>1700</v>
      </c>
      <c r="F2154" s="23" t="s">
        <v>12</v>
      </c>
    </row>
    <row r="2155" ht="17.25" spans="1:6">
      <c r="A2155" s="23">
        <v>2154</v>
      </c>
      <c r="B2155" s="22" t="s">
        <v>2504</v>
      </c>
      <c r="C2155" s="22" t="s">
        <v>844</v>
      </c>
      <c r="D2155" s="22" t="s">
        <v>881</v>
      </c>
      <c r="E2155" s="22" t="s">
        <v>1700</v>
      </c>
      <c r="F2155" s="22" t="s">
        <v>12</v>
      </c>
    </row>
    <row r="2156" ht="17.25" spans="1:6">
      <c r="A2156" s="22">
        <v>2155</v>
      </c>
      <c r="B2156" s="23" t="s">
        <v>2505</v>
      </c>
      <c r="C2156" s="23" t="s">
        <v>844</v>
      </c>
      <c r="D2156" s="23" t="s">
        <v>884</v>
      </c>
      <c r="E2156" s="23" t="s">
        <v>1700</v>
      </c>
      <c r="F2156" s="23" t="s">
        <v>12</v>
      </c>
    </row>
    <row r="2157" ht="17.25" spans="1:6">
      <c r="A2157" s="23">
        <v>2156</v>
      </c>
      <c r="B2157" s="22" t="s">
        <v>2506</v>
      </c>
      <c r="C2157" s="22" t="s">
        <v>844</v>
      </c>
      <c r="D2157" s="22" t="s">
        <v>881</v>
      </c>
      <c r="E2157" s="22" t="s">
        <v>1700</v>
      </c>
      <c r="F2157" s="22" t="s">
        <v>12</v>
      </c>
    </row>
    <row r="2158" ht="17.25" spans="1:6">
      <c r="A2158" s="22">
        <v>2157</v>
      </c>
      <c r="B2158" s="23" t="s">
        <v>2507</v>
      </c>
      <c r="C2158" s="23" t="s">
        <v>844</v>
      </c>
      <c r="D2158" s="23" t="s">
        <v>2475</v>
      </c>
      <c r="E2158" s="23" t="s">
        <v>1700</v>
      </c>
      <c r="F2158" s="23" t="s">
        <v>12</v>
      </c>
    </row>
    <row r="2159" ht="17.25" spans="1:6">
      <c r="A2159" s="23">
        <v>2158</v>
      </c>
      <c r="B2159" s="22" t="s">
        <v>2508</v>
      </c>
      <c r="C2159" s="22" t="s">
        <v>844</v>
      </c>
      <c r="D2159" s="22" t="s">
        <v>845</v>
      </c>
      <c r="E2159" s="22" t="s">
        <v>1700</v>
      </c>
      <c r="F2159" s="22" t="s">
        <v>12</v>
      </c>
    </row>
    <row r="2160" ht="17.25" spans="1:6">
      <c r="A2160" s="22">
        <v>2159</v>
      </c>
      <c r="B2160" s="23" t="s">
        <v>2509</v>
      </c>
      <c r="C2160" s="23" t="s">
        <v>844</v>
      </c>
      <c r="D2160" s="23" t="s">
        <v>848</v>
      </c>
      <c r="E2160" s="23" t="s">
        <v>1700</v>
      </c>
      <c r="F2160" s="23" t="s">
        <v>12</v>
      </c>
    </row>
    <row r="2161" ht="17.25" spans="1:6">
      <c r="A2161" s="23">
        <v>2160</v>
      </c>
      <c r="B2161" s="22" t="s">
        <v>2510</v>
      </c>
      <c r="C2161" s="22" t="s">
        <v>844</v>
      </c>
      <c r="D2161" s="22" t="s">
        <v>868</v>
      </c>
      <c r="E2161" s="22" t="s">
        <v>1700</v>
      </c>
      <c r="F2161" s="22" t="s">
        <v>12</v>
      </c>
    </row>
    <row r="2162" ht="17.25" spans="1:6">
      <c r="A2162" s="22">
        <v>2161</v>
      </c>
      <c r="B2162" s="23" t="s">
        <v>2511</v>
      </c>
      <c r="C2162" s="23" t="s">
        <v>844</v>
      </c>
      <c r="D2162" s="23" t="s">
        <v>863</v>
      </c>
      <c r="E2162" s="23" t="s">
        <v>1700</v>
      </c>
      <c r="F2162" s="23" t="s">
        <v>12</v>
      </c>
    </row>
    <row r="2163" ht="17.25" spans="1:6">
      <c r="A2163" s="23">
        <v>2162</v>
      </c>
      <c r="B2163" s="22" t="s">
        <v>2512</v>
      </c>
      <c r="C2163" s="22" t="s">
        <v>844</v>
      </c>
      <c r="D2163" s="22" t="s">
        <v>2465</v>
      </c>
      <c r="E2163" s="22" t="s">
        <v>1700</v>
      </c>
      <c r="F2163" s="22" t="s">
        <v>12</v>
      </c>
    </row>
    <row r="2164" ht="17.25" spans="1:6">
      <c r="A2164" s="22">
        <v>2163</v>
      </c>
      <c r="B2164" s="23" t="s">
        <v>2513</v>
      </c>
      <c r="C2164" s="23" t="s">
        <v>844</v>
      </c>
      <c r="D2164" s="23" t="s">
        <v>852</v>
      </c>
      <c r="E2164" s="23" t="s">
        <v>1700</v>
      </c>
      <c r="F2164" s="23" t="s">
        <v>12</v>
      </c>
    </row>
    <row r="2165" ht="17.25" spans="1:6">
      <c r="A2165" s="23">
        <v>2164</v>
      </c>
      <c r="B2165" s="22" t="s">
        <v>2514</v>
      </c>
      <c r="C2165" s="22" t="s">
        <v>902</v>
      </c>
      <c r="D2165" s="22" t="s">
        <v>903</v>
      </c>
      <c r="E2165" s="22" t="s">
        <v>1700</v>
      </c>
      <c r="F2165" s="22" t="s">
        <v>12</v>
      </c>
    </row>
    <row r="2166" ht="17.25" spans="1:6">
      <c r="A2166" s="22">
        <v>2165</v>
      </c>
      <c r="B2166" s="23" t="s">
        <v>2515</v>
      </c>
      <c r="C2166" s="23" t="s">
        <v>902</v>
      </c>
      <c r="D2166" s="23" t="s">
        <v>903</v>
      </c>
      <c r="E2166" s="23" t="s">
        <v>1700</v>
      </c>
      <c r="F2166" s="23" t="s">
        <v>12</v>
      </c>
    </row>
    <row r="2167" ht="17.25" spans="1:6">
      <c r="A2167" s="23">
        <v>2166</v>
      </c>
      <c r="B2167" s="22" t="s">
        <v>2516</v>
      </c>
      <c r="C2167" s="22" t="s">
        <v>902</v>
      </c>
      <c r="D2167" s="22" t="s">
        <v>903</v>
      </c>
      <c r="E2167" s="22" t="s">
        <v>1700</v>
      </c>
      <c r="F2167" s="22" t="s">
        <v>12</v>
      </c>
    </row>
    <row r="2168" ht="17.25" spans="1:6">
      <c r="A2168" s="22">
        <v>2167</v>
      </c>
      <c r="B2168" s="23" t="s">
        <v>2517</v>
      </c>
      <c r="C2168" s="23" t="s">
        <v>902</v>
      </c>
      <c r="D2168" s="23" t="s">
        <v>903</v>
      </c>
      <c r="E2168" s="23" t="s">
        <v>1700</v>
      </c>
      <c r="F2168" s="23" t="s">
        <v>12</v>
      </c>
    </row>
    <row r="2169" ht="17.25" spans="1:6">
      <c r="A2169" s="23">
        <v>2168</v>
      </c>
      <c r="B2169" s="22" t="s">
        <v>2518</v>
      </c>
      <c r="C2169" s="22" t="s">
        <v>902</v>
      </c>
      <c r="D2169" s="22" t="s">
        <v>905</v>
      </c>
      <c r="E2169" s="22" t="s">
        <v>1700</v>
      </c>
      <c r="F2169" s="22" t="s">
        <v>12</v>
      </c>
    </row>
    <row r="2170" ht="17.25" spans="1:6">
      <c r="A2170" s="22">
        <v>2169</v>
      </c>
      <c r="B2170" s="23" t="s">
        <v>2519</v>
      </c>
      <c r="C2170" s="23" t="s">
        <v>902</v>
      </c>
      <c r="D2170" s="23" t="s">
        <v>903</v>
      </c>
      <c r="E2170" s="23" t="s">
        <v>1700</v>
      </c>
      <c r="F2170" s="23" t="s">
        <v>12</v>
      </c>
    </row>
    <row r="2171" ht="17.25" spans="1:6">
      <c r="A2171" s="23">
        <v>2170</v>
      </c>
      <c r="B2171" s="22" t="s">
        <v>2520</v>
      </c>
      <c r="C2171" s="22" t="s">
        <v>902</v>
      </c>
      <c r="D2171" s="22" t="s">
        <v>903</v>
      </c>
      <c r="E2171" s="22" t="s">
        <v>1700</v>
      </c>
      <c r="F2171" s="22" t="s">
        <v>12</v>
      </c>
    </row>
    <row r="2172" ht="17.25" spans="1:6">
      <c r="A2172" s="22">
        <v>2171</v>
      </c>
      <c r="B2172" s="23" t="s">
        <v>2521</v>
      </c>
      <c r="C2172" s="23" t="s">
        <v>902</v>
      </c>
      <c r="D2172" s="23" t="s">
        <v>903</v>
      </c>
      <c r="E2172" s="23" t="s">
        <v>1700</v>
      </c>
      <c r="F2172" s="23" t="s">
        <v>12</v>
      </c>
    </row>
    <row r="2173" ht="17.25" spans="1:6">
      <c r="A2173" s="23">
        <v>2172</v>
      </c>
      <c r="B2173" s="22" t="s">
        <v>2522</v>
      </c>
      <c r="C2173" s="22" t="s">
        <v>902</v>
      </c>
      <c r="D2173" s="22" t="s">
        <v>905</v>
      </c>
      <c r="E2173" s="22" t="s">
        <v>1700</v>
      </c>
      <c r="F2173" s="22" t="s">
        <v>12</v>
      </c>
    </row>
    <row r="2174" ht="17.25" spans="1:6">
      <c r="A2174" s="22">
        <v>2173</v>
      </c>
      <c r="B2174" s="23" t="s">
        <v>2523</v>
      </c>
      <c r="C2174" s="23" t="s">
        <v>902</v>
      </c>
      <c r="D2174" s="23" t="s">
        <v>903</v>
      </c>
      <c r="E2174" s="23" t="s">
        <v>1700</v>
      </c>
      <c r="F2174" s="23" t="s">
        <v>12</v>
      </c>
    </row>
    <row r="2175" ht="17.25" spans="1:6">
      <c r="A2175" s="23">
        <v>2174</v>
      </c>
      <c r="B2175" s="22" t="s">
        <v>2524</v>
      </c>
      <c r="C2175" s="22" t="s">
        <v>902</v>
      </c>
      <c r="D2175" s="22" t="s">
        <v>919</v>
      </c>
      <c r="E2175" s="22" t="s">
        <v>1700</v>
      </c>
      <c r="F2175" s="22" t="s">
        <v>12</v>
      </c>
    </row>
    <row r="2176" ht="17.25" spans="1:6">
      <c r="A2176" s="22">
        <v>2175</v>
      </c>
      <c r="B2176" s="23" t="s">
        <v>2525</v>
      </c>
      <c r="C2176" s="23" t="s">
        <v>902</v>
      </c>
      <c r="D2176" s="23" t="s">
        <v>1580</v>
      </c>
      <c r="E2176" s="23" t="s">
        <v>1700</v>
      </c>
      <c r="F2176" s="23" t="s">
        <v>12</v>
      </c>
    </row>
    <row r="2177" ht="17.25" spans="1:6">
      <c r="A2177" s="23">
        <v>2176</v>
      </c>
      <c r="B2177" s="22" t="s">
        <v>2526</v>
      </c>
      <c r="C2177" s="22" t="s">
        <v>902</v>
      </c>
      <c r="D2177" s="22" t="s">
        <v>903</v>
      </c>
      <c r="E2177" s="22" t="s">
        <v>1700</v>
      </c>
      <c r="F2177" s="22" t="s">
        <v>12</v>
      </c>
    </row>
    <row r="2178" ht="17.25" spans="1:6">
      <c r="A2178" s="22">
        <v>2177</v>
      </c>
      <c r="B2178" s="23" t="s">
        <v>2527</v>
      </c>
      <c r="C2178" s="23" t="s">
        <v>902</v>
      </c>
      <c r="D2178" s="23" t="s">
        <v>903</v>
      </c>
      <c r="E2178" s="23" t="s">
        <v>1700</v>
      </c>
      <c r="F2178" s="23" t="s">
        <v>12</v>
      </c>
    </row>
    <row r="2179" ht="17.25" spans="1:6">
      <c r="A2179" s="23">
        <v>2178</v>
      </c>
      <c r="B2179" s="22" t="s">
        <v>2528</v>
      </c>
      <c r="C2179" s="22" t="s">
        <v>902</v>
      </c>
      <c r="D2179" s="22" t="s">
        <v>903</v>
      </c>
      <c r="E2179" s="22" t="s">
        <v>1700</v>
      </c>
      <c r="F2179" s="22" t="s">
        <v>12</v>
      </c>
    </row>
    <row r="2180" ht="17.25" spans="1:6">
      <c r="A2180" s="22">
        <v>2179</v>
      </c>
      <c r="B2180" s="23" t="s">
        <v>2529</v>
      </c>
      <c r="C2180" s="23" t="s">
        <v>902</v>
      </c>
      <c r="D2180" s="23" t="s">
        <v>905</v>
      </c>
      <c r="E2180" s="23" t="s">
        <v>1700</v>
      </c>
      <c r="F2180" s="23" t="s">
        <v>12</v>
      </c>
    </row>
    <row r="2181" ht="17.25" spans="1:6">
      <c r="A2181" s="23">
        <v>2180</v>
      </c>
      <c r="B2181" s="22" t="s">
        <v>2530</v>
      </c>
      <c r="C2181" s="22" t="s">
        <v>902</v>
      </c>
      <c r="D2181" s="22" t="s">
        <v>911</v>
      </c>
      <c r="E2181" s="22" t="s">
        <v>1700</v>
      </c>
      <c r="F2181" s="22" t="s">
        <v>12</v>
      </c>
    </row>
    <row r="2182" ht="17.25" spans="1:6">
      <c r="A2182" s="22">
        <v>2181</v>
      </c>
      <c r="B2182" s="23" t="s">
        <v>2531</v>
      </c>
      <c r="C2182" s="23" t="s">
        <v>902</v>
      </c>
      <c r="D2182" s="23" t="s">
        <v>926</v>
      </c>
      <c r="E2182" s="23" t="s">
        <v>1700</v>
      </c>
      <c r="F2182" s="23" t="s">
        <v>12</v>
      </c>
    </row>
    <row r="2183" ht="17.25" spans="1:6">
      <c r="A2183" s="23">
        <v>2182</v>
      </c>
      <c r="B2183" s="22" t="s">
        <v>2532</v>
      </c>
      <c r="C2183" s="22" t="s">
        <v>902</v>
      </c>
      <c r="D2183" s="22" t="s">
        <v>903</v>
      </c>
      <c r="E2183" s="22" t="s">
        <v>1700</v>
      </c>
      <c r="F2183" s="22" t="s">
        <v>12</v>
      </c>
    </row>
    <row r="2184" ht="17.25" spans="1:6">
      <c r="A2184" s="22">
        <v>2183</v>
      </c>
      <c r="B2184" s="23" t="s">
        <v>2533</v>
      </c>
      <c r="C2184" s="23" t="s">
        <v>902</v>
      </c>
      <c r="D2184" s="23" t="s">
        <v>903</v>
      </c>
      <c r="E2184" s="23" t="s">
        <v>1700</v>
      </c>
      <c r="F2184" s="23" t="s">
        <v>12</v>
      </c>
    </row>
    <row r="2185" ht="17.25" spans="1:6">
      <c r="A2185" s="23">
        <v>2184</v>
      </c>
      <c r="B2185" s="22" t="s">
        <v>2534</v>
      </c>
      <c r="C2185" s="22" t="s">
        <v>902</v>
      </c>
      <c r="D2185" s="22" t="s">
        <v>903</v>
      </c>
      <c r="E2185" s="22" t="s">
        <v>1700</v>
      </c>
      <c r="F2185" s="22" t="s">
        <v>12</v>
      </c>
    </row>
    <row r="2186" ht="17.25" spans="1:6">
      <c r="A2186" s="22">
        <v>2185</v>
      </c>
      <c r="B2186" s="23" t="s">
        <v>2535</v>
      </c>
      <c r="C2186" s="23" t="s">
        <v>902</v>
      </c>
      <c r="D2186" s="23" t="s">
        <v>903</v>
      </c>
      <c r="E2186" s="23" t="s">
        <v>1700</v>
      </c>
      <c r="F2186" s="23" t="s">
        <v>12</v>
      </c>
    </row>
    <row r="2187" ht="17.25" spans="1:6">
      <c r="A2187" s="23">
        <v>2186</v>
      </c>
      <c r="B2187" s="22" t="s">
        <v>2536</v>
      </c>
      <c r="C2187" s="22" t="s">
        <v>902</v>
      </c>
      <c r="D2187" s="22" t="s">
        <v>917</v>
      </c>
      <c r="E2187" s="22" t="s">
        <v>1700</v>
      </c>
      <c r="F2187" s="22" t="s">
        <v>12</v>
      </c>
    </row>
    <row r="2188" ht="17.25" spans="1:6">
      <c r="A2188" s="22">
        <v>2187</v>
      </c>
      <c r="B2188" s="23" t="s">
        <v>2537</v>
      </c>
      <c r="C2188" s="23" t="s">
        <v>902</v>
      </c>
      <c r="D2188" s="23" t="s">
        <v>931</v>
      </c>
      <c r="E2188" s="23" t="s">
        <v>1700</v>
      </c>
      <c r="F2188" s="23" t="s">
        <v>12</v>
      </c>
    </row>
    <row r="2189" ht="17.25" spans="1:6">
      <c r="A2189" s="23">
        <v>2188</v>
      </c>
      <c r="B2189" s="22" t="s">
        <v>2538</v>
      </c>
      <c r="C2189" s="22" t="s">
        <v>902</v>
      </c>
      <c r="D2189" s="22" t="s">
        <v>903</v>
      </c>
      <c r="E2189" s="22" t="s">
        <v>1700</v>
      </c>
      <c r="F2189" s="22" t="s">
        <v>12</v>
      </c>
    </row>
    <row r="2190" ht="17.25" spans="1:6">
      <c r="A2190" s="22">
        <v>2189</v>
      </c>
      <c r="B2190" s="23" t="s">
        <v>2539</v>
      </c>
      <c r="C2190" s="23" t="s">
        <v>902</v>
      </c>
      <c r="D2190" s="23" t="s">
        <v>2540</v>
      </c>
      <c r="E2190" s="23" t="s">
        <v>1700</v>
      </c>
      <c r="F2190" s="23" t="s">
        <v>12</v>
      </c>
    </row>
    <row r="2191" ht="17.25" spans="1:6">
      <c r="A2191" s="23">
        <v>2190</v>
      </c>
      <c r="B2191" s="22" t="s">
        <v>2541</v>
      </c>
      <c r="C2191" s="22" t="s">
        <v>902</v>
      </c>
      <c r="D2191" s="22" t="s">
        <v>2542</v>
      </c>
      <c r="E2191" s="22" t="s">
        <v>1700</v>
      </c>
      <c r="F2191" s="22" t="s">
        <v>12</v>
      </c>
    </row>
    <row r="2192" ht="17.25" spans="1:6">
      <c r="A2192" s="22">
        <v>2191</v>
      </c>
      <c r="B2192" s="23" t="s">
        <v>2543</v>
      </c>
      <c r="C2192" s="23" t="s">
        <v>902</v>
      </c>
      <c r="D2192" s="23" t="s">
        <v>903</v>
      </c>
      <c r="E2192" s="23" t="s">
        <v>1700</v>
      </c>
      <c r="F2192" s="23" t="s">
        <v>12</v>
      </c>
    </row>
    <row r="2193" ht="17.25" spans="1:6">
      <c r="A2193" s="23">
        <v>2192</v>
      </c>
      <c r="B2193" s="22" t="s">
        <v>2544</v>
      </c>
      <c r="C2193" s="22" t="s">
        <v>902</v>
      </c>
      <c r="D2193" s="22" t="s">
        <v>917</v>
      </c>
      <c r="E2193" s="22" t="s">
        <v>1700</v>
      </c>
      <c r="F2193" s="22" t="s">
        <v>12</v>
      </c>
    </row>
    <row r="2194" ht="17.25" spans="1:6">
      <c r="A2194" s="22">
        <v>2193</v>
      </c>
      <c r="B2194" s="23" t="s">
        <v>2545</v>
      </c>
      <c r="C2194" s="23" t="s">
        <v>902</v>
      </c>
      <c r="D2194" s="23" t="s">
        <v>917</v>
      </c>
      <c r="E2194" s="23" t="s">
        <v>1700</v>
      </c>
      <c r="F2194" s="23" t="s">
        <v>12</v>
      </c>
    </row>
    <row r="2195" ht="17.25" spans="1:6">
      <c r="A2195" s="23">
        <v>2194</v>
      </c>
      <c r="B2195" s="22" t="s">
        <v>2546</v>
      </c>
      <c r="C2195" s="22" t="s">
        <v>943</v>
      </c>
      <c r="D2195" s="22" t="s">
        <v>944</v>
      </c>
      <c r="E2195" s="22" t="s">
        <v>1700</v>
      </c>
      <c r="F2195" s="22" t="s">
        <v>12</v>
      </c>
    </row>
    <row r="2196" ht="17.25" spans="1:6">
      <c r="A2196" s="22">
        <v>2195</v>
      </c>
      <c r="B2196" s="23" t="s">
        <v>2547</v>
      </c>
      <c r="C2196" s="23" t="s">
        <v>943</v>
      </c>
      <c r="D2196" s="23" t="s">
        <v>2548</v>
      </c>
      <c r="E2196" s="23" t="s">
        <v>1700</v>
      </c>
      <c r="F2196" s="23" t="s">
        <v>12</v>
      </c>
    </row>
    <row r="2197" ht="17.25" spans="1:6">
      <c r="A2197" s="23">
        <v>2196</v>
      </c>
      <c r="B2197" s="22" t="s">
        <v>2549</v>
      </c>
      <c r="C2197" s="22" t="s">
        <v>943</v>
      </c>
      <c r="D2197" s="22" t="s">
        <v>944</v>
      </c>
      <c r="E2197" s="22" t="s">
        <v>1700</v>
      </c>
      <c r="F2197" s="22" t="s">
        <v>12</v>
      </c>
    </row>
    <row r="2198" ht="17.25" spans="1:6">
      <c r="A2198" s="22">
        <v>2197</v>
      </c>
      <c r="B2198" s="23" t="s">
        <v>2550</v>
      </c>
      <c r="C2198" s="23" t="s">
        <v>943</v>
      </c>
      <c r="D2198" s="23" t="s">
        <v>2551</v>
      </c>
      <c r="E2198" s="23" t="s">
        <v>1700</v>
      </c>
      <c r="F2198" s="23" t="s">
        <v>12</v>
      </c>
    </row>
    <row r="2199" ht="17.25" spans="1:6">
      <c r="A2199" s="23">
        <v>2198</v>
      </c>
      <c r="B2199" s="22" t="s">
        <v>2552</v>
      </c>
      <c r="C2199" s="22" t="s">
        <v>943</v>
      </c>
      <c r="D2199" s="22" t="s">
        <v>944</v>
      </c>
      <c r="E2199" s="22" t="s">
        <v>1700</v>
      </c>
      <c r="F2199" s="22" t="s">
        <v>12</v>
      </c>
    </row>
    <row r="2200" ht="17.25" spans="1:6">
      <c r="A2200" s="22">
        <v>2199</v>
      </c>
      <c r="B2200" s="23" t="s">
        <v>2553</v>
      </c>
      <c r="C2200" s="23" t="s">
        <v>943</v>
      </c>
      <c r="D2200" s="23" t="s">
        <v>944</v>
      </c>
      <c r="E2200" s="23" t="s">
        <v>1700</v>
      </c>
      <c r="F2200" s="23" t="s">
        <v>12</v>
      </c>
    </row>
    <row r="2201" ht="17.25" spans="1:6">
      <c r="A2201" s="23">
        <v>2200</v>
      </c>
      <c r="B2201" s="22" t="s">
        <v>2554</v>
      </c>
      <c r="C2201" s="22" t="s">
        <v>943</v>
      </c>
      <c r="D2201" s="22" t="s">
        <v>944</v>
      </c>
      <c r="E2201" s="22" t="s">
        <v>1700</v>
      </c>
      <c r="F2201" s="22" t="s">
        <v>12</v>
      </c>
    </row>
    <row r="2202" ht="17.25" spans="1:6">
      <c r="A2202" s="22">
        <v>2201</v>
      </c>
      <c r="B2202" s="23" t="s">
        <v>2555</v>
      </c>
      <c r="C2202" s="23" t="s">
        <v>951</v>
      </c>
      <c r="D2202" s="23" t="s">
        <v>951</v>
      </c>
      <c r="E2202" s="23" t="s">
        <v>1700</v>
      </c>
      <c r="F2202" s="23" t="s">
        <v>12</v>
      </c>
    </row>
    <row r="2203" ht="17.25" spans="1:6">
      <c r="A2203" s="23">
        <v>2202</v>
      </c>
      <c r="B2203" s="22" t="s">
        <v>2556</v>
      </c>
      <c r="C2203" s="22" t="s">
        <v>951</v>
      </c>
      <c r="D2203" s="22" t="s">
        <v>951</v>
      </c>
      <c r="E2203" s="22" t="s">
        <v>1700</v>
      </c>
      <c r="F2203" s="22" t="s">
        <v>12</v>
      </c>
    </row>
    <row r="2204" ht="17.25" spans="1:6">
      <c r="A2204" s="22">
        <v>2203</v>
      </c>
      <c r="B2204" s="23" t="s">
        <v>2557</v>
      </c>
      <c r="C2204" s="23" t="s">
        <v>951</v>
      </c>
      <c r="D2204" s="23" t="s">
        <v>951</v>
      </c>
      <c r="E2204" s="23" t="s">
        <v>1700</v>
      </c>
      <c r="F2204" s="23" t="s">
        <v>12</v>
      </c>
    </row>
    <row r="2205" ht="17.25" spans="1:6">
      <c r="A2205" s="23">
        <v>2204</v>
      </c>
      <c r="B2205" s="22" t="s">
        <v>2558</v>
      </c>
      <c r="C2205" s="22" t="s">
        <v>951</v>
      </c>
      <c r="D2205" s="22" t="s">
        <v>951</v>
      </c>
      <c r="E2205" s="22" t="s">
        <v>1700</v>
      </c>
      <c r="F2205" s="22" t="s">
        <v>12</v>
      </c>
    </row>
    <row r="2206" ht="17.25" spans="1:6">
      <c r="A2206" s="22">
        <v>2205</v>
      </c>
      <c r="B2206" s="23" t="s">
        <v>2559</v>
      </c>
      <c r="C2206" s="23" t="s">
        <v>951</v>
      </c>
      <c r="D2206" s="23" t="s">
        <v>951</v>
      </c>
      <c r="E2206" s="23" t="s">
        <v>1700</v>
      </c>
      <c r="F2206" s="23" t="s">
        <v>12</v>
      </c>
    </row>
    <row r="2207" ht="17.25" spans="1:6">
      <c r="A2207" s="23">
        <v>2206</v>
      </c>
      <c r="B2207" s="22" t="s">
        <v>2560</v>
      </c>
      <c r="C2207" s="22" t="s">
        <v>951</v>
      </c>
      <c r="D2207" s="22" t="s">
        <v>951</v>
      </c>
      <c r="E2207" s="22" t="s">
        <v>1700</v>
      </c>
      <c r="F2207" s="22" t="s">
        <v>12</v>
      </c>
    </row>
    <row r="2208" ht="17.25" spans="1:6">
      <c r="A2208" s="22">
        <v>2207</v>
      </c>
      <c r="B2208" s="23" t="s">
        <v>2561</v>
      </c>
      <c r="C2208" s="23" t="s">
        <v>951</v>
      </c>
      <c r="D2208" s="23" t="s">
        <v>951</v>
      </c>
      <c r="E2208" s="23" t="s">
        <v>1700</v>
      </c>
      <c r="F2208" s="23" t="s">
        <v>12</v>
      </c>
    </row>
    <row r="2209" ht="17.25" spans="1:6">
      <c r="A2209" s="23">
        <v>2208</v>
      </c>
      <c r="B2209" s="22" t="s">
        <v>2562</v>
      </c>
      <c r="C2209" s="22" t="s">
        <v>951</v>
      </c>
      <c r="D2209" s="22" t="s">
        <v>951</v>
      </c>
      <c r="E2209" s="22" t="s">
        <v>1700</v>
      </c>
      <c r="F2209" s="22" t="s">
        <v>12</v>
      </c>
    </row>
    <row r="2210" ht="17.25" spans="1:6">
      <c r="A2210" s="22">
        <v>2209</v>
      </c>
      <c r="B2210" s="23" t="s">
        <v>2563</v>
      </c>
      <c r="C2210" s="23" t="s">
        <v>951</v>
      </c>
      <c r="D2210" s="23" t="s">
        <v>951</v>
      </c>
      <c r="E2210" s="23" t="s">
        <v>1700</v>
      </c>
      <c r="F2210" s="23" t="s">
        <v>12</v>
      </c>
    </row>
    <row r="2211" ht="17.25" spans="1:6">
      <c r="A2211" s="23">
        <v>2210</v>
      </c>
      <c r="B2211" s="22" t="s">
        <v>2564</v>
      </c>
      <c r="C2211" s="22" t="s">
        <v>951</v>
      </c>
      <c r="D2211" s="22" t="s">
        <v>951</v>
      </c>
      <c r="E2211" s="22" t="s">
        <v>1700</v>
      </c>
      <c r="F2211" s="22" t="s">
        <v>12</v>
      </c>
    </row>
    <row r="2212" ht="17.25" spans="1:6">
      <c r="A2212" s="22">
        <v>2211</v>
      </c>
      <c r="B2212" s="23" t="s">
        <v>2565</v>
      </c>
      <c r="C2212" s="23" t="s">
        <v>951</v>
      </c>
      <c r="D2212" s="23" t="s">
        <v>951</v>
      </c>
      <c r="E2212" s="23" t="s">
        <v>1700</v>
      </c>
      <c r="F2212" s="23" t="s">
        <v>12</v>
      </c>
    </row>
    <row r="2213" ht="17.25" spans="1:6">
      <c r="A2213" s="23">
        <v>2212</v>
      </c>
      <c r="B2213" s="22" t="s">
        <v>2566</v>
      </c>
      <c r="C2213" s="22" t="s">
        <v>951</v>
      </c>
      <c r="D2213" s="22" t="s">
        <v>951</v>
      </c>
      <c r="E2213" s="22" t="s">
        <v>1700</v>
      </c>
      <c r="F2213" s="22" t="s">
        <v>12</v>
      </c>
    </row>
    <row r="2214" ht="17.25" spans="1:6">
      <c r="A2214" s="22">
        <v>2213</v>
      </c>
      <c r="B2214" s="23" t="s">
        <v>2567</v>
      </c>
      <c r="C2214" s="23" t="s">
        <v>951</v>
      </c>
      <c r="D2214" s="23" t="s">
        <v>951</v>
      </c>
      <c r="E2214" s="23" t="s">
        <v>1700</v>
      </c>
      <c r="F2214" s="23" t="s">
        <v>12</v>
      </c>
    </row>
    <row r="2215" ht="17.25" spans="1:6">
      <c r="A2215" s="23">
        <v>2214</v>
      </c>
      <c r="B2215" s="22" t="s">
        <v>2568</v>
      </c>
      <c r="C2215" s="22" t="s">
        <v>951</v>
      </c>
      <c r="D2215" s="22" t="s">
        <v>951</v>
      </c>
      <c r="E2215" s="22" t="s">
        <v>1700</v>
      </c>
      <c r="F2215" s="22" t="s">
        <v>12</v>
      </c>
    </row>
    <row r="2216" ht="17.25" spans="1:6">
      <c r="A2216" s="22">
        <v>2215</v>
      </c>
      <c r="B2216" s="23" t="s">
        <v>2569</v>
      </c>
      <c r="C2216" s="23" t="s">
        <v>951</v>
      </c>
      <c r="D2216" s="23" t="s">
        <v>951</v>
      </c>
      <c r="E2216" s="23" t="s">
        <v>1700</v>
      </c>
      <c r="F2216" s="23" t="s">
        <v>12</v>
      </c>
    </row>
    <row r="2217" ht="17.25" spans="1:6">
      <c r="A2217" s="23">
        <v>2216</v>
      </c>
      <c r="B2217" s="22" t="s">
        <v>2570</v>
      </c>
      <c r="C2217" s="22" t="s">
        <v>951</v>
      </c>
      <c r="D2217" s="22" t="s">
        <v>951</v>
      </c>
      <c r="E2217" s="22" t="s">
        <v>1700</v>
      </c>
      <c r="F2217" s="22" t="s">
        <v>12</v>
      </c>
    </row>
    <row r="2218" ht="17.25" spans="1:6">
      <c r="A2218" s="22">
        <v>2217</v>
      </c>
      <c r="B2218" s="23" t="s">
        <v>2571</v>
      </c>
      <c r="C2218" s="23" t="s">
        <v>951</v>
      </c>
      <c r="D2218" s="23" t="s">
        <v>951</v>
      </c>
      <c r="E2218" s="23" t="s">
        <v>1700</v>
      </c>
      <c r="F2218" s="23" t="s">
        <v>12</v>
      </c>
    </row>
    <row r="2219" ht="17.25" spans="1:6">
      <c r="A2219" s="23">
        <v>2218</v>
      </c>
      <c r="B2219" s="22" t="s">
        <v>2572</v>
      </c>
      <c r="C2219" s="22" t="s">
        <v>951</v>
      </c>
      <c r="D2219" s="22" t="s">
        <v>951</v>
      </c>
      <c r="E2219" s="22" t="s">
        <v>1700</v>
      </c>
      <c r="F2219" s="22" t="s">
        <v>12</v>
      </c>
    </row>
    <row r="2220" ht="17.25" spans="1:6">
      <c r="A2220" s="22">
        <v>2219</v>
      </c>
      <c r="B2220" s="23" t="s">
        <v>2573</v>
      </c>
      <c r="C2220" s="23" t="s">
        <v>951</v>
      </c>
      <c r="D2220" s="23" t="s">
        <v>951</v>
      </c>
      <c r="E2220" s="23" t="s">
        <v>1700</v>
      </c>
      <c r="F2220" s="23" t="s">
        <v>12</v>
      </c>
    </row>
    <row r="2221" ht="17.25" spans="1:6">
      <c r="A2221" s="23">
        <v>2220</v>
      </c>
      <c r="B2221" s="22" t="s">
        <v>2574</v>
      </c>
      <c r="C2221" s="22" t="s">
        <v>951</v>
      </c>
      <c r="D2221" s="22" t="s">
        <v>951</v>
      </c>
      <c r="E2221" s="22" t="s">
        <v>1700</v>
      </c>
      <c r="F2221" s="22" t="s">
        <v>12</v>
      </c>
    </row>
    <row r="2222" ht="17.25" spans="1:6">
      <c r="A2222" s="22">
        <v>2221</v>
      </c>
      <c r="B2222" s="23" t="s">
        <v>2575</v>
      </c>
      <c r="C2222" s="23" t="s">
        <v>951</v>
      </c>
      <c r="D2222" s="23" t="s">
        <v>951</v>
      </c>
      <c r="E2222" s="23" t="s">
        <v>1700</v>
      </c>
      <c r="F2222" s="23" t="s">
        <v>12</v>
      </c>
    </row>
    <row r="2223" ht="17.25" spans="1:6">
      <c r="A2223" s="23">
        <v>2222</v>
      </c>
      <c r="B2223" s="22" t="s">
        <v>2576</v>
      </c>
      <c r="C2223" s="22" t="s">
        <v>971</v>
      </c>
      <c r="D2223" s="22" t="s">
        <v>972</v>
      </c>
      <c r="E2223" s="22" t="s">
        <v>1700</v>
      </c>
      <c r="F2223" s="22" t="s">
        <v>12</v>
      </c>
    </row>
    <row r="2224" ht="17.25" spans="1:6">
      <c r="A2224" s="22">
        <v>2223</v>
      </c>
      <c r="B2224" s="23" t="s">
        <v>2577</v>
      </c>
      <c r="C2224" s="23" t="s">
        <v>971</v>
      </c>
      <c r="D2224" s="23" t="s">
        <v>972</v>
      </c>
      <c r="E2224" s="23" t="s">
        <v>1700</v>
      </c>
      <c r="F2224" s="23" t="s">
        <v>12</v>
      </c>
    </row>
    <row r="2225" ht="17.25" spans="1:6">
      <c r="A2225" s="23">
        <v>2224</v>
      </c>
      <c r="B2225" s="22" t="s">
        <v>2578</v>
      </c>
      <c r="C2225" s="22" t="s">
        <v>971</v>
      </c>
      <c r="D2225" s="22" t="s">
        <v>990</v>
      </c>
      <c r="E2225" s="22" t="s">
        <v>1700</v>
      </c>
      <c r="F2225" s="22" t="s">
        <v>12</v>
      </c>
    </row>
    <row r="2226" ht="17.25" spans="1:6">
      <c r="A2226" s="22">
        <v>2225</v>
      </c>
      <c r="B2226" s="23" t="s">
        <v>2579</v>
      </c>
      <c r="C2226" s="23" t="s">
        <v>971</v>
      </c>
      <c r="D2226" s="23" t="s">
        <v>972</v>
      </c>
      <c r="E2226" s="23" t="s">
        <v>1700</v>
      </c>
      <c r="F2226" s="23" t="s">
        <v>12</v>
      </c>
    </row>
    <row r="2227" ht="17.25" spans="1:6">
      <c r="A2227" s="23">
        <v>2226</v>
      </c>
      <c r="B2227" s="22" t="s">
        <v>2580</v>
      </c>
      <c r="C2227" s="22" t="s">
        <v>971</v>
      </c>
      <c r="D2227" s="22" t="s">
        <v>993</v>
      </c>
      <c r="E2227" s="22" t="s">
        <v>1700</v>
      </c>
      <c r="F2227" s="22" t="s">
        <v>12</v>
      </c>
    </row>
    <row r="2228" ht="17.25" spans="1:6">
      <c r="A2228" s="22">
        <v>2227</v>
      </c>
      <c r="B2228" s="23" t="s">
        <v>2581</v>
      </c>
      <c r="C2228" s="23" t="s">
        <v>971</v>
      </c>
      <c r="D2228" s="23" t="s">
        <v>998</v>
      </c>
      <c r="E2228" s="23" t="s">
        <v>1700</v>
      </c>
      <c r="F2228" s="23" t="s">
        <v>12</v>
      </c>
    </row>
    <row r="2229" ht="17.25" spans="1:6">
      <c r="A2229" s="23">
        <v>2228</v>
      </c>
      <c r="B2229" s="22" t="s">
        <v>2582</v>
      </c>
      <c r="C2229" s="22" t="s">
        <v>971</v>
      </c>
      <c r="D2229" s="22" t="s">
        <v>972</v>
      </c>
      <c r="E2229" s="22" t="s">
        <v>1700</v>
      </c>
      <c r="F2229" s="22" t="s">
        <v>12</v>
      </c>
    </row>
    <row r="2230" ht="17.25" spans="1:6">
      <c r="A2230" s="22">
        <v>2229</v>
      </c>
      <c r="B2230" s="23" t="s">
        <v>2583</v>
      </c>
      <c r="C2230" s="23" t="s">
        <v>971</v>
      </c>
      <c r="D2230" s="23" t="s">
        <v>972</v>
      </c>
      <c r="E2230" s="23" t="s">
        <v>1700</v>
      </c>
      <c r="F2230" s="23" t="s">
        <v>12</v>
      </c>
    </row>
    <row r="2231" ht="17.25" spans="1:6">
      <c r="A2231" s="23">
        <v>2230</v>
      </c>
      <c r="B2231" s="22" t="s">
        <v>2584</v>
      </c>
      <c r="C2231" s="22" t="s">
        <v>971</v>
      </c>
      <c r="D2231" s="22" t="s">
        <v>1014</v>
      </c>
      <c r="E2231" s="22" t="s">
        <v>1700</v>
      </c>
      <c r="F2231" s="22" t="s">
        <v>12</v>
      </c>
    </row>
    <row r="2232" ht="17.25" spans="1:6">
      <c r="A2232" s="22">
        <v>2231</v>
      </c>
      <c r="B2232" s="23" t="s">
        <v>2585</v>
      </c>
      <c r="C2232" s="23" t="s">
        <v>971</v>
      </c>
      <c r="D2232" s="23" t="s">
        <v>978</v>
      </c>
      <c r="E2232" s="23" t="s">
        <v>1700</v>
      </c>
      <c r="F2232" s="23" t="s">
        <v>12</v>
      </c>
    </row>
    <row r="2233" ht="17.25" spans="1:6">
      <c r="A2233" s="23">
        <v>2232</v>
      </c>
      <c r="B2233" s="22" t="s">
        <v>2586</v>
      </c>
      <c r="C2233" s="22" t="s">
        <v>971</v>
      </c>
      <c r="D2233" s="22" t="s">
        <v>972</v>
      </c>
      <c r="E2233" s="22" t="s">
        <v>1700</v>
      </c>
      <c r="F2233" s="22" t="s">
        <v>12</v>
      </c>
    </row>
    <row r="2234" ht="17.25" spans="1:6">
      <c r="A2234" s="22">
        <v>2233</v>
      </c>
      <c r="B2234" s="23" t="s">
        <v>2587</v>
      </c>
      <c r="C2234" s="23" t="s">
        <v>971</v>
      </c>
      <c r="D2234" s="23" t="s">
        <v>972</v>
      </c>
      <c r="E2234" s="23" t="s">
        <v>1700</v>
      </c>
      <c r="F2234" s="23" t="s">
        <v>12</v>
      </c>
    </row>
    <row r="2235" ht="17.25" spans="1:6">
      <c r="A2235" s="23">
        <v>2234</v>
      </c>
      <c r="B2235" s="22" t="s">
        <v>2588</v>
      </c>
      <c r="C2235" s="22" t="s">
        <v>971</v>
      </c>
      <c r="D2235" s="22" t="s">
        <v>1002</v>
      </c>
      <c r="E2235" s="22" t="s">
        <v>1700</v>
      </c>
      <c r="F2235" s="22" t="s">
        <v>12</v>
      </c>
    </row>
    <row r="2236" ht="17.25" spans="1:6">
      <c r="A2236" s="22">
        <v>2235</v>
      </c>
      <c r="B2236" s="23" t="s">
        <v>2589</v>
      </c>
      <c r="C2236" s="23" t="s">
        <v>971</v>
      </c>
      <c r="D2236" s="23" t="s">
        <v>972</v>
      </c>
      <c r="E2236" s="23" t="s">
        <v>1700</v>
      </c>
      <c r="F2236" s="23" t="s">
        <v>12</v>
      </c>
    </row>
    <row r="2237" ht="17.25" spans="1:6">
      <c r="A2237" s="23">
        <v>2236</v>
      </c>
      <c r="B2237" s="22" t="s">
        <v>2590</v>
      </c>
      <c r="C2237" s="22" t="s">
        <v>971</v>
      </c>
      <c r="D2237" s="22" t="s">
        <v>1000</v>
      </c>
      <c r="E2237" s="22" t="s">
        <v>1700</v>
      </c>
      <c r="F2237" s="22" t="s">
        <v>12</v>
      </c>
    </row>
    <row r="2238" ht="17.25" spans="1:6">
      <c r="A2238" s="22">
        <v>2237</v>
      </c>
      <c r="B2238" s="23" t="s">
        <v>2591</v>
      </c>
      <c r="C2238" s="23" t="s">
        <v>971</v>
      </c>
      <c r="D2238" s="23" t="s">
        <v>990</v>
      </c>
      <c r="E2238" s="23" t="s">
        <v>1700</v>
      </c>
      <c r="F2238" s="23" t="s">
        <v>12</v>
      </c>
    </row>
    <row r="2239" ht="17.25" spans="1:6">
      <c r="A2239" s="23">
        <v>2238</v>
      </c>
      <c r="B2239" s="22" t="s">
        <v>2592</v>
      </c>
      <c r="C2239" s="22" t="s">
        <v>971</v>
      </c>
      <c r="D2239" s="22" t="s">
        <v>1616</v>
      </c>
      <c r="E2239" s="22" t="s">
        <v>1700</v>
      </c>
      <c r="F2239" s="22" t="s">
        <v>12</v>
      </c>
    </row>
    <row r="2240" ht="17.25" spans="1:6">
      <c r="A2240" s="22">
        <v>2239</v>
      </c>
      <c r="B2240" s="23" t="s">
        <v>2593</v>
      </c>
      <c r="C2240" s="23" t="s">
        <v>971</v>
      </c>
      <c r="D2240" s="23" t="s">
        <v>2594</v>
      </c>
      <c r="E2240" s="23" t="s">
        <v>1700</v>
      </c>
      <c r="F2240" s="23" t="s">
        <v>12</v>
      </c>
    </row>
    <row r="2241" ht="17.25" spans="1:6">
      <c r="A2241" s="23">
        <v>2240</v>
      </c>
      <c r="B2241" s="22" t="s">
        <v>2595</v>
      </c>
      <c r="C2241" s="22" t="s">
        <v>971</v>
      </c>
      <c r="D2241" s="22" t="s">
        <v>1006</v>
      </c>
      <c r="E2241" s="22" t="s">
        <v>1700</v>
      </c>
      <c r="F2241" s="22" t="s">
        <v>12</v>
      </c>
    </row>
    <row r="2242" ht="17.25" spans="1:6">
      <c r="A2242" s="22">
        <v>2241</v>
      </c>
      <c r="B2242" s="23" t="s">
        <v>2596</v>
      </c>
      <c r="C2242" s="23" t="s">
        <v>971</v>
      </c>
      <c r="D2242" s="23" t="s">
        <v>986</v>
      </c>
      <c r="E2242" s="23" t="s">
        <v>1700</v>
      </c>
      <c r="F2242" s="23" t="s">
        <v>12</v>
      </c>
    </row>
    <row r="2243" ht="17.25" spans="1:6">
      <c r="A2243" s="23">
        <v>2242</v>
      </c>
      <c r="B2243" s="22" t="s">
        <v>2597</v>
      </c>
      <c r="C2243" s="22" t="s">
        <v>971</v>
      </c>
      <c r="D2243" s="22" t="s">
        <v>972</v>
      </c>
      <c r="E2243" s="22" t="s">
        <v>1700</v>
      </c>
      <c r="F2243" s="22" t="s">
        <v>12</v>
      </c>
    </row>
    <row r="2244" ht="17.25" spans="1:6">
      <c r="A2244" s="22">
        <v>2243</v>
      </c>
      <c r="B2244" s="23" t="s">
        <v>2598</v>
      </c>
      <c r="C2244" s="23" t="s">
        <v>971</v>
      </c>
      <c r="D2244" s="23" t="s">
        <v>984</v>
      </c>
      <c r="E2244" s="23" t="s">
        <v>1700</v>
      </c>
      <c r="F2244" s="23" t="s">
        <v>12</v>
      </c>
    </row>
    <row r="2245" ht="17.25" spans="1:6">
      <c r="A2245" s="23">
        <v>2244</v>
      </c>
      <c r="B2245" s="22" t="s">
        <v>2599</v>
      </c>
      <c r="C2245" s="22" t="s">
        <v>971</v>
      </c>
      <c r="D2245" s="22" t="s">
        <v>2600</v>
      </c>
      <c r="E2245" s="22" t="s">
        <v>1700</v>
      </c>
      <c r="F2245" s="22" t="s">
        <v>12</v>
      </c>
    </row>
    <row r="2246" ht="17.25" spans="1:6">
      <c r="A2246" s="22">
        <v>2245</v>
      </c>
      <c r="B2246" s="23" t="s">
        <v>2601</v>
      </c>
      <c r="C2246" s="23" t="s">
        <v>971</v>
      </c>
      <c r="D2246" s="23" t="s">
        <v>2602</v>
      </c>
      <c r="E2246" s="23" t="s">
        <v>1700</v>
      </c>
      <c r="F2246" s="23" t="s">
        <v>12</v>
      </c>
    </row>
    <row r="2247" ht="17.25" spans="1:6">
      <c r="A2247" s="23">
        <v>2246</v>
      </c>
      <c r="B2247" s="22" t="s">
        <v>2603</v>
      </c>
      <c r="C2247" s="22" t="s">
        <v>971</v>
      </c>
      <c r="D2247" s="22" t="s">
        <v>972</v>
      </c>
      <c r="E2247" s="22" t="s">
        <v>1700</v>
      </c>
      <c r="F2247" s="22" t="s">
        <v>12</v>
      </c>
    </row>
    <row r="2248" ht="17.25" spans="1:6">
      <c r="A2248" s="22">
        <v>2247</v>
      </c>
      <c r="B2248" s="23" t="s">
        <v>2604</v>
      </c>
      <c r="C2248" s="23" t="s">
        <v>971</v>
      </c>
      <c r="D2248" s="23" t="s">
        <v>972</v>
      </c>
      <c r="E2248" s="23" t="s">
        <v>1700</v>
      </c>
      <c r="F2248" s="23" t="s">
        <v>12</v>
      </c>
    </row>
    <row r="2249" ht="17.25" spans="1:6">
      <c r="A2249" s="23">
        <v>2248</v>
      </c>
      <c r="B2249" s="22" t="s">
        <v>2605</v>
      </c>
      <c r="C2249" s="22" t="s">
        <v>971</v>
      </c>
      <c r="D2249" s="22" t="s">
        <v>978</v>
      </c>
      <c r="E2249" s="22" t="s">
        <v>1700</v>
      </c>
      <c r="F2249" s="22" t="s">
        <v>12</v>
      </c>
    </row>
    <row r="2250" ht="17.25" spans="1:6">
      <c r="A2250" s="22">
        <v>2249</v>
      </c>
      <c r="B2250" s="23" t="s">
        <v>2606</v>
      </c>
      <c r="C2250" s="23" t="s">
        <v>971</v>
      </c>
      <c r="D2250" s="23" t="s">
        <v>972</v>
      </c>
      <c r="E2250" s="23" t="s">
        <v>1700</v>
      </c>
      <c r="F2250" s="23" t="s">
        <v>12</v>
      </c>
    </row>
    <row r="2251" ht="17.25" spans="1:6">
      <c r="A2251" s="23">
        <v>2250</v>
      </c>
      <c r="B2251" s="22" t="s">
        <v>2607</v>
      </c>
      <c r="C2251" s="22" t="s">
        <v>971</v>
      </c>
      <c r="D2251" s="22" t="s">
        <v>972</v>
      </c>
      <c r="E2251" s="22" t="s">
        <v>1700</v>
      </c>
      <c r="F2251" s="22" t="s">
        <v>12</v>
      </c>
    </row>
    <row r="2252" ht="17.25" spans="1:6">
      <c r="A2252" s="22">
        <v>2251</v>
      </c>
      <c r="B2252" s="23" t="s">
        <v>2608</v>
      </c>
      <c r="C2252" s="23" t="s">
        <v>971</v>
      </c>
      <c r="D2252" s="23" t="s">
        <v>978</v>
      </c>
      <c r="E2252" s="23" t="s">
        <v>1700</v>
      </c>
      <c r="F2252" s="23" t="s">
        <v>12</v>
      </c>
    </row>
    <row r="2253" ht="17.25" spans="1:6">
      <c r="A2253" s="23">
        <v>2252</v>
      </c>
      <c r="B2253" s="22" t="s">
        <v>2609</v>
      </c>
      <c r="C2253" s="22" t="s">
        <v>971</v>
      </c>
      <c r="D2253" s="22" t="s">
        <v>2602</v>
      </c>
      <c r="E2253" s="22" t="s">
        <v>1700</v>
      </c>
      <c r="F2253" s="22" t="s">
        <v>12</v>
      </c>
    </row>
    <row r="2254" ht="17.25" spans="1:6">
      <c r="A2254" s="22">
        <v>2253</v>
      </c>
      <c r="B2254" s="23" t="s">
        <v>2610</v>
      </c>
      <c r="C2254" s="23" t="s">
        <v>971</v>
      </c>
      <c r="D2254" s="23" t="s">
        <v>981</v>
      </c>
      <c r="E2254" s="23" t="s">
        <v>1700</v>
      </c>
      <c r="F2254" s="23" t="s">
        <v>12</v>
      </c>
    </row>
    <row r="2255" ht="17.25" spans="1:6">
      <c r="A2255" s="23">
        <v>2254</v>
      </c>
      <c r="B2255" s="22" t="s">
        <v>2611</v>
      </c>
      <c r="C2255" s="22" t="s">
        <v>971</v>
      </c>
      <c r="D2255" s="22" t="s">
        <v>998</v>
      </c>
      <c r="E2255" s="22" t="s">
        <v>1700</v>
      </c>
      <c r="F2255" s="22" t="s">
        <v>12</v>
      </c>
    </row>
    <row r="2256" ht="17.25" spans="1:6">
      <c r="A2256" s="22">
        <v>2255</v>
      </c>
      <c r="B2256" s="23" t="s">
        <v>2612</v>
      </c>
      <c r="C2256" s="23" t="s">
        <v>971</v>
      </c>
      <c r="D2256" s="23" t="s">
        <v>984</v>
      </c>
      <c r="E2256" s="23" t="s">
        <v>1700</v>
      </c>
      <c r="F2256" s="23" t="s">
        <v>12</v>
      </c>
    </row>
    <row r="2257" ht="17.25" spans="1:6">
      <c r="A2257" s="23">
        <v>2256</v>
      </c>
      <c r="B2257" s="22" t="s">
        <v>2613</v>
      </c>
      <c r="C2257" s="22" t="s">
        <v>971</v>
      </c>
      <c r="D2257" s="22" t="s">
        <v>972</v>
      </c>
      <c r="E2257" s="22" t="s">
        <v>1700</v>
      </c>
      <c r="F2257" s="22" t="s">
        <v>12</v>
      </c>
    </row>
    <row r="2258" ht="17.25" spans="1:6">
      <c r="A2258" s="22">
        <v>2257</v>
      </c>
      <c r="B2258" s="23" t="s">
        <v>2614</v>
      </c>
      <c r="C2258" s="23" t="s">
        <v>971</v>
      </c>
      <c r="D2258" s="23" t="s">
        <v>972</v>
      </c>
      <c r="E2258" s="23" t="s">
        <v>1700</v>
      </c>
      <c r="F2258" s="23" t="s">
        <v>12</v>
      </c>
    </row>
    <row r="2259" ht="17.25" spans="1:6">
      <c r="A2259" s="23">
        <v>2258</v>
      </c>
      <c r="B2259" s="22" t="s">
        <v>2615</v>
      </c>
      <c r="C2259" s="22" t="s">
        <v>971</v>
      </c>
      <c r="D2259" s="22" t="s">
        <v>988</v>
      </c>
      <c r="E2259" s="22" t="s">
        <v>1700</v>
      </c>
      <c r="F2259" s="22" t="s">
        <v>12</v>
      </c>
    </row>
    <row r="2260" ht="17.25" spans="1:6">
      <c r="A2260" s="22">
        <v>2259</v>
      </c>
      <c r="B2260" s="23" t="s">
        <v>2616</v>
      </c>
      <c r="C2260" s="23" t="s">
        <v>971</v>
      </c>
      <c r="D2260" s="23" t="s">
        <v>1004</v>
      </c>
      <c r="E2260" s="23" t="s">
        <v>1700</v>
      </c>
      <c r="F2260" s="23" t="s">
        <v>12</v>
      </c>
    </row>
    <row r="2261" ht="17.25" spans="1:6">
      <c r="A2261" s="23">
        <v>2260</v>
      </c>
      <c r="B2261" s="22" t="s">
        <v>2617</v>
      </c>
      <c r="C2261" s="22" t="s">
        <v>971</v>
      </c>
      <c r="D2261" s="22" t="s">
        <v>1002</v>
      </c>
      <c r="E2261" s="22" t="s">
        <v>1700</v>
      </c>
      <c r="F2261" s="22" t="s">
        <v>12</v>
      </c>
    </row>
    <row r="2262" ht="17.25" spans="1:6">
      <c r="A2262" s="22">
        <v>2261</v>
      </c>
      <c r="B2262" s="23" t="s">
        <v>2618</v>
      </c>
      <c r="C2262" s="23" t="s">
        <v>971</v>
      </c>
      <c r="D2262" s="23" t="s">
        <v>998</v>
      </c>
      <c r="E2262" s="23" t="s">
        <v>1700</v>
      </c>
      <c r="F2262" s="23" t="s">
        <v>12</v>
      </c>
    </row>
    <row r="2263" ht="17.25" spans="1:6">
      <c r="A2263" s="23">
        <v>2262</v>
      </c>
      <c r="B2263" s="22" t="s">
        <v>2619</v>
      </c>
      <c r="C2263" s="22" t="s">
        <v>971</v>
      </c>
      <c r="D2263" s="22" t="s">
        <v>993</v>
      </c>
      <c r="E2263" s="22" t="s">
        <v>1700</v>
      </c>
      <c r="F2263" s="22" t="s">
        <v>12</v>
      </c>
    </row>
    <row r="2264" ht="17.25" spans="1:6">
      <c r="A2264" s="22">
        <v>2263</v>
      </c>
      <c r="B2264" s="23" t="s">
        <v>2620</v>
      </c>
      <c r="C2264" s="23" t="s">
        <v>971</v>
      </c>
      <c r="D2264" s="23" t="s">
        <v>1017</v>
      </c>
      <c r="E2264" s="23" t="s">
        <v>1700</v>
      </c>
      <c r="F2264" s="23" t="s">
        <v>12</v>
      </c>
    </row>
    <row r="2265" ht="17.25" spans="1:6">
      <c r="A2265" s="23">
        <v>2264</v>
      </c>
      <c r="B2265" s="22" t="s">
        <v>2621</v>
      </c>
      <c r="C2265" s="22" t="s">
        <v>971</v>
      </c>
      <c r="D2265" s="22" t="s">
        <v>972</v>
      </c>
      <c r="E2265" s="22" t="s">
        <v>1700</v>
      </c>
      <c r="F2265" s="22" t="s">
        <v>12</v>
      </c>
    </row>
    <row r="2266" ht="17.25" spans="1:6">
      <c r="A2266" s="22">
        <v>2265</v>
      </c>
      <c r="B2266" s="23" t="s">
        <v>2622</v>
      </c>
      <c r="C2266" s="23" t="s">
        <v>1026</v>
      </c>
      <c r="D2266" s="23" t="s">
        <v>1045</v>
      </c>
      <c r="E2266" s="23" t="s">
        <v>1700</v>
      </c>
      <c r="F2266" s="23" t="s">
        <v>12</v>
      </c>
    </row>
    <row r="2267" ht="17.25" spans="1:6">
      <c r="A2267" s="23">
        <v>2266</v>
      </c>
      <c r="B2267" s="22" t="s">
        <v>2623</v>
      </c>
      <c r="C2267" s="22" t="s">
        <v>1026</v>
      </c>
      <c r="D2267" s="22" t="s">
        <v>1030</v>
      </c>
      <c r="E2267" s="22" t="s">
        <v>1700</v>
      </c>
      <c r="F2267" s="22" t="s">
        <v>12</v>
      </c>
    </row>
    <row r="2268" ht="17.25" spans="1:6">
      <c r="A2268" s="22">
        <v>2267</v>
      </c>
      <c r="B2268" s="23" t="s">
        <v>2624</v>
      </c>
      <c r="C2268" s="23" t="s">
        <v>1026</v>
      </c>
      <c r="D2268" s="23" t="s">
        <v>1043</v>
      </c>
      <c r="E2268" s="23" t="s">
        <v>1700</v>
      </c>
      <c r="F2268" s="23" t="s">
        <v>12</v>
      </c>
    </row>
    <row r="2269" ht="17.25" spans="1:6">
      <c r="A2269" s="23">
        <v>2268</v>
      </c>
      <c r="B2269" s="22" t="s">
        <v>2625</v>
      </c>
      <c r="C2269" s="22" t="s">
        <v>1026</v>
      </c>
      <c r="D2269" s="22" t="s">
        <v>1039</v>
      </c>
      <c r="E2269" s="22" t="s">
        <v>1700</v>
      </c>
      <c r="F2269" s="22" t="s">
        <v>12</v>
      </c>
    </row>
    <row r="2270" ht="17.25" spans="1:6">
      <c r="A2270" s="22">
        <v>2269</v>
      </c>
      <c r="B2270" s="23" t="s">
        <v>2626</v>
      </c>
      <c r="C2270" s="23" t="s">
        <v>1026</v>
      </c>
      <c r="D2270" s="23" t="s">
        <v>1043</v>
      </c>
      <c r="E2270" s="23" t="s">
        <v>1700</v>
      </c>
      <c r="F2270" s="23" t="s">
        <v>12</v>
      </c>
    </row>
    <row r="2271" ht="17.25" spans="1:6">
      <c r="A2271" s="23">
        <v>2270</v>
      </c>
      <c r="B2271" s="22" t="s">
        <v>2627</v>
      </c>
      <c r="C2271" s="22" t="s">
        <v>1026</v>
      </c>
      <c r="D2271" s="22" t="s">
        <v>1045</v>
      </c>
      <c r="E2271" s="22" t="s">
        <v>1700</v>
      </c>
      <c r="F2271" s="22" t="s">
        <v>12</v>
      </c>
    </row>
    <row r="2272" ht="17.25" spans="1:6">
      <c r="A2272" s="22">
        <v>2271</v>
      </c>
      <c r="B2272" s="23" t="s">
        <v>2628</v>
      </c>
      <c r="C2272" s="23" t="s">
        <v>1026</v>
      </c>
      <c r="D2272" s="23" t="s">
        <v>1030</v>
      </c>
      <c r="E2272" s="23" t="s">
        <v>1700</v>
      </c>
      <c r="F2272" s="23" t="s">
        <v>12</v>
      </c>
    </row>
    <row r="2273" ht="17.25" spans="1:6">
      <c r="A2273" s="23">
        <v>2272</v>
      </c>
      <c r="B2273" s="22" t="s">
        <v>2629</v>
      </c>
      <c r="C2273" s="22" t="s">
        <v>1026</v>
      </c>
      <c r="D2273" s="22" t="s">
        <v>1027</v>
      </c>
      <c r="E2273" s="22" t="s">
        <v>1700</v>
      </c>
      <c r="F2273" s="22" t="s">
        <v>12</v>
      </c>
    </row>
    <row r="2274" ht="17.25" spans="1:6">
      <c r="A2274" s="22">
        <v>2273</v>
      </c>
      <c r="B2274" s="23" t="s">
        <v>2630</v>
      </c>
      <c r="C2274" s="23" t="s">
        <v>1026</v>
      </c>
      <c r="D2274" s="23" t="s">
        <v>1027</v>
      </c>
      <c r="E2274" s="23" t="s">
        <v>1700</v>
      </c>
      <c r="F2274" s="23" t="s">
        <v>12</v>
      </c>
    </row>
    <row r="2275" ht="17.25" spans="1:6">
      <c r="A2275" s="23">
        <v>2274</v>
      </c>
      <c r="B2275" s="22" t="s">
        <v>2631</v>
      </c>
      <c r="C2275" s="22" t="s">
        <v>1026</v>
      </c>
      <c r="D2275" s="22" t="s">
        <v>1050</v>
      </c>
      <c r="E2275" s="22" t="s">
        <v>1700</v>
      </c>
      <c r="F2275" s="22" t="s">
        <v>12</v>
      </c>
    </row>
    <row r="2276" ht="17.25" spans="1:6">
      <c r="A2276" s="22">
        <v>2275</v>
      </c>
      <c r="B2276" s="23" t="s">
        <v>2632</v>
      </c>
      <c r="C2276" s="23" t="s">
        <v>1026</v>
      </c>
      <c r="D2276" s="23" t="s">
        <v>1037</v>
      </c>
      <c r="E2276" s="23" t="s">
        <v>1700</v>
      </c>
      <c r="F2276" s="23" t="s">
        <v>12</v>
      </c>
    </row>
    <row r="2277" ht="17.25" spans="1:6">
      <c r="A2277" s="23">
        <v>2276</v>
      </c>
      <c r="B2277" s="22" t="s">
        <v>2633</v>
      </c>
      <c r="C2277" s="22" t="s">
        <v>1026</v>
      </c>
      <c r="D2277" s="22" t="s">
        <v>1030</v>
      </c>
      <c r="E2277" s="22" t="s">
        <v>1700</v>
      </c>
      <c r="F2277" s="22" t="s">
        <v>12</v>
      </c>
    </row>
    <row r="2278" ht="17.25" spans="1:6">
      <c r="A2278" s="22">
        <v>2277</v>
      </c>
      <c r="B2278" s="23" t="s">
        <v>2634</v>
      </c>
      <c r="C2278" s="23" t="s">
        <v>1026</v>
      </c>
      <c r="D2278" s="23" t="s">
        <v>1027</v>
      </c>
      <c r="E2278" s="23" t="s">
        <v>1700</v>
      </c>
      <c r="F2278" s="23" t="s">
        <v>12</v>
      </c>
    </row>
    <row r="2279" ht="17.25" spans="1:6">
      <c r="A2279" s="23">
        <v>2278</v>
      </c>
      <c r="B2279" s="22" t="s">
        <v>2635</v>
      </c>
      <c r="C2279" s="22" t="s">
        <v>1026</v>
      </c>
      <c r="D2279" s="22" t="s">
        <v>1041</v>
      </c>
      <c r="E2279" s="22" t="s">
        <v>1700</v>
      </c>
      <c r="F2279" s="22" t="s">
        <v>12</v>
      </c>
    </row>
    <row r="2280" ht="17.25" spans="1:6">
      <c r="A2280" s="22">
        <v>2279</v>
      </c>
      <c r="B2280" s="23" t="s">
        <v>2636</v>
      </c>
      <c r="C2280" s="23" t="s">
        <v>1026</v>
      </c>
      <c r="D2280" s="23" t="s">
        <v>1027</v>
      </c>
      <c r="E2280" s="23" t="s">
        <v>1700</v>
      </c>
      <c r="F2280" s="23" t="s">
        <v>12</v>
      </c>
    </row>
    <row r="2281" ht="17.25" spans="1:6">
      <c r="A2281" s="23">
        <v>2280</v>
      </c>
      <c r="B2281" s="22" t="s">
        <v>2637</v>
      </c>
      <c r="C2281" s="22" t="s">
        <v>1026</v>
      </c>
      <c r="D2281" s="22" t="s">
        <v>1027</v>
      </c>
      <c r="E2281" s="22" t="s">
        <v>1700</v>
      </c>
      <c r="F2281" s="22" t="s">
        <v>12</v>
      </c>
    </row>
    <row r="2282" ht="17.25" spans="1:6">
      <c r="A2282" s="22">
        <v>2281</v>
      </c>
      <c r="B2282" s="23" t="s">
        <v>2638</v>
      </c>
      <c r="C2282" s="23" t="s">
        <v>1026</v>
      </c>
      <c r="D2282" s="23" t="s">
        <v>1035</v>
      </c>
      <c r="E2282" s="23" t="s">
        <v>1700</v>
      </c>
      <c r="F2282" s="23" t="s">
        <v>12</v>
      </c>
    </row>
    <row r="2283" ht="17.25" spans="1:6">
      <c r="A2283" s="23">
        <v>2282</v>
      </c>
      <c r="B2283" s="22" t="s">
        <v>2639</v>
      </c>
      <c r="C2283" s="22" t="s">
        <v>1026</v>
      </c>
      <c r="D2283" s="22" t="s">
        <v>1045</v>
      </c>
      <c r="E2283" s="22" t="s">
        <v>1700</v>
      </c>
      <c r="F2283" s="22" t="s">
        <v>12</v>
      </c>
    </row>
    <row r="2284" ht="17.25" spans="1:6">
      <c r="A2284" s="22">
        <v>2283</v>
      </c>
      <c r="B2284" s="23" t="s">
        <v>2640</v>
      </c>
      <c r="C2284" s="23" t="s">
        <v>1026</v>
      </c>
      <c r="D2284" s="23" t="s">
        <v>1041</v>
      </c>
      <c r="E2284" s="23" t="s">
        <v>1700</v>
      </c>
      <c r="F2284" s="23" t="s">
        <v>12</v>
      </c>
    </row>
    <row r="2285" ht="17.25" spans="1:6">
      <c r="A2285" s="23">
        <v>2284</v>
      </c>
      <c r="B2285" s="22" t="s">
        <v>2641</v>
      </c>
      <c r="C2285" s="22" t="s">
        <v>1026</v>
      </c>
      <c r="D2285" s="22" t="s">
        <v>1027</v>
      </c>
      <c r="E2285" s="22" t="s">
        <v>1700</v>
      </c>
      <c r="F2285" s="22" t="s">
        <v>12</v>
      </c>
    </row>
    <row r="2286" ht="17.25" spans="1:6">
      <c r="A2286" s="22">
        <v>2285</v>
      </c>
      <c r="B2286" s="23" t="s">
        <v>2642</v>
      </c>
      <c r="C2286" s="23" t="s">
        <v>1026</v>
      </c>
      <c r="D2286" s="23" t="s">
        <v>1041</v>
      </c>
      <c r="E2286" s="23" t="s">
        <v>1700</v>
      </c>
      <c r="F2286" s="23" t="s">
        <v>12</v>
      </c>
    </row>
    <row r="2287" ht="17.25" spans="1:6">
      <c r="A2287" s="23">
        <v>2286</v>
      </c>
      <c r="B2287" s="22" t="s">
        <v>2643</v>
      </c>
      <c r="C2287" s="22" t="s">
        <v>1026</v>
      </c>
      <c r="D2287" s="22" t="s">
        <v>1027</v>
      </c>
      <c r="E2287" s="22" t="s">
        <v>1700</v>
      </c>
      <c r="F2287" s="22" t="s">
        <v>12</v>
      </c>
    </row>
    <row r="2288" ht="17.25" spans="1:6">
      <c r="A2288" s="22">
        <v>2287</v>
      </c>
      <c r="B2288" s="23" t="s">
        <v>2644</v>
      </c>
      <c r="C2288" s="23" t="s">
        <v>1026</v>
      </c>
      <c r="D2288" s="23" t="s">
        <v>1027</v>
      </c>
      <c r="E2288" s="23" t="s">
        <v>1700</v>
      </c>
      <c r="F2288" s="23" t="s">
        <v>12</v>
      </c>
    </row>
    <row r="2289" ht="17.25" spans="1:6">
      <c r="A2289" s="23">
        <v>2288</v>
      </c>
      <c r="B2289" s="22" t="s">
        <v>2645</v>
      </c>
      <c r="C2289" s="22" t="s">
        <v>1026</v>
      </c>
      <c r="D2289" s="22" t="s">
        <v>1027</v>
      </c>
      <c r="E2289" s="22" t="s">
        <v>1700</v>
      </c>
      <c r="F2289" s="22" t="s">
        <v>12</v>
      </c>
    </row>
    <row r="2290" ht="17.25" spans="1:6">
      <c r="A2290" s="22">
        <v>2289</v>
      </c>
      <c r="B2290" s="23" t="s">
        <v>2646</v>
      </c>
      <c r="C2290" s="23" t="s">
        <v>1026</v>
      </c>
      <c r="D2290" s="23" t="s">
        <v>1027</v>
      </c>
      <c r="E2290" s="23" t="s">
        <v>1700</v>
      </c>
      <c r="F2290" s="23" t="s">
        <v>12</v>
      </c>
    </row>
    <row r="2291" ht="17.25" spans="1:6">
      <c r="A2291" s="23">
        <v>2290</v>
      </c>
      <c r="B2291" s="22" t="s">
        <v>2647</v>
      </c>
      <c r="C2291" s="22" t="s">
        <v>1026</v>
      </c>
      <c r="D2291" s="22" t="s">
        <v>1027</v>
      </c>
      <c r="E2291" s="22" t="s">
        <v>1700</v>
      </c>
      <c r="F2291" s="22" t="s">
        <v>12</v>
      </c>
    </row>
    <row r="2292" ht="17.25" spans="1:6">
      <c r="A2292" s="22">
        <v>2291</v>
      </c>
      <c r="B2292" s="23" t="s">
        <v>2648</v>
      </c>
      <c r="C2292" s="23" t="s">
        <v>1026</v>
      </c>
      <c r="D2292" s="23" t="s">
        <v>1035</v>
      </c>
      <c r="E2292" s="23" t="s">
        <v>1700</v>
      </c>
      <c r="F2292" s="23" t="s">
        <v>12</v>
      </c>
    </row>
    <row r="2293" ht="17.25" spans="1:6">
      <c r="A2293" s="23">
        <v>2292</v>
      </c>
      <c r="B2293" s="22" t="s">
        <v>2649</v>
      </c>
      <c r="C2293" s="22" t="s">
        <v>1026</v>
      </c>
      <c r="D2293" s="22" t="s">
        <v>1027</v>
      </c>
      <c r="E2293" s="22" t="s">
        <v>1700</v>
      </c>
      <c r="F2293" s="22" t="s">
        <v>12</v>
      </c>
    </row>
    <row r="2294" ht="17.25" spans="1:6">
      <c r="A2294" s="22">
        <v>2293</v>
      </c>
      <c r="B2294" s="23" t="s">
        <v>2650</v>
      </c>
      <c r="C2294" s="23" t="s">
        <v>1026</v>
      </c>
      <c r="D2294" s="23" t="s">
        <v>1045</v>
      </c>
      <c r="E2294" s="23" t="s">
        <v>1700</v>
      </c>
      <c r="F2294" s="23" t="s">
        <v>12</v>
      </c>
    </row>
    <row r="2295" ht="17.25" spans="1:6">
      <c r="A2295" s="23">
        <v>2294</v>
      </c>
      <c r="B2295" s="22" t="s">
        <v>2651</v>
      </c>
      <c r="C2295" s="22" t="s">
        <v>1026</v>
      </c>
      <c r="D2295" s="22" t="s">
        <v>1045</v>
      </c>
      <c r="E2295" s="22" t="s">
        <v>1700</v>
      </c>
      <c r="F2295" s="22" t="s">
        <v>12</v>
      </c>
    </row>
    <row r="2296" ht="17.25" spans="1:6">
      <c r="A2296" s="22">
        <v>2295</v>
      </c>
      <c r="B2296" s="23" t="s">
        <v>2652</v>
      </c>
      <c r="C2296" s="23" t="s">
        <v>1026</v>
      </c>
      <c r="D2296" s="23" t="s">
        <v>1050</v>
      </c>
      <c r="E2296" s="23" t="s">
        <v>1700</v>
      </c>
      <c r="F2296" s="23" t="s">
        <v>12</v>
      </c>
    </row>
    <row r="2297" ht="17.25" spans="1:6">
      <c r="A2297" s="23">
        <v>2296</v>
      </c>
      <c r="B2297" s="22" t="s">
        <v>2653</v>
      </c>
      <c r="C2297" s="22" t="s">
        <v>1026</v>
      </c>
      <c r="D2297" s="22" t="s">
        <v>1041</v>
      </c>
      <c r="E2297" s="22" t="s">
        <v>1700</v>
      </c>
      <c r="F2297" s="22" t="s">
        <v>12</v>
      </c>
    </row>
    <row r="2298" ht="17.25" spans="1:6">
      <c r="A2298" s="22">
        <v>2297</v>
      </c>
      <c r="B2298" s="23" t="s">
        <v>2654</v>
      </c>
      <c r="C2298" s="23" t="s">
        <v>1026</v>
      </c>
      <c r="D2298" s="23" t="s">
        <v>1045</v>
      </c>
      <c r="E2298" s="23" t="s">
        <v>1700</v>
      </c>
      <c r="F2298" s="23" t="s">
        <v>12</v>
      </c>
    </row>
    <row r="2299" ht="17.25" spans="1:6">
      <c r="A2299" s="23">
        <v>2298</v>
      </c>
      <c r="B2299" s="22" t="s">
        <v>2655</v>
      </c>
      <c r="C2299" s="22" t="s">
        <v>1026</v>
      </c>
      <c r="D2299" s="22" t="s">
        <v>1027</v>
      </c>
      <c r="E2299" s="22" t="s">
        <v>1700</v>
      </c>
      <c r="F2299" s="22" t="s">
        <v>12</v>
      </c>
    </row>
    <row r="2300" ht="17.25" spans="1:6">
      <c r="A2300" s="22">
        <v>2299</v>
      </c>
      <c r="B2300" s="23" t="s">
        <v>2656</v>
      </c>
      <c r="C2300" s="23" t="s">
        <v>1026</v>
      </c>
      <c r="D2300" s="23" t="s">
        <v>1027</v>
      </c>
      <c r="E2300" s="23" t="s">
        <v>1700</v>
      </c>
      <c r="F2300" s="23" t="s">
        <v>12</v>
      </c>
    </row>
    <row r="2301" ht="17.25" spans="1:6">
      <c r="A2301" s="23">
        <v>2300</v>
      </c>
      <c r="B2301" s="22" t="s">
        <v>2657</v>
      </c>
      <c r="C2301" s="22" t="s">
        <v>1026</v>
      </c>
      <c r="D2301" s="22" t="s">
        <v>1027</v>
      </c>
      <c r="E2301" s="22" t="s">
        <v>1700</v>
      </c>
      <c r="F2301" s="22" t="s">
        <v>12</v>
      </c>
    </row>
    <row r="2302" ht="17.25" spans="1:6">
      <c r="A2302" s="22">
        <v>2301</v>
      </c>
      <c r="B2302" s="23" t="s">
        <v>2658</v>
      </c>
      <c r="C2302" s="23" t="s">
        <v>1060</v>
      </c>
      <c r="D2302" s="23" t="s">
        <v>1061</v>
      </c>
      <c r="E2302" s="23" t="s">
        <v>1700</v>
      </c>
      <c r="F2302" s="23" t="s">
        <v>12</v>
      </c>
    </row>
    <row r="2303" ht="17.25" spans="1:6">
      <c r="A2303" s="23">
        <v>2302</v>
      </c>
      <c r="B2303" s="22" t="s">
        <v>2659</v>
      </c>
      <c r="C2303" s="22" t="s">
        <v>1060</v>
      </c>
      <c r="D2303" s="22" t="s">
        <v>1061</v>
      </c>
      <c r="E2303" s="22" t="s">
        <v>1700</v>
      </c>
      <c r="F2303" s="22" t="s">
        <v>12</v>
      </c>
    </row>
    <row r="2304" ht="17.25" spans="1:6">
      <c r="A2304" s="22">
        <v>2303</v>
      </c>
      <c r="B2304" s="23" t="s">
        <v>2660</v>
      </c>
      <c r="C2304" s="23" t="s">
        <v>1060</v>
      </c>
      <c r="D2304" s="23" t="s">
        <v>1061</v>
      </c>
      <c r="E2304" s="23" t="s">
        <v>1700</v>
      </c>
      <c r="F2304" s="23" t="s">
        <v>12</v>
      </c>
    </row>
    <row r="2305" ht="17.25" spans="1:6">
      <c r="A2305" s="23">
        <v>2304</v>
      </c>
      <c r="B2305" s="22" t="s">
        <v>2661</v>
      </c>
      <c r="C2305" s="22" t="s">
        <v>1060</v>
      </c>
      <c r="D2305" s="22" t="s">
        <v>1061</v>
      </c>
      <c r="E2305" s="22" t="s">
        <v>1700</v>
      </c>
      <c r="F2305" s="22" t="s">
        <v>12</v>
      </c>
    </row>
    <row r="2306" ht="17.25" spans="1:6">
      <c r="A2306" s="22">
        <v>2305</v>
      </c>
      <c r="B2306" s="23" t="s">
        <v>2662</v>
      </c>
      <c r="C2306" s="23" t="s">
        <v>1060</v>
      </c>
      <c r="D2306" s="23" t="s">
        <v>1061</v>
      </c>
      <c r="E2306" s="23" t="s">
        <v>1700</v>
      </c>
      <c r="F2306" s="23" t="s">
        <v>12</v>
      </c>
    </row>
    <row r="2307" ht="17.25" spans="1:6">
      <c r="A2307" s="23">
        <v>2306</v>
      </c>
      <c r="B2307" s="22" t="s">
        <v>2663</v>
      </c>
      <c r="C2307" s="22" t="s">
        <v>1060</v>
      </c>
      <c r="D2307" s="22" t="s">
        <v>1061</v>
      </c>
      <c r="E2307" s="22" t="s">
        <v>1700</v>
      </c>
      <c r="F2307" s="22" t="s">
        <v>12</v>
      </c>
    </row>
    <row r="2308" ht="17.25" spans="1:6">
      <c r="A2308" s="22">
        <v>2307</v>
      </c>
      <c r="B2308" s="23" t="s">
        <v>2664</v>
      </c>
      <c r="C2308" s="23" t="s">
        <v>1060</v>
      </c>
      <c r="D2308" s="23" t="s">
        <v>1061</v>
      </c>
      <c r="E2308" s="23" t="s">
        <v>1700</v>
      </c>
      <c r="F2308" s="23" t="s">
        <v>12</v>
      </c>
    </row>
    <row r="2309" ht="17.25" spans="1:6">
      <c r="A2309" s="23">
        <v>2308</v>
      </c>
      <c r="B2309" s="22" t="s">
        <v>2665</v>
      </c>
      <c r="C2309" s="22" t="s">
        <v>1060</v>
      </c>
      <c r="D2309" s="22" t="s">
        <v>2666</v>
      </c>
      <c r="E2309" s="22" t="s">
        <v>1700</v>
      </c>
      <c r="F2309" s="22" t="s">
        <v>12</v>
      </c>
    </row>
    <row r="2310" ht="17.25" spans="1:6">
      <c r="A2310" s="22">
        <v>2309</v>
      </c>
      <c r="B2310" s="23" t="s">
        <v>2667</v>
      </c>
      <c r="C2310" s="23" t="s">
        <v>1060</v>
      </c>
      <c r="D2310" s="23" t="s">
        <v>1084</v>
      </c>
      <c r="E2310" s="23" t="s">
        <v>1700</v>
      </c>
      <c r="F2310" s="23" t="s">
        <v>12</v>
      </c>
    </row>
    <row r="2311" ht="17.25" spans="1:6">
      <c r="A2311" s="23">
        <v>2310</v>
      </c>
      <c r="B2311" s="22" t="s">
        <v>2668</v>
      </c>
      <c r="C2311" s="22" t="s">
        <v>1060</v>
      </c>
      <c r="D2311" s="22" t="s">
        <v>1073</v>
      </c>
      <c r="E2311" s="22" t="s">
        <v>1700</v>
      </c>
      <c r="F2311" s="22" t="s">
        <v>12</v>
      </c>
    </row>
    <row r="2312" ht="17.25" spans="1:6">
      <c r="A2312" s="22">
        <v>2311</v>
      </c>
      <c r="B2312" s="23" t="s">
        <v>2669</v>
      </c>
      <c r="C2312" s="23" t="s">
        <v>1060</v>
      </c>
      <c r="D2312" s="23" t="s">
        <v>1061</v>
      </c>
      <c r="E2312" s="23" t="s">
        <v>1700</v>
      </c>
      <c r="F2312" s="23" t="s">
        <v>12</v>
      </c>
    </row>
    <row r="2313" ht="17.25" spans="1:6">
      <c r="A2313" s="23">
        <v>2312</v>
      </c>
      <c r="B2313" s="22" t="s">
        <v>2670</v>
      </c>
      <c r="C2313" s="22" t="s">
        <v>1060</v>
      </c>
      <c r="D2313" s="22" t="s">
        <v>1061</v>
      </c>
      <c r="E2313" s="22" t="s">
        <v>1700</v>
      </c>
      <c r="F2313" s="22" t="s">
        <v>12</v>
      </c>
    </row>
    <row r="2314" ht="17.25" spans="1:6">
      <c r="A2314" s="22">
        <v>2313</v>
      </c>
      <c r="B2314" s="23" t="s">
        <v>2671</v>
      </c>
      <c r="C2314" s="23" t="s">
        <v>1060</v>
      </c>
      <c r="D2314" s="23" t="s">
        <v>1061</v>
      </c>
      <c r="E2314" s="23" t="s">
        <v>1700</v>
      </c>
      <c r="F2314" s="23" t="s">
        <v>12</v>
      </c>
    </row>
    <row r="2315" ht="17.25" spans="1:6">
      <c r="A2315" s="23">
        <v>2314</v>
      </c>
      <c r="B2315" s="22" t="s">
        <v>2672</v>
      </c>
      <c r="C2315" s="22" t="s">
        <v>1060</v>
      </c>
      <c r="D2315" s="22" t="s">
        <v>1086</v>
      </c>
      <c r="E2315" s="22" t="s">
        <v>1700</v>
      </c>
      <c r="F2315" s="22" t="s">
        <v>12</v>
      </c>
    </row>
    <row r="2316" ht="17.25" spans="1:6">
      <c r="A2316" s="22">
        <v>2315</v>
      </c>
      <c r="B2316" s="23" t="s">
        <v>2673</v>
      </c>
      <c r="C2316" s="23" t="s">
        <v>1060</v>
      </c>
      <c r="D2316" s="23" t="s">
        <v>1077</v>
      </c>
      <c r="E2316" s="23" t="s">
        <v>1700</v>
      </c>
      <c r="F2316" s="23" t="s">
        <v>12</v>
      </c>
    </row>
    <row r="2317" ht="17.25" spans="1:6">
      <c r="A2317" s="23">
        <v>2316</v>
      </c>
      <c r="B2317" s="22" t="s">
        <v>2674</v>
      </c>
      <c r="C2317" s="22" t="s">
        <v>1060</v>
      </c>
      <c r="D2317" s="22" t="s">
        <v>1079</v>
      </c>
      <c r="E2317" s="22" t="s">
        <v>1700</v>
      </c>
      <c r="F2317" s="22" t="s">
        <v>12</v>
      </c>
    </row>
    <row r="2318" ht="17.25" spans="1:6">
      <c r="A2318" s="22">
        <v>2317</v>
      </c>
      <c r="B2318" s="23" t="s">
        <v>2675</v>
      </c>
      <c r="C2318" s="23" t="s">
        <v>1060</v>
      </c>
      <c r="D2318" s="23" t="s">
        <v>1099</v>
      </c>
      <c r="E2318" s="23" t="s">
        <v>1700</v>
      </c>
      <c r="F2318" s="23" t="s">
        <v>12</v>
      </c>
    </row>
    <row r="2319" ht="17.25" spans="1:6">
      <c r="A2319" s="23">
        <v>2318</v>
      </c>
      <c r="B2319" s="22" t="s">
        <v>2676</v>
      </c>
      <c r="C2319" s="22" t="s">
        <v>1060</v>
      </c>
      <c r="D2319" s="22" t="s">
        <v>1086</v>
      </c>
      <c r="E2319" s="22" t="s">
        <v>1700</v>
      </c>
      <c r="F2319" s="22" t="s">
        <v>12</v>
      </c>
    </row>
    <row r="2320" ht="17.25" spans="1:6">
      <c r="A2320" s="22">
        <v>2319</v>
      </c>
      <c r="B2320" s="23" t="s">
        <v>2677</v>
      </c>
      <c r="C2320" s="23" t="s">
        <v>1060</v>
      </c>
      <c r="D2320" s="23" t="s">
        <v>1061</v>
      </c>
      <c r="E2320" s="23" t="s">
        <v>1700</v>
      </c>
      <c r="F2320" s="23" t="s">
        <v>12</v>
      </c>
    </row>
    <row r="2321" ht="17.25" spans="1:6">
      <c r="A2321" s="23">
        <v>2320</v>
      </c>
      <c r="B2321" s="22" t="s">
        <v>2678</v>
      </c>
      <c r="C2321" s="22" t="s">
        <v>1060</v>
      </c>
      <c r="D2321" s="22" t="s">
        <v>1079</v>
      </c>
      <c r="E2321" s="22" t="s">
        <v>1700</v>
      </c>
      <c r="F2321" s="22" t="s">
        <v>12</v>
      </c>
    </row>
    <row r="2322" ht="17.25" spans="1:6">
      <c r="A2322" s="22">
        <v>2321</v>
      </c>
      <c r="B2322" s="23" t="s">
        <v>2679</v>
      </c>
      <c r="C2322" s="23" t="s">
        <v>1060</v>
      </c>
      <c r="D2322" s="23" t="s">
        <v>1067</v>
      </c>
      <c r="E2322" s="23" t="s">
        <v>1700</v>
      </c>
      <c r="F2322" s="23" t="s">
        <v>12</v>
      </c>
    </row>
    <row r="2323" ht="17.25" spans="1:6">
      <c r="A2323" s="23">
        <v>2322</v>
      </c>
      <c r="B2323" s="22" t="s">
        <v>2680</v>
      </c>
      <c r="C2323" s="22" t="s">
        <v>1060</v>
      </c>
      <c r="D2323" s="22" t="s">
        <v>1061</v>
      </c>
      <c r="E2323" s="22" t="s">
        <v>1700</v>
      </c>
      <c r="F2323" s="22" t="s">
        <v>12</v>
      </c>
    </row>
    <row r="2324" ht="17.25" spans="1:6">
      <c r="A2324" s="22">
        <v>2323</v>
      </c>
      <c r="B2324" s="23" t="s">
        <v>2681</v>
      </c>
      <c r="C2324" s="23" t="s">
        <v>1060</v>
      </c>
      <c r="D2324" s="23" t="s">
        <v>1061</v>
      </c>
      <c r="E2324" s="23" t="s">
        <v>1700</v>
      </c>
      <c r="F2324" s="23" t="s">
        <v>12</v>
      </c>
    </row>
    <row r="2325" ht="17.25" spans="1:6">
      <c r="A2325" s="23">
        <v>2324</v>
      </c>
      <c r="B2325" s="22" t="s">
        <v>2682</v>
      </c>
      <c r="C2325" s="22" t="s">
        <v>1060</v>
      </c>
      <c r="D2325" s="22" t="s">
        <v>1061</v>
      </c>
      <c r="E2325" s="22" t="s">
        <v>1700</v>
      </c>
      <c r="F2325" s="22" t="s">
        <v>12</v>
      </c>
    </row>
    <row r="2326" ht="17.25" spans="1:6">
      <c r="A2326" s="22">
        <v>2325</v>
      </c>
      <c r="B2326" s="23" t="s">
        <v>2683</v>
      </c>
      <c r="C2326" s="23" t="s">
        <v>1060</v>
      </c>
      <c r="D2326" s="23" t="s">
        <v>1071</v>
      </c>
      <c r="E2326" s="23" t="s">
        <v>1700</v>
      </c>
      <c r="F2326" s="23" t="s">
        <v>12</v>
      </c>
    </row>
    <row r="2327" ht="17.25" spans="1:6">
      <c r="A2327" s="23">
        <v>2326</v>
      </c>
      <c r="B2327" s="22" t="s">
        <v>2684</v>
      </c>
      <c r="C2327" s="22" t="s">
        <v>1060</v>
      </c>
      <c r="D2327" s="22" t="s">
        <v>1067</v>
      </c>
      <c r="E2327" s="22" t="s">
        <v>1700</v>
      </c>
      <c r="F2327" s="22" t="s">
        <v>12</v>
      </c>
    </row>
    <row r="2328" ht="17.25" spans="1:6">
      <c r="A2328" s="22">
        <v>2327</v>
      </c>
      <c r="B2328" s="23" t="s">
        <v>2685</v>
      </c>
      <c r="C2328" s="23" t="s">
        <v>1060</v>
      </c>
      <c r="D2328" s="23" t="s">
        <v>1061</v>
      </c>
      <c r="E2328" s="23" t="s">
        <v>1700</v>
      </c>
      <c r="F2328" s="23" t="s">
        <v>12</v>
      </c>
    </row>
    <row r="2329" ht="17.25" spans="1:6">
      <c r="A2329" s="23">
        <v>2328</v>
      </c>
      <c r="B2329" s="22" t="s">
        <v>2686</v>
      </c>
      <c r="C2329" s="22" t="s">
        <v>1060</v>
      </c>
      <c r="D2329" s="22" t="s">
        <v>1061</v>
      </c>
      <c r="E2329" s="22" t="s">
        <v>1700</v>
      </c>
      <c r="F2329" s="22" t="s">
        <v>12</v>
      </c>
    </row>
    <row r="2330" ht="17.25" spans="1:6">
      <c r="A2330" s="22">
        <v>2329</v>
      </c>
      <c r="B2330" s="23" t="s">
        <v>2687</v>
      </c>
      <c r="C2330" s="23" t="s">
        <v>1060</v>
      </c>
      <c r="D2330" s="23" t="s">
        <v>1061</v>
      </c>
      <c r="E2330" s="23" t="s">
        <v>1700</v>
      </c>
      <c r="F2330" s="23" t="s">
        <v>12</v>
      </c>
    </row>
    <row r="2331" ht="17.25" spans="1:6">
      <c r="A2331" s="23">
        <v>2330</v>
      </c>
      <c r="B2331" s="22" t="s">
        <v>2688</v>
      </c>
      <c r="C2331" s="22" t="s">
        <v>1060</v>
      </c>
      <c r="D2331" s="22" t="s">
        <v>1061</v>
      </c>
      <c r="E2331" s="22" t="s">
        <v>1700</v>
      </c>
      <c r="F2331" s="22" t="s">
        <v>12</v>
      </c>
    </row>
    <row r="2332" ht="17.25" spans="1:6">
      <c r="A2332" s="22">
        <v>2331</v>
      </c>
      <c r="B2332" s="23" t="s">
        <v>2689</v>
      </c>
      <c r="C2332" s="23" t="s">
        <v>1060</v>
      </c>
      <c r="D2332" s="23" t="s">
        <v>1061</v>
      </c>
      <c r="E2332" s="23" t="s">
        <v>1700</v>
      </c>
      <c r="F2332" s="23" t="s">
        <v>12</v>
      </c>
    </row>
    <row r="2333" ht="17.25" spans="1:6">
      <c r="A2333" s="23">
        <v>2332</v>
      </c>
      <c r="B2333" s="22" t="s">
        <v>2690</v>
      </c>
      <c r="C2333" s="22" t="s">
        <v>1060</v>
      </c>
      <c r="D2333" s="22" t="s">
        <v>1061</v>
      </c>
      <c r="E2333" s="22" t="s">
        <v>1700</v>
      </c>
      <c r="F2333" s="22" t="s">
        <v>12</v>
      </c>
    </row>
    <row r="2334" ht="17.25" spans="1:6">
      <c r="A2334" s="22">
        <v>2333</v>
      </c>
      <c r="B2334" s="23" t="s">
        <v>2691</v>
      </c>
      <c r="C2334" s="23" t="s">
        <v>1060</v>
      </c>
      <c r="D2334" s="23" t="s">
        <v>1073</v>
      </c>
      <c r="E2334" s="23" t="s">
        <v>1700</v>
      </c>
      <c r="F2334" s="23" t="s">
        <v>12</v>
      </c>
    </row>
    <row r="2335" ht="17.25" spans="1:6">
      <c r="A2335" s="23">
        <v>2334</v>
      </c>
      <c r="B2335" s="22" t="s">
        <v>2692</v>
      </c>
      <c r="C2335" s="22" t="s">
        <v>1060</v>
      </c>
      <c r="D2335" s="22" t="s">
        <v>1079</v>
      </c>
      <c r="E2335" s="22" t="s">
        <v>1700</v>
      </c>
      <c r="F2335" s="22" t="s">
        <v>12</v>
      </c>
    </row>
    <row r="2336" ht="17.25" spans="1:6">
      <c r="A2336" s="22">
        <v>2335</v>
      </c>
      <c r="B2336" s="23" t="s">
        <v>2693</v>
      </c>
      <c r="C2336" s="23" t="s">
        <v>1101</v>
      </c>
      <c r="D2336" s="23" t="s">
        <v>1104</v>
      </c>
      <c r="E2336" s="23" t="s">
        <v>1700</v>
      </c>
      <c r="F2336" s="23" t="s">
        <v>12</v>
      </c>
    </row>
    <row r="2337" ht="17.25" spans="1:6">
      <c r="A2337" s="23">
        <v>2336</v>
      </c>
      <c r="B2337" s="22" t="s">
        <v>2694</v>
      </c>
      <c r="C2337" s="22" t="s">
        <v>1101</v>
      </c>
      <c r="D2337" s="22" t="s">
        <v>1104</v>
      </c>
      <c r="E2337" s="22" t="s">
        <v>1700</v>
      </c>
      <c r="F2337" s="22" t="s">
        <v>12</v>
      </c>
    </row>
    <row r="2338" ht="17.25" spans="1:6">
      <c r="A2338" s="22">
        <v>2337</v>
      </c>
      <c r="B2338" s="23" t="s">
        <v>2695</v>
      </c>
      <c r="C2338" s="23" t="s">
        <v>1106</v>
      </c>
      <c r="D2338" s="23" t="s">
        <v>1111</v>
      </c>
      <c r="E2338" s="23" t="s">
        <v>1700</v>
      </c>
      <c r="F2338" s="23" t="s">
        <v>12</v>
      </c>
    </row>
    <row r="2339" ht="17.25" spans="1:6">
      <c r="A2339" s="23">
        <v>2338</v>
      </c>
      <c r="B2339" s="22" t="s">
        <v>2696</v>
      </c>
      <c r="C2339" s="22" t="s">
        <v>1106</v>
      </c>
      <c r="D2339" s="22" t="s">
        <v>1107</v>
      </c>
      <c r="E2339" s="22" t="s">
        <v>1700</v>
      </c>
      <c r="F2339" s="22" t="s">
        <v>12</v>
      </c>
    </row>
    <row r="2340" ht="17.25" spans="1:6">
      <c r="A2340" s="22">
        <v>2339</v>
      </c>
      <c r="B2340" s="23" t="s">
        <v>2697</v>
      </c>
      <c r="C2340" s="23" t="s">
        <v>1106</v>
      </c>
      <c r="D2340" s="23" t="s">
        <v>1111</v>
      </c>
      <c r="E2340" s="23" t="s">
        <v>1700</v>
      </c>
      <c r="F2340" s="23" t="s">
        <v>12</v>
      </c>
    </row>
    <row r="2341" ht="17.25" spans="1:6">
      <c r="A2341" s="23">
        <v>2340</v>
      </c>
      <c r="B2341" s="22" t="s">
        <v>2698</v>
      </c>
      <c r="C2341" s="22" t="s">
        <v>1106</v>
      </c>
      <c r="D2341" s="22" t="s">
        <v>1111</v>
      </c>
      <c r="E2341" s="22" t="s">
        <v>1700</v>
      </c>
      <c r="F2341" s="22" t="s">
        <v>12</v>
      </c>
    </row>
    <row r="2342" ht="17.25" spans="1:6">
      <c r="A2342" s="22">
        <v>2341</v>
      </c>
      <c r="B2342" s="23" t="s">
        <v>2699</v>
      </c>
      <c r="C2342" s="23" t="s">
        <v>1106</v>
      </c>
      <c r="D2342" s="23" t="s">
        <v>1107</v>
      </c>
      <c r="E2342" s="23" t="s">
        <v>1700</v>
      </c>
      <c r="F2342" s="23" t="s">
        <v>12</v>
      </c>
    </row>
    <row r="2343" ht="17.25" spans="1:6">
      <c r="A2343" s="23">
        <v>2342</v>
      </c>
      <c r="B2343" s="22" t="s">
        <v>2700</v>
      </c>
      <c r="C2343" s="22" t="s">
        <v>1106</v>
      </c>
      <c r="D2343" s="22" t="s">
        <v>1111</v>
      </c>
      <c r="E2343" s="22" t="s">
        <v>1700</v>
      </c>
      <c r="F2343" s="22" t="s">
        <v>12</v>
      </c>
    </row>
    <row r="2344" ht="17.25" spans="1:6">
      <c r="A2344" s="22">
        <v>2343</v>
      </c>
      <c r="B2344" s="23" t="s">
        <v>2701</v>
      </c>
      <c r="C2344" s="23" t="s">
        <v>1106</v>
      </c>
      <c r="D2344" s="23" t="s">
        <v>1111</v>
      </c>
      <c r="E2344" s="23" t="s">
        <v>1700</v>
      </c>
      <c r="F2344" s="23" t="s">
        <v>12</v>
      </c>
    </row>
    <row r="2345" ht="17.25" spans="1:6">
      <c r="A2345" s="23">
        <v>2344</v>
      </c>
      <c r="B2345" s="22" t="s">
        <v>2702</v>
      </c>
      <c r="C2345" s="22" t="s">
        <v>1106</v>
      </c>
      <c r="D2345" s="22" t="s">
        <v>1134</v>
      </c>
      <c r="E2345" s="22" t="s">
        <v>1700</v>
      </c>
      <c r="F2345" s="22" t="s">
        <v>12</v>
      </c>
    </row>
    <row r="2346" ht="17.25" spans="1:6">
      <c r="A2346" s="22">
        <v>2345</v>
      </c>
      <c r="B2346" s="23" t="s">
        <v>2703</v>
      </c>
      <c r="C2346" s="23" t="s">
        <v>1106</v>
      </c>
      <c r="D2346" s="23" t="s">
        <v>1131</v>
      </c>
      <c r="E2346" s="23" t="s">
        <v>1700</v>
      </c>
      <c r="F2346" s="23" t="s">
        <v>12</v>
      </c>
    </row>
    <row r="2347" ht="17.25" spans="1:6">
      <c r="A2347" s="23">
        <v>2346</v>
      </c>
      <c r="B2347" s="22" t="s">
        <v>2704</v>
      </c>
      <c r="C2347" s="22" t="s">
        <v>1106</v>
      </c>
      <c r="D2347" s="22" t="s">
        <v>1129</v>
      </c>
      <c r="E2347" s="22" t="s">
        <v>1700</v>
      </c>
      <c r="F2347" s="22" t="s">
        <v>12</v>
      </c>
    </row>
    <row r="2348" ht="17.25" spans="1:6">
      <c r="A2348" s="22">
        <v>2347</v>
      </c>
      <c r="B2348" s="23" t="s">
        <v>2705</v>
      </c>
      <c r="C2348" s="23" t="s">
        <v>1106</v>
      </c>
      <c r="D2348" s="23" t="s">
        <v>1107</v>
      </c>
      <c r="E2348" s="23" t="s">
        <v>1700</v>
      </c>
      <c r="F2348" s="23" t="s">
        <v>12</v>
      </c>
    </row>
    <row r="2349" ht="17.25" spans="1:6">
      <c r="A2349" s="23">
        <v>2348</v>
      </c>
      <c r="B2349" s="22" t="s">
        <v>2706</v>
      </c>
      <c r="C2349" s="22" t="s">
        <v>1106</v>
      </c>
      <c r="D2349" s="22" t="s">
        <v>1111</v>
      </c>
      <c r="E2349" s="22" t="s">
        <v>1700</v>
      </c>
      <c r="F2349" s="22" t="s">
        <v>12</v>
      </c>
    </row>
    <row r="2350" ht="17.25" spans="1:6">
      <c r="A2350" s="22">
        <v>2349</v>
      </c>
      <c r="B2350" s="23" t="s">
        <v>2707</v>
      </c>
      <c r="C2350" s="23" t="s">
        <v>1106</v>
      </c>
      <c r="D2350" s="23" t="s">
        <v>1111</v>
      </c>
      <c r="E2350" s="23" t="s">
        <v>1700</v>
      </c>
      <c r="F2350" s="23" t="s">
        <v>12</v>
      </c>
    </row>
    <row r="2351" ht="17.25" spans="1:6">
      <c r="A2351" s="23">
        <v>2350</v>
      </c>
      <c r="B2351" s="22" t="s">
        <v>2708</v>
      </c>
      <c r="C2351" s="22" t="s">
        <v>1106</v>
      </c>
      <c r="D2351" s="22" t="s">
        <v>1107</v>
      </c>
      <c r="E2351" s="22" t="s">
        <v>1700</v>
      </c>
      <c r="F2351" s="22" t="s">
        <v>12</v>
      </c>
    </row>
    <row r="2352" ht="17.25" spans="1:6">
      <c r="A2352" s="22">
        <v>2351</v>
      </c>
      <c r="B2352" s="23" t="s">
        <v>2709</v>
      </c>
      <c r="C2352" s="23" t="s">
        <v>1106</v>
      </c>
      <c r="D2352" s="23" t="s">
        <v>1111</v>
      </c>
      <c r="E2352" s="23" t="s">
        <v>1700</v>
      </c>
      <c r="F2352" s="23" t="s">
        <v>12</v>
      </c>
    </row>
    <row r="2353" ht="17.25" spans="1:6">
      <c r="A2353" s="23">
        <v>2352</v>
      </c>
      <c r="B2353" s="22" t="s">
        <v>2710</v>
      </c>
      <c r="C2353" s="22" t="s">
        <v>1106</v>
      </c>
      <c r="D2353" s="22" t="s">
        <v>1144</v>
      </c>
      <c r="E2353" s="22" t="s">
        <v>1700</v>
      </c>
      <c r="F2353" s="22" t="s">
        <v>12</v>
      </c>
    </row>
    <row r="2354" ht="17.25" spans="1:6">
      <c r="A2354" s="22">
        <v>2353</v>
      </c>
      <c r="B2354" s="23" t="s">
        <v>2711</v>
      </c>
      <c r="C2354" s="23" t="s">
        <v>1106</v>
      </c>
      <c r="D2354" s="23" t="s">
        <v>1129</v>
      </c>
      <c r="E2354" s="23" t="s">
        <v>1700</v>
      </c>
      <c r="F2354" s="23" t="s">
        <v>12</v>
      </c>
    </row>
    <row r="2355" ht="17.25" spans="1:6">
      <c r="A2355" s="23">
        <v>2354</v>
      </c>
      <c r="B2355" s="22" t="s">
        <v>2712</v>
      </c>
      <c r="C2355" s="22" t="s">
        <v>1106</v>
      </c>
      <c r="D2355" s="22" t="s">
        <v>1127</v>
      </c>
      <c r="E2355" s="22" t="s">
        <v>1700</v>
      </c>
      <c r="F2355" s="22" t="s">
        <v>12</v>
      </c>
    </row>
    <row r="2356" ht="17.25" spans="1:6">
      <c r="A2356" s="22">
        <v>2355</v>
      </c>
      <c r="B2356" s="23" t="s">
        <v>2713</v>
      </c>
      <c r="C2356" s="23" t="s">
        <v>1106</v>
      </c>
      <c r="D2356" s="23" t="s">
        <v>1134</v>
      </c>
      <c r="E2356" s="23" t="s">
        <v>1700</v>
      </c>
      <c r="F2356" s="23" t="s">
        <v>12</v>
      </c>
    </row>
    <row r="2357" ht="17.25" spans="1:6">
      <c r="A2357" s="23">
        <v>2356</v>
      </c>
      <c r="B2357" s="22" t="s">
        <v>2714</v>
      </c>
      <c r="C2357" s="22" t="s">
        <v>1106</v>
      </c>
      <c r="D2357" s="22" t="s">
        <v>1146</v>
      </c>
      <c r="E2357" s="22" t="s">
        <v>1700</v>
      </c>
      <c r="F2357" s="22" t="s">
        <v>12</v>
      </c>
    </row>
    <row r="2358" ht="17.25" spans="1:6">
      <c r="A2358" s="22">
        <v>2357</v>
      </c>
      <c r="B2358" s="23" t="s">
        <v>2715</v>
      </c>
      <c r="C2358" s="23" t="s">
        <v>1106</v>
      </c>
      <c r="D2358" s="23" t="s">
        <v>2716</v>
      </c>
      <c r="E2358" s="23" t="s">
        <v>1700</v>
      </c>
      <c r="F2358" s="23" t="s">
        <v>12</v>
      </c>
    </row>
    <row r="2359" ht="17.25" spans="1:6">
      <c r="A2359" s="23">
        <v>2358</v>
      </c>
      <c r="B2359" s="22" t="s">
        <v>2717</v>
      </c>
      <c r="C2359" s="22" t="s">
        <v>1106</v>
      </c>
      <c r="D2359" s="22" t="s">
        <v>1111</v>
      </c>
      <c r="E2359" s="22" t="s">
        <v>1700</v>
      </c>
      <c r="F2359" s="22" t="s">
        <v>12</v>
      </c>
    </row>
    <row r="2360" ht="17.25" spans="1:6">
      <c r="A2360" s="22">
        <v>2359</v>
      </c>
      <c r="B2360" s="23" t="s">
        <v>2718</v>
      </c>
      <c r="C2360" s="23" t="s">
        <v>1106</v>
      </c>
      <c r="D2360" s="23" t="s">
        <v>1111</v>
      </c>
      <c r="E2360" s="23" t="s">
        <v>1700</v>
      </c>
      <c r="F2360" s="23" t="s">
        <v>12</v>
      </c>
    </row>
    <row r="2361" ht="17.25" spans="1:6">
      <c r="A2361" s="23">
        <v>2360</v>
      </c>
      <c r="B2361" s="22" t="s">
        <v>2719</v>
      </c>
      <c r="C2361" s="22" t="s">
        <v>1106</v>
      </c>
      <c r="D2361" s="22" t="s">
        <v>1142</v>
      </c>
      <c r="E2361" s="22" t="s">
        <v>1700</v>
      </c>
      <c r="F2361" s="22" t="s">
        <v>12</v>
      </c>
    </row>
    <row r="2362" ht="17.25" spans="1:6">
      <c r="A2362" s="22">
        <v>2361</v>
      </c>
      <c r="B2362" s="23" t="s">
        <v>2720</v>
      </c>
      <c r="C2362" s="23" t="s">
        <v>1106</v>
      </c>
      <c r="D2362" s="23" t="s">
        <v>1111</v>
      </c>
      <c r="E2362" s="23" t="s">
        <v>1700</v>
      </c>
      <c r="F2362" s="23" t="s">
        <v>12</v>
      </c>
    </row>
    <row r="2363" ht="17.25" spans="1:6">
      <c r="A2363" s="23">
        <v>2362</v>
      </c>
      <c r="B2363" s="22" t="s">
        <v>2721</v>
      </c>
      <c r="C2363" s="22" t="s">
        <v>1106</v>
      </c>
      <c r="D2363" s="22" t="s">
        <v>1142</v>
      </c>
      <c r="E2363" s="22" t="s">
        <v>1700</v>
      </c>
      <c r="F2363" s="22" t="s">
        <v>12</v>
      </c>
    </row>
    <row r="2364" ht="17.25" spans="1:6">
      <c r="A2364" s="22">
        <v>2363</v>
      </c>
      <c r="B2364" s="23" t="s">
        <v>2722</v>
      </c>
      <c r="C2364" s="23" t="s">
        <v>1106</v>
      </c>
      <c r="D2364" s="23" t="s">
        <v>1131</v>
      </c>
      <c r="E2364" s="23" t="s">
        <v>1700</v>
      </c>
      <c r="F2364" s="23" t="s">
        <v>12</v>
      </c>
    </row>
    <row r="2365" ht="17.25" spans="1:6">
      <c r="A2365" s="23">
        <v>2364</v>
      </c>
      <c r="B2365" s="22" t="s">
        <v>2723</v>
      </c>
      <c r="C2365" s="22" t="s">
        <v>1156</v>
      </c>
      <c r="D2365" s="22" t="s">
        <v>2724</v>
      </c>
      <c r="E2365" s="22" t="s">
        <v>1700</v>
      </c>
      <c r="F2365" s="22" t="s">
        <v>12</v>
      </c>
    </row>
    <row r="2366" ht="17.25" spans="1:6">
      <c r="A2366" s="22">
        <v>2365</v>
      </c>
      <c r="B2366" s="23" t="s">
        <v>2725</v>
      </c>
      <c r="C2366" s="23" t="s">
        <v>1156</v>
      </c>
      <c r="D2366" s="23" t="s">
        <v>1157</v>
      </c>
      <c r="E2366" s="23" t="s">
        <v>1700</v>
      </c>
      <c r="F2366" s="23" t="s">
        <v>12</v>
      </c>
    </row>
    <row r="2367" ht="17.25" spans="1:6">
      <c r="A2367" s="23">
        <v>2366</v>
      </c>
      <c r="B2367" s="22" t="s">
        <v>2726</v>
      </c>
      <c r="C2367" s="22" t="s">
        <v>1156</v>
      </c>
      <c r="D2367" s="22" t="s">
        <v>1157</v>
      </c>
      <c r="E2367" s="22" t="s">
        <v>1700</v>
      </c>
      <c r="F2367" s="22" t="s">
        <v>12</v>
      </c>
    </row>
    <row r="2368" ht="17.25" spans="1:6">
      <c r="A2368" s="22">
        <v>2367</v>
      </c>
      <c r="B2368" s="23" t="s">
        <v>2727</v>
      </c>
      <c r="C2368" s="23" t="s">
        <v>1156</v>
      </c>
      <c r="D2368" s="23" t="s">
        <v>1157</v>
      </c>
      <c r="E2368" s="23" t="s">
        <v>1700</v>
      </c>
      <c r="F2368" s="23" t="s">
        <v>12</v>
      </c>
    </row>
    <row r="2369" ht="17.25" spans="1:6">
      <c r="A2369" s="23">
        <v>2368</v>
      </c>
      <c r="B2369" s="22" t="s">
        <v>2728</v>
      </c>
      <c r="C2369" s="22" t="s">
        <v>1156</v>
      </c>
      <c r="D2369" s="22" t="s">
        <v>1157</v>
      </c>
      <c r="E2369" s="22" t="s">
        <v>1700</v>
      </c>
      <c r="F2369" s="22" t="s">
        <v>12</v>
      </c>
    </row>
    <row r="2370" ht="17.25" spans="1:6">
      <c r="A2370" s="22">
        <v>2369</v>
      </c>
      <c r="B2370" s="23" t="s">
        <v>2729</v>
      </c>
      <c r="C2370" s="23" t="s">
        <v>1156</v>
      </c>
      <c r="D2370" s="23" t="s">
        <v>1189</v>
      </c>
      <c r="E2370" s="23" t="s">
        <v>1700</v>
      </c>
      <c r="F2370" s="23" t="s">
        <v>12</v>
      </c>
    </row>
    <row r="2371" ht="17.25" spans="1:6">
      <c r="A2371" s="23">
        <v>2370</v>
      </c>
      <c r="B2371" s="22" t="s">
        <v>2730</v>
      </c>
      <c r="C2371" s="22" t="s">
        <v>1156</v>
      </c>
      <c r="D2371" s="22" t="s">
        <v>2731</v>
      </c>
      <c r="E2371" s="22" t="s">
        <v>1700</v>
      </c>
      <c r="F2371" s="22" t="s">
        <v>12</v>
      </c>
    </row>
    <row r="2372" ht="17.25" spans="1:6">
      <c r="A2372" s="22">
        <v>2371</v>
      </c>
      <c r="B2372" s="23" t="s">
        <v>2732</v>
      </c>
      <c r="C2372" s="23" t="s">
        <v>1156</v>
      </c>
      <c r="D2372" s="23" t="s">
        <v>2733</v>
      </c>
      <c r="E2372" s="23" t="s">
        <v>1700</v>
      </c>
      <c r="F2372" s="23" t="s">
        <v>12</v>
      </c>
    </row>
    <row r="2373" ht="17.25" spans="1:6">
      <c r="A2373" s="23">
        <v>2372</v>
      </c>
      <c r="B2373" s="22" t="s">
        <v>2734</v>
      </c>
      <c r="C2373" s="22" t="s">
        <v>1156</v>
      </c>
      <c r="D2373" s="22" t="s">
        <v>2735</v>
      </c>
      <c r="E2373" s="22" t="s">
        <v>1700</v>
      </c>
      <c r="F2373" s="22" t="s">
        <v>12</v>
      </c>
    </row>
    <row r="2374" ht="17.25" spans="1:6">
      <c r="A2374" s="22">
        <v>2373</v>
      </c>
      <c r="B2374" s="23" t="s">
        <v>2736</v>
      </c>
      <c r="C2374" s="23" t="s">
        <v>1156</v>
      </c>
      <c r="D2374" s="23" t="s">
        <v>1157</v>
      </c>
      <c r="E2374" s="23" t="s">
        <v>1700</v>
      </c>
      <c r="F2374" s="23" t="s">
        <v>12</v>
      </c>
    </row>
    <row r="2375" ht="17.25" spans="1:6">
      <c r="A2375" s="23">
        <v>2374</v>
      </c>
      <c r="B2375" s="22" t="s">
        <v>2737</v>
      </c>
      <c r="C2375" s="22" t="s">
        <v>1156</v>
      </c>
      <c r="D2375" s="22" t="s">
        <v>1165</v>
      </c>
      <c r="E2375" s="22" t="s">
        <v>1700</v>
      </c>
      <c r="F2375" s="22" t="s">
        <v>12</v>
      </c>
    </row>
    <row r="2376" ht="17.25" spans="1:6">
      <c r="A2376" s="22">
        <v>2375</v>
      </c>
      <c r="B2376" s="23" t="s">
        <v>2738</v>
      </c>
      <c r="C2376" s="23" t="s">
        <v>1156</v>
      </c>
      <c r="D2376" s="23" t="s">
        <v>2739</v>
      </c>
      <c r="E2376" s="23" t="s">
        <v>1700</v>
      </c>
      <c r="F2376" s="23" t="s">
        <v>12</v>
      </c>
    </row>
    <row r="2377" ht="17.25" spans="1:6">
      <c r="A2377" s="23">
        <v>2376</v>
      </c>
      <c r="B2377" s="22" t="s">
        <v>2740</v>
      </c>
      <c r="C2377" s="22" t="s">
        <v>1156</v>
      </c>
      <c r="D2377" s="22" t="s">
        <v>1157</v>
      </c>
      <c r="E2377" s="22" t="s">
        <v>1700</v>
      </c>
      <c r="F2377" s="22" t="s">
        <v>12</v>
      </c>
    </row>
    <row r="2378" ht="17.25" spans="1:6">
      <c r="A2378" s="22">
        <v>2377</v>
      </c>
      <c r="B2378" s="23" t="s">
        <v>2741</v>
      </c>
      <c r="C2378" s="23" t="s">
        <v>1156</v>
      </c>
      <c r="D2378" s="23" t="s">
        <v>1177</v>
      </c>
      <c r="E2378" s="23" t="s">
        <v>1700</v>
      </c>
      <c r="F2378" s="23" t="s">
        <v>12</v>
      </c>
    </row>
    <row r="2379" ht="17.25" spans="1:6">
      <c r="A2379" s="23">
        <v>2378</v>
      </c>
      <c r="B2379" s="22" t="s">
        <v>2742</v>
      </c>
      <c r="C2379" s="22" t="s">
        <v>1156</v>
      </c>
      <c r="D2379" s="22" t="s">
        <v>1169</v>
      </c>
      <c r="E2379" s="22" t="s">
        <v>1700</v>
      </c>
      <c r="F2379" s="22" t="s">
        <v>12</v>
      </c>
    </row>
    <row r="2380" ht="17.25" spans="1:6">
      <c r="A2380" s="22">
        <v>2379</v>
      </c>
      <c r="B2380" s="23" t="s">
        <v>2743</v>
      </c>
      <c r="C2380" s="23" t="s">
        <v>1156</v>
      </c>
      <c r="D2380" s="23" t="s">
        <v>1157</v>
      </c>
      <c r="E2380" s="23" t="s">
        <v>1700</v>
      </c>
      <c r="F2380" s="23" t="s">
        <v>12</v>
      </c>
    </row>
    <row r="2381" ht="17.25" spans="1:6">
      <c r="A2381" s="23">
        <v>2380</v>
      </c>
      <c r="B2381" s="22" t="s">
        <v>2744</v>
      </c>
      <c r="C2381" s="22" t="s">
        <v>1156</v>
      </c>
      <c r="D2381" s="22" t="s">
        <v>1157</v>
      </c>
      <c r="E2381" s="22" t="s">
        <v>1700</v>
      </c>
      <c r="F2381" s="22" t="s">
        <v>12</v>
      </c>
    </row>
    <row r="2382" ht="17.25" spans="1:6">
      <c r="A2382" s="22">
        <v>2381</v>
      </c>
      <c r="B2382" s="23" t="s">
        <v>2745</v>
      </c>
      <c r="C2382" s="23" t="s">
        <v>1191</v>
      </c>
      <c r="D2382" s="23" t="s">
        <v>1192</v>
      </c>
      <c r="E2382" s="23" t="s">
        <v>1700</v>
      </c>
      <c r="F2382" s="23" t="s">
        <v>12</v>
      </c>
    </row>
    <row r="2383" ht="17.25" spans="1:6">
      <c r="A2383" s="23">
        <v>2382</v>
      </c>
      <c r="B2383" s="22" t="s">
        <v>2746</v>
      </c>
      <c r="C2383" s="22" t="s">
        <v>1191</v>
      </c>
      <c r="D2383" s="22" t="s">
        <v>1192</v>
      </c>
      <c r="E2383" s="22" t="s">
        <v>1700</v>
      </c>
      <c r="F2383" s="22" t="s">
        <v>12</v>
      </c>
    </row>
    <row r="2384" ht="17.25" spans="1:6">
      <c r="A2384" s="22">
        <v>2383</v>
      </c>
      <c r="B2384" s="23" t="s">
        <v>2747</v>
      </c>
      <c r="C2384" s="23" t="s">
        <v>1191</v>
      </c>
      <c r="D2384" s="23" t="s">
        <v>1192</v>
      </c>
      <c r="E2384" s="23" t="s">
        <v>1700</v>
      </c>
      <c r="F2384" s="23" t="s">
        <v>12</v>
      </c>
    </row>
    <row r="2385" ht="17.25" spans="1:6">
      <c r="A2385" s="23">
        <v>2384</v>
      </c>
      <c r="B2385" s="22" t="s">
        <v>2748</v>
      </c>
      <c r="C2385" s="22" t="s">
        <v>1191</v>
      </c>
      <c r="D2385" s="22" t="s">
        <v>1192</v>
      </c>
      <c r="E2385" s="22" t="s">
        <v>1700</v>
      </c>
      <c r="F2385" s="22" t="s">
        <v>12</v>
      </c>
    </row>
    <row r="2386" ht="17.25" spans="1:6">
      <c r="A2386" s="22">
        <v>2385</v>
      </c>
      <c r="B2386" s="23" t="s">
        <v>2749</v>
      </c>
      <c r="C2386" s="23" t="s">
        <v>1191</v>
      </c>
      <c r="D2386" s="23" t="s">
        <v>1192</v>
      </c>
      <c r="E2386" s="23" t="s">
        <v>1700</v>
      </c>
      <c r="F2386" s="23" t="s">
        <v>12</v>
      </c>
    </row>
    <row r="2387" ht="17.25" spans="1:6">
      <c r="A2387" s="23">
        <v>2386</v>
      </c>
      <c r="B2387" s="22" t="s">
        <v>2750</v>
      </c>
      <c r="C2387" s="22" t="s">
        <v>1191</v>
      </c>
      <c r="D2387" s="22" t="s">
        <v>2751</v>
      </c>
      <c r="E2387" s="22" t="s">
        <v>1700</v>
      </c>
      <c r="F2387" s="22" t="s">
        <v>12</v>
      </c>
    </row>
    <row r="2388" ht="17.25" spans="1:6">
      <c r="A2388" s="22">
        <v>2387</v>
      </c>
      <c r="B2388" s="23" t="s">
        <v>2752</v>
      </c>
      <c r="C2388" s="23" t="s">
        <v>1191</v>
      </c>
      <c r="D2388" s="23" t="s">
        <v>2753</v>
      </c>
      <c r="E2388" s="23" t="s">
        <v>1700</v>
      </c>
      <c r="F2388" s="23" t="s">
        <v>12</v>
      </c>
    </row>
    <row r="2389" ht="17.25" spans="1:6">
      <c r="A2389" s="23">
        <v>2388</v>
      </c>
      <c r="B2389" s="22" t="s">
        <v>2754</v>
      </c>
      <c r="C2389" s="22" t="s">
        <v>1197</v>
      </c>
      <c r="D2389" s="22" t="s">
        <v>2755</v>
      </c>
      <c r="E2389" s="22" t="s">
        <v>1700</v>
      </c>
      <c r="F2389" s="22" t="s">
        <v>12</v>
      </c>
    </row>
    <row r="2390" ht="17.25" spans="1:6">
      <c r="A2390" s="22">
        <v>2389</v>
      </c>
      <c r="B2390" s="23" t="s">
        <v>2756</v>
      </c>
      <c r="C2390" s="23" t="s">
        <v>1197</v>
      </c>
      <c r="D2390" s="23" t="s">
        <v>1198</v>
      </c>
      <c r="E2390" s="23" t="s">
        <v>1700</v>
      </c>
      <c r="F2390" s="23" t="s">
        <v>12</v>
      </c>
    </row>
    <row r="2391" ht="17.25" spans="1:6">
      <c r="A2391" s="23">
        <v>2390</v>
      </c>
      <c r="B2391" s="22" t="s">
        <v>2757</v>
      </c>
      <c r="C2391" s="22" t="s">
        <v>1197</v>
      </c>
      <c r="D2391" s="22" t="s">
        <v>1198</v>
      </c>
      <c r="E2391" s="22" t="s">
        <v>1700</v>
      </c>
      <c r="F2391" s="22" t="s">
        <v>12</v>
      </c>
    </row>
    <row r="2392" ht="17.25" spans="1:6">
      <c r="A2392" s="22">
        <v>2391</v>
      </c>
      <c r="B2392" s="23" t="s">
        <v>2758</v>
      </c>
      <c r="C2392" s="23" t="s">
        <v>1197</v>
      </c>
      <c r="D2392" s="23" t="s">
        <v>1198</v>
      </c>
      <c r="E2392" s="23" t="s">
        <v>1700</v>
      </c>
      <c r="F2392" s="23" t="s">
        <v>12</v>
      </c>
    </row>
    <row r="2393" ht="17.25" spans="1:6">
      <c r="A2393" s="23">
        <v>2392</v>
      </c>
      <c r="B2393" s="22" t="s">
        <v>2759</v>
      </c>
      <c r="C2393" s="22" t="s">
        <v>1197</v>
      </c>
      <c r="D2393" s="22" t="s">
        <v>1198</v>
      </c>
      <c r="E2393" s="22" t="s">
        <v>1700</v>
      </c>
      <c r="F2393" s="22" t="s">
        <v>12</v>
      </c>
    </row>
    <row r="2394" ht="17.25" spans="1:6">
      <c r="A2394" s="22">
        <v>2393</v>
      </c>
      <c r="B2394" s="23" t="s">
        <v>2760</v>
      </c>
      <c r="C2394" s="23" t="s">
        <v>1197</v>
      </c>
      <c r="D2394" s="23" t="s">
        <v>1198</v>
      </c>
      <c r="E2394" s="23" t="s">
        <v>1700</v>
      </c>
      <c r="F2394" s="23" t="s">
        <v>12</v>
      </c>
    </row>
    <row r="2395" ht="17.25" spans="1:6">
      <c r="A2395" s="23">
        <v>2394</v>
      </c>
      <c r="B2395" s="22" t="s">
        <v>2761</v>
      </c>
      <c r="C2395" s="22" t="s">
        <v>1197</v>
      </c>
      <c r="D2395" s="22" t="s">
        <v>1198</v>
      </c>
      <c r="E2395" s="22" t="s">
        <v>1700</v>
      </c>
      <c r="F2395" s="22" t="s">
        <v>12</v>
      </c>
    </row>
    <row r="2396" ht="17.25" spans="1:6">
      <c r="A2396" s="22">
        <v>2395</v>
      </c>
      <c r="B2396" s="23" t="s">
        <v>2762</v>
      </c>
      <c r="C2396" s="23" t="s">
        <v>1197</v>
      </c>
      <c r="D2396" s="23" t="s">
        <v>1198</v>
      </c>
      <c r="E2396" s="23" t="s">
        <v>1700</v>
      </c>
      <c r="F2396" s="23" t="s">
        <v>12</v>
      </c>
    </row>
    <row r="2397" ht="17.25" spans="1:6">
      <c r="A2397" s="23">
        <v>2396</v>
      </c>
      <c r="B2397" s="22" t="s">
        <v>2763</v>
      </c>
      <c r="C2397" s="22" t="s">
        <v>1197</v>
      </c>
      <c r="D2397" s="22" t="s">
        <v>1198</v>
      </c>
      <c r="E2397" s="22" t="s">
        <v>1700</v>
      </c>
      <c r="F2397" s="22" t="s">
        <v>12</v>
      </c>
    </row>
    <row r="2398" ht="17.25" spans="1:6">
      <c r="A2398" s="22">
        <v>2397</v>
      </c>
      <c r="B2398" s="23" t="s">
        <v>2764</v>
      </c>
      <c r="C2398" s="23" t="s">
        <v>1197</v>
      </c>
      <c r="D2398" s="23" t="s">
        <v>1669</v>
      </c>
      <c r="E2398" s="23" t="s">
        <v>1700</v>
      </c>
      <c r="F2398" s="23" t="s">
        <v>12</v>
      </c>
    </row>
    <row r="2399" ht="17.25" spans="1:6">
      <c r="A2399" s="23">
        <v>2398</v>
      </c>
      <c r="B2399" s="22" t="s">
        <v>2765</v>
      </c>
      <c r="C2399" s="22" t="s">
        <v>1206</v>
      </c>
      <c r="D2399" s="22" t="s">
        <v>1207</v>
      </c>
      <c r="E2399" s="22" t="s">
        <v>1700</v>
      </c>
      <c r="F2399" s="22" t="s">
        <v>12</v>
      </c>
    </row>
    <row r="2400" ht="17.25" spans="1:6">
      <c r="A2400" s="22">
        <v>2399</v>
      </c>
      <c r="B2400" s="23" t="s">
        <v>2766</v>
      </c>
      <c r="C2400" s="23" t="s">
        <v>1206</v>
      </c>
      <c r="D2400" s="23" t="s">
        <v>1228</v>
      </c>
      <c r="E2400" s="23" t="s">
        <v>1700</v>
      </c>
      <c r="F2400" s="23" t="s">
        <v>12</v>
      </c>
    </row>
    <row r="2401" ht="17.25" spans="1:6">
      <c r="A2401" s="23">
        <v>2400</v>
      </c>
      <c r="B2401" s="22" t="s">
        <v>2767</v>
      </c>
      <c r="C2401" s="22" t="s">
        <v>1206</v>
      </c>
      <c r="D2401" s="22" t="s">
        <v>1207</v>
      </c>
      <c r="E2401" s="22" t="s">
        <v>1700</v>
      </c>
      <c r="F2401" s="22" t="s">
        <v>12</v>
      </c>
    </row>
    <row r="2402" ht="17.25" spans="1:6">
      <c r="A2402" s="22">
        <v>2401</v>
      </c>
      <c r="B2402" s="23" t="s">
        <v>2768</v>
      </c>
      <c r="C2402" s="23" t="s">
        <v>1206</v>
      </c>
      <c r="D2402" s="23" t="s">
        <v>1207</v>
      </c>
      <c r="E2402" s="23" t="s">
        <v>1700</v>
      </c>
      <c r="F2402" s="23" t="s">
        <v>12</v>
      </c>
    </row>
    <row r="2403" ht="17.25" spans="1:6">
      <c r="A2403" s="23">
        <v>2402</v>
      </c>
      <c r="B2403" s="22" t="s">
        <v>2769</v>
      </c>
      <c r="C2403" s="22" t="s">
        <v>1206</v>
      </c>
      <c r="D2403" s="22" t="s">
        <v>1223</v>
      </c>
      <c r="E2403" s="22" t="s">
        <v>1700</v>
      </c>
      <c r="F2403" s="22" t="s">
        <v>12</v>
      </c>
    </row>
    <row r="2404" ht="17.25" spans="1:6">
      <c r="A2404" s="22">
        <v>2403</v>
      </c>
      <c r="B2404" s="23" t="s">
        <v>2770</v>
      </c>
      <c r="C2404" s="23" t="s">
        <v>1206</v>
      </c>
      <c r="D2404" s="23" t="s">
        <v>1218</v>
      </c>
      <c r="E2404" s="23" t="s">
        <v>1700</v>
      </c>
      <c r="F2404" s="23" t="s">
        <v>12</v>
      </c>
    </row>
    <row r="2405" ht="17.25" spans="1:6">
      <c r="A2405" s="23">
        <v>2404</v>
      </c>
      <c r="B2405" s="22" t="s">
        <v>2771</v>
      </c>
      <c r="C2405" s="22" t="s">
        <v>1206</v>
      </c>
      <c r="D2405" s="22" t="s">
        <v>1226</v>
      </c>
      <c r="E2405" s="22" t="s">
        <v>1700</v>
      </c>
      <c r="F2405" s="22" t="s">
        <v>12</v>
      </c>
    </row>
    <row r="2406" ht="17.25" spans="1:6">
      <c r="A2406" s="22">
        <v>2405</v>
      </c>
      <c r="B2406" s="23" t="s">
        <v>2772</v>
      </c>
      <c r="C2406" s="23" t="s">
        <v>1206</v>
      </c>
      <c r="D2406" s="23" t="s">
        <v>1230</v>
      </c>
      <c r="E2406" s="23" t="s">
        <v>1700</v>
      </c>
      <c r="F2406" s="23" t="s">
        <v>12</v>
      </c>
    </row>
    <row r="2407" ht="17.25" spans="1:6">
      <c r="A2407" s="23">
        <v>2406</v>
      </c>
      <c r="B2407" s="22" t="s">
        <v>2773</v>
      </c>
      <c r="C2407" s="22" t="s">
        <v>1206</v>
      </c>
      <c r="D2407" s="22" t="s">
        <v>1207</v>
      </c>
      <c r="E2407" s="22" t="s">
        <v>1700</v>
      </c>
      <c r="F2407" s="22" t="s">
        <v>12</v>
      </c>
    </row>
    <row r="2408" ht="17.25" spans="1:6">
      <c r="A2408" s="22">
        <v>2407</v>
      </c>
      <c r="B2408" s="23" t="s">
        <v>2774</v>
      </c>
      <c r="C2408" s="23" t="s">
        <v>1206</v>
      </c>
      <c r="D2408" s="23" t="s">
        <v>1212</v>
      </c>
      <c r="E2408" s="23" t="s">
        <v>1700</v>
      </c>
      <c r="F2408" s="23" t="s">
        <v>12</v>
      </c>
    </row>
    <row r="2409" ht="17.25" spans="1:6">
      <c r="A2409" s="23">
        <v>2408</v>
      </c>
      <c r="B2409" s="22" t="s">
        <v>2775</v>
      </c>
      <c r="C2409" s="22" t="s">
        <v>1206</v>
      </c>
      <c r="D2409" s="22" t="s">
        <v>1207</v>
      </c>
      <c r="E2409" s="22" t="s">
        <v>1700</v>
      </c>
      <c r="F2409" s="22" t="s">
        <v>12</v>
      </c>
    </row>
    <row r="2410" ht="17.25" spans="1:6">
      <c r="A2410" s="22">
        <v>2409</v>
      </c>
      <c r="B2410" s="23" t="s">
        <v>2776</v>
      </c>
      <c r="C2410" s="23" t="s">
        <v>1206</v>
      </c>
      <c r="D2410" s="23" t="s">
        <v>1207</v>
      </c>
      <c r="E2410" s="23" t="s">
        <v>1700</v>
      </c>
      <c r="F2410" s="23" t="s">
        <v>12</v>
      </c>
    </row>
    <row r="2411" ht="17.25" spans="1:6">
      <c r="A2411" s="23">
        <v>2410</v>
      </c>
      <c r="B2411" s="22" t="s">
        <v>2777</v>
      </c>
      <c r="C2411" s="22" t="s">
        <v>1206</v>
      </c>
      <c r="D2411" s="22" t="s">
        <v>1218</v>
      </c>
      <c r="E2411" s="22" t="s">
        <v>1700</v>
      </c>
      <c r="F2411" s="22" t="s">
        <v>12</v>
      </c>
    </row>
    <row r="2412" ht="17.25" spans="1:6">
      <c r="A2412" s="22">
        <v>2411</v>
      </c>
      <c r="B2412" s="23" t="s">
        <v>2778</v>
      </c>
      <c r="C2412" s="23" t="s">
        <v>1206</v>
      </c>
      <c r="D2412" s="23" t="s">
        <v>1207</v>
      </c>
      <c r="E2412" s="23" t="s">
        <v>1700</v>
      </c>
      <c r="F2412" s="23" t="s">
        <v>12</v>
      </c>
    </row>
    <row r="2413" ht="17.25" spans="1:6">
      <c r="A2413" s="23">
        <v>2412</v>
      </c>
      <c r="B2413" s="22" t="s">
        <v>2779</v>
      </c>
      <c r="C2413" s="22" t="s">
        <v>1206</v>
      </c>
      <c r="D2413" s="22" t="s">
        <v>1207</v>
      </c>
      <c r="E2413" s="22" t="s">
        <v>1700</v>
      </c>
      <c r="F2413" s="22" t="s">
        <v>12</v>
      </c>
    </row>
    <row r="2414" ht="17.25" spans="1:6">
      <c r="A2414" s="22">
        <v>2413</v>
      </c>
      <c r="B2414" s="23" t="s">
        <v>2780</v>
      </c>
      <c r="C2414" s="23" t="s">
        <v>1206</v>
      </c>
      <c r="D2414" s="23" t="s">
        <v>1207</v>
      </c>
      <c r="E2414" s="23" t="s">
        <v>1700</v>
      </c>
      <c r="F2414" s="23" t="s">
        <v>12</v>
      </c>
    </row>
    <row r="2415" ht="17.25" spans="1:6">
      <c r="A2415" s="23">
        <v>2414</v>
      </c>
      <c r="B2415" s="22" t="s">
        <v>2781</v>
      </c>
      <c r="C2415" s="22" t="s">
        <v>1206</v>
      </c>
      <c r="D2415" s="22" t="s">
        <v>2782</v>
      </c>
      <c r="E2415" s="22" t="s">
        <v>1700</v>
      </c>
      <c r="F2415" s="22" t="s">
        <v>12</v>
      </c>
    </row>
    <row r="2416" ht="17.25" spans="1:6">
      <c r="A2416" s="22">
        <v>2415</v>
      </c>
      <c r="B2416" s="23" t="s">
        <v>2783</v>
      </c>
      <c r="C2416" s="23" t="s">
        <v>1206</v>
      </c>
      <c r="D2416" s="23" t="s">
        <v>2784</v>
      </c>
      <c r="E2416" s="23" t="s">
        <v>1700</v>
      </c>
      <c r="F2416" s="23" t="s">
        <v>12</v>
      </c>
    </row>
    <row r="2417" ht="17.25" spans="1:6">
      <c r="A2417" s="23">
        <v>2416</v>
      </c>
      <c r="B2417" s="22" t="s">
        <v>2785</v>
      </c>
      <c r="C2417" s="22" t="s">
        <v>1206</v>
      </c>
      <c r="D2417" s="22" t="s">
        <v>2786</v>
      </c>
      <c r="E2417" s="22" t="s">
        <v>1700</v>
      </c>
      <c r="F2417" s="22" t="s">
        <v>12</v>
      </c>
    </row>
    <row r="2418" ht="17.25" spans="1:6">
      <c r="A2418" s="22">
        <v>2417</v>
      </c>
      <c r="B2418" s="23" t="s">
        <v>2787</v>
      </c>
      <c r="C2418" s="23" t="s">
        <v>1206</v>
      </c>
      <c r="D2418" s="23" t="s">
        <v>1234</v>
      </c>
      <c r="E2418" s="23" t="s">
        <v>1700</v>
      </c>
      <c r="F2418" s="23" t="s">
        <v>12</v>
      </c>
    </row>
    <row r="2419" ht="17.25" spans="1:6">
      <c r="A2419" s="23">
        <v>2418</v>
      </c>
      <c r="B2419" s="22" t="s">
        <v>2788</v>
      </c>
      <c r="C2419" s="22" t="s">
        <v>1206</v>
      </c>
      <c r="D2419" s="22" t="s">
        <v>1212</v>
      </c>
      <c r="E2419" s="22" t="s">
        <v>1700</v>
      </c>
      <c r="F2419" s="22" t="s">
        <v>12</v>
      </c>
    </row>
    <row r="2420" ht="17.25" spans="1:6">
      <c r="A2420" s="22">
        <v>2419</v>
      </c>
      <c r="B2420" s="23" t="s">
        <v>2789</v>
      </c>
      <c r="C2420" s="23" t="s">
        <v>1206</v>
      </c>
      <c r="D2420" s="23" t="s">
        <v>1216</v>
      </c>
      <c r="E2420" s="23" t="s">
        <v>1700</v>
      </c>
      <c r="F2420" s="23" t="s">
        <v>12</v>
      </c>
    </row>
    <row r="2421" ht="17.25" spans="1:6">
      <c r="A2421" s="23">
        <v>2420</v>
      </c>
      <c r="B2421" s="22" t="s">
        <v>2790</v>
      </c>
      <c r="C2421" s="22" t="s">
        <v>1206</v>
      </c>
      <c r="D2421" s="22" t="s">
        <v>2791</v>
      </c>
      <c r="E2421" s="22" t="s">
        <v>1700</v>
      </c>
      <c r="F2421" s="22" t="s">
        <v>12</v>
      </c>
    </row>
    <row r="2422" ht="17.25" spans="1:6">
      <c r="A2422" s="22">
        <v>2421</v>
      </c>
      <c r="B2422" s="23" t="s">
        <v>2792</v>
      </c>
      <c r="C2422" s="23" t="s">
        <v>1206</v>
      </c>
      <c r="D2422" s="23" t="s">
        <v>2793</v>
      </c>
      <c r="E2422" s="23" t="s">
        <v>1700</v>
      </c>
      <c r="F2422" s="23" t="s">
        <v>12</v>
      </c>
    </row>
    <row r="2423" ht="17.25" spans="1:6">
      <c r="A2423" s="23">
        <v>2422</v>
      </c>
      <c r="B2423" s="22" t="s">
        <v>2794</v>
      </c>
      <c r="C2423" s="22" t="s">
        <v>1206</v>
      </c>
      <c r="D2423" s="22" t="s">
        <v>2795</v>
      </c>
      <c r="E2423" s="22" t="s">
        <v>1700</v>
      </c>
      <c r="F2423" s="22" t="s">
        <v>12</v>
      </c>
    </row>
    <row r="2424" ht="17.25" spans="1:6">
      <c r="A2424" s="22">
        <v>2423</v>
      </c>
      <c r="B2424" s="23" t="s">
        <v>2796</v>
      </c>
      <c r="C2424" s="23" t="s">
        <v>1206</v>
      </c>
      <c r="D2424" s="23" t="s">
        <v>1209</v>
      </c>
      <c r="E2424" s="23" t="s">
        <v>1700</v>
      </c>
      <c r="F2424" s="23" t="s">
        <v>12</v>
      </c>
    </row>
    <row r="2425" ht="17.25" spans="1:6">
      <c r="A2425" s="23">
        <v>2424</v>
      </c>
      <c r="B2425" s="22" t="s">
        <v>2797</v>
      </c>
      <c r="C2425" s="22" t="s">
        <v>1206</v>
      </c>
      <c r="D2425" s="22" t="s">
        <v>1207</v>
      </c>
      <c r="E2425" s="22" t="s">
        <v>1700</v>
      </c>
      <c r="F2425" s="22" t="s">
        <v>12</v>
      </c>
    </row>
    <row r="2426" ht="17.25" spans="1:6">
      <c r="A2426" s="22">
        <v>2425</v>
      </c>
      <c r="B2426" s="23" t="s">
        <v>2798</v>
      </c>
      <c r="C2426" s="23" t="s">
        <v>1206</v>
      </c>
      <c r="D2426" s="23" t="s">
        <v>2799</v>
      </c>
      <c r="E2426" s="23" t="s">
        <v>1700</v>
      </c>
      <c r="F2426" s="23" t="s">
        <v>12</v>
      </c>
    </row>
    <row r="2427" ht="17.25" spans="1:6">
      <c r="A2427" s="23">
        <v>2426</v>
      </c>
      <c r="B2427" s="22" t="s">
        <v>2800</v>
      </c>
      <c r="C2427" s="22" t="s">
        <v>951</v>
      </c>
      <c r="D2427" s="22" t="s">
        <v>951</v>
      </c>
      <c r="E2427" s="22" t="s">
        <v>1700</v>
      </c>
      <c r="F2427" s="22" t="s">
        <v>12</v>
      </c>
    </row>
    <row r="2428" ht="17.25" spans="1:6">
      <c r="A2428" s="22">
        <v>2427</v>
      </c>
      <c r="B2428" s="23" t="s">
        <v>2801</v>
      </c>
      <c r="C2428" s="23" t="s">
        <v>98</v>
      </c>
      <c r="D2428" s="23" t="s">
        <v>103</v>
      </c>
      <c r="E2428" s="23" t="s">
        <v>1700</v>
      </c>
      <c r="F2428" s="23" t="s">
        <v>12</v>
      </c>
    </row>
    <row r="2429" ht="17.25" spans="1:6">
      <c r="A2429" s="23">
        <v>2428</v>
      </c>
      <c r="B2429" s="22" t="s">
        <v>2802</v>
      </c>
      <c r="C2429" s="22" t="s">
        <v>379</v>
      </c>
      <c r="D2429" s="22" t="s">
        <v>392</v>
      </c>
      <c r="E2429" s="22" t="s">
        <v>1700</v>
      </c>
      <c r="F2429" s="22" t="s">
        <v>12</v>
      </c>
    </row>
    <row r="2430" ht="17.25" spans="1:6">
      <c r="A2430" s="22">
        <v>2429</v>
      </c>
      <c r="B2430" s="23" t="s">
        <v>2803</v>
      </c>
      <c r="C2430" s="23" t="s">
        <v>797</v>
      </c>
      <c r="D2430" s="23" t="s">
        <v>831</v>
      </c>
      <c r="E2430" s="23" t="s">
        <v>1700</v>
      </c>
      <c r="F2430" s="23" t="s">
        <v>12</v>
      </c>
    </row>
    <row r="2431" ht="17.25" spans="1:6">
      <c r="A2431" s="23">
        <v>2430</v>
      </c>
      <c r="B2431" s="22" t="s">
        <v>2804</v>
      </c>
      <c r="C2431" s="22" t="s">
        <v>797</v>
      </c>
      <c r="D2431" s="22" t="s">
        <v>825</v>
      </c>
      <c r="E2431" s="22" t="s">
        <v>1700</v>
      </c>
      <c r="F2431" s="22" t="s">
        <v>12</v>
      </c>
    </row>
    <row r="2432" ht="17.25" spans="1:6">
      <c r="A2432" s="22">
        <v>2431</v>
      </c>
      <c r="B2432" s="23" t="s">
        <v>2805</v>
      </c>
      <c r="C2432" s="23" t="s">
        <v>151</v>
      </c>
      <c r="D2432" s="23" t="s">
        <v>174</v>
      </c>
      <c r="E2432" s="23" t="s">
        <v>1700</v>
      </c>
      <c r="F2432" s="23" t="s">
        <v>12</v>
      </c>
    </row>
    <row r="2433" ht="17.25" spans="1:6">
      <c r="A2433" s="23">
        <v>2432</v>
      </c>
      <c r="B2433" s="22" t="s">
        <v>2806</v>
      </c>
      <c r="C2433" s="22" t="s">
        <v>692</v>
      </c>
      <c r="D2433" s="22" t="s">
        <v>720</v>
      </c>
      <c r="E2433" s="22" t="s">
        <v>1700</v>
      </c>
      <c r="F2433" s="22" t="s">
        <v>12</v>
      </c>
    </row>
    <row r="2434" ht="17.25" spans="1:6">
      <c r="A2434" s="22">
        <v>2433</v>
      </c>
      <c r="B2434" s="23" t="s">
        <v>2807</v>
      </c>
      <c r="C2434" s="23" t="s">
        <v>692</v>
      </c>
      <c r="D2434" s="23" t="s">
        <v>2262</v>
      </c>
      <c r="E2434" s="23" t="s">
        <v>1700</v>
      </c>
      <c r="F2434" s="23" t="s">
        <v>12</v>
      </c>
    </row>
    <row r="2435" ht="17.25" spans="1:6">
      <c r="A2435" s="23">
        <v>2434</v>
      </c>
      <c r="B2435" s="22" t="s">
        <v>2808</v>
      </c>
      <c r="C2435" s="22" t="s">
        <v>692</v>
      </c>
      <c r="D2435" s="22" t="s">
        <v>723</v>
      </c>
      <c r="E2435" s="22" t="s">
        <v>1700</v>
      </c>
      <c r="F2435" s="22" t="s">
        <v>12</v>
      </c>
    </row>
    <row r="2436" ht="17.25" spans="1:6">
      <c r="A2436" s="22">
        <v>2435</v>
      </c>
      <c r="B2436" s="23" t="s">
        <v>2809</v>
      </c>
      <c r="C2436" s="23" t="s">
        <v>692</v>
      </c>
      <c r="D2436" s="23" t="s">
        <v>714</v>
      </c>
      <c r="E2436" s="23" t="s">
        <v>1700</v>
      </c>
      <c r="F2436" s="23" t="s">
        <v>12</v>
      </c>
    </row>
    <row r="2437" ht="17.25" spans="1:6">
      <c r="A2437" s="23">
        <v>2436</v>
      </c>
      <c r="B2437" s="22" t="s">
        <v>2810</v>
      </c>
      <c r="C2437" s="22" t="s">
        <v>347</v>
      </c>
      <c r="D2437" s="22" t="s">
        <v>347</v>
      </c>
      <c r="E2437" s="22" t="s">
        <v>1700</v>
      </c>
      <c r="F2437" s="22" t="s">
        <v>12</v>
      </c>
    </row>
    <row r="2438" ht="17.25" spans="1:6">
      <c r="A2438" s="22">
        <v>2437</v>
      </c>
      <c r="B2438" s="23" t="s">
        <v>2811</v>
      </c>
      <c r="C2438" s="23" t="s">
        <v>347</v>
      </c>
      <c r="D2438" s="23" t="s">
        <v>347</v>
      </c>
      <c r="E2438" s="23" t="s">
        <v>1700</v>
      </c>
      <c r="F2438" s="23" t="s">
        <v>12</v>
      </c>
    </row>
    <row r="2439" ht="17.25" spans="1:6">
      <c r="A2439" s="23">
        <v>2438</v>
      </c>
      <c r="B2439" s="22" t="s">
        <v>2812</v>
      </c>
      <c r="C2439" s="22" t="s">
        <v>347</v>
      </c>
      <c r="D2439" s="22" t="s">
        <v>347</v>
      </c>
      <c r="E2439" s="22" t="s">
        <v>1700</v>
      </c>
      <c r="F2439" s="22" t="s">
        <v>12</v>
      </c>
    </row>
    <row r="2440" ht="17.25" spans="1:6">
      <c r="A2440" s="22">
        <v>2439</v>
      </c>
      <c r="B2440" s="23" t="s">
        <v>2813</v>
      </c>
      <c r="C2440" s="23" t="s">
        <v>347</v>
      </c>
      <c r="D2440" s="23" t="s">
        <v>347</v>
      </c>
      <c r="E2440" s="23" t="s">
        <v>1700</v>
      </c>
      <c r="F2440" s="23" t="s">
        <v>12</v>
      </c>
    </row>
    <row r="2441" ht="17.25" spans="1:6">
      <c r="A2441" s="23">
        <v>2440</v>
      </c>
      <c r="B2441" s="22" t="s">
        <v>2814</v>
      </c>
      <c r="C2441" s="22" t="s">
        <v>1060</v>
      </c>
      <c r="D2441" s="22" t="s">
        <v>1084</v>
      </c>
      <c r="E2441" s="22" t="s">
        <v>1700</v>
      </c>
      <c r="F2441" s="22" t="s">
        <v>12</v>
      </c>
    </row>
    <row r="2442" ht="17.25" spans="1:6">
      <c r="A2442" s="22">
        <v>2441</v>
      </c>
      <c r="B2442" s="23" t="s">
        <v>2815</v>
      </c>
      <c r="C2442" s="23" t="s">
        <v>1060</v>
      </c>
      <c r="D2442" s="23" t="s">
        <v>1077</v>
      </c>
      <c r="E2442" s="23" t="s">
        <v>1700</v>
      </c>
      <c r="F2442" s="23" t="s">
        <v>12</v>
      </c>
    </row>
    <row r="2443" ht="17.25" spans="1:6">
      <c r="A2443" s="23">
        <v>2442</v>
      </c>
      <c r="B2443" s="22" t="s">
        <v>2816</v>
      </c>
      <c r="C2443" s="22" t="s">
        <v>1060</v>
      </c>
      <c r="D2443" s="22" t="s">
        <v>1071</v>
      </c>
      <c r="E2443" s="22" t="s">
        <v>1700</v>
      </c>
      <c r="F2443" s="22" t="s">
        <v>12</v>
      </c>
    </row>
    <row r="2444" ht="17.25" spans="1:6">
      <c r="A2444" s="22">
        <v>2443</v>
      </c>
      <c r="B2444" s="23" t="s">
        <v>2817</v>
      </c>
      <c r="C2444" s="23" t="s">
        <v>98</v>
      </c>
      <c r="D2444" s="23" t="s">
        <v>124</v>
      </c>
      <c r="E2444" s="23" t="s">
        <v>1700</v>
      </c>
      <c r="F2444" s="23" t="s">
        <v>12</v>
      </c>
    </row>
    <row r="2445" ht="17.25" spans="1:6">
      <c r="A2445" s="23">
        <v>2444</v>
      </c>
      <c r="B2445" s="22" t="s">
        <v>2818</v>
      </c>
      <c r="C2445" s="22" t="s">
        <v>98</v>
      </c>
      <c r="D2445" s="22" t="s">
        <v>132</v>
      </c>
      <c r="E2445" s="22" t="s">
        <v>1700</v>
      </c>
      <c r="F2445" s="22" t="s">
        <v>12</v>
      </c>
    </row>
    <row r="2446" ht="17.25" spans="1:6">
      <c r="A2446" s="22">
        <v>2445</v>
      </c>
      <c r="B2446" s="23" t="s">
        <v>2819</v>
      </c>
      <c r="C2446" s="23" t="s">
        <v>1026</v>
      </c>
      <c r="D2446" s="23" t="s">
        <v>1027</v>
      </c>
      <c r="E2446" s="23" t="s">
        <v>1700</v>
      </c>
      <c r="F2446" s="23" t="s">
        <v>12</v>
      </c>
    </row>
    <row r="2447" ht="17.25" spans="1:6">
      <c r="A2447" s="23">
        <v>2446</v>
      </c>
      <c r="B2447" s="22" t="s">
        <v>2820</v>
      </c>
      <c r="C2447" s="22" t="s">
        <v>1060</v>
      </c>
      <c r="D2447" s="22" t="s">
        <v>1090</v>
      </c>
      <c r="E2447" s="22" t="s">
        <v>1700</v>
      </c>
      <c r="F2447" s="22" t="s">
        <v>12</v>
      </c>
    </row>
    <row r="2448" ht="17.25" spans="1:6">
      <c r="A2448" s="22">
        <v>2447</v>
      </c>
      <c r="B2448" s="23" t="s">
        <v>2821</v>
      </c>
      <c r="C2448" s="23" t="s">
        <v>1060</v>
      </c>
      <c r="D2448" s="23" t="s">
        <v>1097</v>
      </c>
      <c r="E2448" s="23" t="s">
        <v>1700</v>
      </c>
      <c r="F2448" s="23" t="s">
        <v>12</v>
      </c>
    </row>
    <row r="2449" ht="17.25" spans="1:6">
      <c r="A2449" s="23">
        <v>2448</v>
      </c>
      <c r="B2449" s="22" t="s">
        <v>2822</v>
      </c>
      <c r="C2449" s="22" t="s">
        <v>1060</v>
      </c>
      <c r="D2449" s="22" t="s">
        <v>2823</v>
      </c>
      <c r="E2449" s="22" t="s">
        <v>1700</v>
      </c>
      <c r="F2449" s="22" t="s">
        <v>12</v>
      </c>
    </row>
    <row r="2450" ht="17.25" spans="1:6">
      <c r="A2450" s="22">
        <v>2449</v>
      </c>
      <c r="B2450" s="23" t="s">
        <v>2824</v>
      </c>
      <c r="C2450" s="23" t="s">
        <v>1197</v>
      </c>
      <c r="D2450" s="23" t="s">
        <v>1669</v>
      </c>
      <c r="E2450" s="23" t="s">
        <v>1700</v>
      </c>
      <c r="F2450" s="23" t="s">
        <v>12</v>
      </c>
    </row>
    <row r="2451" ht="17.25" spans="1:6">
      <c r="A2451" s="23">
        <v>2450</v>
      </c>
      <c r="B2451" s="22" t="s">
        <v>2825</v>
      </c>
      <c r="C2451" s="22" t="s">
        <v>1206</v>
      </c>
      <c r="D2451" s="22" t="s">
        <v>1207</v>
      </c>
      <c r="E2451" s="22" t="s">
        <v>1700</v>
      </c>
      <c r="F2451" s="22" t="s">
        <v>12</v>
      </c>
    </row>
    <row r="2452" ht="17.25" spans="1:6">
      <c r="A2452" s="22">
        <v>2451</v>
      </c>
      <c r="B2452" s="23" t="s">
        <v>2826</v>
      </c>
      <c r="C2452" s="23" t="s">
        <v>1206</v>
      </c>
      <c r="D2452" s="23" t="s">
        <v>1226</v>
      </c>
      <c r="E2452" s="23" t="s">
        <v>1700</v>
      </c>
      <c r="F2452" s="23" t="s">
        <v>12</v>
      </c>
    </row>
    <row r="2453" ht="17.25" spans="1:6">
      <c r="A2453" s="23">
        <v>2452</v>
      </c>
      <c r="B2453" s="22" t="s">
        <v>2827</v>
      </c>
      <c r="C2453" s="22" t="s">
        <v>587</v>
      </c>
      <c r="D2453" s="22" t="s">
        <v>607</v>
      </c>
      <c r="E2453" s="22" t="s">
        <v>1700</v>
      </c>
      <c r="F2453" s="22" t="s">
        <v>12</v>
      </c>
    </row>
    <row r="2454" ht="17.25" spans="1:6">
      <c r="A2454" s="22">
        <v>2453</v>
      </c>
      <c r="B2454" s="23" t="s">
        <v>2828</v>
      </c>
      <c r="C2454" s="23" t="s">
        <v>587</v>
      </c>
      <c r="D2454" s="23" t="s">
        <v>602</v>
      </c>
      <c r="E2454" s="23" t="s">
        <v>1700</v>
      </c>
      <c r="F2454" s="23" t="s">
        <v>12</v>
      </c>
    </row>
    <row r="2455" ht="17.25" spans="1:6">
      <c r="A2455" s="23">
        <v>2454</v>
      </c>
      <c r="B2455" s="22" t="s">
        <v>2829</v>
      </c>
      <c r="C2455" s="22" t="s">
        <v>628</v>
      </c>
      <c r="D2455" s="22" t="s">
        <v>660</v>
      </c>
      <c r="E2455" s="22" t="s">
        <v>1700</v>
      </c>
      <c r="F2455" s="22" t="s">
        <v>12</v>
      </c>
    </row>
    <row r="2456" ht="17.25" spans="1:6">
      <c r="A2456" s="22">
        <v>2455</v>
      </c>
      <c r="B2456" s="23" t="s">
        <v>2830</v>
      </c>
      <c r="C2456" s="23" t="s">
        <v>797</v>
      </c>
      <c r="D2456" s="23" t="s">
        <v>821</v>
      </c>
      <c r="E2456" s="23" t="s">
        <v>1700</v>
      </c>
      <c r="F2456" s="23" t="s">
        <v>12</v>
      </c>
    </row>
    <row r="2457" ht="17.25" spans="1:6">
      <c r="A2457" s="23">
        <v>2456</v>
      </c>
      <c r="B2457" s="22" t="s">
        <v>2831</v>
      </c>
      <c r="C2457" s="22" t="s">
        <v>797</v>
      </c>
      <c r="D2457" s="22" t="s">
        <v>817</v>
      </c>
      <c r="E2457" s="22" t="s">
        <v>1700</v>
      </c>
      <c r="F2457" s="22" t="s">
        <v>12</v>
      </c>
    </row>
    <row r="2458" ht="17.25" spans="1:6">
      <c r="A2458" s="22">
        <v>2457</v>
      </c>
      <c r="B2458" s="23" t="s">
        <v>2832</v>
      </c>
      <c r="C2458" s="23" t="s">
        <v>902</v>
      </c>
      <c r="D2458" s="23" t="s">
        <v>903</v>
      </c>
      <c r="E2458" s="23" t="s">
        <v>1700</v>
      </c>
      <c r="F2458" s="23" t="s">
        <v>12</v>
      </c>
    </row>
    <row r="2459" ht="17.25" spans="1:6">
      <c r="A2459" s="23">
        <v>2458</v>
      </c>
      <c r="B2459" s="22" t="s">
        <v>2833</v>
      </c>
      <c r="C2459" s="22" t="s">
        <v>1156</v>
      </c>
      <c r="D2459" s="22" t="s">
        <v>2724</v>
      </c>
      <c r="E2459" s="22" t="s">
        <v>1700</v>
      </c>
      <c r="F2459" s="22" t="s">
        <v>12</v>
      </c>
    </row>
    <row r="2460" ht="17.25" spans="1:6">
      <c r="A2460" s="22">
        <v>2459</v>
      </c>
      <c r="B2460" s="23" t="s">
        <v>2834</v>
      </c>
      <c r="C2460" s="23" t="s">
        <v>1206</v>
      </c>
      <c r="D2460" s="23" t="s">
        <v>1216</v>
      </c>
      <c r="E2460" s="23" t="s">
        <v>1700</v>
      </c>
      <c r="F2460" s="23" t="s">
        <v>12</v>
      </c>
    </row>
    <row r="2461" ht="17.25" spans="1:6">
      <c r="A2461" s="23">
        <v>2460</v>
      </c>
      <c r="B2461" s="22" t="s">
        <v>2835</v>
      </c>
      <c r="C2461" s="22" t="s">
        <v>1206</v>
      </c>
      <c r="D2461" s="22" t="s">
        <v>1232</v>
      </c>
      <c r="E2461" s="22" t="s">
        <v>1700</v>
      </c>
      <c r="F2461" s="22" t="s">
        <v>12</v>
      </c>
    </row>
    <row r="2462" ht="17.25" spans="1:6">
      <c r="A2462" s="22">
        <v>2461</v>
      </c>
      <c r="B2462" s="23" t="s">
        <v>2836</v>
      </c>
      <c r="C2462" s="23" t="s">
        <v>1206</v>
      </c>
      <c r="D2462" s="23" t="s">
        <v>2837</v>
      </c>
      <c r="E2462" s="23" t="s">
        <v>1700</v>
      </c>
      <c r="F2462" s="23" t="s">
        <v>12</v>
      </c>
    </row>
    <row r="2463" ht="17.25" spans="1:6">
      <c r="A2463" s="23">
        <v>2462</v>
      </c>
      <c r="B2463" s="22" t="s">
        <v>2838</v>
      </c>
      <c r="C2463" s="22" t="s">
        <v>1206</v>
      </c>
      <c r="D2463" s="22" t="s">
        <v>2839</v>
      </c>
      <c r="E2463" s="22" t="s">
        <v>1700</v>
      </c>
      <c r="F2463" s="22" t="s">
        <v>12</v>
      </c>
    </row>
    <row r="2464" ht="17.25" spans="1:6">
      <c r="A2464" s="22">
        <v>2463</v>
      </c>
      <c r="B2464" s="23" t="s">
        <v>2840</v>
      </c>
      <c r="C2464" s="23" t="s">
        <v>1206</v>
      </c>
      <c r="D2464" s="23" t="s">
        <v>2841</v>
      </c>
      <c r="E2464" s="23" t="s">
        <v>1700</v>
      </c>
      <c r="F2464" s="23" t="s">
        <v>12</v>
      </c>
    </row>
    <row r="2465" ht="17.25" spans="1:6">
      <c r="A2465" s="23">
        <v>2464</v>
      </c>
      <c r="B2465" s="22" t="s">
        <v>2842</v>
      </c>
      <c r="C2465" s="22" t="s">
        <v>746</v>
      </c>
      <c r="D2465" s="22" t="s">
        <v>771</v>
      </c>
      <c r="E2465" s="22" t="s">
        <v>1700</v>
      </c>
      <c r="F2465" s="22" t="s">
        <v>12</v>
      </c>
    </row>
    <row r="2466" ht="17.25" spans="1:6">
      <c r="A2466" s="22">
        <v>2465</v>
      </c>
      <c r="B2466" s="23" t="s">
        <v>2843</v>
      </c>
      <c r="C2466" s="23" t="s">
        <v>746</v>
      </c>
      <c r="D2466" s="23" t="s">
        <v>785</v>
      </c>
      <c r="E2466" s="23" t="s">
        <v>1700</v>
      </c>
      <c r="F2466" s="23" t="s">
        <v>12</v>
      </c>
    </row>
    <row r="2467" ht="17.25" spans="1:6">
      <c r="A2467" s="23">
        <v>2466</v>
      </c>
      <c r="B2467" s="22" t="s">
        <v>2844</v>
      </c>
      <c r="C2467" s="22" t="s">
        <v>347</v>
      </c>
      <c r="D2467" s="22" t="s">
        <v>347</v>
      </c>
      <c r="E2467" s="22" t="s">
        <v>1700</v>
      </c>
      <c r="F2467" s="22" t="s">
        <v>12</v>
      </c>
    </row>
    <row r="2468" ht="17.25" spans="1:6">
      <c r="A2468" s="22">
        <v>2467</v>
      </c>
      <c r="B2468" s="23" t="s">
        <v>2845</v>
      </c>
      <c r="C2468" s="23" t="s">
        <v>379</v>
      </c>
      <c r="D2468" s="23" t="s">
        <v>380</v>
      </c>
      <c r="E2468" s="23" t="s">
        <v>1700</v>
      </c>
      <c r="F2468" s="23" t="s">
        <v>12</v>
      </c>
    </row>
    <row r="2469" ht="17.25" spans="1:6">
      <c r="A2469" s="23">
        <v>2468</v>
      </c>
      <c r="B2469" s="22" t="s">
        <v>2846</v>
      </c>
      <c r="C2469" s="22" t="s">
        <v>844</v>
      </c>
      <c r="D2469" s="22" t="s">
        <v>874</v>
      </c>
      <c r="E2469" s="22" t="s">
        <v>1700</v>
      </c>
      <c r="F2469" s="22" t="s">
        <v>12</v>
      </c>
    </row>
    <row r="2470" ht="17.25" spans="1:6">
      <c r="A2470" s="22">
        <v>2469</v>
      </c>
      <c r="B2470" s="23" t="s">
        <v>2847</v>
      </c>
      <c r="C2470" s="23" t="s">
        <v>1197</v>
      </c>
      <c r="D2470" s="23" t="s">
        <v>1198</v>
      </c>
      <c r="E2470" s="23" t="s">
        <v>1700</v>
      </c>
      <c r="F2470" s="23" t="s">
        <v>12</v>
      </c>
    </row>
    <row r="2471" ht="17.25" spans="1:6">
      <c r="A2471" s="23">
        <v>2470</v>
      </c>
      <c r="B2471" s="22" t="s">
        <v>2848</v>
      </c>
      <c r="C2471" s="22" t="s">
        <v>1026</v>
      </c>
      <c r="D2471" s="22" t="s">
        <v>1027</v>
      </c>
      <c r="E2471" s="22" t="s">
        <v>1700</v>
      </c>
      <c r="F2471" s="22" t="s">
        <v>12</v>
      </c>
    </row>
    <row r="2472" ht="17.25" spans="1:6">
      <c r="A2472" s="22">
        <v>2471</v>
      </c>
      <c r="B2472" s="23" t="s">
        <v>2849</v>
      </c>
      <c r="C2472" s="23" t="s">
        <v>1026</v>
      </c>
      <c r="D2472" s="23" t="s">
        <v>1027</v>
      </c>
      <c r="E2472" s="23" t="s">
        <v>1700</v>
      </c>
      <c r="F2472" s="23" t="s">
        <v>12</v>
      </c>
    </row>
    <row r="2473" ht="17.25" spans="1:6">
      <c r="A2473" s="23">
        <v>2472</v>
      </c>
      <c r="B2473" s="22" t="s">
        <v>2850</v>
      </c>
      <c r="C2473" s="22" t="s">
        <v>1026</v>
      </c>
      <c r="D2473" s="22" t="s">
        <v>1043</v>
      </c>
      <c r="E2473" s="22" t="s">
        <v>1700</v>
      </c>
      <c r="F2473" s="22" t="s">
        <v>12</v>
      </c>
    </row>
    <row r="2474" ht="17.25" spans="1:6">
      <c r="A2474" s="22">
        <v>2473</v>
      </c>
      <c r="B2474" s="23" t="s">
        <v>2851</v>
      </c>
      <c r="C2474" s="23" t="s">
        <v>379</v>
      </c>
      <c r="D2474" s="23" t="s">
        <v>403</v>
      </c>
      <c r="E2474" s="23" t="s">
        <v>1700</v>
      </c>
      <c r="F2474" s="23" t="s">
        <v>12</v>
      </c>
    </row>
    <row r="2475" ht="17.25" spans="1:6">
      <c r="A2475" s="23">
        <v>2474</v>
      </c>
      <c r="B2475" s="22" t="s">
        <v>2852</v>
      </c>
      <c r="C2475" s="22" t="s">
        <v>379</v>
      </c>
      <c r="D2475" s="22" t="s">
        <v>440</v>
      </c>
      <c r="E2475" s="22" t="s">
        <v>1700</v>
      </c>
      <c r="F2475" s="22" t="s">
        <v>12</v>
      </c>
    </row>
    <row r="2476" ht="17.25" spans="1:6">
      <c r="A2476" s="22">
        <v>2475</v>
      </c>
      <c r="B2476" s="23" t="s">
        <v>2853</v>
      </c>
      <c r="C2476" s="23" t="s">
        <v>379</v>
      </c>
      <c r="D2476" s="23" t="s">
        <v>396</v>
      </c>
      <c r="E2476" s="23" t="s">
        <v>1700</v>
      </c>
      <c r="F2476" s="23" t="s">
        <v>12</v>
      </c>
    </row>
    <row r="2477" ht="17.25" spans="1:6">
      <c r="A2477" s="23">
        <v>2476</v>
      </c>
      <c r="B2477" s="22" t="s">
        <v>2854</v>
      </c>
      <c r="C2477" s="22" t="s">
        <v>628</v>
      </c>
      <c r="D2477" s="22" t="s">
        <v>660</v>
      </c>
      <c r="E2477" s="22" t="s">
        <v>1700</v>
      </c>
      <c r="F2477" s="22" t="s">
        <v>12</v>
      </c>
    </row>
    <row r="2478" ht="17.25" spans="1:6">
      <c r="A2478" s="22">
        <v>2477</v>
      </c>
      <c r="B2478" s="23" t="s">
        <v>2855</v>
      </c>
      <c r="C2478" s="23" t="s">
        <v>628</v>
      </c>
      <c r="D2478" s="23" t="s">
        <v>657</v>
      </c>
      <c r="E2478" s="23" t="s">
        <v>1700</v>
      </c>
      <c r="F2478" s="23" t="s">
        <v>12</v>
      </c>
    </row>
    <row r="2479" ht="17.25" spans="1:6">
      <c r="A2479" s="23">
        <v>2478</v>
      </c>
      <c r="B2479" s="22" t="s">
        <v>2856</v>
      </c>
      <c r="C2479" s="22" t="s">
        <v>692</v>
      </c>
      <c r="D2479" s="22" t="s">
        <v>727</v>
      </c>
      <c r="E2479" s="22" t="s">
        <v>1700</v>
      </c>
      <c r="F2479" s="22" t="s">
        <v>12</v>
      </c>
    </row>
    <row r="2480" ht="17.25" spans="1:6">
      <c r="A2480" s="22">
        <v>2479</v>
      </c>
      <c r="B2480" s="23" t="s">
        <v>2857</v>
      </c>
      <c r="C2480" s="23" t="s">
        <v>746</v>
      </c>
      <c r="D2480" s="23" t="s">
        <v>788</v>
      </c>
      <c r="E2480" s="23" t="s">
        <v>1700</v>
      </c>
      <c r="F2480" s="23" t="s">
        <v>12</v>
      </c>
    </row>
    <row r="2481" ht="17.25" spans="1:6">
      <c r="A2481" s="23">
        <v>2480</v>
      </c>
      <c r="B2481" s="22" t="s">
        <v>2858</v>
      </c>
      <c r="C2481" s="22" t="s">
        <v>797</v>
      </c>
      <c r="D2481" s="22" t="s">
        <v>819</v>
      </c>
      <c r="E2481" s="22" t="s">
        <v>1700</v>
      </c>
      <c r="F2481" s="22" t="s">
        <v>12</v>
      </c>
    </row>
    <row r="2482" ht="17.25" spans="1:6">
      <c r="A2482" s="22">
        <v>2481</v>
      </c>
      <c r="B2482" s="23" t="s">
        <v>2859</v>
      </c>
      <c r="C2482" s="23" t="s">
        <v>797</v>
      </c>
      <c r="D2482" s="23" t="s">
        <v>798</v>
      </c>
      <c r="E2482" s="23" t="s">
        <v>1700</v>
      </c>
      <c r="F2482" s="23" t="s">
        <v>12</v>
      </c>
    </row>
    <row r="2483" ht="17.25" spans="1:6">
      <c r="A2483" s="23">
        <v>2482</v>
      </c>
      <c r="B2483" s="22" t="s">
        <v>2860</v>
      </c>
      <c r="C2483" s="22" t="s">
        <v>902</v>
      </c>
      <c r="D2483" s="22" t="s">
        <v>921</v>
      </c>
      <c r="E2483" s="22" t="s">
        <v>1700</v>
      </c>
      <c r="F2483" s="22" t="s">
        <v>12</v>
      </c>
    </row>
    <row r="2484" ht="17.25" spans="1:6">
      <c r="A2484" s="22">
        <v>2483</v>
      </c>
      <c r="B2484" s="23" t="s">
        <v>2861</v>
      </c>
      <c r="C2484" s="23" t="s">
        <v>902</v>
      </c>
      <c r="D2484" s="23" t="s">
        <v>905</v>
      </c>
      <c r="E2484" s="23" t="s">
        <v>1700</v>
      </c>
      <c r="F2484" s="23" t="s">
        <v>12</v>
      </c>
    </row>
    <row r="2485" ht="17.25" spans="1:6">
      <c r="A2485" s="23">
        <v>2484</v>
      </c>
      <c r="B2485" s="22" t="s">
        <v>2862</v>
      </c>
      <c r="C2485" s="22" t="s">
        <v>943</v>
      </c>
      <c r="D2485" s="22" t="s">
        <v>944</v>
      </c>
      <c r="E2485" s="22" t="s">
        <v>1700</v>
      </c>
      <c r="F2485" s="22" t="s">
        <v>12</v>
      </c>
    </row>
    <row r="2486" ht="17.25" spans="1:6">
      <c r="A2486" s="22">
        <v>2485</v>
      </c>
      <c r="B2486" s="23" t="s">
        <v>2863</v>
      </c>
      <c r="C2486" s="23" t="s">
        <v>943</v>
      </c>
      <c r="D2486" s="23" t="s">
        <v>944</v>
      </c>
      <c r="E2486" s="23" t="s">
        <v>1700</v>
      </c>
      <c r="F2486" s="23" t="s">
        <v>12</v>
      </c>
    </row>
    <row r="2487" ht="17.25" spans="1:6">
      <c r="A2487" s="23">
        <v>2486</v>
      </c>
      <c r="B2487" s="22" t="s">
        <v>2864</v>
      </c>
      <c r="C2487" s="22" t="s">
        <v>971</v>
      </c>
      <c r="D2487" s="22" t="s">
        <v>2865</v>
      </c>
      <c r="E2487" s="22" t="s">
        <v>1700</v>
      </c>
      <c r="F2487" s="22" t="s">
        <v>12</v>
      </c>
    </row>
    <row r="2488" ht="17.25" spans="1:6">
      <c r="A2488" s="22">
        <v>2487</v>
      </c>
      <c r="B2488" s="23" t="s">
        <v>2866</v>
      </c>
      <c r="C2488" s="23" t="s">
        <v>1060</v>
      </c>
      <c r="D2488" s="23" t="s">
        <v>2867</v>
      </c>
      <c r="E2488" s="23" t="s">
        <v>1700</v>
      </c>
      <c r="F2488" s="23" t="s">
        <v>12</v>
      </c>
    </row>
    <row r="2489" ht="17.25" spans="1:6">
      <c r="A2489" s="23">
        <v>2488</v>
      </c>
      <c r="B2489" s="22" t="s">
        <v>2868</v>
      </c>
      <c r="C2489" s="22" t="s">
        <v>1060</v>
      </c>
      <c r="D2489" s="22" t="s">
        <v>1092</v>
      </c>
      <c r="E2489" s="22" t="s">
        <v>1700</v>
      </c>
      <c r="F2489" s="22" t="s">
        <v>12</v>
      </c>
    </row>
    <row r="2490" ht="17.25" spans="1:6">
      <c r="A2490" s="22">
        <v>2489</v>
      </c>
      <c r="B2490" s="23" t="s">
        <v>2869</v>
      </c>
      <c r="C2490" s="23" t="s">
        <v>1060</v>
      </c>
      <c r="D2490" s="23" t="s">
        <v>1073</v>
      </c>
      <c r="E2490" s="23" t="s">
        <v>1700</v>
      </c>
      <c r="F2490" s="23" t="s">
        <v>12</v>
      </c>
    </row>
    <row r="2491" ht="17.25" spans="1:6">
      <c r="A2491" s="23">
        <v>2490</v>
      </c>
      <c r="B2491" s="22" t="s">
        <v>2870</v>
      </c>
      <c r="C2491" s="22" t="s">
        <v>1206</v>
      </c>
      <c r="D2491" s="22" t="s">
        <v>2871</v>
      </c>
      <c r="E2491" s="22" t="s">
        <v>1700</v>
      </c>
      <c r="F2491" s="22" t="s">
        <v>12</v>
      </c>
    </row>
    <row r="2492" ht="17.25" spans="1:6">
      <c r="A2492" s="22">
        <v>2491</v>
      </c>
      <c r="B2492" s="23" t="s">
        <v>2872</v>
      </c>
      <c r="C2492" s="23" t="s">
        <v>587</v>
      </c>
      <c r="D2492" s="23"/>
      <c r="E2492" s="23" t="s">
        <v>1700</v>
      </c>
      <c r="F2492" s="23" t="s">
        <v>12</v>
      </c>
    </row>
    <row r="2493" ht="17.25" spans="1:6">
      <c r="A2493" s="23">
        <v>2492</v>
      </c>
      <c r="B2493" s="22" t="s">
        <v>2873</v>
      </c>
      <c r="C2493" s="22" t="s">
        <v>273</v>
      </c>
      <c r="D2493" s="22" t="s">
        <v>290</v>
      </c>
      <c r="E2493" s="22" t="s">
        <v>1700</v>
      </c>
      <c r="F2493" s="22" t="s">
        <v>12</v>
      </c>
    </row>
    <row r="2494" ht="17.25" spans="1:6">
      <c r="A2494" s="22">
        <v>2493</v>
      </c>
      <c r="B2494" s="23" t="s">
        <v>2874</v>
      </c>
      <c r="C2494" s="23" t="s">
        <v>379</v>
      </c>
      <c r="D2494" s="23" t="s">
        <v>392</v>
      </c>
      <c r="E2494" s="23" t="s">
        <v>1700</v>
      </c>
      <c r="F2494" s="23" t="s">
        <v>12</v>
      </c>
    </row>
    <row r="2495" ht="17.25" spans="1:6">
      <c r="A2495" s="23">
        <v>2494</v>
      </c>
      <c r="B2495" s="22" t="s">
        <v>2875</v>
      </c>
      <c r="C2495" s="22" t="s">
        <v>379</v>
      </c>
      <c r="D2495" s="22" t="s">
        <v>382</v>
      </c>
      <c r="E2495" s="22" t="s">
        <v>1700</v>
      </c>
      <c r="F2495" s="22" t="s">
        <v>12</v>
      </c>
    </row>
    <row r="2496" ht="17.25" spans="1:6">
      <c r="A2496" s="22">
        <v>2495</v>
      </c>
      <c r="B2496" s="23" t="s">
        <v>2876</v>
      </c>
      <c r="C2496" s="23" t="s">
        <v>379</v>
      </c>
      <c r="D2496" s="23" t="s">
        <v>401</v>
      </c>
      <c r="E2496" s="23" t="s">
        <v>1700</v>
      </c>
      <c r="F2496" s="23" t="s">
        <v>12</v>
      </c>
    </row>
    <row r="2497" ht="17.25" spans="1:6">
      <c r="A2497" s="23">
        <v>2496</v>
      </c>
      <c r="B2497" s="22" t="s">
        <v>2877</v>
      </c>
      <c r="C2497" s="22" t="s">
        <v>502</v>
      </c>
      <c r="D2497" s="22" t="s">
        <v>528</v>
      </c>
      <c r="E2497" s="22" t="s">
        <v>1700</v>
      </c>
      <c r="F2497" s="22" t="s">
        <v>12</v>
      </c>
    </row>
    <row r="2498" ht="17.25" spans="1:6">
      <c r="A2498" s="22">
        <v>2497</v>
      </c>
      <c r="B2498" s="23" t="s">
        <v>2878</v>
      </c>
      <c r="C2498" s="23" t="s">
        <v>553</v>
      </c>
      <c r="D2498" s="23" t="s">
        <v>554</v>
      </c>
      <c r="E2498" s="23" t="s">
        <v>1700</v>
      </c>
      <c r="F2498" s="23" t="s">
        <v>12</v>
      </c>
    </row>
    <row r="2499" ht="17.25" spans="1:6">
      <c r="A2499" s="23">
        <v>2498</v>
      </c>
      <c r="B2499" s="22" t="s">
        <v>2879</v>
      </c>
      <c r="C2499" s="22" t="s">
        <v>587</v>
      </c>
      <c r="D2499" s="22" t="s">
        <v>618</v>
      </c>
      <c r="E2499" s="22" t="s">
        <v>1700</v>
      </c>
      <c r="F2499" s="22" t="s">
        <v>12</v>
      </c>
    </row>
    <row r="2500" ht="17.25" spans="1:6">
      <c r="A2500" s="22">
        <v>2499</v>
      </c>
      <c r="B2500" s="23" t="s">
        <v>2880</v>
      </c>
      <c r="C2500" s="23" t="s">
        <v>587</v>
      </c>
      <c r="D2500" s="23" t="s">
        <v>616</v>
      </c>
      <c r="E2500" s="23" t="s">
        <v>1700</v>
      </c>
      <c r="F2500" s="23" t="s">
        <v>12</v>
      </c>
    </row>
    <row r="2501" ht="17.25" spans="1:6">
      <c r="A2501" s="23">
        <v>2500</v>
      </c>
      <c r="B2501" s="22" t="s">
        <v>2881</v>
      </c>
      <c r="C2501" s="22" t="s">
        <v>628</v>
      </c>
      <c r="D2501" s="22" t="s">
        <v>655</v>
      </c>
      <c r="E2501" s="22" t="s">
        <v>1700</v>
      </c>
      <c r="F2501" s="22" t="s">
        <v>12</v>
      </c>
    </row>
    <row r="2502" ht="17.25" spans="1:6">
      <c r="A2502" s="22">
        <v>2501</v>
      </c>
      <c r="B2502" s="23" t="s">
        <v>2882</v>
      </c>
      <c r="C2502" s="23" t="s">
        <v>951</v>
      </c>
      <c r="D2502" s="23" t="s">
        <v>951</v>
      </c>
      <c r="E2502" s="23" t="s">
        <v>1700</v>
      </c>
      <c r="F2502" s="23" t="s">
        <v>12</v>
      </c>
    </row>
    <row r="2503" ht="17.25" spans="1:6">
      <c r="A2503" s="23">
        <v>2502</v>
      </c>
      <c r="B2503" s="22" t="s">
        <v>2883</v>
      </c>
      <c r="C2503" s="22" t="s">
        <v>971</v>
      </c>
      <c r="D2503" s="22" t="s">
        <v>1000</v>
      </c>
      <c r="E2503" s="22" t="s">
        <v>1700</v>
      </c>
      <c r="F2503" s="22" t="s">
        <v>12</v>
      </c>
    </row>
    <row r="2504" ht="17.25" spans="1:6">
      <c r="A2504" s="22">
        <v>2503</v>
      </c>
      <c r="B2504" s="23" t="s">
        <v>2884</v>
      </c>
      <c r="C2504" s="23" t="s">
        <v>971</v>
      </c>
      <c r="D2504" s="23" t="s">
        <v>1000</v>
      </c>
      <c r="E2504" s="23" t="s">
        <v>1700</v>
      </c>
      <c r="F2504" s="23" t="s">
        <v>12</v>
      </c>
    </row>
    <row r="2505" ht="17.25" spans="1:6">
      <c r="A2505" s="23">
        <v>2504</v>
      </c>
      <c r="B2505" s="22" t="s">
        <v>2885</v>
      </c>
      <c r="C2505" s="22" t="s">
        <v>1101</v>
      </c>
      <c r="D2505" s="22" t="s">
        <v>2886</v>
      </c>
      <c r="E2505" s="22" t="s">
        <v>1700</v>
      </c>
      <c r="F2505" s="22" t="s">
        <v>12</v>
      </c>
    </row>
    <row r="2506" ht="17.25" spans="1:6">
      <c r="A2506" s="22">
        <v>2505</v>
      </c>
      <c r="B2506" s="23" t="s">
        <v>2887</v>
      </c>
      <c r="C2506" s="23" t="s">
        <v>1206</v>
      </c>
      <c r="D2506" s="23" t="s">
        <v>1223</v>
      </c>
      <c r="E2506" s="23" t="s">
        <v>1700</v>
      </c>
      <c r="F2506" s="23" t="s">
        <v>12</v>
      </c>
    </row>
    <row r="2507" ht="17.25" spans="1:6">
      <c r="A2507" s="23">
        <v>2506</v>
      </c>
      <c r="B2507" s="22" t="s">
        <v>2888</v>
      </c>
      <c r="C2507" s="22" t="s">
        <v>10</v>
      </c>
      <c r="D2507" s="22" t="s">
        <v>10</v>
      </c>
      <c r="E2507" s="22" t="s">
        <v>1700</v>
      </c>
      <c r="F2507" s="22" t="s">
        <v>1252</v>
      </c>
    </row>
    <row r="2508" ht="17.25" spans="1:6">
      <c r="A2508" s="22">
        <v>2507</v>
      </c>
      <c r="B2508" s="23" t="s">
        <v>2889</v>
      </c>
      <c r="C2508" s="23" t="s">
        <v>10</v>
      </c>
      <c r="D2508" s="23" t="s">
        <v>10</v>
      </c>
      <c r="E2508" s="23" t="s">
        <v>1700</v>
      </c>
      <c r="F2508" s="23" t="s">
        <v>1252</v>
      </c>
    </row>
    <row r="2509" ht="17.25" spans="1:6">
      <c r="A2509" s="23">
        <v>2508</v>
      </c>
      <c r="B2509" s="22" t="s">
        <v>2890</v>
      </c>
      <c r="C2509" s="22" t="s">
        <v>10</v>
      </c>
      <c r="D2509" s="22" t="s">
        <v>10</v>
      </c>
      <c r="E2509" s="22" t="s">
        <v>1700</v>
      </c>
      <c r="F2509" s="22" t="s">
        <v>1252</v>
      </c>
    </row>
    <row r="2510" ht="17.25" spans="1:6">
      <c r="A2510" s="22">
        <v>2509</v>
      </c>
      <c r="B2510" s="23" t="s">
        <v>2891</v>
      </c>
      <c r="C2510" s="23" t="s">
        <v>10</v>
      </c>
      <c r="D2510" s="23" t="s">
        <v>10</v>
      </c>
      <c r="E2510" s="23" t="s">
        <v>1700</v>
      </c>
      <c r="F2510" s="23" t="s">
        <v>1252</v>
      </c>
    </row>
    <row r="2511" ht="17.25" spans="1:6">
      <c r="A2511" s="23">
        <v>2510</v>
      </c>
      <c r="B2511" s="22" t="s">
        <v>2892</v>
      </c>
      <c r="C2511" s="22" t="s">
        <v>10</v>
      </c>
      <c r="D2511" s="22" t="s">
        <v>10</v>
      </c>
      <c r="E2511" s="22" t="s">
        <v>1700</v>
      </c>
      <c r="F2511" s="22" t="s">
        <v>1252</v>
      </c>
    </row>
    <row r="2512" ht="17.25" spans="1:6">
      <c r="A2512" s="22">
        <v>2511</v>
      </c>
      <c r="B2512" s="23" t="s">
        <v>2893</v>
      </c>
      <c r="C2512" s="23" t="s">
        <v>10</v>
      </c>
      <c r="D2512" s="23" t="s">
        <v>10</v>
      </c>
      <c r="E2512" s="23" t="s">
        <v>1700</v>
      </c>
      <c r="F2512" s="23" t="s">
        <v>1252</v>
      </c>
    </row>
    <row r="2513" ht="17.25" spans="1:6">
      <c r="A2513" s="23">
        <v>2512</v>
      </c>
      <c r="B2513" s="22" t="s">
        <v>2894</v>
      </c>
      <c r="C2513" s="22" t="s">
        <v>10</v>
      </c>
      <c r="D2513" s="22" t="s">
        <v>10</v>
      </c>
      <c r="E2513" s="22" t="s">
        <v>1700</v>
      </c>
      <c r="F2513" s="22" t="s">
        <v>1252</v>
      </c>
    </row>
    <row r="2514" ht="17.25" spans="1:6">
      <c r="A2514" s="22">
        <v>2513</v>
      </c>
      <c r="B2514" s="23" t="s">
        <v>2895</v>
      </c>
      <c r="C2514" s="23" t="s">
        <v>10</v>
      </c>
      <c r="D2514" s="23" t="s">
        <v>10</v>
      </c>
      <c r="E2514" s="23" t="s">
        <v>1700</v>
      </c>
      <c r="F2514" s="23" t="s">
        <v>1252</v>
      </c>
    </row>
    <row r="2515" ht="17.25" spans="1:6">
      <c r="A2515" s="23">
        <v>2514</v>
      </c>
      <c r="B2515" s="22" t="s">
        <v>2896</v>
      </c>
      <c r="C2515" s="22" t="s">
        <v>10</v>
      </c>
      <c r="D2515" s="22" t="s">
        <v>10</v>
      </c>
      <c r="E2515" s="22" t="s">
        <v>1700</v>
      </c>
      <c r="F2515" s="22" t="s">
        <v>1252</v>
      </c>
    </row>
    <row r="2516" ht="17.25" spans="1:6">
      <c r="A2516" s="22">
        <v>2515</v>
      </c>
      <c r="B2516" s="23" t="s">
        <v>2897</v>
      </c>
      <c r="C2516" s="23" t="s">
        <v>76</v>
      </c>
      <c r="D2516" s="23" t="s">
        <v>76</v>
      </c>
      <c r="E2516" s="23" t="s">
        <v>1700</v>
      </c>
      <c r="F2516" s="23" t="s">
        <v>1252</v>
      </c>
    </row>
    <row r="2517" ht="17.25" spans="1:6">
      <c r="A2517" s="23">
        <v>2516</v>
      </c>
      <c r="B2517" s="22" t="s">
        <v>2898</v>
      </c>
      <c r="C2517" s="22" t="s">
        <v>98</v>
      </c>
      <c r="D2517" s="22" t="s">
        <v>103</v>
      </c>
      <c r="E2517" s="22" t="s">
        <v>1700</v>
      </c>
      <c r="F2517" s="22" t="s">
        <v>1252</v>
      </c>
    </row>
    <row r="2518" ht="17.25" spans="1:6">
      <c r="A2518" s="22">
        <v>2517</v>
      </c>
      <c r="B2518" s="23" t="s">
        <v>2899</v>
      </c>
      <c r="C2518" s="23" t="s">
        <v>98</v>
      </c>
      <c r="D2518" s="23" t="s">
        <v>103</v>
      </c>
      <c r="E2518" s="23" t="s">
        <v>1700</v>
      </c>
      <c r="F2518" s="23" t="s">
        <v>1252</v>
      </c>
    </row>
    <row r="2519" ht="17.25" spans="1:6">
      <c r="A2519" s="23">
        <v>2518</v>
      </c>
      <c r="B2519" s="22" t="s">
        <v>2900</v>
      </c>
      <c r="C2519" s="22" t="s">
        <v>98</v>
      </c>
      <c r="D2519" s="22" t="s">
        <v>103</v>
      </c>
      <c r="E2519" s="22" t="s">
        <v>1700</v>
      </c>
      <c r="F2519" s="22" t="s">
        <v>1252</v>
      </c>
    </row>
    <row r="2520" ht="17.25" spans="1:6">
      <c r="A2520" s="22">
        <v>2519</v>
      </c>
      <c r="B2520" s="23" t="s">
        <v>2901</v>
      </c>
      <c r="C2520" s="23" t="s">
        <v>98</v>
      </c>
      <c r="D2520" s="23" t="s">
        <v>103</v>
      </c>
      <c r="E2520" s="23" t="s">
        <v>1700</v>
      </c>
      <c r="F2520" s="23" t="s">
        <v>1252</v>
      </c>
    </row>
    <row r="2521" ht="17.25" spans="1:6">
      <c r="A2521" s="23">
        <v>2520</v>
      </c>
      <c r="B2521" s="22" t="s">
        <v>2902</v>
      </c>
      <c r="C2521" s="22" t="s">
        <v>98</v>
      </c>
      <c r="D2521" s="22" t="s">
        <v>103</v>
      </c>
      <c r="E2521" s="22" t="s">
        <v>1700</v>
      </c>
      <c r="F2521" s="22" t="s">
        <v>1252</v>
      </c>
    </row>
    <row r="2522" ht="17.25" spans="1:6">
      <c r="A2522" s="22">
        <v>2521</v>
      </c>
      <c r="B2522" s="23" t="s">
        <v>2903</v>
      </c>
      <c r="C2522" s="23" t="s">
        <v>98</v>
      </c>
      <c r="D2522" s="23" t="s">
        <v>103</v>
      </c>
      <c r="E2522" s="23" t="s">
        <v>1700</v>
      </c>
      <c r="F2522" s="23" t="s">
        <v>1252</v>
      </c>
    </row>
    <row r="2523" ht="17.25" spans="1:6">
      <c r="A2523" s="23">
        <v>2522</v>
      </c>
      <c r="B2523" s="22" t="s">
        <v>2904</v>
      </c>
      <c r="C2523" s="22" t="s">
        <v>98</v>
      </c>
      <c r="D2523" s="22" t="s">
        <v>103</v>
      </c>
      <c r="E2523" s="22" t="s">
        <v>1700</v>
      </c>
      <c r="F2523" s="22" t="s">
        <v>1252</v>
      </c>
    </row>
    <row r="2524" ht="17.25" spans="1:6">
      <c r="A2524" s="22">
        <v>2523</v>
      </c>
      <c r="B2524" s="23" t="s">
        <v>2905</v>
      </c>
      <c r="C2524" s="23" t="s">
        <v>98</v>
      </c>
      <c r="D2524" s="23" t="s">
        <v>103</v>
      </c>
      <c r="E2524" s="23" t="s">
        <v>1700</v>
      </c>
      <c r="F2524" s="23" t="s">
        <v>1252</v>
      </c>
    </row>
    <row r="2525" ht="17.25" spans="1:6">
      <c r="A2525" s="23">
        <v>2524</v>
      </c>
      <c r="B2525" s="22" t="s">
        <v>2906</v>
      </c>
      <c r="C2525" s="22" t="s">
        <v>98</v>
      </c>
      <c r="D2525" s="22" t="s">
        <v>103</v>
      </c>
      <c r="E2525" s="22" t="s">
        <v>1700</v>
      </c>
      <c r="F2525" s="22" t="s">
        <v>1252</v>
      </c>
    </row>
    <row r="2526" ht="17.25" spans="1:6">
      <c r="A2526" s="22">
        <v>2525</v>
      </c>
      <c r="B2526" s="23" t="s">
        <v>2907</v>
      </c>
      <c r="C2526" s="23" t="s">
        <v>98</v>
      </c>
      <c r="D2526" s="23" t="s">
        <v>103</v>
      </c>
      <c r="E2526" s="23" t="s">
        <v>1700</v>
      </c>
      <c r="F2526" s="23" t="s">
        <v>1252</v>
      </c>
    </row>
    <row r="2527" ht="17.25" spans="1:6">
      <c r="A2527" s="23">
        <v>2526</v>
      </c>
      <c r="B2527" s="22" t="s">
        <v>2908</v>
      </c>
      <c r="C2527" s="22" t="s">
        <v>98</v>
      </c>
      <c r="D2527" s="22" t="s">
        <v>111</v>
      </c>
      <c r="E2527" s="22" t="s">
        <v>1700</v>
      </c>
      <c r="F2527" s="22" t="s">
        <v>1252</v>
      </c>
    </row>
    <row r="2528" ht="17.25" spans="1:6">
      <c r="A2528" s="22">
        <v>2527</v>
      </c>
      <c r="B2528" s="23" t="s">
        <v>2909</v>
      </c>
      <c r="C2528" s="23" t="s">
        <v>98</v>
      </c>
      <c r="D2528" s="23" t="s">
        <v>106</v>
      </c>
      <c r="E2528" s="23" t="s">
        <v>1700</v>
      </c>
      <c r="F2528" s="23" t="s">
        <v>1252</v>
      </c>
    </row>
    <row r="2529" ht="17.25" spans="1:6">
      <c r="A2529" s="23">
        <v>2528</v>
      </c>
      <c r="B2529" s="22" t="s">
        <v>2910</v>
      </c>
      <c r="C2529" s="22" t="s">
        <v>98</v>
      </c>
      <c r="D2529" s="22" t="s">
        <v>106</v>
      </c>
      <c r="E2529" s="22" t="s">
        <v>1700</v>
      </c>
      <c r="F2529" s="22" t="s">
        <v>1252</v>
      </c>
    </row>
    <row r="2530" ht="17.25" spans="1:6">
      <c r="A2530" s="22">
        <v>2529</v>
      </c>
      <c r="B2530" s="23" t="s">
        <v>2911</v>
      </c>
      <c r="C2530" s="23" t="s">
        <v>98</v>
      </c>
      <c r="D2530" s="23" t="s">
        <v>128</v>
      </c>
      <c r="E2530" s="23" t="s">
        <v>1700</v>
      </c>
      <c r="F2530" s="23" t="s">
        <v>1252</v>
      </c>
    </row>
    <row r="2531" ht="17.25" spans="1:6">
      <c r="A2531" s="23">
        <v>2530</v>
      </c>
      <c r="B2531" s="22" t="s">
        <v>2912</v>
      </c>
      <c r="C2531" s="22" t="s">
        <v>151</v>
      </c>
      <c r="D2531" s="22" t="s">
        <v>181</v>
      </c>
      <c r="E2531" s="22" t="s">
        <v>1700</v>
      </c>
      <c r="F2531" s="22" t="s">
        <v>1252</v>
      </c>
    </row>
    <row r="2532" ht="17.25" spans="1:6">
      <c r="A2532" s="22">
        <v>2531</v>
      </c>
      <c r="B2532" s="23" t="s">
        <v>2913</v>
      </c>
      <c r="C2532" s="23" t="s">
        <v>151</v>
      </c>
      <c r="D2532" s="23" t="s">
        <v>157</v>
      </c>
      <c r="E2532" s="23" t="s">
        <v>1700</v>
      </c>
      <c r="F2532" s="23" t="s">
        <v>1252</v>
      </c>
    </row>
    <row r="2533" ht="17.25" spans="1:6">
      <c r="A2533" s="23">
        <v>2532</v>
      </c>
      <c r="B2533" s="22" t="s">
        <v>2914</v>
      </c>
      <c r="C2533" s="22" t="s">
        <v>151</v>
      </c>
      <c r="D2533" s="22" t="s">
        <v>157</v>
      </c>
      <c r="E2533" s="22" t="s">
        <v>1700</v>
      </c>
      <c r="F2533" s="22" t="s">
        <v>1252</v>
      </c>
    </row>
    <row r="2534" ht="17.25" spans="1:6">
      <c r="A2534" s="22">
        <v>2533</v>
      </c>
      <c r="B2534" s="23" t="s">
        <v>2915</v>
      </c>
      <c r="C2534" s="23" t="s">
        <v>151</v>
      </c>
      <c r="D2534" s="23" t="s">
        <v>152</v>
      </c>
      <c r="E2534" s="23" t="s">
        <v>1700</v>
      </c>
      <c r="F2534" s="23" t="s">
        <v>1252</v>
      </c>
    </row>
    <row r="2535" ht="17.25" spans="1:6">
      <c r="A2535" s="23">
        <v>2534</v>
      </c>
      <c r="B2535" s="22" t="s">
        <v>2916</v>
      </c>
      <c r="C2535" s="22" t="s">
        <v>191</v>
      </c>
      <c r="D2535" s="22" t="s">
        <v>192</v>
      </c>
      <c r="E2535" s="22" t="s">
        <v>1700</v>
      </c>
      <c r="F2535" s="22" t="s">
        <v>1252</v>
      </c>
    </row>
    <row r="2536" ht="17.25" spans="1:6">
      <c r="A2536" s="22">
        <v>2535</v>
      </c>
      <c r="B2536" s="23" t="s">
        <v>2917</v>
      </c>
      <c r="C2536" s="23" t="s">
        <v>191</v>
      </c>
      <c r="D2536" s="23" t="s">
        <v>192</v>
      </c>
      <c r="E2536" s="23" t="s">
        <v>1700</v>
      </c>
      <c r="F2536" s="23" t="s">
        <v>1252</v>
      </c>
    </row>
    <row r="2537" ht="17.25" spans="1:6">
      <c r="A2537" s="23">
        <v>2536</v>
      </c>
      <c r="B2537" s="22" t="s">
        <v>2918</v>
      </c>
      <c r="C2537" s="22" t="s">
        <v>191</v>
      </c>
      <c r="D2537" s="22" t="s">
        <v>192</v>
      </c>
      <c r="E2537" s="22" t="s">
        <v>1700</v>
      </c>
      <c r="F2537" s="22" t="s">
        <v>1252</v>
      </c>
    </row>
    <row r="2538" ht="17.25" spans="1:6">
      <c r="A2538" s="22">
        <v>2537</v>
      </c>
      <c r="B2538" s="23" t="s">
        <v>2919</v>
      </c>
      <c r="C2538" s="23" t="s">
        <v>191</v>
      </c>
      <c r="D2538" s="23" t="s">
        <v>202</v>
      </c>
      <c r="E2538" s="23" t="s">
        <v>1700</v>
      </c>
      <c r="F2538" s="23" t="s">
        <v>1252</v>
      </c>
    </row>
    <row r="2539" ht="17.25" spans="1:6">
      <c r="A2539" s="23">
        <v>2538</v>
      </c>
      <c r="B2539" s="22" t="s">
        <v>2920</v>
      </c>
      <c r="C2539" s="22" t="s">
        <v>191</v>
      </c>
      <c r="D2539" s="22" t="s">
        <v>192</v>
      </c>
      <c r="E2539" s="22" t="s">
        <v>1700</v>
      </c>
      <c r="F2539" s="22" t="s">
        <v>1252</v>
      </c>
    </row>
    <row r="2540" ht="17.25" spans="1:6">
      <c r="A2540" s="22">
        <v>2539</v>
      </c>
      <c r="B2540" s="23" t="s">
        <v>2921</v>
      </c>
      <c r="C2540" s="23" t="s">
        <v>191</v>
      </c>
      <c r="D2540" s="23" t="s">
        <v>192</v>
      </c>
      <c r="E2540" s="23" t="s">
        <v>1700</v>
      </c>
      <c r="F2540" s="23" t="s">
        <v>1252</v>
      </c>
    </row>
    <row r="2541" ht="17.25" spans="1:6">
      <c r="A2541" s="23">
        <v>2540</v>
      </c>
      <c r="B2541" s="22" t="s">
        <v>2922</v>
      </c>
      <c r="C2541" s="22" t="s">
        <v>191</v>
      </c>
      <c r="D2541" s="22" t="s">
        <v>192</v>
      </c>
      <c r="E2541" s="22" t="s">
        <v>1700</v>
      </c>
      <c r="F2541" s="22" t="s">
        <v>1252</v>
      </c>
    </row>
    <row r="2542" ht="17.25" spans="1:6">
      <c r="A2542" s="22">
        <v>2541</v>
      </c>
      <c r="B2542" s="23" t="s">
        <v>2923</v>
      </c>
      <c r="C2542" s="23" t="s">
        <v>191</v>
      </c>
      <c r="D2542" s="23" t="s">
        <v>209</v>
      </c>
      <c r="E2542" s="23" t="s">
        <v>1700</v>
      </c>
      <c r="F2542" s="23" t="s">
        <v>1252</v>
      </c>
    </row>
    <row r="2543" ht="17.25" spans="1:6">
      <c r="A2543" s="23">
        <v>2542</v>
      </c>
      <c r="B2543" s="22" t="s">
        <v>2924</v>
      </c>
      <c r="C2543" s="22" t="s">
        <v>220</v>
      </c>
      <c r="D2543" s="22" t="s">
        <v>223</v>
      </c>
      <c r="E2543" s="22" t="s">
        <v>1700</v>
      </c>
      <c r="F2543" s="22" t="s">
        <v>1252</v>
      </c>
    </row>
    <row r="2544" ht="17.25" spans="1:6">
      <c r="A2544" s="22">
        <v>2543</v>
      </c>
      <c r="B2544" s="23" t="s">
        <v>2925</v>
      </c>
      <c r="C2544" s="23" t="s">
        <v>220</v>
      </c>
      <c r="D2544" s="23" t="s">
        <v>221</v>
      </c>
      <c r="E2544" s="23" t="s">
        <v>1700</v>
      </c>
      <c r="F2544" s="23" t="s">
        <v>1252</v>
      </c>
    </row>
    <row r="2545" ht="17.25" spans="1:6">
      <c r="A2545" s="23">
        <v>2544</v>
      </c>
      <c r="B2545" s="22" t="s">
        <v>2926</v>
      </c>
      <c r="C2545" s="22" t="s">
        <v>220</v>
      </c>
      <c r="D2545" s="22" t="s">
        <v>223</v>
      </c>
      <c r="E2545" s="22" t="s">
        <v>1700</v>
      </c>
      <c r="F2545" s="22" t="s">
        <v>1252</v>
      </c>
    </row>
    <row r="2546" ht="17.25" spans="1:6">
      <c r="A2546" s="22">
        <v>2545</v>
      </c>
      <c r="B2546" s="23" t="s">
        <v>2927</v>
      </c>
      <c r="C2546" s="23" t="s">
        <v>220</v>
      </c>
      <c r="D2546" s="23" t="s">
        <v>223</v>
      </c>
      <c r="E2546" s="23" t="s">
        <v>1700</v>
      </c>
      <c r="F2546" s="23" t="s">
        <v>1252</v>
      </c>
    </row>
    <row r="2547" ht="17.25" spans="1:6">
      <c r="A2547" s="23">
        <v>2546</v>
      </c>
      <c r="B2547" s="22" t="s">
        <v>2928</v>
      </c>
      <c r="C2547" s="22" t="s">
        <v>220</v>
      </c>
      <c r="D2547" s="22" t="s">
        <v>223</v>
      </c>
      <c r="E2547" s="22" t="s">
        <v>1700</v>
      </c>
      <c r="F2547" s="22" t="s">
        <v>1252</v>
      </c>
    </row>
    <row r="2548" ht="17.25" spans="1:6">
      <c r="A2548" s="22">
        <v>2547</v>
      </c>
      <c r="B2548" s="23" t="s">
        <v>2929</v>
      </c>
      <c r="C2548" s="23" t="s">
        <v>220</v>
      </c>
      <c r="D2548" s="23" t="s">
        <v>223</v>
      </c>
      <c r="E2548" s="23" t="s">
        <v>1700</v>
      </c>
      <c r="F2548" s="23" t="s">
        <v>1252</v>
      </c>
    </row>
    <row r="2549" ht="17.25" spans="1:6">
      <c r="A2549" s="23">
        <v>2548</v>
      </c>
      <c r="B2549" s="22" t="s">
        <v>2930</v>
      </c>
      <c r="C2549" s="22" t="s">
        <v>220</v>
      </c>
      <c r="D2549" s="22" t="s">
        <v>223</v>
      </c>
      <c r="E2549" s="22" t="s">
        <v>1700</v>
      </c>
      <c r="F2549" s="22" t="s">
        <v>1252</v>
      </c>
    </row>
    <row r="2550" ht="17.25" spans="1:6">
      <c r="A2550" s="22">
        <v>2549</v>
      </c>
      <c r="B2550" s="23" t="s">
        <v>2931</v>
      </c>
      <c r="C2550" s="23" t="s">
        <v>220</v>
      </c>
      <c r="D2550" s="23" t="s">
        <v>223</v>
      </c>
      <c r="E2550" s="23" t="s">
        <v>1700</v>
      </c>
      <c r="F2550" s="23" t="s">
        <v>1252</v>
      </c>
    </row>
    <row r="2551" ht="17.25" spans="1:6">
      <c r="A2551" s="23">
        <v>2550</v>
      </c>
      <c r="B2551" s="22" t="s">
        <v>2932</v>
      </c>
      <c r="C2551" s="22" t="s">
        <v>220</v>
      </c>
      <c r="D2551" s="22" t="s">
        <v>221</v>
      </c>
      <c r="E2551" s="22" t="s">
        <v>1700</v>
      </c>
      <c r="F2551" s="22" t="s">
        <v>1252</v>
      </c>
    </row>
    <row r="2552" ht="17.25" spans="1:6">
      <c r="A2552" s="22">
        <v>2551</v>
      </c>
      <c r="B2552" s="23" t="s">
        <v>2933</v>
      </c>
      <c r="C2552" s="23" t="s">
        <v>273</v>
      </c>
      <c r="D2552" s="23" t="s">
        <v>274</v>
      </c>
      <c r="E2552" s="23" t="s">
        <v>1700</v>
      </c>
      <c r="F2552" s="23" t="s">
        <v>1252</v>
      </c>
    </row>
    <row r="2553" ht="17.25" spans="1:6">
      <c r="A2553" s="23">
        <v>2552</v>
      </c>
      <c r="B2553" s="22" t="s">
        <v>2934</v>
      </c>
      <c r="C2553" s="22" t="s">
        <v>273</v>
      </c>
      <c r="D2553" s="22" t="s">
        <v>274</v>
      </c>
      <c r="E2553" s="22" t="s">
        <v>1700</v>
      </c>
      <c r="F2553" s="22" t="s">
        <v>1252</v>
      </c>
    </row>
    <row r="2554" ht="17.25" spans="1:6">
      <c r="A2554" s="22">
        <v>2553</v>
      </c>
      <c r="B2554" s="23" t="s">
        <v>2935</v>
      </c>
      <c r="C2554" s="23" t="s">
        <v>273</v>
      </c>
      <c r="D2554" s="23" t="s">
        <v>274</v>
      </c>
      <c r="E2554" s="23" t="s">
        <v>1700</v>
      </c>
      <c r="F2554" s="23" t="s">
        <v>1252</v>
      </c>
    </row>
    <row r="2555" ht="17.25" spans="1:6">
      <c r="A2555" s="23">
        <v>2554</v>
      </c>
      <c r="B2555" s="22" t="s">
        <v>2936</v>
      </c>
      <c r="C2555" s="22" t="s">
        <v>273</v>
      </c>
      <c r="D2555" s="22" t="s">
        <v>274</v>
      </c>
      <c r="E2555" s="22" t="s">
        <v>1700</v>
      </c>
      <c r="F2555" s="22" t="s">
        <v>1252</v>
      </c>
    </row>
    <row r="2556" ht="17.25" spans="1:6">
      <c r="A2556" s="22">
        <v>2555</v>
      </c>
      <c r="B2556" s="23" t="s">
        <v>2937</v>
      </c>
      <c r="C2556" s="23" t="s">
        <v>273</v>
      </c>
      <c r="D2556" s="23" t="s">
        <v>276</v>
      </c>
      <c r="E2556" s="23" t="s">
        <v>1700</v>
      </c>
      <c r="F2556" s="23" t="s">
        <v>1252</v>
      </c>
    </row>
    <row r="2557" ht="17.25" spans="1:6">
      <c r="A2557" s="23">
        <v>2556</v>
      </c>
      <c r="B2557" s="22" t="s">
        <v>2938</v>
      </c>
      <c r="C2557" s="22" t="s">
        <v>273</v>
      </c>
      <c r="D2557" s="22" t="s">
        <v>274</v>
      </c>
      <c r="E2557" s="22" t="s">
        <v>1700</v>
      </c>
      <c r="F2557" s="22" t="s">
        <v>1252</v>
      </c>
    </row>
    <row r="2558" ht="17.25" spans="1:6">
      <c r="A2558" s="22">
        <v>2557</v>
      </c>
      <c r="B2558" s="23" t="s">
        <v>2939</v>
      </c>
      <c r="C2558" s="23" t="s">
        <v>273</v>
      </c>
      <c r="D2558" s="23" t="s">
        <v>274</v>
      </c>
      <c r="E2558" s="23" t="s">
        <v>1700</v>
      </c>
      <c r="F2558" s="23" t="s">
        <v>1252</v>
      </c>
    </row>
    <row r="2559" ht="17.25" spans="1:6">
      <c r="A2559" s="23">
        <v>2558</v>
      </c>
      <c r="B2559" s="22" t="s">
        <v>2940</v>
      </c>
      <c r="C2559" s="22" t="s">
        <v>273</v>
      </c>
      <c r="D2559" s="22" t="s">
        <v>288</v>
      </c>
      <c r="E2559" s="22" t="s">
        <v>1700</v>
      </c>
      <c r="F2559" s="22" t="s">
        <v>1252</v>
      </c>
    </row>
    <row r="2560" ht="17.25" spans="1:6">
      <c r="A2560" s="22">
        <v>2559</v>
      </c>
      <c r="B2560" s="23" t="s">
        <v>2941</v>
      </c>
      <c r="C2560" s="23" t="s">
        <v>308</v>
      </c>
      <c r="D2560" s="23" t="s">
        <v>309</v>
      </c>
      <c r="E2560" s="23" t="s">
        <v>1700</v>
      </c>
      <c r="F2560" s="23" t="s">
        <v>1252</v>
      </c>
    </row>
    <row r="2561" ht="17.25" spans="1:6">
      <c r="A2561" s="23">
        <v>2560</v>
      </c>
      <c r="B2561" s="22" t="s">
        <v>2942</v>
      </c>
      <c r="C2561" s="22" t="s">
        <v>308</v>
      </c>
      <c r="D2561" s="22" t="s">
        <v>309</v>
      </c>
      <c r="E2561" s="22" t="s">
        <v>1700</v>
      </c>
      <c r="F2561" s="22" t="s">
        <v>1252</v>
      </c>
    </row>
    <row r="2562" ht="17.25" spans="1:6">
      <c r="A2562" s="22">
        <v>2561</v>
      </c>
      <c r="B2562" s="23" t="s">
        <v>2943</v>
      </c>
      <c r="C2562" s="23" t="s">
        <v>308</v>
      </c>
      <c r="D2562" s="23" t="s">
        <v>317</v>
      </c>
      <c r="E2562" s="23" t="s">
        <v>1700</v>
      </c>
      <c r="F2562" s="23" t="s">
        <v>1252</v>
      </c>
    </row>
    <row r="2563" ht="17.25" spans="1:6">
      <c r="A2563" s="23">
        <v>2562</v>
      </c>
      <c r="B2563" s="22" t="s">
        <v>2944</v>
      </c>
      <c r="C2563" s="22" t="s">
        <v>308</v>
      </c>
      <c r="D2563" s="22" t="s">
        <v>309</v>
      </c>
      <c r="E2563" s="22" t="s">
        <v>1700</v>
      </c>
      <c r="F2563" s="22" t="s">
        <v>1252</v>
      </c>
    </row>
    <row r="2564" ht="17.25" spans="1:6">
      <c r="A2564" s="22">
        <v>2563</v>
      </c>
      <c r="B2564" s="23" t="s">
        <v>2945</v>
      </c>
      <c r="C2564" s="23" t="s">
        <v>308</v>
      </c>
      <c r="D2564" s="23" t="s">
        <v>327</v>
      </c>
      <c r="E2564" s="23" t="s">
        <v>1700</v>
      </c>
      <c r="F2564" s="23" t="s">
        <v>1252</v>
      </c>
    </row>
    <row r="2565" ht="17.25" spans="1:6">
      <c r="A2565" s="23">
        <v>2564</v>
      </c>
      <c r="B2565" s="22" t="s">
        <v>2946</v>
      </c>
      <c r="C2565" s="22" t="s">
        <v>308</v>
      </c>
      <c r="D2565" s="22" t="s">
        <v>309</v>
      </c>
      <c r="E2565" s="22" t="s">
        <v>1700</v>
      </c>
      <c r="F2565" s="22" t="s">
        <v>1252</v>
      </c>
    </row>
    <row r="2566" ht="17.25" spans="1:6">
      <c r="A2566" s="22">
        <v>2565</v>
      </c>
      <c r="B2566" s="23" t="s">
        <v>2947</v>
      </c>
      <c r="C2566" s="23" t="s">
        <v>347</v>
      </c>
      <c r="D2566" s="23" t="s">
        <v>347</v>
      </c>
      <c r="E2566" s="23" t="s">
        <v>1700</v>
      </c>
      <c r="F2566" s="23" t="s">
        <v>1252</v>
      </c>
    </row>
    <row r="2567" ht="17.25" spans="1:6">
      <c r="A2567" s="23">
        <v>2566</v>
      </c>
      <c r="B2567" s="22" t="s">
        <v>2948</v>
      </c>
      <c r="C2567" s="22" t="s">
        <v>347</v>
      </c>
      <c r="D2567" s="22" t="s">
        <v>347</v>
      </c>
      <c r="E2567" s="22" t="s">
        <v>1700</v>
      </c>
      <c r="F2567" s="22" t="s">
        <v>1252</v>
      </c>
    </row>
    <row r="2568" ht="17.25" spans="1:6">
      <c r="A2568" s="22">
        <v>2567</v>
      </c>
      <c r="B2568" s="23" t="s">
        <v>2949</v>
      </c>
      <c r="C2568" s="23" t="s">
        <v>347</v>
      </c>
      <c r="D2568" s="23" t="s">
        <v>347</v>
      </c>
      <c r="E2568" s="23" t="s">
        <v>1700</v>
      </c>
      <c r="F2568" s="23" t="s">
        <v>1252</v>
      </c>
    </row>
    <row r="2569" ht="17.25" spans="1:6">
      <c r="A2569" s="23">
        <v>2568</v>
      </c>
      <c r="B2569" s="22" t="s">
        <v>2950</v>
      </c>
      <c r="C2569" s="22" t="s">
        <v>347</v>
      </c>
      <c r="D2569" s="22" t="s">
        <v>347</v>
      </c>
      <c r="E2569" s="22" t="s">
        <v>1700</v>
      </c>
      <c r="F2569" s="22" t="s">
        <v>1252</v>
      </c>
    </row>
    <row r="2570" ht="17.25" spans="1:6">
      <c r="A2570" s="22">
        <v>2569</v>
      </c>
      <c r="B2570" s="23" t="s">
        <v>2951</v>
      </c>
      <c r="C2570" s="23" t="s">
        <v>347</v>
      </c>
      <c r="D2570" s="23" t="s">
        <v>347</v>
      </c>
      <c r="E2570" s="23" t="s">
        <v>1700</v>
      </c>
      <c r="F2570" s="23" t="s">
        <v>1252</v>
      </c>
    </row>
    <row r="2571" ht="17.25" spans="1:6">
      <c r="A2571" s="23">
        <v>2570</v>
      </c>
      <c r="B2571" s="22" t="s">
        <v>2952</v>
      </c>
      <c r="C2571" s="22" t="s">
        <v>347</v>
      </c>
      <c r="D2571" s="22" t="s">
        <v>347</v>
      </c>
      <c r="E2571" s="22" t="s">
        <v>1700</v>
      </c>
      <c r="F2571" s="22" t="s">
        <v>1252</v>
      </c>
    </row>
    <row r="2572" ht="17.25" spans="1:6">
      <c r="A2572" s="22">
        <v>2571</v>
      </c>
      <c r="B2572" s="23" t="s">
        <v>2953</v>
      </c>
      <c r="C2572" s="23" t="s">
        <v>347</v>
      </c>
      <c r="D2572" s="23" t="s">
        <v>347</v>
      </c>
      <c r="E2572" s="23" t="s">
        <v>1700</v>
      </c>
      <c r="F2572" s="23" t="s">
        <v>1252</v>
      </c>
    </row>
    <row r="2573" ht="17.25" spans="1:6">
      <c r="A2573" s="23">
        <v>2572</v>
      </c>
      <c r="B2573" s="22" t="s">
        <v>2954</v>
      </c>
      <c r="C2573" s="22" t="s">
        <v>347</v>
      </c>
      <c r="D2573" s="22" t="s">
        <v>347</v>
      </c>
      <c r="E2573" s="22" t="s">
        <v>1700</v>
      </c>
      <c r="F2573" s="22" t="s">
        <v>1252</v>
      </c>
    </row>
    <row r="2574" ht="17.25" spans="1:6">
      <c r="A2574" s="22">
        <v>2573</v>
      </c>
      <c r="B2574" s="23" t="s">
        <v>2955</v>
      </c>
      <c r="C2574" s="23" t="s">
        <v>347</v>
      </c>
      <c r="D2574" s="23" t="s">
        <v>347</v>
      </c>
      <c r="E2574" s="23" t="s">
        <v>1700</v>
      </c>
      <c r="F2574" s="23" t="s">
        <v>1252</v>
      </c>
    </row>
    <row r="2575" ht="17.25" spans="1:6">
      <c r="A2575" s="23">
        <v>2574</v>
      </c>
      <c r="B2575" s="22" t="s">
        <v>2956</v>
      </c>
      <c r="C2575" s="22" t="s">
        <v>347</v>
      </c>
      <c r="D2575" s="22" t="s">
        <v>347</v>
      </c>
      <c r="E2575" s="22" t="s">
        <v>1700</v>
      </c>
      <c r="F2575" s="22" t="s">
        <v>1252</v>
      </c>
    </row>
    <row r="2576" ht="17.25" spans="1:6">
      <c r="A2576" s="22">
        <v>2575</v>
      </c>
      <c r="B2576" s="23" t="s">
        <v>2957</v>
      </c>
      <c r="C2576" s="23" t="s">
        <v>347</v>
      </c>
      <c r="D2576" s="23" t="s">
        <v>347</v>
      </c>
      <c r="E2576" s="23" t="s">
        <v>1700</v>
      </c>
      <c r="F2576" s="23" t="s">
        <v>1252</v>
      </c>
    </row>
    <row r="2577" ht="17.25" spans="1:6">
      <c r="A2577" s="23">
        <v>2576</v>
      </c>
      <c r="B2577" s="22" t="s">
        <v>2958</v>
      </c>
      <c r="C2577" s="22" t="s">
        <v>379</v>
      </c>
      <c r="D2577" s="22" t="s">
        <v>403</v>
      </c>
      <c r="E2577" s="22" t="s">
        <v>1700</v>
      </c>
      <c r="F2577" s="22" t="s">
        <v>1252</v>
      </c>
    </row>
    <row r="2578" ht="17.25" spans="1:6">
      <c r="A2578" s="22">
        <v>2577</v>
      </c>
      <c r="B2578" s="23" t="s">
        <v>2959</v>
      </c>
      <c r="C2578" s="23" t="s">
        <v>379</v>
      </c>
      <c r="D2578" s="23" t="s">
        <v>389</v>
      </c>
      <c r="E2578" s="23" t="s">
        <v>1700</v>
      </c>
      <c r="F2578" s="23" t="s">
        <v>1252</v>
      </c>
    </row>
    <row r="2579" ht="17.25" spans="1:6">
      <c r="A2579" s="23">
        <v>2578</v>
      </c>
      <c r="B2579" s="22" t="s">
        <v>2960</v>
      </c>
      <c r="C2579" s="22" t="s">
        <v>379</v>
      </c>
      <c r="D2579" s="22" t="s">
        <v>382</v>
      </c>
      <c r="E2579" s="22" t="s">
        <v>1700</v>
      </c>
      <c r="F2579" s="22" t="s">
        <v>1252</v>
      </c>
    </row>
    <row r="2580" ht="17.25" spans="1:6">
      <c r="A2580" s="22">
        <v>2579</v>
      </c>
      <c r="B2580" s="23" t="s">
        <v>2961</v>
      </c>
      <c r="C2580" s="23" t="s">
        <v>379</v>
      </c>
      <c r="D2580" s="23" t="s">
        <v>380</v>
      </c>
      <c r="E2580" s="23" t="s">
        <v>1700</v>
      </c>
      <c r="F2580" s="23" t="s">
        <v>1252</v>
      </c>
    </row>
    <row r="2581" ht="17.25" spans="1:6">
      <c r="A2581" s="23">
        <v>2580</v>
      </c>
      <c r="B2581" s="22" t="s">
        <v>2962</v>
      </c>
      <c r="C2581" s="22" t="s">
        <v>379</v>
      </c>
      <c r="D2581" s="22" t="s">
        <v>382</v>
      </c>
      <c r="E2581" s="22" t="s">
        <v>1700</v>
      </c>
      <c r="F2581" s="22" t="s">
        <v>1252</v>
      </c>
    </row>
    <row r="2582" ht="17.25" spans="1:6">
      <c r="A2582" s="22">
        <v>2581</v>
      </c>
      <c r="B2582" s="23" t="s">
        <v>2963</v>
      </c>
      <c r="C2582" s="23" t="s">
        <v>379</v>
      </c>
      <c r="D2582" s="23" t="s">
        <v>396</v>
      </c>
      <c r="E2582" s="23" t="s">
        <v>1700</v>
      </c>
      <c r="F2582" s="23" t="s">
        <v>1252</v>
      </c>
    </row>
    <row r="2583" ht="17.25" spans="1:6">
      <c r="A2583" s="23">
        <v>2582</v>
      </c>
      <c r="B2583" s="22" t="s">
        <v>2964</v>
      </c>
      <c r="C2583" s="22" t="s">
        <v>379</v>
      </c>
      <c r="D2583" s="22" t="s">
        <v>412</v>
      </c>
      <c r="E2583" s="22" t="s">
        <v>1700</v>
      </c>
      <c r="F2583" s="22" t="s">
        <v>1252</v>
      </c>
    </row>
    <row r="2584" ht="17.25" spans="1:6">
      <c r="A2584" s="22">
        <v>2583</v>
      </c>
      <c r="B2584" s="23" t="s">
        <v>2965</v>
      </c>
      <c r="C2584" s="23" t="s">
        <v>379</v>
      </c>
      <c r="D2584" s="23" t="s">
        <v>380</v>
      </c>
      <c r="E2584" s="23" t="s">
        <v>1700</v>
      </c>
      <c r="F2584" s="23" t="s">
        <v>1252</v>
      </c>
    </row>
    <row r="2585" ht="17.25" spans="1:6">
      <c r="A2585" s="23">
        <v>2584</v>
      </c>
      <c r="B2585" s="22" t="s">
        <v>2966</v>
      </c>
      <c r="C2585" s="22" t="s">
        <v>379</v>
      </c>
      <c r="D2585" s="22" t="s">
        <v>380</v>
      </c>
      <c r="E2585" s="22" t="s">
        <v>1700</v>
      </c>
      <c r="F2585" s="22" t="s">
        <v>1252</v>
      </c>
    </row>
    <row r="2586" ht="17.25" spans="1:6">
      <c r="A2586" s="22">
        <v>2585</v>
      </c>
      <c r="B2586" s="23" t="s">
        <v>2967</v>
      </c>
      <c r="C2586" s="23" t="s">
        <v>379</v>
      </c>
      <c r="D2586" s="23" t="s">
        <v>396</v>
      </c>
      <c r="E2586" s="23" t="s">
        <v>1700</v>
      </c>
      <c r="F2586" s="23" t="s">
        <v>1252</v>
      </c>
    </row>
    <row r="2587" ht="17.25" spans="1:6">
      <c r="A2587" s="23">
        <v>2586</v>
      </c>
      <c r="B2587" s="22" t="s">
        <v>2968</v>
      </c>
      <c r="C2587" s="22" t="s">
        <v>379</v>
      </c>
      <c r="D2587" s="22" t="s">
        <v>396</v>
      </c>
      <c r="E2587" s="22" t="s">
        <v>1700</v>
      </c>
      <c r="F2587" s="22" t="s">
        <v>1252</v>
      </c>
    </row>
    <row r="2588" ht="17.25" spans="1:6">
      <c r="A2588" s="22">
        <v>2587</v>
      </c>
      <c r="B2588" s="23" t="s">
        <v>2969</v>
      </c>
      <c r="C2588" s="23" t="s">
        <v>379</v>
      </c>
      <c r="D2588" s="23" t="s">
        <v>380</v>
      </c>
      <c r="E2588" s="23" t="s">
        <v>1700</v>
      </c>
      <c r="F2588" s="23" t="s">
        <v>1252</v>
      </c>
    </row>
    <row r="2589" ht="17.25" spans="1:6">
      <c r="A2589" s="23">
        <v>2588</v>
      </c>
      <c r="B2589" s="22" t="s">
        <v>2970</v>
      </c>
      <c r="C2589" s="22" t="s">
        <v>379</v>
      </c>
      <c r="D2589" s="22" t="s">
        <v>392</v>
      </c>
      <c r="E2589" s="22" t="s">
        <v>1700</v>
      </c>
      <c r="F2589" s="22" t="s">
        <v>1252</v>
      </c>
    </row>
    <row r="2590" ht="17.25" spans="1:6">
      <c r="A2590" s="22">
        <v>2589</v>
      </c>
      <c r="B2590" s="23" t="s">
        <v>2971</v>
      </c>
      <c r="C2590" s="23" t="s">
        <v>379</v>
      </c>
      <c r="D2590" s="23" t="s">
        <v>424</v>
      </c>
      <c r="E2590" s="23" t="s">
        <v>1700</v>
      </c>
      <c r="F2590" s="23" t="s">
        <v>1252</v>
      </c>
    </row>
    <row r="2591" ht="17.25" spans="1:6">
      <c r="A2591" s="23">
        <v>2590</v>
      </c>
      <c r="B2591" s="22" t="s">
        <v>2972</v>
      </c>
      <c r="C2591" s="22" t="s">
        <v>379</v>
      </c>
      <c r="D2591" s="22" t="s">
        <v>387</v>
      </c>
      <c r="E2591" s="22" t="s">
        <v>1700</v>
      </c>
      <c r="F2591" s="22" t="s">
        <v>1252</v>
      </c>
    </row>
    <row r="2592" ht="17.25" spans="1:6">
      <c r="A2592" s="22">
        <v>2591</v>
      </c>
      <c r="B2592" s="23" t="s">
        <v>2973</v>
      </c>
      <c r="C2592" s="23" t="s">
        <v>379</v>
      </c>
      <c r="D2592" s="23" t="s">
        <v>382</v>
      </c>
      <c r="E2592" s="23" t="s">
        <v>1700</v>
      </c>
      <c r="F2592" s="23" t="s">
        <v>1252</v>
      </c>
    </row>
    <row r="2593" ht="17.25" spans="1:6">
      <c r="A2593" s="23">
        <v>2592</v>
      </c>
      <c r="B2593" s="22" t="s">
        <v>2974</v>
      </c>
      <c r="C2593" s="22" t="s">
        <v>379</v>
      </c>
      <c r="D2593" s="22" t="s">
        <v>380</v>
      </c>
      <c r="E2593" s="22" t="s">
        <v>1700</v>
      </c>
      <c r="F2593" s="22" t="s">
        <v>1252</v>
      </c>
    </row>
    <row r="2594" ht="17.25" spans="1:6">
      <c r="A2594" s="22">
        <v>2593</v>
      </c>
      <c r="B2594" s="23" t="s">
        <v>2975</v>
      </c>
      <c r="C2594" s="23" t="s">
        <v>379</v>
      </c>
      <c r="D2594" s="23" t="s">
        <v>382</v>
      </c>
      <c r="E2594" s="23" t="s">
        <v>1700</v>
      </c>
      <c r="F2594" s="23" t="s">
        <v>1252</v>
      </c>
    </row>
    <row r="2595" ht="17.25" spans="1:6">
      <c r="A2595" s="23">
        <v>2594</v>
      </c>
      <c r="B2595" s="22" t="s">
        <v>2976</v>
      </c>
      <c r="C2595" s="22" t="s">
        <v>379</v>
      </c>
      <c r="D2595" s="22" t="s">
        <v>440</v>
      </c>
      <c r="E2595" s="22" t="s">
        <v>1700</v>
      </c>
      <c r="F2595" s="22" t="s">
        <v>1252</v>
      </c>
    </row>
    <row r="2596" ht="17.25" spans="1:6">
      <c r="A2596" s="22">
        <v>2595</v>
      </c>
      <c r="B2596" s="23" t="s">
        <v>2977</v>
      </c>
      <c r="C2596" s="23" t="s">
        <v>379</v>
      </c>
      <c r="D2596" s="23" t="s">
        <v>424</v>
      </c>
      <c r="E2596" s="23" t="s">
        <v>1700</v>
      </c>
      <c r="F2596" s="23" t="s">
        <v>1252</v>
      </c>
    </row>
    <row r="2597" ht="17.25" spans="1:6">
      <c r="A2597" s="23">
        <v>2596</v>
      </c>
      <c r="B2597" s="22" t="s">
        <v>2978</v>
      </c>
      <c r="C2597" s="22" t="s">
        <v>448</v>
      </c>
      <c r="D2597" s="22" t="s">
        <v>449</v>
      </c>
      <c r="E2597" s="22" t="s">
        <v>1700</v>
      </c>
      <c r="F2597" s="22" t="s">
        <v>1252</v>
      </c>
    </row>
    <row r="2598" ht="17.25" spans="1:6">
      <c r="A2598" s="22">
        <v>2597</v>
      </c>
      <c r="B2598" s="23" t="s">
        <v>2979</v>
      </c>
      <c r="C2598" s="23" t="s">
        <v>448</v>
      </c>
      <c r="D2598" s="23" t="s">
        <v>465</v>
      </c>
      <c r="E2598" s="23" t="s">
        <v>1700</v>
      </c>
      <c r="F2598" s="23" t="s">
        <v>1252</v>
      </c>
    </row>
    <row r="2599" ht="17.25" spans="1:6">
      <c r="A2599" s="23">
        <v>2598</v>
      </c>
      <c r="B2599" s="22" t="s">
        <v>2980</v>
      </c>
      <c r="C2599" s="22" t="s">
        <v>448</v>
      </c>
      <c r="D2599" s="22" t="s">
        <v>457</v>
      </c>
      <c r="E2599" s="22" t="s">
        <v>1700</v>
      </c>
      <c r="F2599" s="22" t="s">
        <v>1252</v>
      </c>
    </row>
    <row r="2600" ht="17.25" spans="1:6">
      <c r="A2600" s="22">
        <v>2599</v>
      </c>
      <c r="B2600" s="23" t="s">
        <v>2981</v>
      </c>
      <c r="C2600" s="23" t="s">
        <v>448</v>
      </c>
      <c r="D2600" s="23" t="s">
        <v>449</v>
      </c>
      <c r="E2600" s="23" t="s">
        <v>1700</v>
      </c>
      <c r="F2600" s="23" t="s">
        <v>1252</v>
      </c>
    </row>
    <row r="2601" ht="17.25" spans="1:6">
      <c r="A2601" s="23">
        <v>2600</v>
      </c>
      <c r="B2601" s="22" t="s">
        <v>2982</v>
      </c>
      <c r="C2601" s="22" t="s">
        <v>448</v>
      </c>
      <c r="D2601" s="22" t="s">
        <v>473</v>
      </c>
      <c r="E2601" s="22" t="s">
        <v>1700</v>
      </c>
      <c r="F2601" s="22" t="s">
        <v>1252</v>
      </c>
    </row>
    <row r="2602" ht="17.25" spans="1:6">
      <c r="A2602" s="22">
        <v>2601</v>
      </c>
      <c r="B2602" s="23" t="s">
        <v>2983</v>
      </c>
      <c r="C2602" s="23" t="s">
        <v>448</v>
      </c>
      <c r="D2602" s="23" t="s">
        <v>449</v>
      </c>
      <c r="E2602" s="23" t="s">
        <v>1700</v>
      </c>
      <c r="F2602" s="23" t="s">
        <v>1252</v>
      </c>
    </row>
    <row r="2603" ht="17.25" spans="1:6">
      <c r="A2603" s="23">
        <v>2602</v>
      </c>
      <c r="B2603" s="22" t="s">
        <v>2984</v>
      </c>
      <c r="C2603" s="22" t="s">
        <v>448</v>
      </c>
      <c r="D2603" s="22" t="s">
        <v>467</v>
      </c>
      <c r="E2603" s="22" t="s">
        <v>1700</v>
      </c>
      <c r="F2603" s="22" t="s">
        <v>1252</v>
      </c>
    </row>
    <row r="2604" ht="17.25" spans="1:6">
      <c r="A2604" s="22">
        <v>2603</v>
      </c>
      <c r="B2604" s="23" t="s">
        <v>2985</v>
      </c>
      <c r="C2604" s="23" t="s">
        <v>448</v>
      </c>
      <c r="D2604" s="23" t="s">
        <v>460</v>
      </c>
      <c r="E2604" s="23" t="s">
        <v>1700</v>
      </c>
      <c r="F2604" s="23" t="s">
        <v>1252</v>
      </c>
    </row>
    <row r="2605" ht="17.25" spans="1:6">
      <c r="A2605" s="23">
        <v>2604</v>
      </c>
      <c r="B2605" s="22" t="s">
        <v>2986</v>
      </c>
      <c r="C2605" s="22" t="s">
        <v>448</v>
      </c>
      <c r="D2605" s="22" t="s">
        <v>463</v>
      </c>
      <c r="E2605" s="22" t="s">
        <v>1700</v>
      </c>
      <c r="F2605" s="22" t="s">
        <v>1252</v>
      </c>
    </row>
    <row r="2606" ht="17.25" spans="1:6">
      <c r="A2606" s="22">
        <v>2605</v>
      </c>
      <c r="B2606" s="23" t="s">
        <v>2987</v>
      </c>
      <c r="C2606" s="23" t="s">
        <v>448</v>
      </c>
      <c r="D2606" s="23" t="s">
        <v>460</v>
      </c>
      <c r="E2606" s="23" t="s">
        <v>1700</v>
      </c>
      <c r="F2606" s="23" t="s">
        <v>1252</v>
      </c>
    </row>
    <row r="2607" ht="17.25" spans="1:6">
      <c r="A2607" s="23">
        <v>2606</v>
      </c>
      <c r="B2607" s="22" t="s">
        <v>2988</v>
      </c>
      <c r="C2607" s="22" t="s">
        <v>502</v>
      </c>
      <c r="D2607" s="22" t="s">
        <v>503</v>
      </c>
      <c r="E2607" s="22" t="s">
        <v>1700</v>
      </c>
      <c r="F2607" s="22" t="s">
        <v>1252</v>
      </c>
    </row>
    <row r="2608" ht="17.25" spans="1:6">
      <c r="A2608" s="22">
        <v>2607</v>
      </c>
      <c r="B2608" s="23" t="s">
        <v>2989</v>
      </c>
      <c r="C2608" s="23" t="s">
        <v>502</v>
      </c>
      <c r="D2608" s="23" t="s">
        <v>503</v>
      </c>
      <c r="E2608" s="23" t="s">
        <v>1700</v>
      </c>
      <c r="F2608" s="23" t="s">
        <v>1252</v>
      </c>
    </row>
    <row r="2609" ht="17.25" spans="1:6">
      <c r="A2609" s="23">
        <v>2608</v>
      </c>
      <c r="B2609" s="22" t="s">
        <v>2990</v>
      </c>
      <c r="C2609" s="22" t="s">
        <v>502</v>
      </c>
      <c r="D2609" s="22" t="s">
        <v>503</v>
      </c>
      <c r="E2609" s="22" t="s">
        <v>1700</v>
      </c>
      <c r="F2609" s="22" t="s">
        <v>1252</v>
      </c>
    </row>
    <row r="2610" ht="17.25" spans="1:6">
      <c r="A2610" s="22">
        <v>2609</v>
      </c>
      <c r="B2610" s="23" t="s">
        <v>2991</v>
      </c>
      <c r="C2610" s="23" t="s">
        <v>502</v>
      </c>
      <c r="D2610" s="23" t="s">
        <v>520</v>
      </c>
      <c r="E2610" s="23" t="s">
        <v>1700</v>
      </c>
      <c r="F2610" s="23" t="s">
        <v>1252</v>
      </c>
    </row>
    <row r="2611" ht="17.25" spans="1:6">
      <c r="A2611" s="23">
        <v>2610</v>
      </c>
      <c r="B2611" s="22" t="s">
        <v>2992</v>
      </c>
      <c r="C2611" s="22" t="s">
        <v>502</v>
      </c>
      <c r="D2611" s="22" t="s">
        <v>503</v>
      </c>
      <c r="E2611" s="22" t="s">
        <v>1700</v>
      </c>
      <c r="F2611" s="22" t="s">
        <v>1252</v>
      </c>
    </row>
    <row r="2612" ht="17.25" spans="1:6">
      <c r="A2612" s="22">
        <v>2611</v>
      </c>
      <c r="B2612" s="23" t="s">
        <v>2993</v>
      </c>
      <c r="C2612" s="23" t="s">
        <v>502</v>
      </c>
      <c r="D2612" s="23" t="s">
        <v>503</v>
      </c>
      <c r="E2612" s="23" t="s">
        <v>1700</v>
      </c>
      <c r="F2612" s="23" t="s">
        <v>1252</v>
      </c>
    </row>
    <row r="2613" ht="17.25" spans="1:6">
      <c r="A2613" s="23">
        <v>2612</v>
      </c>
      <c r="B2613" s="22" t="s">
        <v>2994</v>
      </c>
      <c r="C2613" s="22" t="s">
        <v>502</v>
      </c>
      <c r="D2613" s="22" t="s">
        <v>503</v>
      </c>
      <c r="E2613" s="22" t="s">
        <v>1700</v>
      </c>
      <c r="F2613" s="22" t="s">
        <v>1252</v>
      </c>
    </row>
    <row r="2614" ht="17.25" spans="1:6">
      <c r="A2614" s="22">
        <v>2613</v>
      </c>
      <c r="B2614" s="23" t="s">
        <v>2995</v>
      </c>
      <c r="C2614" s="23" t="s">
        <v>502</v>
      </c>
      <c r="D2614" s="23" t="s">
        <v>503</v>
      </c>
      <c r="E2614" s="23" t="s">
        <v>1700</v>
      </c>
      <c r="F2614" s="23" t="s">
        <v>1252</v>
      </c>
    </row>
    <row r="2615" ht="17.25" spans="1:6">
      <c r="A2615" s="23">
        <v>2614</v>
      </c>
      <c r="B2615" s="22" t="s">
        <v>2996</v>
      </c>
      <c r="C2615" s="22" t="s">
        <v>502</v>
      </c>
      <c r="D2615" s="22" t="s">
        <v>515</v>
      </c>
      <c r="E2615" s="22" t="s">
        <v>1700</v>
      </c>
      <c r="F2615" s="22" t="s">
        <v>1252</v>
      </c>
    </row>
    <row r="2616" ht="17.25" spans="1:6">
      <c r="A2616" s="22">
        <v>2615</v>
      </c>
      <c r="B2616" s="23" t="s">
        <v>2997</v>
      </c>
      <c r="C2616" s="23" t="s">
        <v>502</v>
      </c>
      <c r="D2616" s="23" t="s">
        <v>520</v>
      </c>
      <c r="E2616" s="23" t="s">
        <v>1700</v>
      </c>
      <c r="F2616" s="23" t="s">
        <v>1252</v>
      </c>
    </row>
    <row r="2617" ht="17.25" spans="1:6">
      <c r="A2617" s="23">
        <v>2616</v>
      </c>
      <c r="B2617" s="22" t="s">
        <v>2998</v>
      </c>
      <c r="C2617" s="22" t="s">
        <v>502</v>
      </c>
      <c r="D2617" s="22" t="s">
        <v>509</v>
      </c>
      <c r="E2617" s="22" t="s">
        <v>1700</v>
      </c>
      <c r="F2617" s="22" t="s">
        <v>1252</v>
      </c>
    </row>
    <row r="2618" ht="17.25" spans="1:6">
      <c r="A2618" s="22">
        <v>2617</v>
      </c>
      <c r="B2618" s="23" t="s">
        <v>2999</v>
      </c>
      <c r="C2618" s="23" t="s">
        <v>502</v>
      </c>
      <c r="D2618" s="23" t="s">
        <v>524</v>
      </c>
      <c r="E2618" s="23" t="s">
        <v>1700</v>
      </c>
      <c r="F2618" s="23" t="s">
        <v>1252</v>
      </c>
    </row>
    <row r="2619" ht="17.25" spans="1:6">
      <c r="A2619" s="23">
        <v>2618</v>
      </c>
      <c r="B2619" s="22" t="s">
        <v>3000</v>
      </c>
      <c r="C2619" s="22" t="s">
        <v>502</v>
      </c>
      <c r="D2619" s="22" t="s">
        <v>503</v>
      </c>
      <c r="E2619" s="22" t="s">
        <v>1700</v>
      </c>
      <c r="F2619" s="22" t="s">
        <v>1252</v>
      </c>
    </row>
    <row r="2620" ht="17.25" spans="1:6">
      <c r="A2620" s="22">
        <v>2619</v>
      </c>
      <c r="B2620" s="23" t="s">
        <v>3001</v>
      </c>
      <c r="C2620" s="23" t="s">
        <v>502</v>
      </c>
      <c r="D2620" s="23" t="s">
        <v>511</v>
      </c>
      <c r="E2620" s="23" t="s">
        <v>1700</v>
      </c>
      <c r="F2620" s="23" t="s">
        <v>1252</v>
      </c>
    </row>
    <row r="2621" ht="17.25" spans="1:6">
      <c r="A2621" s="23">
        <v>2620</v>
      </c>
      <c r="B2621" s="22" t="s">
        <v>3002</v>
      </c>
      <c r="C2621" s="22" t="s">
        <v>502</v>
      </c>
      <c r="D2621" s="22" t="s">
        <v>503</v>
      </c>
      <c r="E2621" s="22" t="s">
        <v>1700</v>
      </c>
      <c r="F2621" s="22" t="s">
        <v>1252</v>
      </c>
    </row>
    <row r="2622" ht="17.25" spans="1:6">
      <c r="A2622" s="22">
        <v>2621</v>
      </c>
      <c r="B2622" s="23" t="s">
        <v>3003</v>
      </c>
      <c r="C2622" s="23" t="s">
        <v>502</v>
      </c>
      <c r="D2622" s="23" t="s">
        <v>526</v>
      </c>
      <c r="E2622" s="23" t="s">
        <v>1700</v>
      </c>
      <c r="F2622" s="23" t="s">
        <v>1252</v>
      </c>
    </row>
    <row r="2623" ht="17.25" spans="1:6">
      <c r="A2623" s="23">
        <v>2622</v>
      </c>
      <c r="B2623" s="22" t="s">
        <v>3004</v>
      </c>
      <c r="C2623" s="22" t="s">
        <v>502</v>
      </c>
      <c r="D2623" s="22" t="s">
        <v>533</v>
      </c>
      <c r="E2623" s="22" t="s">
        <v>1700</v>
      </c>
      <c r="F2623" s="22" t="s">
        <v>1252</v>
      </c>
    </row>
    <row r="2624" ht="17.25" spans="1:6">
      <c r="A2624" s="22">
        <v>2623</v>
      </c>
      <c r="B2624" s="23" t="s">
        <v>3005</v>
      </c>
      <c r="C2624" s="23" t="s">
        <v>553</v>
      </c>
      <c r="D2624" s="23" t="s">
        <v>558</v>
      </c>
      <c r="E2624" s="23" t="s">
        <v>1700</v>
      </c>
      <c r="F2624" s="23" t="s">
        <v>1252</v>
      </c>
    </row>
    <row r="2625" ht="17.25" spans="1:6">
      <c r="A2625" s="23">
        <v>2624</v>
      </c>
      <c r="B2625" s="22" t="s">
        <v>3006</v>
      </c>
      <c r="C2625" s="22" t="s">
        <v>553</v>
      </c>
      <c r="D2625" s="22" t="s">
        <v>558</v>
      </c>
      <c r="E2625" s="22" t="s">
        <v>1700</v>
      </c>
      <c r="F2625" s="22" t="s">
        <v>1252</v>
      </c>
    </row>
    <row r="2626" ht="17.25" spans="1:6">
      <c r="A2626" s="22">
        <v>2625</v>
      </c>
      <c r="B2626" s="23" t="s">
        <v>3007</v>
      </c>
      <c r="C2626" s="23" t="s">
        <v>553</v>
      </c>
      <c r="D2626" s="23" t="s">
        <v>556</v>
      </c>
      <c r="E2626" s="23" t="s">
        <v>1700</v>
      </c>
      <c r="F2626" s="23" t="s">
        <v>1252</v>
      </c>
    </row>
    <row r="2627" ht="17.25" spans="1:6">
      <c r="A2627" s="23">
        <v>2626</v>
      </c>
      <c r="B2627" s="22" t="s">
        <v>3008</v>
      </c>
      <c r="C2627" s="22" t="s">
        <v>553</v>
      </c>
      <c r="D2627" s="22" t="s">
        <v>556</v>
      </c>
      <c r="E2627" s="22" t="s">
        <v>1700</v>
      </c>
      <c r="F2627" s="22" t="s">
        <v>1252</v>
      </c>
    </row>
    <row r="2628" ht="17.25" spans="1:6">
      <c r="A2628" s="22">
        <v>2627</v>
      </c>
      <c r="B2628" s="23" t="s">
        <v>3009</v>
      </c>
      <c r="C2628" s="23" t="s">
        <v>553</v>
      </c>
      <c r="D2628" s="23" t="s">
        <v>558</v>
      </c>
      <c r="E2628" s="23" t="s">
        <v>1700</v>
      </c>
      <c r="F2628" s="23" t="s">
        <v>1252</v>
      </c>
    </row>
    <row r="2629" ht="17.25" spans="1:6">
      <c r="A2629" s="23">
        <v>2628</v>
      </c>
      <c r="B2629" s="22" t="s">
        <v>3010</v>
      </c>
      <c r="C2629" s="22" t="s">
        <v>553</v>
      </c>
      <c r="D2629" s="22" t="s">
        <v>554</v>
      </c>
      <c r="E2629" s="22" t="s">
        <v>1700</v>
      </c>
      <c r="F2629" s="22" t="s">
        <v>1252</v>
      </c>
    </row>
    <row r="2630" ht="17.25" spans="1:6">
      <c r="A2630" s="22">
        <v>2629</v>
      </c>
      <c r="B2630" s="23" t="s">
        <v>3011</v>
      </c>
      <c r="C2630" s="23" t="s">
        <v>553</v>
      </c>
      <c r="D2630" s="23" t="s">
        <v>554</v>
      </c>
      <c r="E2630" s="23" t="s">
        <v>1700</v>
      </c>
      <c r="F2630" s="23" t="s">
        <v>1252</v>
      </c>
    </row>
    <row r="2631" ht="17.25" spans="1:6">
      <c r="A2631" s="23">
        <v>2630</v>
      </c>
      <c r="B2631" s="22" t="s">
        <v>3012</v>
      </c>
      <c r="C2631" s="22" t="s">
        <v>553</v>
      </c>
      <c r="D2631" s="22" t="s">
        <v>558</v>
      </c>
      <c r="E2631" s="22" t="s">
        <v>1700</v>
      </c>
      <c r="F2631" s="22" t="s">
        <v>1252</v>
      </c>
    </row>
    <row r="2632" ht="17.25" spans="1:6">
      <c r="A2632" s="22">
        <v>2631</v>
      </c>
      <c r="B2632" s="23" t="s">
        <v>3013</v>
      </c>
      <c r="C2632" s="23" t="s">
        <v>553</v>
      </c>
      <c r="D2632" s="23" t="s">
        <v>558</v>
      </c>
      <c r="E2632" s="23" t="s">
        <v>1700</v>
      </c>
      <c r="F2632" s="23" t="s">
        <v>1252</v>
      </c>
    </row>
    <row r="2633" ht="17.25" spans="1:6">
      <c r="A2633" s="23">
        <v>2632</v>
      </c>
      <c r="B2633" s="22" t="s">
        <v>3014</v>
      </c>
      <c r="C2633" s="22" t="s">
        <v>553</v>
      </c>
      <c r="D2633" s="22" t="s">
        <v>554</v>
      </c>
      <c r="E2633" s="22" t="s">
        <v>1700</v>
      </c>
      <c r="F2633" s="22" t="s">
        <v>1252</v>
      </c>
    </row>
    <row r="2634" ht="17.25" spans="1:6">
      <c r="A2634" s="22">
        <v>2633</v>
      </c>
      <c r="B2634" s="23" t="s">
        <v>3015</v>
      </c>
      <c r="C2634" s="23" t="s">
        <v>553</v>
      </c>
      <c r="D2634" s="23" t="s">
        <v>554</v>
      </c>
      <c r="E2634" s="23" t="s">
        <v>1700</v>
      </c>
      <c r="F2634" s="23" t="s">
        <v>1252</v>
      </c>
    </row>
    <row r="2635" ht="17.25" spans="1:6">
      <c r="A2635" s="23">
        <v>2634</v>
      </c>
      <c r="B2635" s="22" t="s">
        <v>3016</v>
      </c>
      <c r="C2635" s="22" t="s">
        <v>553</v>
      </c>
      <c r="D2635" s="22" t="s">
        <v>554</v>
      </c>
      <c r="E2635" s="22" t="s">
        <v>1700</v>
      </c>
      <c r="F2635" s="22" t="s">
        <v>1252</v>
      </c>
    </row>
    <row r="2636" ht="17.25" spans="1:6">
      <c r="A2636" s="22">
        <v>2635</v>
      </c>
      <c r="B2636" s="23" t="s">
        <v>3017</v>
      </c>
      <c r="C2636" s="23" t="s">
        <v>553</v>
      </c>
      <c r="D2636" s="23" t="s">
        <v>554</v>
      </c>
      <c r="E2636" s="23" t="s">
        <v>1700</v>
      </c>
      <c r="F2636" s="23" t="s">
        <v>1252</v>
      </c>
    </row>
    <row r="2637" ht="17.25" spans="1:6">
      <c r="A2637" s="23">
        <v>2636</v>
      </c>
      <c r="B2637" s="22" t="s">
        <v>3018</v>
      </c>
      <c r="C2637" s="22" t="s">
        <v>553</v>
      </c>
      <c r="D2637" s="22" t="s">
        <v>572</v>
      </c>
      <c r="E2637" s="22" t="s">
        <v>1700</v>
      </c>
      <c r="F2637" s="22" t="s">
        <v>1252</v>
      </c>
    </row>
    <row r="2638" ht="17.25" spans="1:6">
      <c r="A2638" s="22">
        <v>2637</v>
      </c>
      <c r="B2638" s="23" t="s">
        <v>3019</v>
      </c>
      <c r="C2638" s="23" t="s">
        <v>553</v>
      </c>
      <c r="D2638" s="23" t="s">
        <v>572</v>
      </c>
      <c r="E2638" s="23" t="s">
        <v>1700</v>
      </c>
      <c r="F2638" s="23" t="s">
        <v>1252</v>
      </c>
    </row>
    <row r="2639" ht="17.25" spans="1:6">
      <c r="A2639" s="23">
        <v>2638</v>
      </c>
      <c r="B2639" s="22" t="s">
        <v>3020</v>
      </c>
      <c r="C2639" s="22" t="s">
        <v>553</v>
      </c>
      <c r="D2639" s="22" t="s">
        <v>567</v>
      </c>
      <c r="E2639" s="22" t="s">
        <v>1700</v>
      </c>
      <c r="F2639" s="22" t="s">
        <v>1252</v>
      </c>
    </row>
    <row r="2640" ht="17.25" spans="1:6">
      <c r="A2640" s="22">
        <v>2639</v>
      </c>
      <c r="B2640" s="23" t="s">
        <v>3021</v>
      </c>
      <c r="C2640" s="23" t="s">
        <v>553</v>
      </c>
      <c r="D2640" s="23" t="s">
        <v>556</v>
      </c>
      <c r="E2640" s="23" t="s">
        <v>1700</v>
      </c>
      <c r="F2640" s="23" t="s">
        <v>1252</v>
      </c>
    </row>
    <row r="2641" ht="17.25" spans="1:6">
      <c r="A2641" s="23">
        <v>2640</v>
      </c>
      <c r="B2641" s="22" t="s">
        <v>3022</v>
      </c>
      <c r="C2641" s="22" t="s">
        <v>553</v>
      </c>
      <c r="D2641" s="22" t="s">
        <v>556</v>
      </c>
      <c r="E2641" s="22" t="s">
        <v>1700</v>
      </c>
      <c r="F2641" s="22" t="s">
        <v>1252</v>
      </c>
    </row>
    <row r="2642" ht="17.25" spans="1:6">
      <c r="A2642" s="22">
        <v>2641</v>
      </c>
      <c r="B2642" s="23" t="s">
        <v>3023</v>
      </c>
      <c r="C2642" s="23" t="s">
        <v>553</v>
      </c>
      <c r="D2642" s="23" t="s">
        <v>554</v>
      </c>
      <c r="E2642" s="23" t="s">
        <v>1700</v>
      </c>
      <c r="F2642" s="23" t="s">
        <v>1252</v>
      </c>
    </row>
    <row r="2643" ht="17.25" spans="1:6">
      <c r="A2643" s="23">
        <v>2642</v>
      </c>
      <c r="B2643" s="22" t="s">
        <v>3024</v>
      </c>
      <c r="C2643" s="22" t="s">
        <v>553</v>
      </c>
      <c r="D2643" s="22" t="s">
        <v>556</v>
      </c>
      <c r="E2643" s="22" t="s">
        <v>1700</v>
      </c>
      <c r="F2643" s="22" t="s">
        <v>1252</v>
      </c>
    </row>
    <row r="2644" ht="17.25" spans="1:6">
      <c r="A2644" s="22">
        <v>2643</v>
      </c>
      <c r="B2644" s="23" t="s">
        <v>3025</v>
      </c>
      <c r="C2644" s="23" t="s">
        <v>587</v>
      </c>
      <c r="D2644" s="23" t="s">
        <v>588</v>
      </c>
      <c r="E2644" s="23" t="s">
        <v>1700</v>
      </c>
      <c r="F2644" s="23" t="s">
        <v>1252</v>
      </c>
    </row>
    <row r="2645" ht="17.25" spans="1:6">
      <c r="A2645" s="23">
        <v>2644</v>
      </c>
      <c r="B2645" s="22" t="s">
        <v>3026</v>
      </c>
      <c r="C2645" s="22" t="s">
        <v>587</v>
      </c>
      <c r="D2645" s="22" t="s">
        <v>588</v>
      </c>
      <c r="E2645" s="22" t="s">
        <v>1700</v>
      </c>
      <c r="F2645" s="22" t="s">
        <v>1252</v>
      </c>
    </row>
    <row r="2646" ht="17.25" spans="1:6">
      <c r="A2646" s="22">
        <v>2645</v>
      </c>
      <c r="B2646" s="23" t="s">
        <v>3027</v>
      </c>
      <c r="C2646" s="23" t="s">
        <v>587</v>
      </c>
      <c r="D2646" s="23" t="s">
        <v>616</v>
      </c>
      <c r="E2646" s="23" t="s">
        <v>1700</v>
      </c>
      <c r="F2646" s="23" t="s">
        <v>1252</v>
      </c>
    </row>
    <row r="2647" ht="17.25" spans="1:6">
      <c r="A2647" s="23">
        <v>2646</v>
      </c>
      <c r="B2647" s="22" t="s">
        <v>3028</v>
      </c>
      <c r="C2647" s="22" t="s">
        <v>587</v>
      </c>
      <c r="D2647" s="22" t="s">
        <v>616</v>
      </c>
      <c r="E2647" s="22" t="s">
        <v>1700</v>
      </c>
      <c r="F2647" s="22" t="s">
        <v>1252</v>
      </c>
    </row>
    <row r="2648" ht="17.25" spans="1:6">
      <c r="A2648" s="22">
        <v>2647</v>
      </c>
      <c r="B2648" s="23" t="s">
        <v>3029</v>
      </c>
      <c r="C2648" s="23" t="s">
        <v>587</v>
      </c>
      <c r="D2648" s="23" t="s">
        <v>618</v>
      </c>
      <c r="E2648" s="23" t="s">
        <v>1700</v>
      </c>
      <c r="F2648" s="23" t="s">
        <v>1252</v>
      </c>
    </row>
    <row r="2649" ht="17.25" spans="1:6">
      <c r="A2649" s="23">
        <v>2648</v>
      </c>
      <c r="B2649" s="22" t="s">
        <v>3030</v>
      </c>
      <c r="C2649" s="22" t="s">
        <v>587</v>
      </c>
      <c r="D2649" s="22" t="s">
        <v>588</v>
      </c>
      <c r="E2649" s="22" t="s">
        <v>1700</v>
      </c>
      <c r="F2649" s="22" t="s">
        <v>1252</v>
      </c>
    </row>
    <row r="2650" ht="17.25" spans="1:6">
      <c r="A2650" s="22">
        <v>2649</v>
      </c>
      <c r="B2650" s="23" t="s">
        <v>3031</v>
      </c>
      <c r="C2650" s="23" t="s">
        <v>587</v>
      </c>
      <c r="D2650" s="23" t="s">
        <v>596</v>
      </c>
      <c r="E2650" s="23" t="s">
        <v>1700</v>
      </c>
      <c r="F2650" s="23" t="s">
        <v>1252</v>
      </c>
    </row>
    <row r="2651" ht="17.25" spans="1:6">
      <c r="A2651" s="23">
        <v>2650</v>
      </c>
      <c r="B2651" s="22" t="s">
        <v>3032</v>
      </c>
      <c r="C2651" s="22" t="s">
        <v>587</v>
      </c>
      <c r="D2651" s="22" t="s">
        <v>604</v>
      </c>
      <c r="E2651" s="22" t="s">
        <v>1700</v>
      </c>
      <c r="F2651" s="22" t="s">
        <v>1252</v>
      </c>
    </row>
    <row r="2652" ht="17.25" spans="1:6">
      <c r="A2652" s="22">
        <v>2651</v>
      </c>
      <c r="B2652" s="23" t="s">
        <v>3033</v>
      </c>
      <c r="C2652" s="23" t="s">
        <v>587</v>
      </c>
      <c r="D2652" s="23" t="s">
        <v>588</v>
      </c>
      <c r="E2652" s="23" t="s">
        <v>1700</v>
      </c>
      <c r="F2652" s="23" t="s">
        <v>1252</v>
      </c>
    </row>
    <row r="2653" ht="17.25" spans="1:6">
      <c r="A2653" s="23">
        <v>2652</v>
      </c>
      <c r="B2653" s="22" t="s">
        <v>3034</v>
      </c>
      <c r="C2653" s="22" t="s">
        <v>587</v>
      </c>
      <c r="D2653" s="22" t="s">
        <v>618</v>
      </c>
      <c r="E2653" s="22" t="s">
        <v>1700</v>
      </c>
      <c r="F2653" s="22" t="s">
        <v>1252</v>
      </c>
    </row>
    <row r="2654" ht="17.25" spans="1:6">
      <c r="A2654" s="22">
        <v>2653</v>
      </c>
      <c r="B2654" s="23" t="s">
        <v>3035</v>
      </c>
      <c r="C2654" s="23" t="s">
        <v>587</v>
      </c>
      <c r="D2654" s="23" t="s">
        <v>594</v>
      </c>
      <c r="E2654" s="23" t="s">
        <v>1700</v>
      </c>
      <c r="F2654" s="23" t="s">
        <v>1252</v>
      </c>
    </row>
    <row r="2655" ht="17.25" spans="1:6">
      <c r="A2655" s="23">
        <v>2654</v>
      </c>
      <c r="B2655" s="22" t="s">
        <v>3036</v>
      </c>
      <c r="C2655" s="22" t="s">
        <v>628</v>
      </c>
      <c r="D2655" s="22" t="s">
        <v>651</v>
      </c>
      <c r="E2655" s="22" t="s">
        <v>1700</v>
      </c>
      <c r="F2655" s="22" t="s">
        <v>1252</v>
      </c>
    </row>
    <row r="2656" ht="17.25" spans="1:6">
      <c r="A2656" s="22">
        <v>2655</v>
      </c>
      <c r="B2656" s="23" t="s">
        <v>3037</v>
      </c>
      <c r="C2656" s="23" t="s">
        <v>628</v>
      </c>
      <c r="D2656" s="23" t="s">
        <v>657</v>
      </c>
      <c r="E2656" s="23" t="s">
        <v>1700</v>
      </c>
      <c r="F2656" s="23" t="s">
        <v>1252</v>
      </c>
    </row>
    <row r="2657" ht="17.25" spans="1:6">
      <c r="A2657" s="23">
        <v>2656</v>
      </c>
      <c r="B2657" s="22" t="s">
        <v>3038</v>
      </c>
      <c r="C2657" s="22" t="s">
        <v>628</v>
      </c>
      <c r="D2657" s="22" t="s">
        <v>642</v>
      </c>
      <c r="E2657" s="22" t="s">
        <v>1700</v>
      </c>
      <c r="F2657" s="22" t="s">
        <v>1252</v>
      </c>
    </row>
    <row r="2658" ht="17.25" spans="1:6">
      <c r="A2658" s="22">
        <v>2657</v>
      </c>
      <c r="B2658" s="23" t="s">
        <v>3039</v>
      </c>
      <c r="C2658" s="23" t="s">
        <v>628</v>
      </c>
      <c r="D2658" s="23" t="s">
        <v>629</v>
      </c>
      <c r="E2658" s="23" t="s">
        <v>1700</v>
      </c>
      <c r="F2658" s="23" t="s">
        <v>1252</v>
      </c>
    </row>
    <row r="2659" ht="17.25" spans="1:6">
      <c r="A2659" s="23">
        <v>2658</v>
      </c>
      <c r="B2659" s="22" t="s">
        <v>3040</v>
      </c>
      <c r="C2659" s="22" t="s">
        <v>628</v>
      </c>
      <c r="D2659" s="22" t="s">
        <v>631</v>
      </c>
      <c r="E2659" s="22" t="s">
        <v>1700</v>
      </c>
      <c r="F2659" s="22" t="s">
        <v>1252</v>
      </c>
    </row>
    <row r="2660" ht="17.25" spans="1:6">
      <c r="A2660" s="22">
        <v>2659</v>
      </c>
      <c r="B2660" s="23" t="s">
        <v>3041</v>
      </c>
      <c r="C2660" s="23" t="s">
        <v>628</v>
      </c>
      <c r="D2660" s="23" t="s">
        <v>631</v>
      </c>
      <c r="E2660" s="23" t="s">
        <v>1700</v>
      </c>
      <c r="F2660" s="23" t="s">
        <v>1252</v>
      </c>
    </row>
    <row r="2661" ht="17.25" spans="1:6">
      <c r="A2661" s="23">
        <v>2660</v>
      </c>
      <c r="B2661" s="22" t="s">
        <v>3042</v>
      </c>
      <c r="C2661" s="22" t="s">
        <v>628</v>
      </c>
      <c r="D2661" s="22" t="s">
        <v>645</v>
      </c>
      <c r="E2661" s="22" t="s">
        <v>1700</v>
      </c>
      <c r="F2661" s="22" t="s">
        <v>1252</v>
      </c>
    </row>
    <row r="2662" ht="17.25" spans="1:6">
      <c r="A2662" s="22">
        <v>2661</v>
      </c>
      <c r="B2662" s="23" t="s">
        <v>3043</v>
      </c>
      <c r="C2662" s="23" t="s">
        <v>628</v>
      </c>
      <c r="D2662" s="23" t="s">
        <v>629</v>
      </c>
      <c r="E2662" s="23" t="s">
        <v>1700</v>
      </c>
      <c r="F2662" s="23" t="s">
        <v>1252</v>
      </c>
    </row>
    <row r="2663" ht="17.25" spans="1:6">
      <c r="A2663" s="23">
        <v>2662</v>
      </c>
      <c r="B2663" s="22" t="s">
        <v>3044</v>
      </c>
      <c r="C2663" s="22" t="s">
        <v>628</v>
      </c>
      <c r="D2663" s="22" t="s">
        <v>631</v>
      </c>
      <c r="E2663" s="22" t="s">
        <v>1700</v>
      </c>
      <c r="F2663" s="22" t="s">
        <v>1252</v>
      </c>
    </row>
    <row r="2664" ht="17.25" spans="1:6">
      <c r="A2664" s="22">
        <v>2663</v>
      </c>
      <c r="B2664" s="23" t="s">
        <v>3045</v>
      </c>
      <c r="C2664" s="23" t="s">
        <v>628</v>
      </c>
      <c r="D2664" s="23" t="s">
        <v>645</v>
      </c>
      <c r="E2664" s="23" t="s">
        <v>1700</v>
      </c>
      <c r="F2664" s="23" t="s">
        <v>1252</v>
      </c>
    </row>
    <row r="2665" ht="17.25" spans="1:6">
      <c r="A2665" s="23">
        <v>2664</v>
      </c>
      <c r="B2665" s="22" t="s">
        <v>3046</v>
      </c>
      <c r="C2665" s="22" t="s">
        <v>628</v>
      </c>
      <c r="D2665" s="22" t="s">
        <v>629</v>
      </c>
      <c r="E2665" s="22" t="s">
        <v>1700</v>
      </c>
      <c r="F2665" s="22" t="s">
        <v>1252</v>
      </c>
    </row>
    <row r="2666" ht="17.25" spans="1:6">
      <c r="A2666" s="22">
        <v>2665</v>
      </c>
      <c r="B2666" s="23" t="s">
        <v>3047</v>
      </c>
      <c r="C2666" s="23" t="s">
        <v>628</v>
      </c>
      <c r="D2666" s="23" t="s">
        <v>660</v>
      </c>
      <c r="E2666" s="23" t="s">
        <v>1700</v>
      </c>
      <c r="F2666" s="23" t="s">
        <v>1252</v>
      </c>
    </row>
    <row r="2667" ht="17.25" spans="1:6">
      <c r="A2667" s="23">
        <v>2666</v>
      </c>
      <c r="B2667" s="22" t="s">
        <v>3048</v>
      </c>
      <c r="C2667" s="22" t="s">
        <v>628</v>
      </c>
      <c r="D2667" s="22" t="s">
        <v>688</v>
      </c>
      <c r="E2667" s="22" t="s">
        <v>1700</v>
      </c>
      <c r="F2667" s="22" t="s">
        <v>1252</v>
      </c>
    </row>
    <row r="2668" ht="17.25" spans="1:6">
      <c r="A2668" s="22">
        <v>2667</v>
      </c>
      <c r="B2668" s="23" t="s">
        <v>3049</v>
      </c>
      <c r="C2668" s="23" t="s">
        <v>628</v>
      </c>
      <c r="D2668" s="23" t="s">
        <v>631</v>
      </c>
      <c r="E2668" s="23" t="s">
        <v>1700</v>
      </c>
      <c r="F2668" s="23" t="s">
        <v>1252</v>
      </c>
    </row>
    <row r="2669" ht="17.25" spans="1:6">
      <c r="A2669" s="23">
        <v>2668</v>
      </c>
      <c r="B2669" s="22" t="s">
        <v>3050</v>
      </c>
      <c r="C2669" s="22" t="s">
        <v>628</v>
      </c>
      <c r="D2669" s="22" t="s">
        <v>645</v>
      </c>
      <c r="E2669" s="22" t="s">
        <v>1700</v>
      </c>
      <c r="F2669" s="22" t="s">
        <v>1252</v>
      </c>
    </row>
    <row r="2670" ht="17.25" spans="1:6">
      <c r="A2670" s="22">
        <v>2669</v>
      </c>
      <c r="B2670" s="23" t="s">
        <v>3051</v>
      </c>
      <c r="C2670" s="23" t="s">
        <v>628</v>
      </c>
      <c r="D2670" s="23" t="s">
        <v>648</v>
      </c>
      <c r="E2670" s="23" t="s">
        <v>1700</v>
      </c>
      <c r="F2670" s="23" t="s">
        <v>1252</v>
      </c>
    </row>
    <row r="2671" ht="17.25" spans="1:6">
      <c r="A2671" s="23">
        <v>2670</v>
      </c>
      <c r="B2671" s="22" t="s">
        <v>3052</v>
      </c>
      <c r="C2671" s="22" t="s">
        <v>692</v>
      </c>
      <c r="D2671" s="22" t="s">
        <v>693</v>
      </c>
      <c r="E2671" s="22" t="s">
        <v>1700</v>
      </c>
      <c r="F2671" s="22" t="s">
        <v>1252</v>
      </c>
    </row>
    <row r="2672" ht="17.25" spans="1:6">
      <c r="A2672" s="22">
        <v>2671</v>
      </c>
      <c r="B2672" s="23" t="s">
        <v>3053</v>
      </c>
      <c r="C2672" s="23" t="s">
        <v>692</v>
      </c>
      <c r="D2672" s="23" t="s">
        <v>693</v>
      </c>
      <c r="E2672" s="23" t="s">
        <v>1700</v>
      </c>
      <c r="F2672" s="23" t="s">
        <v>1252</v>
      </c>
    </row>
    <row r="2673" ht="17.25" spans="1:6">
      <c r="A2673" s="23">
        <v>2672</v>
      </c>
      <c r="B2673" s="22" t="s">
        <v>3054</v>
      </c>
      <c r="C2673" s="22" t="s">
        <v>692</v>
      </c>
      <c r="D2673" s="22" t="s">
        <v>693</v>
      </c>
      <c r="E2673" s="22" t="s">
        <v>1700</v>
      </c>
      <c r="F2673" s="22" t="s">
        <v>1252</v>
      </c>
    </row>
    <row r="2674" ht="17.25" spans="1:6">
      <c r="A2674" s="22">
        <v>2673</v>
      </c>
      <c r="B2674" s="23" t="s">
        <v>3055</v>
      </c>
      <c r="C2674" s="23" t="s">
        <v>692</v>
      </c>
      <c r="D2674" s="23" t="s">
        <v>693</v>
      </c>
      <c r="E2674" s="23" t="s">
        <v>1700</v>
      </c>
      <c r="F2674" s="23" t="s">
        <v>1252</v>
      </c>
    </row>
    <row r="2675" ht="17.25" spans="1:6">
      <c r="A2675" s="23">
        <v>2674</v>
      </c>
      <c r="B2675" s="22" t="s">
        <v>3056</v>
      </c>
      <c r="C2675" s="22" t="s">
        <v>692</v>
      </c>
      <c r="D2675" s="22" t="s">
        <v>696</v>
      </c>
      <c r="E2675" s="22" t="s">
        <v>1700</v>
      </c>
      <c r="F2675" s="22" t="s">
        <v>1252</v>
      </c>
    </row>
    <row r="2676" ht="17.25" spans="1:6">
      <c r="A2676" s="22">
        <v>2675</v>
      </c>
      <c r="B2676" s="23" t="s">
        <v>3057</v>
      </c>
      <c r="C2676" s="23" t="s">
        <v>692</v>
      </c>
      <c r="D2676" s="23" t="s">
        <v>718</v>
      </c>
      <c r="E2676" s="23" t="s">
        <v>1700</v>
      </c>
      <c r="F2676" s="23" t="s">
        <v>1252</v>
      </c>
    </row>
    <row r="2677" ht="17.25" spans="1:6">
      <c r="A2677" s="23">
        <v>2676</v>
      </c>
      <c r="B2677" s="22" t="s">
        <v>3058</v>
      </c>
      <c r="C2677" s="22" t="s">
        <v>692</v>
      </c>
      <c r="D2677" s="22" t="s">
        <v>693</v>
      </c>
      <c r="E2677" s="22" t="s">
        <v>1700</v>
      </c>
      <c r="F2677" s="22" t="s">
        <v>1252</v>
      </c>
    </row>
    <row r="2678" ht="17.25" spans="1:6">
      <c r="A2678" s="22">
        <v>2677</v>
      </c>
      <c r="B2678" s="23" t="s">
        <v>3059</v>
      </c>
      <c r="C2678" s="23" t="s">
        <v>692</v>
      </c>
      <c r="D2678" s="23" t="s">
        <v>693</v>
      </c>
      <c r="E2678" s="23" t="s">
        <v>1700</v>
      </c>
      <c r="F2678" s="23" t="s">
        <v>1252</v>
      </c>
    </row>
    <row r="2679" ht="17.25" spans="1:6">
      <c r="A2679" s="23">
        <v>2678</v>
      </c>
      <c r="B2679" s="22" t="s">
        <v>3060</v>
      </c>
      <c r="C2679" s="22" t="s">
        <v>692</v>
      </c>
      <c r="D2679" s="22" t="s">
        <v>704</v>
      </c>
      <c r="E2679" s="22" t="s">
        <v>1700</v>
      </c>
      <c r="F2679" s="22" t="s">
        <v>1252</v>
      </c>
    </row>
    <row r="2680" ht="17.25" spans="1:6">
      <c r="A2680" s="22">
        <v>2679</v>
      </c>
      <c r="B2680" s="23" t="s">
        <v>3061</v>
      </c>
      <c r="C2680" s="23" t="s">
        <v>692</v>
      </c>
      <c r="D2680" s="23" t="s">
        <v>712</v>
      </c>
      <c r="E2680" s="23" t="s">
        <v>1700</v>
      </c>
      <c r="F2680" s="23" t="s">
        <v>1252</v>
      </c>
    </row>
    <row r="2681" ht="17.25" spans="1:6">
      <c r="A2681" s="23">
        <v>2680</v>
      </c>
      <c r="B2681" s="22" t="s">
        <v>3062</v>
      </c>
      <c r="C2681" s="22" t="s">
        <v>692</v>
      </c>
      <c r="D2681" s="22" t="s">
        <v>2274</v>
      </c>
      <c r="E2681" s="22" t="s">
        <v>1700</v>
      </c>
      <c r="F2681" s="22" t="s">
        <v>1252</v>
      </c>
    </row>
    <row r="2682" ht="17.25" spans="1:6">
      <c r="A2682" s="22">
        <v>2681</v>
      </c>
      <c r="B2682" s="23" t="s">
        <v>3063</v>
      </c>
      <c r="C2682" s="23" t="s">
        <v>692</v>
      </c>
      <c r="D2682" s="23" t="s">
        <v>720</v>
      </c>
      <c r="E2682" s="23" t="s">
        <v>1700</v>
      </c>
      <c r="F2682" s="23" t="s">
        <v>1252</v>
      </c>
    </row>
    <row r="2683" ht="17.25" spans="1:6">
      <c r="A2683" s="23">
        <v>2682</v>
      </c>
      <c r="B2683" s="22" t="s">
        <v>3064</v>
      </c>
      <c r="C2683" s="22" t="s">
        <v>692</v>
      </c>
      <c r="D2683" s="22" t="s">
        <v>693</v>
      </c>
      <c r="E2683" s="22" t="s">
        <v>1700</v>
      </c>
      <c r="F2683" s="22" t="s">
        <v>1252</v>
      </c>
    </row>
    <row r="2684" ht="17.25" spans="1:6">
      <c r="A2684" s="22">
        <v>2683</v>
      </c>
      <c r="B2684" s="23" t="s">
        <v>3065</v>
      </c>
      <c r="C2684" s="23" t="s">
        <v>692</v>
      </c>
      <c r="D2684" s="23" t="s">
        <v>693</v>
      </c>
      <c r="E2684" s="23" t="s">
        <v>1700</v>
      </c>
      <c r="F2684" s="23" t="s">
        <v>1252</v>
      </c>
    </row>
    <row r="2685" ht="17.25" spans="1:6">
      <c r="A2685" s="23">
        <v>2684</v>
      </c>
      <c r="B2685" s="22" t="s">
        <v>3066</v>
      </c>
      <c r="C2685" s="22" t="s">
        <v>692</v>
      </c>
      <c r="D2685" s="22" t="s">
        <v>700</v>
      </c>
      <c r="E2685" s="22" t="s">
        <v>1700</v>
      </c>
      <c r="F2685" s="22" t="s">
        <v>1252</v>
      </c>
    </row>
    <row r="2686" ht="17.25" spans="1:6">
      <c r="A2686" s="22">
        <v>2685</v>
      </c>
      <c r="B2686" s="23" t="s">
        <v>3067</v>
      </c>
      <c r="C2686" s="23" t="s">
        <v>692</v>
      </c>
      <c r="D2686" s="23" t="s">
        <v>729</v>
      </c>
      <c r="E2686" s="23" t="s">
        <v>1700</v>
      </c>
      <c r="F2686" s="23" t="s">
        <v>1252</v>
      </c>
    </row>
    <row r="2687" ht="17.25" spans="1:6">
      <c r="A2687" s="23">
        <v>2686</v>
      </c>
      <c r="B2687" s="22" t="s">
        <v>3068</v>
      </c>
      <c r="C2687" s="22" t="s">
        <v>692</v>
      </c>
      <c r="D2687" s="22" t="s">
        <v>712</v>
      </c>
      <c r="E2687" s="22" t="s">
        <v>1700</v>
      </c>
      <c r="F2687" s="22" t="s">
        <v>1252</v>
      </c>
    </row>
    <row r="2688" ht="17.25" spans="1:6">
      <c r="A2688" s="22">
        <v>2687</v>
      </c>
      <c r="B2688" s="23" t="s">
        <v>3069</v>
      </c>
      <c r="C2688" s="23" t="s">
        <v>692</v>
      </c>
      <c r="D2688" s="23" t="s">
        <v>716</v>
      </c>
      <c r="E2688" s="23" t="s">
        <v>1700</v>
      </c>
      <c r="F2688" s="23" t="s">
        <v>1252</v>
      </c>
    </row>
    <row r="2689" ht="17.25" spans="1:6">
      <c r="A2689" s="23">
        <v>2688</v>
      </c>
      <c r="B2689" s="22" t="s">
        <v>3070</v>
      </c>
      <c r="C2689" s="22" t="s">
        <v>692</v>
      </c>
      <c r="D2689" s="22" t="s">
        <v>693</v>
      </c>
      <c r="E2689" s="22" t="s">
        <v>1700</v>
      </c>
      <c r="F2689" s="22" t="s">
        <v>1252</v>
      </c>
    </row>
    <row r="2690" ht="17.25" spans="1:6">
      <c r="A2690" s="22">
        <v>2689</v>
      </c>
      <c r="B2690" s="23" t="s">
        <v>3071</v>
      </c>
      <c r="C2690" s="23" t="s">
        <v>692</v>
      </c>
      <c r="D2690" s="23" t="s">
        <v>693</v>
      </c>
      <c r="E2690" s="23" t="s">
        <v>1700</v>
      </c>
      <c r="F2690" s="23" t="s">
        <v>1252</v>
      </c>
    </row>
    <row r="2691" ht="17.25" spans="1:6">
      <c r="A2691" s="23">
        <v>2690</v>
      </c>
      <c r="B2691" s="22" t="s">
        <v>3072</v>
      </c>
      <c r="C2691" s="22" t="s">
        <v>692</v>
      </c>
      <c r="D2691" s="22" t="s">
        <v>693</v>
      </c>
      <c r="E2691" s="22" t="s">
        <v>1700</v>
      </c>
      <c r="F2691" s="22" t="s">
        <v>1252</v>
      </c>
    </row>
    <row r="2692" ht="17.25" spans="1:6">
      <c r="A2692" s="22">
        <v>2691</v>
      </c>
      <c r="B2692" s="23" t="s">
        <v>3073</v>
      </c>
      <c r="C2692" s="23" t="s">
        <v>692</v>
      </c>
      <c r="D2692" s="23" t="s">
        <v>693</v>
      </c>
      <c r="E2692" s="23" t="s">
        <v>1700</v>
      </c>
      <c r="F2692" s="23" t="s">
        <v>1252</v>
      </c>
    </row>
    <row r="2693" ht="17.25" spans="1:6">
      <c r="A2693" s="23">
        <v>2692</v>
      </c>
      <c r="B2693" s="22" t="s">
        <v>3074</v>
      </c>
      <c r="C2693" s="22" t="s">
        <v>692</v>
      </c>
      <c r="D2693" s="22" t="s">
        <v>693</v>
      </c>
      <c r="E2693" s="22" t="s">
        <v>1700</v>
      </c>
      <c r="F2693" s="22" t="s">
        <v>1252</v>
      </c>
    </row>
    <row r="2694" ht="17.25" spans="1:6">
      <c r="A2694" s="22">
        <v>2693</v>
      </c>
      <c r="B2694" s="23" t="s">
        <v>3075</v>
      </c>
      <c r="C2694" s="23" t="s">
        <v>746</v>
      </c>
      <c r="D2694" s="23" t="s">
        <v>747</v>
      </c>
      <c r="E2694" s="23" t="s">
        <v>1700</v>
      </c>
      <c r="F2694" s="23" t="s">
        <v>1252</v>
      </c>
    </row>
    <row r="2695" ht="17.25" spans="1:6">
      <c r="A2695" s="23">
        <v>2694</v>
      </c>
      <c r="B2695" s="22" t="s">
        <v>3076</v>
      </c>
      <c r="C2695" s="22" t="s">
        <v>746</v>
      </c>
      <c r="D2695" s="22" t="s">
        <v>747</v>
      </c>
      <c r="E2695" s="22" t="s">
        <v>1700</v>
      </c>
      <c r="F2695" s="22" t="s">
        <v>1252</v>
      </c>
    </row>
    <row r="2696" ht="17.25" spans="1:6">
      <c r="A2696" s="22">
        <v>2695</v>
      </c>
      <c r="B2696" s="23" t="s">
        <v>3077</v>
      </c>
      <c r="C2696" s="23" t="s">
        <v>746</v>
      </c>
      <c r="D2696" s="23" t="s">
        <v>747</v>
      </c>
      <c r="E2696" s="23" t="s">
        <v>1700</v>
      </c>
      <c r="F2696" s="23" t="s">
        <v>1252</v>
      </c>
    </row>
    <row r="2697" ht="17.25" spans="1:6">
      <c r="A2697" s="23">
        <v>2696</v>
      </c>
      <c r="B2697" s="22" t="s">
        <v>3078</v>
      </c>
      <c r="C2697" s="22" t="s">
        <v>746</v>
      </c>
      <c r="D2697" s="22" t="s">
        <v>747</v>
      </c>
      <c r="E2697" s="22" t="s">
        <v>1700</v>
      </c>
      <c r="F2697" s="22" t="s">
        <v>1252</v>
      </c>
    </row>
    <row r="2698" ht="17.25" spans="1:6">
      <c r="A2698" s="22">
        <v>2697</v>
      </c>
      <c r="B2698" s="23" t="s">
        <v>3079</v>
      </c>
      <c r="C2698" s="23" t="s">
        <v>746</v>
      </c>
      <c r="D2698" s="23" t="s">
        <v>747</v>
      </c>
      <c r="E2698" s="23" t="s">
        <v>1700</v>
      </c>
      <c r="F2698" s="23" t="s">
        <v>1252</v>
      </c>
    </row>
    <row r="2699" ht="17.25" spans="1:6">
      <c r="A2699" s="23">
        <v>2698</v>
      </c>
      <c r="B2699" s="22" t="s">
        <v>3080</v>
      </c>
      <c r="C2699" s="22" t="s">
        <v>746</v>
      </c>
      <c r="D2699" s="22" t="s">
        <v>747</v>
      </c>
      <c r="E2699" s="22" t="s">
        <v>1700</v>
      </c>
      <c r="F2699" s="22" t="s">
        <v>1252</v>
      </c>
    </row>
    <row r="2700" ht="17.25" spans="1:6">
      <c r="A2700" s="22">
        <v>2699</v>
      </c>
      <c r="B2700" s="23" t="s">
        <v>3081</v>
      </c>
      <c r="C2700" s="23" t="s">
        <v>746</v>
      </c>
      <c r="D2700" s="23" t="s">
        <v>747</v>
      </c>
      <c r="E2700" s="23" t="s">
        <v>1700</v>
      </c>
      <c r="F2700" s="23" t="s">
        <v>1252</v>
      </c>
    </row>
    <row r="2701" ht="17.25" spans="1:6">
      <c r="A2701" s="23">
        <v>2700</v>
      </c>
      <c r="B2701" s="22" t="s">
        <v>3082</v>
      </c>
      <c r="C2701" s="22" t="s">
        <v>746</v>
      </c>
      <c r="D2701" s="22" t="s">
        <v>765</v>
      </c>
      <c r="E2701" s="22" t="s">
        <v>1700</v>
      </c>
      <c r="F2701" s="22" t="s">
        <v>1252</v>
      </c>
    </row>
    <row r="2702" ht="17.25" spans="1:6">
      <c r="A2702" s="22">
        <v>2701</v>
      </c>
      <c r="B2702" s="23" t="s">
        <v>3083</v>
      </c>
      <c r="C2702" s="23" t="s">
        <v>746</v>
      </c>
      <c r="D2702" s="23" t="s">
        <v>751</v>
      </c>
      <c r="E2702" s="23" t="s">
        <v>1700</v>
      </c>
      <c r="F2702" s="23" t="s">
        <v>1252</v>
      </c>
    </row>
    <row r="2703" ht="17.25" spans="1:6">
      <c r="A2703" s="23">
        <v>2702</v>
      </c>
      <c r="B2703" s="22" t="s">
        <v>3084</v>
      </c>
      <c r="C2703" s="22" t="s">
        <v>746</v>
      </c>
      <c r="D2703" s="22" t="s">
        <v>747</v>
      </c>
      <c r="E2703" s="22" t="s">
        <v>1700</v>
      </c>
      <c r="F2703" s="22" t="s">
        <v>1252</v>
      </c>
    </row>
    <row r="2704" ht="17.25" spans="1:6">
      <c r="A2704" s="22">
        <v>2703</v>
      </c>
      <c r="B2704" s="23" t="s">
        <v>3085</v>
      </c>
      <c r="C2704" s="23" t="s">
        <v>746</v>
      </c>
      <c r="D2704" s="23" t="s">
        <v>781</v>
      </c>
      <c r="E2704" s="23" t="s">
        <v>1700</v>
      </c>
      <c r="F2704" s="23" t="s">
        <v>1252</v>
      </c>
    </row>
    <row r="2705" ht="17.25" spans="1:6">
      <c r="A2705" s="23">
        <v>2704</v>
      </c>
      <c r="B2705" s="22" t="s">
        <v>3086</v>
      </c>
      <c r="C2705" s="22" t="s">
        <v>746</v>
      </c>
      <c r="D2705" s="22" t="s">
        <v>778</v>
      </c>
      <c r="E2705" s="22" t="s">
        <v>1700</v>
      </c>
      <c r="F2705" s="22" t="s">
        <v>1252</v>
      </c>
    </row>
    <row r="2706" ht="17.25" spans="1:6">
      <c r="A2706" s="22">
        <v>2705</v>
      </c>
      <c r="B2706" s="23" t="s">
        <v>3087</v>
      </c>
      <c r="C2706" s="23" t="s">
        <v>797</v>
      </c>
      <c r="D2706" s="23" t="s">
        <v>802</v>
      </c>
      <c r="E2706" s="23" t="s">
        <v>1700</v>
      </c>
      <c r="F2706" s="23" t="s">
        <v>1252</v>
      </c>
    </row>
    <row r="2707" ht="17.25" spans="1:6">
      <c r="A2707" s="23">
        <v>2706</v>
      </c>
      <c r="B2707" s="22" t="s">
        <v>3088</v>
      </c>
      <c r="C2707" s="22" t="s">
        <v>797</v>
      </c>
      <c r="D2707" s="22" t="s">
        <v>825</v>
      </c>
      <c r="E2707" s="22" t="s">
        <v>1700</v>
      </c>
      <c r="F2707" s="22" t="s">
        <v>1252</v>
      </c>
    </row>
    <row r="2708" ht="17.25" spans="1:6">
      <c r="A2708" s="22">
        <v>2707</v>
      </c>
      <c r="B2708" s="23" t="s">
        <v>3089</v>
      </c>
      <c r="C2708" s="23" t="s">
        <v>797</v>
      </c>
      <c r="D2708" s="23" t="s">
        <v>802</v>
      </c>
      <c r="E2708" s="23" t="s">
        <v>1700</v>
      </c>
      <c r="F2708" s="23" t="s">
        <v>1252</v>
      </c>
    </row>
    <row r="2709" ht="17.25" spans="1:6">
      <c r="A2709" s="23">
        <v>2708</v>
      </c>
      <c r="B2709" s="22" t="s">
        <v>3090</v>
      </c>
      <c r="C2709" s="22" t="s">
        <v>797</v>
      </c>
      <c r="D2709" s="22" t="s">
        <v>802</v>
      </c>
      <c r="E2709" s="22" t="s">
        <v>1700</v>
      </c>
      <c r="F2709" s="22" t="s">
        <v>1252</v>
      </c>
    </row>
    <row r="2710" ht="17.25" spans="1:6">
      <c r="A2710" s="22">
        <v>2709</v>
      </c>
      <c r="B2710" s="23" t="s">
        <v>3091</v>
      </c>
      <c r="C2710" s="23" t="s">
        <v>797</v>
      </c>
      <c r="D2710" s="23" t="s">
        <v>802</v>
      </c>
      <c r="E2710" s="23" t="s">
        <v>1700</v>
      </c>
      <c r="F2710" s="23" t="s">
        <v>1252</v>
      </c>
    </row>
    <row r="2711" ht="17.25" spans="1:6">
      <c r="A2711" s="23">
        <v>2710</v>
      </c>
      <c r="B2711" s="22" t="s">
        <v>3092</v>
      </c>
      <c r="C2711" s="22" t="s">
        <v>797</v>
      </c>
      <c r="D2711" s="22" t="s">
        <v>821</v>
      </c>
      <c r="E2711" s="22" t="s">
        <v>1700</v>
      </c>
      <c r="F2711" s="22" t="s">
        <v>1252</v>
      </c>
    </row>
    <row r="2712" ht="17.25" spans="1:6">
      <c r="A2712" s="22">
        <v>2711</v>
      </c>
      <c r="B2712" s="23" t="s">
        <v>3093</v>
      </c>
      <c r="C2712" s="23" t="s">
        <v>797</v>
      </c>
      <c r="D2712" s="23" t="s">
        <v>815</v>
      </c>
      <c r="E2712" s="23" t="s">
        <v>1700</v>
      </c>
      <c r="F2712" s="23" t="s">
        <v>1252</v>
      </c>
    </row>
    <row r="2713" ht="17.25" spans="1:6">
      <c r="A2713" s="23">
        <v>2712</v>
      </c>
      <c r="B2713" s="22" t="s">
        <v>3094</v>
      </c>
      <c r="C2713" s="22" t="s">
        <v>797</v>
      </c>
      <c r="D2713" s="22" t="s">
        <v>802</v>
      </c>
      <c r="E2713" s="22" t="s">
        <v>1700</v>
      </c>
      <c r="F2713" s="22" t="s">
        <v>1252</v>
      </c>
    </row>
    <row r="2714" ht="17.25" spans="1:6">
      <c r="A2714" s="22">
        <v>2713</v>
      </c>
      <c r="B2714" s="23" t="s">
        <v>3095</v>
      </c>
      <c r="C2714" s="23" t="s">
        <v>797</v>
      </c>
      <c r="D2714" s="23" t="s">
        <v>798</v>
      </c>
      <c r="E2714" s="23" t="s">
        <v>1700</v>
      </c>
      <c r="F2714" s="23" t="s">
        <v>1252</v>
      </c>
    </row>
    <row r="2715" ht="17.25" spans="1:6">
      <c r="A2715" s="23">
        <v>2714</v>
      </c>
      <c r="B2715" s="22" t="s">
        <v>3096</v>
      </c>
      <c r="C2715" s="22" t="s">
        <v>844</v>
      </c>
      <c r="D2715" s="22" t="s">
        <v>2473</v>
      </c>
      <c r="E2715" s="22" t="s">
        <v>1700</v>
      </c>
      <c r="F2715" s="22" t="s">
        <v>1252</v>
      </c>
    </row>
    <row r="2716" ht="17.25" spans="1:6">
      <c r="A2716" s="22">
        <v>2715</v>
      </c>
      <c r="B2716" s="23" t="s">
        <v>3097</v>
      </c>
      <c r="C2716" s="23" t="s">
        <v>844</v>
      </c>
      <c r="D2716" s="23" t="s">
        <v>845</v>
      </c>
      <c r="E2716" s="23" t="s">
        <v>1700</v>
      </c>
      <c r="F2716" s="23" t="s">
        <v>1252</v>
      </c>
    </row>
    <row r="2717" ht="17.25" spans="1:6">
      <c r="A2717" s="23">
        <v>2716</v>
      </c>
      <c r="B2717" s="22" t="s">
        <v>3098</v>
      </c>
      <c r="C2717" s="22" t="s">
        <v>844</v>
      </c>
      <c r="D2717" s="22" t="s">
        <v>874</v>
      </c>
      <c r="E2717" s="22" t="s">
        <v>1700</v>
      </c>
      <c r="F2717" s="22" t="s">
        <v>1252</v>
      </c>
    </row>
    <row r="2718" ht="17.25" spans="1:6">
      <c r="A2718" s="22">
        <v>2717</v>
      </c>
      <c r="B2718" s="23" t="s">
        <v>3099</v>
      </c>
      <c r="C2718" s="23" t="s">
        <v>844</v>
      </c>
      <c r="D2718" s="23" t="s">
        <v>845</v>
      </c>
      <c r="E2718" s="23" t="s">
        <v>1700</v>
      </c>
      <c r="F2718" s="23" t="s">
        <v>1252</v>
      </c>
    </row>
    <row r="2719" ht="17.25" spans="1:6">
      <c r="A2719" s="23">
        <v>2718</v>
      </c>
      <c r="B2719" s="22" t="s">
        <v>3100</v>
      </c>
      <c r="C2719" s="22" t="s">
        <v>844</v>
      </c>
      <c r="D2719" s="22" t="s">
        <v>1569</v>
      </c>
      <c r="E2719" s="22" t="s">
        <v>1700</v>
      </c>
      <c r="F2719" s="22" t="s">
        <v>1252</v>
      </c>
    </row>
    <row r="2720" ht="17.25" spans="1:6">
      <c r="A2720" s="22">
        <v>2719</v>
      </c>
      <c r="B2720" s="23" t="s">
        <v>3101</v>
      </c>
      <c r="C2720" s="23" t="s">
        <v>844</v>
      </c>
      <c r="D2720" s="23" t="s">
        <v>845</v>
      </c>
      <c r="E2720" s="23" t="s">
        <v>1700</v>
      </c>
      <c r="F2720" s="23" t="s">
        <v>1252</v>
      </c>
    </row>
    <row r="2721" ht="17.25" spans="1:6">
      <c r="A2721" s="23">
        <v>2720</v>
      </c>
      <c r="B2721" s="22" t="s">
        <v>3102</v>
      </c>
      <c r="C2721" s="22" t="s">
        <v>844</v>
      </c>
      <c r="D2721" s="22" t="s">
        <v>866</v>
      </c>
      <c r="E2721" s="22" t="s">
        <v>1700</v>
      </c>
      <c r="F2721" s="22" t="s">
        <v>1252</v>
      </c>
    </row>
    <row r="2722" ht="17.25" spans="1:6">
      <c r="A2722" s="22">
        <v>2721</v>
      </c>
      <c r="B2722" s="23" t="s">
        <v>3103</v>
      </c>
      <c r="C2722" s="23" t="s">
        <v>844</v>
      </c>
      <c r="D2722" s="23" t="s">
        <v>845</v>
      </c>
      <c r="E2722" s="23" t="s">
        <v>1700</v>
      </c>
      <c r="F2722" s="23" t="s">
        <v>1252</v>
      </c>
    </row>
    <row r="2723" ht="17.25" spans="1:6">
      <c r="A2723" s="23">
        <v>2722</v>
      </c>
      <c r="B2723" s="22" t="s">
        <v>3104</v>
      </c>
      <c r="C2723" s="22" t="s">
        <v>844</v>
      </c>
      <c r="D2723" s="22" t="s">
        <v>845</v>
      </c>
      <c r="E2723" s="22" t="s">
        <v>1700</v>
      </c>
      <c r="F2723" s="22" t="s">
        <v>1252</v>
      </c>
    </row>
    <row r="2724" ht="17.25" spans="1:6">
      <c r="A2724" s="22">
        <v>2723</v>
      </c>
      <c r="B2724" s="23" t="s">
        <v>3105</v>
      </c>
      <c r="C2724" s="23" t="s">
        <v>844</v>
      </c>
      <c r="D2724" s="23" t="s">
        <v>861</v>
      </c>
      <c r="E2724" s="23" t="s">
        <v>1700</v>
      </c>
      <c r="F2724" s="23" t="s">
        <v>1252</v>
      </c>
    </row>
    <row r="2725" ht="17.25" spans="1:6">
      <c r="A2725" s="23">
        <v>2724</v>
      </c>
      <c r="B2725" s="22" t="s">
        <v>3106</v>
      </c>
      <c r="C2725" s="22" t="s">
        <v>844</v>
      </c>
      <c r="D2725" s="22" t="s">
        <v>845</v>
      </c>
      <c r="E2725" s="22" t="s">
        <v>1700</v>
      </c>
      <c r="F2725" s="22" t="s">
        <v>1252</v>
      </c>
    </row>
    <row r="2726" ht="17.25" spans="1:6">
      <c r="A2726" s="22">
        <v>2725</v>
      </c>
      <c r="B2726" s="23" t="s">
        <v>3107</v>
      </c>
      <c r="C2726" s="23" t="s">
        <v>844</v>
      </c>
      <c r="D2726" s="23" t="s">
        <v>845</v>
      </c>
      <c r="E2726" s="23" t="s">
        <v>1700</v>
      </c>
      <c r="F2726" s="23" t="s">
        <v>1252</v>
      </c>
    </row>
    <row r="2727" ht="17.25" spans="1:6">
      <c r="A2727" s="23">
        <v>2726</v>
      </c>
      <c r="B2727" s="22" t="s">
        <v>3108</v>
      </c>
      <c r="C2727" s="22" t="s">
        <v>844</v>
      </c>
      <c r="D2727" s="22" t="s">
        <v>845</v>
      </c>
      <c r="E2727" s="22" t="s">
        <v>1700</v>
      </c>
      <c r="F2727" s="22" t="s">
        <v>1252</v>
      </c>
    </row>
    <row r="2728" ht="17.25" spans="1:6">
      <c r="A2728" s="22">
        <v>2727</v>
      </c>
      <c r="B2728" s="23" t="s">
        <v>3109</v>
      </c>
      <c r="C2728" s="23" t="s">
        <v>844</v>
      </c>
      <c r="D2728" s="23" t="s">
        <v>845</v>
      </c>
      <c r="E2728" s="23" t="s">
        <v>1700</v>
      </c>
      <c r="F2728" s="23" t="s">
        <v>1252</v>
      </c>
    </row>
    <row r="2729" ht="17.25" spans="1:6">
      <c r="A2729" s="23">
        <v>2728</v>
      </c>
      <c r="B2729" s="22" t="s">
        <v>3110</v>
      </c>
      <c r="C2729" s="22" t="s">
        <v>844</v>
      </c>
      <c r="D2729" s="22" t="s">
        <v>845</v>
      </c>
      <c r="E2729" s="22" t="s">
        <v>1700</v>
      </c>
      <c r="F2729" s="22" t="s">
        <v>1252</v>
      </c>
    </row>
    <row r="2730" ht="17.25" spans="1:6">
      <c r="A2730" s="22">
        <v>2729</v>
      </c>
      <c r="B2730" s="23" t="s">
        <v>3111</v>
      </c>
      <c r="C2730" s="23" t="s">
        <v>844</v>
      </c>
      <c r="D2730" s="23" t="s">
        <v>852</v>
      </c>
      <c r="E2730" s="23" t="s">
        <v>1700</v>
      </c>
      <c r="F2730" s="23" t="s">
        <v>1252</v>
      </c>
    </row>
    <row r="2731" ht="17.25" spans="1:6">
      <c r="A2731" s="23">
        <v>2730</v>
      </c>
      <c r="B2731" s="22" t="s">
        <v>3112</v>
      </c>
      <c r="C2731" s="22" t="s">
        <v>844</v>
      </c>
      <c r="D2731" s="22" t="s">
        <v>845</v>
      </c>
      <c r="E2731" s="22" t="s">
        <v>1700</v>
      </c>
      <c r="F2731" s="22" t="s">
        <v>1252</v>
      </c>
    </row>
    <row r="2732" ht="17.25" spans="1:6">
      <c r="A2732" s="22">
        <v>2731</v>
      </c>
      <c r="B2732" s="23" t="s">
        <v>3113</v>
      </c>
      <c r="C2732" s="23" t="s">
        <v>844</v>
      </c>
      <c r="D2732" s="23" t="s">
        <v>881</v>
      </c>
      <c r="E2732" s="23" t="s">
        <v>1700</v>
      </c>
      <c r="F2732" s="23" t="s">
        <v>1252</v>
      </c>
    </row>
    <row r="2733" ht="17.25" spans="1:6">
      <c r="A2733" s="23">
        <v>2732</v>
      </c>
      <c r="B2733" s="22" t="s">
        <v>3114</v>
      </c>
      <c r="C2733" s="22" t="s">
        <v>844</v>
      </c>
      <c r="D2733" s="22" t="s">
        <v>845</v>
      </c>
      <c r="E2733" s="22" t="s">
        <v>1700</v>
      </c>
      <c r="F2733" s="22" t="s">
        <v>1252</v>
      </c>
    </row>
    <row r="2734" ht="17.25" spans="1:6">
      <c r="A2734" s="22">
        <v>2733</v>
      </c>
      <c r="B2734" s="23" t="s">
        <v>3115</v>
      </c>
      <c r="C2734" s="23" t="s">
        <v>844</v>
      </c>
      <c r="D2734" s="23" t="s">
        <v>845</v>
      </c>
      <c r="E2734" s="23" t="s">
        <v>1700</v>
      </c>
      <c r="F2734" s="23" t="s">
        <v>1252</v>
      </c>
    </row>
    <row r="2735" ht="17.25" spans="1:6">
      <c r="A2735" s="23">
        <v>2734</v>
      </c>
      <c r="B2735" s="22" t="s">
        <v>3116</v>
      </c>
      <c r="C2735" s="22" t="s">
        <v>844</v>
      </c>
      <c r="D2735" s="22" t="s">
        <v>845</v>
      </c>
      <c r="E2735" s="22" t="s">
        <v>1700</v>
      </c>
      <c r="F2735" s="22" t="s">
        <v>1252</v>
      </c>
    </row>
    <row r="2736" ht="17.25" spans="1:6">
      <c r="A2736" s="22">
        <v>2735</v>
      </c>
      <c r="B2736" s="23" t="s">
        <v>3117</v>
      </c>
      <c r="C2736" s="23" t="s">
        <v>844</v>
      </c>
      <c r="D2736" s="23" t="s">
        <v>886</v>
      </c>
      <c r="E2736" s="23" t="s">
        <v>1700</v>
      </c>
      <c r="F2736" s="23" t="s">
        <v>1252</v>
      </c>
    </row>
    <row r="2737" ht="17.25" spans="1:6">
      <c r="A2737" s="23">
        <v>2736</v>
      </c>
      <c r="B2737" s="22" t="s">
        <v>3118</v>
      </c>
      <c r="C2737" s="22" t="s">
        <v>844</v>
      </c>
      <c r="D2737" s="22" t="s">
        <v>866</v>
      </c>
      <c r="E2737" s="22" t="s">
        <v>1700</v>
      </c>
      <c r="F2737" s="22" t="s">
        <v>1252</v>
      </c>
    </row>
    <row r="2738" ht="17.25" spans="1:6">
      <c r="A2738" s="22">
        <v>2737</v>
      </c>
      <c r="B2738" s="23" t="s">
        <v>3119</v>
      </c>
      <c r="C2738" s="23" t="s">
        <v>844</v>
      </c>
      <c r="D2738" s="23" t="s">
        <v>2475</v>
      </c>
      <c r="E2738" s="23" t="s">
        <v>1700</v>
      </c>
      <c r="F2738" s="23" t="s">
        <v>1252</v>
      </c>
    </row>
    <row r="2739" ht="17.25" spans="1:6">
      <c r="A2739" s="23">
        <v>2738</v>
      </c>
      <c r="B2739" s="22" t="s">
        <v>3120</v>
      </c>
      <c r="C2739" s="22" t="s">
        <v>844</v>
      </c>
      <c r="D2739" s="22" t="s">
        <v>886</v>
      </c>
      <c r="E2739" s="22" t="s">
        <v>1700</v>
      </c>
      <c r="F2739" s="22" t="s">
        <v>1252</v>
      </c>
    </row>
    <row r="2740" ht="17.25" spans="1:6">
      <c r="A2740" s="22">
        <v>2739</v>
      </c>
      <c r="B2740" s="23" t="s">
        <v>3121</v>
      </c>
      <c r="C2740" s="23" t="s">
        <v>844</v>
      </c>
      <c r="D2740" s="23" t="s">
        <v>866</v>
      </c>
      <c r="E2740" s="23" t="s">
        <v>1700</v>
      </c>
      <c r="F2740" s="23" t="s">
        <v>1252</v>
      </c>
    </row>
    <row r="2741" ht="17.25" spans="1:6">
      <c r="A2741" s="23">
        <v>2740</v>
      </c>
      <c r="B2741" s="22" t="s">
        <v>3122</v>
      </c>
      <c r="C2741" s="22" t="s">
        <v>902</v>
      </c>
      <c r="D2741" s="22" t="s">
        <v>907</v>
      </c>
      <c r="E2741" s="22" t="s">
        <v>1700</v>
      </c>
      <c r="F2741" s="22" t="s">
        <v>1252</v>
      </c>
    </row>
    <row r="2742" ht="17.25" spans="1:6">
      <c r="A2742" s="22">
        <v>2741</v>
      </c>
      <c r="B2742" s="23" t="s">
        <v>3123</v>
      </c>
      <c r="C2742" s="23" t="s">
        <v>902</v>
      </c>
      <c r="D2742" s="23" t="s">
        <v>907</v>
      </c>
      <c r="E2742" s="23" t="s">
        <v>1700</v>
      </c>
      <c r="F2742" s="23" t="s">
        <v>1252</v>
      </c>
    </row>
    <row r="2743" ht="17.25" spans="1:6">
      <c r="A2743" s="23">
        <v>2742</v>
      </c>
      <c r="B2743" s="22" t="s">
        <v>3124</v>
      </c>
      <c r="C2743" s="22" t="s">
        <v>902</v>
      </c>
      <c r="D2743" s="22" t="s">
        <v>903</v>
      </c>
      <c r="E2743" s="22" t="s">
        <v>1700</v>
      </c>
      <c r="F2743" s="22" t="s">
        <v>1252</v>
      </c>
    </row>
    <row r="2744" ht="17.25" spans="1:6">
      <c r="A2744" s="22">
        <v>2743</v>
      </c>
      <c r="B2744" s="23" t="s">
        <v>3125</v>
      </c>
      <c r="C2744" s="23" t="s">
        <v>902</v>
      </c>
      <c r="D2744" s="23" t="s">
        <v>931</v>
      </c>
      <c r="E2744" s="23" t="s">
        <v>1700</v>
      </c>
      <c r="F2744" s="23" t="s">
        <v>1252</v>
      </c>
    </row>
    <row r="2745" ht="17.25" spans="1:6">
      <c r="A2745" s="23">
        <v>2744</v>
      </c>
      <c r="B2745" s="22" t="s">
        <v>3126</v>
      </c>
      <c r="C2745" s="22" t="s">
        <v>902</v>
      </c>
      <c r="D2745" s="22" t="s">
        <v>911</v>
      </c>
      <c r="E2745" s="22" t="s">
        <v>1700</v>
      </c>
      <c r="F2745" s="22" t="s">
        <v>1252</v>
      </c>
    </row>
    <row r="2746" ht="17.25" spans="1:6">
      <c r="A2746" s="22">
        <v>2745</v>
      </c>
      <c r="B2746" s="23" t="s">
        <v>3127</v>
      </c>
      <c r="C2746" s="23" t="s">
        <v>902</v>
      </c>
      <c r="D2746" s="23" t="s">
        <v>917</v>
      </c>
      <c r="E2746" s="23" t="s">
        <v>1700</v>
      </c>
      <c r="F2746" s="23" t="s">
        <v>1252</v>
      </c>
    </row>
    <row r="2747" ht="17.25" spans="1:6">
      <c r="A2747" s="23">
        <v>2746</v>
      </c>
      <c r="B2747" s="22" t="s">
        <v>3128</v>
      </c>
      <c r="C2747" s="22" t="s">
        <v>902</v>
      </c>
      <c r="D2747" s="22" t="s">
        <v>903</v>
      </c>
      <c r="E2747" s="22" t="s">
        <v>1700</v>
      </c>
      <c r="F2747" s="22" t="s">
        <v>1252</v>
      </c>
    </row>
    <row r="2748" ht="17.25" spans="1:6">
      <c r="A2748" s="22">
        <v>2747</v>
      </c>
      <c r="B2748" s="23" t="s">
        <v>3129</v>
      </c>
      <c r="C2748" s="23" t="s">
        <v>902</v>
      </c>
      <c r="D2748" s="23" t="s">
        <v>917</v>
      </c>
      <c r="E2748" s="23" t="s">
        <v>1700</v>
      </c>
      <c r="F2748" s="23" t="s">
        <v>1252</v>
      </c>
    </row>
    <row r="2749" ht="17.25" spans="1:6">
      <c r="A2749" s="23">
        <v>2748</v>
      </c>
      <c r="B2749" s="22" t="s">
        <v>3130</v>
      </c>
      <c r="C2749" s="22" t="s">
        <v>902</v>
      </c>
      <c r="D2749" s="22" t="s">
        <v>911</v>
      </c>
      <c r="E2749" s="22" t="s">
        <v>1700</v>
      </c>
      <c r="F2749" s="22" t="s">
        <v>1252</v>
      </c>
    </row>
    <row r="2750" ht="17.25" spans="1:6">
      <c r="A2750" s="22">
        <v>2749</v>
      </c>
      <c r="B2750" s="23" t="s">
        <v>3131</v>
      </c>
      <c r="C2750" s="23" t="s">
        <v>902</v>
      </c>
      <c r="D2750" s="23" t="s">
        <v>917</v>
      </c>
      <c r="E2750" s="23" t="s">
        <v>1700</v>
      </c>
      <c r="F2750" s="23" t="s">
        <v>1252</v>
      </c>
    </row>
    <row r="2751" ht="17.25" spans="1:6">
      <c r="A2751" s="23">
        <v>2750</v>
      </c>
      <c r="B2751" s="22" t="s">
        <v>3132</v>
      </c>
      <c r="C2751" s="22" t="s">
        <v>902</v>
      </c>
      <c r="D2751" s="22" t="s">
        <v>921</v>
      </c>
      <c r="E2751" s="22" t="s">
        <v>1700</v>
      </c>
      <c r="F2751" s="22" t="s">
        <v>1252</v>
      </c>
    </row>
    <row r="2752" ht="17.25" spans="1:6">
      <c r="A2752" s="22">
        <v>2751</v>
      </c>
      <c r="B2752" s="23" t="s">
        <v>3133</v>
      </c>
      <c r="C2752" s="23" t="s">
        <v>902</v>
      </c>
      <c r="D2752" s="23" t="s">
        <v>928</v>
      </c>
      <c r="E2752" s="23" t="s">
        <v>1700</v>
      </c>
      <c r="F2752" s="23" t="s">
        <v>1252</v>
      </c>
    </row>
    <row r="2753" ht="17.25" spans="1:6">
      <c r="A2753" s="23">
        <v>2752</v>
      </c>
      <c r="B2753" s="22" t="s">
        <v>3134</v>
      </c>
      <c r="C2753" s="22" t="s">
        <v>902</v>
      </c>
      <c r="D2753" s="22" t="s">
        <v>926</v>
      </c>
      <c r="E2753" s="22" t="s">
        <v>1700</v>
      </c>
      <c r="F2753" s="22" t="s">
        <v>1252</v>
      </c>
    </row>
    <row r="2754" ht="17.25" spans="1:6">
      <c r="A2754" s="22">
        <v>2753</v>
      </c>
      <c r="B2754" s="23" t="s">
        <v>3135</v>
      </c>
      <c r="C2754" s="23" t="s">
        <v>902</v>
      </c>
      <c r="D2754" s="23" t="s">
        <v>1580</v>
      </c>
      <c r="E2754" s="23" t="s">
        <v>1700</v>
      </c>
      <c r="F2754" s="23" t="s">
        <v>1252</v>
      </c>
    </row>
    <row r="2755" ht="17.25" spans="1:6">
      <c r="A2755" s="23">
        <v>2754</v>
      </c>
      <c r="B2755" s="22" t="s">
        <v>3136</v>
      </c>
      <c r="C2755" s="22" t="s">
        <v>943</v>
      </c>
      <c r="D2755" s="22" t="s">
        <v>946</v>
      </c>
      <c r="E2755" s="22" t="s">
        <v>1700</v>
      </c>
      <c r="F2755" s="22" t="s">
        <v>1252</v>
      </c>
    </row>
    <row r="2756" ht="17.25" spans="1:6">
      <c r="A2756" s="22">
        <v>2755</v>
      </c>
      <c r="B2756" s="23" t="s">
        <v>3137</v>
      </c>
      <c r="C2756" s="23" t="s">
        <v>943</v>
      </c>
      <c r="D2756" s="23" t="s">
        <v>944</v>
      </c>
      <c r="E2756" s="23" t="s">
        <v>1700</v>
      </c>
      <c r="F2756" s="23" t="s">
        <v>1252</v>
      </c>
    </row>
    <row r="2757" ht="17.25" spans="1:6">
      <c r="A2757" s="23">
        <v>2756</v>
      </c>
      <c r="B2757" s="22" t="s">
        <v>3138</v>
      </c>
      <c r="C2757" s="22" t="s">
        <v>943</v>
      </c>
      <c r="D2757" s="22" t="s">
        <v>946</v>
      </c>
      <c r="E2757" s="22" t="s">
        <v>1700</v>
      </c>
      <c r="F2757" s="22" t="s">
        <v>1252</v>
      </c>
    </row>
    <row r="2758" ht="17.25" spans="1:6">
      <c r="A2758" s="22">
        <v>2757</v>
      </c>
      <c r="B2758" s="23" t="s">
        <v>3139</v>
      </c>
      <c r="C2758" s="23" t="s">
        <v>943</v>
      </c>
      <c r="D2758" s="23" t="s">
        <v>946</v>
      </c>
      <c r="E2758" s="23" t="s">
        <v>1700</v>
      </c>
      <c r="F2758" s="23" t="s">
        <v>1252</v>
      </c>
    </row>
    <row r="2759" ht="17.25" spans="1:6">
      <c r="A2759" s="23">
        <v>2758</v>
      </c>
      <c r="B2759" s="22" t="s">
        <v>3140</v>
      </c>
      <c r="C2759" s="22" t="s">
        <v>943</v>
      </c>
      <c r="D2759" s="22" t="s">
        <v>946</v>
      </c>
      <c r="E2759" s="22" t="s">
        <v>1700</v>
      </c>
      <c r="F2759" s="22" t="s">
        <v>1252</v>
      </c>
    </row>
    <row r="2760" ht="17.25" spans="1:6">
      <c r="A2760" s="22">
        <v>2759</v>
      </c>
      <c r="B2760" s="23" t="s">
        <v>3141</v>
      </c>
      <c r="C2760" s="23" t="s">
        <v>943</v>
      </c>
      <c r="D2760" s="23" t="s">
        <v>3142</v>
      </c>
      <c r="E2760" s="23" t="s">
        <v>1700</v>
      </c>
      <c r="F2760" s="23" t="s">
        <v>1252</v>
      </c>
    </row>
    <row r="2761" ht="17.25" spans="1:6">
      <c r="A2761" s="23">
        <v>2760</v>
      </c>
      <c r="B2761" s="22" t="s">
        <v>3143</v>
      </c>
      <c r="C2761" s="22" t="s">
        <v>951</v>
      </c>
      <c r="D2761" s="22" t="s">
        <v>951</v>
      </c>
      <c r="E2761" s="22" t="s">
        <v>1700</v>
      </c>
      <c r="F2761" s="22" t="s">
        <v>1252</v>
      </c>
    </row>
    <row r="2762" ht="17.25" spans="1:6">
      <c r="A2762" s="22">
        <v>2761</v>
      </c>
      <c r="B2762" s="23" t="s">
        <v>3144</v>
      </c>
      <c r="C2762" s="23" t="s">
        <v>951</v>
      </c>
      <c r="D2762" s="23" t="s">
        <v>951</v>
      </c>
      <c r="E2762" s="23" t="s">
        <v>1700</v>
      </c>
      <c r="F2762" s="23" t="s">
        <v>1252</v>
      </c>
    </row>
    <row r="2763" ht="17.25" spans="1:6">
      <c r="A2763" s="23">
        <v>2762</v>
      </c>
      <c r="B2763" s="22" t="s">
        <v>3145</v>
      </c>
      <c r="C2763" s="22" t="s">
        <v>951</v>
      </c>
      <c r="D2763" s="22" t="s">
        <v>951</v>
      </c>
      <c r="E2763" s="22" t="s">
        <v>1700</v>
      </c>
      <c r="F2763" s="22" t="s">
        <v>1252</v>
      </c>
    </row>
    <row r="2764" ht="17.25" spans="1:6">
      <c r="A2764" s="22">
        <v>2763</v>
      </c>
      <c r="B2764" s="23" t="s">
        <v>3146</v>
      </c>
      <c r="C2764" s="23" t="s">
        <v>951</v>
      </c>
      <c r="D2764" s="23" t="s">
        <v>951</v>
      </c>
      <c r="E2764" s="23" t="s">
        <v>1700</v>
      </c>
      <c r="F2764" s="23" t="s">
        <v>1252</v>
      </c>
    </row>
    <row r="2765" ht="17.25" spans="1:6">
      <c r="A2765" s="23">
        <v>2764</v>
      </c>
      <c r="B2765" s="22" t="s">
        <v>3147</v>
      </c>
      <c r="C2765" s="22" t="s">
        <v>951</v>
      </c>
      <c r="D2765" s="22" t="s">
        <v>951</v>
      </c>
      <c r="E2765" s="22" t="s">
        <v>1700</v>
      </c>
      <c r="F2765" s="22" t="s">
        <v>1252</v>
      </c>
    </row>
    <row r="2766" ht="17.25" spans="1:6">
      <c r="A2766" s="22">
        <v>2765</v>
      </c>
      <c r="B2766" s="23" t="s">
        <v>3148</v>
      </c>
      <c r="C2766" s="23" t="s">
        <v>951</v>
      </c>
      <c r="D2766" s="23" t="s">
        <v>951</v>
      </c>
      <c r="E2766" s="23" t="s">
        <v>1700</v>
      </c>
      <c r="F2766" s="23" t="s">
        <v>1252</v>
      </c>
    </row>
    <row r="2767" ht="17.25" spans="1:6">
      <c r="A2767" s="23">
        <v>2766</v>
      </c>
      <c r="B2767" s="22" t="s">
        <v>3149</v>
      </c>
      <c r="C2767" s="22" t="s">
        <v>951</v>
      </c>
      <c r="D2767" s="22" t="s">
        <v>951</v>
      </c>
      <c r="E2767" s="22" t="s">
        <v>1700</v>
      </c>
      <c r="F2767" s="22" t="s">
        <v>1252</v>
      </c>
    </row>
    <row r="2768" ht="17.25" spans="1:6">
      <c r="A2768" s="22">
        <v>2767</v>
      </c>
      <c r="B2768" s="23" t="s">
        <v>3150</v>
      </c>
      <c r="C2768" s="23" t="s">
        <v>951</v>
      </c>
      <c r="D2768" s="23" t="s">
        <v>951</v>
      </c>
      <c r="E2768" s="23" t="s">
        <v>1700</v>
      </c>
      <c r="F2768" s="23" t="s">
        <v>1252</v>
      </c>
    </row>
    <row r="2769" ht="17.25" spans="1:6">
      <c r="A2769" s="23">
        <v>2768</v>
      </c>
      <c r="B2769" s="22" t="s">
        <v>3151</v>
      </c>
      <c r="C2769" s="22" t="s">
        <v>951</v>
      </c>
      <c r="D2769" s="22" t="s">
        <v>951</v>
      </c>
      <c r="E2769" s="22" t="s">
        <v>1700</v>
      </c>
      <c r="F2769" s="22" t="s">
        <v>1252</v>
      </c>
    </row>
    <row r="2770" ht="17.25" spans="1:6">
      <c r="A2770" s="22">
        <v>2769</v>
      </c>
      <c r="B2770" s="23" t="s">
        <v>3152</v>
      </c>
      <c r="C2770" s="23" t="s">
        <v>951</v>
      </c>
      <c r="D2770" s="23" t="s">
        <v>951</v>
      </c>
      <c r="E2770" s="23" t="s">
        <v>1700</v>
      </c>
      <c r="F2770" s="23" t="s">
        <v>1252</v>
      </c>
    </row>
    <row r="2771" ht="17.25" spans="1:6">
      <c r="A2771" s="23">
        <v>2770</v>
      </c>
      <c r="B2771" s="22" t="s">
        <v>3153</v>
      </c>
      <c r="C2771" s="22" t="s">
        <v>951</v>
      </c>
      <c r="D2771" s="22" t="s">
        <v>951</v>
      </c>
      <c r="E2771" s="22" t="s">
        <v>1700</v>
      </c>
      <c r="F2771" s="22" t="s">
        <v>1252</v>
      </c>
    </row>
    <row r="2772" ht="17.25" spans="1:6">
      <c r="A2772" s="22">
        <v>2771</v>
      </c>
      <c r="B2772" s="23" t="s">
        <v>3154</v>
      </c>
      <c r="C2772" s="23" t="s">
        <v>951</v>
      </c>
      <c r="D2772" s="23" t="s">
        <v>951</v>
      </c>
      <c r="E2772" s="23" t="s">
        <v>1700</v>
      </c>
      <c r="F2772" s="23" t="s">
        <v>1252</v>
      </c>
    </row>
    <row r="2773" ht="17.25" spans="1:6">
      <c r="A2773" s="23">
        <v>2772</v>
      </c>
      <c r="B2773" s="22" t="s">
        <v>3155</v>
      </c>
      <c r="C2773" s="22" t="s">
        <v>951</v>
      </c>
      <c r="D2773" s="22" t="s">
        <v>951</v>
      </c>
      <c r="E2773" s="22" t="s">
        <v>1700</v>
      </c>
      <c r="F2773" s="22" t="s">
        <v>1252</v>
      </c>
    </row>
    <row r="2774" ht="17.25" spans="1:6">
      <c r="A2774" s="22">
        <v>2773</v>
      </c>
      <c r="B2774" s="23" t="s">
        <v>3156</v>
      </c>
      <c r="C2774" s="23" t="s">
        <v>951</v>
      </c>
      <c r="D2774" s="23" t="s">
        <v>951</v>
      </c>
      <c r="E2774" s="23" t="s">
        <v>1700</v>
      </c>
      <c r="F2774" s="23" t="s">
        <v>1252</v>
      </c>
    </row>
    <row r="2775" ht="17.25" spans="1:6">
      <c r="A2775" s="23">
        <v>2774</v>
      </c>
      <c r="B2775" s="22" t="s">
        <v>3157</v>
      </c>
      <c r="C2775" s="22" t="s">
        <v>951</v>
      </c>
      <c r="D2775" s="22" t="s">
        <v>951</v>
      </c>
      <c r="E2775" s="22" t="s">
        <v>1700</v>
      </c>
      <c r="F2775" s="22" t="s">
        <v>1252</v>
      </c>
    </row>
    <row r="2776" ht="17.25" spans="1:6">
      <c r="A2776" s="22">
        <v>2775</v>
      </c>
      <c r="B2776" s="23" t="s">
        <v>3158</v>
      </c>
      <c r="C2776" s="23" t="s">
        <v>951</v>
      </c>
      <c r="D2776" s="23" t="s">
        <v>951</v>
      </c>
      <c r="E2776" s="23" t="s">
        <v>1700</v>
      </c>
      <c r="F2776" s="23" t="s">
        <v>1252</v>
      </c>
    </row>
    <row r="2777" ht="17.25" spans="1:6">
      <c r="A2777" s="23">
        <v>2776</v>
      </c>
      <c r="B2777" s="22" t="s">
        <v>3159</v>
      </c>
      <c r="C2777" s="22" t="s">
        <v>951</v>
      </c>
      <c r="D2777" s="22" t="s">
        <v>951</v>
      </c>
      <c r="E2777" s="22" t="s">
        <v>1700</v>
      </c>
      <c r="F2777" s="22" t="s">
        <v>1252</v>
      </c>
    </row>
    <row r="2778" ht="17.25" spans="1:6">
      <c r="A2778" s="22">
        <v>2777</v>
      </c>
      <c r="B2778" s="23" t="s">
        <v>3160</v>
      </c>
      <c r="C2778" s="23" t="s">
        <v>951</v>
      </c>
      <c r="D2778" s="23" t="s">
        <v>951</v>
      </c>
      <c r="E2778" s="23" t="s">
        <v>1700</v>
      </c>
      <c r="F2778" s="23" t="s">
        <v>1252</v>
      </c>
    </row>
    <row r="2779" ht="17.25" spans="1:6">
      <c r="A2779" s="23">
        <v>2778</v>
      </c>
      <c r="B2779" s="22" t="s">
        <v>3161</v>
      </c>
      <c r="C2779" s="22" t="s">
        <v>951</v>
      </c>
      <c r="D2779" s="22" t="s">
        <v>951</v>
      </c>
      <c r="E2779" s="22" t="s">
        <v>1700</v>
      </c>
      <c r="F2779" s="22" t="s">
        <v>1252</v>
      </c>
    </row>
    <row r="2780" ht="17.25" spans="1:6">
      <c r="A2780" s="22">
        <v>2779</v>
      </c>
      <c r="B2780" s="23" t="s">
        <v>3162</v>
      </c>
      <c r="C2780" s="23" t="s">
        <v>951</v>
      </c>
      <c r="D2780" s="23" t="s">
        <v>951</v>
      </c>
      <c r="E2780" s="23" t="s">
        <v>1700</v>
      </c>
      <c r="F2780" s="23" t="s">
        <v>1252</v>
      </c>
    </row>
    <row r="2781" ht="17.25" spans="1:6">
      <c r="A2781" s="23">
        <v>2780</v>
      </c>
      <c r="B2781" s="22" t="s">
        <v>3163</v>
      </c>
      <c r="C2781" s="22" t="s">
        <v>971</v>
      </c>
      <c r="D2781" s="22" t="s">
        <v>972</v>
      </c>
      <c r="E2781" s="22" t="s">
        <v>1700</v>
      </c>
      <c r="F2781" s="22" t="s">
        <v>1252</v>
      </c>
    </row>
    <row r="2782" ht="17.25" spans="1:6">
      <c r="A2782" s="22">
        <v>2781</v>
      </c>
      <c r="B2782" s="23" t="s">
        <v>3164</v>
      </c>
      <c r="C2782" s="23" t="s">
        <v>971</v>
      </c>
      <c r="D2782" s="23" t="s">
        <v>972</v>
      </c>
      <c r="E2782" s="23" t="s">
        <v>1700</v>
      </c>
      <c r="F2782" s="23" t="s">
        <v>1252</v>
      </c>
    </row>
    <row r="2783" ht="17.25" spans="1:6">
      <c r="A2783" s="23">
        <v>2782</v>
      </c>
      <c r="B2783" s="22" t="s">
        <v>3165</v>
      </c>
      <c r="C2783" s="22" t="s">
        <v>971</v>
      </c>
      <c r="D2783" s="22" t="s">
        <v>972</v>
      </c>
      <c r="E2783" s="22" t="s">
        <v>1700</v>
      </c>
      <c r="F2783" s="22" t="s">
        <v>1252</v>
      </c>
    </row>
    <row r="2784" ht="17.25" spans="1:6">
      <c r="A2784" s="22">
        <v>2783</v>
      </c>
      <c r="B2784" s="23" t="s">
        <v>3166</v>
      </c>
      <c r="C2784" s="23" t="s">
        <v>971</v>
      </c>
      <c r="D2784" s="23" t="s">
        <v>972</v>
      </c>
      <c r="E2784" s="23" t="s">
        <v>1700</v>
      </c>
      <c r="F2784" s="23" t="s">
        <v>1252</v>
      </c>
    </row>
    <row r="2785" ht="17.25" spans="1:6">
      <c r="A2785" s="23">
        <v>2784</v>
      </c>
      <c r="B2785" s="22" t="s">
        <v>3167</v>
      </c>
      <c r="C2785" s="22" t="s">
        <v>971</v>
      </c>
      <c r="D2785" s="22" t="s">
        <v>972</v>
      </c>
      <c r="E2785" s="22" t="s">
        <v>1700</v>
      </c>
      <c r="F2785" s="22" t="s">
        <v>1252</v>
      </c>
    </row>
    <row r="2786" ht="17.25" spans="1:6">
      <c r="A2786" s="22">
        <v>2785</v>
      </c>
      <c r="B2786" s="23" t="s">
        <v>3168</v>
      </c>
      <c r="C2786" s="23" t="s">
        <v>971</v>
      </c>
      <c r="D2786" s="23" t="s">
        <v>972</v>
      </c>
      <c r="E2786" s="23" t="s">
        <v>1700</v>
      </c>
      <c r="F2786" s="23" t="s">
        <v>1252</v>
      </c>
    </row>
    <row r="2787" ht="17.25" spans="1:6">
      <c r="A2787" s="23">
        <v>2786</v>
      </c>
      <c r="B2787" s="22" t="s">
        <v>3169</v>
      </c>
      <c r="C2787" s="22" t="s">
        <v>971</v>
      </c>
      <c r="D2787" s="22" t="s">
        <v>972</v>
      </c>
      <c r="E2787" s="22" t="s">
        <v>1700</v>
      </c>
      <c r="F2787" s="22" t="s">
        <v>1252</v>
      </c>
    </row>
    <row r="2788" ht="17.25" spans="1:6">
      <c r="A2788" s="22">
        <v>2787</v>
      </c>
      <c r="B2788" s="23" t="s">
        <v>3170</v>
      </c>
      <c r="C2788" s="23" t="s">
        <v>971</v>
      </c>
      <c r="D2788" s="23" t="s">
        <v>972</v>
      </c>
      <c r="E2788" s="23" t="s">
        <v>1700</v>
      </c>
      <c r="F2788" s="23" t="s">
        <v>1252</v>
      </c>
    </row>
    <row r="2789" ht="17.25" spans="1:6">
      <c r="A2789" s="23">
        <v>2788</v>
      </c>
      <c r="B2789" s="22" t="s">
        <v>3171</v>
      </c>
      <c r="C2789" s="22" t="s">
        <v>971</v>
      </c>
      <c r="D2789" s="22" t="s">
        <v>972</v>
      </c>
      <c r="E2789" s="22" t="s">
        <v>1700</v>
      </c>
      <c r="F2789" s="22" t="s">
        <v>1252</v>
      </c>
    </row>
    <row r="2790" ht="17.25" spans="1:6">
      <c r="A2790" s="22">
        <v>2789</v>
      </c>
      <c r="B2790" s="23" t="s">
        <v>3172</v>
      </c>
      <c r="C2790" s="23" t="s">
        <v>971</v>
      </c>
      <c r="D2790" s="23" t="s">
        <v>990</v>
      </c>
      <c r="E2790" s="23" t="s">
        <v>1700</v>
      </c>
      <c r="F2790" s="23" t="s">
        <v>1252</v>
      </c>
    </row>
    <row r="2791" ht="17.25" spans="1:6">
      <c r="A2791" s="23">
        <v>2790</v>
      </c>
      <c r="B2791" s="22" t="s">
        <v>3173</v>
      </c>
      <c r="C2791" s="22" t="s">
        <v>971</v>
      </c>
      <c r="D2791" s="22" t="s">
        <v>978</v>
      </c>
      <c r="E2791" s="22" t="s">
        <v>1700</v>
      </c>
      <c r="F2791" s="22" t="s">
        <v>1252</v>
      </c>
    </row>
    <row r="2792" ht="17.25" spans="1:6">
      <c r="A2792" s="22">
        <v>2791</v>
      </c>
      <c r="B2792" s="23" t="s">
        <v>3174</v>
      </c>
      <c r="C2792" s="23" t="s">
        <v>971</v>
      </c>
      <c r="D2792" s="23" t="s">
        <v>3175</v>
      </c>
      <c r="E2792" s="23" t="s">
        <v>1700</v>
      </c>
      <c r="F2792" s="23" t="s">
        <v>1252</v>
      </c>
    </row>
    <row r="2793" ht="17.25" spans="1:6">
      <c r="A2793" s="23">
        <v>2792</v>
      </c>
      <c r="B2793" s="22" t="s">
        <v>3176</v>
      </c>
      <c r="C2793" s="22" t="s">
        <v>971</v>
      </c>
      <c r="D2793" s="22" t="s">
        <v>3177</v>
      </c>
      <c r="E2793" s="22" t="s">
        <v>1700</v>
      </c>
      <c r="F2793" s="22" t="s">
        <v>1252</v>
      </c>
    </row>
    <row r="2794" ht="17.25" spans="1:6">
      <c r="A2794" s="22">
        <v>2793</v>
      </c>
      <c r="B2794" s="23" t="s">
        <v>3178</v>
      </c>
      <c r="C2794" s="23" t="s">
        <v>971</v>
      </c>
      <c r="D2794" s="23" t="s">
        <v>978</v>
      </c>
      <c r="E2794" s="23" t="s">
        <v>1700</v>
      </c>
      <c r="F2794" s="23" t="s">
        <v>1252</v>
      </c>
    </row>
    <row r="2795" ht="17.25" spans="1:6">
      <c r="A2795" s="23">
        <v>2794</v>
      </c>
      <c r="B2795" s="22" t="s">
        <v>3179</v>
      </c>
      <c r="C2795" s="22" t="s">
        <v>971</v>
      </c>
      <c r="D2795" s="22" t="s">
        <v>972</v>
      </c>
      <c r="E2795" s="22" t="s">
        <v>1700</v>
      </c>
      <c r="F2795" s="22" t="s">
        <v>1252</v>
      </c>
    </row>
    <row r="2796" ht="17.25" spans="1:6">
      <c r="A2796" s="22">
        <v>2795</v>
      </c>
      <c r="B2796" s="23" t="s">
        <v>3180</v>
      </c>
      <c r="C2796" s="23" t="s">
        <v>971</v>
      </c>
      <c r="D2796" s="23" t="s">
        <v>972</v>
      </c>
      <c r="E2796" s="23" t="s">
        <v>1700</v>
      </c>
      <c r="F2796" s="23" t="s">
        <v>1252</v>
      </c>
    </row>
    <row r="2797" ht="17.25" spans="1:6">
      <c r="A2797" s="23">
        <v>2796</v>
      </c>
      <c r="B2797" s="22" t="s">
        <v>3181</v>
      </c>
      <c r="C2797" s="22" t="s">
        <v>971</v>
      </c>
      <c r="D2797" s="22" t="s">
        <v>988</v>
      </c>
      <c r="E2797" s="22" t="s">
        <v>1700</v>
      </c>
      <c r="F2797" s="22" t="s">
        <v>1252</v>
      </c>
    </row>
    <row r="2798" ht="17.25" spans="1:6">
      <c r="A2798" s="22">
        <v>2797</v>
      </c>
      <c r="B2798" s="23" t="s">
        <v>3182</v>
      </c>
      <c r="C2798" s="23" t="s">
        <v>971</v>
      </c>
      <c r="D2798" s="23" t="s">
        <v>1616</v>
      </c>
      <c r="E2798" s="23" t="s">
        <v>1700</v>
      </c>
      <c r="F2798" s="23" t="s">
        <v>1252</v>
      </c>
    </row>
    <row r="2799" ht="17.25" spans="1:6">
      <c r="A2799" s="23">
        <v>2798</v>
      </c>
      <c r="B2799" s="22" t="s">
        <v>3183</v>
      </c>
      <c r="C2799" s="22" t="s">
        <v>971</v>
      </c>
      <c r="D2799" s="22" t="s">
        <v>1616</v>
      </c>
      <c r="E2799" s="22" t="s">
        <v>1700</v>
      </c>
      <c r="F2799" s="22" t="s">
        <v>1252</v>
      </c>
    </row>
    <row r="2800" ht="17.25" spans="1:6">
      <c r="A2800" s="22">
        <v>2799</v>
      </c>
      <c r="B2800" s="23" t="s">
        <v>3184</v>
      </c>
      <c r="C2800" s="23" t="s">
        <v>971</v>
      </c>
      <c r="D2800" s="23" t="s">
        <v>984</v>
      </c>
      <c r="E2800" s="23" t="s">
        <v>1700</v>
      </c>
      <c r="F2800" s="23" t="s">
        <v>1252</v>
      </c>
    </row>
    <row r="2801" ht="17.25" spans="1:6">
      <c r="A2801" s="23">
        <v>2800</v>
      </c>
      <c r="B2801" s="22" t="s">
        <v>3185</v>
      </c>
      <c r="C2801" s="22" t="s">
        <v>971</v>
      </c>
      <c r="D2801" s="22" t="s">
        <v>984</v>
      </c>
      <c r="E2801" s="22" t="s">
        <v>1700</v>
      </c>
      <c r="F2801" s="22" t="s">
        <v>1252</v>
      </c>
    </row>
    <row r="2802" ht="17.25" spans="1:6">
      <c r="A2802" s="22">
        <v>2801</v>
      </c>
      <c r="B2802" s="23" t="s">
        <v>3186</v>
      </c>
      <c r="C2802" s="23" t="s">
        <v>971</v>
      </c>
      <c r="D2802" s="23" t="s">
        <v>990</v>
      </c>
      <c r="E2802" s="23" t="s">
        <v>1700</v>
      </c>
      <c r="F2802" s="23" t="s">
        <v>1252</v>
      </c>
    </row>
    <row r="2803" ht="17.25" spans="1:6">
      <c r="A2803" s="23">
        <v>2802</v>
      </c>
      <c r="B2803" s="22" t="s">
        <v>3187</v>
      </c>
      <c r="C2803" s="22" t="s">
        <v>971</v>
      </c>
      <c r="D2803" s="22" t="s">
        <v>1616</v>
      </c>
      <c r="E2803" s="22" t="s">
        <v>1700</v>
      </c>
      <c r="F2803" s="22" t="s">
        <v>1252</v>
      </c>
    </row>
    <row r="2804" ht="17.25" spans="1:6">
      <c r="A2804" s="22">
        <v>2803</v>
      </c>
      <c r="B2804" s="23" t="s">
        <v>3188</v>
      </c>
      <c r="C2804" s="23" t="s">
        <v>971</v>
      </c>
      <c r="D2804" s="23" t="s">
        <v>1616</v>
      </c>
      <c r="E2804" s="23" t="s">
        <v>1700</v>
      </c>
      <c r="F2804" s="23" t="s">
        <v>1252</v>
      </c>
    </row>
    <row r="2805" ht="17.25" spans="1:6">
      <c r="A2805" s="23">
        <v>2804</v>
      </c>
      <c r="B2805" s="22" t="s">
        <v>3189</v>
      </c>
      <c r="C2805" s="22" t="s">
        <v>971</v>
      </c>
      <c r="D2805" s="22" t="s">
        <v>993</v>
      </c>
      <c r="E2805" s="22" t="s">
        <v>1700</v>
      </c>
      <c r="F2805" s="22" t="s">
        <v>1252</v>
      </c>
    </row>
    <row r="2806" ht="17.25" spans="1:6">
      <c r="A2806" s="22">
        <v>2805</v>
      </c>
      <c r="B2806" s="23" t="s">
        <v>3190</v>
      </c>
      <c r="C2806" s="23" t="s">
        <v>971</v>
      </c>
      <c r="D2806" s="23" t="s">
        <v>1014</v>
      </c>
      <c r="E2806" s="23" t="s">
        <v>1700</v>
      </c>
      <c r="F2806" s="23" t="s">
        <v>1252</v>
      </c>
    </row>
    <row r="2807" ht="17.25" spans="1:6">
      <c r="A2807" s="23">
        <v>2806</v>
      </c>
      <c r="B2807" s="22" t="s">
        <v>3191</v>
      </c>
      <c r="C2807" s="22" t="s">
        <v>971</v>
      </c>
      <c r="D2807" s="22" t="s">
        <v>3177</v>
      </c>
      <c r="E2807" s="22" t="s">
        <v>1700</v>
      </c>
      <c r="F2807" s="22" t="s">
        <v>1252</v>
      </c>
    </row>
    <row r="2808" ht="17.25" spans="1:6">
      <c r="A2808" s="22">
        <v>2807</v>
      </c>
      <c r="B2808" s="23" t="s">
        <v>3192</v>
      </c>
      <c r="C2808" s="23" t="s">
        <v>971</v>
      </c>
      <c r="D2808" s="23" t="s">
        <v>3177</v>
      </c>
      <c r="E2808" s="23" t="s">
        <v>1700</v>
      </c>
      <c r="F2808" s="23" t="s">
        <v>1252</v>
      </c>
    </row>
    <row r="2809" ht="17.25" spans="1:6">
      <c r="A2809" s="23">
        <v>2808</v>
      </c>
      <c r="B2809" s="22" t="s">
        <v>3193</v>
      </c>
      <c r="C2809" s="22" t="s">
        <v>971</v>
      </c>
      <c r="D2809" s="22" t="s">
        <v>993</v>
      </c>
      <c r="E2809" s="22" t="s">
        <v>1700</v>
      </c>
      <c r="F2809" s="22" t="s">
        <v>1252</v>
      </c>
    </row>
    <row r="2810" ht="17.25" spans="1:6">
      <c r="A2810" s="22">
        <v>2809</v>
      </c>
      <c r="B2810" s="23" t="s">
        <v>3194</v>
      </c>
      <c r="C2810" s="23" t="s">
        <v>971</v>
      </c>
      <c r="D2810" s="23" t="s">
        <v>978</v>
      </c>
      <c r="E2810" s="23" t="s">
        <v>1700</v>
      </c>
      <c r="F2810" s="23" t="s">
        <v>1252</v>
      </c>
    </row>
    <row r="2811" ht="17.25" spans="1:6">
      <c r="A2811" s="23">
        <v>2810</v>
      </c>
      <c r="B2811" s="22" t="s">
        <v>3195</v>
      </c>
      <c r="C2811" s="22" t="s">
        <v>971</v>
      </c>
      <c r="D2811" s="22" t="s">
        <v>984</v>
      </c>
      <c r="E2811" s="22" t="s">
        <v>1700</v>
      </c>
      <c r="F2811" s="22" t="s">
        <v>1252</v>
      </c>
    </row>
    <row r="2812" ht="17.25" spans="1:6">
      <c r="A2812" s="22">
        <v>2811</v>
      </c>
      <c r="B2812" s="23" t="s">
        <v>3196</v>
      </c>
      <c r="C2812" s="23" t="s">
        <v>971</v>
      </c>
      <c r="D2812" s="23" t="s">
        <v>990</v>
      </c>
      <c r="E2812" s="23" t="s">
        <v>1700</v>
      </c>
      <c r="F2812" s="23" t="s">
        <v>1252</v>
      </c>
    </row>
    <row r="2813" ht="17.25" spans="1:6">
      <c r="A2813" s="23">
        <v>2812</v>
      </c>
      <c r="B2813" s="22" t="s">
        <v>3197</v>
      </c>
      <c r="C2813" s="22" t="s">
        <v>971</v>
      </c>
      <c r="D2813" s="22" t="s">
        <v>981</v>
      </c>
      <c r="E2813" s="22" t="s">
        <v>1700</v>
      </c>
      <c r="F2813" s="22" t="s">
        <v>1252</v>
      </c>
    </row>
    <row r="2814" ht="17.25" spans="1:6">
      <c r="A2814" s="22">
        <v>2813</v>
      </c>
      <c r="B2814" s="23" t="s">
        <v>3198</v>
      </c>
      <c r="C2814" s="23" t="s">
        <v>971</v>
      </c>
      <c r="D2814" s="23" t="s">
        <v>2602</v>
      </c>
      <c r="E2814" s="23" t="s">
        <v>1700</v>
      </c>
      <c r="F2814" s="23" t="s">
        <v>1252</v>
      </c>
    </row>
    <row r="2815" ht="17.25" spans="1:6">
      <c r="A2815" s="23">
        <v>2814</v>
      </c>
      <c r="B2815" s="22" t="s">
        <v>3199</v>
      </c>
      <c r="C2815" s="22" t="s">
        <v>1026</v>
      </c>
      <c r="D2815" s="22" t="s">
        <v>1027</v>
      </c>
      <c r="E2815" s="22" t="s">
        <v>1700</v>
      </c>
      <c r="F2815" s="22" t="s">
        <v>1252</v>
      </c>
    </row>
    <row r="2816" ht="17.25" spans="1:6">
      <c r="A2816" s="22">
        <v>2815</v>
      </c>
      <c r="B2816" s="23" t="s">
        <v>3200</v>
      </c>
      <c r="C2816" s="23" t="s">
        <v>1026</v>
      </c>
      <c r="D2816" s="23" t="s">
        <v>1045</v>
      </c>
      <c r="E2816" s="23" t="s">
        <v>1700</v>
      </c>
      <c r="F2816" s="23" t="s">
        <v>1252</v>
      </c>
    </row>
    <row r="2817" ht="17.25" spans="1:6">
      <c r="A2817" s="23">
        <v>2816</v>
      </c>
      <c r="B2817" s="22" t="s">
        <v>3201</v>
      </c>
      <c r="C2817" s="22" t="s">
        <v>1026</v>
      </c>
      <c r="D2817" s="22" t="s">
        <v>1035</v>
      </c>
      <c r="E2817" s="22" t="s">
        <v>1700</v>
      </c>
      <c r="F2817" s="22" t="s">
        <v>1252</v>
      </c>
    </row>
    <row r="2818" ht="17.25" spans="1:6">
      <c r="A2818" s="22">
        <v>2817</v>
      </c>
      <c r="B2818" s="23" t="s">
        <v>3202</v>
      </c>
      <c r="C2818" s="23" t="s">
        <v>1026</v>
      </c>
      <c r="D2818" s="23" t="s">
        <v>1041</v>
      </c>
      <c r="E2818" s="23" t="s">
        <v>1700</v>
      </c>
      <c r="F2818" s="23" t="s">
        <v>1252</v>
      </c>
    </row>
    <row r="2819" ht="17.25" spans="1:6">
      <c r="A2819" s="23">
        <v>2818</v>
      </c>
      <c r="B2819" s="22" t="s">
        <v>3203</v>
      </c>
      <c r="C2819" s="22" t="s">
        <v>1026</v>
      </c>
      <c r="D2819" s="22" t="s">
        <v>1045</v>
      </c>
      <c r="E2819" s="22" t="s">
        <v>1700</v>
      </c>
      <c r="F2819" s="22" t="s">
        <v>1252</v>
      </c>
    </row>
    <row r="2820" ht="17.25" spans="1:6">
      <c r="A2820" s="22">
        <v>2819</v>
      </c>
      <c r="B2820" s="23" t="s">
        <v>3204</v>
      </c>
      <c r="C2820" s="23" t="s">
        <v>1026</v>
      </c>
      <c r="D2820" s="23" t="s">
        <v>1039</v>
      </c>
      <c r="E2820" s="23" t="s">
        <v>1700</v>
      </c>
      <c r="F2820" s="23" t="s">
        <v>1252</v>
      </c>
    </row>
    <row r="2821" ht="17.25" spans="1:6">
      <c r="A2821" s="23">
        <v>2820</v>
      </c>
      <c r="B2821" s="22" t="s">
        <v>3205</v>
      </c>
      <c r="C2821" s="22" t="s">
        <v>1060</v>
      </c>
      <c r="D2821" s="22" t="s">
        <v>1061</v>
      </c>
      <c r="E2821" s="22" t="s">
        <v>1700</v>
      </c>
      <c r="F2821" s="22" t="s">
        <v>1252</v>
      </c>
    </row>
    <row r="2822" ht="17.25" spans="1:6">
      <c r="A2822" s="22">
        <v>2821</v>
      </c>
      <c r="B2822" s="23" t="s">
        <v>3206</v>
      </c>
      <c r="C2822" s="23" t="s">
        <v>1060</v>
      </c>
      <c r="D2822" s="23" t="s">
        <v>1061</v>
      </c>
      <c r="E2822" s="23" t="s">
        <v>1700</v>
      </c>
      <c r="F2822" s="23" t="s">
        <v>1252</v>
      </c>
    </row>
    <row r="2823" ht="17.25" spans="1:6">
      <c r="A2823" s="23">
        <v>2822</v>
      </c>
      <c r="B2823" s="22" t="s">
        <v>3207</v>
      </c>
      <c r="C2823" s="22" t="s">
        <v>1060</v>
      </c>
      <c r="D2823" s="22" t="s">
        <v>1061</v>
      </c>
      <c r="E2823" s="22" t="s">
        <v>1700</v>
      </c>
      <c r="F2823" s="22" t="s">
        <v>1252</v>
      </c>
    </row>
    <row r="2824" ht="17.25" spans="1:6">
      <c r="A2824" s="22">
        <v>2823</v>
      </c>
      <c r="B2824" s="23" t="s">
        <v>3208</v>
      </c>
      <c r="C2824" s="23" t="s">
        <v>1060</v>
      </c>
      <c r="D2824" s="23" t="s">
        <v>1061</v>
      </c>
      <c r="E2824" s="23" t="s">
        <v>1700</v>
      </c>
      <c r="F2824" s="23" t="s">
        <v>1252</v>
      </c>
    </row>
    <row r="2825" ht="17.25" spans="1:6">
      <c r="A2825" s="23">
        <v>2824</v>
      </c>
      <c r="B2825" s="22" t="s">
        <v>3209</v>
      </c>
      <c r="C2825" s="22" t="s">
        <v>1060</v>
      </c>
      <c r="D2825" s="22" t="s">
        <v>1061</v>
      </c>
      <c r="E2825" s="22" t="s">
        <v>1700</v>
      </c>
      <c r="F2825" s="22" t="s">
        <v>1252</v>
      </c>
    </row>
    <row r="2826" ht="17.25" spans="1:6">
      <c r="A2826" s="22">
        <v>2825</v>
      </c>
      <c r="B2826" s="23" t="s">
        <v>3210</v>
      </c>
      <c r="C2826" s="23" t="s">
        <v>1060</v>
      </c>
      <c r="D2826" s="23" t="s">
        <v>1090</v>
      </c>
      <c r="E2826" s="23" t="s">
        <v>1700</v>
      </c>
      <c r="F2826" s="23" t="s">
        <v>1252</v>
      </c>
    </row>
    <row r="2827" ht="17.25" spans="1:6">
      <c r="A2827" s="23">
        <v>2826</v>
      </c>
      <c r="B2827" s="22" t="s">
        <v>3211</v>
      </c>
      <c r="C2827" s="22" t="s">
        <v>1060</v>
      </c>
      <c r="D2827" s="22" t="s">
        <v>1061</v>
      </c>
      <c r="E2827" s="22" t="s">
        <v>1700</v>
      </c>
      <c r="F2827" s="22" t="s">
        <v>1252</v>
      </c>
    </row>
    <row r="2828" ht="17.25" spans="1:6">
      <c r="A2828" s="22">
        <v>2827</v>
      </c>
      <c r="B2828" s="23" t="s">
        <v>3212</v>
      </c>
      <c r="C2828" s="23" t="s">
        <v>1060</v>
      </c>
      <c r="D2828" s="23" t="s">
        <v>1061</v>
      </c>
      <c r="E2828" s="23" t="s">
        <v>1700</v>
      </c>
      <c r="F2828" s="23" t="s">
        <v>1252</v>
      </c>
    </row>
    <row r="2829" ht="17.25" spans="1:6">
      <c r="A2829" s="23">
        <v>2828</v>
      </c>
      <c r="B2829" s="22" t="s">
        <v>3213</v>
      </c>
      <c r="C2829" s="22" t="s">
        <v>1060</v>
      </c>
      <c r="D2829" s="22" t="s">
        <v>1061</v>
      </c>
      <c r="E2829" s="22" t="s">
        <v>1700</v>
      </c>
      <c r="F2829" s="22" t="s">
        <v>1252</v>
      </c>
    </row>
    <row r="2830" ht="17.25" spans="1:6">
      <c r="A2830" s="22">
        <v>2829</v>
      </c>
      <c r="B2830" s="23" t="s">
        <v>3214</v>
      </c>
      <c r="C2830" s="23" t="s">
        <v>1060</v>
      </c>
      <c r="D2830" s="23" t="s">
        <v>1061</v>
      </c>
      <c r="E2830" s="23" t="s">
        <v>1700</v>
      </c>
      <c r="F2830" s="23" t="s">
        <v>1252</v>
      </c>
    </row>
    <row r="2831" ht="17.25" spans="1:6">
      <c r="A2831" s="23">
        <v>2830</v>
      </c>
      <c r="B2831" s="22" t="s">
        <v>3215</v>
      </c>
      <c r="C2831" s="22" t="s">
        <v>1060</v>
      </c>
      <c r="D2831" s="22" t="s">
        <v>1061</v>
      </c>
      <c r="E2831" s="22" t="s">
        <v>1700</v>
      </c>
      <c r="F2831" s="22" t="s">
        <v>1252</v>
      </c>
    </row>
    <row r="2832" ht="17.25" spans="1:6">
      <c r="A2832" s="22">
        <v>2831</v>
      </c>
      <c r="B2832" s="23" t="s">
        <v>3216</v>
      </c>
      <c r="C2832" s="23" t="s">
        <v>1106</v>
      </c>
      <c r="D2832" s="23" t="s">
        <v>1111</v>
      </c>
      <c r="E2832" s="23" t="s">
        <v>1700</v>
      </c>
      <c r="F2832" s="23" t="s">
        <v>1252</v>
      </c>
    </row>
    <row r="2833" ht="17.25" spans="1:6">
      <c r="A2833" s="23">
        <v>2832</v>
      </c>
      <c r="B2833" s="22" t="s">
        <v>3217</v>
      </c>
      <c r="C2833" s="22" t="s">
        <v>1106</v>
      </c>
      <c r="D2833" s="22" t="s">
        <v>1111</v>
      </c>
      <c r="E2833" s="22" t="s">
        <v>1700</v>
      </c>
      <c r="F2833" s="22" t="s">
        <v>1252</v>
      </c>
    </row>
    <row r="2834" ht="17.25" spans="1:6">
      <c r="A2834" s="22">
        <v>2833</v>
      </c>
      <c r="B2834" s="23" t="s">
        <v>3218</v>
      </c>
      <c r="C2834" s="23" t="s">
        <v>1106</v>
      </c>
      <c r="D2834" s="23" t="s">
        <v>1111</v>
      </c>
      <c r="E2834" s="23" t="s">
        <v>1700</v>
      </c>
      <c r="F2834" s="23" t="s">
        <v>1252</v>
      </c>
    </row>
    <row r="2835" ht="17.25" spans="1:6">
      <c r="A2835" s="23">
        <v>2834</v>
      </c>
      <c r="B2835" s="22" t="s">
        <v>3219</v>
      </c>
      <c r="C2835" s="22" t="s">
        <v>1106</v>
      </c>
      <c r="D2835" s="22" t="s">
        <v>1111</v>
      </c>
      <c r="E2835" s="22" t="s">
        <v>1700</v>
      </c>
      <c r="F2835" s="22" t="s">
        <v>1252</v>
      </c>
    </row>
    <row r="2836" ht="17.25" spans="1:6">
      <c r="A2836" s="22">
        <v>2835</v>
      </c>
      <c r="B2836" s="23" t="s">
        <v>3220</v>
      </c>
      <c r="C2836" s="23" t="s">
        <v>1106</v>
      </c>
      <c r="D2836" s="23" t="s">
        <v>1111</v>
      </c>
      <c r="E2836" s="23" t="s">
        <v>1700</v>
      </c>
      <c r="F2836" s="23" t="s">
        <v>1252</v>
      </c>
    </row>
    <row r="2837" ht="17.25" spans="1:6">
      <c r="A2837" s="23">
        <v>2836</v>
      </c>
      <c r="B2837" s="22" t="s">
        <v>3221</v>
      </c>
      <c r="C2837" s="22" t="s">
        <v>1106</v>
      </c>
      <c r="D2837" s="22" t="s">
        <v>1111</v>
      </c>
      <c r="E2837" s="22" t="s">
        <v>1700</v>
      </c>
      <c r="F2837" s="22" t="s">
        <v>1252</v>
      </c>
    </row>
    <row r="2838" ht="17.25" spans="1:6">
      <c r="A2838" s="22">
        <v>2837</v>
      </c>
      <c r="B2838" s="23" t="s">
        <v>3222</v>
      </c>
      <c r="C2838" s="23" t="s">
        <v>1106</v>
      </c>
      <c r="D2838" s="23" t="s">
        <v>1111</v>
      </c>
      <c r="E2838" s="23" t="s">
        <v>1700</v>
      </c>
      <c r="F2838" s="23" t="s">
        <v>1252</v>
      </c>
    </row>
    <row r="2839" ht="17.25" spans="1:6">
      <c r="A2839" s="23">
        <v>2838</v>
      </c>
      <c r="B2839" s="22" t="s">
        <v>3223</v>
      </c>
      <c r="C2839" s="22" t="s">
        <v>1106</v>
      </c>
      <c r="D2839" s="22" t="s">
        <v>1131</v>
      </c>
      <c r="E2839" s="22" t="s">
        <v>1700</v>
      </c>
      <c r="F2839" s="22" t="s">
        <v>1252</v>
      </c>
    </row>
    <row r="2840" ht="17.25" spans="1:6">
      <c r="A2840" s="22">
        <v>2839</v>
      </c>
      <c r="B2840" s="23" t="s">
        <v>3224</v>
      </c>
      <c r="C2840" s="23" t="s">
        <v>1106</v>
      </c>
      <c r="D2840" s="23" t="s">
        <v>1142</v>
      </c>
      <c r="E2840" s="23" t="s">
        <v>1700</v>
      </c>
      <c r="F2840" s="23" t="s">
        <v>1252</v>
      </c>
    </row>
    <row r="2841" ht="17.25" spans="1:6">
      <c r="A2841" s="23">
        <v>2840</v>
      </c>
      <c r="B2841" s="22" t="s">
        <v>3225</v>
      </c>
      <c r="C2841" s="22" t="s">
        <v>1106</v>
      </c>
      <c r="D2841" s="22" t="s">
        <v>1131</v>
      </c>
      <c r="E2841" s="22" t="s">
        <v>1700</v>
      </c>
      <c r="F2841" s="22" t="s">
        <v>1252</v>
      </c>
    </row>
    <row r="2842" ht="17.25" spans="1:6">
      <c r="A2842" s="22">
        <v>2841</v>
      </c>
      <c r="B2842" s="23" t="s">
        <v>3226</v>
      </c>
      <c r="C2842" s="23" t="s">
        <v>1156</v>
      </c>
      <c r="D2842" s="23" t="s">
        <v>1157</v>
      </c>
      <c r="E2842" s="23" t="s">
        <v>1700</v>
      </c>
      <c r="F2842" s="23" t="s">
        <v>1252</v>
      </c>
    </row>
    <row r="2843" ht="17.25" spans="1:6">
      <c r="A2843" s="23">
        <v>2842</v>
      </c>
      <c r="B2843" s="22" t="s">
        <v>3227</v>
      </c>
      <c r="C2843" s="22" t="s">
        <v>1156</v>
      </c>
      <c r="D2843" s="22" t="s">
        <v>1157</v>
      </c>
      <c r="E2843" s="22" t="s">
        <v>1700</v>
      </c>
      <c r="F2843" s="22" t="s">
        <v>1252</v>
      </c>
    </row>
    <row r="2844" ht="17.25" spans="1:6">
      <c r="A2844" s="22">
        <v>2843</v>
      </c>
      <c r="B2844" s="23" t="s">
        <v>3228</v>
      </c>
      <c r="C2844" s="23" t="s">
        <v>1156</v>
      </c>
      <c r="D2844" s="23" t="s">
        <v>2735</v>
      </c>
      <c r="E2844" s="23" t="s">
        <v>1700</v>
      </c>
      <c r="F2844" s="23" t="s">
        <v>1252</v>
      </c>
    </row>
    <row r="2845" ht="17.25" spans="1:6">
      <c r="A2845" s="23">
        <v>2844</v>
      </c>
      <c r="B2845" s="22" t="s">
        <v>3229</v>
      </c>
      <c r="C2845" s="22" t="s">
        <v>1206</v>
      </c>
      <c r="D2845" s="22" t="s">
        <v>1207</v>
      </c>
      <c r="E2845" s="22" t="s">
        <v>1700</v>
      </c>
      <c r="F2845" s="22" t="s">
        <v>1252</v>
      </c>
    </row>
    <row r="2846" ht="17.25" spans="1:6">
      <c r="A2846" s="22">
        <v>2845</v>
      </c>
      <c r="B2846" s="23" t="s">
        <v>3230</v>
      </c>
      <c r="C2846" s="23" t="s">
        <v>1206</v>
      </c>
      <c r="D2846" s="23" t="s">
        <v>1207</v>
      </c>
      <c r="E2846" s="23" t="s">
        <v>1700</v>
      </c>
      <c r="F2846" s="23" t="s">
        <v>1252</v>
      </c>
    </row>
    <row r="2847" ht="17.25" spans="1:6">
      <c r="A2847" s="23">
        <v>2846</v>
      </c>
      <c r="B2847" s="22" t="s">
        <v>3231</v>
      </c>
      <c r="C2847" s="22" t="s">
        <v>1206</v>
      </c>
      <c r="D2847" s="22" t="s">
        <v>3232</v>
      </c>
      <c r="E2847" s="22" t="s">
        <v>1700</v>
      </c>
      <c r="F2847" s="22" t="s">
        <v>1252</v>
      </c>
    </row>
    <row r="2848" ht="17.25" spans="1:6">
      <c r="A2848" s="22">
        <v>2847</v>
      </c>
      <c r="B2848" s="23" t="s">
        <v>3233</v>
      </c>
      <c r="C2848" s="23" t="s">
        <v>1206</v>
      </c>
      <c r="D2848" s="23" t="s">
        <v>1207</v>
      </c>
      <c r="E2848" s="23" t="s">
        <v>1700</v>
      </c>
      <c r="F2848" s="23" t="s">
        <v>1252</v>
      </c>
    </row>
    <row r="2849" ht="17.25" spans="1:6">
      <c r="A2849" s="23">
        <v>2848</v>
      </c>
      <c r="B2849" s="22" t="s">
        <v>3234</v>
      </c>
      <c r="C2849" s="22" t="s">
        <v>692</v>
      </c>
      <c r="D2849" s="22" t="s">
        <v>696</v>
      </c>
      <c r="E2849" s="22" t="s">
        <v>1700</v>
      </c>
      <c r="F2849" s="22" t="s">
        <v>1252</v>
      </c>
    </row>
    <row r="2850" ht="17.25" spans="1:6">
      <c r="A2850" s="22">
        <v>2849</v>
      </c>
      <c r="B2850" s="23" t="s">
        <v>3235</v>
      </c>
      <c r="C2850" s="23" t="s">
        <v>692</v>
      </c>
      <c r="D2850" s="23" t="s">
        <v>709</v>
      </c>
      <c r="E2850" s="23" t="s">
        <v>1700</v>
      </c>
      <c r="F2850" s="23" t="s">
        <v>1252</v>
      </c>
    </row>
    <row r="2851" ht="17.25" spans="1:6">
      <c r="A2851" s="23">
        <v>2850</v>
      </c>
      <c r="B2851" s="22" t="s">
        <v>3236</v>
      </c>
      <c r="C2851" s="22" t="s">
        <v>692</v>
      </c>
      <c r="D2851" s="22" t="s">
        <v>700</v>
      </c>
      <c r="E2851" s="22" t="s">
        <v>1700</v>
      </c>
      <c r="F2851" s="22" t="s">
        <v>1252</v>
      </c>
    </row>
    <row r="2852" ht="17.25" spans="1:6">
      <c r="A2852" s="22">
        <v>2851</v>
      </c>
      <c r="B2852" s="23" t="s">
        <v>3237</v>
      </c>
      <c r="C2852" s="23" t="s">
        <v>692</v>
      </c>
      <c r="D2852" s="23" t="s">
        <v>693</v>
      </c>
      <c r="E2852" s="23" t="s">
        <v>1700</v>
      </c>
      <c r="F2852" s="23" t="s">
        <v>1252</v>
      </c>
    </row>
    <row r="2853" ht="17.25" spans="1:6">
      <c r="A2853" s="23">
        <v>2852</v>
      </c>
      <c r="B2853" s="22" t="s">
        <v>3238</v>
      </c>
      <c r="C2853" s="22" t="s">
        <v>692</v>
      </c>
      <c r="D2853" s="22" t="s">
        <v>693</v>
      </c>
      <c r="E2853" s="22" t="s">
        <v>1700</v>
      </c>
      <c r="F2853" s="22" t="s">
        <v>1252</v>
      </c>
    </row>
    <row r="2854" ht="17.25" spans="1:6">
      <c r="A2854" s="22">
        <v>2853</v>
      </c>
      <c r="B2854" s="23" t="s">
        <v>3239</v>
      </c>
      <c r="C2854" s="23" t="s">
        <v>98</v>
      </c>
      <c r="D2854" s="23" t="s">
        <v>111</v>
      </c>
      <c r="E2854" s="23" t="s">
        <v>1700</v>
      </c>
      <c r="F2854" s="23" t="s">
        <v>1252</v>
      </c>
    </row>
    <row r="2855" ht="17.25" spans="1:6">
      <c r="A2855" s="23">
        <v>2854</v>
      </c>
      <c r="B2855" s="22" t="s">
        <v>3240</v>
      </c>
      <c r="C2855" s="22" t="s">
        <v>98</v>
      </c>
      <c r="D2855" s="22" t="s">
        <v>101</v>
      </c>
      <c r="E2855" s="22" t="s">
        <v>1700</v>
      </c>
      <c r="F2855" s="22" t="s">
        <v>1252</v>
      </c>
    </row>
    <row r="2856" ht="17.25" spans="1:6">
      <c r="A2856" s="22">
        <v>2855</v>
      </c>
      <c r="B2856" s="23" t="s">
        <v>3241</v>
      </c>
      <c r="C2856" s="23" t="s">
        <v>844</v>
      </c>
      <c r="D2856" s="23" t="s">
        <v>1569</v>
      </c>
      <c r="E2856" s="23" t="s">
        <v>1700</v>
      </c>
      <c r="F2856" s="23" t="s">
        <v>1252</v>
      </c>
    </row>
    <row r="2857" ht="17.25" spans="1:6">
      <c r="A2857" s="23">
        <v>2856</v>
      </c>
      <c r="B2857" s="22" t="s">
        <v>3242</v>
      </c>
      <c r="C2857" s="22" t="s">
        <v>1026</v>
      </c>
      <c r="D2857" s="22" t="s">
        <v>1035</v>
      </c>
      <c r="E2857" s="22" t="s">
        <v>1700</v>
      </c>
      <c r="F2857" s="22" t="s">
        <v>1252</v>
      </c>
    </row>
    <row r="2858" ht="17.25" spans="1:6">
      <c r="A2858" s="22">
        <v>2857</v>
      </c>
      <c r="B2858" s="23" t="s">
        <v>3243</v>
      </c>
      <c r="C2858" s="23" t="s">
        <v>628</v>
      </c>
      <c r="D2858" s="23" t="s">
        <v>645</v>
      </c>
      <c r="E2858" s="23" t="s">
        <v>1700</v>
      </c>
      <c r="F2858" s="23" t="s">
        <v>1252</v>
      </c>
    </row>
    <row r="2859" ht="17.25" spans="1:6">
      <c r="A2859" s="23">
        <v>2858</v>
      </c>
      <c r="B2859" s="22" t="s">
        <v>3244</v>
      </c>
      <c r="C2859" s="22" t="s">
        <v>628</v>
      </c>
      <c r="D2859" s="22" t="s">
        <v>660</v>
      </c>
      <c r="E2859" s="22" t="s">
        <v>1700</v>
      </c>
      <c r="F2859" s="22" t="s">
        <v>1252</v>
      </c>
    </row>
    <row r="2860" ht="17.25" spans="1:6">
      <c r="A2860" s="22">
        <v>2859</v>
      </c>
      <c r="B2860" s="23" t="s">
        <v>3245</v>
      </c>
      <c r="C2860" s="23" t="s">
        <v>692</v>
      </c>
      <c r="D2860" s="23" t="s">
        <v>693</v>
      </c>
      <c r="E2860" s="23" t="s">
        <v>1700</v>
      </c>
      <c r="F2860" s="23" t="s">
        <v>1252</v>
      </c>
    </row>
    <row r="2861" ht="17.25" spans="1:6">
      <c r="A2861" s="23">
        <v>2860</v>
      </c>
      <c r="B2861" s="22" t="s">
        <v>3246</v>
      </c>
      <c r="C2861" s="22" t="s">
        <v>692</v>
      </c>
      <c r="D2861" s="22" t="s">
        <v>693</v>
      </c>
      <c r="E2861" s="22" t="s">
        <v>1700</v>
      </c>
      <c r="F2861" s="22" t="s">
        <v>1252</v>
      </c>
    </row>
    <row r="2862" ht="17.25" spans="1:6">
      <c r="A2862" s="22">
        <v>2861</v>
      </c>
      <c r="B2862" s="23" t="s">
        <v>3247</v>
      </c>
      <c r="C2862" s="23" t="s">
        <v>797</v>
      </c>
      <c r="D2862" s="23" t="s">
        <v>802</v>
      </c>
      <c r="E2862" s="23" t="s">
        <v>1700</v>
      </c>
      <c r="F2862" s="23" t="s">
        <v>1252</v>
      </c>
    </row>
    <row r="2863" ht="17.25" spans="1:6">
      <c r="A2863" s="23">
        <v>2862</v>
      </c>
      <c r="B2863" s="22" t="s">
        <v>3248</v>
      </c>
      <c r="C2863" s="22" t="s">
        <v>797</v>
      </c>
      <c r="D2863" s="22" t="s">
        <v>802</v>
      </c>
      <c r="E2863" s="22" t="s">
        <v>1700</v>
      </c>
      <c r="F2863" s="22" t="s">
        <v>1252</v>
      </c>
    </row>
    <row r="2864" ht="17.25" spans="1:6">
      <c r="A2864" s="22">
        <v>2863</v>
      </c>
      <c r="B2864" s="23" t="s">
        <v>3249</v>
      </c>
      <c r="C2864" s="23" t="s">
        <v>797</v>
      </c>
      <c r="D2864" s="23" t="s">
        <v>811</v>
      </c>
      <c r="E2864" s="23" t="s">
        <v>1700</v>
      </c>
      <c r="F2864" s="23" t="s">
        <v>1252</v>
      </c>
    </row>
    <row r="2865" ht="17.25" spans="1:6">
      <c r="A2865" s="23">
        <v>2864</v>
      </c>
      <c r="B2865" s="22" t="s">
        <v>3250</v>
      </c>
      <c r="C2865" s="22" t="s">
        <v>797</v>
      </c>
      <c r="D2865" s="22" t="s">
        <v>813</v>
      </c>
      <c r="E2865" s="22" t="s">
        <v>1700</v>
      </c>
      <c r="F2865" s="22" t="s">
        <v>1252</v>
      </c>
    </row>
    <row r="2866" ht="17.25" spans="1:6">
      <c r="A2866" s="22">
        <v>2865</v>
      </c>
      <c r="B2866" s="23" t="s">
        <v>3251</v>
      </c>
      <c r="C2866" s="23" t="s">
        <v>797</v>
      </c>
      <c r="D2866" s="23" t="s">
        <v>815</v>
      </c>
      <c r="E2866" s="23" t="s">
        <v>1700</v>
      </c>
      <c r="F2866" s="23" t="s">
        <v>1252</v>
      </c>
    </row>
    <row r="2867" ht="17.25" spans="1:6">
      <c r="A2867" s="23">
        <v>2866</v>
      </c>
      <c r="B2867" s="22" t="s">
        <v>3252</v>
      </c>
      <c r="C2867" s="22" t="s">
        <v>902</v>
      </c>
      <c r="D2867" s="22" t="s">
        <v>907</v>
      </c>
      <c r="E2867" s="22" t="s">
        <v>1700</v>
      </c>
      <c r="F2867" s="22" t="s">
        <v>1252</v>
      </c>
    </row>
    <row r="2868" ht="17.25" spans="1:6">
      <c r="A2868" s="22">
        <v>2867</v>
      </c>
      <c r="B2868" s="23" t="s">
        <v>3253</v>
      </c>
      <c r="C2868" s="23" t="s">
        <v>971</v>
      </c>
      <c r="D2868" s="23" t="s">
        <v>2594</v>
      </c>
      <c r="E2868" s="23" t="s">
        <v>1700</v>
      </c>
      <c r="F2868" s="23" t="s">
        <v>1252</v>
      </c>
    </row>
    <row r="2869" ht="17.25" spans="1:6">
      <c r="A2869" s="23">
        <v>2868</v>
      </c>
      <c r="B2869" s="22" t="s">
        <v>3254</v>
      </c>
      <c r="C2869" s="22" t="s">
        <v>971</v>
      </c>
      <c r="D2869" s="22" t="s">
        <v>2594</v>
      </c>
      <c r="E2869" s="22" t="s">
        <v>1700</v>
      </c>
      <c r="F2869" s="22" t="s">
        <v>1252</v>
      </c>
    </row>
    <row r="2870" ht="17.25" spans="1:6">
      <c r="A2870" s="22">
        <v>2869</v>
      </c>
      <c r="B2870" s="23" t="s">
        <v>3255</v>
      </c>
      <c r="C2870" s="23" t="s">
        <v>971</v>
      </c>
      <c r="D2870" s="23" t="s">
        <v>2594</v>
      </c>
      <c r="E2870" s="23" t="s">
        <v>1700</v>
      </c>
      <c r="F2870" s="23" t="s">
        <v>1252</v>
      </c>
    </row>
    <row r="2871" ht="17.25" spans="1:6">
      <c r="A2871" s="23">
        <v>2870</v>
      </c>
      <c r="B2871" s="22" t="s">
        <v>3256</v>
      </c>
      <c r="C2871" s="22" t="s">
        <v>273</v>
      </c>
      <c r="D2871" s="22" t="s">
        <v>274</v>
      </c>
      <c r="E2871" s="22" t="s">
        <v>1700</v>
      </c>
      <c r="F2871" s="22" t="s">
        <v>1252</v>
      </c>
    </row>
    <row r="2872" ht="17.25" spans="1:6">
      <c r="A2872" s="22">
        <v>2871</v>
      </c>
      <c r="B2872" s="23" t="s">
        <v>3257</v>
      </c>
      <c r="C2872" s="23" t="s">
        <v>502</v>
      </c>
      <c r="D2872" s="23" t="s">
        <v>511</v>
      </c>
      <c r="E2872" s="23" t="s">
        <v>1700</v>
      </c>
      <c r="F2872" s="23" t="s">
        <v>1252</v>
      </c>
    </row>
    <row r="2873" ht="17.25" spans="1:6">
      <c r="A2873" s="23">
        <v>2872</v>
      </c>
      <c r="B2873" s="22" t="s">
        <v>3258</v>
      </c>
      <c r="C2873" s="22" t="s">
        <v>502</v>
      </c>
      <c r="D2873" s="22" t="s">
        <v>511</v>
      </c>
      <c r="E2873" s="22" t="s">
        <v>1700</v>
      </c>
      <c r="F2873" s="22" t="s">
        <v>1252</v>
      </c>
    </row>
    <row r="2874" ht="17.25" spans="1:6">
      <c r="A2874" s="22">
        <v>2873</v>
      </c>
      <c r="B2874" s="23" t="s">
        <v>3259</v>
      </c>
      <c r="C2874" s="23" t="s">
        <v>502</v>
      </c>
      <c r="D2874" s="23" t="s">
        <v>515</v>
      </c>
      <c r="E2874" s="23" t="s">
        <v>1700</v>
      </c>
      <c r="F2874" s="23" t="s">
        <v>1252</v>
      </c>
    </row>
    <row r="2875" ht="17.25" spans="1:6">
      <c r="A2875" s="23">
        <v>2874</v>
      </c>
      <c r="B2875" s="22" t="s">
        <v>3260</v>
      </c>
      <c r="C2875" s="22" t="s">
        <v>943</v>
      </c>
      <c r="D2875" s="22" t="s">
        <v>3261</v>
      </c>
      <c r="E2875" s="22" t="s">
        <v>1700</v>
      </c>
      <c r="F2875" s="22" t="s">
        <v>1252</v>
      </c>
    </row>
    <row r="2876" ht="17.25" spans="1:6">
      <c r="A2876" s="22">
        <v>2875</v>
      </c>
      <c r="B2876" s="23" t="s">
        <v>3262</v>
      </c>
      <c r="C2876" s="23" t="s">
        <v>98</v>
      </c>
      <c r="D2876" s="23" t="s">
        <v>128</v>
      </c>
      <c r="E2876" s="23" t="s">
        <v>1700</v>
      </c>
      <c r="F2876" s="23" t="s">
        <v>1252</v>
      </c>
    </row>
    <row r="2877" ht="17.25" spans="1:6">
      <c r="A2877" s="23">
        <v>2876</v>
      </c>
      <c r="B2877" s="22" t="s">
        <v>3263</v>
      </c>
      <c r="C2877" s="22" t="s">
        <v>587</v>
      </c>
      <c r="D2877" s="22" t="s">
        <v>604</v>
      </c>
      <c r="E2877" s="22" t="s">
        <v>1700</v>
      </c>
      <c r="F2877" s="22" t="s">
        <v>1252</v>
      </c>
    </row>
    <row r="2878" ht="17.25" spans="1:6">
      <c r="A2878" s="22">
        <v>2877</v>
      </c>
      <c r="B2878" s="23" t="s">
        <v>3264</v>
      </c>
      <c r="C2878" s="23" t="s">
        <v>587</v>
      </c>
      <c r="D2878" s="23" t="s">
        <v>591</v>
      </c>
      <c r="E2878" s="23" t="s">
        <v>1700</v>
      </c>
      <c r="F2878" s="23" t="s">
        <v>1252</v>
      </c>
    </row>
    <row r="2879" ht="17.25" spans="1:6">
      <c r="A2879" s="23">
        <v>2878</v>
      </c>
      <c r="B2879" s="22" t="s">
        <v>3265</v>
      </c>
      <c r="C2879" s="22" t="s">
        <v>628</v>
      </c>
      <c r="D2879" s="22" t="s">
        <v>657</v>
      </c>
      <c r="E2879" s="22" t="s">
        <v>1700</v>
      </c>
      <c r="F2879" s="22" t="s">
        <v>1252</v>
      </c>
    </row>
    <row r="2880" ht="17.25" spans="1:6">
      <c r="A2880" s="22">
        <v>2879</v>
      </c>
      <c r="B2880" s="23" t="s">
        <v>3266</v>
      </c>
      <c r="C2880" s="23" t="s">
        <v>628</v>
      </c>
      <c r="D2880" s="23" t="s">
        <v>688</v>
      </c>
      <c r="E2880" s="23" t="s">
        <v>1700</v>
      </c>
      <c r="F2880" s="23" t="s">
        <v>1252</v>
      </c>
    </row>
    <row r="2881" ht="17.25" spans="1:6">
      <c r="A2881" s="23">
        <v>2880</v>
      </c>
      <c r="B2881" s="22" t="s">
        <v>3267</v>
      </c>
      <c r="C2881" s="22" t="s">
        <v>692</v>
      </c>
      <c r="D2881" s="22" t="s">
        <v>712</v>
      </c>
      <c r="E2881" s="22" t="s">
        <v>1700</v>
      </c>
      <c r="F2881" s="22" t="s">
        <v>1252</v>
      </c>
    </row>
    <row r="2882" ht="17.25" spans="1:6">
      <c r="A2882" s="22">
        <v>2881</v>
      </c>
      <c r="B2882" s="23" t="s">
        <v>3268</v>
      </c>
      <c r="C2882" s="23" t="s">
        <v>692</v>
      </c>
      <c r="D2882" s="23" t="s">
        <v>712</v>
      </c>
      <c r="E2882" s="23" t="s">
        <v>1700</v>
      </c>
      <c r="F2882" s="23" t="s">
        <v>1252</v>
      </c>
    </row>
    <row r="2883" ht="17.25" spans="1:6">
      <c r="A2883" s="23">
        <v>2882</v>
      </c>
      <c r="B2883" s="22" t="s">
        <v>3269</v>
      </c>
      <c r="C2883" s="22" t="s">
        <v>692</v>
      </c>
      <c r="D2883" s="22" t="s">
        <v>714</v>
      </c>
      <c r="E2883" s="22" t="s">
        <v>1700</v>
      </c>
      <c r="F2883" s="22" t="s">
        <v>1252</v>
      </c>
    </row>
    <row r="2884" ht="17.25" spans="1:6">
      <c r="A2884" s="22">
        <v>2883</v>
      </c>
      <c r="B2884" s="23" t="s">
        <v>3270</v>
      </c>
      <c r="C2884" s="23" t="s">
        <v>692</v>
      </c>
      <c r="D2884" s="23" t="s">
        <v>704</v>
      </c>
      <c r="E2884" s="23" t="s">
        <v>1700</v>
      </c>
      <c r="F2884" s="23" t="s">
        <v>1252</v>
      </c>
    </row>
    <row r="2885" ht="17.25" spans="1:6">
      <c r="A2885" s="23">
        <v>2884</v>
      </c>
      <c r="B2885" s="22" t="s">
        <v>3271</v>
      </c>
      <c r="C2885" s="22" t="s">
        <v>951</v>
      </c>
      <c r="D2885" s="22" t="s">
        <v>951</v>
      </c>
      <c r="E2885" s="22" t="s">
        <v>1700</v>
      </c>
      <c r="F2885" s="22" t="s">
        <v>1252</v>
      </c>
    </row>
    <row r="2886" ht="17.25" spans="1:6">
      <c r="A2886" s="22">
        <v>2885</v>
      </c>
      <c r="B2886" s="23" t="s">
        <v>3272</v>
      </c>
      <c r="C2886" s="23" t="s">
        <v>951</v>
      </c>
      <c r="D2886" s="23" t="s">
        <v>951</v>
      </c>
      <c r="E2886" s="23" t="s">
        <v>1700</v>
      </c>
      <c r="F2886" s="23" t="s">
        <v>1252</v>
      </c>
    </row>
    <row r="2887" ht="17.25" spans="1:6">
      <c r="A2887" s="23">
        <v>2886</v>
      </c>
      <c r="B2887" s="22" t="s">
        <v>3273</v>
      </c>
      <c r="C2887" s="22" t="s">
        <v>971</v>
      </c>
      <c r="D2887" s="22" t="s">
        <v>972</v>
      </c>
      <c r="E2887" s="22" t="s">
        <v>1700</v>
      </c>
      <c r="F2887" s="22" t="s">
        <v>1252</v>
      </c>
    </row>
    <row r="2888" ht="17.25" spans="1:6">
      <c r="A2888" s="22">
        <v>2887</v>
      </c>
      <c r="B2888" s="23" t="s">
        <v>3274</v>
      </c>
      <c r="C2888" s="23" t="s">
        <v>797</v>
      </c>
      <c r="D2888" s="23" t="s">
        <v>802</v>
      </c>
      <c r="E2888" s="23" t="s">
        <v>1700</v>
      </c>
      <c r="F2888" s="23" t="s">
        <v>1252</v>
      </c>
    </row>
    <row r="2889" ht="17.25" spans="1:6">
      <c r="A2889" s="23">
        <v>2888</v>
      </c>
      <c r="B2889" s="22" t="s">
        <v>3275</v>
      </c>
      <c r="C2889" s="22" t="s">
        <v>943</v>
      </c>
      <c r="D2889" s="22" t="s">
        <v>946</v>
      </c>
      <c r="E2889" s="22" t="s">
        <v>1700</v>
      </c>
      <c r="F2889" s="22" t="s">
        <v>1252</v>
      </c>
    </row>
    <row r="2890" ht="17.25" spans="1:6">
      <c r="A2890" s="22">
        <v>2889</v>
      </c>
      <c r="B2890" s="23" t="s">
        <v>3276</v>
      </c>
      <c r="C2890" s="23" t="s">
        <v>151</v>
      </c>
      <c r="D2890" s="23" t="s">
        <v>164</v>
      </c>
      <c r="E2890" s="23" t="s">
        <v>1700</v>
      </c>
      <c r="F2890" s="23" t="s">
        <v>1252</v>
      </c>
    </row>
    <row r="2891" ht="17.25" spans="1:6">
      <c r="A2891" s="23">
        <v>2890</v>
      </c>
      <c r="B2891" s="22" t="s">
        <v>3277</v>
      </c>
      <c r="C2891" s="22" t="s">
        <v>797</v>
      </c>
      <c r="D2891" s="22" t="s">
        <v>802</v>
      </c>
      <c r="E2891" s="22" t="s">
        <v>1700</v>
      </c>
      <c r="F2891" s="22" t="s">
        <v>1252</v>
      </c>
    </row>
    <row r="2892" ht="17.25" spans="1:6">
      <c r="A2892" s="22">
        <v>2891</v>
      </c>
      <c r="B2892" s="23" t="s">
        <v>3278</v>
      </c>
      <c r="C2892" s="23" t="s">
        <v>797</v>
      </c>
      <c r="D2892" s="23" t="s">
        <v>836</v>
      </c>
      <c r="E2892" s="23" t="s">
        <v>1700</v>
      </c>
      <c r="F2892" s="23" t="s">
        <v>1252</v>
      </c>
    </row>
    <row r="2893" ht="17.25" spans="1:6">
      <c r="A2893" s="23">
        <v>2892</v>
      </c>
      <c r="B2893" s="22" t="s">
        <v>3279</v>
      </c>
      <c r="C2893" s="22" t="s">
        <v>797</v>
      </c>
      <c r="D2893" s="22" t="s">
        <v>815</v>
      </c>
      <c r="E2893" s="22" t="s">
        <v>1700</v>
      </c>
      <c r="F2893" s="22" t="s">
        <v>1252</v>
      </c>
    </row>
    <row r="2894" ht="17.25" spans="1:6">
      <c r="A2894" s="22">
        <v>2893</v>
      </c>
      <c r="B2894" s="23" t="s">
        <v>3280</v>
      </c>
      <c r="C2894" s="23" t="s">
        <v>797</v>
      </c>
      <c r="D2894" s="23" t="s">
        <v>813</v>
      </c>
      <c r="E2894" s="23" t="s">
        <v>1700</v>
      </c>
      <c r="F2894" s="23" t="s">
        <v>1252</v>
      </c>
    </row>
    <row r="2895" ht="17.25" spans="1:6">
      <c r="A2895" s="23">
        <v>2894</v>
      </c>
      <c r="B2895" s="22" t="s">
        <v>3281</v>
      </c>
      <c r="C2895" s="22" t="s">
        <v>587</v>
      </c>
      <c r="D2895" s="22" t="s">
        <v>2156</v>
      </c>
      <c r="E2895" s="22" t="s">
        <v>1700</v>
      </c>
      <c r="F2895" s="22" t="s">
        <v>1252</v>
      </c>
    </row>
    <row r="2896" ht="17.25" spans="1:6">
      <c r="A2896" s="22">
        <v>2895</v>
      </c>
      <c r="B2896" s="23" t="s">
        <v>3282</v>
      </c>
      <c r="C2896" s="23" t="s">
        <v>98</v>
      </c>
      <c r="D2896" s="23" t="s">
        <v>103</v>
      </c>
      <c r="E2896" s="23" t="s">
        <v>1700</v>
      </c>
      <c r="F2896" s="23" t="s">
        <v>1252</v>
      </c>
    </row>
    <row r="2897" ht="17.25" spans="1:6">
      <c r="A2897" s="23">
        <v>2896</v>
      </c>
      <c r="B2897" s="22" t="s">
        <v>3283</v>
      </c>
      <c r="C2897" s="22" t="s">
        <v>98</v>
      </c>
      <c r="D2897" s="22" t="s">
        <v>103</v>
      </c>
      <c r="E2897" s="22" t="s">
        <v>1700</v>
      </c>
      <c r="F2897" s="22" t="s">
        <v>1252</v>
      </c>
    </row>
    <row r="2898" ht="17.25" spans="1:6">
      <c r="A2898" s="22">
        <v>2897</v>
      </c>
      <c r="B2898" s="23" t="s">
        <v>3284</v>
      </c>
      <c r="C2898" s="23" t="s">
        <v>308</v>
      </c>
      <c r="D2898" s="23" t="s">
        <v>309</v>
      </c>
      <c r="E2898" s="23" t="s">
        <v>1700</v>
      </c>
      <c r="F2898" s="23" t="s">
        <v>1252</v>
      </c>
    </row>
    <row r="2899" ht="17.25" spans="1:6">
      <c r="A2899" s="23">
        <v>2898</v>
      </c>
      <c r="B2899" s="22" t="s">
        <v>3285</v>
      </c>
      <c r="C2899" s="22" t="s">
        <v>308</v>
      </c>
      <c r="D2899" s="22" t="s">
        <v>327</v>
      </c>
      <c r="E2899" s="22" t="s">
        <v>1700</v>
      </c>
      <c r="F2899" s="22" t="s">
        <v>1252</v>
      </c>
    </row>
    <row r="2900" ht="17.25" spans="1:6">
      <c r="A2900" s="22">
        <v>2899</v>
      </c>
      <c r="B2900" s="23" t="s">
        <v>3286</v>
      </c>
      <c r="C2900" s="23" t="s">
        <v>448</v>
      </c>
      <c r="D2900" s="23" t="s">
        <v>463</v>
      </c>
      <c r="E2900" s="23" t="s">
        <v>1700</v>
      </c>
      <c r="F2900" s="23" t="s">
        <v>1252</v>
      </c>
    </row>
    <row r="2901" ht="17.25" spans="1:6">
      <c r="A2901" s="23">
        <v>2900</v>
      </c>
      <c r="B2901" s="22" t="s">
        <v>3287</v>
      </c>
      <c r="C2901" s="22" t="s">
        <v>587</v>
      </c>
      <c r="D2901" s="22" t="s">
        <v>594</v>
      </c>
      <c r="E2901" s="22" t="s">
        <v>1700</v>
      </c>
      <c r="F2901" s="22" t="s">
        <v>1252</v>
      </c>
    </row>
    <row r="2902" ht="17.25" spans="1:6">
      <c r="A2902" s="22">
        <v>2901</v>
      </c>
      <c r="B2902" s="23" t="s">
        <v>3288</v>
      </c>
      <c r="C2902" s="23" t="s">
        <v>587</v>
      </c>
      <c r="D2902" s="23" t="s">
        <v>594</v>
      </c>
      <c r="E2902" s="23" t="s">
        <v>1700</v>
      </c>
      <c r="F2902" s="23" t="s">
        <v>1252</v>
      </c>
    </row>
    <row r="2903" ht="17.25" spans="1:6">
      <c r="A2903" s="23">
        <v>2902</v>
      </c>
      <c r="B2903" s="22" t="s">
        <v>3289</v>
      </c>
      <c r="C2903" s="22" t="s">
        <v>628</v>
      </c>
      <c r="D2903" s="22" t="s">
        <v>651</v>
      </c>
      <c r="E2903" s="22" t="s">
        <v>1700</v>
      </c>
      <c r="F2903" s="22" t="s">
        <v>1252</v>
      </c>
    </row>
    <row r="2904" ht="17.25" spans="1:6">
      <c r="A2904" s="22">
        <v>2903</v>
      </c>
      <c r="B2904" s="23" t="s">
        <v>3290</v>
      </c>
      <c r="C2904" s="23" t="s">
        <v>628</v>
      </c>
      <c r="D2904" s="23" t="s">
        <v>688</v>
      </c>
      <c r="E2904" s="23" t="s">
        <v>1700</v>
      </c>
      <c r="F2904" s="23" t="s">
        <v>1252</v>
      </c>
    </row>
    <row r="2905" ht="17.25" spans="1:6">
      <c r="A2905" s="23">
        <v>2904</v>
      </c>
      <c r="B2905" s="22" t="s">
        <v>3291</v>
      </c>
      <c r="C2905" s="22" t="s">
        <v>628</v>
      </c>
      <c r="D2905" s="22" t="s">
        <v>671</v>
      </c>
      <c r="E2905" s="22" t="s">
        <v>1700</v>
      </c>
      <c r="F2905" s="22" t="s">
        <v>1252</v>
      </c>
    </row>
    <row r="2906" ht="17.25" spans="1:6">
      <c r="A2906" s="22">
        <v>2905</v>
      </c>
      <c r="B2906" s="23" t="s">
        <v>3292</v>
      </c>
      <c r="C2906" s="23" t="s">
        <v>628</v>
      </c>
      <c r="D2906" s="23" t="s">
        <v>662</v>
      </c>
      <c r="E2906" s="23" t="s">
        <v>1700</v>
      </c>
      <c r="F2906" s="23" t="s">
        <v>1252</v>
      </c>
    </row>
    <row r="2907" ht="17.25" spans="1:6">
      <c r="A2907" s="23">
        <v>2906</v>
      </c>
      <c r="B2907" s="22" t="s">
        <v>3293</v>
      </c>
      <c r="C2907" s="22" t="s">
        <v>628</v>
      </c>
      <c r="D2907" s="22" t="s">
        <v>666</v>
      </c>
      <c r="E2907" s="22" t="s">
        <v>1700</v>
      </c>
      <c r="F2907" s="22" t="s">
        <v>1252</v>
      </c>
    </row>
    <row r="2908" ht="17.25" spans="1:6">
      <c r="A2908" s="22">
        <v>2907</v>
      </c>
      <c r="B2908" s="23" t="s">
        <v>3294</v>
      </c>
      <c r="C2908" s="23" t="s">
        <v>692</v>
      </c>
      <c r="D2908" s="23" t="s">
        <v>709</v>
      </c>
      <c r="E2908" s="23" t="s">
        <v>1700</v>
      </c>
      <c r="F2908" s="23" t="s">
        <v>1252</v>
      </c>
    </row>
    <row r="2909" ht="17.25" spans="1:6">
      <c r="A2909" s="23">
        <v>2908</v>
      </c>
      <c r="B2909" s="22" t="s">
        <v>3295</v>
      </c>
      <c r="C2909" s="22" t="s">
        <v>692</v>
      </c>
      <c r="D2909" s="22" t="s">
        <v>709</v>
      </c>
      <c r="E2909" s="22" t="s">
        <v>1700</v>
      </c>
      <c r="F2909" s="22" t="s">
        <v>1252</v>
      </c>
    </row>
    <row r="2910" ht="17.25" spans="1:6">
      <c r="A2910" s="22">
        <v>2909</v>
      </c>
      <c r="B2910" s="23" t="s">
        <v>3296</v>
      </c>
      <c r="C2910" s="23" t="s">
        <v>692</v>
      </c>
      <c r="D2910" s="23" t="s">
        <v>714</v>
      </c>
      <c r="E2910" s="23" t="s">
        <v>1700</v>
      </c>
      <c r="F2910" s="23" t="s">
        <v>1252</v>
      </c>
    </row>
    <row r="2911" ht="17.25" spans="1:6">
      <c r="A2911" s="23">
        <v>2910</v>
      </c>
      <c r="B2911" s="22" t="s">
        <v>3297</v>
      </c>
      <c r="C2911" s="22" t="s">
        <v>692</v>
      </c>
      <c r="D2911" s="22" t="s">
        <v>729</v>
      </c>
      <c r="E2911" s="22" t="s">
        <v>1700</v>
      </c>
      <c r="F2911" s="22" t="s">
        <v>1252</v>
      </c>
    </row>
    <row r="2912" ht="17.25" spans="1:6">
      <c r="A2912" s="22">
        <v>2911</v>
      </c>
      <c r="B2912" s="23" t="s">
        <v>3298</v>
      </c>
      <c r="C2912" s="23" t="s">
        <v>797</v>
      </c>
      <c r="D2912" s="23" t="s">
        <v>811</v>
      </c>
      <c r="E2912" s="23" t="s">
        <v>1700</v>
      </c>
      <c r="F2912" s="23" t="s">
        <v>1252</v>
      </c>
    </row>
    <row r="2913" ht="17.25" spans="1:6">
      <c r="A2913" s="23">
        <v>2912</v>
      </c>
      <c r="B2913" s="22" t="s">
        <v>3299</v>
      </c>
      <c r="C2913" s="22" t="s">
        <v>797</v>
      </c>
      <c r="D2913" s="22" t="s">
        <v>817</v>
      </c>
      <c r="E2913" s="22" t="s">
        <v>1700</v>
      </c>
      <c r="F2913" s="22" t="s">
        <v>1252</v>
      </c>
    </row>
    <row r="2914" ht="17.25" spans="1:6">
      <c r="A2914" s="22">
        <v>2913</v>
      </c>
      <c r="B2914" s="23" t="s">
        <v>3300</v>
      </c>
      <c r="C2914" s="23" t="s">
        <v>951</v>
      </c>
      <c r="D2914" s="23" t="s">
        <v>951</v>
      </c>
      <c r="E2914" s="23" t="s">
        <v>1700</v>
      </c>
      <c r="F2914" s="23" t="s">
        <v>1252</v>
      </c>
    </row>
    <row r="2915" ht="17.25" spans="1:6">
      <c r="A2915" s="23">
        <v>2914</v>
      </c>
      <c r="B2915" s="22" t="s">
        <v>3301</v>
      </c>
      <c r="C2915" s="22" t="s">
        <v>1060</v>
      </c>
      <c r="D2915" s="22" t="s">
        <v>1061</v>
      </c>
      <c r="E2915" s="22" t="s">
        <v>1700</v>
      </c>
      <c r="F2915" s="22" t="s">
        <v>1252</v>
      </c>
    </row>
    <row r="2916" ht="17.25" spans="1:6">
      <c r="A2916" s="22">
        <v>2915</v>
      </c>
      <c r="B2916" s="23" t="s">
        <v>3302</v>
      </c>
      <c r="C2916" s="23" t="s">
        <v>379</v>
      </c>
      <c r="D2916" s="23" t="s">
        <v>382</v>
      </c>
      <c r="E2916" s="23" t="s">
        <v>1700</v>
      </c>
      <c r="F2916" s="23" t="s">
        <v>1687</v>
      </c>
    </row>
    <row r="2917" ht="17.25" spans="1:6">
      <c r="A2917" s="23">
        <v>2916</v>
      </c>
      <c r="B2917" s="22" t="s">
        <v>3303</v>
      </c>
      <c r="C2917" s="22" t="s">
        <v>553</v>
      </c>
      <c r="D2917" s="22" t="s">
        <v>558</v>
      </c>
      <c r="E2917" s="22" t="s">
        <v>1700</v>
      </c>
      <c r="F2917" s="22" t="s">
        <v>1687</v>
      </c>
    </row>
    <row r="2918" ht="17.25" spans="1:6">
      <c r="A2918" s="22">
        <v>2917</v>
      </c>
      <c r="B2918" s="23" t="s">
        <v>3304</v>
      </c>
      <c r="C2918" s="23" t="s">
        <v>692</v>
      </c>
      <c r="D2918" s="23" t="s">
        <v>693</v>
      </c>
      <c r="E2918" s="23" t="s">
        <v>1700</v>
      </c>
      <c r="F2918" s="23" t="s">
        <v>1687</v>
      </c>
    </row>
  </sheetData>
  <hyperlinks>
    <hyperlink ref="B24" r:id="rId1" display="北京中医药大学" tooltip="https://www.dxsbb.com/news/list_198.html"/>
    <hyperlink ref="B25" r:id="rId2" display="北京师范大学" tooltip="https://www.dxsbb.com/news/list_196.html"/>
    <hyperlink ref="B27" r:id="rId3" display="首都体育学院" tooltip="https://www.dxsbb.com/news/list_205.html"/>
    <hyperlink ref="B30" r:id="rId4" display="北京语言大学" tooltip="https://www.dxsbb.com/news/list_199.html"/>
    <hyperlink ref="B32" r:id="rId5" display="中央财经大学" tooltip="https://www.dxsbb.com/news/list_197.html"/>
    <hyperlink ref="B46" r:id="rId6" display="北京电影学院" tooltip="https://www.dxsbb.com/news/list_45.html"/>
    <hyperlink ref="B48" r:id="rId7" display="中央民族大学" tooltip="https://www.dxsbb.com/news/list_202.html"/>
    <hyperlink ref="B49" r:id="rId8" display="中国政法大学" tooltip="https://www.dxsbb.com/news/list_201.html"/>
    <hyperlink ref="C65" r:id="rId9" display="天津" tooltip="https://www.dxsbb.com/news/list_120.html"/>
    <hyperlink ref="B86" r:id="rId10" display="河北大学" tooltip="https://www.dxsbb.com/news/list_105.html"/>
    <hyperlink ref="B127" r:id="rId11" display="山西大学" tooltip="https://www.dxsbb.com/news/list_114.html"/>
    <hyperlink ref="B155" r:id="rId12" display="内蒙古大学" tooltip="https://www.dxsbb.com/news/list_122.html"/>
    <hyperlink ref="B168" r:id="rId13" display="内蒙古艺术学院" tooltip="https://www.dxsbb.com/news/list_204.html"/>
    <hyperlink ref="B174" r:id="rId14" display="辽宁大学" tooltip="https://www.dxsbb.com/news/list_107.html"/>
    <hyperlink ref="A212" r:id="rId15" display="211" tooltip="https://www.dxsbb.com/news/list_194.html"/>
    <hyperlink ref="B216" r:id="rId16" display="吉林大学" tooltip="https://www.dxsbb.com/news/list_119.html"/>
    <hyperlink ref="B244" r:id="rId17" display="黑龙江大学" tooltip="https://www.dxsbb.com/news/list_113.html"/>
    <hyperlink ref="C274" r:id="rId18" display="上海" tooltip="https://www.dxsbb.com/news/list_116.html"/>
    <hyperlink ref="C305" r:id="rId19" display="江苏" tooltip="https://www.dxsbb.com/news/list_99.html"/>
    <hyperlink ref="B360" r:id="rId20" display="浙江大学" tooltip="https://www.dxsbb.com/news/list_110.html"/>
    <hyperlink ref="B365" r:id="rId21" display="浙江农林大学" tooltip="https://www.dxsbb.com/news/list_203.html"/>
    <hyperlink ref="B402" r:id="rId22" display="安徽大学" tooltip="https://www.dxsbb.com/news/list_106.html"/>
    <hyperlink ref="C437" r:id="rId23" display="福建" tooltip="https://www.dxsbb.com/news/list_112.html"/>
    <hyperlink ref="C461" r:id="rId24" display="江西" tooltip="https://www.dxsbb.com/news/list_111.html"/>
    <hyperlink ref="B491" r:id="rId25" display="山东大学" tooltip="https://www.dxsbb.com/news/list_100.html"/>
    <hyperlink ref="C539" r:id="rId26" display="河南" tooltip="https://www.dxsbb.com/news/list_102.html"/>
    <hyperlink ref="C579" r:id="rId27" display="湖北" tooltip="https://www.dxsbb.com/news/list_103.html"/>
    <hyperlink ref="C618" r:id="rId28" display="湖南" tooltip="https://www.dxsbb.com/news/list_104.html"/>
    <hyperlink ref="C651" r:id="rId29" display="广东" tooltip="https://www.dxsbb.com/news/list_101.html"/>
    <hyperlink ref="B695" r:id="rId30" display="广西大学" tooltip="https://www.dxsbb.com/news/list_115.html"/>
    <hyperlink ref="B724" r:id="rId31" display="海南大学" tooltip="https://www.dxsbb.com/news/list_125.html"/>
    <hyperlink ref="B729" r:id="rId32" display="重庆大学" tooltip="https://www.dxsbb.com/news/list_117.html"/>
    <hyperlink ref="B738" r:id="rId33" display="四川外国语大学" tooltip="https://www.dxsbb.com/news/list_109.html"/>
    <hyperlink ref="B787" r:id="rId34" display="贵州大学" tooltip="https://www.dxsbb.com/news/list_121.html"/>
    <hyperlink ref="B811" r:id="rId35" display="云南大学" tooltip="https://www.dxsbb.com/news/list_118.html"/>
    <hyperlink ref="B838" r:id="rId36" display="西藏农牧大学" tooltip="https://www.dxsbb.com/news/list_128.html"/>
    <hyperlink ref="C840" r:id="rId37" display="陕西" tooltip="https://www.dxsbb.com/news/list_108.html"/>
    <hyperlink ref="C880" r:id="rId38" display="甘肃" tooltip="https://www.dxsbb.com/news/list_123.html"/>
    <hyperlink ref="B905" r:id="rId39" display="青海大学" tooltip="https://www.dxsbb.com/news/list_127.html"/>
    <hyperlink ref="B909" r:id="rId40" display="宁夏大学" tooltip="https://www.dxsbb.com/news/list_126.html"/>
    <hyperlink ref="B915" r:id="rId41" display="新疆大学" tooltip="https://www.dxsbb.com/news/list_124.html"/>
    <hyperlink ref="A986" r:id="rId42" display="985" tooltip="https://www.dxsbb.com/news/list_195.html"/>
    <hyperlink ref="B994" r:id="rId43" display="内蒙古大学创业学院" tooltip="https://www.dxsbb.com/news/list_36.html"/>
    <hyperlink ref="B1395" r:id="rId9" display="天津滨海职业学院" tooltip="https://www.dxsbb.com/news/list_120.html"/>
    <hyperlink ref="C1418" r:id="rId10" display="河北" tooltip="https://www.dxsbb.com/news/list_105.html"/>
    <hyperlink ref="B1435" r:id="rId1" display="河北化工医药职业技术学院" tooltip="https://www.dxsbb.com/news/list_198.html"/>
    <hyperlink ref="B1449" r:id="rId2" display="河北正定师范高等专科学校" tooltip="https://www.dxsbb.com/news/list_196.html"/>
    <hyperlink ref="B1464" r:id="rId11" display="山西省财政税务专科学校" tooltip="https://www.dxsbb.com/news/list_114.html"/>
    <hyperlink ref="C1504" r:id="rId12" display="内蒙古" tooltip="https://www.dxsbb.com/news/list_122.html"/>
    <hyperlink ref="B1525" r:id="rId7" display="内蒙古民族幼儿师范高等专科学校" tooltip="https://www.dxsbb.com/news/list_202.html"/>
    <hyperlink ref="C1529" r:id="rId14" display="辽宁" tooltip="https://www.dxsbb.com/news/list_107.html"/>
    <hyperlink ref="C1570" r:id="rId16" display="吉林" tooltip="https://www.dxsbb.com/news/list_119.html"/>
    <hyperlink ref="C1588" r:id="rId17" display="黑龙江" tooltip="https://www.dxsbb.com/news/list_113.html"/>
    <hyperlink ref="A1591" r:id="rId15" display="1590" tooltip="https://www.dxsbb.com/news/list_194.html"/>
    <hyperlink ref="B1618" r:id="rId18" display="上海旅游高等专科学校" tooltip="https://www.dxsbb.com/news/list_116.html"/>
    <hyperlink ref="B1627" r:id="rId21" display="上海农林职业技术学院" tooltip="https://www.dxsbb.com/news/list_203.html"/>
    <hyperlink ref="B1630" r:id="rId31" display="上海南湖职业技术学院" tooltip="https://www.dxsbb.com/news/list_125.html"/>
    <hyperlink ref="C1631" r:id="rId19" display="江苏" tooltip="https://www.dxsbb.com/news/list_99.html"/>
    <hyperlink ref="B1675" r:id="rId5" display="江苏财经职业技术学院" tooltip="https://www.dxsbb.com/news/list_197.html"/>
    <hyperlink ref="C1694" r:id="rId20" display="浙江" tooltip="https://www.dxsbb.com/news/list_110.html"/>
    <hyperlink ref="C1729" r:id="rId22" display="安徽" tooltip="https://www.dxsbb.com/news/list_106.html"/>
    <hyperlink ref="B1784" r:id="rId23" display="福建船政交通职业学院" tooltip="https://www.dxsbb.com/news/list_112.html"/>
    <hyperlink ref="C1811" r:id="rId24" display="江西" tooltip="https://www.dxsbb.com/news/list_111.html"/>
    <hyperlink ref="B1856" r:id="rId25" display="山东医学高等专科学校" tooltip="https://www.dxsbb.com/news/list_100.html"/>
    <hyperlink ref="B1905" r:id="rId44" display="山东理工职业学院" tooltip="https://www.dxsbb.com/news/list_200.html"/>
    <hyperlink ref="B1920" r:id="rId26" display="河南职业技术学院" tooltip="https://www.dxsbb.com/news/list_102.html"/>
    <hyperlink ref="C1991" r:id="rId27" display="湖北" tooltip="https://www.dxsbb.com/news/list_103.html"/>
    <hyperlink ref="C2038" r:id="rId28" display="湖南" tooltip="https://www.dxsbb.com/news/list_104.html"/>
    <hyperlink ref="B2104" r:id="rId29" display="广东交通职业技术学院" tooltip="https://www.dxsbb.com/news/list_101.html"/>
    <hyperlink ref="B2165" r:id="rId30" display="广西机电职业技术学院" tooltip="https://www.dxsbb.com/news/list_115.html"/>
    <hyperlink ref="B2202" r:id="rId32" display="重庆航天职业技术学院" tooltip="https://www.dxsbb.com/news/list_117.html"/>
    <hyperlink ref="B2223" r:id="rId33" display="四川电力职业技术学院" tooltip="https://www.dxsbb.com/news/list_109.html"/>
    <hyperlink ref="C2266" r:id="rId34" display="贵州" tooltip="https://www.dxsbb.com/news/list_121.html"/>
    <hyperlink ref="B2302" r:id="rId35" display="云南国土资源职业学院" tooltip="https://www.dxsbb.com/news/list_118.html"/>
    <hyperlink ref="B2336" r:id="rId36" display="西藏警官高等专科学校" tooltip="https://www.dxsbb.com/news/list_128.html"/>
    <hyperlink ref="C2338" r:id="rId37" display="陕西" tooltip="https://www.dxsbb.com/news/list_108.html"/>
    <hyperlink ref="A2365" r:id="rId42" display="2364" tooltip="https://www.dxsbb.com/news/list_195.html"/>
    <hyperlink ref="C2365" r:id="rId38" display="甘肃" tooltip="https://www.dxsbb.com/news/list_123.html"/>
    <hyperlink ref="B2382" r:id="rId39" display="青海卫生职业技术学院" tooltip="https://www.dxsbb.com/news/list_127.html"/>
    <hyperlink ref="B2389" r:id="rId40" display="宁夏民族职业技术学院" tooltip="https://www.dxsbb.com/news/list_126.html"/>
    <hyperlink ref="C2399" r:id="rId41" display="新疆" tooltip="https://www.dxsbb.com/news/list_124.html"/>
    <hyperlink ref="B2575" r:id="rId6" display="上海电影艺术职业学院" tooltip="https://www.dxsbb.com/news/list_45.html"/>
  </hyperlink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39"/>
  <sheetViews>
    <sheetView topLeftCell="A1516" workbookViewId="0">
      <selection activeCell="L1534" sqref="L1534"/>
    </sheetView>
  </sheetViews>
  <sheetFormatPr defaultColWidth="9" defaultRowHeight="13.5" outlineLevelCol="5"/>
  <cols>
    <col min="1" max="1" width="7.00833333333333" customWidth="1"/>
    <col min="2" max="2" width="30.3416666666667" style="19" customWidth="1"/>
    <col min="3" max="3" width="8.00833333333333" customWidth="1"/>
    <col min="4" max="4" width="9.675" customWidth="1"/>
    <col min="5" max="5" width="6.675" customWidth="1"/>
    <col min="6" max="6" width="13.0083333333333" customWidth="1"/>
  </cols>
  <sheetData>
    <row r="1" ht="18.5" customHeight="1" spans="1:6">
      <c r="A1" s="21" t="s">
        <v>0</v>
      </c>
      <c r="B1" s="21" t="s">
        <v>1</v>
      </c>
      <c r="C1" s="21" t="s">
        <v>3</v>
      </c>
      <c r="D1" s="21" t="s">
        <v>4</v>
      </c>
      <c r="E1" s="21" t="s">
        <v>7</v>
      </c>
      <c r="F1" s="21" t="s">
        <v>3308</v>
      </c>
    </row>
    <row r="2" ht="18.5" customHeight="1" spans="1:6">
      <c r="A2" s="22">
        <v>1</v>
      </c>
      <c r="B2" s="22" t="s">
        <v>1699</v>
      </c>
      <c r="C2" s="22" t="s">
        <v>10</v>
      </c>
      <c r="D2" s="22" t="s">
        <v>10</v>
      </c>
      <c r="E2" s="22" t="s">
        <v>1700</v>
      </c>
      <c r="F2" s="22" t="s">
        <v>12</v>
      </c>
    </row>
    <row r="3" ht="18.5" customHeight="1" spans="1:6">
      <c r="A3" s="23">
        <v>2</v>
      </c>
      <c r="B3" s="23" t="s">
        <v>1701</v>
      </c>
      <c r="C3" s="23" t="s">
        <v>10</v>
      </c>
      <c r="D3" s="23" t="s">
        <v>10</v>
      </c>
      <c r="E3" s="23" t="s">
        <v>1700</v>
      </c>
      <c r="F3" s="23" t="s">
        <v>12</v>
      </c>
    </row>
    <row r="4" ht="18.5" customHeight="1" spans="1:6">
      <c r="A4" s="22">
        <v>3</v>
      </c>
      <c r="B4" s="22" t="s">
        <v>1702</v>
      </c>
      <c r="C4" s="22" t="s">
        <v>10</v>
      </c>
      <c r="D4" s="22" t="s">
        <v>10</v>
      </c>
      <c r="E4" s="22" t="s">
        <v>1700</v>
      </c>
      <c r="F4" s="22" t="s">
        <v>12</v>
      </c>
    </row>
    <row r="5" ht="18.5" customHeight="1" spans="1:6">
      <c r="A5" s="23">
        <v>4</v>
      </c>
      <c r="B5" s="23" t="s">
        <v>1703</v>
      </c>
      <c r="C5" s="23" t="s">
        <v>10</v>
      </c>
      <c r="D5" s="23" t="s">
        <v>10</v>
      </c>
      <c r="E5" s="23" t="s">
        <v>1700</v>
      </c>
      <c r="F5" s="23" t="s">
        <v>12</v>
      </c>
    </row>
    <row r="6" ht="18.5" customHeight="1" spans="1:6">
      <c r="A6" s="22">
        <v>5</v>
      </c>
      <c r="B6" s="22" t="s">
        <v>1704</v>
      </c>
      <c r="C6" s="22" t="s">
        <v>10</v>
      </c>
      <c r="D6" s="22" t="s">
        <v>10</v>
      </c>
      <c r="E6" s="22" t="s">
        <v>1700</v>
      </c>
      <c r="F6" s="22" t="s">
        <v>12</v>
      </c>
    </row>
    <row r="7" ht="18.5" customHeight="1" spans="1:6">
      <c r="A7" s="23">
        <v>6</v>
      </c>
      <c r="B7" s="23" t="s">
        <v>1705</v>
      </c>
      <c r="C7" s="23" t="s">
        <v>10</v>
      </c>
      <c r="D7" s="23" t="s">
        <v>10</v>
      </c>
      <c r="E7" s="23" t="s">
        <v>1700</v>
      </c>
      <c r="F7" s="23" t="s">
        <v>12</v>
      </c>
    </row>
    <row r="8" ht="18.5" customHeight="1" spans="1:6">
      <c r="A8" s="22">
        <v>7</v>
      </c>
      <c r="B8" s="22" t="s">
        <v>1706</v>
      </c>
      <c r="C8" s="22" t="s">
        <v>10</v>
      </c>
      <c r="D8" s="22" t="s">
        <v>10</v>
      </c>
      <c r="E8" s="22" t="s">
        <v>1700</v>
      </c>
      <c r="F8" s="22" t="s">
        <v>12</v>
      </c>
    </row>
    <row r="9" ht="18.5" customHeight="1" spans="1:6">
      <c r="A9" s="23">
        <v>8</v>
      </c>
      <c r="B9" s="23" t="s">
        <v>1707</v>
      </c>
      <c r="C9" s="23" t="s">
        <v>10</v>
      </c>
      <c r="D9" s="23" t="s">
        <v>10</v>
      </c>
      <c r="E9" s="23" t="s">
        <v>1700</v>
      </c>
      <c r="F9" s="23" t="s">
        <v>12</v>
      </c>
    </row>
    <row r="10" ht="18.5" customHeight="1" spans="1:6">
      <c r="A10" s="22">
        <v>9</v>
      </c>
      <c r="B10" s="22" t="s">
        <v>1708</v>
      </c>
      <c r="C10" s="22" t="s">
        <v>10</v>
      </c>
      <c r="D10" s="22" t="s">
        <v>10</v>
      </c>
      <c r="E10" s="22" t="s">
        <v>1700</v>
      </c>
      <c r="F10" s="22" t="s">
        <v>12</v>
      </c>
    </row>
    <row r="11" ht="18.5" customHeight="1" spans="1:6">
      <c r="A11" s="23">
        <v>10</v>
      </c>
      <c r="B11" s="23" t="s">
        <v>1709</v>
      </c>
      <c r="C11" s="23" t="s">
        <v>10</v>
      </c>
      <c r="D11" s="23" t="s">
        <v>10</v>
      </c>
      <c r="E11" s="23" t="s">
        <v>1700</v>
      </c>
      <c r="F11" s="23" t="s">
        <v>12</v>
      </c>
    </row>
    <row r="12" ht="18.5" customHeight="1" spans="1:6">
      <c r="A12" s="22">
        <v>11</v>
      </c>
      <c r="B12" s="22" t="s">
        <v>1710</v>
      </c>
      <c r="C12" s="22" t="s">
        <v>10</v>
      </c>
      <c r="D12" s="22" t="s">
        <v>10</v>
      </c>
      <c r="E12" s="22" t="s">
        <v>1700</v>
      </c>
      <c r="F12" s="22" t="s">
        <v>12</v>
      </c>
    </row>
    <row r="13" ht="18.5" customHeight="1" spans="1:6">
      <c r="A13" s="23">
        <v>12</v>
      </c>
      <c r="B13" s="23" t="s">
        <v>1711</v>
      </c>
      <c r="C13" s="23" t="s">
        <v>10</v>
      </c>
      <c r="D13" s="23" t="s">
        <v>10</v>
      </c>
      <c r="E13" s="23" t="s">
        <v>1700</v>
      </c>
      <c r="F13" s="23" t="s">
        <v>12</v>
      </c>
    </row>
    <row r="14" ht="18.5" customHeight="1" spans="1:6">
      <c r="A14" s="22">
        <v>13</v>
      </c>
      <c r="B14" s="22" t="s">
        <v>1712</v>
      </c>
      <c r="C14" s="22" t="s">
        <v>10</v>
      </c>
      <c r="D14" s="22" t="s">
        <v>10</v>
      </c>
      <c r="E14" s="22" t="s">
        <v>1700</v>
      </c>
      <c r="F14" s="22" t="s">
        <v>12</v>
      </c>
    </row>
    <row r="15" ht="18.5" customHeight="1" spans="1:6">
      <c r="A15" s="23">
        <v>14</v>
      </c>
      <c r="B15" s="23" t="s">
        <v>1713</v>
      </c>
      <c r="C15" s="23" t="s">
        <v>10</v>
      </c>
      <c r="D15" s="23" t="s">
        <v>10</v>
      </c>
      <c r="E15" s="23" t="s">
        <v>1700</v>
      </c>
      <c r="F15" s="23" t="s">
        <v>12</v>
      </c>
    </row>
    <row r="16" ht="18.5" customHeight="1" spans="1:6">
      <c r="A16" s="22">
        <v>15</v>
      </c>
      <c r="B16" s="22" t="s">
        <v>1714</v>
      </c>
      <c r="C16" s="22" t="s">
        <v>76</v>
      </c>
      <c r="D16" s="22" t="s">
        <v>76</v>
      </c>
      <c r="E16" s="22" t="s">
        <v>1700</v>
      </c>
      <c r="F16" s="22" t="s">
        <v>12</v>
      </c>
    </row>
    <row r="17" ht="18.5" customHeight="1" spans="1:6">
      <c r="A17" s="23">
        <v>16</v>
      </c>
      <c r="B17" s="23" t="s">
        <v>1715</v>
      </c>
      <c r="C17" s="23" t="s">
        <v>76</v>
      </c>
      <c r="D17" s="23" t="s">
        <v>76</v>
      </c>
      <c r="E17" s="23" t="s">
        <v>1700</v>
      </c>
      <c r="F17" s="23" t="s">
        <v>12</v>
      </c>
    </row>
    <row r="18" ht="18.5" customHeight="1" spans="1:6">
      <c r="A18" s="22">
        <v>17</v>
      </c>
      <c r="B18" s="22" t="s">
        <v>1716</v>
      </c>
      <c r="C18" s="22" t="s">
        <v>76</v>
      </c>
      <c r="D18" s="22" t="s">
        <v>76</v>
      </c>
      <c r="E18" s="22" t="s">
        <v>1700</v>
      </c>
      <c r="F18" s="22" t="s">
        <v>12</v>
      </c>
    </row>
    <row r="19" ht="18.5" customHeight="1" spans="1:6">
      <c r="A19" s="23">
        <v>18</v>
      </c>
      <c r="B19" s="23" t="s">
        <v>1717</v>
      </c>
      <c r="C19" s="23" t="s">
        <v>76</v>
      </c>
      <c r="D19" s="23" t="s">
        <v>76</v>
      </c>
      <c r="E19" s="23" t="s">
        <v>1700</v>
      </c>
      <c r="F19" s="23" t="s">
        <v>12</v>
      </c>
    </row>
    <row r="20" ht="18.5" customHeight="1" spans="1:6">
      <c r="A20" s="22">
        <v>19</v>
      </c>
      <c r="B20" s="22" t="s">
        <v>1718</v>
      </c>
      <c r="C20" s="22" t="s">
        <v>76</v>
      </c>
      <c r="D20" s="22" t="s">
        <v>76</v>
      </c>
      <c r="E20" s="22" t="s">
        <v>1700</v>
      </c>
      <c r="F20" s="22" t="s">
        <v>12</v>
      </c>
    </row>
    <row r="21" ht="18.5" customHeight="1" spans="1:6">
      <c r="A21" s="23">
        <v>20</v>
      </c>
      <c r="B21" s="23" t="s">
        <v>1719</v>
      </c>
      <c r="C21" s="23" t="s">
        <v>76</v>
      </c>
      <c r="D21" s="23" t="s">
        <v>76</v>
      </c>
      <c r="E21" s="23" t="s">
        <v>1700</v>
      </c>
      <c r="F21" s="23" t="s">
        <v>12</v>
      </c>
    </row>
    <row r="22" ht="18.5" customHeight="1" spans="1:6">
      <c r="A22" s="22">
        <v>21</v>
      </c>
      <c r="B22" s="22" t="s">
        <v>1720</v>
      </c>
      <c r="C22" s="22" t="s">
        <v>76</v>
      </c>
      <c r="D22" s="22" t="s">
        <v>76</v>
      </c>
      <c r="E22" s="22" t="s">
        <v>1700</v>
      </c>
      <c r="F22" s="22" t="s">
        <v>12</v>
      </c>
    </row>
    <row r="23" ht="18.5" customHeight="1" spans="1:6">
      <c r="A23" s="23">
        <v>22</v>
      </c>
      <c r="B23" s="23" t="s">
        <v>1721</v>
      </c>
      <c r="C23" s="23" t="s">
        <v>76</v>
      </c>
      <c r="D23" s="23" t="s">
        <v>76</v>
      </c>
      <c r="E23" s="23" t="s">
        <v>1700</v>
      </c>
      <c r="F23" s="23" t="s">
        <v>12</v>
      </c>
    </row>
    <row r="24" ht="18.5" customHeight="1" spans="1:6">
      <c r="A24" s="22">
        <v>23</v>
      </c>
      <c r="B24" s="22" t="s">
        <v>1722</v>
      </c>
      <c r="C24" s="22" t="s">
        <v>76</v>
      </c>
      <c r="D24" s="22" t="s">
        <v>76</v>
      </c>
      <c r="E24" s="22" t="s">
        <v>1700</v>
      </c>
      <c r="F24" s="22" t="s">
        <v>12</v>
      </c>
    </row>
    <row r="25" ht="18.5" customHeight="1" spans="1:6">
      <c r="A25" s="23">
        <v>24</v>
      </c>
      <c r="B25" s="23" t="s">
        <v>1723</v>
      </c>
      <c r="C25" s="23" t="s">
        <v>76</v>
      </c>
      <c r="D25" s="23" t="s">
        <v>76</v>
      </c>
      <c r="E25" s="23" t="s">
        <v>1700</v>
      </c>
      <c r="F25" s="23" t="s">
        <v>12</v>
      </c>
    </row>
    <row r="26" ht="18.5" customHeight="1" spans="1:6">
      <c r="A26" s="22">
        <v>25</v>
      </c>
      <c r="B26" s="22" t="s">
        <v>1724</v>
      </c>
      <c r="C26" s="22" t="s">
        <v>76</v>
      </c>
      <c r="D26" s="22" t="s">
        <v>76</v>
      </c>
      <c r="E26" s="22" t="s">
        <v>1700</v>
      </c>
      <c r="F26" s="22" t="s">
        <v>12</v>
      </c>
    </row>
    <row r="27" ht="18.5" customHeight="1" spans="1:6">
      <c r="A27" s="23">
        <v>26</v>
      </c>
      <c r="B27" s="23" t="s">
        <v>1725</v>
      </c>
      <c r="C27" s="23" t="s">
        <v>76</v>
      </c>
      <c r="D27" s="23" t="s">
        <v>76</v>
      </c>
      <c r="E27" s="23" t="s">
        <v>1700</v>
      </c>
      <c r="F27" s="23" t="s">
        <v>12</v>
      </c>
    </row>
    <row r="28" ht="18.5" customHeight="1" spans="1:6">
      <c r="A28" s="22">
        <v>27</v>
      </c>
      <c r="B28" s="22" t="s">
        <v>1726</v>
      </c>
      <c r="C28" s="22" t="s">
        <v>76</v>
      </c>
      <c r="D28" s="22" t="s">
        <v>76</v>
      </c>
      <c r="E28" s="22" t="s">
        <v>1700</v>
      </c>
      <c r="F28" s="22" t="s">
        <v>12</v>
      </c>
    </row>
    <row r="29" ht="18.5" customHeight="1" spans="1:6">
      <c r="A29" s="23">
        <v>28</v>
      </c>
      <c r="B29" s="23" t="s">
        <v>1727</v>
      </c>
      <c r="C29" s="23" t="s">
        <v>76</v>
      </c>
      <c r="D29" s="23" t="s">
        <v>76</v>
      </c>
      <c r="E29" s="23" t="s">
        <v>1700</v>
      </c>
      <c r="F29" s="23" t="s">
        <v>12</v>
      </c>
    </row>
    <row r="30" ht="18.5" customHeight="1" spans="1:6">
      <c r="A30" s="22">
        <v>29</v>
      </c>
      <c r="B30" s="22" t="s">
        <v>1728</v>
      </c>
      <c r="C30" s="22" t="s">
        <v>76</v>
      </c>
      <c r="D30" s="22" t="s">
        <v>76</v>
      </c>
      <c r="E30" s="22" t="s">
        <v>1700</v>
      </c>
      <c r="F30" s="22" t="s">
        <v>12</v>
      </c>
    </row>
    <row r="31" ht="18.5" customHeight="1" spans="1:6">
      <c r="A31" s="23">
        <v>30</v>
      </c>
      <c r="B31" s="23" t="s">
        <v>1729</v>
      </c>
      <c r="C31" s="23" t="s">
        <v>76</v>
      </c>
      <c r="D31" s="23" t="s">
        <v>76</v>
      </c>
      <c r="E31" s="23" t="s">
        <v>1700</v>
      </c>
      <c r="F31" s="23" t="s">
        <v>12</v>
      </c>
    </row>
    <row r="32" ht="18.5" customHeight="1" spans="1:6">
      <c r="A32" s="22">
        <v>31</v>
      </c>
      <c r="B32" s="22" t="s">
        <v>1730</v>
      </c>
      <c r="C32" s="22" t="s">
        <v>76</v>
      </c>
      <c r="D32" s="22" t="s">
        <v>76</v>
      </c>
      <c r="E32" s="22" t="s">
        <v>1700</v>
      </c>
      <c r="F32" s="22" t="s">
        <v>12</v>
      </c>
    </row>
    <row r="33" ht="18.5" customHeight="1" spans="1:6">
      <c r="A33" s="23">
        <v>32</v>
      </c>
      <c r="B33" s="23" t="s">
        <v>1731</v>
      </c>
      <c r="C33" s="23" t="s">
        <v>76</v>
      </c>
      <c r="D33" s="23" t="s">
        <v>76</v>
      </c>
      <c r="E33" s="23" t="s">
        <v>1700</v>
      </c>
      <c r="F33" s="23" t="s">
        <v>12</v>
      </c>
    </row>
    <row r="34" ht="18.5" customHeight="1" spans="1:6">
      <c r="A34" s="22">
        <v>33</v>
      </c>
      <c r="B34" s="22" t="s">
        <v>1732</v>
      </c>
      <c r="C34" s="22" t="s">
        <v>76</v>
      </c>
      <c r="D34" s="22" t="s">
        <v>76</v>
      </c>
      <c r="E34" s="22" t="s">
        <v>1700</v>
      </c>
      <c r="F34" s="22" t="s">
        <v>12</v>
      </c>
    </row>
    <row r="35" ht="18.5" customHeight="1" spans="1:6">
      <c r="A35" s="23">
        <v>34</v>
      </c>
      <c r="B35" s="23" t="s">
        <v>1733</v>
      </c>
      <c r="C35" s="23" t="s">
        <v>76</v>
      </c>
      <c r="D35" s="23" t="s">
        <v>76</v>
      </c>
      <c r="E35" s="23" t="s">
        <v>1700</v>
      </c>
      <c r="F35" s="23" t="s">
        <v>12</v>
      </c>
    </row>
    <row r="36" ht="18.5" customHeight="1" spans="1:6">
      <c r="A36" s="22">
        <v>35</v>
      </c>
      <c r="B36" s="22" t="s">
        <v>1734</v>
      </c>
      <c r="C36" s="22" t="s">
        <v>76</v>
      </c>
      <c r="D36" s="22" t="s">
        <v>76</v>
      </c>
      <c r="E36" s="22" t="s">
        <v>1700</v>
      </c>
      <c r="F36" s="22" t="s">
        <v>12</v>
      </c>
    </row>
    <row r="37" ht="18.5" customHeight="1" spans="1:6">
      <c r="A37" s="23">
        <v>36</v>
      </c>
      <c r="B37" s="23" t="s">
        <v>1735</v>
      </c>
      <c r="C37" s="23" t="s">
        <v>76</v>
      </c>
      <c r="D37" s="23" t="s">
        <v>76</v>
      </c>
      <c r="E37" s="23" t="s">
        <v>1700</v>
      </c>
      <c r="F37" s="23" t="s">
        <v>12</v>
      </c>
    </row>
    <row r="38" ht="18.5" customHeight="1" spans="1:6">
      <c r="A38" s="22">
        <v>37</v>
      </c>
      <c r="B38" s="22" t="s">
        <v>1736</v>
      </c>
      <c r="C38" s="22" t="s">
        <v>76</v>
      </c>
      <c r="D38" s="22" t="s">
        <v>76</v>
      </c>
      <c r="E38" s="22" t="s">
        <v>1700</v>
      </c>
      <c r="F38" s="22" t="s">
        <v>12</v>
      </c>
    </row>
    <row r="39" ht="18.5" customHeight="1" spans="1:6">
      <c r="A39" s="23">
        <v>38</v>
      </c>
      <c r="B39" s="23" t="s">
        <v>1737</v>
      </c>
      <c r="C39" s="23" t="s">
        <v>98</v>
      </c>
      <c r="D39" s="23" t="s">
        <v>101</v>
      </c>
      <c r="E39" s="23" t="s">
        <v>1700</v>
      </c>
      <c r="F39" s="23" t="s">
        <v>12</v>
      </c>
    </row>
    <row r="40" ht="18.5" customHeight="1" spans="1:6">
      <c r="A40" s="22">
        <v>39</v>
      </c>
      <c r="B40" s="22" t="s">
        <v>1738</v>
      </c>
      <c r="C40" s="22" t="s">
        <v>98</v>
      </c>
      <c r="D40" s="22" t="s">
        <v>103</v>
      </c>
      <c r="E40" s="22" t="s">
        <v>1700</v>
      </c>
      <c r="F40" s="22" t="s">
        <v>12</v>
      </c>
    </row>
    <row r="41" ht="18.5" customHeight="1" spans="1:6">
      <c r="A41" s="23">
        <v>40</v>
      </c>
      <c r="B41" s="23" t="s">
        <v>1739</v>
      </c>
      <c r="C41" s="23" t="s">
        <v>98</v>
      </c>
      <c r="D41" s="23" t="s">
        <v>109</v>
      </c>
      <c r="E41" s="23" t="s">
        <v>1700</v>
      </c>
      <c r="F41" s="23" t="s">
        <v>12</v>
      </c>
    </row>
    <row r="42" ht="18.5" customHeight="1" spans="1:6">
      <c r="A42" s="22">
        <v>41</v>
      </c>
      <c r="B42" s="22" t="s">
        <v>1740</v>
      </c>
      <c r="C42" s="22" t="s">
        <v>98</v>
      </c>
      <c r="D42" s="22" t="s">
        <v>99</v>
      </c>
      <c r="E42" s="22" t="s">
        <v>1700</v>
      </c>
      <c r="F42" s="22" t="s">
        <v>12</v>
      </c>
    </row>
    <row r="43" ht="18.5" customHeight="1" spans="1:6">
      <c r="A43" s="23">
        <v>42</v>
      </c>
      <c r="B43" s="23" t="s">
        <v>1741</v>
      </c>
      <c r="C43" s="23" t="s">
        <v>98</v>
      </c>
      <c r="D43" s="23" t="s">
        <v>122</v>
      </c>
      <c r="E43" s="23" t="s">
        <v>1700</v>
      </c>
      <c r="F43" s="23" t="s">
        <v>12</v>
      </c>
    </row>
    <row r="44" ht="18.5" customHeight="1" spans="1:6">
      <c r="A44" s="22">
        <v>43</v>
      </c>
      <c r="B44" s="22" t="s">
        <v>1742</v>
      </c>
      <c r="C44" s="22" t="s">
        <v>98</v>
      </c>
      <c r="D44" s="22" t="s">
        <v>132</v>
      </c>
      <c r="E44" s="22" t="s">
        <v>1700</v>
      </c>
      <c r="F44" s="22" t="s">
        <v>12</v>
      </c>
    </row>
    <row r="45" ht="18.5" customHeight="1" spans="1:6">
      <c r="A45" s="23">
        <v>44</v>
      </c>
      <c r="B45" s="23" t="s">
        <v>1743</v>
      </c>
      <c r="C45" s="23" t="s">
        <v>98</v>
      </c>
      <c r="D45" s="23" t="s">
        <v>103</v>
      </c>
      <c r="E45" s="23" t="s">
        <v>1700</v>
      </c>
      <c r="F45" s="23" t="s">
        <v>12</v>
      </c>
    </row>
    <row r="46" ht="18.5" customHeight="1" spans="1:6">
      <c r="A46" s="22">
        <v>45</v>
      </c>
      <c r="B46" s="22" t="s">
        <v>1744</v>
      </c>
      <c r="C46" s="22" t="s">
        <v>98</v>
      </c>
      <c r="D46" s="22" t="s">
        <v>111</v>
      </c>
      <c r="E46" s="22" t="s">
        <v>1700</v>
      </c>
      <c r="F46" s="22" t="s">
        <v>12</v>
      </c>
    </row>
    <row r="47" ht="18.5" customHeight="1" spans="1:6">
      <c r="A47" s="23">
        <v>46</v>
      </c>
      <c r="B47" s="23" t="s">
        <v>1745</v>
      </c>
      <c r="C47" s="23" t="s">
        <v>98</v>
      </c>
      <c r="D47" s="23" t="s">
        <v>106</v>
      </c>
      <c r="E47" s="23" t="s">
        <v>1700</v>
      </c>
      <c r="F47" s="23" t="s">
        <v>12</v>
      </c>
    </row>
    <row r="48" ht="18.5" customHeight="1" spans="1:6">
      <c r="A48" s="22">
        <v>47</v>
      </c>
      <c r="B48" s="22" t="s">
        <v>1746</v>
      </c>
      <c r="C48" s="22" t="s">
        <v>98</v>
      </c>
      <c r="D48" s="22" t="s">
        <v>103</v>
      </c>
      <c r="E48" s="22" t="s">
        <v>1700</v>
      </c>
      <c r="F48" s="22" t="s">
        <v>12</v>
      </c>
    </row>
    <row r="49" ht="18.5" customHeight="1" spans="1:6">
      <c r="A49" s="23">
        <v>48</v>
      </c>
      <c r="B49" s="23" t="s">
        <v>1747</v>
      </c>
      <c r="C49" s="23" t="s">
        <v>98</v>
      </c>
      <c r="D49" s="23" t="s">
        <v>99</v>
      </c>
      <c r="E49" s="23" t="s">
        <v>1700</v>
      </c>
      <c r="F49" s="23" t="s">
        <v>12</v>
      </c>
    </row>
    <row r="50" ht="18.5" customHeight="1" spans="1:6">
      <c r="A50" s="22">
        <v>49</v>
      </c>
      <c r="B50" s="22" t="s">
        <v>1748</v>
      </c>
      <c r="C50" s="22" t="s">
        <v>98</v>
      </c>
      <c r="D50" s="22" t="s">
        <v>132</v>
      </c>
      <c r="E50" s="22" t="s">
        <v>1700</v>
      </c>
      <c r="F50" s="22" t="s">
        <v>12</v>
      </c>
    </row>
    <row r="51" ht="18.5" customHeight="1" spans="1:6">
      <c r="A51" s="23">
        <v>50</v>
      </c>
      <c r="B51" s="23" t="s">
        <v>1749</v>
      </c>
      <c r="C51" s="23" t="s">
        <v>98</v>
      </c>
      <c r="D51" s="23" t="s">
        <v>106</v>
      </c>
      <c r="E51" s="23" t="s">
        <v>1700</v>
      </c>
      <c r="F51" s="23" t="s">
        <v>12</v>
      </c>
    </row>
    <row r="52" ht="18.5" customHeight="1" spans="1:6">
      <c r="A52" s="22">
        <v>51</v>
      </c>
      <c r="B52" s="22" t="s">
        <v>1750</v>
      </c>
      <c r="C52" s="22" t="s">
        <v>98</v>
      </c>
      <c r="D52" s="22" t="s">
        <v>124</v>
      </c>
      <c r="E52" s="22" t="s">
        <v>1700</v>
      </c>
      <c r="F52" s="22" t="s">
        <v>12</v>
      </c>
    </row>
    <row r="53" ht="18.5" customHeight="1" spans="1:6">
      <c r="A53" s="23">
        <v>52</v>
      </c>
      <c r="B53" s="23" t="s">
        <v>1751</v>
      </c>
      <c r="C53" s="23" t="s">
        <v>98</v>
      </c>
      <c r="D53" s="23" t="s">
        <v>103</v>
      </c>
      <c r="E53" s="23" t="s">
        <v>1700</v>
      </c>
      <c r="F53" s="23" t="s">
        <v>12</v>
      </c>
    </row>
    <row r="54" ht="18.5" customHeight="1" spans="1:6">
      <c r="A54" s="22">
        <v>53</v>
      </c>
      <c r="B54" s="22" t="s">
        <v>1752</v>
      </c>
      <c r="C54" s="22" t="s">
        <v>98</v>
      </c>
      <c r="D54" s="22" t="s">
        <v>116</v>
      </c>
      <c r="E54" s="22" t="s">
        <v>1700</v>
      </c>
      <c r="F54" s="22" t="s">
        <v>12</v>
      </c>
    </row>
    <row r="55" ht="18.5" customHeight="1" spans="1:6">
      <c r="A55" s="23">
        <v>54</v>
      </c>
      <c r="B55" s="23" t="s">
        <v>1753</v>
      </c>
      <c r="C55" s="23" t="s">
        <v>98</v>
      </c>
      <c r="D55" s="23" t="s">
        <v>103</v>
      </c>
      <c r="E55" s="23" t="s">
        <v>1700</v>
      </c>
      <c r="F55" s="23" t="s">
        <v>12</v>
      </c>
    </row>
    <row r="56" ht="18.5" customHeight="1" spans="1:6">
      <c r="A56" s="22">
        <v>55</v>
      </c>
      <c r="B56" s="22" t="s">
        <v>1754</v>
      </c>
      <c r="C56" s="22" t="s">
        <v>98</v>
      </c>
      <c r="D56" s="22" t="s">
        <v>103</v>
      </c>
      <c r="E56" s="22" t="s">
        <v>1700</v>
      </c>
      <c r="F56" s="22" t="s">
        <v>12</v>
      </c>
    </row>
    <row r="57" ht="18.5" customHeight="1" spans="1:6">
      <c r="A57" s="23">
        <v>56</v>
      </c>
      <c r="B57" s="23" t="s">
        <v>1755</v>
      </c>
      <c r="C57" s="23" t="s">
        <v>98</v>
      </c>
      <c r="D57" s="23" t="s">
        <v>103</v>
      </c>
      <c r="E57" s="23" t="s">
        <v>1700</v>
      </c>
      <c r="F57" s="23" t="s">
        <v>12</v>
      </c>
    </row>
    <row r="58" ht="18.5" customHeight="1" spans="1:6">
      <c r="A58" s="22">
        <v>57</v>
      </c>
      <c r="B58" s="22" t="s">
        <v>1756</v>
      </c>
      <c r="C58" s="22" t="s">
        <v>98</v>
      </c>
      <c r="D58" s="22" t="s">
        <v>132</v>
      </c>
      <c r="E58" s="22" t="s">
        <v>1700</v>
      </c>
      <c r="F58" s="22" t="s">
        <v>12</v>
      </c>
    </row>
    <row r="59" ht="18.5" customHeight="1" spans="1:6">
      <c r="A59" s="23">
        <v>58</v>
      </c>
      <c r="B59" s="23" t="s">
        <v>1757</v>
      </c>
      <c r="C59" s="23" t="s">
        <v>98</v>
      </c>
      <c r="D59" s="23" t="s">
        <v>99</v>
      </c>
      <c r="E59" s="23" t="s">
        <v>1700</v>
      </c>
      <c r="F59" s="23" t="s">
        <v>12</v>
      </c>
    </row>
    <row r="60" ht="18.5" customHeight="1" spans="1:6">
      <c r="A60" s="22">
        <v>59</v>
      </c>
      <c r="B60" s="22" t="s">
        <v>1758</v>
      </c>
      <c r="C60" s="22" t="s">
        <v>98</v>
      </c>
      <c r="D60" s="22" t="s">
        <v>128</v>
      </c>
      <c r="E60" s="22" t="s">
        <v>1700</v>
      </c>
      <c r="F60" s="22" t="s">
        <v>12</v>
      </c>
    </row>
    <row r="61" ht="18.5" customHeight="1" spans="1:6">
      <c r="A61" s="23">
        <v>60</v>
      </c>
      <c r="B61" s="23" t="s">
        <v>1759</v>
      </c>
      <c r="C61" s="23" t="s">
        <v>98</v>
      </c>
      <c r="D61" s="23" t="s">
        <v>111</v>
      </c>
      <c r="E61" s="23" t="s">
        <v>1700</v>
      </c>
      <c r="F61" s="23" t="s">
        <v>12</v>
      </c>
    </row>
    <row r="62" ht="18.5" customHeight="1" spans="1:6">
      <c r="A62" s="22">
        <v>61</v>
      </c>
      <c r="B62" s="22" t="s">
        <v>1760</v>
      </c>
      <c r="C62" s="22" t="s">
        <v>98</v>
      </c>
      <c r="D62" s="22" t="s">
        <v>122</v>
      </c>
      <c r="E62" s="22" t="s">
        <v>1700</v>
      </c>
      <c r="F62" s="22" t="s">
        <v>12</v>
      </c>
    </row>
    <row r="63" ht="18.5" customHeight="1" spans="1:6">
      <c r="A63" s="23">
        <v>62</v>
      </c>
      <c r="B63" s="23" t="s">
        <v>1761</v>
      </c>
      <c r="C63" s="23" t="s">
        <v>98</v>
      </c>
      <c r="D63" s="23" t="s">
        <v>106</v>
      </c>
      <c r="E63" s="23" t="s">
        <v>1700</v>
      </c>
      <c r="F63" s="23" t="s">
        <v>12</v>
      </c>
    </row>
    <row r="64" ht="18.5" customHeight="1" spans="1:6">
      <c r="A64" s="22">
        <v>63</v>
      </c>
      <c r="B64" s="22" t="s">
        <v>1762</v>
      </c>
      <c r="C64" s="22" t="s">
        <v>98</v>
      </c>
      <c r="D64" s="22" t="s">
        <v>103</v>
      </c>
      <c r="E64" s="22" t="s">
        <v>1700</v>
      </c>
      <c r="F64" s="22" t="s">
        <v>12</v>
      </c>
    </row>
    <row r="65" ht="18.5" customHeight="1" spans="1:6">
      <c r="A65" s="23">
        <v>64</v>
      </c>
      <c r="B65" s="23" t="s">
        <v>1763</v>
      </c>
      <c r="C65" s="23" t="s">
        <v>98</v>
      </c>
      <c r="D65" s="23" t="s">
        <v>103</v>
      </c>
      <c r="E65" s="23" t="s">
        <v>1700</v>
      </c>
      <c r="F65" s="23" t="s">
        <v>12</v>
      </c>
    </row>
    <row r="66" ht="18.5" customHeight="1" spans="1:6">
      <c r="A66" s="22">
        <v>65</v>
      </c>
      <c r="B66" s="22" t="s">
        <v>1764</v>
      </c>
      <c r="C66" s="22" t="s">
        <v>98</v>
      </c>
      <c r="D66" s="22" t="s">
        <v>101</v>
      </c>
      <c r="E66" s="22" t="s">
        <v>1700</v>
      </c>
      <c r="F66" s="22" t="s">
        <v>12</v>
      </c>
    </row>
    <row r="67" ht="18.5" customHeight="1" spans="1:6">
      <c r="A67" s="23">
        <v>66</v>
      </c>
      <c r="B67" s="23" t="s">
        <v>1765</v>
      </c>
      <c r="C67" s="23" t="s">
        <v>98</v>
      </c>
      <c r="D67" s="23" t="s">
        <v>111</v>
      </c>
      <c r="E67" s="23" t="s">
        <v>1700</v>
      </c>
      <c r="F67" s="23" t="s">
        <v>12</v>
      </c>
    </row>
    <row r="68" ht="18.5" customHeight="1" spans="1:6">
      <c r="A68" s="22">
        <v>67</v>
      </c>
      <c r="B68" s="22" t="s">
        <v>1766</v>
      </c>
      <c r="C68" s="22" t="s">
        <v>98</v>
      </c>
      <c r="D68" s="22" t="s">
        <v>103</v>
      </c>
      <c r="E68" s="22" t="s">
        <v>1700</v>
      </c>
      <c r="F68" s="22" t="s">
        <v>12</v>
      </c>
    </row>
    <row r="69" ht="18.5" customHeight="1" spans="1:6">
      <c r="A69" s="23">
        <v>68</v>
      </c>
      <c r="B69" s="23" t="s">
        <v>1767</v>
      </c>
      <c r="C69" s="23" t="s">
        <v>98</v>
      </c>
      <c r="D69" s="23" t="s">
        <v>99</v>
      </c>
      <c r="E69" s="23" t="s">
        <v>1700</v>
      </c>
      <c r="F69" s="23" t="s">
        <v>12</v>
      </c>
    </row>
    <row r="70" ht="18.5" customHeight="1" spans="1:6">
      <c r="A70" s="22">
        <v>69</v>
      </c>
      <c r="B70" s="22" t="s">
        <v>1768</v>
      </c>
      <c r="C70" s="22" t="s">
        <v>98</v>
      </c>
      <c r="D70" s="22" t="s">
        <v>103</v>
      </c>
      <c r="E70" s="22" t="s">
        <v>1700</v>
      </c>
      <c r="F70" s="22" t="s">
        <v>12</v>
      </c>
    </row>
    <row r="71" ht="18.5" customHeight="1" spans="1:6">
      <c r="A71" s="23">
        <v>70</v>
      </c>
      <c r="B71" s="23" t="s">
        <v>1769</v>
      </c>
      <c r="C71" s="23" t="s">
        <v>98</v>
      </c>
      <c r="D71" s="23" t="s">
        <v>103</v>
      </c>
      <c r="E71" s="23" t="s">
        <v>1700</v>
      </c>
      <c r="F71" s="23" t="s">
        <v>12</v>
      </c>
    </row>
    <row r="72" ht="18.5" customHeight="1" spans="1:6">
      <c r="A72" s="22">
        <v>71</v>
      </c>
      <c r="B72" s="22" t="s">
        <v>1770</v>
      </c>
      <c r="C72" s="22" t="s">
        <v>98</v>
      </c>
      <c r="D72" s="22" t="s">
        <v>111</v>
      </c>
      <c r="E72" s="22" t="s">
        <v>1700</v>
      </c>
      <c r="F72" s="22" t="s">
        <v>12</v>
      </c>
    </row>
    <row r="73" ht="18.5" customHeight="1" spans="1:6">
      <c r="A73" s="23">
        <v>72</v>
      </c>
      <c r="B73" s="23" t="s">
        <v>1771</v>
      </c>
      <c r="C73" s="23" t="s">
        <v>98</v>
      </c>
      <c r="D73" s="23" t="s">
        <v>109</v>
      </c>
      <c r="E73" s="23" t="s">
        <v>1700</v>
      </c>
      <c r="F73" s="23" t="s">
        <v>12</v>
      </c>
    </row>
    <row r="74" ht="18.5" customHeight="1" spans="1:6">
      <c r="A74" s="22">
        <v>73</v>
      </c>
      <c r="B74" s="22" t="s">
        <v>1772</v>
      </c>
      <c r="C74" s="22" t="s">
        <v>98</v>
      </c>
      <c r="D74" s="22" t="s">
        <v>122</v>
      </c>
      <c r="E74" s="22" t="s">
        <v>1700</v>
      </c>
      <c r="F74" s="22" t="s">
        <v>12</v>
      </c>
    </row>
    <row r="75" ht="18.5" customHeight="1" spans="1:6">
      <c r="A75" s="23">
        <v>74</v>
      </c>
      <c r="B75" s="23" t="s">
        <v>1773</v>
      </c>
      <c r="C75" s="23" t="s">
        <v>98</v>
      </c>
      <c r="D75" s="23" t="s">
        <v>116</v>
      </c>
      <c r="E75" s="23" t="s">
        <v>1700</v>
      </c>
      <c r="F75" s="23" t="s">
        <v>12</v>
      </c>
    </row>
    <row r="76" ht="18.5" customHeight="1" spans="1:6">
      <c r="A76" s="22">
        <v>75</v>
      </c>
      <c r="B76" s="22" t="s">
        <v>1774</v>
      </c>
      <c r="C76" s="22" t="s">
        <v>98</v>
      </c>
      <c r="D76" s="22" t="s">
        <v>103</v>
      </c>
      <c r="E76" s="22" t="s">
        <v>1700</v>
      </c>
      <c r="F76" s="22" t="s">
        <v>12</v>
      </c>
    </row>
    <row r="77" ht="18.5" customHeight="1" spans="1:6">
      <c r="A77" s="23">
        <v>76</v>
      </c>
      <c r="B77" s="23" t="s">
        <v>1775</v>
      </c>
      <c r="C77" s="23" t="s">
        <v>98</v>
      </c>
      <c r="D77" s="23" t="s">
        <v>122</v>
      </c>
      <c r="E77" s="23" t="s">
        <v>1700</v>
      </c>
      <c r="F77" s="23" t="s">
        <v>12</v>
      </c>
    </row>
    <row r="78" ht="18.5" customHeight="1" spans="1:6">
      <c r="A78" s="22">
        <v>77</v>
      </c>
      <c r="B78" s="22" t="s">
        <v>1776</v>
      </c>
      <c r="C78" s="22" t="s">
        <v>98</v>
      </c>
      <c r="D78" s="22" t="s">
        <v>103</v>
      </c>
      <c r="E78" s="22" t="s">
        <v>1700</v>
      </c>
      <c r="F78" s="22" t="s">
        <v>12</v>
      </c>
    </row>
    <row r="79" ht="18.5" customHeight="1" spans="1:6">
      <c r="A79" s="23">
        <v>78</v>
      </c>
      <c r="B79" s="23" t="s">
        <v>1777</v>
      </c>
      <c r="C79" s="23" t="s">
        <v>98</v>
      </c>
      <c r="D79" s="23" t="s">
        <v>99</v>
      </c>
      <c r="E79" s="23" t="s">
        <v>1700</v>
      </c>
      <c r="F79" s="23" t="s">
        <v>12</v>
      </c>
    </row>
    <row r="80" ht="18.5" customHeight="1" spans="1:6">
      <c r="A80" s="22">
        <v>79</v>
      </c>
      <c r="B80" s="22" t="s">
        <v>1778</v>
      </c>
      <c r="C80" s="22" t="s">
        <v>98</v>
      </c>
      <c r="D80" s="22" t="s">
        <v>99</v>
      </c>
      <c r="E80" s="22" t="s">
        <v>1700</v>
      </c>
      <c r="F80" s="22" t="s">
        <v>12</v>
      </c>
    </row>
    <row r="81" ht="18.5" customHeight="1" spans="1:6">
      <c r="A81" s="23">
        <v>80</v>
      </c>
      <c r="B81" s="23" t="s">
        <v>1779</v>
      </c>
      <c r="C81" s="23" t="s">
        <v>98</v>
      </c>
      <c r="D81" s="23" t="s">
        <v>106</v>
      </c>
      <c r="E81" s="23" t="s">
        <v>1700</v>
      </c>
      <c r="F81" s="23" t="s">
        <v>12</v>
      </c>
    </row>
    <row r="82" ht="18.5" customHeight="1" spans="1:6">
      <c r="A82" s="22">
        <v>81</v>
      </c>
      <c r="B82" s="22" t="s">
        <v>1780</v>
      </c>
      <c r="C82" s="22" t="s">
        <v>98</v>
      </c>
      <c r="D82" s="22" t="s">
        <v>116</v>
      </c>
      <c r="E82" s="22" t="s">
        <v>1700</v>
      </c>
      <c r="F82" s="22" t="s">
        <v>12</v>
      </c>
    </row>
    <row r="83" ht="18.5" customHeight="1" spans="1:6">
      <c r="A83" s="23">
        <v>82</v>
      </c>
      <c r="B83" s="23" t="s">
        <v>1781</v>
      </c>
      <c r="C83" s="23" t="s">
        <v>98</v>
      </c>
      <c r="D83" s="23" t="s">
        <v>101</v>
      </c>
      <c r="E83" s="23" t="s">
        <v>1700</v>
      </c>
      <c r="F83" s="23" t="s">
        <v>12</v>
      </c>
    </row>
    <row r="84" ht="18.5" customHeight="1" spans="1:6">
      <c r="A84" s="22">
        <v>83</v>
      </c>
      <c r="B84" s="22" t="s">
        <v>1782</v>
      </c>
      <c r="C84" s="22" t="s">
        <v>98</v>
      </c>
      <c r="D84" s="22" t="s">
        <v>101</v>
      </c>
      <c r="E84" s="22" t="s">
        <v>1700</v>
      </c>
      <c r="F84" s="22" t="s">
        <v>12</v>
      </c>
    </row>
    <row r="85" ht="18.5" customHeight="1" spans="1:6">
      <c r="A85" s="23">
        <v>84</v>
      </c>
      <c r="B85" s="23" t="s">
        <v>1783</v>
      </c>
      <c r="C85" s="23" t="s">
        <v>151</v>
      </c>
      <c r="D85" s="23" t="s">
        <v>152</v>
      </c>
      <c r="E85" s="23" t="s">
        <v>1700</v>
      </c>
      <c r="F85" s="23" t="s">
        <v>12</v>
      </c>
    </row>
    <row r="86" ht="18.5" customHeight="1" spans="1:6">
      <c r="A86" s="22">
        <v>85</v>
      </c>
      <c r="B86" s="22" t="s">
        <v>1784</v>
      </c>
      <c r="C86" s="22" t="s">
        <v>151</v>
      </c>
      <c r="D86" s="22" t="s">
        <v>160</v>
      </c>
      <c r="E86" s="22" t="s">
        <v>1700</v>
      </c>
      <c r="F86" s="22" t="s">
        <v>12</v>
      </c>
    </row>
    <row r="87" ht="18.5" customHeight="1" spans="1:6">
      <c r="A87" s="23">
        <v>86</v>
      </c>
      <c r="B87" s="23" t="s">
        <v>1785</v>
      </c>
      <c r="C87" s="23" t="s">
        <v>151</v>
      </c>
      <c r="D87" s="23" t="s">
        <v>183</v>
      </c>
      <c r="E87" s="23" t="s">
        <v>1700</v>
      </c>
      <c r="F87" s="23" t="s">
        <v>12</v>
      </c>
    </row>
    <row r="88" ht="18.5" customHeight="1" spans="1:6">
      <c r="A88" s="22">
        <v>87</v>
      </c>
      <c r="B88" s="22" t="s">
        <v>1786</v>
      </c>
      <c r="C88" s="22" t="s">
        <v>151</v>
      </c>
      <c r="D88" s="22" t="s">
        <v>152</v>
      </c>
      <c r="E88" s="22" t="s">
        <v>1700</v>
      </c>
      <c r="F88" s="22" t="s">
        <v>12</v>
      </c>
    </row>
    <row r="89" ht="18.5" customHeight="1" spans="1:6">
      <c r="A89" s="23">
        <v>88</v>
      </c>
      <c r="B89" s="23" t="s">
        <v>1787</v>
      </c>
      <c r="C89" s="23" t="s">
        <v>151</v>
      </c>
      <c r="D89" s="23" t="s">
        <v>164</v>
      </c>
      <c r="E89" s="23" t="s">
        <v>1700</v>
      </c>
      <c r="F89" s="23" t="s">
        <v>12</v>
      </c>
    </row>
    <row r="90" ht="18.5" customHeight="1" spans="1:6">
      <c r="A90" s="22">
        <v>89</v>
      </c>
      <c r="B90" s="22" t="s">
        <v>1788</v>
      </c>
      <c r="C90" s="22" t="s">
        <v>151</v>
      </c>
      <c r="D90" s="22" t="s">
        <v>160</v>
      </c>
      <c r="E90" s="22" t="s">
        <v>1700</v>
      </c>
      <c r="F90" s="22" t="s">
        <v>12</v>
      </c>
    </row>
    <row r="91" ht="18.5" customHeight="1" spans="1:6">
      <c r="A91" s="23">
        <v>90</v>
      </c>
      <c r="B91" s="23" t="s">
        <v>1789</v>
      </c>
      <c r="C91" s="23" t="s">
        <v>151</v>
      </c>
      <c r="D91" s="23" t="s">
        <v>152</v>
      </c>
      <c r="E91" s="23" t="s">
        <v>1700</v>
      </c>
      <c r="F91" s="23" t="s">
        <v>12</v>
      </c>
    </row>
    <row r="92" ht="18.5" customHeight="1" spans="1:6">
      <c r="A92" s="22">
        <v>91</v>
      </c>
      <c r="B92" s="22" t="s">
        <v>1790</v>
      </c>
      <c r="C92" s="22" t="s">
        <v>151</v>
      </c>
      <c r="D92" s="22" t="s">
        <v>152</v>
      </c>
      <c r="E92" s="22" t="s">
        <v>1700</v>
      </c>
      <c r="F92" s="22" t="s">
        <v>12</v>
      </c>
    </row>
    <row r="93" ht="18.5" customHeight="1" spans="1:6">
      <c r="A93" s="23">
        <v>92</v>
      </c>
      <c r="B93" s="23" t="s">
        <v>1791</v>
      </c>
      <c r="C93" s="23" t="s">
        <v>151</v>
      </c>
      <c r="D93" s="23" t="s">
        <v>168</v>
      </c>
      <c r="E93" s="23" t="s">
        <v>1700</v>
      </c>
      <c r="F93" s="23" t="s">
        <v>12</v>
      </c>
    </row>
    <row r="94" ht="18.5" customHeight="1" spans="1:6">
      <c r="A94" s="22">
        <v>93</v>
      </c>
      <c r="B94" s="22" t="s">
        <v>1792</v>
      </c>
      <c r="C94" s="22" t="s">
        <v>151</v>
      </c>
      <c r="D94" s="22" t="s">
        <v>187</v>
      </c>
      <c r="E94" s="22" t="s">
        <v>1700</v>
      </c>
      <c r="F94" s="22" t="s">
        <v>12</v>
      </c>
    </row>
    <row r="95" ht="18.5" customHeight="1" spans="1:6">
      <c r="A95" s="23">
        <v>94</v>
      </c>
      <c r="B95" s="23" t="s">
        <v>1793</v>
      </c>
      <c r="C95" s="23" t="s">
        <v>151</v>
      </c>
      <c r="D95" s="23" t="s">
        <v>181</v>
      </c>
      <c r="E95" s="23" t="s">
        <v>1700</v>
      </c>
      <c r="F95" s="23" t="s">
        <v>12</v>
      </c>
    </row>
    <row r="96" ht="18.5" customHeight="1" spans="1:6">
      <c r="A96" s="22">
        <v>95</v>
      </c>
      <c r="B96" s="22" t="s">
        <v>1794</v>
      </c>
      <c r="C96" s="22" t="s">
        <v>151</v>
      </c>
      <c r="D96" s="22" t="s">
        <v>152</v>
      </c>
      <c r="E96" s="22" t="s">
        <v>1700</v>
      </c>
      <c r="F96" s="22" t="s">
        <v>12</v>
      </c>
    </row>
    <row r="97" ht="18.5" customHeight="1" spans="1:6">
      <c r="A97" s="23">
        <v>96</v>
      </c>
      <c r="B97" s="23" t="s">
        <v>1795</v>
      </c>
      <c r="C97" s="23" t="s">
        <v>151</v>
      </c>
      <c r="D97" s="23" t="s">
        <v>152</v>
      </c>
      <c r="E97" s="23" t="s">
        <v>1700</v>
      </c>
      <c r="F97" s="23" t="s">
        <v>12</v>
      </c>
    </row>
    <row r="98" ht="18.5" customHeight="1" spans="1:6">
      <c r="A98" s="22">
        <v>97</v>
      </c>
      <c r="B98" s="22" t="s">
        <v>1796</v>
      </c>
      <c r="C98" s="22" t="s">
        <v>151</v>
      </c>
      <c r="D98" s="22" t="s">
        <v>152</v>
      </c>
      <c r="E98" s="22" t="s">
        <v>1700</v>
      </c>
      <c r="F98" s="22" t="s">
        <v>12</v>
      </c>
    </row>
    <row r="99" ht="18.5" customHeight="1" spans="1:6">
      <c r="A99" s="23">
        <v>98</v>
      </c>
      <c r="B99" s="23" t="s">
        <v>1797</v>
      </c>
      <c r="C99" s="23" t="s">
        <v>151</v>
      </c>
      <c r="D99" s="23" t="s">
        <v>152</v>
      </c>
      <c r="E99" s="23" t="s">
        <v>1700</v>
      </c>
      <c r="F99" s="23" t="s">
        <v>12</v>
      </c>
    </row>
    <row r="100" ht="18.5" customHeight="1" spans="1:6">
      <c r="A100" s="22">
        <v>99</v>
      </c>
      <c r="B100" s="22" t="s">
        <v>1798</v>
      </c>
      <c r="C100" s="22" t="s">
        <v>151</v>
      </c>
      <c r="D100" s="22" t="s">
        <v>152</v>
      </c>
      <c r="E100" s="22" t="s">
        <v>1700</v>
      </c>
      <c r="F100" s="22" t="s">
        <v>12</v>
      </c>
    </row>
    <row r="101" ht="18.5" customHeight="1" spans="1:6">
      <c r="A101" s="23">
        <v>100</v>
      </c>
      <c r="B101" s="23" t="s">
        <v>1799</v>
      </c>
      <c r="C101" s="23" t="s">
        <v>151</v>
      </c>
      <c r="D101" s="23" t="s">
        <v>152</v>
      </c>
      <c r="E101" s="23" t="s">
        <v>1700</v>
      </c>
      <c r="F101" s="23" t="s">
        <v>12</v>
      </c>
    </row>
    <row r="102" ht="18.5" customHeight="1" spans="1:6">
      <c r="A102" s="22">
        <v>101</v>
      </c>
      <c r="B102" s="22" t="s">
        <v>1800</v>
      </c>
      <c r="C102" s="22" t="s">
        <v>151</v>
      </c>
      <c r="D102" s="22" t="s">
        <v>160</v>
      </c>
      <c r="E102" s="22" t="s">
        <v>1700</v>
      </c>
      <c r="F102" s="22" t="s">
        <v>12</v>
      </c>
    </row>
    <row r="103" ht="18.5" customHeight="1" spans="1:6">
      <c r="A103" s="23">
        <v>102</v>
      </c>
      <c r="B103" s="23" t="s">
        <v>1801</v>
      </c>
      <c r="C103" s="23" t="s">
        <v>151</v>
      </c>
      <c r="D103" s="23" t="s">
        <v>181</v>
      </c>
      <c r="E103" s="23" t="s">
        <v>1700</v>
      </c>
      <c r="F103" s="23" t="s">
        <v>12</v>
      </c>
    </row>
    <row r="104" ht="18.5" customHeight="1" spans="1:6">
      <c r="A104" s="22">
        <v>103</v>
      </c>
      <c r="B104" s="22" t="s">
        <v>1802</v>
      </c>
      <c r="C104" s="22" t="s">
        <v>151</v>
      </c>
      <c r="D104" s="22" t="s">
        <v>152</v>
      </c>
      <c r="E104" s="22" t="s">
        <v>1700</v>
      </c>
      <c r="F104" s="22" t="s">
        <v>12</v>
      </c>
    </row>
    <row r="105" ht="18.5" customHeight="1" spans="1:6">
      <c r="A105" s="23">
        <v>104</v>
      </c>
      <c r="B105" s="23" t="s">
        <v>1803</v>
      </c>
      <c r="C105" s="23" t="s">
        <v>151</v>
      </c>
      <c r="D105" s="23" t="s">
        <v>170</v>
      </c>
      <c r="E105" s="23" t="s">
        <v>1700</v>
      </c>
      <c r="F105" s="23" t="s">
        <v>12</v>
      </c>
    </row>
    <row r="106" ht="18.5" customHeight="1" spans="1:6">
      <c r="A106" s="22">
        <v>105</v>
      </c>
      <c r="B106" s="22" t="s">
        <v>1804</v>
      </c>
      <c r="C106" s="22" t="s">
        <v>151</v>
      </c>
      <c r="D106" s="22" t="s">
        <v>157</v>
      </c>
      <c r="E106" s="22" t="s">
        <v>1700</v>
      </c>
      <c r="F106" s="22" t="s">
        <v>12</v>
      </c>
    </row>
    <row r="107" ht="18.5" customHeight="1" spans="1:6">
      <c r="A107" s="23">
        <v>106</v>
      </c>
      <c r="B107" s="23" t="s">
        <v>1805</v>
      </c>
      <c r="C107" s="23" t="s">
        <v>151</v>
      </c>
      <c r="D107" s="23" t="s">
        <v>168</v>
      </c>
      <c r="E107" s="23" t="s">
        <v>1700</v>
      </c>
      <c r="F107" s="23" t="s">
        <v>12</v>
      </c>
    </row>
    <row r="108" ht="18.5" customHeight="1" spans="1:6">
      <c r="A108" s="22">
        <v>107</v>
      </c>
      <c r="B108" s="22" t="s">
        <v>1806</v>
      </c>
      <c r="C108" s="22" t="s">
        <v>151</v>
      </c>
      <c r="D108" s="22" t="s">
        <v>168</v>
      </c>
      <c r="E108" s="22" t="s">
        <v>1700</v>
      </c>
      <c r="F108" s="22" t="s">
        <v>12</v>
      </c>
    </row>
    <row r="109" ht="18.5" customHeight="1" spans="1:6">
      <c r="A109" s="23">
        <v>108</v>
      </c>
      <c r="B109" s="23" t="s">
        <v>1807</v>
      </c>
      <c r="C109" s="23" t="s">
        <v>151</v>
      </c>
      <c r="D109" s="23" t="s">
        <v>152</v>
      </c>
      <c r="E109" s="23" t="s">
        <v>1700</v>
      </c>
      <c r="F109" s="23" t="s">
        <v>12</v>
      </c>
    </row>
    <row r="110" ht="18.5" customHeight="1" spans="1:6">
      <c r="A110" s="22">
        <v>109</v>
      </c>
      <c r="B110" s="22" t="s">
        <v>1808</v>
      </c>
      <c r="C110" s="22" t="s">
        <v>151</v>
      </c>
      <c r="D110" s="22" t="s">
        <v>179</v>
      </c>
      <c r="E110" s="22" t="s">
        <v>1700</v>
      </c>
      <c r="F110" s="22" t="s">
        <v>12</v>
      </c>
    </row>
    <row r="111" ht="18.5" customHeight="1" spans="1:6">
      <c r="A111" s="23">
        <v>110</v>
      </c>
      <c r="B111" s="23" t="s">
        <v>1809</v>
      </c>
      <c r="C111" s="23" t="s">
        <v>151</v>
      </c>
      <c r="D111" s="23" t="s">
        <v>152</v>
      </c>
      <c r="E111" s="23" t="s">
        <v>1700</v>
      </c>
      <c r="F111" s="23" t="s">
        <v>12</v>
      </c>
    </row>
    <row r="112" ht="18.5" customHeight="1" spans="1:6">
      <c r="A112" s="22">
        <v>111</v>
      </c>
      <c r="B112" s="22" t="s">
        <v>1810</v>
      </c>
      <c r="C112" s="22" t="s">
        <v>151</v>
      </c>
      <c r="D112" s="22" t="s">
        <v>157</v>
      </c>
      <c r="E112" s="22" t="s">
        <v>1700</v>
      </c>
      <c r="F112" s="22" t="s">
        <v>12</v>
      </c>
    </row>
    <row r="113" ht="18.5" customHeight="1" spans="1:6">
      <c r="A113" s="23">
        <v>112</v>
      </c>
      <c r="B113" s="23" t="s">
        <v>1811</v>
      </c>
      <c r="C113" s="23" t="s">
        <v>151</v>
      </c>
      <c r="D113" s="23" t="s">
        <v>187</v>
      </c>
      <c r="E113" s="23" t="s">
        <v>1700</v>
      </c>
      <c r="F113" s="23" t="s">
        <v>12</v>
      </c>
    </row>
    <row r="114" ht="18.5" customHeight="1" spans="1:6">
      <c r="A114" s="22">
        <v>113</v>
      </c>
      <c r="B114" s="22" t="s">
        <v>1812</v>
      </c>
      <c r="C114" s="22" t="s">
        <v>151</v>
      </c>
      <c r="D114" s="22" t="s">
        <v>168</v>
      </c>
      <c r="E114" s="22" t="s">
        <v>1700</v>
      </c>
      <c r="F114" s="22" t="s">
        <v>12</v>
      </c>
    </row>
    <row r="115" ht="18.5" customHeight="1" spans="1:6">
      <c r="A115" s="23">
        <v>114</v>
      </c>
      <c r="B115" s="23" t="s">
        <v>1813</v>
      </c>
      <c r="C115" s="23" t="s">
        <v>151</v>
      </c>
      <c r="D115" s="23" t="s">
        <v>168</v>
      </c>
      <c r="E115" s="23" t="s">
        <v>1700</v>
      </c>
      <c r="F115" s="23" t="s">
        <v>12</v>
      </c>
    </row>
    <row r="116" ht="18.5" customHeight="1" spans="1:6">
      <c r="A116" s="22">
        <v>115</v>
      </c>
      <c r="B116" s="22" t="s">
        <v>1814</v>
      </c>
      <c r="C116" s="22" t="s">
        <v>151</v>
      </c>
      <c r="D116" s="22" t="s">
        <v>179</v>
      </c>
      <c r="E116" s="22" t="s">
        <v>1700</v>
      </c>
      <c r="F116" s="22" t="s">
        <v>12</v>
      </c>
    </row>
    <row r="117" ht="18.5" customHeight="1" spans="1:6">
      <c r="A117" s="23">
        <v>116</v>
      </c>
      <c r="B117" s="23" t="s">
        <v>1815</v>
      </c>
      <c r="C117" s="23" t="s">
        <v>151</v>
      </c>
      <c r="D117" s="23" t="s">
        <v>174</v>
      </c>
      <c r="E117" s="23" t="s">
        <v>1700</v>
      </c>
      <c r="F117" s="23" t="s">
        <v>12</v>
      </c>
    </row>
    <row r="118" ht="18.5" customHeight="1" spans="1:6">
      <c r="A118" s="22">
        <v>117</v>
      </c>
      <c r="B118" s="22" t="s">
        <v>1816</v>
      </c>
      <c r="C118" s="22" t="s">
        <v>151</v>
      </c>
      <c r="D118" s="22" t="s">
        <v>164</v>
      </c>
      <c r="E118" s="22" t="s">
        <v>1700</v>
      </c>
      <c r="F118" s="22" t="s">
        <v>12</v>
      </c>
    </row>
    <row r="119" ht="18.5" customHeight="1" spans="1:6">
      <c r="A119" s="23">
        <v>118</v>
      </c>
      <c r="B119" s="23" t="s">
        <v>1817</v>
      </c>
      <c r="C119" s="23" t="s">
        <v>151</v>
      </c>
      <c r="D119" s="23" t="s">
        <v>152</v>
      </c>
      <c r="E119" s="23" t="s">
        <v>1700</v>
      </c>
      <c r="F119" s="23" t="s">
        <v>12</v>
      </c>
    </row>
    <row r="120" ht="18.5" customHeight="1" spans="1:6">
      <c r="A120" s="22">
        <v>119</v>
      </c>
      <c r="B120" s="22" t="s">
        <v>1818</v>
      </c>
      <c r="C120" s="22" t="s">
        <v>151</v>
      </c>
      <c r="D120" s="22" t="s">
        <v>152</v>
      </c>
      <c r="E120" s="22" t="s">
        <v>1700</v>
      </c>
      <c r="F120" s="22" t="s">
        <v>12</v>
      </c>
    </row>
    <row r="121" ht="18.5" customHeight="1" spans="1:6">
      <c r="A121" s="23">
        <v>120</v>
      </c>
      <c r="B121" s="23" t="s">
        <v>1819</v>
      </c>
      <c r="C121" s="23" t="s">
        <v>151</v>
      </c>
      <c r="D121" s="23" t="s">
        <v>160</v>
      </c>
      <c r="E121" s="23" t="s">
        <v>1700</v>
      </c>
      <c r="F121" s="23" t="s">
        <v>12</v>
      </c>
    </row>
    <row r="122" ht="18.5" customHeight="1" spans="1:6">
      <c r="A122" s="22">
        <v>121</v>
      </c>
      <c r="B122" s="22" t="s">
        <v>1820</v>
      </c>
      <c r="C122" s="22" t="s">
        <v>151</v>
      </c>
      <c r="D122" s="22" t="s">
        <v>164</v>
      </c>
      <c r="E122" s="22" t="s">
        <v>1700</v>
      </c>
      <c r="F122" s="22" t="s">
        <v>12</v>
      </c>
    </row>
    <row r="123" ht="18.5" customHeight="1" spans="1:6">
      <c r="A123" s="23">
        <v>122</v>
      </c>
      <c r="B123" s="23" t="s">
        <v>1821</v>
      </c>
      <c r="C123" s="23" t="s">
        <v>151</v>
      </c>
      <c r="D123" s="23" t="s">
        <v>179</v>
      </c>
      <c r="E123" s="23" t="s">
        <v>1700</v>
      </c>
      <c r="F123" s="23" t="s">
        <v>12</v>
      </c>
    </row>
    <row r="124" ht="18.5" customHeight="1" spans="1:6">
      <c r="A124" s="22">
        <v>123</v>
      </c>
      <c r="B124" s="22" t="s">
        <v>1822</v>
      </c>
      <c r="C124" s="22" t="s">
        <v>151</v>
      </c>
      <c r="D124" s="22" t="s">
        <v>152</v>
      </c>
      <c r="E124" s="22" t="s">
        <v>1700</v>
      </c>
      <c r="F124" s="22" t="s">
        <v>12</v>
      </c>
    </row>
    <row r="125" ht="18.5" customHeight="1" spans="1:6">
      <c r="A125" s="23">
        <v>124</v>
      </c>
      <c r="B125" s="23" t="s">
        <v>1823</v>
      </c>
      <c r="C125" s="23" t="s">
        <v>191</v>
      </c>
      <c r="D125" s="23" t="s">
        <v>194</v>
      </c>
      <c r="E125" s="23" t="s">
        <v>1700</v>
      </c>
      <c r="F125" s="23" t="s">
        <v>12</v>
      </c>
    </row>
    <row r="126" ht="18.5" customHeight="1" spans="1:6">
      <c r="A126" s="22">
        <v>125</v>
      </c>
      <c r="B126" s="22" t="s">
        <v>1824</v>
      </c>
      <c r="C126" s="22" t="s">
        <v>191</v>
      </c>
      <c r="D126" s="22" t="s">
        <v>194</v>
      </c>
      <c r="E126" s="22" t="s">
        <v>1700</v>
      </c>
      <c r="F126" s="22" t="s">
        <v>12</v>
      </c>
    </row>
    <row r="127" ht="18.5" customHeight="1" spans="1:6">
      <c r="A127" s="23">
        <v>126</v>
      </c>
      <c r="B127" s="23" t="s">
        <v>1825</v>
      </c>
      <c r="C127" s="23" t="s">
        <v>191</v>
      </c>
      <c r="D127" s="23" t="s">
        <v>192</v>
      </c>
      <c r="E127" s="23" t="s">
        <v>1700</v>
      </c>
      <c r="F127" s="23" t="s">
        <v>12</v>
      </c>
    </row>
    <row r="128" ht="18.5" customHeight="1" spans="1:6">
      <c r="A128" s="22">
        <v>127</v>
      </c>
      <c r="B128" s="22" t="s">
        <v>1826</v>
      </c>
      <c r="C128" s="22" t="s">
        <v>191</v>
      </c>
      <c r="D128" s="22" t="s">
        <v>192</v>
      </c>
      <c r="E128" s="22" t="s">
        <v>1700</v>
      </c>
      <c r="F128" s="22" t="s">
        <v>12</v>
      </c>
    </row>
    <row r="129" ht="18.5" customHeight="1" spans="1:6">
      <c r="A129" s="23">
        <v>128</v>
      </c>
      <c r="B129" s="23" t="s">
        <v>1827</v>
      </c>
      <c r="C129" s="23" t="s">
        <v>191</v>
      </c>
      <c r="D129" s="23" t="s">
        <v>192</v>
      </c>
      <c r="E129" s="23" t="s">
        <v>1700</v>
      </c>
      <c r="F129" s="23" t="s">
        <v>12</v>
      </c>
    </row>
    <row r="130" ht="18.5" customHeight="1" spans="1:6">
      <c r="A130" s="22">
        <v>129</v>
      </c>
      <c r="B130" s="22" t="s">
        <v>1828</v>
      </c>
      <c r="C130" s="22" t="s">
        <v>191</v>
      </c>
      <c r="D130" s="22" t="s">
        <v>192</v>
      </c>
      <c r="E130" s="22" t="s">
        <v>1700</v>
      </c>
      <c r="F130" s="22" t="s">
        <v>12</v>
      </c>
    </row>
    <row r="131" ht="18.5" customHeight="1" spans="1:6">
      <c r="A131" s="23">
        <v>130</v>
      </c>
      <c r="B131" s="23" t="s">
        <v>1829</v>
      </c>
      <c r="C131" s="23" t="s">
        <v>191</v>
      </c>
      <c r="D131" s="23" t="s">
        <v>1830</v>
      </c>
      <c r="E131" s="23" t="s">
        <v>1700</v>
      </c>
      <c r="F131" s="23" t="s">
        <v>12</v>
      </c>
    </row>
    <row r="132" ht="18.5" customHeight="1" spans="1:6">
      <c r="A132" s="22">
        <v>131</v>
      </c>
      <c r="B132" s="22" t="s">
        <v>1831</v>
      </c>
      <c r="C132" s="22" t="s">
        <v>191</v>
      </c>
      <c r="D132" s="22" t="s">
        <v>192</v>
      </c>
      <c r="E132" s="22" t="s">
        <v>1700</v>
      </c>
      <c r="F132" s="22" t="s">
        <v>12</v>
      </c>
    </row>
    <row r="133" ht="18.5" customHeight="1" spans="1:6">
      <c r="A133" s="23">
        <v>132</v>
      </c>
      <c r="B133" s="23" t="s">
        <v>1832</v>
      </c>
      <c r="C133" s="23" t="s">
        <v>191</v>
      </c>
      <c r="D133" s="23" t="s">
        <v>207</v>
      </c>
      <c r="E133" s="23" t="s">
        <v>1700</v>
      </c>
      <c r="F133" s="23" t="s">
        <v>12</v>
      </c>
    </row>
    <row r="134" ht="18.5" customHeight="1" spans="1:6">
      <c r="A134" s="22">
        <v>133</v>
      </c>
      <c r="B134" s="22" t="s">
        <v>1833</v>
      </c>
      <c r="C134" s="22" t="s">
        <v>191</v>
      </c>
      <c r="D134" s="22" t="s">
        <v>200</v>
      </c>
      <c r="E134" s="22" t="s">
        <v>1700</v>
      </c>
      <c r="F134" s="22" t="s">
        <v>12</v>
      </c>
    </row>
    <row r="135" ht="18.5" customHeight="1" spans="1:6">
      <c r="A135" s="23">
        <v>134</v>
      </c>
      <c r="B135" s="23" t="s">
        <v>1834</v>
      </c>
      <c r="C135" s="23" t="s">
        <v>191</v>
      </c>
      <c r="D135" s="23" t="s">
        <v>200</v>
      </c>
      <c r="E135" s="23" t="s">
        <v>1700</v>
      </c>
      <c r="F135" s="23" t="s">
        <v>12</v>
      </c>
    </row>
    <row r="136" ht="18.5" customHeight="1" spans="1:6">
      <c r="A136" s="22">
        <v>135</v>
      </c>
      <c r="B136" s="22" t="s">
        <v>1835</v>
      </c>
      <c r="C136" s="22" t="s">
        <v>191</v>
      </c>
      <c r="D136" s="22" t="s">
        <v>202</v>
      </c>
      <c r="E136" s="22" t="s">
        <v>1700</v>
      </c>
      <c r="F136" s="22" t="s">
        <v>12</v>
      </c>
    </row>
    <row r="137" ht="18.5" customHeight="1" spans="1:6">
      <c r="A137" s="23">
        <v>136</v>
      </c>
      <c r="B137" s="23" t="s">
        <v>1836</v>
      </c>
      <c r="C137" s="23" t="s">
        <v>191</v>
      </c>
      <c r="D137" s="23" t="s">
        <v>194</v>
      </c>
      <c r="E137" s="23" t="s">
        <v>1700</v>
      </c>
      <c r="F137" s="23" t="s">
        <v>12</v>
      </c>
    </row>
    <row r="138" ht="18.5" customHeight="1" spans="1:6">
      <c r="A138" s="22">
        <v>137</v>
      </c>
      <c r="B138" s="22" t="s">
        <v>1837</v>
      </c>
      <c r="C138" s="22" t="s">
        <v>191</v>
      </c>
      <c r="D138" s="22" t="s">
        <v>1838</v>
      </c>
      <c r="E138" s="22" t="s">
        <v>1700</v>
      </c>
      <c r="F138" s="22" t="s">
        <v>12</v>
      </c>
    </row>
    <row r="139" ht="18.5" customHeight="1" spans="1:6">
      <c r="A139" s="23">
        <v>138</v>
      </c>
      <c r="B139" s="23" t="s">
        <v>1839</v>
      </c>
      <c r="C139" s="23" t="s">
        <v>191</v>
      </c>
      <c r="D139" s="23" t="s">
        <v>194</v>
      </c>
      <c r="E139" s="23" t="s">
        <v>1700</v>
      </c>
      <c r="F139" s="23" t="s">
        <v>12</v>
      </c>
    </row>
    <row r="140" ht="18.5" customHeight="1" spans="1:6">
      <c r="A140" s="22">
        <v>139</v>
      </c>
      <c r="B140" s="22" t="s">
        <v>1840</v>
      </c>
      <c r="C140" s="22" t="s">
        <v>191</v>
      </c>
      <c r="D140" s="22" t="s">
        <v>207</v>
      </c>
      <c r="E140" s="22" t="s">
        <v>1700</v>
      </c>
      <c r="F140" s="22" t="s">
        <v>12</v>
      </c>
    </row>
    <row r="141" ht="18.5" customHeight="1" spans="1:6">
      <c r="A141" s="23">
        <v>140</v>
      </c>
      <c r="B141" s="23" t="s">
        <v>1841</v>
      </c>
      <c r="C141" s="23" t="s">
        <v>191</v>
      </c>
      <c r="D141" s="23" t="s">
        <v>213</v>
      </c>
      <c r="E141" s="23" t="s">
        <v>1700</v>
      </c>
      <c r="F141" s="23" t="s">
        <v>12</v>
      </c>
    </row>
    <row r="142" ht="18.5" customHeight="1" spans="1:6">
      <c r="A142" s="22">
        <v>141</v>
      </c>
      <c r="B142" s="22" t="s">
        <v>1842</v>
      </c>
      <c r="C142" s="22" t="s">
        <v>191</v>
      </c>
      <c r="D142" s="22" t="s">
        <v>205</v>
      </c>
      <c r="E142" s="22" t="s">
        <v>1700</v>
      </c>
      <c r="F142" s="22" t="s">
        <v>12</v>
      </c>
    </row>
    <row r="143" ht="18.5" customHeight="1" spans="1:6">
      <c r="A143" s="23">
        <v>142</v>
      </c>
      <c r="B143" s="23" t="s">
        <v>1843</v>
      </c>
      <c r="C143" s="23" t="s">
        <v>191</v>
      </c>
      <c r="D143" s="23" t="s">
        <v>205</v>
      </c>
      <c r="E143" s="23" t="s">
        <v>1700</v>
      </c>
      <c r="F143" s="23" t="s">
        <v>12</v>
      </c>
    </row>
    <row r="144" ht="18.5" customHeight="1" spans="1:6">
      <c r="A144" s="22">
        <v>143</v>
      </c>
      <c r="B144" s="22" t="s">
        <v>1844</v>
      </c>
      <c r="C144" s="22" t="s">
        <v>191</v>
      </c>
      <c r="D144" s="22" t="s">
        <v>202</v>
      </c>
      <c r="E144" s="22" t="s">
        <v>1700</v>
      </c>
      <c r="F144" s="22" t="s">
        <v>12</v>
      </c>
    </row>
    <row r="145" ht="18.5" customHeight="1" spans="1:6">
      <c r="A145" s="23">
        <v>144</v>
      </c>
      <c r="B145" s="23" t="s">
        <v>1845</v>
      </c>
      <c r="C145" s="23" t="s">
        <v>191</v>
      </c>
      <c r="D145" s="23" t="s">
        <v>1846</v>
      </c>
      <c r="E145" s="23" t="s">
        <v>1700</v>
      </c>
      <c r="F145" s="23" t="s">
        <v>12</v>
      </c>
    </row>
    <row r="146" ht="18.5" customHeight="1" spans="1:6">
      <c r="A146" s="22">
        <v>145</v>
      </c>
      <c r="B146" s="22" t="s">
        <v>1847</v>
      </c>
      <c r="C146" s="22" t="s">
        <v>191</v>
      </c>
      <c r="D146" s="22" t="s">
        <v>213</v>
      </c>
      <c r="E146" s="22" t="s">
        <v>1700</v>
      </c>
      <c r="F146" s="22" t="s">
        <v>12</v>
      </c>
    </row>
    <row r="147" ht="18.5" customHeight="1" spans="1:6">
      <c r="A147" s="23">
        <v>146</v>
      </c>
      <c r="B147" s="23" t="s">
        <v>1848</v>
      </c>
      <c r="C147" s="23" t="s">
        <v>191</v>
      </c>
      <c r="D147" s="23" t="s">
        <v>213</v>
      </c>
      <c r="E147" s="23" t="s">
        <v>1700</v>
      </c>
      <c r="F147" s="23" t="s">
        <v>12</v>
      </c>
    </row>
    <row r="148" ht="18.5" customHeight="1" spans="1:6">
      <c r="A148" s="22">
        <v>147</v>
      </c>
      <c r="B148" s="22" t="s">
        <v>1849</v>
      </c>
      <c r="C148" s="22" t="s">
        <v>191</v>
      </c>
      <c r="D148" s="22" t="s">
        <v>205</v>
      </c>
      <c r="E148" s="22" t="s">
        <v>1700</v>
      </c>
      <c r="F148" s="22" t="s">
        <v>12</v>
      </c>
    </row>
    <row r="149" ht="18.5" customHeight="1" spans="1:6">
      <c r="A149" s="23">
        <v>148</v>
      </c>
      <c r="B149" s="23" t="s">
        <v>1850</v>
      </c>
      <c r="C149" s="23" t="s">
        <v>191</v>
      </c>
      <c r="D149" s="23" t="s">
        <v>202</v>
      </c>
      <c r="E149" s="23" t="s">
        <v>1700</v>
      </c>
      <c r="F149" s="23" t="s">
        <v>12</v>
      </c>
    </row>
    <row r="150" ht="18.5" customHeight="1" spans="1:6">
      <c r="A150" s="22">
        <v>149</v>
      </c>
      <c r="B150" s="22" t="s">
        <v>1851</v>
      </c>
      <c r="C150" s="22" t="s">
        <v>220</v>
      </c>
      <c r="D150" s="22" t="s">
        <v>233</v>
      </c>
      <c r="E150" s="22" t="s">
        <v>1700</v>
      </c>
      <c r="F150" s="22" t="s">
        <v>12</v>
      </c>
    </row>
    <row r="151" ht="18.5" customHeight="1" spans="1:6">
      <c r="A151" s="23">
        <v>150</v>
      </c>
      <c r="B151" s="23" t="s">
        <v>1852</v>
      </c>
      <c r="C151" s="23" t="s">
        <v>220</v>
      </c>
      <c r="D151" s="23" t="s">
        <v>240</v>
      </c>
      <c r="E151" s="23" t="s">
        <v>1700</v>
      </c>
      <c r="F151" s="23" t="s">
        <v>12</v>
      </c>
    </row>
    <row r="152" ht="18.5" customHeight="1" spans="1:6">
      <c r="A152" s="22">
        <v>151</v>
      </c>
      <c r="B152" s="22" t="s">
        <v>1853</v>
      </c>
      <c r="C152" s="22" t="s">
        <v>220</v>
      </c>
      <c r="D152" s="22" t="s">
        <v>269</v>
      </c>
      <c r="E152" s="22" t="s">
        <v>1700</v>
      </c>
      <c r="F152" s="22" t="s">
        <v>12</v>
      </c>
    </row>
    <row r="153" ht="18.5" customHeight="1" spans="1:6">
      <c r="A153" s="23">
        <v>152</v>
      </c>
      <c r="B153" s="23" t="s">
        <v>1854</v>
      </c>
      <c r="C153" s="23" t="s">
        <v>220</v>
      </c>
      <c r="D153" s="23" t="s">
        <v>1855</v>
      </c>
      <c r="E153" s="23" t="s">
        <v>1700</v>
      </c>
      <c r="F153" s="23" t="s">
        <v>12</v>
      </c>
    </row>
    <row r="154" ht="18.5" customHeight="1" spans="1:6">
      <c r="A154" s="22">
        <v>153</v>
      </c>
      <c r="B154" s="22" t="s">
        <v>1856</v>
      </c>
      <c r="C154" s="22" t="s">
        <v>220</v>
      </c>
      <c r="D154" s="22" t="s">
        <v>223</v>
      </c>
      <c r="E154" s="22" t="s">
        <v>1700</v>
      </c>
      <c r="F154" s="22" t="s">
        <v>12</v>
      </c>
    </row>
    <row r="155" ht="18.5" customHeight="1" spans="1:6">
      <c r="A155" s="23">
        <v>154</v>
      </c>
      <c r="B155" s="23" t="s">
        <v>1857</v>
      </c>
      <c r="C155" s="23" t="s">
        <v>220</v>
      </c>
      <c r="D155" s="23" t="s">
        <v>269</v>
      </c>
      <c r="E155" s="23" t="s">
        <v>1700</v>
      </c>
      <c r="F155" s="23" t="s">
        <v>12</v>
      </c>
    </row>
    <row r="156" ht="18.5" customHeight="1" spans="1:6">
      <c r="A156" s="22">
        <v>155</v>
      </c>
      <c r="B156" s="22" t="s">
        <v>1858</v>
      </c>
      <c r="C156" s="22" t="s">
        <v>220</v>
      </c>
      <c r="D156" s="22" t="s">
        <v>233</v>
      </c>
      <c r="E156" s="22" t="s">
        <v>1700</v>
      </c>
      <c r="F156" s="22" t="s">
        <v>12</v>
      </c>
    </row>
    <row r="157" ht="18.5" customHeight="1" spans="1:6">
      <c r="A157" s="23">
        <v>156</v>
      </c>
      <c r="B157" s="23" t="s">
        <v>1859</v>
      </c>
      <c r="C157" s="23" t="s">
        <v>220</v>
      </c>
      <c r="D157" s="23" t="s">
        <v>1303</v>
      </c>
      <c r="E157" s="23" t="s">
        <v>1700</v>
      </c>
      <c r="F157" s="23" t="s">
        <v>12</v>
      </c>
    </row>
    <row r="158" ht="18.5" customHeight="1" spans="1:6">
      <c r="A158" s="22">
        <v>157</v>
      </c>
      <c r="B158" s="22" t="s">
        <v>1860</v>
      </c>
      <c r="C158" s="22" t="s">
        <v>220</v>
      </c>
      <c r="D158" s="22" t="s">
        <v>231</v>
      </c>
      <c r="E158" s="22" t="s">
        <v>1700</v>
      </c>
      <c r="F158" s="22" t="s">
        <v>12</v>
      </c>
    </row>
    <row r="159" ht="18.5" customHeight="1" spans="1:6">
      <c r="A159" s="23">
        <v>158</v>
      </c>
      <c r="B159" s="23" t="s">
        <v>1861</v>
      </c>
      <c r="C159" s="23" t="s">
        <v>220</v>
      </c>
      <c r="D159" s="23" t="s">
        <v>221</v>
      </c>
      <c r="E159" s="23" t="s">
        <v>1700</v>
      </c>
      <c r="F159" s="23" t="s">
        <v>12</v>
      </c>
    </row>
    <row r="160" ht="18.5" customHeight="1" spans="1:6">
      <c r="A160" s="22">
        <v>159</v>
      </c>
      <c r="B160" s="22" t="s">
        <v>1862</v>
      </c>
      <c r="C160" s="22" t="s">
        <v>220</v>
      </c>
      <c r="D160" s="22" t="s">
        <v>223</v>
      </c>
      <c r="E160" s="22" t="s">
        <v>1700</v>
      </c>
      <c r="F160" s="22" t="s">
        <v>12</v>
      </c>
    </row>
    <row r="161" ht="18.5" customHeight="1" spans="1:6">
      <c r="A161" s="23">
        <v>160</v>
      </c>
      <c r="B161" s="23" t="s">
        <v>1863</v>
      </c>
      <c r="C161" s="23" t="s">
        <v>220</v>
      </c>
      <c r="D161" s="23" t="s">
        <v>1864</v>
      </c>
      <c r="E161" s="23" t="s">
        <v>1700</v>
      </c>
      <c r="F161" s="23" t="s">
        <v>12</v>
      </c>
    </row>
    <row r="162" ht="18.5" customHeight="1" spans="1:6">
      <c r="A162" s="22">
        <v>161</v>
      </c>
      <c r="B162" s="22" t="s">
        <v>1865</v>
      </c>
      <c r="C162" s="22" t="s">
        <v>220</v>
      </c>
      <c r="D162" s="22" t="s">
        <v>221</v>
      </c>
      <c r="E162" s="22" t="s">
        <v>1700</v>
      </c>
      <c r="F162" s="22" t="s">
        <v>12</v>
      </c>
    </row>
    <row r="163" ht="18.5" customHeight="1" spans="1:6">
      <c r="A163" s="23">
        <v>162</v>
      </c>
      <c r="B163" s="23" t="s">
        <v>1866</v>
      </c>
      <c r="C163" s="23" t="s">
        <v>220</v>
      </c>
      <c r="D163" s="23" t="s">
        <v>221</v>
      </c>
      <c r="E163" s="23" t="s">
        <v>1700</v>
      </c>
      <c r="F163" s="23" t="s">
        <v>12</v>
      </c>
    </row>
    <row r="164" ht="18.5" customHeight="1" spans="1:6">
      <c r="A164" s="22">
        <v>163</v>
      </c>
      <c r="B164" s="22" t="s">
        <v>1867</v>
      </c>
      <c r="C164" s="22" t="s">
        <v>220</v>
      </c>
      <c r="D164" s="22" t="s">
        <v>1855</v>
      </c>
      <c r="E164" s="22" t="s">
        <v>1700</v>
      </c>
      <c r="F164" s="22" t="s">
        <v>12</v>
      </c>
    </row>
    <row r="165" ht="18.5" customHeight="1" spans="1:6">
      <c r="A165" s="23">
        <v>164</v>
      </c>
      <c r="B165" s="23" t="s">
        <v>1868</v>
      </c>
      <c r="C165" s="23" t="s">
        <v>220</v>
      </c>
      <c r="D165" s="23" t="s">
        <v>221</v>
      </c>
      <c r="E165" s="23" t="s">
        <v>1700</v>
      </c>
      <c r="F165" s="23" t="s">
        <v>12</v>
      </c>
    </row>
    <row r="166" ht="18.5" customHeight="1" spans="1:6">
      <c r="A166" s="22">
        <v>165</v>
      </c>
      <c r="B166" s="22" t="s">
        <v>1869</v>
      </c>
      <c r="C166" s="22" t="s">
        <v>220</v>
      </c>
      <c r="D166" s="22" t="s">
        <v>221</v>
      </c>
      <c r="E166" s="22" t="s">
        <v>1700</v>
      </c>
      <c r="F166" s="22" t="s">
        <v>12</v>
      </c>
    </row>
    <row r="167" ht="18.5" customHeight="1" spans="1:6">
      <c r="A167" s="23">
        <v>166</v>
      </c>
      <c r="B167" s="23" t="s">
        <v>1870</v>
      </c>
      <c r="C167" s="23" t="s">
        <v>220</v>
      </c>
      <c r="D167" s="23" t="s">
        <v>221</v>
      </c>
      <c r="E167" s="23" t="s">
        <v>1700</v>
      </c>
      <c r="F167" s="23" t="s">
        <v>12</v>
      </c>
    </row>
    <row r="168" ht="18.5" customHeight="1" spans="1:6">
      <c r="A168" s="22">
        <v>167</v>
      </c>
      <c r="B168" s="22" t="s">
        <v>1871</v>
      </c>
      <c r="C168" s="22" t="s">
        <v>220</v>
      </c>
      <c r="D168" s="22" t="s">
        <v>221</v>
      </c>
      <c r="E168" s="22" t="s">
        <v>1700</v>
      </c>
      <c r="F168" s="22" t="s">
        <v>12</v>
      </c>
    </row>
    <row r="169" ht="18.5" customHeight="1" spans="1:6">
      <c r="A169" s="23">
        <v>168</v>
      </c>
      <c r="B169" s="23" t="s">
        <v>1872</v>
      </c>
      <c r="C169" s="23" t="s">
        <v>220</v>
      </c>
      <c r="D169" s="23" t="s">
        <v>266</v>
      </c>
      <c r="E169" s="23" t="s">
        <v>1700</v>
      </c>
      <c r="F169" s="23" t="s">
        <v>12</v>
      </c>
    </row>
    <row r="170" ht="18.5" customHeight="1" spans="1:6">
      <c r="A170" s="22">
        <v>169</v>
      </c>
      <c r="B170" s="22" t="s">
        <v>1873</v>
      </c>
      <c r="C170" s="22" t="s">
        <v>220</v>
      </c>
      <c r="D170" s="22" t="s">
        <v>221</v>
      </c>
      <c r="E170" s="22" t="s">
        <v>1700</v>
      </c>
      <c r="F170" s="22" t="s">
        <v>12</v>
      </c>
    </row>
    <row r="171" ht="18.5" customHeight="1" spans="1:6">
      <c r="A171" s="23">
        <v>170</v>
      </c>
      <c r="B171" s="23" t="s">
        <v>1874</v>
      </c>
      <c r="C171" s="23" t="s">
        <v>220</v>
      </c>
      <c r="D171" s="23" t="s">
        <v>240</v>
      </c>
      <c r="E171" s="23" t="s">
        <v>1700</v>
      </c>
      <c r="F171" s="23" t="s">
        <v>12</v>
      </c>
    </row>
    <row r="172" ht="18.5" customHeight="1" spans="1:6">
      <c r="A172" s="22">
        <v>171</v>
      </c>
      <c r="B172" s="22" t="s">
        <v>1875</v>
      </c>
      <c r="C172" s="22" t="s">
        <v>220</v>
      </c>
      <c r="D172" s="22" t="s">
        <v>1321</v>
      </c>
      <c r="E172" s="22" t="s">
        <v>1700</v>
      </c>
      <c r="F172" s="22" t="s">
        <v>12</v>
      </c>
    </row>
    <row r="173" ht="18.5" customHeight="1" spans="1:6">
      <c r="A173" s="23">
        <v>172</v>
      </c>
      <c r="B173" s="23" t="s">
        <v>1876</v>
      </c>
      <c r="C173" s="23" t="s">
        <v>220</v>
      </c>
      <c r="D173" s="23" t="s">
        <v>221</v>
      </c>
      <c r="E173" s="23" t="s">
        <v>1700</v>
      </c>
      <c r="F173" s="23" t="s">
        <v>12</v>
      </c>
    </row>
    <row r="174" ht="18.5" customHeight="1" spans="1:6">
      <c r="A174" s="22">
        <v>173</v>
      </c>
      <c r="B174" s="22" t="s">
        <v>1877</v>
      </c>
      <c r="C174" s="22" t="s">
        <v>220</v>
      </c>
      <c r="D174" s="22" t="s">
        <v>221</v>
      </c>
      <c r="E174" s="22" t="s">
        <v>1700</v>
      </c>
      <c r="F174" s="22" t="s">
        <v>12</v>
      </c>
    </row>
    <row r="175" ht="18.5" customHeight="1" spans="1:6">
      <c r="A175" s="23">
        <v>174</v>
      </c>
      <c r="B175" s="23" t="s">
        <v>1878</v>
      </c>
      <c r="C175" s="23" t="s">
        <v>220</v>
      </c>
      <c r="D175" s="23" t="s">
        <v>1864</v>
      </c>
      <c r="E175" s="23" t="s">
        <v>1700</v>
      </c>
      <c r="F175" s="23" t="s">
        <v>12</v>
      </c>
    </row>
    <row r="176" ht="18.5" customHeight="1" spans="1:6">
      <c r="A176" s="22">
        <v>175</v>
      </c>
      <c r="B176" s="22" t="s">
        <v>1879</v>
      </c>
      <c r="C176" s="22" t="s">
        <v>220</v>
      </c>
      <c r="D176" s="22" t="s">
        <v>266</v>
      </c>
      <c r="E176" s="22" t="s">
        <v>1700</v>
      </c>
      <c r="F176" s="22" t="s">
        <v>12</v>
      </c>
    </row>
    <row r="177" ht="18.5" customHeight="1" spans="1:6">
      <c r="A177" s="23">
        <v>176</v>
      </c>
      <c r="B177" s="23" t="s">
        <v>1880</v>
      </c>
      <c r="C177" s="23" t="s">
        <v>220</v>
      </c>
      <c r="D177" s="23" t="s">
        <v>240</v>
      </c>
      <c r="E177" s="23" t="s">
        <v>1700</v>
      </c>
      <c r="F177" s="23" t="s">
        <v>12</v>
      </c>
    </row>
    <row r="178" ht="18.5" customHeight="1" spans="1:6">
      <c r="A178" s="22">
        <v>177</v>
      </c>
      <c r="B178" s="22" t="s">
        <v>1881</v>
      </c>
      <c r="C178" s="22" t="s">
        <v>220</v>
      </c>
      <c r="D178" s="22" t="s">
        <v>1303</v>
      </c>
      <c r="E178" s="22" t="s">
        <v>1700</v>
      </c>
      <c r="F178" s="22" t="s">
        <v>12</v>
      </c>
    </row>
    <row r="179" ht="18.5" customHeight="1" spans="1:6">
      <c r="A179" s="23">
        <v>178</v>
      </c>
      <c r="B179" s="23" t="s">
        <v>1882</v>
      </c>
      <c r="C179" s="23" t="s">
        <v>220</v>
      </c>
      <c r="D179" s="23" t="s">
        <v>221</v>
      </c>
      <c r="E179" s="23" t="s">
        <v>1700</v>
      </c>
      <c r="F179" s="23" t="s">
        <v>12</v>
      </c>
    </row>
    <row r="180" ht="18.5" customHeight="1" spans="1:6">
      <c r="A180" s="22">
        <v>179</v>
      </c>
      <c r="B180" s="22" t="s">
        <v>1883</v>
      </c>
      <c r="C180" s="22" t="s">
        <v>220</v>
      </c>
      <c r="D180" s="22" t="s">
        <v>262</v>
      </c>
      <c r="E180" s="22" t="s">
        <v>1700</v>
      </c>
      <c r="F180" s="22" t="s">
        <v>12</v>
      </c>
    </row>
    <row r="181" ht="18.5" customHeight="1" spans="1:6">
      <c r="A181" s="23">
        <v>180</v>
      </c>
      <c r="B181" s="23" t="s">
        <v>1884</v>
      </c>
      <c r="C181" s="23" t="s">
        <v>220</v>
      </c>
      <c r="D181" s="23" t="s">
        <v>1855</v>
      </c>
      <c r="E181" s="23" t="s">
        <v>1700</v>
      </c>
      <c r="F181" s="23" t="s">
        <v>12</v>
      </c>
    </row>
    <row r="182" ht="18.5" customHeight="1" spans="1:6">
      <c r="A182" s="22">
        <v>181</v>
      </c>
      <c r="B182" s="22" t="s">
        <v>1885</v>
      </c>
      <c r="C182" s="22" t="s">
        <v>220</v>
      </c>
      <c r="D182" s="22" t="s">
        <v>221</v>
      </c>
      <c r="E182" s="22" t="s">
        <v>1700</v>
      </c>
      <c r="F182" s="22" t="s">
        <v>12</v>
      </c>
    </row>
    <row r="183" ht="18.5" customHeight="1" spans="1:6">
      <c r="A183" s="23">
        <v>182</v>
      </c>
      <c r="B183" s="23" t="s">
        <v>1886</v>
      </c>
      <c r="C183" s="23" t="s">
        <v>220</v>
      </c>
      <c r="D183" s="23" t="s">
        <v>221</v>
      </c>
      <c r="E183" s="23" t="s">
        <v>1700</v>
      </c>
      <c r="F183" s="23" t="s">
        <v>12</v>
      </c>
    </row>
    <row r="184" ht="18.5" customHeight="1" spans="1:6">
      <c r="A184" s="22">
        <v>183</v>
      </c>
      <c r="B184" s="22" t="s">
        <v>1887</v>
      </c>
      <c r="C184" s="22" t="s">
        <v>220</v>
      </c>
      <c r="D184" s="22" t="s">
        <v>1855</v>
      </c>
      <c r="E184" s="22" t="s">
        <v>1700</v>
      </c>
      <c r="F184" s="22" t="s">
        <v>12</v>
      </c>
    </row>
    <row r="185" ht="18.5" customHeight="1" spans="1:6">
      <c r="A185" s="23">
        <v>184</v>
      </c>
      <c r="B185" s="23" t="s">
        <v>1888</v>
      </c>
      <c r="C185" s="23" t="s">
        <v>220</v>
      </c>
      <c r="D185" s="23" t="s">
        <v>221</v>
      </c>
      <c r="E185" s="23" t="s">
        <v>1700</v>
      </c>
      <c r="F185" s="23" t="s">
        <v>12</v>
      </c>
    </row>
    <row r="186" ht="18.5" customHeight="1" spans="1:6">
      <c r="A186" s="22">
        <v>185</v>
      </c>
      <c r="B186" s="22" t="s">
        <v>1889</v>
      </c>
      <c r="C186" s="22" t="s">
        <v>220</v>
      </c>
      <c r="D186" s="22" t="s">
        <v>221</v>
      </c>
      <c r="E186" s="22" t="s">
        <v>1700</v>
      </c>
      <c r="F186" s="22" t="s">
        <v>12</v>
      </c>
    </row>
    <row r="187" ht="18.5" customHeight="1" spans="1:6">
      <c r="A187" s="23">
        <v>186</v>
      </c>
      <c r="B187" s="23" t="s">
        <v>1890</v>
      </c>
      <c r="C187" s="23" t="s">
        <v>220</v>
      </c>
      <c r="D187" s="23" t="s">
        <v>223</v>
      </c>
      <c r="E187" s="23" t="s">
        <v>1700</v>
      </c>
      <c r="F187" s="23" t="s">
        <v>12</v>
      </c>
    </row>
    <row r="188" ht="18.5" customHeight="1" spans="1:6">
      <c r="A188" s="22">
        <v>187</v>
      </c>
      <c r="B188" s="22" t="s">
        <v>1891</v>
      </c>
      <c r="C188" s="22" t="s">
        <v>220</v>
      </c>
      <c r="D188" s="22" t="s">
        <v>221</v>
      </c>
      <c r="E188" s="22" t="s">
        <v>1700</v>
      </c>
      <c r="F188" s="22" t="s">
        <v>12</v>
      </c>
    </row>
    <row r="189" ht="18.5" customHeight="1" spans="1:6">
      <c r="A189" s="23">
        <v>188</v>
      </c>
      <c r="B189" s="23" t="s">
        <v>1892</v>
      </c>
      <c r="C189" s="23" t="s">
        <v>220</v>
      </c>
      <c r="D189" s="23" t="s">
        <v>221</v>
      </c>
      <c r="E189" s="23" t="s">
        <v>1700</v>
      </c>
      <c r="F189" s="23" t="s">
        <v>12</v>
      </c>
    </row>
    <row r="190" ht="18.5" customHeight="1" spans="1:6">
      <c r="A190" s="22">
        <v>189</v>
      </c>
      <c r="B190" s="22" t="s">
        <v>1893</v>
      </c>
      <c r="C190" s="22" t="s">
        <v>220</v>
      </c>
      <c r="D190" s="22" t="s">
        <v>229</v>
      </c>
      <c r="E190" s="22" t="s">
        <v>1700</v>
      </c>
      <c r="F190" s="22" t="s">
        <v>12</v>
      </c>
    </row>
    <row r="191" ht="18.5" customHeight="1" spans="1:6">
      <c r="A191" s="23">
        <v>190</v>
      </c>
      <c r="B191" s="23" t="s">
        <v>1894</v>
      </c>
      <c r="C191" s="23" t="s">
        <v>273</v>
      </c>
      <c r="D191" s="23" t="s">
        <v>274</v>
      </c>
      <c r="E191" s="23" t="s">
        <v>1700</v>
      </c>
      <c r="F191" s="23" t="s">
        <v>12</v>
      </c>
    </row>
    <row r="192" ht="18.5" customHeight="1" spans="1:6">
      <c r="A192" s="22">
        <v>191</v>
      </c>
      <c r="B192" s="22" t="s">
        <v>1895</v>
      </c>
      <c r="C192" s="22" t="s">
        <v>273</v>
      </c>
      <c r="D192" s="22" t="s">
        <v>1896</v>
      </c>
      <c r="E192" s="22" t="s">
        <v>1700</v>
      </c>
      <c r="F192" s="22" t="s">
        <v>12</v>
      </c>
    </row>
    <row r="193" ht="18.5" customHeight="1" spans="1:6">
      <c r="A193" s="23">
        <v>192</v>
      </c>
      <c r="B193" s="23" t="s">
        <v>1897</v>
      </c>
      <c r="C193" s="23" t="s">
        <v>273</v>
      </c>
      <c r="D193" s="23" t="s">
        <v>290</v>
      </c>
      <c r="E193" s="23" t="s">
        <v>1700</v>
      </c>
      <c r="F193" s="23" t="s">
        <v>12</v>
      </c>
    </row>
    <row r="194" ht="18.5" customHeight="1" spans="1:6">
      <c r="A194" s="22">
        <v>193</v>
      </c>
      <c r="B194" s="22" t="s">
        <v>1898</v>
      </c>
      <c r="C194" s="22" t="s">
        <v>273</v>
      </c>
      <c r="D194" s="22" t="s">
        <v>274</v>
      </c>
      <c r="E194" s="22" t="s">
        <v>1700</v>
      </c>
      <c r="F194" s="22" t="s">
        <v>12</v>
      </c>
    </row>
    <row r="195" ht="18.5" customHeight="1" spans="1:6">
      <c r="A195" s="23">
        <v>194</v>
      </c>
      <c r="B195" s="23" t="s">
        <v>1899</v>
      </c>
      <c r="C195" s="23" t="s">
        <v>273</v>
      </c>
      <c r="D195" s="23" t="s">
        <v>274</v>
      </c>
      <c r="E195" s="23" t="s">
        <v>1700</v>
      </c>
      <c r="F195" s="23" t="s">
        <v>12</v>
      </c>
    </row>
    <row r="196" ht="18.5" customHeight="1" spans="1:6">
      <c r="A196" s="22">
        <v>195</v>
      </c>
      <c r="B196" s="22" t="s">
        <v>1900</v>
      </c>
      <c r="C196" s="22" t="s">
        <v>273</v>
      </c>
      <c r="D196" s="22" t="s">
        <v>274</v>
      </c>
      <c r="E196" s="22" t="s">
        <v>1700</v>
      </c>
      <c r="F196" s="22" t="s">
        <v>12</v>
      </c>
    </row>
    <row r="197" ht="18.5" customHeight="1" spans="1:6">
      <c r="A197" s="23">
        <v>196</v>
      </c>
      <c r="B197" s="23" t="s">
        <v>1901</v>
      </c>
      <c r="C197" s="23" t="s">
        <v>273</v>
      </c>
      <c r="D197" s="23" t="s">
        <v>274</v>
      </c>
      <c r="E197" s="23" t="s">
        <v>1700</v>
      </c>
      <c r="F197" s="23" t="s">
        <v>12</v>
      </c>
    </row>
    <row r="198" ht="18.5" customHeight="1" spans="1:6">
      <c r="A198" s="22">
        <v>197</v>
      </c>
      <c r="B198" s="22" t="s">
        <v>1902</v>
      </c>
      <c r="C198" s="22" t="s">
        <v>273</v>
      </c>
      <c r="D198" s="22" t="s">
        <v>279</v>
      </c>
      <c r="E198" s="22" t="s">
        <v>1700</v>
      </c>
      <c r="F198" s="22" t="s">
        <v>12</v>
      </c>
    </row>
    <row r="199" ht="18.5" customHeight="1" spans="1:6">
      <c r="A199" s="23">
        <v>198</v>
      </c>
      <c r="B199" s="23" t="s">
        <v>1903</v>
      </c>
      <c r="C199" s="23" t="s">
        <v>273</v>
      </c>
      <c r="D199" s="23" t="s">
        <v>279</v>
      </c>
      <c r="E199" s="23" t="s">
        <v>1700</v>
      </c>
      <c r="F199" s="23" t="s">
        <v>12</v>
      </c>
    </row>
    <row r="200" ht="18.5" customHeight="1" spans="1:6">
      <c r="A200" s="22">
        <v>199</v>
      </c>
      <c r="B200" s="22" t="s">
        <v>1904</v>
      </c>
      <c r="C200" s="22" t="s">
        <v>273</v>
      </c>
      <c r="D200" s="22" t="s">
        <v>290</v>
      </c>
      <c r="E200" s="22" t="s">
        <v>1700</v>
      </c>
      <c r="F200" s="22" t="s">
        <v>12</v>
      </c>
    </row>
    <row r="201" ht="18.5" customHeight="1" spans="1:6">
      <c r="A201" s="23">
        <v>200</v>
      </c>
      <c r="B201" s="23" t="s">
        <v>1905</v>
      </c>
      <c r="C201" s="23" t="s">
        <v>273</v>
      </c>
      <c r="D201" s="23" t="s">
        <v>294</v>
      </c>
      <c r="E201" s="23" t="s">
        <v>1700</v>
      </c>
      <c r="F201" s="23" t="s">
        <v>12</v>
      </c>
    </row>
    <row r="202" ht="18.5" customHeight="1" spans="1:6">
      <c r="A202" s="22">
        <v>201</v>
      </c>
      <c r="B202" s="22" t="s">
        <v>1906</v>
      </c>
      <c r="C202" s="22" t="s">
        <v>273</v>
      </c>
      <c r="D202" s="22" t="s">
        <v>1907</v>
      </c>
      <c r="E202" s="22" t="s">
        <v>1700</v>
      </c>
      <c r="F202" s="22" t="s">
        <v>12</v>
      </c>
    </row>
    <row r="203" ht="18.5" customHeight="1" spans="1:6">
      <c r="A203" s="23">
        <v>202</v>
      </c>
      <c r="B203" s="23" t="s">
        <v>1908</v>
      </c>
      <c r="C203" s="23" t="s">
        <v>273</v>
      </c>
      <c r="D203" s="23" t="s">
        <v>294</v>
      </c>
      <c r="E203" s="23" t="s">
        <v>1700</v>
      </c>
      <c r="F203" s="23" t="s">
        <v>12</v>
      </c>
    </row>
    <row r="204" ht="18.5" customHeight="1" spans="1:6">
      <c r="A204" s="22">
        <v>203</v>
      </c>
      <c r="B204" s="22" t="s">
        <v>1909</v>
      </c>
      <c r="C204" s="22" t="s">
        <v>273</v>
      </c>
      <c r="D204" s="22" t="s">
        <v>1910</v>
      </c>
      <c r="E204" s="22" t="s">
        <v>1700</v>
      </c>
      <c r="F204" s="22" t="s">
        <v>12</v>
      </c>
    </row>
    <row r="205" ht="18.5" customHeight="1" spans="1:6">
      <c r="A205" s="23">
        <v>204</v>
      </c>
      <c r="B205" s="23" t="s">
        <v>1911</v>
      </c>
      <c r="C205" s="23" t="s">
        <v>273</v>
      </c>
      <c r="D205" s="23" t="s">
        <v>276</v>
      </c>
      <c r="E205" s="23" t="s">
        <v>1700</v>
      </c>
      <c r="F205" s="23" t="s">
        <v>12</v>
      </c>
    </row>
    <row r="206" ht="18.5" customHeight="1" spans="1:6">
      <c r="A206" s="22">
        <v>205</v>
      </c>
      <c r="B206" s="22" t="s">
        <v>1912</v>
      </c>
      <c r="C206" s="22" t="s">
        <v>273</v>
      </c>
      <c r="D206" s="22" t="s">
        <v>274</v>
      </c>
      <c r="E206" s="22" t="s">
        <v>1700</v>
      </c>
      <c r="F206" s="22" t="s">
        <v>12</v>
      </c>
    </row>
    <row r="207" ht="18.5" customHeight="1" spans="1:6">
      <c r="A207" s="23">
        <v>206</v>
      </c>
      <c r="B207" s="23" t="s">
        <v>1913</v>
      </c>
      <c r="C207" s="23" t="s">
        <v>273</v>
      </c>
      <c r="D207" s="23" t="s">
        <v>279</v>
      </c>
      <c r="E207" s="23" t="s">
        <v>1700</v>
      </c>
      <c r="F207" s="23" t="s">
        <v>12</v>
      </c>
    </row>
    <row r="208" ht="18.5" customHeight="1" spans="1:6">
      <c r="A208" s="22">
        <v>207</v>
      </c>
      <c r="B208" s="22" t="s">
        <v>1914</v>
      </c>
      <c r="C208" s="22" t="s">
        <v>273</v>
      </c>
      <c r="D208" s="22" t="s">
        <v>288</v>
      </c>
      <c r="E208" s="22" t="s">
        <v>1700</v>
      </c>
      <c r="F208" s="22" t="s">
        <v>12</v>
      </c>
    </row>
    <row r="209" ht="18.5" customHeight="1" spans="1:6">
      <c r="A209" s="23">
        <v>208</v>
      </c>
      <c r="B209" s="23" t="s">
        <v>1915</v>
      </c>
      <c r="C209" s="23" t="s">
        <v>308</v>
      </c>
      <c r="D209" s="23" t="s">
        <v>327</v>
      </c>
      <c r="E209" s="23" t="s">
        <v>1700</v>
      </c>
      <c r="F209" s="23" t="s">
        <v>12</v>
      </c>
    </row>
    <row r="210" ht="18.5" customHeight="1" spans="1:6">
      <c r="A210" s="22">
        <v>209</v>
      </c>
      <c r="B210" s="22" t="s">
        <v>1916</v>
      </c>
      <c r="C210" s="22" t="s">
        <v>308</v>
      </c>
      <c r="D210" s="22" t="s">
        <v>1917</v>
      </c>
      <c r="E210" s="22" t="s">
        <v>1700</v>
      </c>
      <c r="F210" s="22" t="s">
        <v>12</v>
      </c>
    </row>
    <row r="211" ht="18.5" customHeight="1" spans="1:6">
      <c r="A211" s="23">
        <v>210</v>
      </c>
      <c r="B211" s="23" t="s">
        <v>1918</v>
      </c>
      <c r="C211" s="23" t="s">
        <v>308</v>
      </c>
      <c r="D211" s="23" t="s">
        <v>324</v>
      </c>
      <c r="E211" s="23" t="s">
        <v>1700</v>
      </c>
      <c r="F211" s="23" t="s">
        <v>12</v>
      </c>
    </row>
    <row r="212" ht="18.5" customHeight="1" spans="1:6">
      <c r="A212" s="22">
        <v>211</v>
      </c>
      <c r="B212" s="22" t="s">
        <v>1919</v>
      </c>
      <c r="C212" s="22" t="s">
        <v>308</v>
      </c>
      <c r="D212" s="22" t="s">
        <v>309</v>
      </c>
      <c r="E212" s="22" t="s">
        <v>1700</v>
      </c>
      <c r="F212" s="22" t="s">
        <v>12</v>
      </c>
    </row>
    <row r="213" ht="18.5" customHeight="1" spans="1:6">
      <c r="A213" s="23">
        <v>212</v>
      </c>
      <c r="B213" s="23" t="s">
        <v>1920</v>
      </c>
      <c r="C213" s="23" t="s">
        <v>308</v>
      </c>
      <c r="D213" s="23" t="s">
        <v>309</v>
      </c>
      <c r="E213" s="23" t="s">
        <v>1700</v>
      </c>
      <c r="F213" s="23" t="s">
        <v>12</v>
      </c>
    </row>
    <row r="214" ht="18.5" customHeight="1" spans="1:6">
      <c r="A214" s="22">
        <v>213</v>
      </c>
      <c r="B214" s="22" t="s">
        <v>1921</v>
      </c>
      <c r="C214" s="22" t="s">
        <v>308</v>
      </c>
      <c r="D214" s="22" t="s">
        <v>315</v>
      </c>
      <c r="E214" s="22" t="s">
        <v>1700</v>
      </c>
      <c r="F214" s="22" t="s">
        <v>12</v>
      </c>
    </row>
    <row r="215" ht="18.5" customHeight="1" spans="1:6">
      <c r="A215" s="23">
        <v>214</v>
      </c>
      <c r="B215" s="23" t="s">
        <v>1922</v>
      </c>
      <c r="C215" s="23" t="s">
        <v>308</v>
      </c>
      <c r="D215" s="23" t="s">
        <v>324</v>
      </c>
      <c r="E215" s="23" t="s">
        <v>1700</v>
      </c>
      <c r="F215" s="23" t="s">
        <v>12</v>
      </c>
    </row>
    <row r="216" ht="18.5" customHeight="1" spans="1:6">
      <c r="A216" s="22">
        <v>215</v>
      </c>
      <c r="B216" s="22" t="s">
        <v>1923</v>
      </c>
      <c r="C216" s="22" t="s">
        <v>308</v>
      </c>
      <c r="D216" s="22" t="s">
        <v>317</v>
      </c>
      <c r="E216" s="22" t="s">
        <v>1700</v>
      </c>
      <c r="F216" s="22" t="s">
        <v>12</v>
      </c>
    </row>
    <row r="217" ht="18.5" customHeight="1" spans="1:6">
      <c r="A217" s="23">
        <v>216</v>
      </c>
      <c r="B217" s="23" t="s">
        <v>1924</v>
      </c>
      <c r="C217" s="23" t="s">
        <v>308</v>
      </c>
      <c r="D217" s="23" t="s">
        <v>309</v>
      </c>
      <c r="E217" s="23" t="s">
        <v>1700</v>
      </c>
      <c r="F217" s="23" t="s">
        <v>12</v>
      </c>
    </row>
    <row r="218" ht="18.5" customHeight="1" spans="1:6">
      <c r="A218" s="22">
        <v>217</v>
      </c>
      <c r="B218" s="22" t="s">
        <v>1925</v>
      </c>
      <c r="C218" s="22" t="s">
        <v>308</v>
      </c>
      <c r="D218" s="22" t="s">
        <v>309</v>
      </c>
      <c r="E218" s="22" t="s">
        <v>1700</v>
      </c>
      <c r="F218" s="22" t="s">
        <v>12</v>
      </c>
    </row>
    <row r="219" ht="18.5" customHeight="1" spans="1:6">
      <c r="A219" s="23">
        <v>218</v>
      </c>
      <c r="B219" s="23" t="s">
        <v>1926</v>
      </c>
      <c r="C219" s="23" t="s">
        <v>308</v>
      </c>
      <c r="D219" s="23" t="s">
        <v>1927</v>
      </c>
      <c r="E219" s="23" t="s">
        <v>1700</v>
      </c>
      <c r="F219" s="23" t="s">
        <v>12</v>
      </c>
    </row>
    <row r="220" ht="18.5" customHeight="1" spans="1:6">
      <c r="A220" s="22">
        <v>219</v>
      </c>
      <c r="B220" s="22" t="s">
        <v>1928</v>
      </c>
      <c r="C220" s="22" t="s">
        <v>308</v>
      </c>
      <c r="D220" s="22" t="s">
        <v>309</v>
      </c>
      <c r="E220" s="22" t="s">
        <v>1700</v>
      </c>
      <c r="F220" s="22" t="s">
        <v>12</v>
      </c>
    </row>
    <row r="221" ht="18.5" customHeight="1" spans="1:6">
      <c r="A221" s="23">
        <v>220</v>
      </c>
      <c r="B221" s="23" t="s">
        <v>1929</v>
      </c>
      <c r="C221" s="23" t="s">
        <v>308</v>
      </c>
      <c r="D221" s="23" t="s">
        <v>309</v>
      </c>
      <c r="E221" s="23" t="s">
        <v>1700</v>
      </c>
      <c r="F221" s="23" t="s">
        <v>12</v>
      </c>
    </row>
    <row r="222" ht="18.5" customHeight="1" spans="1:6">
      <c r="A222" s="22">
        <v>221</v>
      </c>
      <c r="B222" s="22" t="s">
        <v>1930</v>
      </c>
      <c r="C222" s="22" t="s">
        <v>308</v>
      </c>
      <c r="D222" s="22" t="s">
        <v>1931</v>
      </c>
      <c r="E222" s="22" t="s">
        <v>1700</v>
      </c>
      <c r="F222" s="22" t="s">
        <v>12</v>
      </c>
    </row>
    <row r="223" ht="18.5" customHeight="1" spans="1:6">
      <c r="A223" s="23">
        <v>222</v>
      </c>
      <c r="B223" s="23" t="s">
        <v>1932</v>
      </c>
      <c r="C223" s="23" t="s">
        <v>308</v>
      </c>
      <c r="D223" s="23" t="s">
        <v>324</v>
      </c>
      <c r="E223" s="23" t="s">
        <v>1700</v>
      </c>
      <c r="F223" s="23" t="s">
        <v>12</v>
      </c>
    </row>
    <row r="224" ht="18.5" customHeight="1" spans="1:6">
      <c r="A224" s="22">
        <v>223</v>
      </c>
      <c r="B224" s="22" t="s">
        <v>1933</v>
      </c>
      <c r="C224" s="22" t="s">
        <v>308</v>
      </c>
      <c r="D224" s="22" t="s">
        <v>324</v>
      </c>
      <c r="E224" s="22" t="s">
        <v>1700</v>
      </c>
      <c r="F224" s="22" t="s">
        <v>12</v>
      </c>
    </row>
    <row r="225" ht="18.5" customHeight="1" spans="1:6">
      <c r="A225" s="23">
        <v>224</v>
      </c>
      <c r="B225" s="23" t="s">
        <v>1934</v>
      </c>
      <c r="C225" s="23" t="s">
        <v>308</v>
      </c>
      <c r="D225" s="23" t="s">
        <v>309</v>
      </c>
      <c r="E225" s="23" t="s">
        <v>1700</v>
      </c>
      <c r="F225" s="23" t="s">
        <v>12</v>
      </c>
    </row>
    <row r="226" ht="18.5" customHeight="1" spans="1:6">
      <c r="A226" s="22">
        <v>225</v>
      </c>
      <c r="B226" s="22" t="s">
        <v>1935</v>
      </c>
      <c r="C226" s="22" t="s">
        <v>308</v>
      </c>
      <c r="D226" s="22" t="s">
        <v>309</v>
      </c>
      <c r="E226" s="22" t="s">
        <v>1700</v>
      </c>
      <c r="F226" s="22" t="s">
        <v>12</v>
      </c>
    </row>
    <row r="227" ht="18.5" customHeight="1" spans="1:6">
      <c r="A227" s="23">
        <v>226</v>
      </c>
      <c r="B227" s="23" t="s">
        <v>1936</v>
      </c>
      <c r="C227" s="23" t="s">
        <v>308</v>
      </c>
      <c r="D227" s="23" t="s">
        <v>309</v>
      </c>
      <c r="E227" s="23" t="s">
        <v>1700</v>
      </c>
      <c r="F227" s="23" t="s">
        <v>12</v>
      </c>
    </row>
    <row r="228" ht="18.5" customHeight="1" spans="1:6">
      <c r="A228" s="22">
        <v>227</v>
      </c>
      <c r="B228" s="22" t="s">
        <v>1937</v>
      </c>
      <c r="C228" s="22" t="s">
        <v>308</v>
      </c>
      <c r="D228" s="22" t="s">
        <v>1938</v>
      </c>
      <c r="E228" s="22" t="s">
        <v>1700</v>
      </c>
      <c r="F228" s="22" t="s">
        <v>12</v>
      </c>
    </row>
    <row r="229" ht="18.5" customHeight="1" spans="1:6">
      <c r="A229" s="23">
        <v>228</v>
      </c>
      <c r="B229" s="23" t="s">
        <v>1939</v>
      </c>
      <c r="C229" s="23" t="s">
        <v>308</v>
      </c>
      <c r="D229" s="23" t="s">
        <v>1940</v>
      </c>
      <c r="E229" s="23" t="s">
        <v>1700</v>
      </c>
      <c r="F229" s="23" t="s">
        <v>12</v>
      </c>
    </row>
    <row r="230" ht="18.5" customHeight="1" spans="1:6">
      <c r="A230" s="22">
        <v>229</v>
      </c>
      <c r="B230" s="22" t="s">
        <v>1941</v>
      </c>
      <c r="C230" s="22" t="s">
        <v>308</v>
      </c>
      <c r="D230" s="22" t="s">
        <v>309</v>
      </c>
      <c r="E230" s="22" t="s">
        <v>1700</v>
      </c>
      <c r="F230" s="22" t="s">
        <v>12</v>
      </c>
    </row>
    <row r="231" ht="18.5" customHeight="1" spans="1:6">
      <c r="A231" s="23">
        <v>230</v>
      </c>
      <c r="B231" s="23" t="s">
        <v>1942</v>
      </c>
      <c r="C231" s="23" t="s">
        <v>308</v>
      </c>
      <c r="D231" s="23" t="s">
        <v>315</v>
      </c>
      <c r="E231" s="23" t="s">
        <v>1700</v>
      </c>
      <c r="F231" s="23" t="s">
        <v>12</v>
      </c>
    </row>
    <row r="232" ht="18.5" customHeight="1" spans="1:6">
      <c r="A232" s="22">
        <v>231</v>
      </c>
      <c r="B232" s="22" t="s">
        <v>1943</v>
      </c>
      <c r="C232" s="22" t="s">
        <v>308</v>
      </c>
      <c r="D232" s="22" t="s">
        <v>309</v>
      </c>
      <c r="E232" s="22" t="s">
        <v>1700</v>
      </c>
      <c r="F232" s="22" t="s">
        <v>12</v>
      </c>
    </row>
    <row r="233" ht="18.5" customHeight="1" spans="1:6">
      <c r="A233" s="23">
        <v>232</v>
      </c>
      <c r="B233" s="23" t="s">
        <v>1944</v>
      </c>
      <c r="C233" s="23" t="s">
        <v>308</v>
      </c>
      <c r="D233" s="23" t="s">
        <v>324</v>
      </c>
      <c r="E233" s="23" t="s">
        <v>1700</v>
      </c>
      <c r="F233" s="23" t="s">
        <v>12</v>
      </c>
    </row>
    <row r="234" ht="18.5" customHeight="1" spans="1:6">
      <c r="A234" s="22">
        <v>233</v>
      </c>
      <c r="B234" s="22" t="s">
        <v>1945</v>
      </c>
      <c r="C234" s="22" t="s">
        <v>308</v>
      </c>
      <c r="D234" s="22" t="s">
        <v>309</v>
      </c>
      <c r="E234" s="22" t="s">
        <v>1700</v>
      </c>
      <c r="F234" s="22" t="s">
        <v>12</v>
      </c>
    </row>
    <row r="235" ht="18.5" customHeight="1" spans="1:6">
      <c r="A235" s="23">
        <v>234</v>
      </c>
      <c r="B235" s="23" t="s">
        <v>1946</v>
      </c>
      <c r="C235" s="23" t="s">
        <v>308</v>
      </c>
      <c r="D235" s="23" t="s">
        <v>317</v>
      </c>
      <c r="E235" s="23" t="s">
        <v>1700</v>
      </c>
      <c r="F235" s="23" t="s">
        <v>12</v>
      </c>
    </row>
    <row r="236" ht="18.5" customHeight="1" spans="1:6">
      <c r="A236" s="22">
        <v>235</v>
      </c>
      <c r="B236" s="22" t="s">
        <v>1947</v>
      </c>
      <c r="C236" s="22" t="s">
        <v>308</v>
      </c>
      <c r="D236" s="22" t="s">
        <v>309</v>
      </c>
      <c r="E236" s="22" t="s">
        <v>1700</v>
      </c>
      <c r="F236" s="22" t="s">
        <v>12</v>
      </c>
    </row>
    <row r="237" ht="18.5" customHeight="1" spans="1:6">
      <c r="A237" s="23">
        <v>236</v>
      </c>
      <c r="B237" s="23" t="s">
        <v>1948</v>
      </c>
      <c r="C237" s="23" t="s">
        <v>308</v>
      </c>
      <c r="D237" s="23" t="s">
        <v>309</v>
      </c>
      <c r="E237" s="23" t="s">
        <v>1700</v>
      </c>
      <c r="F237" s="23" t="s">
        <v>12</v>
      </c>
    </row>
    <row r="238" ht="18.5" customHeight="1" spans="1:6">
      <c r="A238" s="22">
        <v>237</v>
      </c>
      <c r="B238" s="22" t="s">
        <v>1949</v>
      </c>
      <c r="C238" s="22" t="s">
        <v>308</v>
      </c>
      <c r="D238" s="22" t="s">
        <v>309</v>
      </c>
      <c r="E238" s="22" t="s">
        <v>1700</v>
      </c>
      <c r="F238" s="22" t="s">
        <v>12</v>
      </c>
    </row>
    <row r="239" ht="18.5" customHeight="1" spans="1:6">
      <c r="A239" s="23">
        <v>238</v>
      </c>
      <c r="B239" s="23" t="s">
        <v>1950</v>
      </c>
      <c r="C239" s="23" t="s">
        <v>347</v>
      </c>
      <c r="D239" s="23" t="s">
        <v>347</v>
      </c>
      <c r="E239" s="23" t="s">
        <v>1700</v>
      </c>
      <c r="F239" s="23" t="s">
        <v>12</v>
      </c>
    </row>
    <row r="240" ht="18.5" customHeight="1" spans="1:6">
      <c r="A240" s="22">
        <v>239</v>
      </c>
      <c r="B240" s="22" t="s">
        <v>1951</v>
      </c>
      <c r="C240" s="22" t="s">
        <v>347</v>
      </c>
      <c r="D240" s="22" t="s">
        <v>347</v>
      </c>
      <c r="E240" s="22" t="s">
        <v>1700</v>
      </c>
      <c r="F240" s="22" t="s">
        <v>12</v>
      </c>
    </row>
    <row r="241" ht="18.5" customHeight="1" spans="1:6">
      <c r="A241" s="23">
        <v>240</v>
      </c>
      <c r="B241" s="23" t="s">
        <v>1952</v>
      </c>
      <c r="C241" s="23" t="s">
        <v>347</v>
      </c>
      <c r="D241" s="23" t="s">
        <v>347</v>
      </c>
      <c r="E241" s="23" t="s">
        <v>1700</v>
      </c>
      <c r="F241" s="23" t="s">
        <v>12</v>
      </c>
    </row>
    <row r="242" ht="18.5" customHeight="1" spans="1:6">
      <c r="A242" s="22">
        <v>241</v>
      </c>
      <c r="B242" s="22" t="s">
        <v>1953</v>
      </c>
      <c r="C242" s="22" t="s">
        <v>347</v>
      </c>
      <c r="D242" s="22" t="s">
        <v>347</v>
      </c>
      <c r="E242" s="22" t="s">
        <v>1700</v>
      </c>
      <c r="F242" s="22" t="s">
        <v>12</v>
      </c>
    </row>
    <row r="243" ht="18.5" customHeight="1" spans="1:6">
      <c r="A243" s="23">
        <v>242</v>
      </c>
      <c r="B243" s="23" t="s">
        <v>1954</v>
      </c>
      <c r="C243" s="23" t="s">
        <v>347</v>
      </c>
      <c r="D243" s="23" t="s">
        <v>347</v>
      </c>
      <c r="E243" s="23" t="s">
        <v>1700</v>
      </c>
      <c r="F243" s="23" t="s">
        <v>12</v>
      </c>
    </row>
    <row r="244" ht="18.5" customHeight="1" spans="1:6">
      <c r="A244" s="22">
        <v>243</v>
      </c>
      <c r="B244" s="22" t="s">
        <v>1955</v>
      </c>
      <c r="C244" s="22" t="s">
        <v>347</v>
      </c>
      <c r="D244" s="22" t="s">
        <v>347</v>
      </c>
      <c r="E244" s="22" t="s">
        <v>1700</v>
      </c>
      <c r="F244" s="22" t="s">
        <v>12</v>
      </c>
    </row>
    <row r="245" ht="18.5" customHeight="1" spans="1:6">
      <c r="A245" s="23">
        <v>244</v>
      </c>
      <c r="B245" s="23" t="s">
        <v>1956</v>
      </c>
      <c r="C245" s="23" t="s">
        <v>347</v>
      </c>
      <c r="D245" s="23" t="s">
        <v>347</v>
      </c>
      <c r="E245" s="23" t="s">
        <v>1700</v>
      </c>
      <c r="F245" s="23" t="s">
        <v>12</v>
      </c>
    </row>
    <row r="246" ht="18.5" customHeight="1" spans="1:6">
      <c r="A246" s="22">
        <v>245</v>
      </c>
      <c r="B246" s="22" t="s">
        <v>1957</v>
      </c>
      <c r="C246" s="22" t="s">
        <v>347</v>
      </c>
      <c r="D246" s="22" t="s">
        <v>347</v>
      </c>
      <c r="E246" s="22" t="s">
        <v>1700</v>
      </c>
      <c r="F246" s="22" t="s">
        <v>12</v>
      </c>
    </row>
    <row r="247" ht="18.5" customHeight="1" spans="1:6">
      <c r="A247" s="23">
        <v>246</v>
      </c>
      <c r="B247" s="23" t="s">
        <v>1958</v>
      </c>
      <c r="C247" s="23" t="s">
        <v>347</v>
      </c>
      <c r="D247" s="23" t="s">
        <v>347</v>
      </c>
      <c r="E247" s="23" t="s">
        <v>1700</v>
      </c>
      <c r="F247" s="23" t="s">
        <v>12</v>
      </c>
    </row>
    <row r="248" ht="18.5" customHeight="1" spans="1:6">
      <c r="A248" s="22">
        <v>247</v>
      </c>
      <c r="B248" s="22" t="s">
        <v>1959</v>
      </c>
      <c r="C248" s="22" t="s">
        <v>347</v>
      </c>
      <c r="D248" s="22" t="s">
        <v>347</v>
      </c>
      <c r="E248" s="22" t="s">
        <v>1700</v>
      </c>
      <c r="F248" s="22" t="s">
        <v>12</v>
      </c>
    </row>
    <row r="249" ht="18.5" customHeight="1" spans="1:6">
      <c r="A249" s="23">
        <v>248</v>
      </c>
      <c r="B249" s="23" t="s">
        <v>1960</v>
      </c>
      <c r="C249" s="23" t="s">
        <v>347</v>
      </c>
      <c r="D249" s="23" t="s">
        <v>347</v>
      </c>
      <c r="E249" s="23" t="s">
        <v>1700</v>
      </c>
      <c r="F249" s="23" t="s">
        <v>12</v>
      </c>
    </row>
    <row r="250" ht="18.5" customHeight="1" spans="1:6">
      <c r="A250" s="22">
        <v>249</v>
      </c>
      <c r="B250" s="22" t="s">
        <v>1961</v>
      </c>
      <c r="C250" s="22" t="s">
        <v>347</v>
      </c>
      <c r="D250" s="22" t="s">
        <v>347</v>
      </c>
      <c r="E250" s="22" t="s">
        <v>1700</v>
      </c>
      <c r="F250" s="22" t="s">
        <v>12</v>
      </c>
    </row>
    <row r="251" ht="18.5" customHeight="1" spans="1:6">
      <c r="A251" s="23">
        <v>250</v>
      </c>
      <c r="B251" s="23" t="s">
        <v>1962</v>
      </c>
      <c r="C251" s="23" t="s">
        <v>347</v>
      </c>
      <c r="D251" s="23" t="s">
        <v>347</v>
      </c>
      <c r="E251" s="23" t="s">
        <v>1700</v>
      </c>
      <c r="F251" s="23" t="s">
        <v>12</v>
      </c>
    </row>
    <row r="252" ht="18.5" customHeight="1" spans="1:6">
      <c r="A252" s="22">
        <v>251</v>
      </c>
      <c r="B252" s="22" t="s">
        <v>1963</v>
      </c>
      <c r="C252" s="22" t="s">
        <v>379</v>
      </c>
      <c r="D252" s="22" t="s">
        <v>403</v>
      </c>
      <c r="E252" s="22" t="s">
        <v>1700</v>
      </c>
      <c r="F252" s="22" t="s">
        <v>12</v>
      </c>
    </row>
    <row r="253" ht="18.5" customHeight="1" spans="1:6">
      <c r="A253" s="23">
        <v>252</v>
      </c>
      <c r="B253" s="23" t="s">
        <v>1964</v>
      </c>
      <c r="C253" s="23" t="s">
        <v>379</v>
      </c>
      <c r="D253" s="23" t="s">
        <v>382</v>
      </c>
      <c r="E253" s="23" t="s">
        <v>1700</v>
      </c>
      <c r="F253" s="23" t="s">
        <v>12</v>
      </c>
    </row>
    <row r="254" ht="18.5" customHeight="1" spans="1:6">
      <c r="A254" s="22">
        <v>253</v>
      </c>
      <c r="B254" s="22" t="s">
        <v>1965</v>
      </c>
      <c r="C254" s="22" t="s">
        <v>379</v>
      </c>
      <c r="D254" s="22" t="s">
        <v>401</v>
      </c>
      <c r="E254" s="22" t="s">
        <v>1700</v>
      </c>
      <c r="F254" s="22" t="s">
        <v>12</v>
      </c>
    </row>
    <row r="255" ht="18.5" customHeight="1" spans="1:6">
      <c r="A255" s="23">
        <v>254</v>
      </c>
      <c r="B255" s="23" t="s">
        <v>1966</v>
      </c>
      <c r="C255" s="23" t="s">
        <v>379</v>
      </c>
      <c r="D255" s="23" t="s">
        <v>382</v>
      </c>
      <c r="E255" s="23" t="s">
        <v>1700</v>
      </c>
      <c r="F255" s="23" t="s">
        <v>12</v>
      </c>
    </row>
    <row r="256" ht="18.5" customHeight="1" spans="1:6">
      <c r="A256" s="22">
        <v>255</v>
      </c>
      <c r="B256" s="22" t="s">
        <v>1967</v>
      </c>
      <c r="C256" s="22" t="s">
        <v>379</v>
      </c>
      <c r="D256" s="22" t="s">
        <v>430</v>
      </c>
      <c r="E256" s="22" t="s">
        <v>1700</v>
      </c>
      <c r="F256" s="22" t="s">
        <v>12</v>
      </c>
    </row>
    <row r="257" ht="18.5" customHeight="1" spans="1:6">
      <c r="A257" s="23">
        <v>256</v>
      </c>
      <c r="B257" s="23" t="s">
        <v>1968</v>
      </c>
      <c r="C257" s="23" t="s">
        <v>379</v>
      </c>
      <c r="D257" s="23" t="s">
        <v>387</v>
      </c>
      <c r="E257" s="23" t="s">
        <v>1700</v>
      </c>
      <c r="F257" s="23" t="s">
        <v>12</v>
      </c>
    </row>
    <row r="258" ht="18.5" customHeight="1" spans="1:6">
      <c r="A258" s="22">
        <v>257</v>
      </c>
      <c r="B258" s="22" t="s">
        <v>1969</v>
      </c>
      <c r="C258" s="22" t="s">
        <v>379</v>
      </c>
      <c r="D258" s="22" t="s">
        <v>401</v>
      </c>
      <c r="E258" s="22" t="s">
        <v>1700</v>
      </c>
      <c r="F258" s="22" t="s">
        <v>12</v>
      </c>
    </row>
    <row r="259" ht="18.5" customHeight="1" spans="1:6">
      <c r="A259" s="23">
        <v>258</v>
      </c>
      <c r="B259" s="23" t="s">
        <v>1970</v>
      </c>
      <c r="C259" s="23" t="s">
        <v>379</v>
      </c>
      <c r="D259" s="23" t="s">
        <v>382</v>
      </c>
      <c r="E259" s="23" t="s">
        <v>1700</v>
      </c>
      <c r="F259" s="23" t="s">
        <v>12</v>
      </c>
    </row>
    <row r="260" ht="18.5" customHeight="1" spans="1:6">
      <c r="A260" s="22">
        <v>259</v>
      </c>
      <c r="B260" s="22" t="s">
        <v>1971</v>
      </c>
      <c r="C260" s="22" t="s">
        <v>379</v>
      </c>
      <c r="D260" s="22" t="s">
        <v>380</v>
      </c>
      <c r="E260" s="22" t="s">
        <v>1700</v>
      </c>
      <c r="F260" s="22" t="s">
        <v>12</v>
      </c>
    </row>
    <row r="261" ht="18.5" customHeight="1" spans="1:6">
      <c r="A261" s="23">
        <v>260</v>
      </c>
      <c r="B261" s="23" t="s">
        <v>1972</v>
      </c>
      <c r="C261" s="23" t="s">
        <v>379</v>
      </c>
      <c r="D261" s="23" t="s">
        <v>435</v>
      </c>
      <c r="E261" s="23" t="s">
        <v>1700</v>
      </c>
      <c r="F261" s="23" t="s">
        <v>12</v>
      </c>
    </row>
    <row r="262" ht="18.5" customHeight="1" spans="1:6">
      <c r="A262" s="22">
        <v>261</v>
      </c>
      <c r="B262" s="22" t="s">
        <v>1973</v>
      </c>
      <c r="C262" s="22" t="s">
        <v>379</v>
      </c>
      <c r="D262" s="22" t="s">
        <v>392</v>
      </c>
      <c r="E262" s="22" t="s">
        <v>1700</v>
      </c>
      <c r="F262" s="22" t="s">
        <v>12</v>
      </c>
    </row>
    <row r="263" ht="18.5" customHeight="1" spans="1:6">
      <c r="A263" s="23">
        <v>262</v>
      </c>
      <c r="B263" s="23" t="s">
        <v>1974</v>
      </c>
      <c r="C263" s="23" t="s">
        <v>379</v>
      </c>
      <c r="D263" s="23" t="s">
        <v>380</v>
      </c>
      <c r="E263" s="23" t="s">
        <v>1700</v>
      </c>
      <c r="F263" s="23" t="s">
        <v>12</v>
      </c>
    </row>
    <row r="264" ht="18.5" customHeight="1" spans="1:6">
      <c r="A264" s="22">
        <v>263</v>
      </c>
      <c r="B264" s="22" t="s">
        <v>1975</v>
      </c>
      <c r="C264" s="22" t="s">
        <v>379</v>
      </c>
      <c r="D264" s="22" t="s">
        <v>380</v>
      </c>
      <c r="E264" s="22" t="s">
        <v>1700</v>
      </c>
      <c r="F264" s="22" t="s">
        <v>12</v>
      </c>
    </row>
    <row r="265" ht="18.5" customHeight="1" spans="1:6">
      <c r="A265" s="23">
        <v>264</v>
      </c>
      <c r="B265" s="23" t="s">
        <v>1976</v>
      </c>
      <c r="C265" s="23" t="s">
        <v>379</v>
      </c>
      <c r="D265" s="23" t="s">
        <v>396</v>
      </c>
      <c r="E265" s="23" t="s">
        <v>1700</v>
      </c>
      <c r="F265" s="23" t="s">
        <v>12</v>
      </c>
    </row>
    <row r="266" ht="18.5" customHeight="1" spans="1:6">
      <c r="A266" s="22">
        <v>265</v>
      </c>
      <c r="B266" s="22" t="s">
        <v>1977</v>
      </c>
      <c r="C266" s="22" t="s">
        <v>379</v>
      </c>
      <c r="D266" s="22" t="s">
        <v>403</v>
      </c>
      <c r="E266" s="22" t="s">
        <v>1700</v>
      </c>
      <c r="F266" s="22" t="s">
        <v>12</v>
      </c>
    </row>
    <row r="267" ht="18.5" customHeight="1" spans="1:6">
      <c r="A267" s="23">
        <v>266</v>
      </c>
      <c r="B267" s="23" t="s">
        <v>1978</v>
      </c>
      <c r="C267" s="23" t="s">
        <v>379</v>
      </c>
      <c r="D267" s="23" t="s">
        <v>424</v>
      </c>
      <c r="E267" s="23" t="s">
        <v>1700</v>
      </c>
      <c r="F267" s="23" t="s">
        <v>12</v>
      </c>
    </row>
    <row r="268" ht="18.5" customHeight="1" spans="1:6">
      <c r="A268" s="22">
        <v>267</v>
      </c>
      <c r="B268" s="22" t="s">
        <v>1979</v>
      </c>
      <c r="C268" s="22" t="s">
        <v>379</v>
      </c>
      <c r="D268" s="22" t="s">
        <v>401</v>
      </c>
      <c r="E268" s="22" t="s">
        <v>1700</v>
      </c>
      <c r="F268" s="22" t="s">
        <v>12</v>
      </c>
    </row>
    <row r="269" ht="18.5" customHeight="1" spans="1:6">
      <c r="A269" s="23">
        <v>268</v>
      </c>
      <c r="B269" s="23" t="s">
        <v>1980</v>
      </c>
      <c r="C269" s="23" t="s">
        <v>379</v>
      </c>
      <c r="D269" s="23" t="s">
        <v>382</v>
      </c>
      <c r="E269" s="23" t="s">
        <v>1700</v>
      </c>
      <c r="F269" s="23" t="s">
        <v>12</v>
      </c>
    </row>
    <row r="270" ht="18.5" customHeight="1" spans="1:6">
      <c r="A270" s="22">
        <v>269</v>
      </c>
      <c r="B270" s="22" t="s">
        <v>1981</v>
      </c>
      <c r="C270" s="22" t="s">
        <v>379</v>
      </c>
      <c r="D270" s="22" t="s">
        <v>382</v>
      </c>
      <c r="E270" s="22" t="s">
        <v>1700</v>
      </c>
      <c r="F270" s="22" t="s">
        <v>12</v>
      </c>
    </row>
    <row r="271" ht="18.5" customHeight="1" spans="1:6">
      <c r="A271" s="23">
        <v>270</v>
      </c>
      <c r="B271" s="23" t="s">
        <v>1982</v>
      </c>
      <c r="C271" s="23" t="s">
        <v>379</v>
      </c>
      <c r="D271" s="23" t="s">
        <v>382</v>
      </c>
      <c r="E271" s="23" t="s">
        <v>1700</v>
      </c>
      <c r="F271" s="23" t="s">
        <v>12</v>
      </c>
    </row>
    <row r="272" ht="18.5" customHeight="1" spans="1:6">
      <c r="A272" s="22">
        <v>271</v>
      </c>
      <c r="B272" s="22" t="s">
        <v>1983</v>
      </c>
      <c r="C272" s="22" t="s">
        <v>379</v>
      </c>
      <c r="D272" s="22" t="s">
        <v>396</v>
      </c>
      <c r="E272" s="22" t="s">
        <v>1700</v>
      </c>
      <c r="F272" s="22" t="s">
        <v>12</v>
      </c>
    </row>
    <row r="273" ht="18.5" customHeight="1" spans="1:6">
      <c r="A273" s="23">
        <v>272</v>
      </c>
      <c r="B273" s="23" t="s">
        <v>1984</v>
      </c>
      <c r="C273" s="23" t="s">
        <v>379</v>
      </c>
      <c r="D273" s="23" t="s">
        <v>401</v>
      </c>
      <c r="E273" s="23" t="s">
        <v>1700</v>
      </c>
      <c r="F273" s="23" t="s">
        <v>12</v>
      </c>
    </row>
    <row r="274" ht="18.5" customHeight="1" spans="1:6">
      <c r="A274" s="22">
        <v>273</v>
      </c>
      <c r="B274" s="22" t="s">
        <v>1985</v>
      </c>
      <c r="C274" s="22" t="s">
        <v>379</v>
      </c>
      <c r="D274" s="22" t="s">
        <v>380</v>
      </c>
      <c r="E274" s="22" t="s">
        <v>1700</v>
      </c>
      <c r="F274" s="22" t="s">
        <v>12</v>
      </c>
    </row>
    <row r="275" ht="18.5" customHeight="1" spans="1:6">
      <c r="A275" s="23">
        <v>274</v>
      </c>
      <c r="B275" s="23" t="s">
        <v>1986</v>
      </c>
      <c r="C275" s="23" t="s">
        <v>379</v>
      </c>
      <c r="D275" s="23" t="s">
        <v>412</v>
      </c>
      <c r="E275" s="23" t="s">
        <v>1700</v>
      </c>
      <c r="F275" s="23" t="s">
        <v>12</v>
      </c>
    </row>
    <row r="276" ht="18.5" customHeight="1" spans="1:6">
      <c r="A276" s="22">
        <v>275</v>
      </c>
      <c r="B276" s="22" t="s">
        <v>1987</v>
      </c>
      <c r="C276" s="22" t="s">
        <v>379</v>
      </c>
      <c r="D276" s="22" t="s">
        <v>435</v>
      </c>
      <c r="E276" s="22" t="s">
        <v>1700</v>
      </c>
      <c r="F276" s="22" t="s">
        <v>12</v>
      </c>
    </row>
    <row r="277" ht="18.5" customHeight="1" spans="1:6">
      <c r="A277" s="23">
        <v>276</v>
      </c>
      <c r="B277" s="23" t="s">
        <v>1988</v>
      </c>
      <c r="C277" s="23" t="s">
        <v>379</v>
      </c>
      <c r="D277" s="23" t="s">
        <v>392</v>
      </c>
      <c r="E277" s="23" t="s">
        <v>1700</v>
      </c>
      <c r="F277" s="23" t="s">
        <v>12</v>
      </c>
    </row>
    <row r="278" ht="18.5" customHeight="1" spans="1:6">
      <c r="A278" s="22">
        <v>277</v>
      </c>
      <c r="B278" s="22" t="s">
        <v>1989</v>
      </c>
      <c r="C278" s="22" t="s">
        <v>379</v>
      </c>
      <c r="D278" s="22" t="s">
        <v>382</v>
      </c>
      <c r="E278" s="22" t="s">
        <v>1700</v>
      </c>
      <c r="F278" s="22" t="s">
        <v>12</v>
      </c>
    </row>
    <row r="279" ht="18.5" customHeight="1" spans="1:6">
      <c r="A279" s="23">
        <v>278</v>
      </c>
      <c r="B279" s="23" t="s">
        <v>1990</v>
      </c>
      <c r="C279" s="23" t="s">
        <v>379</v>
      </c>
      <c r="D279" s="23" t="s">
        <v>382</v>
      </c>
      <c r="E279" s="23" t="s">
        <v>1700</v>
      </c>
      <c r="F279" s="23" t="s">
        <v>12</v>
      </c>
    </row>
    <row r="280" ht="18.5" customHeight="1" spans="1:6">
      <c r="A280" s="22">
        <v>279</v>
      </c>
      <c r="B280" s="22" t="s">
        <v>1991</v>
      </c>
      <c r="C280" s="22" t="s">
        <v>379</v>
      </c>
      <c r="D280" s="22" t="s">
        <v>380</v>
      </c>
      <c r="E280" s="22" t="s">
        <v>1700</v>
      </c>
      <c r="F280" s="22" t="s">
        <v>12</v>
      </c>
    </row>
    <row r="281" ht="18.5" customHeight="1" spans="1:6">
      <c r="A281" s="23">
        <v>280</v>
      </c>
      <c r="B281" s="23" t="s">
        <v>1992</v>
      </c>
      <c r="C281" s="23" t="s">
        <v>379</v>
      </c>
      <c r="D281" s="23" t="s">
        <v>392</v>
      </c>
      <c r="E281" s="23" t="s">
        <v>1700</v>
      </c>
      <c r="F281" s="23" t="s">
        <v>12</v>
      </c>
    </row>
    <row r="282" ht="18.5" customHeight="1" spans="1:6">
      <c r="A282" s="22">
        <v>281</v>
      </c>
      <c r="B282" s="22" t="s">
        <v>1993</v>
      </c>
      <c r="C282" s="22" t="s">
        <v>379</v>
      </c>
      <c r="D282" s="22" t="s">
        <v>392</v>
      </c>
      <c r="E282" s="22" t="s">
        <v>1700</v>
      </c>
      <c r="F282" s="22" t="s">
        <v>12</v>
      </c>
    </row>
    <row r="283" ht="18.5" customHeight="1" spans="1:6">
      <c r="A283" s="23">
        <v>282</v>
      </c>
      <c r="B283" s="23" t="s">
        <v>1994</v>
      </c>
      <c r="C283" s="23" t="s">
        <v>379</v>
      </c>
      <c r="D283" s="23" t="s">
        <v>387</v>
      </c>
      <c r="E283" s="23" t="s">
        <v>1700</v>
      </c>
      <c r="F283" s="23" t="s">
        <v>12</v>
      </c>
    </row>
    <row r="284" ht="18.5" customHeight="1" spans="1:6">
      <c r="A284" s="22">
        <v>283</v>
      </c>
      <c r="B284" s="22" t="s">
        <v>1995</v>
      </c>
      <c r="C284" s="22" t="s">
        <v>379</v>
      </c>
      <c r="D284" s="22" t="s">
        <v>412</v>
      </c>
      <c r="E284" s="22" t="s">
        <v>1700</v>
      </c>
      <c r="F284" s="22" t="s">
        <v>12</v>
      </c>
    </row>
    <row r="285" ht="18.5" customHeight="1" spans="1:6">
      <c r="A285" s="23">
        <v>284</v>
      </c>
      <c r="B285" s="23" t="s">
        <v>1996</v>
      </c>
      <c r="C285" s="23" t="s">
        <v>379</v>
      </c>
      <c r="D285" s="23" t="s">
        <v>380</v>
      </c>
      <c r="E285" s="23" t="s">
        <v>1700</v>
      </c>
      <c r="F285" s="23" t="s">
        <v>12</v>
      </c>
    </row>
    <row r="286" ht="18.5" customHeight="1" spans="1:6">
      <c r="A286" s="22">
        <v>285</v>
      </c>
      <c r="B286" s="22" t="s">
        <v>1997</v>
      </c>
      <c r="C286" s="22" t="s">
        <v>379</v>
      </c>
      <c r="D286" s="22" t="s">
        <v>389</v>
      </c>
      <c r="E286" s="22" t="s">
        <v>1700</v>
      </c>
      <c r="F286" s="22" t="s">
        <v>12</v>
      </c>
    </row>
    <row r="287" ht="18.5" customHeight="1" spans="1:6">
      <c r="A287" s="23">
        <v>286</v>
      </c>
      <c r="B287" s="23" t="s">
        <v>1998</v>
      </c>
      <c r="C287" s="23" t="s">
        <v>379</v>
      </c>
      <c r="D287" s="23" t="s">
        <v>396</v>
      </c>
      <c r="E287" s="23" t="s">
        <v>1700</v>
      </c>
      <c r="F287" s="23" t="s">
        <v>12</v>
      </c>
    </row>
    <row r="288" ht="18.5" customHeight="1" spans="1:6">
      <c r="A288" s="22">
        <v>287</v>
      </c>
      <c r="B288" s="22" t="s">
        <v>1999</v>
      </c>
      <c r="C288" s="22" t="s">
        <v>379</v>
      </c>
      <c r="D288" s="22" t="s">
        <v>440</v>
      </c>
      <c r="E288" s="22" t="s">
        <v>1700</v>
      </c>
      <c r="F288" s="22" t="s">
        <v>12</v>
      </c>
    </row>
    <row r="289" ht="18.5" customHeight="1" spans="1:6">
      <c r="A289" s="23">
        <v>288</v>
      </c>
      <c r="B289" s="23" t="s">
        <v>2000</v>
      </c>
      <c r="C289" s="23" t="s">
        <v>379</v>
      </c>
      <c r="D289" s="23" t="s">
        <v>380</v>
      </c>
      <c r="E289" s="23" t="s">
        <v>1700</v>
      </c>
      <c r="F289" s="23" t="s">
        <v>12</v>
      </c>
    </row>
    <row r="290" ht="18.5" customHeight="1" spans="1:6">
      <c r="A290" s="22">
        <v>289</v>
      </c>
      <c r="B290" s="22" t="s">
        <v>2001</v>
      </c>
      <c r="C290" s="22" t="s">
        <v>379</v>
      </c>
      <c r="D290" s="22" t="s">
        <v>392</v>
      </c>
      <c r="E290" s="22" t="s">
        <v>1700</v>
      </c>
      <c r="F290" s="22" t="s">
        <v>12</v>
      </c>
    </row>
    <row r="291" ht="18.5" customHeight="1" spans="1:6">
      <c r="A291" s="23">
        <v>290</v>
      </c>
      <c r="B291" s="23" t="s">
        <v>2002</v>
      </c>
      <c r="C291" s="23" t="s">
        <v>379</v>
      </c>
      <c r="D291" s="23" t="s">
        <v>396</v>
      </c>
      <c r="E291" s="23" t="s">
        <v>1700</v>
      </c>
      <c r="F291" s="23" t="s">
        <v>12</v>
      </c>
    </row>
    <row r="292" ht="18.5" customHeight="1" spans="1:6">
      <c r="A292" s="22">
        <v>291</v>
      </c>
      <c r="B292" s="22" t="s">
        <v>2003</v>
      </c>
      <c r="C292" s="22" t="s">
        <v>379</v>
      </c>
      <c r="D292" s="22" t="s">
        <v>396</v>
      </c>
      <c r="E292" s="22" t="s">
        <v>1700</v>
      </c>
      <c r="F292" s="22" t="s">
        <v>12</v>
      </c>
    </row>
    <row r="293" ht="18.5" customHeight="1" spans="1:6">
      <c r="A293" s="23">
        <v>292</v>
      </c>
      <c r="B293" s="23" t="s">
        <v>2004</v>
      </c>
      <c r="C293" s="23" t="s">
        <v>379</v>
      </c>
      <c r="D293" s="23" t="s">
        <v>396</v>
      </c>
      <c r="E293" s="23" t="s">
        <v>1700</v>
      </c>
      <c r="F293" s="23" t="s">
        <v>12</v>
      </c>
    </row>
    <row r="294" ht="18.5" customHeight="1" spans="1:6">
      <c r="A294" s="22">
        <v>293</v>
      </c>
      <c r="B294" s="22" t="s">
        <v>2005</v>
      </c>
      <c r="C294" s="22" t="s">
        <v>379</v>
      </c>
      <c r="D294" s="22" t="s">
        <v>382</v>
      </c>
      <c r="E294" s="22" t="s">
        <v>1700</v>
      </c>
      <c r="F294" s="22" t="s">
        <v>12</v>
      </c>
    </row>
    <row r="295" ht="18.5" customHeight="1" spans="1:6">
      <c r="A295" s="23">
        <v>294</v>
      </c>
      <c r="B295" s="23" t="s">
        <v>2006</v>
      </c>
      <c r="C295" s="23" t="s">
        <v>379</v>
      </c>
      <c r="D295" s="23" t="s">
        <v>403</v>
      </c>
      <c r="E295" s="23" t="s">
        <v>1700</v>
      </c>
      <c r="F295" s="23" t="s">
        <v>12</v>
      </c>
    </row>
    <row r="296" ht="18.5" customHeight="1" spans="1:6">
      <c r="A296" s="22">
        <v>295</v>
      </c>
      <c r="B296" s="22" t="s">
        <v>2007</v>
      </c>
      <c r="C296" s="22" t="s">
        <v>379</v>
      </c>
      <c r="D296" s="22" t="s">
        <v>412</v>
      </c>
      <c r="E296" s="22" t="s">
        <v>1700</v>
      </c>
      <c r="F296" s="22" t="s">
        <v>12</v>
      </c>
    </row>
    <row r="297" ht="18.5" customHeight="1" spans="1:6">
      <c r="A297" s="23">
        <v>296</v>
      </c>
      <c r="B297" s="23" t="s">
        <v>2008</v>
      </c>
      <c r="C297" s="23" t="s">
        <v>379</v>
      </c>
      <c r="D297" s="23" t="s">
        <v>424</v>
      </c>
      <c r="E297" s="23" t="s">
        <v>1700</v>
      </c>
      <c r="F297" s="23" t="s">
        <v>12</v>
      </c>
    </row>
    <row r="298" ht="18.5" customHeight="1" spans="1:6">
      <c r="A298" s="22">
        <v>297</v>
      </c>
      <c r="B298" s="22" t="s">
        <v>2009</v>
      </c>
      <c r="C298" s="22" t="s">
        <v>379</v>
      </c>
      <c r="D298" s="22" t="s">
        <v>380</v>
      </c>
      <c r="E298" s="22" t="s">
        <v>1700</v>
      </c>
      <c r="F298" s="22" t="s">
        <v>12</v>
      </c>
    </row>
    <row r="299" ht="18.5" customHeight="1" spans="1:6">
      <c r="A299" s="23">
        <v>298</v>
      </c>
      <c r="B299" s="23" t="s">
        <v>2010</v>
      </c>
      <c r="C299" s="23" t="s">
        <v>379</v>
      </c>
      <c r="D299" s="23" t="s">
        <v>380</v>
      </c>
      <c r="E299" s="23" t="s">
        <v>1700</v>
      </c>
      <c r="F299" s="23" t="s">
        <v>12</v>
      </c>
    </row>
    <row r="300" ht="18.5" customHeight="1" spans="1:6">
      <c r="A300" s="22">
        <v>299</v>
      </c>
      <c r="B300" s="22" t="s">
        <v>2011</v>
      </c>
      <c r="C300" s="22" t="s">
        <v>379</v>
      </c>
      <c r="D300" s="22" t="s">
        <v>380</v>
      </c>
      <c r="E300" s="22" t="s">
        <v>1700</v>
      </c>
      <c r="F300" s="22" t="s">
        <v>12</v>
      </c>
    </row>
    <row r="301" ht="18.5" customHeight="1" spans="1:6">
      <c r="A301" s="23">
        <v>300</v>
      </c>
      <c r="B301" s="23" t="s">
        <v>2012</v>
      </c>
      <c r="C301" s="23" t="s">
        <v>379</v>
      </c>
      <c r="D301" s="23" t="s">
        <v>380</v>
      </c>
      <c r="E301" s="23" t="s">
        <v>1700</v>
      </c>
      <c r="F301" s="23" t="s">
        <v>12</v>
      </c>
    </row>
    <row r="302" ht="18.5" customHeight="1" spans="1:6">
      <c r="A302" s="22">
        <v>301</v>
      </c>
      <c r="B302" s="22" t="s">
        <v>2013</v>
      </c>
      <c r="C302" s="22" t="s">
        <v>379</v>
      </c>
      <c r="D302" s="22" t="s">
        <v>380</v>
      </c>
      <c r="E302" s="22" t="s">
        <v>1700</v>
      </c>
      <c r="F302" s="22" t="s">
        <v>12</v>
      </c>
    </row>
    <row r="303" ht="18.5" customHeight="1" spans="1:6">
      <c r="A303" s="23">
        <v>302</v>
      </c>
      <c r="B303" s="23" t="s">
        <v>2014</v>
      </c>
      <c r="C303" s="23" t="s">
        <v>379</v>
      </c>
      <c r="D303" s="23" t="s">
        <v>382</v>
      </c>
      <c r="E303" s="23" t="s">
        <v>1700</v>
      </c>
      <c r="F303" s="23" t="s">
        <v>12</v>
      </c>
    </row>
    <row r="304" ht="18.5" customHeight="1" spans="1:6">
      <c r="A304" s="22">
        <v>303</v>
      </c>
      <c r="B304" s="22" t="s">
        <v>2015</v>
      </c>
      <c r="C304" s="22" t="s">
        <v>379</v>
      </c>
      <c r="D304" s="22" t="s">
        <v>382</v>
      </c>
      <c r="E304" s="22" t="s">
        <v>1700</v>
      </c>
      <c r="F304" s="22" t="s">
        <v>12</v>
      </c>
    </row>
    <row r="305" ht="18.5" customHeight="1" spans="1:6">
      <c r="A305" s="23">
        <v>304</v>
      </c>
      <c r="B305" s="23" t="s">
        <v>2016</v>
      </c>
      <c r="C305" s="23" t="s">
        <v>379</v>
      </c>
      <c r="D305" s="23" t="s">
        <v>389</v>
      </c>
      <c r="E305" s="23" t="s">
        <v>1700</v>
      </c>
      <c r="F305" s="23" t="s">
        <v>12</v>
      </c>
    </row>
    <row r="306" ht="18.5" customHeight="1" spans="1:6">
      <c r="A306" s="22">
        <v>305</v>
      </c>
      <c r="B306" s="22" t="s">
        <v>2017</v>
      </c>
      <c r="C306" s="22" t="s">
        <v>379</v>
      </c>
      <c r="D306" s="22" t="s">
        <v>389</v>
      </c>
      <c r="E306" s="22" t="s">
        <v>1700</v>
      </c>
      <c r="F306" s="22" t="s">
        <v>12</v>
      </c>
    </row>
    <row r="307" ht="18.5" customHeight="1" spans="1:6">
      <c r="A307" s="23">
        <v>306</v>
      </c>
      <c r="B307" s="23" t="s">
        <v>2018</v>
      </c>
      <c r="C307" s="23" t="s">
        <v>379</v>
      </c>
      <c r="D307" s="23" t="s">
        <v>401</v>
      </c>
      <c r="E307" s="23" t="s">
        <v>1700</v>
      </c>
      <c r="F307" s="23" t="s">
        <v>12</v>
      </c>
    </row>
    <row r="308" ht="18.5" customHeight="1" spans="1:6">
      <c r="A308" s="22">
        <v>307</v>
      </c>
      <c r="B308" s="22" t="s">
        <v>2019</v>
      </c>
      <c r="C308" s="22" t="s">
        <v>379</v>
      </c>
      <c r="D308" s="22" t="s">
        <v>401</v>
      </c>
      <c r="E308" s="22" t="s">
        <v>1700</v>
      </c>
      <c r="F308" s="22" t="s">
        <v>12</v>
      </c>
    </row>
    <row r="309" ht="18.5" customHeight="1" spans="1:6">
      <c r="A309" s="23">
        <v>308</v>
      </c>
      <c r="B309" s="23" t="s">
        <v>2020</v>
      </c>
      <c r="C309" s="23" t="s">
        <v>379</v>
      </c>
      <c r="D309" s="23" t="s">
        <v>412</v>
      </c>
      <c r="E309" s="23" t="s">
        <v>1700</v>
      </c>
      <c r="F309" s="23" t="s">
        <v>12</v>
      </c>
    </row>
    <row r="310" ht="18.5" customHeight="1" spans="1:6">
      <c r="A310" s="22">
        <v>309</v>
      </c>
      <c r="B310" s="22" t="s">
        <v>2021</v>
      </c>
      <c r="C310" s="22" t="s">
        <v>379</v>
      </c>
      <c r="D310" s="22" t="s">
        <v>430</v>
      </c>
      <c r="E310" s="22" t="s">
        <v>1700</v>
      </c>
      <c r="F310" s="22" t="s">
        <v>12</v>
      </c>
    </row>
    <row r="311" ht="18.5" customHeight="1" spans="1:6">
      <c r="A311" s="23">
        <v>310</v>
      </c>
      <c r="B311" s="23" t="s">
        <v>2022</v>
      </c>
      <c r="C311" s="23" t="s">
        <v>379</v>
      </c>
      <c r="D311" s="23" t="s">
        <v>392</v>
      </c>
      <c r="E311" s="23" t="s">
        <v>1700</v>
      </c>
      <c r="F311" s="23" t="s">
        <v>12</v>
      </c>
    </row>
    <row r="312" ht="18.5" customHeight="1" spans="1:6">
      <c r="A312" s="22">
        <v>311</v>
      </c>
      <c r="B312" s="22" t="s">
        <v>2023</v>
      </c>
      <c r="C312" s="22" t="s">
        <v>379</v>
      </c>
      <c r="D312" s="22" t="s">
        <v>387</v>
      </c>
      <c r="E312" s="22" t="s">
        <v>1700</v>
      </c>
      <c r="F312" s="22" t="s">
        <v>12</v>
      </c>
    </row>
    <row r="313" ht="18.5" customHeight="1" spans="1:6">
      <c r="A313" s="23">
        <v>312</v>
      </c>
      <c r="B313" s="23" t="s">
        <v>2024</v>
      </c>
      <c r="C313" s="23" t="s">
        <v>379</v>
      </c>
      <c r="D313" s="23" t="s">
        <v>389</v>
      </c>
      <c r="E313" s="23" t="s">
        <v>1700</v>
      </c>
      <c r="F313" s="23" t="s">
        <v>12</v>
      </c>
    </row>
    <row r="314" ht="18.5" customHeight="1" spans="1:6">
      <c r="A314" s="22">
        <v>313</v>
      </c>
      <c r="B314" s="22" t="s">
        <v>2025</v>
      </c>
      <c r="C314" s="22" t="s">
        <v>379</v>
      </c>
      <c r="D314" s="22" t="s">
        <v>424</v>
      </c>
      <c r="E314" s="22" t="s">
        <v>1700</v>
      </c>
      <c r="F314" s="22" t="s">
        <v>12</v>
      </c>
    </row>
    <row r="315" ht="18.5" customHeight="1" spans="1:6">
      <c r="A315" s="23">
        <v>314</v>
      </c>
      <c r="B315" s="23" t="s">
        <v>2026</v>
      </c>
      <c r="C315" s="23" t="s">
        <v>448</v>
      </c>
      <c r="D315" s="23" t="s">
        <v>457</v>
      </c>
      <c r="E315" s="23" t="s">
        <v>1700</v>
      </c>
      <c r="F315" s="23" t="s">
        <v>12</v>
      </c>
    </row>
    <row r="316" ht="18.5" customHeight="1" spans="1:6">
      <c r="A316" s="22">
        <v>315</v>
      </c>
      <c r="B316" s="22" t="s">
        <v>2027</v>
      </c>
      <c r="C316" s="22" t="s">
        <v>448</v>
      </c>
      <c r="D316" s="22" t="s">
        <v>449</v>
      </c>
      <c r="E316" s="22" t="s">
        <v>1700</v>
      </c>
      <c r="F316" s="22" t="s">
        <v>12</v>
      </c>
    </row>
    <row r="317" ht="18.5" customHeight="1" spans="1:6">
      <c r="A317" s="23">
        <v>316</v>
      </c>
      <c r="B317" s="23" t="s">
        <v>2028</v>
      </c>
      <c r="C317" s="23" t="s">
        <v>448</v>
      </c>
      <c r="D317" s="23" t="s">
        <v>477</v>
      </c>
      <c r="E317" s="23" t="s">
        <v>1700</v>
      </c>
      <c r="F317" s="23" t="s">
        <v>12</v>
      </c>
    </row>
    <row r="318" ht="18.5" customHeight="1" spans="1:6">
      <c r="A318" s="22">
        <v>317</v>
      </c>
      <c r="B318" s="22" t="s">
        <v>2029</v>
      </c>
      <c r="C318" s="22" t="s">
        <v>448</v>
      </c>
      <c r="D318" s="22" t="s">
        <v>449</v>
      </c>
      <c r="E318" s="22" t="s">
        <v>1700</v>
      </c>
      <c r="F318" s="22" t="s">
        <v>12</v>
      </c>
    </row>
    <row r="319" ht="18.5" customHeight="1" spans="1:6">
      <c r="A319" s="23">
        <v>318</v>
      </c>
      <c r="B319" s="23" t="s">
        <v>2030</v>
      </c>
      <c r="C319" s="23" t="s">
        <v>448</v>
      </c>
      <c r="D319" s="23" t="s">
        <v>449</v>
      </c>
      <c r="E319" s="23" t="s">
        <v>1700</v>
      </c>
      <c r="F319" s="23" t="s">
        <v>12</v>
      </c>
    </row>
    <row r="320" ht="18.5" customHeight="1" spans="1:6">
      <c r="A320" s="22">
        <v>319</v>
      </c>
      <c r="B320" s="22" t="s">
        <v>2031</v>
      </c>
      <c r="C320" s="22" t="s">
        <v>448</v>
      </c>
      <c r="D320" s="22" t="s">
        <v>477</v>
      </c>
      <c r="E320" s="22" t="s">
        <v>1700</v>
      </c>
      <c r="F320" s="22" t="s">
        <v>12</v>
      </c>
    </row>
    <row r="321" ht="18.5" customHeight="1" spans="1:6">
      <c r="A321" s="23">
        <v>320</v>
      </c>
      <c r="B321" s="23" t="s">
        <v>2032</v>
      </c>
      <c r="C321" s="23" t="s">
        <v>448</v>
      </c>
      <c r="D321" s="23" t="s">
        <v>467</v>
      </c>
      <c r="E321" s="23" t="s">
        <v>1700</v>
      </c>
      <c r="F321" s="23" t="s">
        <v>12</v>
      </c>
    </row>
    <row r="322" ht="18.5" customHeight="1" spans="1:6">
      <c r="A322" s="22">
        <v>321</v>
      </c>
      <c r="B322" s="22" t="s">
        <v>2033</v>
      </c>
      <c r="C322" s="22" t="s">
        <v>448</v>
      </c>
      <c r="D322" s="22" t="s">
        <v>457</v>
      </c>
      <c r="E322" s="22" t="s">
        <v>1700</v>
      </c>
      <c r="F322" s="22" t="s">
        <v>12</v>
      </c>
    </row>
    <row r="323" ht="18.5" customHeight="1" spans="1:6">
      <c r="A323" s="23">
        <v>322</v>
      </c>
      <c r="B323" s="23" t="s">
        <v>2034</v>
      </c>
      <c r="C323" s="23" t="s">
        <v>448</v>
      </c>
      <c r="D323" s="23" t="s">
        <v>449</v>
      </c>
      <c r="E323" s="23" t="s">
        <v>1700</v>
      </c>
      <c r="F323" s="23" t="s">
        <v>12</v>
      </c>
    </row>
    <row r="324" ht="18.5" customHeight="1" spans="1:6">
      <c r="A324" s="22">
        <v>323</v>
      </c>
      <c r="B324" s="22" t="s">
        <v>2035</v>
      </c>
      <c r="C324" s="22" t="s">
        <v>448</v>
      </c>
      <c r="D324" s="22" t="s">
        <v>449</v>
      </c>
      <c r="E324" s="22" t="s">
        <v>1700</v>
      </c>
      <c r="F324" s="22" t="s">
        <v>12</v>
      </c>
    </row>
    <row r="325" ht="18.5" customHeight="1" spans="1:6">
      <c r="A325" s="23">
        <v>324</v>
      </c>
      <c r="B325" s="23" t="s">
        <v>2036</v>
      </c>
      <c r="C325" s="23" t="s">
        <v>448</v>
      </c>
      <c r="D325" s="23" t="s">
        <v>449</v>
      </c>
      <c r="E325" s="23" t="s">
        <v>1700</v>
      </c>
      <c r="F325" s="23" t="s">
        <v>12</v>
      </c>
    </row>
    <row r="326" ht="18.5" customHeight="1" spans="1:6">
      <c r="A326" s="22">
        <v>325</v>
      </c>
      <c r="B326" s="22" t="s">
        <v>2037</v>
      </c>
      <c r="C326" s="22" t="s">
        <v>448</v>
      </c>
      <c r="D326" s="22" t="s">
        <v>449</v>
      </c>
      <c r="E326" s="22" t="s">
        <v>1700</v>
      </c>
      <c r="F326" s="22" t="s">
        <v>12</v>
      </c>
    </row>
    <row r="327" ht="18.5" customHeight="1" spans="1:6">
      <c r="A327" s="23">
        <v>326</v>
      </c>
      <c r="B327" s="23" t="s">
        <v>2038</v>
      </c>
      <c r="C327" s="23" t="s">
        <v>448</v>
      </c>
      <c r="D327" s="23" t="s">
        <v>449</v>
      </c>
      <c r="E327" s="23" t="s">
        <v>1700</v>
      </c>
      <c r="F327" s="23" t="s">
        <v>12</v>
      </c>
    </row>
    <row r="328" ht="18.5" customHeight="1" spans="1:6">
      <c r="A328" s="22">
        <v>327</v>
      </c>
      <c r="B328" s="22" t="s">
        <v>2039</v>
      </c>
      <c r="C328" s="22" t="s">
        <v>448</v>
      </c>
      <c r="D328" s="22" t="s">
        <v>449</v>
      </c>
      <c r="E328" s="22" t="s">
        <v>1700</v>
      </c>
      <c r="F328" s="22" t="s">
        <v>12</v>
      </c>
    </row>
    <row r="329" ht="18.5" customHeight="1" spans="1:6">
      <c r="A329" s="23">
        <v>328</v>
      </c>
      <c r="B329" s="23" t="s">
        <v>2040</v>
      </c>
      <c r="C329" s="23" t="s">
        <v>448</v>
      </c>
      <c r="D329" s="23" t="s">
        <v>449</v>
      </c>
      <c r="E329" s="23" t="s">
        <v>1700</v>
      </c>
      <c r="F329" s="23" t="s">
        <v>12</v>
      </c>
    </row>
    <row r="330" ht="18.5" customHeight="1" spans="1:6">
      <c r="A330" s="22">
        <v>329</v>
      </c>
      <c r="B330" s="22" t="s">
        <v>2041</v>
      </c>
      <c r="C330" s="22" t="s">
        <v>448</v>
      </c>
      <c r="D330" s="22" t="s">
        <v>449</v>
      </c>
      <c r="E330" s="22" t="s">
        <v>1700</v>
      </c>
      <c r="F330" s="22" t="s">
        <v>12</v>
      </c>
    </row>
    <row r="331" ht="18.5" customHeight="1" spans="1:6">
      <c r="A331" s="23">
        <v>330</v>
      </c>
      <c r="B331" s="23" t="s">
        <v>2042</v>
      </c>
      <c r="C331" s="23" t="s">
        <v>448</v>
      </c>
      <c r="D331" s="23" t="s">
        <v>465</v>
      </c>
      <c r="E331" s="23" t="s">
        <v>1700</v>
      </c>
      <c r="F331" s="23" t="s">
        <v>12</v>
      </c>
    </row>
    <row r="332" ht="18.5" customHeight="1" spans="1:6">
      <c r="A332" s="22">
        <v>331</v>
      </c>
      <c r="B332" s="22" t="s">
        <v>2043</v>
      </c>
      <c r="C332" s="22" t="s">
        <v>448</v>
      </c>
      <c r="D332" s="22" t="s">
        <v>473</v>
      </c>
      <c r="E332" s="22" t="s">
        <v>1700</v>
      </c>
      <c r="F332" s="22" t="s">
        <v>12</v>
      </c>
    </row>
    <row r="333" ht="18.5" customHeight="1" spans="1:6">
      <c r="A333" s="23">
        <v>332</v>
      </c>
      <c r="B333" s="23" t="s">
        <v>2044</v>
      </c>
      <c r="C333" s="23" t="s">
        <v>448</v>
      </c>
      <c r="D333" s="23" t="s">
        <v>463</v>
      </c>
      <c r="E333" s="23" t="s">
        <v>1700</v>
      </c>
      <c r="F333" s="23" t="s">
        <v>12</v>
      </c>
    </row>
    <row r="334" ht="18.5" customHeight="1" spans="1:6">
      <c r="A334" s="22">
        <v>333</v>
      </c>
      <c r="B334" s="22" t="s">
        <v>2045</v>
      </c>
      <c r="C334" s="22" t="s">
        <v>448</v>
      </c>
      <c r="D334" s="22" t="s">
        <v>484</v>
      </c>
      <c r="E334" s="22" t="s">
        <v>1700</v>
      </c>
      <c r="F334" s="22" t="s">
        <v>12</v>
      </c>
    </row>
    <row r="335" ht="18.5" customHeight="1" spans="1:6">
      <c r="A335" s="23">
        <v>334</v>
      </c>
      <c r="B335" s="23" t="s">
        <v>2046</v>
      </c>
      <c r="C335" s="23" t="s">
        <v>448</v>
      </c>
      <c r="D335" s="23" t="s">
        <v>470</v>
      </c>
      <c r="E335" s="23" t="s">
        <v>1700</v>
      </c>
      <c r="F335" s="23" t="s">
        <v>12</v>
      </c>
    </row>
    <row r="336" ht="18.5" customHeight="1" spans="1:6">
      <c r="A336" s="22">
        <v>335</v>
      </c>
      <c r="B336" s="22" t="s">
        <v>2047</v>
      </c>
      <c r="C336" s="22" t="s">
        <v>448</v>
      </c>
      <c r="D336" s="22" t="s">
        <v>460</v>
      </c>
      <c r="E336" s="22" t="s">
        <v>1700</v>
      </c>
      <c r="F336" s="22" t="s">
        <v>12</v>
      </c>
    </row>
    <row r="337" ht="18.5" customHeight="1" spans="1:6">
      <c r="A337" s="23">
        <v>336</v>
      </c>
      <c r="B337" s="23" t="s">
        <v>2048</v>
      </c>
      <c r="C337" s="23" t="s">
        <v>448</v>
      </c>
      <c r="D337" s="23" t="s">
        <v>477</v>
      </c>
      <c r="E337" s="23" t="s">
        <v>1700</v>
      </c>
      <c r="F337" s="23" t="s">
        <v>12</v>
      </c>
    </row>
    <row r="338" ht="18.5" customHeight="1" spans="1:6">
      <c r="A338" s="22">
        <v>337</v>
      </c>
      <c r="B338" s="22" t="s">
        <v>2049</v>
      </c>
      <c r="C338" s="22" t="s">
        <v>448</v>
      </c>
      <c r="D338" s="22" t="s">
        <v>449</v>
      </c>
      <c r="E338" s="22" t="s">
        <v>1700</v>
      </c>
      <c r="F338" s="22" t="s">
        <v>12</v>
      </c>
    </row>
    <row r="339" ht="18.5" customHeight="1" spans="1:6">
      <c r="A339" s="23">
        <v>338</v>
      </c>
      <c r="B339" s="23" t="s">
        <v>2050</v>
      </c>
      <c r="C339" s="23" t="s">
        <v>448</v>
      </c>
      <c r="D339" s="23" t="s">
        <v>465</v>
      </c>
      <c r="E339" s="23" t="s">
        <v>1700</v>
      </c>
      <c r="F339" s="23" t="s">
        <v>12</v>
      </c>
    </row>
    <row r="340" ht="18.5" customHeight="1" spans="1:6">
      <c r="A340" s="22">
        <v>339</v>
      </c>
      <c r="B340" s="22" t="s">
        <v>2051</v>
      </c>
      <c r="C340" s="22" t="s">
        <v>448</v>
      </c>
      <c r="D340" s="22" t="s">
        <v>477</v>
      </c>
      <c r="E340" s="22" t="s">
        <v>1700</v>
      </c>
      <c r="F340" s="22" t="s">
        <v>12</v>
      </c>
    </row>
    <row r="341" ht="18.5" customHeight="1" spans="1:6">
      <c r="A341" s="23">
        <v>340</v>
      </c>
      <c r="B341" s="23" t="s">
        <v>2052</v>
      </c>
      <c r="C341" s="23" t="s">
        <v>448</v>
      </c>
      <c r="D341" s="23" t="s">
        <v>467</v>
      </c>
      <c r="E341" s="23" t="s">
        <v>1700</v>
      </c>
      <c r="F341" s="23" t="s">
        <v>12</v>
      </c>
    </row>
    <row r="342" ht="18.5" customHeight="1" spans="1:6">
      <c r="A342" s="22">
        <v>341</v>
      </c>
      <c r="B342" s="22" t="s">
        <v>2053</v>
      </c>
      <c r="C342" s="22" t="s">
        <v>448</v>
      </c>
      <c r="D342" s="22" t="s">
        <v>454</v>
      </c>
      <c r="E342" s="22" t="s">
        <v>1700</v>
      </c>
      <c r="F342" s="22" t="s">
        <v>12</v>
      </c>
    </row>
    <row r="343" ht="18.5" customHeight="1" spans="1:6">
      <c r="A343" s="23">
        <v>342</v>
      </c>
      <c r="B343" s="23" t="s">
        <v>2054</v>
      </c>
      <c r="C343" s="23" t="s">
        <v>448</v>
      </c>
      <c r="D343" s="23" t="s">
        <v>449</v>
      </c>
      <c r="E343" s="23" t="s">
        <v>1700</v>
      </c>
      <c r="F343" s="23" t="s">
        <v>12</v>
      </c>
    </row>
    <row r="344" ht="18.5" customHeight="1" spans="1:6">
      <c r="A344" s="22">
        <v>343</v>
      </c>
      <c r="B344" s="22" t="s">
        <v>2055</v>
      </c>
      <c r="C344" s="22" t="s">
        <v>448</v>
      </c>
      <c r="D344" s="22" t="s">
        <v>457</v>
      </c>
      <c r="E344" s="22" t="s">
        <v>1700</v>
      </c>
      <c r="F344" s="22" t="s">
        <v>12</v>
      </c>
    </row>
    <row r="345" ht="18.5" customHeight="1" spans="1:6">
      <c r="A345" s="23">
        <v>344</v>
      </c>
      <c r="B345" s="23" t="s">
        <v>2056</v>
      </c>
      <c r="C345" s="23" t="s">
        <v>448</v>
      </c>
      <c r="D345" s="23" t="s">
        <v>465</v>
      </c>
      <c r="E345" s="23" t="s">
        <v>1700</v>
      </c>
      <c r="F345" s="23" t="s">
        <v>12</v>
      </c>
    </row>
    <row r="346" ht="18.5" customHeight="1" spans="1:6">
      <c r="A346" s="22">
        <v>345</v>
      </c>
      <c r="B346" s="22" t="s">
        <v>2057</v>
      </c>
      <c r="C346" s="22" t="s">
        <v>448</v>
      </c>
      <c r="D346" s="22" t="s">
        <v>449</v>
      </c>
      <c r="E346" s="22" t="s">
        <v>1700</v>
      </c>
      <c r="F346" s="22" t="s">
        <v>12</v>
      </c>
    </row>
    <row r="347" ht="18.5" customHeight="1" spans="1:6">
      <c r="A347" s="23">
        <v>346</v>
      </c>
      <c r="B347" s="23" t="s">
        <v>2058</v>
      </c>
      <c r="C347" s="23" t="s">
        <v>448</v>
      </c>
      <c r="D347" s="23" t="s">
        <v>457</v>
      </c>
      <c r="E347" s="23" t="s">
        <v>1700</v>
      </c>
      <c r="F347" s="23" t="s">
        <v>12</v>
      </c>
    </row>
    <row r="348" ht="18.5" customHeight="1" spans="1:6">
      <c r="A348" s="22">
        <v>347</v>
      </c>
      <c r="B348" s="22" t="s">
        <v>2059</v>
      </c>
      <c r="C348" s="22" t="s">
        <v>448</v>
      </c>
      <c r="D348" s="22" t="s">
        <v>454</v>
      </c>
      <c r="E348" s="22" t="s">
        <v>1700</v>
      </c>
      <c r="F348" s="22" t="s">
        <v>12</v>
      </c>
    </row>
    <row r="349" ht="18.5" customHeight="1" spans="1:6">
      <c r="A349" s="23">
        <v>348</v>
      </c>
      <c r="B349" s="23" t="s">
        <v>2060</v>
      </c>
      <c r="C349" s="23" t="s">
        <v>448</v>
      </c>
      <c r="D349" s="23" t="s">
        <v>477</v>
      </c>
      <c r="E349" s="23" t="s">
        <v>1700</v>
      </c>
      <c r="F349" s="23" t="s">
        <v>12</v>
      </c>
    </row>
    <row r="350" ht="18.5" customHeight="1" spans="1:6">
      <c r="A350" s="22">
        <v>349</v>
      </c>
      <c r="B350" s="22" t="s">
        <v>2061</v>
      </c>
      <c r="C350" s="22" t="s">
        <v>502</v>
      </c>
      <c r="D350" s="22" t="s">
        <v>524</v>
      </c>
      <c r="E350" s="22" t="s">
        <v>1700</v>
      </c>
      <c r="F350" s="22" t="s">
        <v>12</v>
      </c>
    </row>
    <row r="351" ht="18.5" customHeight="1" spans="1:6">
      <c r="A351" s="23">
        <v>350</v>
      </c>
      <c r="B351" s="23" t="s">
        <v>2062</v>
      </c>
      <c r="C351" s="23" t="s">
        <v>502</v>
      </c>
      <c r="D351" s="23" t="s">
        <v>509</v>
      </c>
      <c r="E351" s="23" t="s">
        <v>1700</v>
      </c>
      <c r="F351" s="23" t="s">
        <v>12</v>
      </c>
    </row>
    <row r="352" ht="18.5" customHeight="1" spans="1:6">
      <c r="A352" s="22">
        <v>351</v>
      </c>
      <c r="B352" s="22" t="s">
        <v>2063</v>
      </c>
      <c r="C352" s="22" t="s">
        <v>502</v>
      </c>
      <c r="D352" s="22" t="s">
        <v>511</v>
      </c>
      <c r="E352" s="22" t="s">
        <v>1700</v>
      </c>
      <c r="F352" s="22" t="s">
        <v>12</v>
      </c>
    </row>
    <row r="353" ht="18.5" customHeight="1" spans="1:6">
      <c r="A353" s="23">
        <v>352</v>
      </c>
      <c r="B353" s="23" t="s">
        <v>2064</v>
      </c>
      <c r="C353" s="23" t="s">
        <v>502</v>
      </c>
      <c r="D353" s="23" t="s">
        <v>503</v>
      </c>
      <c r="E353" s="23" t="s">
        <v>1700</v>
      </c>
      <c r="F353" s="23" t="s">
        <v>12</v>
      </c>
    </row>
    <row r="354" ht="18.5" customHeight="1" spans="1:6">
      <c r="A354" s="22">
        <v>353</v>
      </c>
      <c r="B354" s="22" t="s">
        <v>2065</v>
      </c>
      <c r="C354" s="22" t="s">
        <v>502</v>
      </c>
      <c r="D354" s="22" t="s">
        <v>520</v>
      </c>
      <c r="E354" s="22" t="s">
        <v>1700</v>
      </c>
      <c r="F354" s="22" t="s">
        <v>12</v>
      </c>
    </row>
    <row r="355" ht="18.5" customHeight="1" spans="1:6">
      <c r="A355" s="23">
        <v>354</v>
      </c>
      <c r="B355" s="23" t="s">
        <v>2066</v>
      </c>
      <c r="C355" s="23" t="s">
        <v>502</v>
      </c>
      <c r="D355" s="23" t="s">
        <v>537</v>
      </c>
      <c r="E355" s="23" t="s">
        <v>1700</v>
      </c>
      <c r="F355" s="23" t="s">
        <v>12</v>
      </c>
    </row>
    <row r="356" ht="18.5" customHeight="1" spans="1:6">
      <c r="A356" s="22">
        <v>355</v>
      </c>
      <c r="B356" s="22" t="s">
        <v>2067</v>
      </c>
      <c r="C356" s="22" t="s">
        <v>502</v>
      </c>
      <c r="D356" s="22" t="s">
        <v>503</v>
      </c>
      <c r="E356" s="22" t="s">
        <v>1700</v>
      </c>
      <c r="F356" s="22" t="s">
        <v>12</v>
      </c>
    </row>
    <row r="357" ht="18.5" customHeight="1" spans="1:6">
      <c r="A357" s="23">
        <v>356</v>
      </c>
      <c r="B357" s="23" t="s">
        <v>2068</v>
      </c>
      <c r="C357" s="23" t="s">
        <v>502</v>
      </c>
      <c r="D357" s="23" t="s">
        <v>509</v>
      </c>
      <c r="E357" s="23" t="s">
        <v>1700</v>
      </c>
      <c r="F357" s="23" t="s">
        <v>12</v>
      </c>
    </row>
    <row r="358" ht="18.5" customHeight="1" spans="1:6">
      <c r="A358" s="22">
        <v>357</v>
      </c>
      <c r="B358" s="22" t="s">
        <v>2069</v>
      </c>
      <c r="C358" s="22" t="s">
        <v>502</v>
      </c>
      <c r="D358" s="22" t="s">
        <v>503</v>
      </c>
      <c r="E358" s="22" t="s">
        <v>1700</v>
      </c>
      <c r="F358" s="22" t="s">
        <v>12</v>
      </c>
    </row>
    <row r="359" ht="18.5" customHeight="1" spans="1:6">
      <c r="A359" s="23">
        <v>358</v>
      </c>
      <c r="B359" s="23" t="s">
        <v>2070</v>
      </c>
      <c r="C359" s="23" t="s">
        <v>502</v>
      </c>
      <c r="D359" s="23" t="s">
        <v>503</v>
      </c>
      <c r="E359" s="23" t="s">
        <v>1700</v>
      </c>
      <c r="F359" s="23" t="s">
        <v>12</v>
      </c>
    </row>
    <row r="360" ht="18.5" customHeight="1" spans="1:6">
      <c r="A360" s="22">
        <v>359</v>
      </c>
      <c r="B360" s="22" t="s">
        <v>2071</v>
      </c>
      <c r="C360" s="22" t="s">
        <v>502</v>
      </c>
      <c r="D360" s="22" t="s">
        <v>509</v>
      </c>
      <c r="E360" s="22" t="s">
        <v>1700</v>
      </c>
      <c r="F360" s="22" t="s">
        <v>12</v>
      </c>
    </row>
    <row r="361" ht="18.5" customHeight="1" spans="1:6">
      <c r="A361" s="23">
        <v>360</v>
      </c>
      <c r="B361" s="23" t="s">
        <v>2072</v>
      </c>
      <c r="C361" s="23" t="s">
        <v>502</v>
      </c>
      <c r="D361" s="23" t="s">
        <v>533</v>
      </c>
      <c r="E361" s="23" t="s">
        <v>1700</v>
      </c>
      <c r="F361" s="23" t="s">
        <v>12</v>
      </c>
    </row>
    <row r="362" ht="18.5" customHeight="1" spans="1:6">
      <c r="A362" s="22">
        <v>361</v>
      </c>
      <c r="B362" s="22" t="s">
        <v>2073</v>
      </c>
      <c r="C362" s="22" t="s">
        <v>502</v>
      </c>
      <c r="D362" s="22" t="s">
        <v>528</v>
      </c>
      <c r="E362" s="22" t="s">
        <v>1700</v>
      </c>
      <c r="F362" s="22" t="s">
        <v>12</v>
      </c>
    </row>
    <row r="363" ht="18.5" customHeight="1" spans="1:6">
      <c r="A363" s="23">
        <v>362</v>
      </c>
      <c r="B363" s="23" t="s">
        <v>2074</v>
      </c>
      <c r="C363" s="23" t="s">
        <v>502</v>
      </c>
      <c r="D363" s="23" t="s">
        <v>515</v>
      </c>
      <c r="E363" s="23" t="s">
        <v>1700</v>
      </c>
      <c r="F363" s="23" t="s">
        <v>12</v>
      </c>
    </row>
    <row r="364" ht="18.5" customHeight="1" spans="1:6">
      <c r="A364" s="22">
        <v>363</v>
      </c>
      <c r="B364" s="22" t="s">
        <v>2075</v>
      </c>
      <c r="C364" s="22" t="s">
        <v>502</v>
      </c>
      <c r="D364" s="22" t="s">
        <v>503</v>
      </c>
      <c r="E364" s="22" t="s">
        <v>1700</v>
      </c>
      <c r="F364" s="22" t="s">
        <v>12</v>
      </c>
    </row>
    <row r="365" ht="18.5" customHeight="1" spans="1:6">
      <c r="A365" s="23">
        <v>364</v>
      </c>
      <c r="B365" s="23" t="s">
        <v>2076</v>
      </c>
      <c r="C365" s="23" t="s">
        <v>502</v>
      </c>
      <c r="D365" s="23" t="s">
        <v>503</v>
      </c>
      <c r="E365" s="23" t="s">
        <v>1700</v>
      </c>
      <c r="F365" s="23" t="s">
        <v>12</v>
      </c>
    </row>
    <row r="366" ht="18.5" customHeight="1" spans="1:6">
      <c r="A366" s="22">
        <v>365</v>
      </c>
      <c r="B366" s="22" t="s">
        <v>2077</v>
      </c>
      <c r="C366" s="22" t="s">
        <v>502</v>
      </c>
      <c r="D366" s="22" t="s">
        <v>511</v>
      </c>
      <c r="E366" s="22" t="s">
        <v>1700</v>
      </c>
      <c r="F366" s="22" t="s">
        <v>12</v>
      </c>
    </row>
    <row r="367" ht="18.5" customHeight="1" spans="1:6">
      <c r="A367" s="23">
        <v>366</v>
      </c>
      <c r="B367" s="23" t="s">
        <v>2078</v>
      </c>
      <c r="C367" s="23" t="s">
        <v>502</v>
      </c>
      <c r="D367" s="23" t="s">
        <v>503</v>
      </c>
      <c r="E367" s="23" t="s">
        <v>1700</v>
      </c>
      <c r="F367" s="23" t="s">
        <v>12</v>
      </c>
    </row>
    <row r="368" ht="18.5" customHeight="1" spans="1:6">
      <c r="A368" s="22">
        <v>367</v>
      </c>
      <c r="B368" s="22" t="s">
        <v>2079</v>
      </c>
      <c r="C368" s="22" t="s">
        <v>502</v>
      </c>
      <c r="D368" s="22" t="s">
        <v>530</v>
      </c>
      <c r="E368" s="22" t="s">
        <v>1700</v>
      </c>
      <c r="F368" s="22" t="s">
        <v>12</v>
      </c>
    </row>
    <row r="369" ht="18.5" customHeight="1" spans="1:6">
      <c r="A369" s="23">
        <v>368</v>
      </c>
      <c r="B369" s="23" t="s">
        <v>2080</v>
      </c>
      <c r="C369" s="23" t="s">
        <v>502</v>
      </c>
      <c r="D369" s="23" t="s">
        <v>543</v>
      </c>
      <c r="E369" s="23" t="s">
        <v>1700</v>
      </c>
      <c r="F369" s="23" t="s">
        <v>12</v>
      </c>
    </row>
    <row r="370" ht="18.5" customHeight="1" spans="1:6">
      <c r="A370" s="22">
        <v>369</v>
      </c>
      <c r="B370" s="22" t="s">
        <v>2081</v>
      </c>
      <c r="C370" s="22" t="s">
        <v>502</v>
      </c>
      <c r="D370" s="22" t="s">
        <v>2082</v>
      </c>
      <c r="E370" s="22" t="s">
        <v>1700</v>
      </c>
      <c r="F370" s="22" t="s">
        <v>12</v>
      </c>
    </row>
    <row r="371" ht="18.5" customHeight="1" spans="1:6">
      <c r="A371" s="23">
        <v>370</v>
      </c>
      <c r="B371" s="23" t="s">
        <v>2083</v>
      </c>
      <c r="C371" s="23" t="s">
        <v>502</v>
      </c>
      <c r="D371" s="23" t="s">
        <v>503</v>
      </c>
      <c r="E371" s="23" t="s">
        <v>1700</v>
      </c>
      <c r="F371" s="23" t="s">
        <v>12</v>
      </c>
    </row>
    <row r="372" ht="18.5" customHeight="1" spans="1:6">
      <c r="A372" s="22">
        <v>371</v>
      </c>
      <c r="B372" s="22" t="s">
        <v>2084</v>
      </c>
      <c r="C372" s="22" t="s">
        <v>502</v>
      </c>
      <c r="D372" s="22" t="s">
        <v>503</v>
      </c>
      <c r="E372" s="22" t="s">
        <v>1700</v>
      </c>
      <c r="F372" s="22" t="s">
        <v>12</v>
      </c>
    </row>
    <row r="373" ht="18.5" customHeight="1" spans="1:6">
      <c r="A373" s="23">
        <v>372</v>
      </c>
      <c r="B373" s="23" t="s">
        <v>2085</v>
      </c>
      <c r="C373" s="23" t="s">
        <v>502</v>
      </c>
      <c r="D373" s="23" t="s">
        <v>507</v>
      </c>
      <c r="E373" s="23" t="s">
        <v>1700</v>
      </c>
      <c r="F373" s="23" t="s">
        <v>12</v>
      </c>
    </row>
    <row r="374" ht="18.5" customHeight="1" spans="1:6">
      <c r="A374" s="22">
        <v>373</v>
      </c>
      <c r="B374" s="22" t="s">
        <v>2086</v>
      </c>
      <c r="C374" s="22" t="s">
        <v>502</v>
      </c>
      <c r="D374" s="22" t="s">
        <v>503</v>
      </c>
      <c r="E374" s="22" t="s">
        <v>1700</v>
      </c>
      <c r="F374" s="22" t="s">
        <v>12</v>
      </c>
    </row>
    <row r="375" ht="18.5" customHeight="1" spans="1:6">
      <c r="A375" s="23">
        <v>374</v>
      </c>
      <c r="B375" s="23" t="s">
        <v>2087</v>
      </c>
      <c r="C375" s="23" t="s">
        <v>502</v>
      </c>
      <c r="D375" s="23" t="s">
        <v>511</v>
      </c>
      <c r="E375" s="23" t="s">
        <v>1700</v>
      </c>
      <c r="F375" s="23" t="s">
        <v>12</v>
      </c>
    </row>
    <row r="376" ht="18.5" customHeight="1" spans="1:6">
      <c r="A376" s="22">
        <v>375</v>
      </c>
      <c r="B376" s="22" t="s">
        <v>2088</v>
      </c>
      <c r="C376" s="22" t="s">
        <v>502</v>
      </c>
      <c r="D376" s="22" t="s">
        <v>503</v>
      </c>
      <c r="E376" s="22" t="s">
        <v>1700</v>
      </c>
      <c r="F376" s="22" t="s">
        <v>12</v>
      </c>
    </row>
    <row r="377" ht="18.5" customHeight="1" spans="1:6">
      <c r="A377" s="23">
        <v>376</v>
      </c>
      <c r="B377" s="23" t="s">
        <v>2089</v>
      </c>
      <c r="C377" s="23" t="s">
        <v>502</v>
      </c>
      <c r="D377" s="23" t="s">
        <v>503</v>
      </c>
      <c r="E377" s="23" t="s">
        <v>1700</v>
      </c>
      <c r="F377" s="23" t="s">
        <v>12</v>
      </c>
    </row>
    <row r="378" ht="18.5" customHeight="1" spans="1:6">
      <c r="A378" s="22">
        <v>377</v>
      </c>
      <c r="B378" s="22" t="s">
        <v>2090</v>
      </c>
      <c r="C378" s="22" t="s">
        <v>502</v>
      </c>
      <c r="D378" s="22" t="s">
        <v>545</v>
      </c>
      <c r="E378" s="22" t="s">
        <v>1700</v>
      </c>
      <c r="F378" s="22" t="s">
        <v>12</v>
      </c>
    </row>
    <row r="379" ht="18.5" customHeight="1" spans="1:6">
      <c r="A379" s="23">
        <v>378</v>
      </c>
      <c r="B379" s="23" t="s">
        <v>2091</v>
      </c>
      <c r="C379" s="23" t="s">
        <v>502</v>
      </c>
      <c r="D379" s="23" t="s">
        <v>528</v>
      </c>
      <c r="E379" s="23" t="s">
        <v>1700</v>
      </c>
      <c r="F379" s="23" t="s">
        <v>12</v>
      </c>
    </row>
    <row r="380" ht="18.5" customHeight="1" spans="1:6">
      <c r="A380" s="22">
        <v>379</v>
      </c>
      <c r="B380" s="22" t="s">
        <v>2092</v>
      </c>
      <c r="C380" s="22" t="s">
        <v>502</v>
      </c>
      <c r="D380" s="22" t="s">
        <v>522</v>
      </c>
      <c r="E380" s="22" t="s">
        <v>1700</v>
      </c>
      <c r="F380" s="22" t="s">
        <v>12</v>
      </c>
    </row>
    <row r="381" ht="18.5" customHeight="1" spans="1:6">
      <c r="A381" s="23">
        <v>380</v>
      </c>
      <c r="B381" s="23" t="s">
        <v>2093</v>
      </c>
      <c r="C381" s="23" t="s">
        <v>502</v>
      </c>
      <c r="D381" s="23" t="s">
        <v>503</v>
      </c>
      <c r="E381" s="23" t="s">
        <v>1700</v>
      </c>
      <c r="F381" s="23" t="s">
        <v>12</v>
      </c>
    </row>
    <row r="382" ht="18.5" customHeight="1" spans="1:6">
      <c r="A382" s="22">
        <v>381</v>
      </c>
      <c r="B382" s="22" t="s">
        <v>2094</v>
      </c>
      <c r="C382" s="22" t="s">
        <v>502</v>
      </c>
      <c r="D382" s="22" t="s">
        <v>507</v>
      </c>
      <c r="E382" s="22" t="s">
        <v>1700</v>
      </c>
      <c r="F382" s="22" t="s">
        <v>12</v>
      </c>
    </row>
    <row r="383" ht="18.5" customHeight="1" spans="1:6">
      <c r="A383" s="23">
        <v>382</v>
      </c>
      <c r="B383" s="23" t="s">
        <v>2095</v>
      </c>
      <c r="C383" s="23" t="s">
        <v>502</v>
      </c>
      <c r="D383" s="23" t="s">
        <v>503</v>
      </c>
      <c r="E383" s="23" t="s">
        <v>1700</v>
      </c>
      <c r="F383" s="23" t="s">
        <v>12</v>
      </c>
    </row>
    <row r="384" ht="18.5" customHeight="1" spans="1:6">
      <c r="A384" s="22">
        <v>383</v>
      </c>
      <c r="B384" s="22" t="s">
        <v>2096</v>
      </c>
      <c r="C384" s="22" t="s">
        <v>502</v>
      </c>
      <c r="D384" s="22" t="s">
        <v>503</v>
      </c>
      <c r="E384" s="22" t="s">
        <v>1700</v>
      </c>
      <c r="F384" s="22" t="s">
        <v>12</v>
      </c>
    </row>
    <row r="385" ht="18.5" customHeight="1" spans="1:6">
      <c r="A385" s="23">
        <v>384</v>
      </c>
      <c r="B385" s="23" t="s">
        <v>2097</v>
      </c>
      <c r="C385" s="23" t="s">
        <v>502</v>
      </c>
      <c r="D385" s="23" t="s">
        <v>503</v>
      </c>
      <c r="E385" s="23" t="s">
        <v>1700</v>
      </c>
      <c r="F385" s="23" t="s">
        <v>12</v>
      </c>
    </row>
    <row r="386" ht="18.5" customHeight="1" spans="1:6">
      <c r="A386" s="22">
        <v>385</v>
      </c>
      <c r="B386" s="22" t="s">
        <v>2098</v>
      </c>
      <c r="C386" s="22" t="s">
        <v>502</v>
      </c>
      <c r="D386" s="22" t="s">
        <v>503</v>
      </c>
      <c r="E386" s="22" t="s">
        <v>1700</v>
      </c>
      <c r="F386" s="22" t="s">
        <v>12</v>
      </c>
    </row>
    <row r="387" ht="18.5" customHeight="1" spans="1:6">
      <c r="A387" s="23">
        <v>386</v>
      </c>
      <c r="B387" s="23" t="s">
        <v>2099</v>
      </c>
      <c r="C387" s="23" t="s">
        <v>502</v>
      </c>
      <c r="D387" s="23" t="s">
        <v>503</v>
      </c>
      <c r="E387" s="23" t="s">
        <v>1700</v>
      </c>
      <c r="F387" s="23" t="s">
        <v>12</v>
      </c>
    </row>
    <row r="388" ht="18.5" customHeight="1" spans="1:6">
      <c r="A388" s="22">
        <v>387</v>
      </c>
      <c r="B388" s="22" t="s">
        <v>2100</v>
      </c>
      <c r="C388" s="22" t="s">
        <v>502</v>
      </c>
      <c r="D388" s="22" t="s">
        <v>503</v>
      </c>
      <c r="E388" s="22" t="s">
        <v>1700</v>
      </c>
      <c r="F388" s="22" t="s">
        <v>12</v>
      </c>
    </row>
    <row r="389" ht="18.5" customHeight="1" spans="1:6">
      <c r="A389" s="23">
        <v>388</v>
      </c>
      <c r="B389" s="23" t="s">
        <v>2101</v>
      </c>
      <c r="C389" s="23" t="s">
        <v>502</v>
      </c>
      <c r="D389" s="23" t="s">
        <v>503</v>
      </c>
      <c r="E389" s="23" t="s">
        <v>1700</v>
      </c>
      <c r="F389" s="23" t="s">
        <v>12</v>
      </c>
    </row>
    <row r="390" ht="18.5" customHeight="1" spans="1:6">
      <c r="A390" s="22">
        <v>389</v>
      </c>
      <c r="B390" s="22" t="s">
        <v>2102</v>
      </c>
      <c r="C390" s="22" t="s">
        <v>502</v>
      </c>
      <c r="D390" s="22" t="s">
        <v>537</v>
      </c>
      <c r="E390" s="22" t="s">
        <v>1700</v>
      </c>
      <c r="F390" s="22" t="s">
        <v>12</v>
      </c>
    </row>
    <row r="391" ht="18.5" customHeight="1" spans="1:6">
      <c r="A391" s="23">
        <v>390</v>
      </c>
      <c r="B391" s="23" t="s">
        <v>2103</v>
      </c>
      <c r="C391" s="23" t="s">
        <v>502</v>
      </c>
      <c r="D391" s="23" t="s">
        <v>522</v>
      </c>
      <c r="E391" s="23" t="s">
        <v>1700</v>
      </c>
      <c r="F391" s="23" t="s">
        <v>12</v>
      </c>
    </row>
    <row r="392" ht="18.5" customHeight="1" spans="1:6">
      <c r="A392" s="22">
        <v>391</v>
      </c>
      <c r="B392" s="22" t="s">
        <v>2104</v>
      </c>
      <c r="C392" s="22" t="s">
        <v>502</v>
      </c>
      <c r="D392" s="22" t="s">
        <v>503</v>
      </c>
      <c r="E392" s="22" t="s">
        <v>1700</v>
      </c>
      <c r="F392" s="22" t="s">
        <v>12</v>
      </c>
    </row>
    <row r="393" ht="18.5" customHeight="1" spans="1:6">
      <c r="A393" s="23">
        <v>392</v>
      </c>
      <c r="B393" s="23" t="s">
        <v>2105</v>
      </c>
      <c r="C393" s="23" t="s">
        <v>502</v>
      </c>
      <c r="D393" s="23" t="s">
        <v>507</v>
      </c>
      <c r="E393" s="23" t="s">
        <v>1700</v>
      </c>
      <c r="F393" s="23" t="s">
        <v>12</v>
      </c>
    </row>
    <row r="394" ht="18.5" customHeight="1" spans="1:6">
      <c r="A394" s="22">
        <v>393</v>
      </c>
      <c r="B394" s="22" t="s">
        <v>2106</v>
      </c>
      <c r="C394" s="22" t="s">
        <v>502</v>
      </c>
      <c r="D394" s="22" t="s">
        <v>522</v>
      </c>
      <c r="E394" s="22" t="s">
        <v>1700</v>
      </c>
      <c r="F394" s="22" t="s">
        <v>12</v>
      </c>
    </row>
    <row r="395" ht="18.5" customHeight="1" spans="1:6">
      <c r="A395" s="23">
        <v>394</v>
      </c>
      <c r="B395" s="23" t="s">
        <v>2107</v>
      </c>
      <c r="C395" s="23" t="s">
        <v>502</v>
      </c>
      <c r="D395" s="23" t="s">
        <v>526</v>
      </c>
      <c r="E395" s="23" t="s">
        <v>1700</v>
      </c>
      <c r="F395" s="23" t="s">
        <v>12</v>
      </c>
    </row>
    <row r="396" ht="18.5" customHeight="1" spans="1:6">
      <c r="A396" s="22">
        <v>395</v>
      </c>
      <c r="B396" s="22" t="s">
        <v>2108</v>
      </c>
      <c r="C396" s="22" t="s">
        <v>502</v>
      </c>
      <c r="D396" s="22" t="s">
        <v>530</v>
      </c>
      <c r="E396" s="22" t="s">
        <v>1700</v>
      </c>
      <c r="F396" s="22" t="s">
        <v>12</v>
      </c>
    </row>
    <row r="397" ht="18.5" customHeight="1" spans="1:6">
      <c r="A397" s="23">
        <v>396</v>
      </c>
      <c r="B397" s="23" t="s">
        <v>2109</v>
      </c>
      <c r="C397" s="23" t="s">
        <v>502</v>
      </c>
      <c r="D397" s="23" t="s">
        <v>503</v>
      </c>
      <c r="E397" s="23" t="s">
        <v>1700</v>
      </c>
      <c r="F397" s="23" t="s">
        <v>12</v>
      </c>
    </row>
    <row r="398" ht="18.5" customHeight="1" spans="1:6">
      <c r="A398" s="22">
        <v>397</v>
      </c>
      <c r="B398" s="22" t="s">
        <v>2110</v>
      </c>
      <c r="C398" s="22" t="s">
        <v>502</v>
      </c>
      <c r="D398" s="22" t="s">
        <v>528</v>
      </c>
      <c r="E398" s="22" t="s">
        <v>1700</v>
      </c>
      <c r="F398" s="22" t="s">
        <v>12</v>
      </c>
    </row>
    <row r="399" ht="18.5" customHeight="1" spans="1:6">
      <c r="A399" s="23">
        <v>398</v>
      </c>
      <c r="B399" s="23" t="s">
        <v>2111</v>
      </c>
      <c r="C399" s="23" t="s">
        <v>502</v>
      </c>
      <c r="D399" s="23" t="s">
        <v>503</v>
      </c>
      <c r="E399" s="23" t="s">
        <v>1700</v>
      </c>
      <c r="F399" s="23" t="s">
        <v>12</v>
      </c>
    </row>
    <row r="400" ht="18.5" customHeight="1" spans="1:6">
      <c r="A400" s="22">
        <v>399</v>
      </c>
      <c r="B400" s="22" t="s">
        <v>2112</v>
      </c>
      <c r="C400" s="22" t="s">
        <v>502</v>
      </c>
      <c r="D400" s="22" t="s">
        <v>522</v>
      </c>
      <c r="E400" s="22" t="s">
        <v>1700</v>
      </c>
      <c r="F400" s="22" t="s">
        <v>12</v>
      </c>
    </row>
    <row r="401" ht="18.5" customHeight="1" spans="1:6">
      <c r="A401" s="23">
        <v>400</v>
      </c>
      <c r="B401" s="23" t="s">
        <v>2113</v>
      </c>
      <c r="C401" s="23" t="s">
        <v>502</v>
      </c>
      <c r="D401" s="23" t="s">
        <v>503</v>
      </c>
      <c r="E401" s="23" t="s">
        <v>1700</v>
      </c>
      <c r="F401" s="23" t="s">
        <v>12</v>
      </c>
    </row>
    <row r="402" ht="18.5" customHeight="1" spans="1:6">
      <c r="A402" s="22">
        <v>401</v>
      </c>
      <c r="B402" s="22" t="s">
        <v>2114</v>
      </c>
      <c r="C402" s="22" t="s">
        <v>502</v>
      </c>
      <c r="D402" s="22" t="s">
        <v>543</v>
      </c>
      <c r="E402" s="22" t="s">
        <v>1700</v>
      </c>
      <c r="F402" s="22" t="s">
        <v>12</v>
      </c>
    </row>
    <row r="403" ht="18.5" customHeight="1" spans="1:6">
      <c r="A403" s="23">
        <v>402</v>
      </c>
      <c r="B403" s="23" t="s">
        <v>2115</v>
      </c>
      <c r="C403" s="23" t="s">
        <v>502</v>
      </c>
      <c r="D403" s="23" t="s">
        <v>533</v>
      </c>
      <c r="E403" s="23" t="s">
        <v>1700</v>
      </c>
      <c r="F403" s="23" t="s">
        <v>12</v>
      </c>
    </row>
    <row r="404" ht="18.5" customHeight="1" spans="1:6">
      <c r="A404" s="22">
        <v>403</v>
      </c>
      <c r="B404" s="22" t="s">
        <v>2116</v>
      </c>
      <c r="C404" s="22" t="s">
        <v>502</v>
      </c>
      <c r="D404" s="22" t="s">
        <v>520</v>
      </c>
      <c r="E404" s="22" t="s">
        <v>1700</v>
      </c>
      <c r="F404" s="22" t="s">
        <v>12</v>
      </c>
    </row>
    <row r="405" ht="18.5" customHeight="1" spans="1:6">
      <c r="A405" s="23">
        <v>404</v>
      </c>
      <c r="B405" s="23" t="s">
        <v>2117</v>
      </c>
      <c r="C405" s="23" t="s">
        <v>553</v>
      </c>
      <c r="D405" s="23" t="s">
        <v>558</v>
      </c>
      <c r="E405" s="23" t="s">
        <v>1700</v>
      </c>
      <c r="F405" s="23" t="s">
        <v>12</v>
      </c>
    </row>
    <row r="406" ht="18.5" customHeight="1" spans="1:6">
      <c r="A406" s="22">
        <v>405</v>
      </c>
      <c r="B406" s="22" t="s">
        <v>2118</v>
      </c>
      <c r="C406" s="22" t="s">
        <v>553</v>
      </c>
      <c r="D406" s="22" t="s">
        <v>572</v>
      </c>
      <c r="E406" s="22" t="s">
        <v>1700</v>
      </c>
      <c r="F406" s="22" t="s">
        <v>12</v>
      </c>
    </row>
    <row r="407" ht="18.5" customHeight="1" spans="1:6">
      <c r="A407" s="23">
        <v>406</v>
      </c>
      <c r="B407" s="23" t="s">
        <v>2119</v>
      </c>
      <c r="C407" s="23" t="s">
        <v>553</v>
      </c>
      <c r="D407" s="23" t="s">
        <v>577</v>
      </c>
      <c r="E407" s="23" t="s">
        <v>1700</v>
      </c>
      <c r="F407" s="23" t="s">
        <v>12</v>
      </c>
    </row>
    <row r="408" ht="18.5" customHeight="1" spans="1:6">
      <c r="A408" s="22">
        <v>407</v>
      </c>
      <c r="B408" s="22" t="s">
        <v>2120</v>
      </c>
      <c r="C408" s="22" t="s">
        <v>553</v>
      </c>
      <c r="D408" s="22" t="s">
        <v>558</v>
      </c>
      <c r="E408" s="22" t="s">
        <v>1700</v>
      </c>
      <c r="F408" s="22" t="s">
        <v>12</v>
      </c>
    </row>
    <row r="409" ht="18.5" customHeight="1" spans="1:6">
      <c r="A409" s="23">
        <v>408</v>
      </c>
      <c r="B409" s="23" t="s">
        <v>2121</v>
      </c>
      <c r="C409" s="23" t="s">
        <v>553</v>
      </c>
      <c r="D409" s="23" t="s">
        <v>567</v>
      </c>
      <c r="E409" s="23" t="s">
        <v>1700</v>
      </c>
      <c r="F409" s="23" t="s">
        <v>12</v>
      </c>
    </row>
    <row r="410" ht="18.5" customHeight="1" spans="1:6">
      <c r="A410" s="22">
        <v>409</v>
      </c>
      <c r="B410" s="22" t="s">
        <v>2122</v>
      </c>
      <c r="C410" s="22" t="s">
        <v>553</v>
      </c>
      <c r="D410" s="22" t="s">
        <v>558</v>
      </c>
      <c r="E410" s="22" t="s">
        <v>1700</v>
      </c>
      <c r="F410" s="22" t="s">
        <v>12</v>
      </c>
    </row>
    <row r="411" ht="18.5" customHeight="1" spans="1:6">
      <c r="A411" s="23">
        <v>410</v>
      </c>
      <c r="B411" s="23" t="s">
        <v>2123</v>
      </c>
      <c r="C411" s="23" t="s">
        <v>553</v>
      </c>
      <c r="D411" s="23" t="s">
        <v>575</v>
      </c>
      <c r="E411" s="23" t="s">
        <v>1700</v>
      </c>
      <c r="F411" s="23" t="s">
        <v>12</v>
      </c>
    </row>
    <row r="412" ht="18.5" customHeight="1" spans="1:6">
      <c r="A412" s="22">
        <v>411</v>
      </c>
      <c r="B412" s="22" t="s">
        <v>2124</v>
      </c>
      <c r="C412" s="22" t="s">
        <v>553</v>
      </c>
      <c r="D412" s="22" t="s">
        <v>556</v>
      </c>
      <c r="E412" s="22" t="s">
        <v>1700</v>
      </c>
      <c r="F412" s="22" t="s">
        <v>12</v>
      </c>
    </row>
    <row r="413" ht="18.5" customHeight="1" spans="1:6">
      <c r="A413" s="23">
        <v>412</v>
      </c>
      <c r="B413" s="23" t="s">
        <v>2125</v>
      </c>
      <c r="C413" s="23" t="s">
        <v>553</v>
      </c>
      <c r="D413" s="23" t="s">
        <v>554</v>
      </c>
      <c r="E413" s="23" t="s">
        <v>1700</v>
      </c>
      <c r="F413" s="23" t="s">
        <v>12</v>
      </c>
    </row>
    <row r="414" ht="18.5" customHeight="1" spans="1:6">
      <c r="A414" s="22">
        <v>413</v>
      </c>
      <c r="B414" s="22" t="s">
        <v>2126</v>
      </c>
      <c r="C414" s="22" t="s">
        <v>553</v>
      </c>
      <c r="D414" s="22" t="s">
        <v>558</v>
      </c>
      <c r="E414" s="22" t="s">
        <v>1700</v>
      </c>
      <c r="F414" s="22" t="s">
        <v>12</v>
      </c>
    </row>
    <row r="415" ht="18.5" customHeight="1" spans="1:6">
      <c r="A415" s="23">
        <v>414</v>
      </c>
      <c r="B415" s="23" t="s">
        <v>2127</v>
      </c>
      <c r="C415" s="23" t="s">
        <v>553</v>
      </c>
      <c r="D415" s="23" t="s">
        <v>558</v>
      </c>
      <c r="E415" s="23" t="s">
        <v>1700</v>
      </c>
      <c r="F415" s="23" t="s">
        <v>12</v>
      </c>
    </row>
    <row r="416" ht="18.5" customHeight="1" spans="1:6">
      <c r="A416" s="22">
        <v>415</v>
      </c>
      <c r="B416" s="22" t="s">
        <v>2128</v>
      </c>
      <c r="C416" s="22" t="s">
        <v>553</v>
      </c>
      <c r="D416" s="22" t="s">
        <v>556</v>
      </c>
      <c r="E416" s="22" t="s">
        <v>1700</v>
      </c>
      <c r="F416" s="22" t="s">
        <v>12</v>
      </c>
    </row>
    <row r="417" ht="18.5" customHeight="1" spans="1:6">
      <c r="A417" s="23">
        <v>416</v>
      </c>
      <c r="B417" s="23" t="s">
        <v>2129</v>
      </c>
      <c r="C417" s="23" t="s">
        <v>553</v>
      </c>
      <c r="D417" s="23" t="s">
        <v>567</v>
      </c>
      <c r="E417" s="23" t="s">
        <v>1700</v>
      </c>
      <c r="F417" s="23" t="s">
        <v>12</v>
      </c>
    </row>
    <row r="418" ht="18.5" customHeight="1" spans="1:6">
      <c r="A418" s="22">
        <v>417</v>
      </c>
      <c r="B418" s="22" t="s">
        <v>2130</v>
      </c>
      <c r="C418" s="22" t="s">
        <v>553</v>
      </c>
      <c r="D418" s="22" t="s">
        <v>556</v>
      </c>
      <c r="E418" s="22" t="s">
        <v>1700</v>
      </c>
      <c r="F418" s="22" t="s">
        <v>12</v>
      </c>
    </row>
    <row r="419" ht="18.5" customHeight="1" spans="1:6">
      <c r="A419" s="23">
        <v>418</v>
      </c>
      <c r="B419" s="23" t="s">
        <v>2131</v>
      </c>
      <c r="C419" s="23" t="s">
        <v>553</v>
      </c>
      <c r="D419" s="23" t="s">
        <v>581</v>
      </c>
      <c r="E419" s="23" t="s">
        <v>1700</v>
      </c>
      <c r="F419" s="23" t="s">
        <v>12</v>
      </c>
    </row>
    <row r="420" ht="18.5" customHeight="1" spans="1:6">
      <c r="A420" s="22">
        <v>419</v>
      </c>
      <c r="B420" s="22" t="s">
        <v>2132</v>
      </c>
      <c r="C420" s="22" t="s">
        <v>553</v>
      </c>
      <c r="D420" s="22" t="s">
        <v>558</v>
      </c>
      <c r="E420" s="22" t="s">
        <v>1700</v>
      </c>
      <c r="F420" s="22" t="s">
        <v>12</v>
      </c>
    </row>
    <row r="421" ht="18.5" customHeight="1" spans="1:6">
      <c r="A421" s="23">
        <v>420</v>
      </c>
      <c r="B421" s="23" t="s">
        <v>2133</v>
      </c>
      <c r="C421" s="23" t="s">
        <v>553</v>
      </c>
      <c r="D421" s="23" t="s">
        <v>558</v>
      </c>
      <c r="E421" s="23" t="s">
        <v>1700</v>
      </c>
      <c r="F421" s="23" t="s">
        <v>12</v>
      </c>
    </row>
    <row r="422" ht="18.5" customHeight="1" spans="1:6">
      <c r="A422" s="22">
        <v>421</v>
      </c>
      <c r="B422" s="22" t="s">
        <v>2134</v>
      </c>
      <c r="C422" s="22" t="s">
        <v>553</v>
      </c>
      <c r="D422" s="22" t="s">
        <v>558</v>
      </c>
      <c r="E422" s="22" t="s">
        <v>1700</v>
      </c>
      <c r="F422" s="22" t="s">
        <v>12</v>
      </c>
    </row>
    <row r="423" ht="18.5" customHeight="1" spans="1:6">
      <c r="A423" s="23">
        <v>422</v>
      </c>
      <c r="B423" s="23" t="s">
        <v>2135</v>
      </c>
      <c r="C423" s="23" t="s">
        <v>553</v>
      </c>
      <c r="D423" s="23" t="s">
        <v>554</v>
      </c>
      <c r="E423" s="23" t="s">
        <v>1700</v>
      </c>
      <c r="F423" s="23" t="s">
        <v>12</v>
      </c>
    </row>
    <row r="424" ht="18.5" customHeight="1" spans="1:6">
      <c r="A424" s="22">
        <v>423</v>
      </c>
      <c r="B424" s="22" t="s">
        <v>2136</v>
      </c>
      <c r="C424" s="22" t="s">
        <v>553</v>
      </c>
      <c r="D424" s="22" t="s">
        <v>556</v>
      </c>
      <c r="E424" s="22" t="s">
        <v>1700</v>
      </c>
      <c r="F424" s="22" t="s">
        <v>12</v>
      </c>
    </row>
    <row r="425" ht="18.5" customHeight="1" spans="1:6">
      <c r="A425" s="23">
        <v>424</v>
      </c>
      <c r="B425" s="23" t="s">
        <v>2137</v>
      </c>
      <c r="C425" s="23" t="s">
        <v>553</v>
      </c>
      <c r="D425" s="23" t="s">
        <v>575</v>
      </c>
      <c r="E425" s="23" t="s">
        <v>1700</v>
      </c>
      <c r="F425" s="23" t="s">
        <v>12</v>
      </c>
    </row>
    <row r="426" ht="18.5" customHeight="1" spans="1:6">
      <c r="A426" s="22">
        <v>425</v>
      </c>
      <c r="B426" s="22" t="s">
        <v>2138</v>
      </c>
      <c r="C426" s="22" t="s">
        <v>553</v>
      </c>
      <c r="D426" s="22" t="s">
        <v>569</v>
      </c>
      <c r="E426" s="22" t="s">
        <v>1700</v>
      </c>
      <c r="F426" s="22" t="s">
        <v>12</v>
      </c>
    </row>
    <row r="427" ht="18.5" customHeight="1" spans="1:6">
      <c r="A427" s="23">
        <v>426</v>
      </c>
      <c r="B427" s="23" t="s">
        <v>2139</v>
      </c>
      <c r="C427" s="23" t="s">
        <v>553</v>
      </c>
      <c r="D427" s="23" t="s">
        <v>558</v>
      </c>
      <c r="E427" s="23" t="s">
        <v>1700</v>
      </c>
      <c r="F427" s="23" t="s">
        <v>12</v>
      </c>
    </row>
    <row r="428" ht="18.5" customHeight="1" spans="1:6">
      <c r="A428" s="22">
        <v>427</v>
      </c>
      <c r="B428" s="22" t="s">
        <v>2140</v>
      </c>
      <c r="C428" s="22" t="s">
        <v>553</v>
      </c>
      <c r="D428" s="22" t="s">
        <v>572</v>
      </c>
      <c r="E428" s="22" t="s">
        <v>1700</v>
      </c>
      <c r="F428" s="22" t="s">
        <v>12</v>
      </c>
    </row>
    <row r="429" ht="18.5" customHeight="1" spans="1:6">
      <c r="A429" s="23">
        <v>428</v>
      </c>
      <c r="B429" s="23" t="s">
        <v>2141</v>
      </c>
      <c r="C429" s="23" t="s">
        <v>553</v>
      </c>
      <c r="D429" s="23" t="s">
        <v>572</v>
      </c>
      <c r="E429" s="23" t="s">
        <v>1700</v>
      </c>
      <c r="F429" s="23" t="s">
        <v>12</v>
      </c>
    </row>
    <row r="430" ht="18.5" customHeight="1" spans="1:6">
      <c r="A430" s="22">
        <v>429</v>
      </c>
      <c r="B430" s="22" t="s">
        <v>2142</v>
      </c>
      <c r="C430" s="22" t="s">
        <v>553</v>
      </c>
      <c r="D430" s="22" t="s">
        <v>556</v>
      </c>
      <c r="E430" s="22" t="s">
        <v>1700</v>
      </c>
      <c r="F430" s="22" t="s">
        <v>12</v>
      </c>
    </row>
    <row r="431" ht="18.5" customHeight="1" spans="1:6">
      <c r="A431" s="23">
        <v>430</v>
      </c>
      <c r="B431" s="23" t="s">
        <v>2143</v>
      </c>
      <c r="C431" s="23" t="s">
        <v>553</v>
      </c>
      <c r="D431" s="23" t="s">
        <v>558</v>
      </c>
      <c r="E431" s="23" t="s">
        <v>1700</v>
      </c>
      <c r="F431" s="23" t="s">
        <v>12</v>
      </c>
    </row>
    <row r="432" ht="18.5" customHeight="1" spans="1:6">
      <c r="A432" s="22">
        <v>431</v>
      </c>
      <c r="B432" s="22" t="s">
        <v>2144</v>
      </c>
      <c r="C432" s="22" t="s">
        <v>587</v>
      </c>
      <c r="D432" s="22" t="s">
        <v>602</v>
      </c>
      <c r="E432" s="22" t="s">
        <v>1700</v>
      </c>
      <c r="F432" s="22" t="s">
        <v>12</v>
      </c>
    </row>
    <row r="433" ht="18.5" customHeight="1" spans="1:6">
      <c r="A433" s="23">
        <v>432</v>
      </c>
      <c r="B433" s="23" t="s">
        <v>2145</v>
      </c>
      <c r="C433" s="23" t="s">
        <v>587</v>
      </c>
      <c r="D433" s="23" t="s">
        <v>591</v>
      </c>
      <c r="E433" s="23" t="s">
        <v>1700</v>
      </c>
      <c r="F433" s="23" t="s">
        <v>12</v>
      </c>
    </row>
    <row r="434" ht="18.5" customHeight="1" spans="1:6">
      <c r="A434" s="22">
        <v>433</v>
      </c>
      <c r="B434" s="22" t="s">
        <v>2146</v>
      </c>
      <c r="C434" s="22" t="s">
        <v>587</v>
      </c>
      <c r="D434" s="22" t="s">
        <v>588</v>
      </c>
      <c r="E434" s="22" t="s">
        <v>1700</v>
      </c>
      <c r="F434" s="22" t="s">
        <v>12</v>
      </c>
    </row>
    <row r="435" ht="18.5" customHeight="1" spans="1:6">
      <c r="A435" s="23">
        <v>434</v>
      </c>
      <c r="B435" s="23" t="s">
        <v>2147</v>
      </c>
      <c r="C435" s="23" t="s">
        <v>587</v>
      </c>
      <c r="D435" s="23" t="s">
        <v>602</v>
      </c>
      <c r="E435" s="23" t="s">
        <v>1700</v>
      </c>
      <c r="F435" s="23" t="s">
        <v>12</v>
      </c>
    </row>
    <row r="436" ht="18.5" customHeight="1" spans="1:6">
      <c r="A436" s="22">
        <v>435</v>
      </c>
      <c r="B436" s="22" t="s">
        <v>2148</v>
      </c>
      <c r="C436" s="22" t="s">
        <v>587</v>
      </c>
      <c r="D436" s="22" t="s">
        <v>618</v>
      </c>
      <c r="E436" s="22" t="s">
        <v>1700</v>
      </c>
      <c r="F436" s="22" t="s">
        <v>12</v>
      </c>
    </row>
    <row r="437" ht="18.5" customHeight="1" spans="1:6">
      <c r="A437" s="23">
        <v>436</v>
      </c>
      <c r="B437" s="23" t="s">
        <v>2149</v>
      </c>
      <c r="C437" s="23" t="s">
        <v>587</v>
      </c>
      <c r="D437" s="23" t="s">
        <v>588</v>
      </c>
      <c r="E437" s="23" t="s">
        <v>1700</v>
      </c>
      <c r="F437" s="23" t="s">
        <v>12</v>
      </c>
    </row>
    <row r="438" ht="18.5" customHeight="1" spans="1:6">
      <c r="A438" s="22">
        <v>437</v>
      </c>
      <c r="B438" s="22" t="s">
        <v>2150</v>
      </c>
      <c r="C438" s="22" t="s">
        <v>587</v>
      </c>
      <c r="D438" s="22" t="s">
        <v>596</v>
      </c>
      <c r="E438" s="22" t="s">
        <v>1700</v>
      </c>
      <c r="F438" s="22" t="s">
        <v>12</v>
      </c>
    </row>
    <row r="439" ht="18.5" customHeight="1" spans="1:6">
      <c r="A439" s="23">
        <v>438</v>
      </c>
      <c r="B439" s="23" t="s">
        <v>2151</v>
      </c>
      <c r="C439" s="23" t="s">
        <v>587</v>
      </c>
      <c r="D439" s="23" t="s">
        <v>588</v>
      </c>
      <c r="E439" s="23" t="s">
        <v>1700</v>
      </c>
      <c r="F439" s="23" t="s">
        <v>12</v>
      </c>
    </row>
    <row r="440" ht="18.5" customHeight="1" spans="1:6">
      <c r="A440" s="22">
        <v>439</v>
      </c>
      <c r="B440" s="22" t="s">
        <v>2152</v>
      </c>
      <c r="C440" s="22" t="s">
        <v>587</v>
      </c>
      <c r="D440" s="22" t="s">
        <v>588</v>
      </c>
      <c r="E440" s="22" t="s">
        <v>1700</v>
      </c>
      <c r="F440" s="22" t="s">
        <v>12</v>
      </c>
    </row>
    <row r="441" ht="18.5" customHeight="1" spans="1:6">
      <c r="A441" s="23">
        <v>440</v>
      </c>
      <c r="B441" s="23" t="s">
        <v>2153</v>
      </c>
      <c r="C441" s="23" t="s">
        <v>587</v>
      </c>
      <c r="D441" s="23" t="s">
        <v>594</v>
      </c>
      <c r="E441" s="23" t="s">
        <v>1700</v>
      </c>
      <c r="F441" s="23" t="s">
        <v>12</v>
      </c>
    </row>
    <row r="442" ht="18.5" customHeight="1" spans="1:6">
      <c r="A442" s="22">
        <v>441</v>
      </c>
      <c r="B442" s="22" t="s">
        <v>2154</v>
      </c>
      <c r="C442" s="22" t="s">
        <v>587</v>
      </c>
      <c r="D442" s="22" t="s">
        <v>588</v>
      </c>
      <c r="E442" s="22" t="s">
        <v>1700</v>
      </c>
      <c r="F442" s="22" t="s">
        <v>12</v>
      </c>
    </row>
    <row r="443" ht="18.5" customHeight="1" spans="1:6">
      <c r="A443" s="23">
        <v>442</v>
      </c>
      <c r="B443" s="23" t="s">
        <v>2155</v>
      </c>
      <c r="C443" s="23" t="s">
        <v>587</v>
      </c>
      <c r="D443" s="23" t="s">
        <v>2156</v>
      </c>
      <c r="E443" s="23" t="s">
        <v>1700</v>
      </c>
      <c r="F443" s="23" t="s">
        <v>12</v>
      </c>
    </row>
    <row r="444" ht="18.5" customHeight="1" spans="1:6">
      <c r="A444" s="22">
        <v>443</v>
      </c>
      <c r="B444" s="22" t="s">
        <v>2157</v>
      </c>
      <c r="C444" s="22" t="s">
        <v>587</v>
      </c>
      <c r="D444" s="22" t="s">
        <v>588</v>
      </c>
      <c r="E444" s="22" t="s">
        <v>1700</v>
      </c>
      <c r="F444" s="22" t="s">
        <v>12</v>
      </c>
    </row>
    <row r="445" ht="18.5" customHeight="1" spans="1:6">
      <c r="A445" s="23">
        <v>444</v>
      </c>
      <c r="B445" s="23" t="s">
        <v>2158</v>
      </c>
      <c r="C445" s="23" t="s">
        <v>587</v>
      </c>
      <c r="D445" s="23" t="s">
        <v>588</v>
      </c>
      <c r="E445" s="23" t="s">
        <v>1700</v>
      </c>
      <c r="F445" s="23" t="s">
        <v>12</v>
      </c>
    </row>
    <row r="446" ht="18.5" customHeight="1" spans="1:6">
      <c r="A446" s="22">
        <v>445</v>
      </c>
      <c r="B446" s="22" t="s">
        <v>2159</v>
      </c>
      <c r="C446" s="22" t="s">
        <v>587</v>
      </c>
      <c r="D446" s="22" t="s">
        <v>618</v>
      </c>
      <c r="E446" s="22" t="s">
        <v>1700</v>
      </c>
      <c r="F446" s="22" t="s">
        <v>12</v>
      </c>
    </row>
    <row r="447" ht="18.5" customHeight="1" spans="1:6">
      <c r="A447" s="23">
        <v>446</v>
      </c>
      <c r="B447" s="23" t="s">
        <v>2160</v>
      </c>
      <c r="C447" s="23" t="s">
        <v>587</v>
      </c>
      <c r="D447" s="23" t="s">
        <v>594</v>
      </c>
      <c r="E447" s="23" t="s">
        <v>1700</v>
      </c>
      <c r="F447" s="23" t="s">
        <v>12</v>
      </c>
    </row>
    <row r="448" ht="18.5" customHeight="1" spans="1:6">
      <c r="A448" s="22">
        <v>447</v>
      </c>
      <c r="B448" s="22" t="s">
        <v>2161</v>
      </c>
      <c r="C448" s="22" t="s">
        <v>587</v>
      </c>
      <c r="D448" s="22" t="s">
        <v>588</v>
      </c>
      <c r="E448" s="22" t="s">
        <v>1700</v>
      </c>
      <c r="F448" s="22" t="s">
        <v>12</v>
      </c>
    </row>
    <row r="449" ht="18.5" customHeight="1" spans="1:6">
      <c r="A449" s="23">
        <v>448</v>
      </c>
      <c r="B449" s="23" t="s">
        <v>2162</v>
      </c>
      <c r="C449" s="23" t="s">
        <v>587</v>
      </c>
      <c r="D449" s="23" t="s">
        <v>611</v>
      </c>
      <c r="E449" s="23" t="s">
        <v>1700</v>
      </c>
      <c r="F449" s="23" t="s">
        <v>12</v>
      </c>
    </row>
    <row r="450" ht="18.5" customHeight="1" spans="1:6">
      <c r="A450" s="22">
        <v>449</v>
      </c>
      <c r="B450" s="22" t="s">
        <v>2163</v>
      </c>
      <c r="C450" s="22" t="s">
        <v>587</v>
      </c>
      <c r="D450" s="22" t="s">
        <v>588</v>
      </c>
      <c r="E450" s="22" t="s">
        <v>1700</v>
      </c>
      <c r="F450" s="22" t="s">
        <v>12</v>
      </c>
    </row>
    <row r="451" ht="18.5" customHeight="1" spans="1:6">
      <c r="A451" s="23">
        <v>450</v>
      </c>
      <c r="B451" s="23" t="s">
        <v>2164</v>
      </c>
      <c r="C451" s="23" t="s">
        <v>587</v>
      </c>
      <c r="D451" s="23" t="s">
        <v>588</v>
      </c>
      <c r="E451" s="23" t="s">
        <v>1700</v>
      </c>
      <c r="F451" s="23" t="s">
        <v>12</v>
      </c>
    </row>
    <row r="452" ht="18.5" customHeight="1" spans="1:6">
      <c r="A452" s="22">
        <v>451</v>
      </c>
      <c r="B452" s="22" t="s">
        <v>2165</v>
      </c>
      <c r="C452" s="22" t="s">
        <v>587</v>
      </c>
      <c r="D452" s="22" t="s">
        <v>588</v>
      </c>
      <c r="E452" s="22" t="s">
        <v>1700</v>
      </c>
      <c r="F452" s="22" t="s">
        <v>12</v>
      </c>
    </row>
    <row r="453" ht="18.5" customHeight="1" spans="1:6">
      <c r="A453" s="23">
        <v>452</v>
      </c>
      <c r="B453" s="23" t="s">
        <v>2166</v>
      </c>
      <c r="C453" s="23" t="s">
        <v>587</v>
      </c>
      <c r="D453" s="23" t="s">
        <v>604</v>
      </c>
      <c r="E453" s="23" t="s">
        <v>1700</v>
      </c>
      <c r="F453" s="23" t="s">
        <v>12</v>
      </c>
    </row>
    <row r="454" ht="18.5" customHeight="1" spans="1:6">
      <c r="A454" s="22">
        <v>453</v>
      </c>
      <c r="B454" s="22" t="s">
        <v>2167</v>
      </c>
      <c r="C454" s="22" t="s">
        <v>587</v>
      </c>
      <c r="D454" s="22" t="s">
        <v>611</v>
      </c>
      <c r="E454" s="22" t="s">
        <v>1700</v>
      </c>
      <c r="F454" s="22" t="s">
        <v>12</v>
      </c>
    </row>
    <row r="455" ht="18.5" customHeight="1" spans="1:6">
      <c r="A455" s="23">
        <v>454</v>
      </c>
      <c r="B455" s="23" t="s">
        <v>2168</v>
      </c>
      <c r="C455" s="23" t="s">
        <v>587</v>
      </c>
      <c r="D455" s="23" t="s">
        <v>588</v>
      </c>
      <c r="E455" s="23" t="s">
        <v>1700</v>
      </c>
      <c r="F455" s="23" t="s">
        <v>12</v>
      </c>
    </row>
    <row r="456" ht="18.5" customHeight="1" spans="1:6">
      <c r="A456" s="22">
        <v>455</v>
      </c>
      <c r="B456" s="22" t="s">
        <v>2169</v>
      </c>
      <c r="C456" s="22" t="s">
        <v>587</v>
      </c>
      <c r="D456" s="22" t="s">
        <v>588</v>
      </c>
      <c r="E456" s="22" t="s">
        <v>1700</v>
      </c>
      <c r="F456" s="22" t="s">
        <v>12</v>
      </c>
    </row>
    <row r="457" ht="18.5" customHeight="1" spans="1:6">
      <c r="A457" s="23">
        <v>456</v>
      </c>
      <c r="B457" s="23" t="s">
        <v>2170</v>
      </c>
      <c r="C457" s="23" t="s">
        <v>587</v>
      </c>
      <c r="D457" s="23" t="s">
        <v>591</v>
      </c>
      <c r="E457" s="23" t="s">
        <v>1700</v>
      </c>
      <c r="F457" s="23" t="s">
        <v>12</v>
      </c>
    </row>
    <row r="458" ht="18.5" customHeight="1" spans="1:6">
      <c r="A458" s="22">
        <v>457</v>
      </c>
      <c r="B458" s="22" t="s">
        <v>2171</v>
      </c>
      <c r="C458" s="22" t="s">
        <v>587</v>
      </c>
      <c r="D458" s="22" t="s">
        <v>588</v>
      </c>
      <c r="E458" s="22" t="s">
        <v>1700</v>
      </c>
      <c r="F458" s="22" t="s">
        <v>12</v>
      </c>
    </row>
    <row r="459" ht="18.5" customHeight="1" spans="1:6">
      <c r="A459" s="23">
        <v>458</v>
      </c>
      <c r="B459" s="23" t="s">
        <v>2172</v>
      </c>
      <c r="C459" s="23" t="s">
        <v>587</v>
      </c>
      <c r="D459" s="23" t="s">
        <v>588</v>
      </c>
      <c r="E459" s="23" t="s">
        <v>1700</v>
      </c>
      <c r="F459" s="23" t="s">
        <v>12</v>
      </c>
    </row>
    <row r="460" ht="18.5" customHeight="1" spans="1:6">
      <c r="A460" s="22">
        <v>459</v>
      </c>
      <c r="B460" s="22" t="s">
        <v>2173</v>
      </c>
      <c r="C460" s="22" t="s">
        <v>587</v>
      </c>
      <c r="D460" s="22" t="s">
        <v>588</v>
      </c>
      <c r="E460" s="22" t="s">
        <v>1700</v>
      </c>
      <c r="F460" s="22" t="s">
        <v>12</v>
      </c>
    </row>
    <row r="461" ht="18.5" customHeight="1" spans="1:6">
      <c r="A461" s="23">
        <v>460</v>
      </c>
      <c r="B461" s="23" t="s">
        <v>2174</v>
      </c>
      <c r="C461" s="23" t="s">
        <v>587</v>
      </c>
      <c r="D461" s="23" t="s">
        <v>602</v>
      </c>
      <c r="E461" s="23" t="s">
        <v>1700</v>
      </c>
      <c r="F461" s="23" t="s">
        <v>12</v>
      </c>
    </row>
    <row r="462" ht="18.5" customHeight="1" spans="1:6">
      <c r="A462" s="22">
        <v>461</v>
      </c>
      <c r="B462" s="22" t="s">
        <v>2175</v>
      </c>
      <c r="C462" s="22" t="s">
        <v>587</v>
      </c>
      <c r="D462" s="22" t="s">
        <v>604</v>
      </c>
      <c r="E462" s="22" t="s">
        <v>1700</v>
      </c>
      <c r="F462" s="22" t="s">
        <v>12</v>
      </c>
    </row>
    <row r="463" ht="18.5" customHeight="1" spans="1:6">
      <c r="A463" s="23">
        <v>462</v>
      </c>
      <c r="B463" s="23" t="s">
        <v>2176</v>
      </c>
      <c r="C463" s="23" t="s">
        <v>587</v>
      </c>
      <c r="D463" s="23" t="s">
        <v>588</v>
      </c>
      <c r="E463" s="23" t="s">
        <v>1700</v>
      </c>
      <c r="F463" s="23" t="s">
        <v>12</v>
      </c>
    </row>
    <row r="464" ht="18.5" customHeight="1" spans="1:6">
      <c r="A464" s="22">
        <v>463</v>
      </c>
      <c r="B464" s="22" t="s">
        <v>2177</v>
      </c>
      <c r="C464" s="22" t="s">
        <v>587</v>
      </c>
      <c r="D464" s="22" t="s">
        <v>616</v>
      </c>
      <c r="E464" s="22" t="s">
        <v>1700</v>
      </c>
      <c r="F464" s="22" t="s">
        <v>12</v>
      </c>
    </row>
    <row r="465" ht="18.5" customHeight="1" spans="1:6">
      <c r="A465" s="23">
        <v>464</v>
      </c>
      <c r="B465" s="23" t="s">
        <v>2178</v>
      </c>
      <c r="C465" s="23" t="s">
        <v>587</v>
      </c>
      <c r="D465" s="23" t="s">
        <v>588</v>
      </c>
      <c r="E465" s="23" t="s">
        <v>1700</v>
      </c>
      <c r="F465" s="23" t="s">
        <v>12</v>
      </c>
    </row>
    <row r="466" ht="18.5" customHeight="1" spans="1:6">
      <c r="A466" s="22">
        <v>465</v>
      </c>
      <c r="B466" s="22" t="s">
        <v>2179</v>
      </c>
      <c r="C466" s="22" t="s">
        <v>587</v>
      </c>
      <c r="D466" s="22" t="s">
        <v>588</v>
      </c>
      <c r="E466" s="22" t="s">
        <v>1700</v>
      </c>
      <c r="F466" s="22" t="s">
        <v>12</v>
      </c>
    </row>
    <row r="467" ht="18.5" customHeight="1" spans="1:6">
      <c r="A467" s="23">
        <v>466</v>
      </c>
      <c r="B467" s="23" t="s">
        <v>2180</v>
      </c>
      <c r="C467" s="23" t="s">
        <v>587</v>
      </c>
      <c r="D467" s="23" t="s">
        <v>594</v>
      </c>
      <c r="E467" s="23" t="s">
        <v>1700</v>
      </c>
      <c r="F467" s="23" t="s">
        <v>12</v>
      </c>
    </row>
    <row r="468" ht="18.5" customHeight="1" spans="1:6">
      <c r="A468" s="22">
        <v>467</v>
      </c>
      <c r="B468" s="22" t="s">
        <v>2181</v>
      </c>
      <c r="C468" s="22" t="s">
        <v>587</v>
      </c>
      <c r="D468" s="22" t="s">
        <v>588</v>
      </c>
      <c r="E468" s="22" t="s">
        <v>1700</v>
      </c>
      <c r="F468" s="22" t="s">
        <v>12</v>
      </c>
    </row>
    <row r="469" ht="18.5" customHeight="1" spans="1:6">
      <c r="A469" s="23">
        <v>468</v>
      </c>
      <c r="B469" s="23" t="s">
        <v>2182</v>
      </c>
      <c r="C469" s="23" t="s">
        <v>587</v>
      </c>
      <c r="D469" s="23" t="s">
        <v>604</v>
      </c>
      <c r="E469" s="23" t="s">
        <v>1700</v>
      </c>
      <c r="F469" s="23" t="s">
        <v>12</v>
      </c>
    </row>
    <row r="470" ht="18.5" customHeight="1" spans="1:6">
      <c r="A470" s="22">
        <v>469</v>
      </c>
      <c r="B470" s="22" t="s">
        <v>2183</v>
      </c>
      <c r="C470" s="22" t="s">
        <v>587</v>
      </c>
      <c r="D470" s="22" t="s">
        <v>607</v>
      </c>
      <c r="E470" s="22" t="s">
        <v>1700</v>
      </c>
      <c r="F470" s="22" t="s">
        <v>12</v>
      </c>
    </row>
    <row r="471" ht="18.5" customHeight="1" spans="1:6">
      <c r="A471" s="23">
        <v>470</v>
      </c>
      <c r="B471" s="23" t="s">
        <v>2184</v>
      </c>
      <c r="C471" s="23" t="s">
        <v>587</v>
      </c>
      <c r="D471" s="23" t="s">
        <v>2156</v>
      </c>
      <c r="E471" s="23" t="s">
        <v>1700</v>
      </c>
      <c r="F471" s="23" t="s">
        <v>12</v>
      </c>
    </row>
    <row r="472" ht="18.5" customHeight="1" spans="1:6">
      <c r="A472" s="22">
        <v>471</v>
      </c>
      <c r="B472" s="22" t="s">
        <v>2185</v>
      </c>
      <c r="C472" s="22" t="s">
        <v>587</v>
      </c>
      <c r="D472" s="22" t="s">
        <v>594</v>
      </c>
      <c r="E472" s="22" t="s">
        <v>1700</v>
      </c>
      <c r="F472" s="22" t="s">
        <v>12</v>
      </c>
    </row>
    <row r="473" ht="18.5" customHeight="1" spans="1:6">
      <c r="A473" s="23">
        <v>472</v>
      </c>
      <c r="B473" s="23" t="s">
        <v>2186</v>
      </c>
      <c r="C473" s="23" t="s">
        <v>587</v>
      </c>
      <c r="D473" s="23" t="s">
        <v>611</v>
      </c>
      <c r="E473" s="23" t="s">
        <v>1700</v>
      </c>
      <c r="F473" s="23" t="s">
        <v>12</v>
      </c>
    </row>
    <row r="474" ht="18.5" customHeight="1" spans="1:6">
      <c r="A474" s="22">
        <v>473</v>
      </c>
      <c r="B474" s="22" t="s">
        <v>2187</v>
      </c>
      <c r="C474" s="22" t="s">
        <v>587</v>
      </c>
      <c r="D474" s="22" t="s">
        <v>602</v>
      </c>
      <c r="E474" s="22" t="s">
        <v>1700</v>
      </c>
      <c r="F474" s="22" t="s">
        <v>12</v>
      </c>
    </row>
    <row r="475" ht="18.5" customHeight="1" spans="1:6">
      <c r="A475" s="23">
        <v>474</v>
      </c>
      <c r="B475" s="23" t="s">
        <v>2188</v>
      </c>
      <c r="C475" s="23" t="s">
        <v>587</v>
      </c>
      <c r="D475" s="23" t="s">
        <v>594</v>
      </c>
      <c r="E475" s="23" t="s">
        <v>1700</v>
      </c>
      <c r="F475" s="23" t="s">
        <v>12</v>
      </c>
    </row>
    <row r="476" ht="18.5" customHeight="1" spans="1:6">
      <c r="A476" s="22">
        <v>475</v>
      </c>
      <c r="B476" s="22" t="s">
        <v>2189</v>
      </c>
      <c r="C476" s="22" t="s">
        <v>587</v>
      </c>
      <c r="D476" s="22" t="s">
        <v>588</v>
      </c>
      <c r="E476" s="22" t="s">
        <v>1700</v>
      </c>
      <c r="F476" s="22" t="s">
        <v>12</v>
      </c>
    </row>
    <row r="477" ht="18.5" customHeight="1" spans="1:6">
      <c r="A477" s="23">
        <v>476</v>
      </c>
      <c r="B477" s="23" t="s">
        <v>2190</v>
      </c>
      <c r="C477" s="23" t="s">
        <v>628</v>
      </c>
      <c r="D477" s="23" t="s">
        <v>662</v>
      </c>
      <c r="E477" s="23" t="s">
        <v>1700</v>
      </c>
      <c r="F477" s="23" t="s">
        <v>12</v>
      </c>
    </row>
    <row r="478" ht="18.5" customHeight="1" spans="1:6">
      <c r="A478" s="22">
        <v>477</v>
      </c>
      <c r="B478" s="22" t="s">
        <v>2191</v>
      </c>
      <c r="C478" s="22" t="s">
        <v>628</v>
      </c>
      <c r="D478" s="22" t="s">
        <v>666</v>
      </c>
      <c r="E478" s="22" t="s">
        <v>1700</v>
      </c>
      <c r="F478" s="22" t="s">
        <v>12</v>
      </c>
    </row>
    <row r="479" ht="18.5" customHeight="1" spans="1:6">
      <c r="A479" s="23">
        <v>478</v>
      </c>
      <c r="B479" s="23" t="s">
        <v>2192</v>
      </c>
      <c r="C479" s="23" t="s">
        <v>628</v>
      </c>
      <c r="D479" s="23" t="s">
        <v>629</v>
      </c>
      <c r="E479" s="23" t="s">
        <v>1700</v>
      </c>
      <c r="F479" s="23" t="s">
        <v>12</v>
      </c>
    </row>
    <row r="480" ht="18.5" customHeight="1" spans="1:6">
      <c r="A480" s="22">
        <v>479</v>
      </c>
      <c r="B480" s="22" t="s">
        <v>2193</v>
      </c>
      <c r="C480" s="22" t="s">
        <v>628</v>
      </c>
      <c r="D480" s="22" t="s">
        <v>629</v>
      </c>
      <c r="E480" s="22" t="s">
        <v>1700</v>
      </c>
      <c r="F480" s="22" t="s">
        <v>12</v>
      </c>
    </row>
    <row r="481" ht="18.5" customHeight="1" spans="1:6">
      <c r="A481" s="23">
        <v>480</v>
      </c>
      <c r="B481" s="23" t="s">
        <v>2194</v>
      </c>
      <c r="C481" s="23" t="s">
        <v>628</v>
      </c>
      <c r="D481" s="23" t="s">
        <v>631</v>
      </c>
      <c r="E481" s="23" t="s">
        <v>1700</v>
      </c>
      <c r="F481" s="23" t="s">
        <v>12</v>
      </c>
    </row>
    <row r="482" ht="18.5" customHeight="1" spans="1:6">
      <c r="A482" s="22">
        <v>481</v>
      </c>
      <c r="B482" s="22" t="s">
        <v>2195</v>
      </c>
      <c r="C482" s="22" t="s">
        <v>628</v>
      </c>
      <c r="D482" s="22" t="s">
        <v>1470</v>
      </c>
      <c r="E482" s="22" t="s">
        <v>1700</v>
      </c>
      <c r="F482" s="22" t="s">
        <v>12</v>
      </c>
    </row>
    <row r="483" ht="18.5" customHeight="1" spans="1:6">
      <c r="A483" s="23">
        <v>482</v>
      </c>
      <c r="B483" s="23" t="s">
        <v>2196</v>
      </c>
      <c r="C483" s="23" t="s">
        <v>628</v>
      </c>
      <c r="D483" s="23" t="s">
        <v>629</v>
      </c>
      <c r="E483" s="23" t="s">
        <v>1700</v>
      </c>
      <c r="F483" s="23" t="s">
        <v>12</v>
      </c>
    </row>
    <row r="484" ht="18.5" customHeight="1" spans="1:6">
      <c r="A484" s="22">
        <v>483</v>
      </c>
      <c r="B484" s="22" t="s">
        <v>2197</v>
      </c>
      <c r="C484" s="22" t="s">
        <v>628</v>
      </c>
      <c r="D484" s="22" t="s">
        <v>629</v>
      </c>
      <c r="E484" s="22" t="s">
        <v>1700</v>
      </c>
      <c r="F484" s="22" t="s">
        <v>12</v>
      </c>
    </row>
    <row r="485" ht="18.5" customHeight="1" spans="1:6">
      <c r="A485" s="23">
        <v>484</v>
      </c>
      <c r="B485" s="23" t="s">
        <v>2198</v>
      </c>
      <c r="C485" s="23" t="s">
        <v>628</v>
      </c>
      <c r="D485" s="23" t="s">
        <v>629</v>
      </c>
      <c r="E485" s="23" t="s">
        <v>1700</v>
      </c>
      <c r="F485" s="23" t="s">
        <v>12</v>
      </c>
    </row>
    <row r="486" ht="18.5" customHeight="1" spans="1:6">
      <c r="A486" s="22">
        <v>485</v>
      </c>
      <c r="B486" s="22" t="s">
        <v>2199</v>
      </c>
      <c r="C486" s="22" t="s">
        <v>628</v>
      </c>
      <c r="D486" s="22" t="s">
        <v>651</v>
      </c>
      <c r="E486" s="22" t="s">
        <v>1700</v>
      </c>
      <c r="F486" s="22" t="s">
        <v>12</v>
      </c>
    </row>
    <row r="487" ht="18.5" customHeight="1" spans="1:6">
      <c r="A487" s="23">
        <v>486</v>
      </c>
      <c r="B487" s="23" t="s">
        <v>2200</v>
      </c>
      <c r="C487" s="23" t="s">
        <v>628</v>
      </c>
      <c r="D487" s="23" t="s">
        <v>645</v>
      </c>
      <c r="E487" s="23" t="s">
        <v>1700</v>
      </c>
      <c r="F487" s="23" t="s">
        <v>12</v>
      </c>
    </row>
    <row r="488" ht="18.5" customHeight="1" spans="1:6">
      <c r="A488" s="22">
        <v>487</v>
      </c>
      <c r="B488" s="22" t="s">
        <v>2201</v>
      </c>
      <c r="C488" s="22" t="s">
        <v>628</v>
      </c>
      <c r="D488" s="22" t="s">
        <v>660</v>
      </c>
      <c r="E488" s="22" t="s">
        <v>1700</v>
      </c>
      <c r="F488" s="22" t="s">
        <v>12</v>
      </c>
    </row>
    <row r="489" ht="18.5" customHeight="1" spans="1:6">
      <c r="A489" s="23">
        <v>488</v>
      </c>
      <c r="B489" s="23" t="s">
        <v>2202</v>
      </c>
      <c r="C489" s="23" t="s">
        <v>628</v>
      </c>
      <c r="D489" s="23" t="s">
        <v>681</v>
      </c>
      <c r="E489" s="23" t="s">
        <v>1700</v>
      </c>
      <c r="F489" s="23" t="s">
        <v>12</v>
      </c>
    </row>
    <row r="490" ht="18.5" customHeight="1" spans="1:6">
      <c r="A490" s="22">
        <v>489</v>
      </c>
      <c r="B490" s="22" t="s">
        <v>2203</v>
      </c>
      <c r="C490" s="22" t="s">
        <v>628</v>
      </c>
      <c r="D490" s="22" t="s">
        <v>655</v>
      </c>
      <c r="E490" s="22" t="s">
        <v>1700</v>
      </c>
      <c r="F490" s="22" t="s">
        <v>12</v>
      </c>
    </row>
    <row r="491" ht="18.5" customHeight="1" spans="1:6">
      <c r="A491" s="23">
        <v>490</v>
      </c>
      <c r="B491" s="23" t="s">
        <v>2204</v>
      </c>
      <c r="C491" s="23" t="s">
        <v>628</v>
      </c>
      <c r="D491" s="23" t="s">
        <v>645</v>
      </c>
      <c r="E491" s="23" t="s">
        <v>1700</v>
      </c>
      <c r="F491" s="23" t="s">
        <v>12</v>
      </c>
    </row>
    <row r="492" ht="18.5" customHeight="1" spans="1:6">
      <c r="A492" s="22">
        <v>491</v>
      </c>
      <c r="B492" s="22" t="s">
        <v>2205</v>
      </c>
      <c r="C492" s="22" t="s">
        <v>628</v>
      </c>
      <c r="D492" s="22" t="s">
        <v>642</v>
      </c>
      <c r="E492" s="22" t="s">
        <v>1700</v>
      </c>
      <c r="F492" s="22" t="s">
        <v>12</v>
      </c>
    </row>
    <row r="493" ht="18.5" customHeight="1" spans="1:6">
      <c r="A493" s="23">
        <v>492</v>
      </c>
      <c r="B493" s="23" t="s">
        <v>2206</v>
      </c>
      <c r="C493" s="23" t="s">
        <v>628</v>
      </c>
      <c r="D493" s="23" t="s">
        <v>688</v>
      </c>
      <c r="E493" s="23" t="s">
        <v>1700</v>
      </c>
      <c r="F493" s="23" t="s">
        <v>12</v>
      </c>
    </row>
    <row r="494" ht="18.5" customHeight="1" spans="1:6">
      <c r="A494" s="22">
        <v>493</v>
      </c>
      <c r="B494" s="22" t="s">
        <v>2207</v>
      </c>
      <c r="C494" s="22" t="s">
        <v>628</v>
      </c>
      <c r="D494" s="22" t="s">
        <v>645</v>
      </c>
      <c r="E494" s="22" t="s">
        <v>1700</v>
      </c>
      <c r="F494" s="22" t="s">
        <v>12</v>
      </c>
    </row>
    <row r="495" ht="18.5" customHeight="1" spans="1:6">
      <c r="A495" s="23">
        <v>494</v>
      </c>
      <c r="B495" s="23" t="s">
        <v>2208</v>
      </c>
      <c r="C495" s="23" t="s">
        <v>628</v>
      </c>
      <c r="D495" s="23" t="s">
        <v>681</v>
      </c>
      <c r="E495" s="23" t="s">
        <v>1700</v>
      </c>
      <c r="F495" s="23" t="s">
        <v>12</v>
      </c>
    </row>
    <row r="496" ht="18.5" customHeight="1" spans="1:6">
      <c r="A496" s="22">
        <v>495</v>
      </c>
      <c r="B496" s="22" t="s">
        <v>2209</v>
      </c>
      <c r="C496" s="22" t="s">
        <v>628</v>
      </c>
      <c r="D496" s="22" t="s">
        <v>645</v>
      </c>
      <c r="E496" s="22" t="s">
        <v>1700</v>
      </c>
      <c r="F496" s="22" t="s">
        <v>12</v>
      </c>
    </row>
    <row r="497" ht="18.5" customHeight="1" spans="1:6">
      <c r="A497" s="23">
        <v>496</v>
      </c>
      <c r="B497" s="23" t="s">
        <v>2210</v>
      </c>
      <c r="C497" s="23" t="s">
        <v>628</v>
      </c>
      <c r="D497" s="23" t="s">
        <v>631</v>
      </c>
      <c r="E497" s="23" t="s">
        <v>1700</v>
      </c>
      <c r="F497" s="23" t="s">
        <v>12</v>
      </c>
    </row>
    <row r="498" ht="18.5" customHeight="1" spans="1:6">
      <c r="A498" s="22">
        <v>497</v>
      </c>
      <c r="B498" s="22" t="s">
        <v>2211</v>
      </c>
      <c r="C498" s="22" t="s">
        <v>628</v>
      </c>
      <c r="D498" s="22" t="s">
        <v>631</v>
      </c>
      <c r="E498" s="22" t="s">
        <v>1700</v>
      </c>
      <c r="F498" s="22" t="s">
        <v>12</v>
      </c>
    </row>
    <row r="499" ht="18.5" customHeight="1" spans="1:6">
      <c r="A499" s="23">
        <v>498</v>
      </c>
      <c r="B499" s="23" t="s">
        <v>2212</v>
      </c>
      <c r="C499" s="23" t="s">
        <v>628</v>
      </c>
      <c r="D499" s="23" t="s">
        <v>645</v>
      </c>
      <c r="E499" s="23" t="s">
        <v>1700</v>
      </c>
      <c r="F499" s="23" t="s">
        <v>12</v>
      </c>
    </row>
    <row r="500" ht="18.5" customHeight="1" spans="1:6">
      <c r="A500" s="22">
        <v>499</v>
      </c>
      <c r="B500" s="22" t="s">
        <v>2213</v>
      </c>
      <c r="C500" s="22" t="s">
        <v>628</v>
      </c>
      <c r="D500" s="22" t="s">
        <v>631</v>
      </c>
      <c r="E500" s="22" t="s">
        <v>1700</v>
      </c>
      <c r="F500" s="22" t="s">
        <v>12</v>
      </c>
    </row>
    <row r="501" ht="18.5" customHeight="1" spans="1:6">
      <c r="A501" s="23">
        <v>500</v>
      </c>
      <c r="B501" s="23" t="s">
        <v>2214</v>
      </c>
      <c r="C501" s="23" t="s">
        <v>628</v>
      </c>
      <c r="D501" s="23" t="s">
        <v>681</v>
      </c>
      <c r="E501" s="23" t="s">
        <v>1700</v>
      </c>
      <c r="F501" s="23" t="s">
        <v>12</v>
      </c>
    </row>
    <row r="502" ht="18.5" customHeight="1" spans="1:6">
      <c r="A502" s="22">
        <v>501</v>
      </c>
      <c r="B502" s="22" t="s">
        <v>2215</v>
      </c>
      <c r="C502" s="22" t="s">
        <v>628</v>
      </c>
      <c r="D502" s="22" t="s">
        <v>645</v>
      </c>
      <c r="E502" s="22" t="s">
        <v>1700</v>
      </c>
      <c r="F502" s="22" t="s">
        <v>12</v>
      </c>
    </row>
    <row r="503" ht="18.5" customHeight="1" spans="1:6">
      <c r="A503" s="23">
        <v>502</v>
      </c>
      <c r="B503" s="23" t="s">
        <v>2216</v>
      </c>
      <c r="C503" s="23" t="s">
        <v>628</v>
      </c>
      <c r="D503" s="23" t="s">
        <v>640</v>
      </c>
      <c r="E503" s="23" t="s">
        <v>1700</v>
      </c>
      <c r="F503" s="23" t="s">
        <v>12</v>
      </c>
    </row>
    <row r="504" ht="18.5" customHeight="1" spans="1:6">
      <c r="A504" s="22">
        <v>503</v>
      </c>
      <c r="B504" s="22" t="s">
        <v>2217</v>
      </c>
      <c r="C504" s="22" t="s">
        <v>628</v>
      </c>
      <c r="D504" s="22" t="s">
        <v>645</v>
      </c>
      <c r="E504" s="22" t="s">
        <v>1700</v>
      </c>
      <c r="F504" s="22" t="s">
        <v>12</v>
      </c>
    </row>
    <row r="505" ht="18.5" customHeight="1" spans="1:6">
      <c r="A505" s="23">
        <v>504</v>
      </c>
      <c r="B505" s="23" t="s">
        <v>2218</v>
      </c>
      <c r="C505" s="23" t="s">
        <v>628</v>
      </c>
      <c r="D505" s="23" t="s">
        <v>629</v>
      </c>
      <c r="E505" s="23" t="s">
        <v>1700</v>
      </c>
      <c r="F505" s="23" t="s">
        <v>12</v>
      </c>
    </row>
    <row r="506" ht="18.5" customHeight="1" spans="1:6">
      <c r="A506" s="22">
        <v>505</v>
      </c>
      <c r="B506" s="22" t="s">
        <v>2219</v>
      </c>
      <c r="C506" s="22" t="s">
        <v>628</v>
      </c>
      <c r="D506" s="22" t="s">
        <v>660</v>
      </c>
      <c r="E506" s="22" t="s">
        <v>1700</v>
      </c>
      <c r="F506" s="22" t="s">
        <v>12</v>
      </c>
    </row>
    <row r="507" ht="18.5" customHeight="1" spans="1:6">
      <c r="A507" s="23">
        <v>506</v>
      </c>
      <c r="B507" s="23" t="s">
        <v>2220</v>
      </c>
      <c r="C507" s="23" t="s">
        <v>628</v>
      </c>
      <c r="D507" s="23" t="s">
        <v>657</v>
      </c>
      <c r="E507" s="23" t="s">
        <v>1700</v>
      </c>
      <c r="F507" s="23" t="s">
        <v>12</v>
      </c>
    </row>
    <row r="508" ht="18.5" customHeight="1" spans="1:6">
      <c r="A508" s="22">
        <v>507</v>
      </c>
      <c r="B508" s="22" t="s">
        <v>2221</v>
      </c>
      <c r="C508" s="22" t="s">
        <v>628</v>
      </c>
      <c r="D508" s="22" t="s">
        <v>671</v>
      </c>
      <c r="E508" s="22" t="s">
        <v>1700</v>
      </c>
      <c r="F508" s="22" t="s">
        <v>12</v>
      </c>
    </row>
    <row r="509" ht="18.5" customHeight="1" spans="1:6">
      <c r="A509" s="23">
        <v>508</v>
      </c>
      <c r="B509" s="23" t="s">
        <v>2222</v>
      </c>
      <c r="C509" s="23" t="s">
        <v>628</v>
      </c>
      <c r="D509" s="23" t="s">
        <v>640</v>
      </c>
      <c r="E509" s="23" t="s">
        <v>1700</v>
      </c>
      <c r="F509" s="23" t="s">
        <v>12</v>
      </c>
    </row>
    <row r="510" ht="18.5" customHeight="1" spans="1:6">
      <c r="A510" s="22">
        <v>509</v>
      </c>
      <c r="B510" s="22" t="s">
        <v>2223</v>
      </c>
      <c r="C510" s="22" t="s">
        <v>628</v>
      </c>
      <c r="D510" s="22" t="s">
        <v>660</v>
      </c>
      <c r="E510" s="22" t="s">
        <v>1700</v>
      </c>
      <c r="F510" s="22" t="s">
        <v>12</v>
      </c>
    </row>
    <row r="511" ht="18.5" customHeight="1" spans="1:6">
      <c r="A511" s="23">
        <v>510</v>
      </c>
      <c r="B511" s="23" t="s">
        <v>2224</v>
      </c>
      <c r="C511" s="23" t="s">
        <v>628</v>
      </c>
      <c r="D511" s="23" t="s">
        <v>629</v>
      </c>
      <c r="E511" s="23" t="s">
        <v>1700</v>
      </c>
      <c r="F511" s="23" t="s">
        <v>12</v>
      </c>
    </row>
    <row r="512" ht="18.5" customHeight="1" spans="1:6">
      <c r="A512" s="22">
        <v>511</v>
      </c>
      <c r="B512" s="22" t="s">
        <v>2225</v>
      </c>
      <c r="C512" s="22" t="s">
        <v>628</v>
      </c>
      <c r="D512" s="22" t="s">
        <v>629</v>
      </c>
      <c r="E512" s="22" t="s">
        <v>1700</v>
      </c>
      <c r="F512" s="22" t="s">
        <v>12</v>
      </c>
    </row>
    <row r="513" ht="18.5" customHeight="1" spans="1:6">
      <c r="A513" s="23">
        <v>512</v>
      </c>
      <c r="B513" s="23" t="s">
        <v>2226</v>
      </c>
      <c r="C513" s="23" t="s">
        <v>628</v>
      </c>
      <c r="D513" s="23" t="s">
        <v>629</v>
      </c>
      <c r="E513" s="23" t="s">
        <v>1700</v>
      </c>
      <c r="F513" s="23" t="s">
        <v>12</v>
      </c>
    </row>
    <row r="514" ht="18.5" customHeight="1" spans="1:6">
      <c r="A514" s="22">
        <v>513</v>
      </c>
      <c r="B514" s="22" t="s">
        <v>2227</v>
      </c>
      <c r="C514" s="22" t="s">
        <v>628</v>
      </c>
      <c r="D514" s="22" t="s">
        <v>640</v>
      </c>
      <c r="E514" s="22" t="s">
        <v>1700</v>
      </c>
      <c r="F514" s="22" t="s">
        <v>12</v>
      </c>
    </row>
    <row r="515" ht="18.5" customHeight="1" spans="1:6">
      <c r="A515" s="23">
        <v>514</v>
      </c>
      <c r="B515" s="23" t="s">
        <v>2228</v>
      </c>
      <c r="C515" s="23" t="s">
        <v>628</v>
      </c>
      <c r="D515" s="23" t="s">
        <v>642</v>
      </c>
      <c r="E515" s="23" t="s">
        <v>1700</v>
      </c>
      <c r="F515" s="23" t="s">
        <v>12</v>
      </c>
    </row>
    <row r="516" ht="18.5" customHeight="1" spans="1:6">
      <c r="A516" s="22">
        <v>515</v>
      </c>
      <c r="B516" s="22" t="s">
        <v>2229</v>
      </c>
      <c r="C516" s="22" t="s">
        <v>628</v>
      </c>
      <c r="D516" s="22" t="s">
        <v>1470</v>
      </c>
      <c r="E516" s="22" t="s">
        <v>1700</v>
      </c>
      <c r="F516" s="22" t="s">
        <v>12</v>
      </c>
    </row>
    <row r="517" ht="18.5" customHeight="1" spans="1:6">
      <c r="A517" s="23">
        <v>516</v>
      </c>
      <c r="B517" s="23" t="s">
        <v>2230</v>
      </c>
      <c r="C517" s="23" t="s">
        <v>628</v>
      </c>
      <c r="D517" s="23" t="s">
        <v>660</v>
      </c>
      <c r="E517" s="23" t="s">
        <v>1700</v>
      </c>
      <c r="F517" s="23" t="s">
        <v>12</v>
      </c>
    </row>
    <row r="518" ht="18.5" customHeight="1" spans="1:6">
      <c r="A518" s="22">
        <v>517</v>
      </c>
      <c r="B518" s="22" t="s">
        <v>2231</v>
      </c>
      <c r="C518" s="22" t="s">
        <v>628</v>
      </c>
      <c r="D518" s="22" t="s">
        <v>640</v>
      </c>
      <c r="E518" s="22" t="s">
        <v>1700</v>
      </c>
      <c r="F518" s="22" t="s">
        <v>12</v>
      </c>
    </row>
    <row r="519" ht="18.5" customHeight="1" spans="1:6">
      <c r="A519" s="23">
        <v>518</v>
      </c>
      <c r="B519" s="23" t="s">
        <v>2232</v>
      </c>
      <c r="C519" s="23" t="s">
        <v>628</v>
      </c>
      <c r="D519" s="23" t="s">
        <v>629</v>
      </c>
      <c r="E519" s="23" t="s">
        <v>1700</v>
      </c>
      <c r="F519" s="23" t="s">
        <v>12</v>
      </c>
    </row>
    <row r="520" ht="18.5" customHeight="1" spans="1:6">
      <c r="A520" s="22">
        <v>519</v>
      </c>
      <c r="B520" s="22" t="s">
        <v>2233</v>
      </c>
      <c r="C520" s="22" t="s">
        <v>628</v>
      </c>
      <c r="D520" s="22" t="s">
        <v>660</v>
      </c>
      <c r="E520" s="22" t="s">
        <v>1700</v>
      </c>
      <c r="F520" s="22" t="s">
        <v>12</v>
      </c>
    </row>
    <row r="521" ht="18.5" customHeight="1" spans="1:6">
      <c r="A521" s="23">
        <v>520</v>
      </c>
      <c r="B521" s="23" t="s">
        <v>2234</v>
      </c>
      <c r="C521" s="23" t="s">
        <v>628</v>
      </c>
      <c r="D521" s="23" t="s">
        <v>629</v>
      </c>
      <c r="E521" s="23" t="s">
        <v>1700</v>
      </c>
      <c r="F521" s="23" t="s">
        <v>12</v>
      </c>
    </row>
    <row r="522" ht="18.5" customHeight="1" spans="1:6">
      <c r="A522" s="22">
        <v>521</v>
      </c>
      <c r="B522" s="22" t="s">
        <v>2235</v>
      </c>
      <c r="C522" s="22" t="s">
        <v>628</v>
      </c>
      <c r="D522" s="22" t="s">
        <v>666</v>
      </c>
      <c r="E522" s="22" t="s">
        <v>1700</v>
      </c>
      <c r="F522" s="22" t="s">
        <v>12</v>
      </c>
    </row>
    <row r="523" ht="18.5" customHeight="1" spans="1:6">
      <c r="A523" s="23">
        <v>522</v>
      </c>
      <c r="B523" s="23" t="s">
        <v>2236</v>
      </c>
      <c r="C523" s="23" t="s">
        <v>628</v>
      </c>
      <c r="D523" s="23" t="s">
        <v>629</v>
      </c>
      <c r="E523" s="23" t="s">
        <v>1700</v>
      </c>
      <c r="F523" s="23" t="s">
        <v>12</v>
      </c>
    </row>
    <row r="524" ht="18.5" customHeight="1" spans="1:6">
      <c r="A524" s="22">
        <v>523</v>
      </c>
      <c r="B524" s="22" t="s">
        <v>2237</v>
      </c>
      <c r="C524" s="22" t="s">
        <v>628</v>
      </c>
      <c r="D524" s="22" t="s">
        <v>662</v>
      </c>
      <c r="E524" s="22" t="s">
        <v>1700</v>
      </c>
      <c r="F524" s="22" t="s">
        <v>12</v>
      </c>
    </row>
    <row r="525" ht="18.5" customHeight="1" spans="1:6">
      <c r="A525" s="23">
        <v>524</v>
      </c>
      <c r="B525" s="23" t="s">
        <v>2238</v>
      </c>
      <c r="C525" s="23" t="s">
        <v>628</v>
      </c>
      <c r="D525" s="23" t="s">
        <v>671</v>
      </c>
      <c r="E525" s="23" t="s">
        <v>1700</v>
      </c>
      <c r="F525" s="23" t="s">
        <v>12</v>
      </c>
    </row>
    <row r="526" ht="18.5" customHeight="1" spans="1:6">
      <c r="A526" s="22">
        <v>525</v>
      </c>
      <c r="B526" s="22" t="s">
        <v>2239</v>
      </c>
      <c r="C526" s="22" t="s">
        <v>628</v>
      </c>
      <c r="D526" s="22" t="s">
        <v>651</v>
      </c>
      <c r="E526" s="22" t="s">
        <v>1700</v>
      </c>
      <c r="F526" s="22" t="s">
        <v>12</v>
      </c>
    </row>
    <row r="527" ht="18.5" customHeight="1" spans="1:6">
      <c r="A527" s="23">
        <v>526</v>
      </c>
      <c r="B527" s="23" t="s">
        <v>2240</v>
      </c>
      <c r="C527" s="23" t="s">
        <v>628</v>
      </c>
      <c r="D527" s="23" t="s">
        <v>631</v>
      </c>
      <c r="E527" s="23" t="s">
        <v>1700</v>
      </c>
      <c r="F527" s="23" t="s">
        <v>12</v>
      </c>
    </row>
    <row r="528" ht="18.5" customHeight="1" spans="1:6">
      <c r="A528" s="22">
        <v>527</v>
      </c>
      <c r="B528" s="22" t="s">
        <v>2241</v>
      </c>
      <c r="C528" s="22" t="s">
        <v>628</v>
      </c>
      <c r="D528" s="22" t="s">
        <v>629</v>
      </c>
      <c r="E528" s="22" t="s">
        <v>1700</v>
      </c>
      <c r="F528" s="22" t="s">
        <v>12</v>
      </c>
    </row>
    <row r="529" ht="18.5" customHeight="1" spans="1:6">
      <c r="A529" s="23">
        <v>528</v>
      </c>
      <c r="B529" s="23" t="s">
        <v>2242</v>
      </c>
      <c r="C529" s="23" t="s">
        <v>628</v>
      </c>
      <c r="D529" s="23" t="s">
        <v>629</v>
      </c>
      <c r="E529" s="23" t="s">
        <v>1700</v>
      </c>
      <c r="F529" s="23" t="s">
        <v>12</v>
      </c>
    </row>
    <row r="530" ht="18.5" customHeight="1" spans="1:6">
      <c r="A530" s="22">
        <v>529</v>
      </c>
      <c r="B530" s="22" t="s">
        <v>2243</v>
      </c>
      <c r="C530" s="22" t="s">
        <v>628</v>
      </c>
      <c r="D530" s="22" t="s">
        <v>642</v>
      </c>
      <c r="E530" s="22" t="s">
        <v>1700</v>
      </c>
      <c r="F530" s="22" t="s">
        <v>12</v>
      </c>
    </row>
    <row r="531" ht="18.5" customHeight="1" spans="1:6">
      <c r="A531" s="23">
        <v>530</v>
      </c>
      <c r="B531" s="23" t="s">
        <v>2244</v>
      </c>
      <c r="C531" s="23" t="s">
        <v>628</v>
      </c>
      <c r="D531" s="23" t="s">
        <v>645</v>
      </c>
      <c r="E531" s="23" t="s">
        <v>1700</v>
      </c>
      <c r="F531" s="23" t="s">
        <v>12</v>
      </c>
    </row>
    <row r="532" ht="18.5" customHeight="1" spans="1:6">
      <c r="A532" s="22">
        <v>531</v>
      </c>
      <c r="B532" s="22" t="s">
        <v>2245</v>
      </c>
      <c r="C532" s="22" t="s">
        <v>628</v>
      </c>
      <c r="D532" s="22" t="s">
        <v>645</v>
      </c>
      <c r="E532" s="22" t="s">
        <v>1700</v>
      </c>
      <c r="F532" s="22" t="s">
        <v>12</v>
      </c>
    </row>
    <row r="533" ht="18.5" customHeight="1" spans="1:6">
      <c r="A533" s="23">
        <v>532</v>
      </c>
      <c r="B533" s="23" t="s">
        <v>2246</v>
      </c>
      <c r="C533" s="23" t="s">
        <v>628</v>
      </c>
      <c r="D533" s="23" t="s">
        <v>666</v>
      </c>
      <c r="E533" s="23" t="s">
        <v>1700</v>
      </c>
      <c r="F533" s="23" t="s">
        <v>12</v>
      </c>
    </row>
    <row r="534" ht="18.5" customHeight="1" spans="1:6">
      <c r="A534" s="22">
        <v>533</v>
      </c>
      <c r="B534" s="22" t="s">
        <v>2247</v>
      </c>
      <c r="C534" s="22" t="s">
        <v>628</v>
      </c>
      <c r="D534" s="22" t="s">
        <v>1470</v>
      </c>
      <c r="E534" s="22" t="s">
        <v>1700</v>
      </c>
      <c r="F534" s="22" t="s">
        <v>12</v>
      </c>
    </row>
    <row r="535" ht="18.5" customHeight="1" spans="1:6">
      <c r="A535" s="23">
        <v>534</v>
      </c>
      <c r="B535" s="23" t="s">
        <v>2248</v>
      </c>
      <c r="C535" s="23" t="s">
        <v>628</v>
      </c>
      <c r="D535" s="23" t="s">
        <v>629</v>
      </c>
      <c r="E535" s="23" t="s">
        <v>1700</v>
      </c>
      <c r="F535" s="23" t="s">
        <v>12</v>
      </c>
    </row>
    <row r="536" ht="18.5" customHeight="1" spans="1:6">
      <c r="A536" s="22">
        <v>535</v>
      </c>
      <c r="B536" s="22" t="s">
        <v>2249</v>
      </c>
      <c r="C536" s="22" t="s">
        <v>628</v>
      </c>
      <c r="D536" s="22" t="s">
        <v>631</v>
      </c>
      <c r="E536" s="22" t="s">
        <v>1700</v>
      </c>
      <c r="F536" s="22" t="s">
        <v>12</v>
      </c>
    </row>
    <row r="537" ht="18.5" customHeight="1" spans="1:6">
      <c r="A537" s="23">
        <v>536</v>
      </c>
      <c r="B537" s="23" t="s">
        <v>2250</v>
      </c>
      <c r="C537" s="23" t="s">
        <v>628</v>
      </c>
      <c r="D537" s="23" t="s">
        <v>631</v>
      </c>
      <c r="E537" s="23" t="s">
        <v>1700</v>
      </c>
      <c r="F537" s="23" t="s">
        <v>12</v>
      </c>
    </row>
    <row r="538" ht="18.5" customHeight="1" spans="1:6">
      <c r="A538" s="22">
        <v>537</v>
      </c>
      <c r="B538" s="22" t="s">
        <v>2251</v>
      </c>
      <c r="C538" s="22" t="s">
        <v>628</v>
      </c>
      <c r="D538" s="22" t="s">
        <v>660</v>
      </c>
      <c r="E538" s="22" t="s">
        <v>1700</v>
      </c>
      <c r="F538" s="22" t="s">
        <v>12</v>
      </c>
    </row>
    <row r="539" ht="18.5" customHeight="1" spans="1:6">
      <c r="A539" s="23">
        <v>538</v>
      </c>
      <c r="B539" s="23" t="s">
        <v>2252</v>
      </c>
      <c r="C539" s="23" t="s">
        <v>628</v>
      </c>
      <c r="D539" s="23" t="s">
        <v>660</v>
      </c>
      <c r="E539" s="23" t="s">
        <v>1700</v>
      </c>
      <c r="F539" s="23" t="s">
        <v>12</v>
      </c>
    </row>
    <row r="540" ht="18.5" customHeight="1" spans="1:6">
      <c r="A540" s="22">
        <v>539</v>
      </c>
      <c r="B540" s="22" t="s">
        <v>2253</v>
      </c>
      <c r="C540" s="22" t="s">
        <v>628</v>
      </c>
      <c r="D540" s="22" t="s">
        <v>662</v>
      </c>
      <c r="E540" s="22" t="s">
        <v>1700</v>
      </c>
      <c r="F540" s="22" t="s">
        <v>12</v>
      </c>
    </row>
    <row r="541" ht="18.5" customHeight="1" spans="1:6">
      <c r="A541" s="23">
        <v>540</v>
      </c>
      <c r="B541" s="23" t="s">
        <v>2254</v>
      </c>
      <c r="C541" s="23" t="s">
        <v>692</v>
      </c>
      <c r="D541" s="23" t="s">
        <v>693</v>
      </c>
      <c r="E541" s="23" t="s">
        <v>1700</v>
      </c>
      <c r="F541" s="23" t="s">
        <v>12</v>
      </c>
    </row>
    <row r="542" ht="18.5" customHeight="1" spans="1:6">
      <c r="A542" s="22">
        <v>541</v>
      </c>
      <c r="B542" s="22" t="s">
        <v>2255</v>
      </c>
      <c r="C542" s="22" t="s">
        <v>692</v>
      </c>
      <c r="D542" s="22" t="s">
        <v>1498</v>
      </c>
      <c r="E542" s="22" t="s">
        <v>1700</v>
      </c>
      <c r="F542" s="22" t="s">
        <v>12</v>
      </c>
    </row>
    <row r="543" ht="18.5" customHeight="1" spans="1:6">
      <c r="A543" s="23">
        <v>542</v>
      </c>
      <c r="B543" s="23" t="s">
        <v>2256</v>
      </c>
      <c r="C543" s="23" t="s">
        <v>692</v>
      </c>
      <c r="D543" s="23" t="s">
        <v>2257</v>
      </c>
      <c r="E543" s="23" t="s">
        <v>1700</v>
      </c>
      <c r="F543" s="23" t="s">
        <v>12</v>
      </c>
    </row>
    <row r="544" ht="18.5" customHeight="1" spans="1:6">
      <c r="A544" s="22">
        <v>543</v>
      </c>
      <c r="B544" s="22" t="s">
        <v>2258</v>
      </c>
      <c r="C544" s="22" t="s">
        <v>692</v>
      </c>
      <c r="D544" s="22" t="s">
        <v>693</v>
      </c>
      <c r="E544" s="22" t="s">
        <v>1700</v>
      </c>
      <c r="F544" s="22" t="s">
        <v>12</v>
      </c>
    </row>
    <row r="545" ht="18.5" customHeight="1" spans="1:6">
      <c r="A545" s="23">
        <v>544</v>
      </c>
      <c r="B545" s="23" t="s">
        <v>2259</v>
      </c>
      <c r="C545" s="23" t="s">
        <v>692</v>
      </c>
      <c r="D545" s="23" t="s">
        <v>709</v>
      </c>
      <c r="E545" s="23" t="s">
        <v>1700</v>
      </c>
      <c r="F545" s="23" t="s">
        <v>12</v>
      </c>
    </row>
    <row r="546" ht="18.5" customHeight="1" spans="1:6">
      <c r="A546" s="22">
        <v>545</v>
      </c>
      <c r="B546" s="22" t="s">
        <v>2260</v>
      </c>
      <c r="C546" s="22" t="s">
        <v>692</v>
      </c>
      <c r="D546" s="22" t="s">
        <v>696</v>
      </c>
      <c r="E546" s="22" t="s">
        <v>1700</v>
      </c>
      <c r="F546" s="22" t="s">
        <v>12</v>
      </c>
    </row>
    <row r="547" ht="18.5" customHeight="1" spans="1:6">
      <c r="A547" s="23">
        <v>546</v>
      </c>
      <c r="B547" s="23" t="s">
        <v>2261</v>
      </c>
      <c r="C547" s="23" t="s">
        <v>692</v>
      </c>
      <c r="D547" s="23" t="s">
        <v>2262</v>
      </c>
      <c r="E547" s="23" t="s">
        <v>1700</v>
      </c>
      <c r="F547" s="23" t="s">
        <v>12</v>
      </c>
    </row>
    <row r="548" ht="18.5" customHeight="1" spans="1:6">
      <c r="A548" s="22">
        <v>547</v>
      </c>
      <c r="B548" s="22" t="s">
        <v>2263</v>
      </c>
      <c r="C548" s="22" t="s">
        <v>692</v>
      </c>
      <c r="D548" s="22" t="s">
        <v>693</v>
      </c>
      <c r="E548" s="22" t="s">
        <v>1700</v>
      </c>
      <c r="F548" s="22" t="s">
        <v>12</v>
      </c>
    </row>
    <row r="549" ht="18.5" customHeight="1" spans="1:6">
      <c r="A549" s="23">
        <v>548</v>
      </c>
      <c r="B549" s="23" t="s">
        <v>2264</v>
      </c>
      <c r="C549" s="23" t="s">
        <v>692</v>
      </c>
      <c r="D549" s="23" t="s">
        <v>718</v>
      </c>
      <c r="E549" s="23" t="s">
        <v>1700</v>
      </c>
      <c r="F549" s="23" t="s">
        <v>12</v>
      </c>
    </row>
    <row r="550" ht="18.5" customHeight="1" spans="1:6">
      <c r="A550" s="22">
        <v>549</v>
      </c>
      <c r="B550" s="22" t="s">
        <v>2265</v>
      </c>
      <c r="C550" s="22" t="s">
        <v>692</v>
      </c>
      <c r="D550" s="22" t="s">
        <v>696</v>
      </c>
      <c r="E550" s="22" t="s">
        <v>1700</v>
      </c>
      <c r="F550" s="22" t="s">
        <v>12</v>
      </c>
    </row>
    <row r="551" ht="18.5" customHeight="1" spans="1:6">
      <c r="A551" s="23">
        <v>550</v>
      </c>
      <c r="B551" s="23" t="s">
        <v>2266</v>
      </c>
      <c r="C551" s="23" t="s">
        <v>692</v>
      </c>
      <c r="D551" s="23" t="s">
        <v>693</v>
      </c>
      <c r="E551" s="23" t="s">
        <v>1700</v>
      </c>
      <c r="F551" s="23" t="s">
        <v>12</v>
      </c>
    </row>
    <row r="552" ht="18.5" customHeight="1" spans="1:6">
      <c r="A552" s="22">
        <v>551</v>
      </c>
      <c r="B552" s="22" t="s">
        <v>2267</v>
      </c>
      <c r="C552" s="22" t="s">
        <v>692</v>
      </c>
      <c r="D552" s="22" t="s">
        <v>723</v>
      </c>
      <c r="E552" s="22" t="s">
        <v>1700</v>
      </c>
      <c r="F552" s="22" t="s">
        <v>12</v>
      </c>
    </row>
    <row r="553" ht="18.5" customHeight="1" spans="1:6">
      <c r="A553" s="23">
        <v>552</v>
      </c>
      <c r="B553" s="23" t="s">
        <v>2268</v>
      </c>
      <c r="C553" s="23" t="s">
        <v>692</v>
      </c>
      <c r="D553" s="23" t="s">
        <v>729</v>
      </c>
      <c r="E553" s="23" t="s">
        <v>1700</v>
      </c>
      <c r="F553" s="23" t="s">
        <v>12</v>
      </c>
    </row>
    <row r="554" ht="18.5" customHeight="1" spans="1:6">
      <c r="A554" s="22">
        <v>553</v>
      </c>
      <c r="B554" s="22" t="s">
        <v>2269</v>
      </c>
      <c r="C554" s="22" t="s">
        <v>692</v>
      </c>
      <c r="D554" s="22" t="s">
        <v>714</v>
      </c>
      <c r="E554" s="22" t="s">
        <v>1700</v>
      </c>
      <c r="F554" s="22" t="s">
        <v>12</v>
      </c>
    </row>
    <row r="555" ht="18.5" customHeight="1" spans="1:6">
      <c r="A555" s="23">
        <v>554</v>
      </c>
      <c r="B555" s="23" t="s">
        <v>2270</v>
      </c>
      <c r="C555" s="23" t="s">
        <v>692</v>
      </c>
      <c r="D555" s="23" t="s">
        <v>2271</v>
      </c>
      <c r="E555" s="23" t="s">
        <v>1700</v>
      </c>
      <c r="F555" s="23" t="s">
        <v>12</v>
      </c>
    </row>
    <row r="556" ht="18.5" customHeight="1" spans="1:6">
      <c r="A556" s="22">
        <v>555</v>
      </c>
      <c r="B556" s="22" t="s">
        <v>2272</v>
      </c>
      <c r="C556" s="22" t="s">
        <v>692</v>
      </c>
      <c r="D556" s="22" t="s">
        <v>693</v>
      </c>
      <c r="E556" s="22" t="s">
        <v>1700</v>
      </c>
      <c r="F556" s="22" t="s">
        <v>12</v>
      </c>
    </row>
    <row r="557" ht="18.5" customHeight="1" spans="1:6">
      <c r="A557" s="23">
        <v>556</v>
      </c>
      <c r="B557" s="23" t="s">
        <v>2273</v>
      </c>
      <c r="C557" s="23" t="s">
        <v>692</v>
      </c>
      <c r="D557" s="23" t="s">
        <v>2274</v>
      </c>
      <c r="E557" s="23" t="s">
        <v>1700</v>
      </c>
      <c r="F557" s="23" t="s">
        <v>12</v>
      </c>
    </row>
    <row r="558" ht="18.5" customHeight="1" spans="1:6">
      <c r="A558" s="22">
        <v>557</v>
      </c>
      <c r="B558" s="22" t="s">
        <v>2275</v>
      </c>
      <c r="C558" s="22" t="s">
        <v>692</v>
      </c>
      <c r="D558" s="22" t="s">
        <v>696</v>
      </c>
      <c r="E558" s="22" t="s">
        <v>1700</v>
      </c>
      <c r="F558" s="22" t="s">
        <v>12</v>
      </c>
    </row>
    <row r="559" ht="18.5" customHeight="1" spans="1:6">
      <c r="A559" s="23">
        <v>558</v>
      </c>
      <c r="B559" s="23" t="s">
        <v>2276</v>
      </c>
      <c r="C559" s="23" t="s">
        <v>692</v>
      </c>
      <c r="D559" s="23" t="s">
        <v>693</v>
      </c>
      <c r="E559" s="23" t="s">
        <v>1700</v>
      </c>
      <c r="F559" s="23" t="s">
        <v>12</v>
      </c>
    </row>
    <row r="560" ht="18.5" customHeight="1" spans="1:6">
      <c r="A560" s="22">
        <v>559</v>
      </c>
      <c r="B560" s="22" t="s">
        <v>2277</v>
      </c>
      <c r="C560" s="22" t="s">
        <v>692</v>
      </c>
      <c r="D560" s="22" t="s">
        <v>729</v>
      </c>
      <c r="E560" s="22" t="s">
        <v>1700</v>
      </c>
      <c r="F560" s="22" t="s">
        <v>12</v>
      </c>
    </row>
    <row r="561" ht="18.5" customHeight="1" spans="1:6">
      <c r="A561" s="23">
        <v>560</v>
      </c>
      <c r="B561" s="23" t="s">
        <v>2278</v>
      </c>
      <c r="C561" s="23" t="s">
        <v>692</v>
      </c>
      <c r="D561" s="23" t="s">
        <v>693</v>
      </c>
      <c r="E561" s="23" t="s">
        <v>1700</v>
      </c>
      <c r="F561" s="23" t="s">
        <v>12</v>
      </c>
    </row>
    <row r="562" ht="18.5" customHeight="1" spans="1:6">
      <c r="A562" s="22">
        <v>561</v>
      </c>
      <c r="B562" s="22" t="s">
        <v>2279</v>
      </c>
      <c r="C562" s="22" t="s">
        <v>692</v>
      </c>
      <c r="D562" s="22" t="s">
        <v>1498</v>
      </c>
      <c r="E562" s="22" t="s">
        <v>1700</v>
      </c>
      <c r="F562" s="22" t="s">
        <v>12</v>
      </c>
    </row>
    <row r="563" ht="18.5" customHeight="1" spans="1:6">
      <c r="A563" s="23">
        <v>562</v>
      </c>
      <c r="B563" s="23" t="s">
        <v>2280</v>
      </c>
      <c r="C563" s="23" t="s">
        <v>692</v>
      </c>
      <c r="D563" s="23" t="s">
        <v>720</v>
      </c>
      <c r="E563" s="23" t="s">
        <v>1700</v>
      </c>
      <c r="F563" s="23" t="s">
        <v>12</v>
      </c>
    </row>
    <row r="564" ht="18.5" customHeight="1" spans="1:6">
      <c r="A564" s="22">
        <v>563</v>
      </c>
      <c r="B564" s="22" t="s">
        <v>2281</v>
      </c>
      <c r="C564" s="22" t="s">
        <v>692</v>
      </c>
      <c r="D564" s="22" t="s">
        <v>723</v>
      </c>
      <c r="E564" s="22" t="s">
        <v>1700</v>
      </c>
      <c r="F564" s="22" t="s">
        <v>12</v>
      </c>
    </row>
    <row r="565" ht="18.5" customHeight="1" spans="1:6">
      <c r="A565" s="23">
        <v>564</v>
      </c>
      <c r="B565" s="23" t="s">
        <v>2282</v>
      </c>
      <c r="C565" s="23" t="s">
        <v>692</v>
      </c>
      <c r="D565" s="23" t="s">
        <v>712</v>
      </c>
      <c r="E565" s="23" t="s">
        <v>1700</v>
      </c>
      <c r="F565" s="23" t="s">
        <v>12</v>
      </c>
    </row>
    <row r="566" ht="18.5" customHeight="1" spans="1:6">
      <c r="A566" s="22">
        <v>565</v>
      </c>
      <c r="B566" s="22" t="s">
        <v>2283</v>
      </c>
      <c r="C566" s="22" t="s">
        <v>692</v>
      </c>
      <c r="D566" s="22" t="s">
        <v>693</v>
      </c>
      <c r="E566" s="22" t="s">
        <v>1700</v>
      </c>
      <c r="F566" s="22" t="s">
        <v>12</v>
      </c>
    </row>
    <row r="567" ht="18.5" customHeight="1" spans="1:6">
      <c r="A567" s="23">
        <v>566</v>
      </c>
      <c r="B567" s="23" t="s">
        <v>2284</v>
      </c>
      <c r="C567" s="23" t="s">
        <v>692</v>
      </c>
      <c r="D567" s="23" t="s">
        <v>723</v>
      </c>
      <c r="E567" s="23" t="s">
        <v>1700</v>
      </c>
      <c r="F567" s="23" t="s">
        <v>12</v>
      </c>
    </row>
    <row r="568" ht="18.5" customHeight="1" spans="1:6">
      <c r="A568" s="22">
        <v>567</v>
      </c>
      <c r="B568" s="22" t="s">
        <v>2285</v>
      </c>
      <c r="C568" s="22" t="s">
        <v>692</v>
      </c>
      <c r="D568" s="22" t="s">
        <v>693</v>
      </c>
      <c r="E568" s="22" t="s">
        <v>1700</v>
      </c>
      <c r="F568" s="22" t="s">
        <v>12</v>
      </c>
    </row>
    <row r="569" ht="18.5" customHeight="1" spans="1:6">
      <c r="A569" s="23">
        <v>568</v>
      </c>
      <c r="B569" s="23" t="s">
        <v>2286</v>
      </c>
      <c r="C569" s="23" t="s">
        <v>692</v>
      </c>
      <c r="D569" s="23" t="s">
        <v>693</v>
      </c>
      <c r="E569" s="23" t="s">
        <v>1700</v>
      </c>
      <c r="F569" s="23" t="s">
        <v>12</v>
      </c>
    </row>
    <row r="570" ht="18.5" customHeight="1" spans="1:6">
      <c r="A570" s="22">
        <v>569</v>
      </c>
      <c r="B570" s="22" t="s">
        <v>2287</v>
      </c>
      <c r="C570" s="22" t="s">
        <v>692</v>
      </c>
      <c r="D570" s="22" t="s">
        <v>693</v>
      </c>
      <c r="E570" s="22" t="s">
        <v>1700</v>
      </c>
      <c r="F570" s="22" t="s">
        <v>12</v>
      </c>
    </row>
    <row r="571" ht="18.5" customHeight="1" spans="1:6">
      <c r="A571" s="23">
        <v>570</v>
      </c>
      <c r="B571" s="23" t="s">
        <v>2288</v>
      </c>
      <c r="C571" s="23" t="s">
        <v>692</v>
      </c>
      <c r="D571" s="23" t="s">
        <v>693</v>
      </c>
      <c r="E571" s="23" t="s">
        <v>1700</v>
      </c>
      <c r="F571" s="23" t="s">
        <v>12</v>
      </c>
    </row>
    <row r="572" ht="18.5" customHeight="1" spans="1:6">
      <c r="A572" s="22">
        <v>571</v>
      </c>
      <c r="B572" s="22" t="s">
        <v>2289</v>
      </c>
      <c r="C572" s="22" t="s">
        <v>692</v>
      </c>
      <c r="D572" s="22" t="s">
        <v>693</v>
      </c>
      <c r="E572" s="22" t="s">
        <v>1700</v>
      </c>
      <c r="F572" s="22" t="s">
        <v>12</v>
      </c>
    </row>
    <row r="573" ht="18.5" customHeight="1" spans="1:6">
      <c r="A573" s="23">
        <v>572</v>
      </c>
      <c r="B573" s="23" t="s">
        <v>2290</v>
      </c>
      <c r="C573" s="23" t="s">
        <v>692</v>
      </c>
      <c r="D573" s="23" t="s">
        <v>693</v>
      </c>
      <c r="E573" s="23" t="s">
        <v>1700</v>
      </c>
      <c r="F573" s="23" t="s">
        <v>12</v>
      </c>
    </row>
    <row r="574" ht="18.5" customHeight="1" spans="1:6">
      <c r="A574" s="22">
        <v>573</v>
      </c>
      <c r="B574" s="22" t="s">
        <v>2291</v>
      </c>
      <c r="C574" s="22" t="s">
        <v>692</v>
      </c>
      <c r="D574" s="22" t="s">
        <v>700</v>
      </c>
      <c r="E574" s="22" t="s">
        <v>1700</v>
      </c>
      <c r="F574" s="22" t="s">
        <v>12</v>
      </c>
    </row>
    <row r="575" ht="18.5" customHeight="1" spans="1:6">
      <c r="A575" s="23">
        <v>574</v>
      </c>
      <c r="B575" s="23" t="s">
        <v>2292</v>
      </c>
      <c r="C575" s="23" t="s">
        <v>692</v>
      </c>
      <c r="D575" s="23" t="s">
        <v>693</v>
      </c>
      <c r="E575" s="23" t="s">
        <v>1700</v>
      </c>
      <c r="F575" s="23" t="s">
        <v>12</v>
      </c>
    </row>
    <row r="576" ht="18.5" customHeight="1" spans="1:6">
      <c r="A576" s="22">
        <v>575</v>
      </c>
      <c r="B576" s="22" t="s">
        <v>2293</v>
      </c>
      <c r="C576" s="22" t="s">
        <v>692</v>
      </c>
      <c r="D576" s="22" t="s">
        <v>693</v>
      </c>
      <c r="E576" s="22" t="s">
        <v>1700</v>
      </c>
      <c r="F576" s="22" t="s">
        <v>12</v>
      </c>
    </row>
    <row r="577" ht="18.5" customHeight="1" spans="1:6">
      <c r="A577" s="23">
        <v>576</v>
      </c>
      <c r="B577" s="23" t="s">
        <v>2294</v>
      </c>
      <c r="C577" s="23" t="s">
        <v>692</v>
      </c>
      <c r="D577" s="23" t="s">
        <v>716</v>
      </c>
      <c r="E577" s="23" t="s">
        <v>1700</v>
      </c>
      <c r="F577" s="23" t="s">
        <v>12</v>
      </c>
    </row>
    <row r="578" ht="18.5" customHeight="1" spans="1:6">
      <c r="A578" s="22">
        <v>577</v>
      </c>
      <c r="B578" s="22" t="s">
        <v>2295</v>
      </c>
      <c r="C578" s="22" t="s">
        <v>692</v>
      </c>
      <c r="D578" s="22" t="s">
        <v>704</v>
      </c>
      <c r="E578" s="22" t="s">
        <v>1700</v>
      </c>
      <c r="F578" s="22" t="s">
        <v>12</v>
      </c>
    </row>
    <row r="579" ht="18.5" customHeight="1" spans="1:6">
      <c r="A579" s="23">
        <v>578</v>
      </c>
      <c r="B579" s="23" t="s">
        <v>2296</v>
      </c>
      <c r="C579" s="23" t="s">
        <v>692</v>
      </c>
      <c r="D579" s="23" t="s">
        <v>727</v>
      </c>
      <c r="E579" s="23" t="s">
        <v>1700</v>
      </c>
      <c r="F579" s="23" t="s">
        <v>12</v>
      </c>
    </row>
    <row r="580" ht="18.5" customHeight="1" spans="1:6">
      <c r="A580" s="22">
        <v>579</v>
      </c>
      <c r="B580" s="22" t="s">
        <v>2297</v>
      </c>
      <c r="C580" s="22" t="s">
        <v>692</v>
      </c>
      <c r="D580" s="22" t="s">
        <v>709</v>
      </c>
      <c r="E580" s="22" t="s">
        <v>1700</v>
      </c>
      <c r="F580" s="22" t="s">
        <v>12</v>
      </c>
    </row>
    <row r="581" ht="18.5" customHeight="1" spans="1:6">
      <c r="A581" s="23">
        <v>580</v>
      </c>
      <c r="B581" s="23" t="s">
        <v>2298</v>
      </c>
      <c r="C581" s="23" t="s">
        <v>692</v>
      </c>
      <c r="D581" s="23" t="s">
        <v>693</v>
      </c>
      <c r="E581" s="23" t="s">
        <v>1700</v>
      </c>
      <c r="F581" s="23" t="s">
        <v>12</v>
      </c>
    </row>
    <row r="582" ht="18.5" customHeight="1" spans="1:6">
      <c r="A582" s="22">
        <v>581</v>
      </c>
      <c r="B582" s="22" t="s">
        <v>2299</v>
      </c>
      <c r="C582" s="22" t="s">
        <v>692</v>
      </c>
      <c r="D582" s="22" t="s">
        <v>693</v>
      </c>
      <c r="E582" s="22" t="s">
        <v>1700</v>
      </c>
      <c r="F582" s="22" t="s">
        <v>12</v>
      </c>
    </row>
    <row r="583" ht="18.5" customHeight="1" spans="1:6">
      <c r="A583" s="23">
        <v>582</v>
      </c>
      <c r="B583" s="23" t="s">
        <v>2300</v>
      </c>
      <c r="C583" s="23" t="s">
        <v>692</v>
      </c>
      <c r="D583" s="23" t="s">
        <v>693</v>
      </c>
      <c r="E583" s="23" t="s">
        <v>1700</v>
      </c>
      <c r="F583" s="23" t="s">
        <v>12</v>
      </c>
    </row>
    <row r="584" ht="18.5" customHeight="1" spans="1:6">
      <c r="A584" s="22">
        <v>583</v>
      </c>
      <c r="B584" s="22" t="s">
        <v>2301</v>
      </c>
      <c r="C584" s="22" t="s">
        <v>692</v>
      </c>
      <c r="D584" s="22" t="s">
        <v>716</v>
      </c>
      <c r="E584" s="22" t="s">
        <v>1700</v>
      </c>
      <c r="F584" s="22" t="s">
        <v>12</v>
      </c>
    </row>
    <row r="585" ht="18.5" customHeight="1" spans="1:6">
      <c r="A585" s="23">
        <v>584</v>
      </c>
      <c r="B585" s="23" t="s">
        <v>2302</v>
      </c>
      <c r="C585" s="23" t="s">
        <v>692</v>
      </c>
      <c r="D585" s="23" t="s">
        <v>718</v>
      </c>
      <c r="E585" s="23" t="s">
        <v>1700</v>
      </c>
      <c r="F585" s="23" t="s">
        <v>12</v>
      </c>
    </row>
    <row r="586" ht="18.5" customHeight="1" spans="1:6">
      <c r="A586" s="22">
        <v>585</v>
      </c>
      <c r="B586" s="22" t="s">
        <v>2303</v>
      </c>
      <c r="C586" s="22" t="s">
        <v>692</v>
      </c>
      <c r="D586" s="22" t="s">
        <v>700</v>
      </c>
      <c r="E586" s="22" t="s">
        <v>1700</v>
      </c>
      <c r="F586" s="22" t="s">
        <v>12</v>
      </c>
    </row>
    <row r="587" ht="18.5" customHeight="1" spans="1:6">
      <c r="A587" s="23">
        <v>586</v>
      </c>
      <c r="B587" s="23" t="s">
        <v>2304</v>
      </c>
      <c r="C587" s="23" t="s">
        <v>692</v>
      </c>
      <c r="D587" s="23" t="s">
        <v>700</v>
      </c>
      <c r="E587" s="23" t="s">
        <v>1700</v>
      </c>
      <c r="F587" s="23" t="s">
        <v>12</v>
      </c>
    </row>
    <row r="588" ht="18.5" customHeight="1" spans="1:6">
      <c r="A588" s="22">
        <v>587</v>
      </c>
      <c r="B588" s="22" t="s">
        <v>2305</v>
      </c>
      <c r="C588" s="22" t="s">
        <v>692</v>
      </c>
      <c r="D588" s="22" t="s">
        <v>693</v>
      </c>
      <c r="E588" s="22" t="s">
        <v>1700</v>
      </c>
      <c r="F588" s="22" t="s">
        <v>12</v>
      </c>
    </row>
    <row r="589" ht="18.5" customHeight="1" spans="1:6">
      <c r="A589" s="23">
        <v>588</v>
      </c>
      <c r="B589" s="23" t="s">
        <v>2306</v>
      </c>
      <c r="C589" s="23" t="s">
        <v>692</v>
      </c>
      <c r="D589" s="23" t="s">
        <v>716</v>
      </c>
      <c r="E589" s="23" t="s">
        <v>1700</v>
      </c>
      <c r="F589" s="23" t="s">
        <v>12</v>
      </c>
    </row>
    <row r="590" ht="18.5" customHeight="1" spans="1:6">
      <c r="A590" s="22">
        <v>589</v>
      </c>
      <c r="B590" s="22" t="s">
        <v>2307</v>
      </c>
      <c r="C590" s="22" t="s">
        <v>692</v>
      </c>
      <c r="D590" s="22" t="s">
        <v>693</v>
      </c>
      <c r="E590" s="22" t="s">
        <v>1700</v>
      </c>
      <c r="F590" s="22" t="s">
        <v>12</v>
      </c>
    </row>
    <row r="591" ht="18.5" customHeight="1" spans="1:6">
      <c r="A591" s="23">
        <v>590</v>
      </c>
      <c r="B591" s="23" t="s">
        <v>2308</v>
      </c>
      <c r="C591" s="23" t="s">
        <v>692</v>
      </c>
      <c r="D591" s="23" t="s">
        <v>693</v>
      </c>
      <c r="E591" s="23" t="s">
        <v>1700</v>
      </c>
      <c r="F591" s="23" t="s">
        <v>12</v>
      </c>
    </row>
    <row r="592" ht="18.5" customHeight="1" spans="1:6">
      <c r="A592" s="22">
        <v>591</v>
      </c>
      <c r="B592" s="22" t="s">
        <v>2309</v>
      </c>
      <c r="C592" s="22" t="s">
        <v>692</v>
      </c>
      <c r="D592" s="22" t="s">
        <v>720</v>
      </c>
      <c r="E592" s="22" t="s">
        <v>1700</v>
      </c>
      <c r="F592" s="22" t="s">
        <v>12</v>
      </c>
    </row>
    <row r="593" ht="18.5" customHeight="1" spans="1:6">
      <c r="A593" s="23">
        <v>592</v>
      </c>
      <c r="B593" s="23" t="s">
        <v>2310</v>
      </c>
      <c r="C593" s="23" t="s">
        <v>692</v>
      </c>
      <c r="D593" s="23" t="s">
        <v>2274</v>
      </c>
      <c r="E593" s="23" t="s">
        <v>1700</v>
      </c>
      <c r="F593" s="23" t="s">
        <v>12</v>
      </c>
    </row>
    <row r="594" ht="18.5" customHeight="1" spans="1:6">
      <c r="A594" s="22">
        <v>593</v>
      </c>
      <c r="B594" s="22" t="s">
        <v>2311</v>
      </c>
      <c r="C594" s="22" t="s">
        <v>692</v>
      </c>
      <c r="D594" s="22" t="s">
        <v>2262</v>
      </c>
      <c r="E594" s="22" t="s">
        <v>1700</v>
      </c>
      <c r="F594" s="22" t="s">
        <v>12</v>
      </c>
    </row>
    <row r="595" ht="18.5" customHeight="1" spans="1:6">
      <c r="A595" s="23">
        <v>594</v>
      </c>
      <c r="B595" s="23" t="s">
        <v>2312</v>
      </c>
      <c r="C595" s="23" t="s">
        <v>692</v>
      </c>
      <c r="D595" s="23" t="s">
        <v>727</v>
      </c>
      <c r="E595" s="23" t="s">
        <v>1700</v>
      </c>
      <c r="F595" s="23" t="s">
        <v>12</v>
      </c>
    </row>
    <row r="596" ht="18.5" customHeight="1" spans="1:6">
      <c r="A596" s="22">
        <v>595</v>
      </c>
      <c r="B596" s="22" t="s">
        <v>2313</v>
      </c>
      <c r="C596" s="22" t="s">
        <v>692</v>
      </c>
      <c r="D596" s="22" t="s">
        <v>2257</v>
      </c>
      <c r="E596" s="22" t="s">
        <v>1700</v>
      </c>
      <c r="F596" s="22" t="s">
        <v>12</v>
      </c>
    </row>
    <row r="597" ht="18.5" customHeight="1" spans="1:6">
      <c r="A597" s="23">
        <v>596</v>
      </c>
      <c r="B597" s="23" t="s">
        <v>2314</v>
      </c>
      <c r="C597" s="23" t="s">
        <v>692</v>
      </c>
      <c r="D597" s="23" t="s">
        <v>693</v>
      </c>
      <c r="E597" s="23" t="s">
        <v>1700</v>
      </c>
      <c r="F597" s="23" t="s">
        <v>12</v>
      </c>
    </row>
    <row r="598" ht="18.5" customHeight="1" spans="1:6">
      <c r="A598" s="22">
        <v>597</v>
      </c>
      <c r="B598" s="22" t="s">
        <v>2315</v>
      </c>
      <c r="C598" s="22" t="s">
        <v>692</v>
      </c>
      <c r="D598" s="22" t="s">
        <v>693</v>
      </c>
      <c r="E598" s="22" t="s">
        <v>1700</v>
      </c>
      <c r="F598" s="22" t="s">
        <v>12</v>
      </c>
    </row>
    <row r="599" ht="18.5" customHeight="1" spans="1:6">
      <c r="A599" s="23">
        <v>598</v>
      </c>
      <c r="B599" s="23" t="s">
        <v>2316</v>
      </c>
      <c r="C599" s="23" t="s">
        <v>692</v>
      </c>
      <c r="D599" s="23" t="s">
        <v>693</v>
      </c>
      <c r="E599" s="23" t="s">
        <v>1700</v>
      </c>
      <c r="F599" s="23" t="s">
        <v>12</v>
      </c>
    </row>
    <row r="600" ht="18.5" customHeight="1" spans="1:6">
      <c r="A600" s="22">
        <v>599</v>
      </c>
      <c r="B600" s="22" t="s">
        <v>2317</v>
      </c>
      <c r="C600" s="22" t="s">
        <v>692</v>
      </c>
      <c r="D600" s="22" t="s">
        <v>704</v>
      </c>
      <c r="E600" s="22" t="s">
        <v>1700</v>
      </c>
      <c r="F600" s="22" t="s">
        <v>12</v>
      </c>
    </row>
    <row r="601" ht="18.5" customHeight="1" spans="1:6">
      <c r="A601" s="23">
        <v>600</v>
      </c>
      <c r="B601" s="23" t="s">
        <v>2318</v>
      </c>
      <c r="C601" s="23" t="s">
        <v>692</v>
      </c>
      <c r="D601" s="23" t="s">
        <v>693</v>
      </c>
      <c r="E601" s="23" t="s">
        <v>1700</v>
      </c>
      <c r="F601" s="23" t="s">
        <v>12</v>
      </c>
    </row>
    <row r="602" ht="18.5" customHeight="1" spans="1:6">
      <c r="A602" s="22">
        <v>601</v>
      </c>
      <c r="B602" s="22" t="s">
        <v>2319</v>
      </c>
      <c r="C602" s="22" t="s">
        <v>692</v>
      </c>
      <c r="D602" s="22" t="s">
        <v>704</v>
      </c>
      <c r="E602" s="22" t="s">
        <v>1700</v>
      </c>
      <c r="F602" s="22" t="s">
        <v>12</v>
      </c>
    </row>
    <row r="603" ht="18.5" customHeight="1" spans="1:6">
      <c r="A603" s="23">
        <v>602</v>
      </c>
      <c r="B603" s="23" t="s">
        <v>2320</v>
      </c>
      <c r="C603" s="23" t="s">
        <v>692</v>
      </c>
      <c r="D603" s="23" t="s">
        <v>709</v>
      </c>
      <c r="E603" s="23" t="s">
        <v>1700</v>
      </c>
      <c r="F603" s="23" t="s">
        <v>12</v>
      </c>
    </row>
    <row r="604" ht="18.5" customHeight="1" spans="1:6">
      <c r="A604" s="22">
        <v>603</v>
      </c>
      <c r="B604" s="22" t="s">
        <v>2321</v>
      </c>
      <c r="C604" s="22" t="s">
        <v>692</v>
      </c>
      <c r="D604" s="22" t="s">
        <v>2262</v>
      </c>
      <c r="E604" s="22" t="s">
        <v>1700</v>
      </c>
      <c r="F604" s="22" t="s">
        <v>12</v>
      </c>
    </row>
    <row r="605" ht="18.5" customHeight="1" spans="1:6">
      <c r="A605" s="23">
        <v>604</v>
      </c>
      <c r="B605" s="23" t="s">
        <v>2322</v>
      </c>
      <c r="C605" s="23" t="s">
        <v>692</v>
      </c>
      <c r="D605" s="23" t="s">
        <v>720</v>
      </c>
      <c r="E605" s="23" t="s">
        <v>1700</v>
      </c>
      <c r="F605" s="23" t="s">
        <v>12</v>
      </c>
    </row>
    <row r="606" ht="18.5" customHeight="1" spans="1:6">
      <c r="A606" s="22">
        <v>605</v>
      </c>
      <c r="B606" s="22" t="s">
        <v>2323</v>
      </c>
      <c r="C606" s="22" t="s">
        <v>692</v>
      </c>
      <c r="D606" s="22" t="s">
        <v>709</v>
      </c>
      <c r="E606" s="22" t="s">
        <v>1700</v>
      </c>
      <c r="F606" s="22" t="s">
        <v>12</v>
      </c>
    </row>
    <row r="607" ht="18.5" customHeight="1" spans="1:6">
      <c r="A607" s="23">
        <v>606</v>
      </c>
      <c r="B607" s="23" t="s">
        <v>2324</v>
      </c>
      <c r="C607" s="23" t="s">
        <v>692</v>
      </c>
      <c r="D607" s="23" t="s">
        <v>729</v>
      </c>
      <c r="E607" s="23" t="s">
        <v>1700</v>
      </c>
      <c r="F607" s="23" t="s">
        <v>12</v>
      </c>
    </row>
    <row r="608" ht="18.5" customHeight="1" spans="1:6">
      <c r="A608" s="22">
        <v>607</v>
      </c>
      <c r="B608" s="22" t="s">
        <v>2325</v>
      </c>
      <c r="C608" s="22" t="s">
        <v>692</v>
      </c>
      <c r="D608" s="22" t="s">
        <v>700</v>
      </c>
      <c r="E608" s="22" t="s">
        <v>1700</v>
      </c>
      <c r="F608" s="22" t="s">
        <v>12</v>
      </c>
    </row>
    <row r="609" ht="18.5" customHeight="1" spans="1:6">
      <c r="A609" s="23">
        <v>608</v>
      </c>
      <c r="B609" s="23" t="s">
        <v>2326</v>
      </c>
      <c r="C609" s="23" t="s">
        <v>692</v>
      </c>
      <c r="D609" s="23" t="s">
        <v>714</v>
      </c>
      <c r="E609" s="23" t="s">
        <v>1700</v>
      </c>
      <c r="F609" s="23" t="s">
        <v>12</v>
      </c>
    </row>
    <row r="610" ht="18.5" customHeight="1" spans="1:6">
      <c r="A610" s="22">
        <v>609</v>
      </c>
      <c r="B610" s="22" t="s">
        <v>2327</v>
      </c>
      <c r="C610" s="22" t="s">
        <v>692</v>
      </c>
      <c r="D610" s="22" t="s">
        <v>712</v>
      </c>
      <c r="E610" s="22" t="s">
        <v>1700</v>
      </c>
      <c r="F610" s="22" t="s">
        <v>12</v>
      </c>
    </row>
    <row r="611" ht="18.5" customHeight="1" spans="1:6">
      <c r="A611" s="23">
        <v>610</v>
      </c>
      <c r="B611" s="23" t="s">
        <v>2328</v>
      </c>
      <c r="C611" s="23" t="s">
        <v>692</v>
      </c>
      <c r="D611" s="23" t="s">
        <v>729</v>
      </c>
      <c r="E611" s="23" t="s">
        <v>1700</v>
      </c>
      <c r="F611" s="23" t="s">
        <v>12</v>
      </c>
    </row>
    <row r="612" ht="18.5" customHeight="1" spans="1:6">
      <c r="A612" s="22">
        <v>611</v>
      </c>
      <c r="B612" s="22" t="s">
        <v>2329</v>
      </c>
      <c r="C612" s="22" t="s">
        <v>746</v>
      </c>
      <c r="D612" s="22" t="s">
        <v>747</v>
      </c>
      <c r="E612" s="22" t="s">
        <v>1700</v>
      </c>
      <c r="F612" s="22" t="s">
        <v>12</v>
      </c>
    </row>
    <row r="613" ht="18.5" customHeight="1" spans="1:6">
      <c r="A613" s="23">
        <v>612</v>
      </c>
      <c r="B613" s="23" t="s">
        <v>2330</v>
      </c>
      <c r="C613" s="23" t="s">
        <v>746</v>
      </c>
      <c r="D613" s="23" t="s">
        <v>751</v>
      </c>
      <c r="E613" s="23" t="s">
        <v>1700</v>
      </c>
      <c r="F613" s="23" t="s">
        <v>12</v>
      </c>
    </row>
    <row r="614" ht="18.5" customHeight="1" spans="1:6">
      <c r="A614" s="22">
        <v>613</v>
      </c>
      <c r="B614" s="22" t="s">
        <v>2331</v>
      </c>
      <c r="C614" s="22" t="s">
        <v>746</v>
      </c>
      <c r="D614" s="22" t="s">
        <v>769</v>
      </c>
      <c r="E614" s="22" t="s">
        <v>1700</v>
      </c>
      <c r="F614" s="22" t="s">
        <v>12</v>
      </c>
    </row>
    <row r="615" ht="18.5" customHeight="1" spans="1:6">
      <c r="A615" s="23">
        <v>614</v>
      </c>
      <c r="B615" s="23" t="s">
        <v>2332</v>
      </c>
      <c r="C615" s="23" t="s">
        <v>746</v>
      </c>
      <c r="D615" s="23" t="s">
        <v>2333</v>
      </c>
      <c r="E615" s="23" t="s">
        <v>1700</v>
      </c>
      <c r="F615" s="23" t="s">
        <v>12</v>
      </c>
    </row>
    <row r="616" ht="18.5" customHeight="1" spans="1:6">
      <c r="A616" s="22">
        <v>615</v>
      </c>
      <c r="B616" s="22" t="s">
        <v>2334</v>
      </c>
      <c r="C616" s="22" t="s">
        <v>746</v>
      </c>
      <c r="D616" s="22" t="s">
        <v>747</v>
      </c>
      <c r="E616" s="22" t="s">
        <v>1700</v>
      </c>
      <c r="F616" s="22" t="s">
        <v>12</v>
      </c>
    </row>
    <row r="617" ht="18.5" customHeight="1" spans="1:6">
      <c r="A617" s="23">
        <v>616</v>
      </c>
      <c r="B617" s="23" t="s">
        <v>2335</v>
      </c>
      <c r="C617" s="23" t="s">
        <v>746</v>
      </c>
      <c r="D617" s="23" t="s">
        <v>778</v>
      </c>
      <c r="E617" s="23" t="s">
        <v>1700</v>
      </c>
      <c r="F617" s="23" t="s">
        <v>12</v>
      </c>
    </row>
    <row r="618" ht="18.5" customHeight="1" spans="1:6">
      <c r="A618" s="22">
        <v>617</v>
      </c>
      <c r="B618" s="22" t="s">
        <v>2336</v>
      </c>
      <c r="C618" s="22" t="s">
        <v>746</v>
      </c>
      <c r="D618" s="22" t="s">
        <v>747</v>
      </c>
      <c r="E618" s="22" t="s">
        <v>1700</v>
      </c>
      <c r="F618" s="22" t="s">
        <v>12</v>
      </c>
    </row>
    <row r="619" ht="18.5" customHeight="1" spans="1:6">
      <c r="A619" s="23">
        <v>618</v>
      </c>
      <c r="B619" s="23" t="s">
        <v>2337</v>
      </c>
      <c r="C619" s="23" t="s">
        <v>746</v>
      </c>
      <c r="D619" s="23" t="s">
        <v>767</v>
      </c>
      <c r="E619" s="23" t="s">
        <v>1700</v>
      </c>
      <c r="F619" s="23" t="s">
        <v>12</v>
      </c>
    </row>
    <row r="620" ht="18.5" customHeight="1" spans="1:6">
      <c r="A620" s="22">
        <v>619</v>
      </c>
      <c r="B620" s="22" t="s">
        <v>2338</v>
      </c>
      <c r="C620" s="22" t="s">
        <v>746</v>
      </c>
      <c r="D620" s="22" t="s">
        <v>751</v>
      </c>
      <c r="E620" s="22" t="s">
        <v>1700</v>
      </c>
      <c r="F620" s="22" t="s">
        <v>12</v>
      </c>
    </row>
    <row r="621" ht="18.5" customHeight="1" spans="1:6">
      <c r="A621" s="23">
        <v>620</v>
      </c>
      <c r="B621" s="23" t="s">
        <v>2339</v>
      </c>
      <c r="C621" s="23" t="s">
        <v>746</v>
      </c>
      <c r="D621" s="23" t="s">
        <v>747</v>
      </c>
      <c r="E621" s="23" t="s">
        <v>1700</v>
      </c>
      <c r="F621" s="23" t="s">
        <v>12</v>
      </c>
    </row>
    <row r="622" ht="18.5" customHeight="1" spans="1:6">
      <c r="A622" s="22">
        <v>621</v>
      </c>
      <c r="B622" s="22" t="s">
        <v>2340</v>
      </c>
      <c r="C622" s="22" t="s">
        <v>746</v>
      </c>
      <c r="D622" s="22" t="s">
        <v>2341</v>
      </c>
      <c r="E622" s="22" t="s">
        <v>1700</v>
      </c>
      <c r="F622" s="22" t="s">
        <v>12</v>
      </c>
    </row>
    <row r="623" ht="18.5" customHeight="1" spans="1:6">
      <c r="A623" s="23">
        <v>622</v>
      </c>
      <c r="B623" s="23" t="s">
        <v>2342</v>
      </c>
      <c r="C623" s="23" t="s">
        <v>746</v>
      </c>
      <c r="D623" s="23" t="s">
        <v>747</v>
      </c>
      <c r="E623" s="23" t="s">
        <v>1700</v>
      </c>
      <c r="F623" s="23" t="s">
        <v>12</v>
      </c>
    </row>
    <row r="624" ht="18.5" customHeight="1" spans="1:6">
      <c r="A624" s="22">
        <v>623</v>
      </c>
      <c r="B624" s="22" t="s">
        <v>2343</v>
      </c>
      <c r="C624" s="22" t="s">
        <v>746</v>
      </c>
      <c r="D624" s="22" t="s">
        <v>747</v>
      </c>
      <c r="E624" s="22" t="s">
        <v>1700</v>
      </c>
      <c r="F624" s="22" t="s">
        <v>12</v>
      </c>
    </row>
    <row r="625" ht="18.5" customHeight="1" spans="1:6">
      <c r="A625" s="23">
        <v>624</v>
      </c>
      <c r="B625" s="23" t="s">
        <v>2344</v>
      </c>
      <c r="C625" s="23" t="s">
        <v>746</v>
      </c>
      <c r="D625" s="23" t="s">
        <v>751</v>
      </c>
      <c r="E625" s="23" t="s">
        <v>1700</v>
      </c>
      <c r="F625" s="23" t="s">
        <v>12</v>
      </c>
    </row>
    <row r="626" ht="18.5" customHeight="1" spans="1:6">
      <c r="A626" s="22">
        <v>625</v>
      </c>
      <c r="B626" s="22" t="s">
        <v>2345</v>
      </c>
      <c r="C626" s="22" t="s">
        <v>746</v>
      </c>
      <c r="D626" s="22" t="s">
        <v>747</v>
      </c>
      <c r="E626" s="22" t="s">
        <v>1700</v>
      </c>
      <c r="F626" s="22" t="s">
        <v>12</v>
      </c>
    </row>
    <row r="627" ht="18.5" customHeight="1" spans="1:6">
      <c r="A627" s="23">
        <v>626</v>
      </c>
      <c r="B627" s="23" t="s">
        <v>2346</v>
      </c>
      <c r="C627" s="23" t="s">
        <v>746</v>
      </c>
      <c r="D627" s="23" t="s">
        <v>747</v>
      </c>
      <c r="E627" s="23" t="s">
        <v>1700</v>
      </c>
      <c r="F627" s="23" t="s">
        <v>12</v>
      </c>
    </row>
    <row r="628" ht="18.5" customHeight="1" spans="1:6">
      <c r="A628" s="22">
        <v>627</v>
      </c>
      <c r="B628" s="22" t="s">
        <v>2347</v>
      </c>
      <c r="C628" s="22" t="s">
        <v>746</v>
      </c>
      <c r="D628" s="22" t="s">
        <v>747</v>
      </c>
      <c r="E628" s="22" t="s">
        <v>1700</v>
      </c>
      <c r="F628" s="22" t="s">
        <v>12</v>
      </c>
    </row>
    <row r="629" ht="18.5" customHeight="1" spans="1:6">
      <c r="A629" s="23">
        <v>628</v>
      </c>
      <c r="B629" s="23" t="s">
        <v>2348</v>
      </c>
      <c r="C629" s="23" t="s">
        <v>746</v>
      </c>
      <c r="D629" s="23" t="s">
        <v>785</v>
      </c>
      <c r="E629" s="23" t="s">
        <v>1700</v>
      </c>
      <c r="F629" s="23" t="s">
        <v>12</v>
      </c>
    </row>
    <row r="630" ht="18.5" customHeight="1" spans="1:6">
      <c r="A630" s="22">
        <v>629</v>
      </c>
      <c r="B630" s="22" t="s">
        <v>2349</v>
      </c>
      <c r="C630" s="22" t="s">
        <v>746</v>
      </c>
      <c r="D630" s="22" t="s">
        <v>2350</v>
      </c>
      <c r="E630" s="22" t="s">
        <v>1700</v>
      </c>
      <c r="F630" s="22" t="s">
        <v>12</v>
      </c>
    </row>
    <row r="631" ht="18.5" customHeight="1" spans="1:6">
      <c r="A631" s="23">
        <v>630</v>
      </c>
      <c r="B631" s="23" t="s">
        <v>2351</v>
      </c>
      <c r="C631" s="23" t="s">
        <v>746</v>
      </c>
      <c r="D631" s="23" t="s">
        <v>747</v>
      </c>
      <c r="E631" s="23" t="s">
        <v>1700</v>
      </c>
      <c r="F631" s="23" t="s">
        <v>12</v>
      </c>
    </row>
    <row r="632" ht="18.5" customHeight="1" spans="1:6">
      <c r="A632" s="22">
        <v>631</v>
      </c>
      <c r="B632" s="22" t="s">
        <v>2352</v>
      </c>
      <c r="C632" s="22" t="s">
        <v>746</v>
      </c>
      <c r="D632" s="22" t="s">
        <v>747</v>
      </c>
      <c r="E632" s="22" t="s">
        <v>1700</v>
      </c>
      <c r="F632" s="22" t="s">
        <v>12</v>
      </c>
    </row>
    <row r="633" ht="18.5" customHeight="1" spans="1:6">
      <c r="A633" s="23">
        <v>632</v>
      </c>
      <c r="B633" s="23" t="s">
        <v>2353</v>
      </c>
      <c r="C633" s="23" t="s">
        <v>746</v>
      </c>
      <c r="D633" s="23" t="s">
        <v>747</v>
      </c>
      <c r="E633" s="23" t="s">
        <v>1700</v>
      </c>
      <c r="F633" s="23" t="s">
        <v>12</v>
      </c>
    </row>
    <row r="634" ht="18.5" customHeight="1" spans="1:6">
      <c r="A634" s="22">
        <v>633</v>
      </c>
      <c r="B634" s="22" t="s">
        <v>2354</v>
      </c>
      <c r="C634" s="22" t="s">
        <v>746</v>
      </c>
      <c r="D634" s="22" t="s">
        <v>747</v>
      </c>
      <c r="E634" s="22" t="s">
        <v>1700</v>
      </c>
      <c r="F634" s="22" t="s">
        <v>12</v>
      </c>
    </row>
    <row r="635" ht="18.5" customHeight="1" spans="1:6">
      <c r="A635" s="23">
        <v>634</v>
      </c>
      <c r="B635" s="23" t="s">
        <v>2355</v>
      </c>
      <c r="C635" s="23" t="s">
        <v>746</v>
      </c>
      <c r="D635" s="23" t="s">
        <v>747</v>
      </c>
      <c r="E635" s="23" t="s">
        <v>1700</v>
      </c>
      <c r="F635" s="23" t="s">
        <v>12</v>
      </c>
    </row>
    <row r="636" ht="18.5" customHeight="1" spans="1:6">
      <c r="A636" s="22">
        <v>635</v>
      </c>
      <c r="B636" s="22" t="s">
        <v>2356</v>
      </c>
      <c r="C636" s="22" t="s">
        <v>746</v>
      </c>
      <c r="D636" s="22" t="s">
        <v>747</v>
      </c>
      <c r="E636" s="22" t="s">
        <v>1700</v>
      </c>
      <c r="F636" s="22" t="s">
        <v>12</v>
      </c>
    </row>
    <row r="637" ht="18.5" customHeight="1" spans="1:6">
      <c r="A637" s="23">
        <v>636</v>
      </c>
      <c r="B637" s="23" t="s">
        <v>2357</v>
      </c>
      <c r="C637" s="23" t="s">
        <v>746</v>
      </c>
      <c r="D637" s="23" t="s">
        <v>747</v>
      </c>
      <c r="E637" s="23" t="s">
        <v>1700</v>
      </c>
      <c r="F637" s="23" t="s">
        <v>12</v>
      </c>
    </row>
    <row r="638" ht="18.5" customHeight="1" spans="1:6">
      <c r="A638" s="22">
        <v>637</v>
      </c>
      <c r="B638" s="22" t="s">
        <v>2358</v>
      </c>
      <c r="C638" s="22" t="s">
        <v>746</v>
      </c>
      <c r="D638" s="22" t="s">
        <v>781</v>
      </c>
      <c r="E638" s="22" t="s">
        <v>1700</v>
      </c>
      <c r="F638" s="22" t="s">
        <v>12</v>
      </c>
    </row>
    <row r="639" ht="18.5" customHeight="1" spans="1:6">
      <c r="A639" s="23">
        <v>638</v>
      </c>
      <c r="B639" s="23" t="s">
        <v>2359</v>
      </c>
      <c r="C639" s="23" t="s">
        <v>746</v>
      </c>
      <c r="D639" s="23" t="s">
        <v>747</v>
      </c>
      <c r="E639" s="23" t="s">
        <v>1700</v>
      </c>
      <c r="F639" s="23" t="s">
        <v>12</v>
      </c>
    </row>
    <row r="640" ht="18.5" customHeight="1" spans="1:6">
      <c r="A640" s="22">
        <v>639</v>
      </c>
      <c r="B640" s="22" t="s">
        <v>2360</v>
      </c>
      <c r="C640" s="22" t="s">
        <v>746</v>
      </c>
      <c r="D640" s="22" t="s">
        <v>2361</v>
      </c>
      <c r="E640" s="22" t="s">
        <v>1700</v>
      </c>
      <c r="F640" s="22" t="s">
        <v>12</v>
      </c>
    </row>
    <row r="641" ht="18.5" customHeight="1" spans="1:6">
      <c r="A641" s="23">
        <v>640</v>
      </c>
      <c r="B641" s="23" t="s">
        <v>2362</v>
      </c>
      <c r="C641" s="23" t="s">
        <v>746</v>
      </c>
      <c r="D641" s="23" t="s">
        <v>747</v>
      </c>
      <c r="E641" s="23" t="s">
        <v>1700</v>
      </c>
      <c r="F641" s="23" t="s">
        <v>12</v>
      </c>
    </row>
    <row r="642" ht="18.5" customHeight="1" spans="1:6">
      <c r="A642" s="22">
        <v>641</v>
      </c>
      <c r="B642" s="22" t="s">
        <v>2363</v>
      </c>
      <c r="C642" s="22" t="s">
        <v>746</v>
      </c>
      <c r="D642" s="22" t="s">
        <v>765</v>
      </c>
      <c r="E642" s="22" t="s">
        <v>1700</v>
      </c>
      <c r="F642" s="22" t="s">
        <v>12</v>
      </c>
    </row>
    <row r="643" ht="18.5" customHeight="1" spans="1:6">
      <c r="A643" s="23">
        <v>642</v>
      </c>
      <c r="B643" s="23" t="s">
        <v>2364</v>
      </c>
      <c r="C643" s="23" t="s">
        <v>746</v>
      </c>
      <c r="D643" s="23" t="s">
        <v>747</v>
      </c>
      <c r="E643" s="23" t="s">
        <v>1700</v>
      </c>
      <c r="F643" s="23" t="s">
        <v>12</v>
      </c>
    </row>
    <row r="644" ht="18.5" customHeight="1" spans="1:6">
      <c r="A644" s="22">
        <v>643</v>
      </c>
      <c r="B644" s="22" t="s">
        <v>2365</v>
      </c>
      <c r="C644" s="22" t="s">
        <v>746</v>
      </c>
      <c r="D644" s="22" t="s">
        <v>747</v>
      </c>
      <c r="E644" s="22" t="s">
        <v>1700</v>
      </c>
      <c r="F644" s="22" t="s">
        <v>12</v>
      </c>
    </row>
    <row r="645" ht="18.5" customHeight="1" spans="1:6">
      <c r="A645" s="23">
        <v>644</v>
      </c>
      <c r="B645" s="23" t="s">
        <v>2366</v>
      </c>
      <c r="C645" s="23" t="s">
        <v>746</v>
      </c>
      <c r="D645" s="23" t="s">
        <v>747</v>
      </c>
      <c r="E645" s="23" t="s">
        <v>1700</v>
      </c>
      <c r="F645" s="23" t="s">
        <v>12</v>
      </c>
    </row>
    <row r="646" ht="18.5" customHeight="1" spans="1:6">
      <c r="A646" s="22">
        <v>645</v>
      </c>
      <c r="B646" s="22" t="s">
        <v>2367</v>
      </c>
      <c r="C646" s="22" t="s">
        <v>746</v>
      </c>
      <c r="D646" s="22" t="s">
        <v>785</v>
      </c>
      <c r="E646" s="22" t="s">
        <v>1700</v>
      </c>
      <c r="F646" s="22" t="s">
        <v>12</v>
      </c>
    </row>
    <row r="647" ht="18.5" customHeight="1" spans="1:6">
      <c r="A647" s="23">
        <v>646</v>
      </c>
      <c r="B647" s="23" t="s">
        <v>2368</v>
      </c>
      <c r="C647" s="23" t="s">
        <v>746</v>
      </c>
      <c r="D647" s="23" t="s">
        <v>747</v>
      </c>
      <c r="E647" s="23" t="s">
        <v>1700</v>
      </c>
      <c r="F647" s="23" t="s">
        <v>12</v>
      </c>
    </row>
    <row r="648" ht="18.5" customHeight="1" spans="1:6">
      <c r="A648" s="22">
        <v>647</v>
      </c>
      <c r="B648" s="22" t="s">
        <v>2369</v>
      </c>
      <c r="C648" s="22" t="s">
        <v>746</v>
      </c>
      <c r="D648" s="22" t="s">
        <v>747</v>
      </c>
      <c r="E648" s="22" t="s">
        <v>1700</v>
      </c>
      <c r="F648" s="22" t="s">
        <v>12</v>
      </c>
    </row>
    <row r="649" ht="18.5" customHeight="1" spans="1:6">
      <c r="A649" s="23">
        <v>648</v>
      </c>
      <c r="B649" s="23" t="s">
        <v>2370</v>
      </c>
      <c r="C649" s="23" t="s">
        <v>746</v>
      </c>
      <c r="D649" s="23" t="s">
        <v>763</v>
      </c>
      <c r="E649" s="23" t="s">
        <v>1700</v>
      </c>
      <c r="F649" s="23" t="s">
        <v>12</v>
      </c>
    </row>
    <row r="650" ht="18.5" customHeight="1" spans="1:6">
      <c r="A650" s="22">
        <v>649</v>
      </c>
      <c r="B650" s="22" t="s">
        <v>2371</v>
      </c>
      <c r="C650" s="22" t="s">
        <v>746</v>
      </c>
      <c r="D650" s="22" t="s">
        <v>785</v>
      </c>
      <c r="E650" s="22" t="s">
        <v>1700</v>
      </c>
      <c r="F650" s="22" t="s">
        <v>12</v>
      </c>
    </row>
    <row r="651" ht="18.5" customHeight="1" spans="1:6">
      <c r="A651" s="23">
        <v>650</v>
      </c>
      <c r="B651" s="23" t="s">
        <v>2372</v>
      </c>
      <c r="C651" s="23" t="s">
        <v>746</v>
      </c>
      <c r="D651" s="23" t="s">
        <v>2373</v>
      </c>
      <c r="E651" s="23" t="s">
        <v>1700</v>
      </c>
      <c r="F651" s="23" t="s">
        <v>12</v>
      </c>
    </row>
    <row r="652" ht="18.5" customHeight="1" spans="1:6">
      <c r="A652" s="22">
        <v>651</v>
      </c>
      <c r="B652" s="22" t="s">
        <v>2374</v>
      </c>
      <c r="C652" s="22" t="s">
        <v>746</v>
      </c>
      <c r="D652" s="22" t="s">
        <v>747</v>
      </c>
      <c r="E652" s="22" t="s">
        <v>1700</v>
      </c>
      <c r="F652" s="22" t="s">
        <v>12</v>
      </c>
    </row>
    <row r="653" ht="18.5" customHeight="1" spans="1:6">
      <c r="A653" s="23">
        <v>652</v>
      </c>
      <c r="B653" s="23" t="s">
        <v>2375</v>
      </c>
      <c r="C653" s="23" t="s">
        <v>746</v>
      </c>
      <c r="D653" s="23" t="s">
        <v>771</v>
      </c>
      <c r="E653" s="23" t="s">
        <v>1700</v>
      </c>
      <c r="F653" s="23" t="s">
        <v>12</v>
      </c>
    </row>
    <row r="654" ht="18.5" customHeight="1" spans="1:6">
      <c r="A654" s="22">
        <v>653</v>
      </c>
      <c r="B654" s="22" t="s">
        <v>2376</v>
      </c>
      <c r="C654" s="22" t="s">
        <v>746</v>
      </c>
      <c r="D654" s="22" t="s">
        <v>747</v>
      </c>
      <c r="E654" s="22" t="s">
        <v>1700</v>
      </c>
      <c r="F654" s="22" t="s">
        <v>12</v>
      </c>
    </row>
    <row r="655" ht="18.5" customHeight="1" spans="1:6">
      <c r="A655" s="23">
        <v>654</v>
      </c>
      <c r="B655" s="23" t="s">
        <v>2377</v>
      </c>
      <c r="C655" s="23" t="s">
        <v>746</v>
      </c>
      <c r="D655" s="23" t="s">
        <v>747</v>
      </c>
      <c r="E655" s="23" t="s">
        <v>1700</v>
      </c>
      <c r="F655" s="23" t="s">
        <v>12</v>
      </c>
    </row>
    <row r="656" ht="18.5" customHeight="1" spans="1:6">
      <c r="A656" s="22">
        <v>655</v>
      </c>
      <c r="B656" s="22" t="s">
        <v>2378</v>
      </c>
      <c r="C656" s="22" t="s">
        <v>746</v>
      </c>
      <c r="D656" s="22" t="s">
        <v>747</v>
      </c>
      <c r="E656" s="22" t="s">
        <v>1700</v>
      </c>
      <c r="F656" s="22" t="s">
        <v>12</v>
      </c>
    </row>
    <row r="657" ht="18.5" customHeight="1" spans="1:6">
      <c r="A657" s="23">
        <v>656</v>
      </c>
      <c r="B657" s="23" t="s">
        <v>2379</v>
      </c>
      <c r="C657" s="23" t="s">
        <v>746</v>
      </c>
      <c r="D657" s="23" t="s">
        <v>788</v>
      </c>
      <c r="E657" s="23" t="s">
        <v>1700</v>
      </c>
      <c r="F657" s="23" t="s">
        <v>12</v>
      </c>
    </row>
    <row r="658" ht="18.5" customHeight="1" spans="1:6">
      <c r="A658" s="22">
        <v>657</v>
      </c>
      <c r="B658" s="22" t="s">
        <v>2380</v>
      </c>
      <c r="C658" s="22" t="s">
        <v>746</v>
      </c>
      <c r="D658" s="22" t="s">
        <v>747</v>
      </c>
      <c r="E658" s="22" t="s">
        <v>1700</v>
      </c>
      <c r="F658" s="22" t="s">
        <v>12</v>
      </c>
    </row>
    <row r="659" ht="18.5" customHeight="1" spans="1:6">
      <c r="A659" s="23">
        <v>658</v>
      </c>
      <c r="B659" s="23" t="s">
        <v>2381</v>
      </c>
      <c r="C659" s="23" t="s">
        <v>797</v>
      </c>
      <c r="D659" s="23" t="s">
        <v>817</v>
      </c>
      <c r="E659" s="23" t="s">
        <v>1700</v>
      </c>
      <c r="F659" s="23" t="s">
        <v>12</v>
      </c>
    </row>
    <row r="660" ht="18.5" customHeight="1" spans="1:6">
      <c r="A660" s="22">
        <v>659</v>
      </c>
      <c r="B660" s="22" t="s">
        <v>2382</v>
      </c>
      <c r="C660" s="22" t="s">
        <v>797</v>
      </c>
      <c r="D660" s="22" t="s">
        <v>802</v>
      </c>
      <c r="E660" s="22" t="s">
        <v>1700</v>
      </c>
      <c r="F660" s="22" t="s">
        <v>12</v>
      </c>
    </row>
    <row r="661" ht="18.5" customHeight="1" spans="1:6">
      <c r="A661" s="23">
        <v>660</v>
      </c>
      <c r="B661" s="23" t="s">
        <v>2383</v>
      </c>
      <c r="C661" s="23" t="s">
        <v>797</v>
      </c>
      <c r="D661" s="23" t="s">
        <v>802</v>
      </c>
      <c r="E661" s="23" t="s">
        <v>1700</v>
      </c>
      <c r="F661" s="23" t="s">
        <v>12</v>
      </c>
    </row>
    <row r="662" ht="18.5" customHeight="1" spans="1:6">
      <c r="A662" s="22">
        <v>661</v>
      </c>
      <c r="B662" s="22" t="s">
        <v>2384</v>
      </c>
      <c r="C662" s="22" t="s">
        <v>797</v>
      </c>
      <c r="D662" s="22" t="s">
        <v>836</v>
      </c>
      <c r="E662" s="22" t="s">
        <v>1700</v>
      </c>
      <c r="F662" s="22" t="s">
        <v>12</v>
      </c>
    </row>
    <row r="663" ht="18.5" customHeight="1" spans="1:6">
      <c r="A663" s="23">
        <v>662</v>
      </c>
      <c r="B663" s="23" t="s">
        <v>2385</v>
      </c>
      <c r="C663" s="23" t="s">
        <v>797</v>
      </c>
      <c r="D663" s="23" t="s">
        <v>802</v>
      </c>
      <c r="E663" s="23" t="s">
        <v>1700</v>
      </c>
      <c r="F663" s="23" t="s">
        <v>12</v>
      </c>
    </row>
    <row r="664" ht="18.5" customHeight="1" spans="1:6">
      <c r="A664" s="22">
        <v>663</v>
      </c>
      <c r="B664" s="22" t="s">
        <v>2386</v>
      </c>
      <c r="C664" s="22" t="s">
        <v>797</v>
      </c>
      <c r="D664" s="22" t="s">
        <v>802</v>
      </c>
      <c r="E664" s="22" t="s">
        <v>1700</v>
      </c>
      <c r="F664" s="22" t="s">
        <v>12</v>
      </c>
    </row>
    <row r="665" ht="18.5" customHeight="1" spans="1:6">
      <c r="A665" s="23">
        <v>664</v>
      </c>
      <c r="B665" s="23" t="s">
        <v>2387</v>
      </c>
      <c r="C665" s="23" t="s">
        <v>797</v>
      </c>
      <c r="D665" s="23" t="s">
        <v>836</v>
      </c>
      <c r="E665" s="23" t="s">
        <v>1700</v>
      </c>
      <c r="F665" s="23" t="s">
        <v>12</v>
      </c>
    </row>
    <row r="666" ht="18.5" customHeight="1" spans="1:6">
      <c r="A666" s="22">
        <v>665</v>
      </c>
      <c r="B666" s="22" t="s">
        <v>2388</v>
      </c>
      <c r="C666" s="22" t="s">
        <v>797</v>
      </c>
      <c r="D666" s="22" t="s">
        <v>802</v>
      </c>
      <c r="E666" s="22" t="s">
        <v>1700</v>
      </c>
      <c r="F666" s="22" t="s">
        <v>12</v>
      </c>
    </row>
    <row r="667" ht="18.5" customHeight="1" spans="1:6">
      <c r="A667" s="23">
        <v>666</v>
      </c>
      <c r="B667" s="23" t="s">
        <v>2389</v>
      </c>
      <c r="C667" s="23" t="s">
        <v>797</v>
      </c>
      <c r="D667" s="23" t="s">
        <v>802</v>
      </c>
      <c r="E667" s="23" t="s">
        <v>1700</v>
      </c>
      <c r="F667" s="23" t="s">
        <v>12</v>
      </c>
    </row>
    <row r="668" ht="18.5" customHeight="1" spans="1:6">
      <c r="A668" s="22">
        <v>667</v>
      </c>
      <c r="B668" s="22" t="s">
        <v>2390</v>
      </c>
      <c r="C668" s="22" t="s">
        <v>797</v>
      </c>
      <c r="D668" s="22" t="s">
        <v>823</v>
      </c>
      <c r="E668" s="22" t="s">
        <v>1700</v>
      </c>
      <c r="F668" s="22" t="s">
        <v>12</v>
      </c>
    </row>
    <row r="669" ht="18.5" customHeight="1" spans="1:6">
      <c r="A669" s="23">
        <v>668</v>
      </c>
      <c r="B669" s="23" t="s">
        <v>2391</v>
      </c>
      <c r="C669" s="23" t="s">
        <v>797</v>
      </c>
      <c r="D669" s="23" t="s">
        <v>836</v>
      </c>
      <c r="E669" s="23" t="s">
        <v>1700</v>
      </c>
      <c r="F669" s="23" t="s">
        <v>12</v>
      </c>
    </row>
    <row r="670" ht="18.5" customHeight="1" spans="1:6">
      <c r="A670" s="22">
        <v>669</v>
      </c>
      <c r="B670" s="22" t="s">
        <v>2392</v>
      </c>
      <c r="C670" s="22" t="s">
        <v>797</v>
      </c>
      <c r="D670" s="22" t="s">
        <v>802</v>
      </c>
      <c r="E670" s="22" t="s">
        <v>1700</v>
      </c>
      <c r="F670" s="22" t="s">
        <v>12</v>
      </c>
    </row>
    <row r="671" ht="18.5" customHeight="1" spans="1:6">
      <c r="A671" s="23">
        <v>670</v>
      </c>
      <c r="B671" s="23" t="s">
        <v>2393</v>
      </c>
      <c r="C671" s="23" t="s">
        <v>797</v>
      </c>
      <c r="D671" s="23" t="s">
        <v>802</v>
      </c>
      <c r="E671" s="23" t="s">
        <v>1700</v>
      </c>
      <c r="F671" s="23" t="s">
        <v>12</v>
      </c>
    </row>
    <row r="672" ht="18.5" customHeight="1" spans="1:6">
      <c r="A672" s="22">
        <v>671</v>
      </c>
      <c r="B672" s="22" t="s">
        <v>2394</v>
      </c>
      <c r="C672" s="22" t="s">
        <v>797</v>
      </c>
      <c r="D672" s="22" t="s">
        <v>802</v>
      </c>
      <c r="E672" s="22" t="s">
        <v>1700</v>
      </c>
      <c r="F672" s="22" t="s">
        <v>12</v>
      </c>
    </row>
    <row r="673" ht="18.5" customHeight="1" spans="1:6">
      <c r="A673" s="23">
        <v>672</v>
      </c>
      <c r="B673" s="23" t="s">
        <v>2395</v>
      </c>
      <c r="C673" s="23" t="s">
        <v>797</v>
      </c>
      <c r="D673" s="23" t="s">
        <v>802</v>
      </c>
      <c r="E673" s="23" t="s">
        <v>1700</v>
      </c>
      <c r="F673" s="23" t="s">
        <v>12</v>
      </c>
    </row>
    <row r="674" ht="18.5" customHeight="1" spans="1:6">
      <c r="A674" s="22">
        <v>673</v>
      </c>
      <c r="B674" s="22" t="s">
        <v>2396</v>
      </c>
      <c r="C674" s="22" t="s">
        <v>797</v>
      </c>
      <c r="D674" s="22" t="s">
        <v>802</v>
      </c>
      <c r="E674" s="22" t="s">
        <v>1700</v>
      </c>
      <c r="F674" s="22" t="s">
        <v>12</v>
      </c>
    </row>
    <row r="675" ht="18.5" customHeight="1" spans="1:6">
      <c r="A675" s="23">
        <v>674</v>
      </c>
      <c r="B675" s="23" t="s">
        <v>2397</v>
      </c>
      <c r="C675" s="23" t="s">
        <v>797</v>
      </c>
      <c r="D675" s="23" t="s">
        <v>802</v>
      </c>
      <c r="E675" s="23" t="s">
        <v>1700</v>
      </c>
      <c r="F675" s="23" t="s">
        <v>12</v>
      </c>
    </row>
    <row r="676" ht="18.5" customHeight="1" spans="1:6">
      <c r="A676" s="22">
        <v>675</v>
      </c>
      <c r="B676" s="22" t="s">
        <v>2398</v>
      </c>
      <c r="C676" s="22" t="s">
        <v>797</v>
      </c>
      <c r="D676" s="22" t="s">
        <v>802</v>
      </c>
      <c r="E676" s="22" t="s">
        <v>1700</v>
      </c>
      <c r="F676" s="22" t="s">
        <v>12</v>
      </c>
    </row>
    <row r="677" ht="18.5" customHeight="1" spans="1:6">
      <c r="A677" s="23">
        <v>676</v>
      </c>
      <c r="B677" s="23" t="s">
        <v>2399</v>
      </c>
      <c r="C677" s="23" t="s">
        <v>797</v>
      </c>
      <c r="D677" s="23" t="s">
        <v>802</v>
      </c>
      <c r="E677" s="23" t="s">
        <v>1700</v>
      </c>
      <c r="F677" s="23" t="s">
        <v>12</v>
      </c>
    </row>
    <row r="678" ht="18.5" customHeight="1" spans="1:6">
      <c r="A678" s="22">
        <v>677</v>
      </c>
      <c r="B678" s="22" t="s">
        <v>2400</v>
      </c>
      <c r="C678" s="22" t="s">
        <v>797</v>
      </c>
      <c r="D678" s="22" t="s">
        <v>802</v>
      </c>
      <c r="E678" s="22" t="s">
        <v>1700</v>
      </c>
      <c r="F678" s="22" t="s">
        <v>12</v>
      </c>
    </row>
    <row r="679" ht="18.5" customHeight="1" spans="1:6">
      <c r="A679" s="23">
        <v>678</v>
      </c>
      <c r="B679" s="23" t="s">
        <v>2401</v>
      </c>
      <c r="C679" s="23" t="s">
        <v>797</v>
      </c>
      <c r="D679" s="23" t="s">
        <v>817</v>
      </c>
      <c r="E679" s="23" t="s">
        <v>1700</v>
      </c>
      <c r="F679" s="23" t="s">
        <v>12</v>
      </c>
    </row>
    <row r="680" ht="18.5" customHeight="1" spans="1:6">
      <c r="A680" s="22">
        <v>679</v>
      </c>
      <c r="B680" s="22" t="s">
        <v>2402</v>
      </c>
      <c r="C680" s="22" t="s">
        <v>797</v>
      </c>
      <c r="D680" s="22" t="s">
        <v>802</v>
      </c>
      <c r="E680" s="22" t="s">
        <v>1700</v>
      </c>
      <c r="F680" s="22" t="s">
        <v>12</v>
      </c>
    </row>
    <row r="681" ht="18.5" customHeight="1" spans="1:6">
      <c r="A681" s="23">
        <v>680</v>
      </c>
      <c r="B681" s="23" t="s">
        <v>2403</v>
      </c>
      <c r="C681" s="23" t="s">
        <v>797</v>
      </c>
      <c r="D681" s="23" t="s">
        <v>802</v>
      </c>
      <c r="E681" s="23" t="s">
        <v>1700</v>
      </c>
      <c r="F681" s="23" t="s">
        <v>12</v>
      </c>
    </row>
    <row r="682" ht="18.5" customHeight="1" spans="1:6">
      <c r="A682" s="22">
        <v>681</v>
      </c>
      <c r="B682" s="22" t="s">
        <v>2404</v>
      </c>
      <c r="C682" s="22" t="s">
        <v>797</v>
      </c>
      <c r="D682" s="22" t="s">
        <v>815</v>
      </c>
      <c r="E682" s="22" t="s">
        <v>1700</v>
      </c>
      <c r="F682" s="22" t="s">
        <v>12</v>
      </c>
    </row>
    <row r="683" ht="18.5" customHeight="1" spans="1:6">
      <c r="A683" s="23">
        <v>682</v>
      </c>
      <c r="B683" s="23" t="s">
        <v>2405</v>
      </c>
      <c r="C683" s="23" t="s">
        <v>797</v>
      </c>
      <c r="D683" s="23" t="s">
        <v>802</v>
      </c>
      <c r="E683" s="23" t="s">
        <v>1700</v>
      </c>
      <c r="F683" s="23" t="s">
        <v>12</v>
      </c>
    </row>
    <row r="684" ht="18.5" customHeight="1" spans="1:6">
      <c r="A684" s="22">
        <v>683</v>
      </c>
      <c r="B684" s="22" t="s">
        <v>2406</v>
      </c>
      <c r="C684" s="22" t="s">
        <v>797</v>
      </c>
      <c r="D684" s="22" t="s">
        <v>798</v>
      </c>
      <c r="E684" s="22" t="s">
        <v>1700</v>
      </c>
      <c r="F684" s="22" t="s">
        <v>12</v>
      </c>
    </row>
    <row r="685" ht="18.5" customHeight="1" spans="1:6">
      <c r="A685" s="23">
        <v>684</v>
      </c>
      <c r="B685" s="23" t="s">
        <v>2407</v>
      </c>
      <c r="C685" s="23" t="s">
        <v>797</v>
      </c>
      <c r="D685" s="23" t="s">
        <v>813</v>
      </c>
      <c r="E685" s="23" t="s">
        <v>1700</v>
      </c>
      <c r="F685" s="23" t="s">
        <v>12</v>
      </c>
    </row>
    <row r="686" ht="18.5" customHeight="1" spans="1:6">
      <c r="A686" s="22">
        <v>685</v>
      </c>
      <c r="B686" s="22" t="s">
        <v>2408</v>
      </c>
      <c r="C686" s="22" t="s">
        <v>797</v>
      </c>
      <c r="D686" s="22" t="s">
        <v>825</v>
      </c>
      <c r="E686" s="22" t="s">
        <v>1700</v>
      </c>
      <c r="F686" s="22" t="s">
        <v>12</v>
      </c>
    </row>
    <row r="687" ht="18.5" customHeight="1" spans="1:6">
      <c r="A687" s="23">
        <v>686</v>
      </c>
      <c r="B687" s="23" t="s">
        <v>2409</v>
      </c>
      <c r="C687" s="23" t="s">
        <v>797</v>
      </c>
      <c r="D687" s="23" t="s">
        <v>1546</v>
      </c>
      <c r="E687" s="23" t="s">
        <v>1700</v>
      </c>
      <c r="F687" s="23" t="s">
        <v>12</v>
      </c>
    </row>
    <row r="688" ht="18.5" customHeight="1" spans="1:6">
      <c r="A688" s="22">
        <v>687</v>
      </c>
      <c r="B688" s="22" t="s">
        <v>2410</v>
      </c>
      <c r="C688" s="22" t="s">
        <v>797</v>
      </c>
      <c r="D688" s="22" t="s">
        <v>802</v>
      </c>
      <c r="E688" s="22" t="s">
        <v>1700</v>
      </c>
      <c r="F688" s="22" t="s">
        <v>12</v>
      </c>
    </row>
    <row r="689" ht="18.5" customHeight="1" spans="1:6">
      <c r="A689" s="23">
        <v>688</v>
      </c>
      <c r="B689" s="23" t="s">
        <v>2411</v>
      </c>
      <c r="C689" s="23" t="s">
        <v>797</v>
      </c>
      <c r="D689" s="23" t="s">
        <v>802</v>
      </c>
      <c r="E689" s="23" t="s">
        <v>1700</v>
      </c>
      <c r="F689" s="23" t="s">
        <v>12</v>
      </c>
    </row>
    <row r="690" ht="18.5" customHeight="1" spans="1:6">
      <c r="A690" s="22">
        <v>689</v>
      </c>
      <c r="B690" s="22" t="s">
        <v>2412</v>
      </c>
      <c r="C690" s="22" t="s">
        <v>797</v>
      </c>
      <c r="D690" s="22" t="s">
        <v>802</v>
      </c>
      <c r="E690" s="22" t="s">
        <v>1700</v>
      </c>
      <c r="F690" s="22" t="s">
        <v>12</v>
      </c>
    </row>
    <row r="691" ht="18.5" customHeight="1" spans="1:6">
      <c r="A691" s="23">
        <v>690</v>
      </c>
      <c r="B691" s="23" t="s">
        <v>2413</v>
      </c>
      <c r="C691" s="23" t="s">
        <v>797</v>
      </c>
      <c r="D691" s="23" t="s">
        <v>802</v>
      </c>
      <c r="E691" s="23" t="s">
        <v>1700</v>
      </c>
      <c r="F691" s="23" t="s">
        <v>12</v>
      </c>
    </row>
    <row r="692" ht="18.5" customHeight="1" spans="1:6">
      <c r="A692" s="22">
        <v>691</v>
      </c>
      <c r="B692" s="22" t="s">
        <v>2414</v>
      </c>
      <c r="C692" s="22" t="s">
        <v>797</v>
      </c>
      <c r="D692" s="22" t="s">
        <v>819</v>
      </c>
      <c r="E692" s="22" t="s">
        <v>1700</v>
      </c>
      <c r="F692" s="22" t="s">
        <v>12</v>
      </c>
    </row>
    <row r="693" ht="18.5" customHeight="1" spans="1:6">
      <c r="A693" s="23">
        <v>692</v>
      </c>
      <c r="B693" s="23" t="s">
        <v>2415</v>
      </c>
      <c r="C693" s="23" t="s">
        <v>797</v>
      </c>
      <c r="D693" s="23" t="s">
        <v>811</v>
      </c>
      <c r="E693" s="23" t="s">
        <v>1700</v>
      </c>
      <c r="F693" s="23" t="s">
        <v>12</v>
      </c>
    </row>
    <row r="694" ht="18.5" customHeight="1" spans="1:6">
      <c r="A694" s="22">
        <v>693</v>
      </c>
      <c r="B694" s="22" t="s">
        <v>2416</v>
      </c>
      <c r="C694" s="22" t="s">
        <v>797</v>
      </c>
      <c r="D694" s="22" t="s">
        <v>821</v>
      </c>
      <c r="E694" s="22" t="s">
        <v>1700</v>
      </c>
      <c r="F694" s="22" t="s">
        <v>12</v>
      </c>
    </row>
    <row r="695" ht="18.5" customHeight="1" spans="1:6">
      <c r="A695" s="23">
        <v>694</v>
      </c>
      <c r="B695" s="23" t="s">
        <v>2417</v>
      </c>
      <c r="C695" s="23" t="s">
        <v>797</v>
      </c>
      <c r="D695" s="23" t="s">
        <v>836</v>
      </c>
      <c r="E695" s="23" t="s">
        <v>1700</v>
      </c>
      <c r="F695" s="23" t="s">
        <v>12</v>
      </c>
    </row>
    <row r="696" ht="18.5" customHeight="1" spans="1:6">
      <c r="A696" s="22">
        <v>695</v>
      </c>
      <c r="B696" s="22" t="s">
        <v>2418</v>
      </c>
      <c r="C696" s="22" t="s">
        <v>797</v>
      </c>
      <c r="D696" s="22" t="s">
        <v>798</v>
      </c>
      <c r="E696" s="22" t="s">
        <v>1700</v>
      </c>
      <c r="F696" s="22" t="s">
        <v>12</v>
      </c>
    </row>
    <row r="697" ht="18.5" customHeight="1" spans="1:6">
      <c r="A697" s="23">
        <v>696</v>
      </c>
      <c r="B697" s="23" t="s">
        <v>2419</v>
      </c>
      <c r="C697" s="23" t="s">
        <v>797</v>
      </c>
      <c r="D697" s="23" t="s">
        <v>811</v>
      </c>
      <c r="E697" s="23" t="s">
        <v>1700</v>
      </c>
      <c r="F697" s="23" t="s">
        <v>12</v>
      </c>
    </row>
    <row r="698" ht="18.5" customHeight="1" spans="1:6">
      <c r="A698" s="22">
        <v>697</v>
      </c>
      <c r="B698" s="22" t="s">
        <v>2420</v>
      </c>
      <c r="C698" s="22" t="s">
        <v>797</v>
      </c>
      <c r="D698" s="22" t="s">
        <v>836</v>
      </c>
      <c r="E698" s="22" t="s">
        <v>1700</v>
      </c>
      <c r="F698" s="22" t="s">
        <v>12</v>
      </c>
    </row>
    <row r="699" ht="18.5" customHeight="1" spans="1:6">
      <c r="A699" s="23">
        <v>698</v>
      </c>
      <c r="B699" s="23" t="s">
        <v>2421</v>
      </c>
      <c r="C699" s="23" t="s">
        <v>797</v>
      </c>
      <c r="D699" s="23" t="s">
        <v>811</v>
      </c>
      <c r="E699" s="23" t="s">
        <v>1700</v>
      </c>
      <c r="F699" s="23" t="s">
        <v>12</v>
      </c>
    </row>
    <row r="700" ht="18.5" customHeight="1" spans="1:6">
      <c r="A700" s="22">
        <v>699</v>
      </c>
      <c r="B700" s="22" t="s">
        <v>2422</v>
      </c>
      <c r="C700" s="22" t="s">
        <v>797</v>
      </c>
      <c r="D700" s="22" t="s">
        <v>800</v>
      </c>
      <c r="E700" s="22" t="s">
        <v>1700</v>
      </c>
      <c r="F700" s="22" t="s">
        <v>12</v>
      </c>
    </row>
    <row r="701" ht="18.5" customHeight="1" spans="1:6">
      <c r="A701" s="23">
        <v>700</v>
      </c>
      <c r="B701" s="23" t="s">
        <v>2423</v>
      </c>
      <c r="C701" s="23" t="s">
        <v>797</v>
      </c>
      <c r="D701" s="23" t="s">
        <v>815</v>
      </c>
      <c r="E701" s="23" t="s">
        <v>1700</v>
      </c>
      <c r="F701" s="23" t="s">
        <v>12</v>
      </c>
    </row>
    <row r="702" ht="18.5" customHeight="1" spans="1:6">
      <c r="A702" s="22">
        <v>701</v>
      </c>
      <c r="B702" s="22" t="s">
        <v>2424</v>
      </c>
      <c r="C702" s="22" t="s">
        <v>797</v>
      </c>
      <c r="D702" s="22" t="s">
        <v>831</v>
      </c>
      <c r="E702" s="22" t="s">
        <v>1700</v>
      </c>
      <c r="F702" s="22" t="s">
        <v>12</v>
      </c>
    </row>
    <row r="703" ht="18.5" customHeight="1" spans="1:6">
      <c r="A703" s="23">
        <v>702</v>
      </c>
      <c r="B703" s="23" t="s">
        <v>2425</v>
      </c>
      <c r="C703" s="23" t="s">
        <v>797</v>
      </c>
      <c r="D703" s="23" t="s">
        <v>831</v>
      </c>
      <c r="E703" s="23" t="s">
        <v>1700</v>
      </c>
      <c r="F703" s="23" t="s">
        <v>12</v>
      </c>
    </row>
    <row r="704" ht="18.5" customHeight="1" spans="1:6">
      <c r="A704" s="22">
        <v>703</v>
      </c>
      <c r="B704" s="22" t="s">
        <v>2426</v>
      </c>
      <c r="C704" s="22" t="s">
        <v>797</v>
      </c>
      <c r="D704" s="22" t="s">
        <v>823</v>
      </c>
      <c r="E704" s="22" t="s">
        <v>1700</v>
      </c>
      <c r="F704" s="22" t="s">
        <v>12</v>
      </c>
    </row>
    <row r="705" ht="18.5" customHeight="1" spans="1:6">
      <c r="A705" s="23">
        <v>704</v>
      </c>
      <c r="B705" s="23" t="s">
        <v>2427</v>
      </c>
      <c r="C705" s="23" t="s">
        <v>797</v>
      </c>
      <c r="D705" s="23" t="s">
        <v>798</v>
      </c>
      <c r="E705" s="23" t="s">
        <v>1700</v>
      </c>
      <c r="F705" s="23" t="s">
        <v>12</v>
      </c>
    </row>
    <row r="706" ht="18.5" customHeight="1" spans="1:6">
      <c r="A706" s="22">
        <v>705</v>
      </c>
      <c r="B706" s="22" t="s">
        <v>2428</v>
      </c>
      <c r="C706" s="22" t="s">
        <v>797</v>
      </c>
      <c r="D706" s="22" t="s">
        <v>802</v>
      </c>
      <c r="E706" s="22" t="s">
        <v>1700</v>
      </c>
      <c r="F706" s="22" t="s">
        <v>12</v>
      </c>
    </row>
    <row r="707" ht="18.5" customHeight="1" spans="1:6">
      <c r="A707" s="23">
        <v>706</v>
      </c>
      <c r="B707" s="23" t="s">
        <v>2429</v>
      </c>
      <c r="C707" s="23" t="s">
        <v>797</v>
      </c>
      <c r="D707" s="23" t="s">
        <v>802</v>
      </c>
      <c r="E707" s="23" t="s">
        <v>1700</v>
      </c>
      <c r="F707" s="23" t="s">
        <v>12</v>
      </c>
    </row>
    <row r="708" ht="18.5" customHeight="1" spans="1:6">
      <c r="A708" s="22">
        <v>707</v>
      </c>
      <c r="B708" s="22" t="s">
        <v>2430</v>
      </c>
      <c r="C708" s="22" t="s">
        <v>797</v>
      </c>
      <c r="D708" s="22" t="s">
        <v>802</v>
      </c>
      <c r="E708" s="22" t="s">
        <v>1700</v>
      </c>
      <c r="F708" s="22" t="s">
        <v>12</v>
      </c>
    </row>
    <row r="709" ht="18.5" customHeight="1" spans="1:6">
      <c r="A709" s="23">
        <v>708</v>
      </c>
      <c r="B709" s="23" t="s">
        <v>2431</v>
      </c>
      <c r="C709" s="23" t="s">
        <v>797</v>
      </c>
      <c r="D709" s="23" t="s">
        <v>815</v>
      </c>
      <c r="E709" s="23" t="s">
        <v>1700</v>
      </c>
      <c r="F709" s="23" t="s">
        <v>12</v>
      </c>
    </row>
    <row r="710" ht="18.5" customHeight="1" spans="1:6">
      <c r="A710" s="22">
        <v>709</v>
      </c>
      <c r="B710" s="22" t="s">
        <v>2432</v>
      </c>
      <c r="C710" s="22" t="s">
        <v>797</v>
      </c>
      <c r="D710" s="22" t="s">
        <v>836</v>
      </c>
      <c r="E710" s="22" t="s">
        <v>1700</v>
      </c>
      <c r="F710" s="22" t="s">
        <v>12</v>
      </c>
    </row>
    <row r="711" ht="18.5" customHeight="1" spans="1:6">
      <c r="A711" s="23">
        <v>710</v>
      </c>
      <c r="B711" s="23" t="s">
        <v>2433</v>
      </c>
      <c r="C711" s="23" t="s">
        <v>797</v>
      </c>
      <c r="D711" s="23" t="s">
        <v>802</v>
      </c>
      <c r="E711" s="23" t="s">
        <v>1700</v>
      </c>
      <c r="F711" s="23" t="s">
        <v>12</v>
      </c>
    </row>
    <row r="712" ht="18.5" customHeight="1" spans="1:6">
      <c r="A712" s="22">
        <v>711</v>
      </c>
      <c r="B712" s="22" t="s">
        <v>2434</v>
      </c>
      <c r="C712" s="22" t="s">
        <v>797</v>
      </c>
      <c r="D712" s="22" t="s">
        <v>798</v>
      </c>
      <c r="E712" s="22" t="s">
        <v>1700</v>
      </c>
      <c r="F712" s="22" t="s">
        <v>12</v>
      </c>
    </row>
    <row r="713" ht="18.5" customHeight="1" spans="1:6">
      <c r="A713" s="23">
        <v>712</v>
      </c>
      <c r="B713" s="23" t="s">
        <v>2435</v>
      </c>
      <c r="C713" s="23" t="s">
        <v>797</v>
      </c>
      <c r="D713" s="23" t="s">
        <v>831</v>
      </c>
      <c r="E713" s="23" t="s">
        <v>1700</v>
      </c>
      <c r="F713" s="23" t="s">
        <v>12</v>
      </c>
    </row>
    <row r="714" ht="18.5" customHeight="1" spans="1:6">
      <c r="A714" s="22">
        <v>713</v>
      </c>
      <c r="B714" s="22" t="s">
        <v>2436</v>
      </c>
      <c r="C714" s="22" t="s">
        <v>797</v>
      </c>
      <c r="D714" s="22" t="s">
        <v>798</v>
      </c>
      <c r="E714" s="22" t="s">
        <v>1700</v>
      </c>
      <c r="F714" s="22" t="s">
        <v>12</v>
      </c>
    </row>
    <row r="715" ht="18.5" customHeight="1" spans="1:6">
      <c r="A715" s="23">
        <v>714</v>
      </c>
      <c r="B715" s="23" t="s">
        <v>2437</v>
      </c>
      <c r="C715" s="23" t="s">
        <v>797</v>
      </c>
      <c r="D715" s="23" t="s">
        <v>802</v>
      </c>
      <c r="E715" s="23" t="s">
        <v>1700</v>
      </c>
      <c r="F715" s="23" t="s">
        <v>12</v>
      </c>
    </row>
    <row r="716" ht="18.5" customHeight="1" spans="1:6">
      <c r="A716" s="22">
        <v>715</v>
      </c>
      <c r="B716" s="22" t="s">
        <v>2438</v>
      </c>
      <c r="C716" s="22" t="s">
        <v>797</v>
      </c>
      <c r="D716" s="22" t="s">
        <v>802</v>
      </c>
      <c r="E716" s="22" t="s">
        <v>1700</v>
      </c>
      <c r="F716" s="22" t="s">
        <v>12</v>
      </c>
    </row>
    <row r="717" ht="18.5" customHeight="1" spans="1:6">
      <c r="A717" s="23">
        <v>716</v>
      </c>
      <c r="B717" s="23" t="s">
        <v>2439</v>
      </c>
      <c r="C717" s="23" t="s">
        <v>797</v>
      </c>
      <c r="D717" s="23" t="s">
        <v>836</v>
      </c>
      <c r="E717" s="23" t="s">
        <v>1700</v>
      </c>
      <c r="F717" s="23" t="s">
        <v>12</v>
      </c>
    </row>
    <row r="718" ht="18.5" customHeight="1" spans="1:6">
      <c r="A718" s="22">
        <v>717</v>
      </c>
      <c r="B718" s="22" t="s">
        <v>2440</v>
      </c>
      <c r="C718" s="22" t="s">
        <v>797</v>
      </c>
      <c r="D718" s="22" t="s">
        <v>821</v>
      </c>
      <c r="E718" s="22" t="s">
        <v>1700</v>
      </c>
      <c r="F718" s="22" t="s">
        <v>12</v>
      </c>
    </row>
    <row r="719" ht="18.5" customHeight="1" spans="1:6">
      <c r="A719" s="23">
        <v>718</v>
      </c>
      <c r="B719" s="23" t="s">
        <v>2441</v>
      </c>
      <c r="C719" s="23" t="s">
        <v>797</v>
      </c>
      <c r="D719" s="23" t="s">
        <v>813</v>
      </c>
      <c r="E719" s="23" t="s">
        <v>1700</v>
      </c>
      <c r="F719" s="23" t="s">
        <v>12</v>
      </c>
    </row>
    <row r="720" ht="18.5" customHeight="1" spans="1:6">
      <c r="A720" s="22">
        <v>719</v>
      </c>
      <c r="B720" s="22" t="s">
        <v>2442</v>
      </c>
      <c r="C720" s="22" t="s">
        <v>797</v>
      </c>
      <c r="D720" s="22" t="s">
        <v>802</v>
      </c>
      <c r="E720" s="22" t="s">
        <v>1700</v>
      </c>
      <c r="F720" s="22" t="s">
        <v>12</v>
      </c>
    </row>
    <row r="721" ht="18.5" customHeight="1" spans="1:6">
      <c r="A721" s="23">
        <v>720</v>
      </c>
      <c r="B721" s="23" t="s">
        <v>2443</v>
      </c>
      <c r="C721" s="23" t="s">
        <v>797</v>
      </c>
      <c r="D721" s="23" t="s">
        <v>819</v>
      </c>
      <c r="E721" s="23" t="s">
        <v>1700</v>
      </c>
      <c r="F721" s="23" t="s">
        <v>12</v>
      </c>
    </row>
    <row r="722" ht="18.5" customHeight="1" spans="1:6">
      <c r="A722" s="22">
        <v>721</v>
      </c>
      <c r="B722" s="22" t="s">
        <v>2444</v>
      </c>
      <c r="C722" s="22" t="s">
        <v>797</v>
      </c>
      <c r="D722" s="22" t="s">
        <v>823</v>
      </c>
      <c r="E722" s="22" t="s">
        <v>1700</v>
      </c>
      <c r="F722" s="22" t="s">
        <v>12</v>
      </c>
    </row>
    <row r="723" ht="18.5" customHeight="1" spans="1:6">
      <c r="A723" s="23">
        <v>722</v>
      </c>
      <c r="B723" s="23" t="s">
        <v>2445</v>
      </c>
      <c r="C723" s="23" t="s">
        <v>797</v>
      </c>
      <c r="D723" s="23" t="s">
        <v>815</v>
      </c>
      <c r="E723" s="23" t="s">
        <v>1700</v>
      </c>
      <c r="F723" s="23" t="s">
        <v>12</v>
      </c>
    </row>
    <row r="724" ht="18.5" customHeight="1" spans="1:6">
      <c r="A724" s="22">
        <v>723</v>
      </c>
      <c r="B724" s="22" t="s">
        <v>2446</v>
      </c>
      <c r="C724" s="22" t="s">
        <v>797</v>
      </c>
      <c r="D724" s="22" t="s">
        <v>802</v>
      </c>
      <c r="E724" s="22" t="s">
        <v>1700</v>
      </c>
      <c r="F724" s="22" t="s">
        <v>12</v>
      </c>
    </row>
    <row r="725" ht="18.5" customHeight="1" spans="1:6">
      <c r="A725" s="23">
        <v>724</v>
      </c>
      <c r="B725" s="23" t="s">
        <v>2447</v>
      </c>
      <c r="C725" s="23" t="s">
        <v>844</v>
      </c>
      <c r="D725" s="23" t="s">
        <v>845</v>
      </c>
      <c r="E725" s="23" t="s">
        <v>1700</v>
      </c>
      <c r="F725" s="23" t="s">
        <v>12</v>
      </c>
    </row>
    <row r="726" ht="18.5" customHeight="1" spans="1:6">
      <c r="A726" s="22">
        <v>725</v>
      </c>
      <c r="B726" s="22" t="s">
        <v>2448</v>
      </c>
      <c r="C726" s="22" t="s">
        <v>844</v>
      </c>
      <c r="D726" s="22" t="s">
        <v>845</v>
      </c>
      <c r="E726" s="22" t="s">
        <v>1700</v>
      </c>
      <c r="F726" s="22" t="s">
        <v>12</v>
      </c>
    </row>
    <row r="727" ht="18.5" customHeight="1" spans="1:6">
      <c r="A727" s="23">
        <v>726</v>
      </c>
      <c r="B727" s="23" t="s">
        <v>2449</v>
      </c>
      <c r="C727" s="23" t="s">
        <v>844</v>
      </c>
      <c r="D727" s="23" t="s">
        <v>845</v>
      </c>
      <c r="E727" s="23" t="s">
        <v>1700</v>
      </c>
      <c r="F727" s="23" t="s">
        <v>12</v>
      </c>
    </row>
    <row r="728" ht="18.5" customHeight="1" spans="1:6">
      <c r="A728" s="22">
        <v>727</v>
      </c>
      <c r="B728" s="22" t="s">
        <v>2450</v>
      </c>
      <c r="C728" s="22" t="s">
        <v>844</v>
      </c>
      <c r="D728" s="22" t="s">
        <v>845</v>
      </c>
      <c r="E728" s="22" t="s">
        <v>1700</v>
      </c>
      <c r="F728" s="22" t="s">
        <v>12</v>
      </c>
    </row>
    <row r="729" ht="18.5" customHeight="1" spans="1:6">
      <c r="A729" s="23">
        <v>728</v>
      </c>
      <c r="B729" s="23" t="s">
        <v>2451</v>
      </c>
      <c r="C729" s="23" t="s">
        <v>844</v>
      </c>
      <c r="D729" s="23" t="s">
        <v>859</v>
      </c>
      <c r="E729" s="23" t="s">
        <v>1700</v>
      </c>
      <c r="F729" s="23" t="s">
        <v>12</v>
      </c>
    </row>
    <row r="730" ht="18.5" customHeight="1" spans="1:6">
      <c r="A730" s="22">
        <v>729</v>
      </c>
      <c r="B730" s="22" t="s">
        <v>2452</v>
      </c>
      <c r="C730" s="22" t="s">
        <v>844</v>
      </c>
      <c r="D730" s="22" t="s">
        <v>845</v>
      </c>
      <c r="E730" s="22" t="s">
        <v>1700</v>
      </c>
      <c r="F730" s="22" t="s">
        <v>12</v>
      </c>
    </row>
    <row r="731" ht="18.5" customHeight="1" spans="1:6">
      <c r="A731" s="23">
        <v>730</v>
      </c>
      <c r="B731" s="23" t="s">
        <v>2453</v>
      </c>
      <c r="C731" s="23" t="s">
        <v>844</v>
      </c>
      <c r="D731" s="23" t="s">
        <v>890</v>
      </c>
      <c r="E731" s="23" t="s">
        <v>1700</v>
      </c>
      <c r="F731" s="23" t="s">
        <v>12</v>
      </c>
    </row>
    <row r="732" ht="18.5" customHeight="1" spans="1:6">
      <c r="A732" s="22">
        <v>731</v>
      </c>
      <c r="B732" s="22" t="s">
        <v>2454</v>
      </c>
      <c r="C732" s="22" t="s">
        <v>844</v>
      </c>
      <c r="D732" s="22" t="s">
        <v>845</v>
      </c>
      <c r="E732" s="22" t="s">
        <v>1700</v>
      </c>
      <c r="F732" s="22" t="s">
        <v>12</v>
      </c>
    </row>
    <row r="733" ht="18.5" customHeight="1" spans="1:6">
      <c r="A733" s="23">
        <v>732</v>
      </c>
      <c r="B733" s="23" t="s">
        <v>2455</v>
      </c>
      <c r="C733" s="23" t="s">
        <v>844</v>
      </c>
      <c r="D733" s="23" t="s">
        <v>845</v>
      </c>
      <c r="E733" s="23" t="s">
        <v>1700</v>
      </c>
      <c r="F733" s="23" t="s">
        <v>12</v>
      </c>
    </row>
    <row r="734" ht="18.5" customHeight="1" spans="1:6">
      <c r="A734" s="22">
        <v>733</v>
      </c>
      <c r="B734" s="22" t="s">
        <v>2456</v>
      </c>
      <c r="C734" s="22" t="s">
        <v>844</v>
      </c>
      <c r="D734" s="22" t="s">
        <v>845</v>
      </c>
      <c r="E734" s="22" t="s">
        <v>1700</v>
      </c>
      <c r="F734" s="22" t="s">
        <v>12</v>
      </c>
    </row>
    <row r="735" ht="18.5" customHeight="1" spans="1:6">
      <c r="A735" s="23">
        <v>734</v>
      </c>
      <c r="B735" s="23" t="s">
        <v>2457</v>
      </c>
      <c r="C735" s="23" t="s">
        <v>844</v>
      </c>
      <c r="D735" s="23" t="s">
        <v>845</v>
      </c>
      <c r="E735" s="23" t="s">
        <v>1700</v>
      </c>
      <c r="F735" s="23" t="s">
        <v>12</v>
      </c>
    </row>
    <row r="736" ht="18.5" customHeight="1" spans="1:6">
      <c r="A736" s="22">
        <v>735</v>
      </c>
      <c r="B736" s="22" t="s">
        <v>2458</v>
      </c>
      <c r="C736" s="22" t="s">
        <v>844</v>
      </c>
      <c r="D736" s="22" t="s">
        <v>890</v>
      </c>
      <c r="E736" s="22" t="s">
        <v>1700</v>
      </c>
      <c r="F736" s="22" t="s">
        <v>12</v>
      </c>
    </row>
    <row r="737" ht="18.5" customHeight="1" spans="1:6">
      <c r="A737" s="23">
        <v>736</v>
      </c>
      <c r="B737" s="23" t="s">
        <v>2459</v>
      </c>
      <c r="C737" s="23" t="s">
        <v>844</v>
      </c>
      <c r="D737" s="23" t="s">
        <v>845</v>
      </c>
      <c r="E737" s="23" t="s">
        <v>1700</v>
      </c>
      <c r="F737" s="23" t="s">
        <v>12</v>
      </c>
    </row>
    <row r="738" ht="18.5" customHeight="1" spans="1:6">
      <c r="A738" s="22">
        <v>737</v>
      </c>
      <c r="B738" s="22" t="s">
        <v>2460</v>
      </c>
      <c r="C738" s="22" t="s">
        <v>844</v>
      </c>
      <c r="D738" s="22" t="s">
        <v>845</v>
      </c>
      <c r="E738" s="22" t="s">
        <v>1700</v>
      </c>
      <c r="F738" s="22" t="s">
        <v>12</v>
      </c>
    </row>
    <row r="739" ht="18.5" customHeight="1" spans="1:6">
      <c r="A739" s="23">
        <v>738</v>
      </c>
      <c r="B739" s="23" t="s">
        <v>2461</v>
      </c>
      <c r="C739" s="23" t="s">
        <v>844</v>
      </c>
      <c r="D739" s="23" t="s">
        <v>845</v>
      </c>
      <c r="E739" s="23" t="s">
        <v>1700</v>
      </c>
      <c r="F739" s="23" t="s">
        <v>12</v>
      </c>
    </row>
    <row r="740" ht="18.5" customHeight="1" spans="1:6">
      <c r="A740" s="22">
        <v>739</v>
      </c>
      <c r="B740" s="22" t="s">
        <v>2462</v>
      </c>
      <c r="C740" s="22" t="s">
        <v>844</v>
      </c>
      <c r="D740" s="22" t="s">
        <v>2463</v>
      </c>
      <c r="E740" s="22" t="s">
        <v>1700</v>
      </c>
      <c r="F740" s="22" t="s">
        <v>12</v>
      </c>
    </row>
    <row r="741" ht="18.5" customHeight="1" spans="1:6">
      <c r="A741" s="23">
        <v>740</v>
      </c>
      <c r="B741" s="23" t="s">
        <v>2464</v>
      </c>
      <c r="C741" s="23" t="s">
        <v>844</v>
      </c>
      <c r="D741" s="23" t="s">
        <v>2465</v>
      </c>
      <c r="E741" s="23" t="s">
        <v>1700</v>
      </c>
      <c r="F741" s="23" t="s">
        <v>12</v>
      </c>
    </row>
    <row r="742" ht="18.5" customHeight="1" spans="1:6">
      <c r="A742" s="22">
        <v>741</v>
      </c>
      <c r="B742" s="22" t="s">
        <v>2466</v>
      </c>
      <c r="C742" s="22" t="s">
        <v>844</v>
      </c>
      <c r="D742" s="22" t="s">
        <v>2467</v>
      </c>
      <c r="E742" s="22" t="s">
        <v>1700</v>
      </c>
      <c r="F742" s="22" t="s">
        <v>12</v>
      </c>
    </row>
    <row r="743" ht="18.5" customHeight="1" spans="1:6">
      <c r="A743" s="23">
        <v>742</v>
      </c>
      <c r="B743" s="23" t="s">
        <v>2468</v>
      </c>
      <c r="C743" s="23" t="s">
        <v>844</v>
      </c>
      <c r="D743" s="23" t="s">
        <v>2469</v>
      </c>
      <c r="E743" s="23" t="s">
        <v>1700</v>
      </c>
      <c r="F743" s="23" t="s">
        <v>12</v>
      </c>
    </row>
    <row r="744" ht="18.5" customHeight="1" spans="1:6">
      <c r="A744" s="22">
        <v>743</v>
      </c>
      <c r="B744" s="22" t="s">
        <v>2470</v>
      </c>
      <c r="C744" s="22" t="s">
        <v>844</v>
      </c>
      <c r="D744" s="22" t="s">
        <v>845</v>
      </c>
      <c r="E744" s="22" t="s">
        <v>1700</v>
      </c>
      <c r="F744" s="22" t="s">
        <v>12</v>
      </c>
    </row>
    <row r="745" ht="18.5" customHeight="1" spans="1:6">
      <c r="A745" s="23">
        <v>744</v>
      </c>
      <c r="B745" s="23" t="s">
        <v>2471</v>
      </c>
      <c r="C745" s="23" t="s">
        <v>844</v>
      </c>
      <c r="D745" s="23" t="s">
        <v>848</v>
      </c>
      <c r="E745" s="23" t="s">
        <v>1700</v>
      </c>
      <c r="F745" s="23" t="s">
        <v>12</v>
      </c>
    </row>
    <row r="746" ht="18.5" customHeight="1" spans="1:6">
      <c r="A746" s="22">
        <v>745</v>
      </c>
      <c r="B746" s="22" t="s">
        <v>2472</v>
      </c>
      <c r="C746" s="22" t="s">
        <v>844</v>
      </c>
      <c r="D746" s="22" t="s">
        <v>2473</v>
      </c>
      <c r="E746" s="22" t="s">
        <v>1700</v>
      </c>
      <c r="F746" s="22" t="s">
        <v>12</v>
      </c>
    </row>
    <row r="747" ht="18.5" customHeight="1" spans="1:6">
      <c r="A747" s="23">
        <v>746</v>
      </c>
      <c r="B747" s="23" t="s">
        <v>2474</v>
      </c>
      <c r="C747" s="23" t="s">
        <v>844</v>
      </c>
      <c r="D747" s="23" t="s">
        <v>2475</v>
      </c>
      <c r="E747" s="23" t="s">
        <v>1700</v>
      </c>
      <c r="F747" s="23" t="s">
        <v>12</v>
      </c>
    </row>
    <row r="748" ht="18.5" customHeight="1" spans="1:6">
      <c r="A748" s="22">
        <v>747</v>
      </c>
      <c r="B748" s="22" t="s">
        <v>2476</v>
      </c>
      <c r="C748" s="22" t="s">
        <v>844</v>
      </c>
      <c r="D748" s="22" t="s">
        <v>845</v>
      </c>
      <c r="E748" s="22" t="s">
        <v>1700</v>
      </c>
      <c r="F748" s="22" t="s">
        <v>12</v>
      </c>
    </row>
    <row r="749" ht="18.5" customHeight="1" spans="1:6">
      <c r="A749" s="23">
        <v>748</v>
      </c>
      <c r="B749" s="23" t="s">
        <v>2477</v>
      </c>
      <c r="C749" s="23" t="s">
        <v>844</v>
      </c>
      <c r="D749" s="23" t="s">
        <v>845</v>
      </c>
      <c r="E749" s="23" t="s">
        <v>1700</v>
      </c>
      <c r="F749" s="23" t="s">
        <v>12</v>
      </c>
    </row>
    <row r="750" ht="18.5" customHeight="1" spans="1:6">
      <c r="A750" s="22">
        <v>749</v>
      </c>
      <c r="B750" s="22" t="s">
        <v>2478</v>
      </c>
      <c r="C750" s="22" t="s">
        <v>844</v>
      </c>
      <c r="D750" s="22" t="s">
        <v>845</v>
      </c>
      <c r="E750" s="22" t="s">
        <v>1700</v>
      </c>
      <c r="F750" s="22" t="s">
        <v>12</v>
      </c>
    </row>
    <row r="751" ht="18.5" customHeight="1" spans="1:6">
      <c r="A751" s="23">
        <v>750</v>
      </c>
      <c r="B751" s="23" t="s">
        <v>2479</v>
      </c>
      <c r="C751" s="23" t="s">
        <v>844</v>
      </c>
      <c r="D751" s="23" t="s">
        <v>845</v>
      </c>
      <c r="E751" s="23" t="s">
        <v>1700</v>
      </c>
      <c r="F751" s="23" t="s">
        <v>12</v>
      </c>
    </row>
    <row r="752" ht="18.5" customHeight="1" spans="1:6">
      <c r="A752" s="22">
        <v>751</v>
      </c>
      <c r="B752" s="22" t="s">
        <v>2480</v>
      </c>
      <c r="C752" s="22" t="s">
        <v>844</v>
      </c>
      <c r="D752" s="22" t="s">
        <v>845</v>
      </c>
      <c r="E752" s="22" t="s">
        <v>1700</v>
      </c>
      <c r="F752" s="22" t="s">
        <v>12</v>
      </c>
    </row>
    <row r="753" ht="18.5" customHeight="1" spans="1:6">
      <c r="A753" s="23">
        <v>752</v>
      </c>
      <c r="B753" s="23" t="s">
        <v>2481</v>
      </c>
      <c r="C753" s="23" t="s">
        <v>844</v>
      </c>
      <c r="D753" s="23" t="s">
        <v>845</v>
      </c>
      <c r="E753" s="23" t="s">
        <v>1700</v>
      </c>
      <c r="F753" s="23" t="s">
        <v>12</v>
      </c>
    </row>
    <row r="754" ht="18.5" customHeight="1" spans="1:6">
      <c r="A754" s="22">
        <v>753</v>
      </c>
      <c r="B754" s="22" t="s">
        <v>2482</v>
      </c>
      <c r="C754" s="22" t="s">
        <v>844</v>
      </c>
      <c r="D754" s="22" t="s">
        <v>1554</v>
      </c>
      <c r="E754" s="22" t="s">
        <v>1700</v>
      </c>
      <c r="F754" s="22" t="s">
        <v>12</v>
      </c>
    </row>
    <row r="755" ht="18.5" customHeight="1" spans="1:6">
      <c r="A755" s="23">
        <v>754</v>
      </c>
      <c r="B755" s="23" t="s">
        <v>2483</v>
      </c>
      <c r="C755" s="23" t="s">
        <v>844</v>
      </c>
      <c r="D755" s="23" t="s">
        <v>881</v>
      </c>
      <c r="E755" s="23" t="s">
        <v>1700</v>
      </c>
      <c r="F755" s="23" t="s">
        <v>12</v>
      </c>
    </row>
    <row r="756" ht="18.5" customHeight="1" spans="1:6">
      <c r="A756" s="22">
        <v>755</v>
      </c>
      <c r="B756" s="22" t="s">
        <v>2484</v>
      </c>
      <c r="C756" s="22" t="s">
        <v>844</v>
      </c>
      <c r="D756" s="22" t="s">
        <v>884</v>
      </c>
      <c r="E756" s="22" t="s">
        <v>1700</v>
      </c>
      <c r="F756" s="22" t="s">
        <v>12</v>
      </c>
    </row>
    <row r="757" ht="18.5" customHeight="1" spans="1:6">
      <c r="A757" s="23">
        <v>756</v>
      </c>
      <c r="B757" s="23" t="s">
        <v>2485</v>
      </c>
      <c r="C757" s="23" t="s">
        <v>844</v>
      </c>
      <c r="D757" s="23" t="s">
        <v>1569</v>
      </c>
      <c r="E757" s="23" t="s">
        <v>1700</v>
      </c>
      <c r="F757" s="23" t="s">
        <v>12</v>
      </c>
    </row>
    <row r="758" ht="18.5" customHeight="1" spans="1:6">
      <c r="A758" s="22">
        <v>757</v>
      </c>
      <c r="B758" s="22" t="s">
        <v>2486</v>
      </c>
      <c r="C758" s="22" t="s">
        <v>844</v>
      </c>
      <c r="D758" s="22" t="s">
        <v>845</v>
      </c>
      <c r="E758" s="22" t="s">
        <v>1700</v>
      </c>
      <c r="F758" s="22" t="s">
        <v>12</v>
      </c>
    </row>
    <row r="759" ht="18.5" customHeight="1" spans="1:6">
      <c r="A759" s="23">
        <v>758</v>
      </c>
      <c r="B759" s="23" t="s">
        <v>2487</v>
      </c>
      <c r="C759" s="23" t="s">
        <v>844</v>
      </c>
      <c r="D759" s="23" t="s">
        <v>845</v>
      </c>
      <c r="E759" s="23" t="s">
        <v>1700</v>
      </c>
      <c r="F759" s="23" t="s">
        <v>12</v>
      </c>
    </row>
    <row r="760" ht="18.5" customHeight="1" spans="1:6">
      <c r="A760" s="22">
        <v>759</v>
      </c>
      <c r="B760" s="22" t="s">
        <v>2488</v>
      </c>
      <c r="C760" s="22" t="s">
        <v>844</v>
      </c>
      <c r="D760" s="22" t="s">
        <v>845</v>
      </c>
      <c r="E760" s="22" t="s">
        <v>1700</v>
      </c>
      <c r="F760" s="22" t="s">
        <v>12</v>
      </c>
    </row>
    <row r="761" ht="18.5" customHeight="1" spans="1:6">
      <c r="A761" s="23">
        <v>760</v>
      </c>
      <c r="B761" s="23" t="s">
        <v>2489</v>
      </c>
      <c r="C761" s="23" t="s">
        <v>844</v>
      </c>
      <c r="D761" s="23" t="s">
        <v>845</v>
      </c>
      <c r="E761" s="23" t="s">
        <v>1700</v>
      </c>
      <c r="F761" s="23" t="s">
        <v>12</v>
      </c>
    </row>
    <row r="762" ht="18.5" customHeight="1" spans="1:6">
      <c r="A762" s="22">
        <v>761</v>
      </c>
      <c r="B762" s="22" t="s">
        <v>2490</v>
      </c>
      <c r="C762" s="22" t="s">
        <v>844</v>
      </c>
      <c r="D762" s="22" t="s">
        <v>845</v>
      </c>
      <c r="E762" s="22" t="s">
        <v>1700</v>
      </c>
      <c r="F762" s="22" t="s">
        <v>12</v>
      </c>
    </row>
    <row r="763" ht="18.5" customHeight="1" spans="1:6">
      <c r="A763" s="23">
        <v>762</v>
      </c>
      <c r="B763" s="23" t="s">
        <v>2491</v>
      </c>
      <c r="C763" s="23" t="s">
        <v>844</v>
      </c>
      <c r="D763" s="23" t="s">
        <v>845</v>
      </c>
      <c r="E763" s="23" t="s">
        <v>1700</v>
      </c>
      <c r="F763" s="23" t="s">
        <v>12</v>
      </c>
    </row>
    <row r="764" ht="18.5" customHeight="1" spans="1:6">
      <c r="A764" s="22">
        <v>763</v>
      </c>
      <c r="B764" s="22" t="s">
        <v>2492</v>
      </c>
      <c r="C764" s="22" t="s">
        <v>844</v>
      </c>
      <c r="D764" s="22" t="s">
        <v>1554</v>
      </c>
      <c r="E764" s="22" t="s">
        <v>1700</v>
      </c>
      <c r="F764" s="22" t="s">
        <v>12</v>
      </c>
    </row>
    <row r="765" ht="18.5" customHeight="1" spans="1:6">
      <c r="A765" s="23">
        <v>764</v>
      </c>
      <c r="B765" s="23" t="s">
        <v>2493</v>
      </c>
      <c r="C765" s="23" t="s">
        <v>844</v>
      </c>
      <c r="D765" s="23" t="s">
        <v>886</v>
      </c>
      <c r="E765" s="23" t="s">
        <v>1700</v>
      </c>
      <c r="F765" s="23" t="s">
        <v>12</v>
      </c>
    </row>
    <row r="766" ht="18.5" customHeight="1" spans="1:6">
      <c r="A766" s="22">
        <v>765</v>
      </c>
      <c r="B766" s="22" t="s">
        <v>2494</v>
      </c>
      <c r="C766" s="22" t="s">
        <v>844</v>
      </c>
      <c r="D766" s="22" t="s">
        <v>890</v>
      </c>
      <c r="E766" s="22" t="s">
        <v>1700</v>
      </c>
      <c r="F766" s="22" t="s">
        <v>12</v>
      </c>
    </row>
    <row r="767" ht="18.5" customHeight="1" spans="1:6">
      <c r="A767" s="23">
        <v>766</v>
      </c>
      <c r="B767" s="23" t="s">
        <v>2495</v>
      </c>
      <c r="C767" s="23" t="s">
        <v>844</v>
      </c>
      <c r="D767" s="23" t="s">
        <v>845</v>
      </c>
      <c r="E767" s="23" t="s">
        <v>1700</v>
      </c>
      <c r="F767" s="23" t="s">
        <v>12</v>
      </c>
    </row>
    <row r="768" ht="18.5" customHeight="1" spans="1:6">
      <c r="A768" s="22">
        <v>767</v>
      </c>
      <c r="B768" s="22" t="s">
        <v>2496</v>
      </c>
      <c r="C768" s="22" t="s">
        <v>844</v>
      </c>
      <c r="D768" s="22" t="s">
        <v>845</v>
      </c>
      <c r="E768" s="22" t="s">
        <v>1700</v>
      </c>
      <c r="F768" s="22" t="s">
        <v>12</v>
      </c>
    </row>
    <row r="769" ht="18.5" customHeight="1" spans="1:6">
      <c r="A769" s="23">
        <v>768</v>
      </c>
      <c r="B769" s="23" t="s">
        <v>2497</v>
      </c>
      <c r="C769" s="23" t="s">
        <v>844</v>
      </c>
      <c r="D769" s="23" t="s">
        <v>861</v>
      </c>
      <c r="E769" s="23" t="s">
        <v>1700</v>
      </c>
      <c r="F769" s="23" t="s">
        <v>12</v>
      </c>
    </row>
    <row r="770" ht="18.5" customHeight="1" spans="1:6">
      <c r="A770" s="22">
        <v>769</v>
      </c>
      <c r="B770" s="22" t="s">
        <v>2498</v>
      </c>
      <c r="C770" s="22" t="s">
        <v>844</v>
      </c>
      <c r="D770" s="22" t="s">
        <v>845</v>
      </c>
      <c r="E770" s="22" t="s">
        <v>1700</v>
      </c>
      <c r="F770" s="22" t="s">
        <v>12</v>
      </c>
    </row>
    <row r="771" ht="18.5" customHeight="1" spans="1:6">
      <c r="A771" s="23">
        <v>770</v>
      </c>
      <c r="B771" s="23" t="s">
        <v>2499</v>
      </c>
      <c r="C771" s="23" t="s">
        <v>844</v>
      </c>
      <c r="D771" s="23" t="s">
        <v>861</v>
      </c>
      <c r="E771" s="23" t="s">
        <v>1700</v>
      </c>
      <c r="F771" s="23" t="s">
        <v>12</v>
      </c>
    </row>
    <row r="772" ht="18.5" customHeight="1" spans="1:6">
      <c r="A772" s="22">
        <v>771</v>
      </c>
      <c r="B772" s="22" t="s">
        <v>2500</v>
      </c>
      <c r="C772" s="22" t="s">
        <v>844</v>
      </c>
      <c r="D772" s="22" t="s">
        <v>884</v>
      </c>
      <c r="E772" s="22" t="s">
        <v>1700</v>
      </c>
      <c r="F772" s="22" t="s">
        <v>12</v>
      </c>
    </row>
    <row r="773" ht="18.5" customHeight="1" spans="1:6">
      <c r="A773" s="23">
        <v>772</v>
      </c>
      <c r="B773" s="23" t="s">
        <v>2501</v>
      </c>
      <c r="C773" s="23" t="s">
        <v>844</v>
      </c>
      <c r="D773" s="23" t="s">
        <v>884</v>
      </c>
      <c r="E773" s="23" t="s">
        <v>1700</v>
      </c>
      <c r="F773" s="23" t="s">
        <v>12</v>
      </c>
    </row>
    <row r="774" ht="18.5" customHeight="1" spans="1:6">
      <c r="A774" s="22">
        <v>773</v>
      </c>
      <c r="B774" s="22" t="s">
        <v>2502</v>
      </c>
      <c r="C774" s="22" t="s">
        <v>844</v>
      </c>
      <c r="D774" s="22" t="s">
        <v>845</v>
      </c>
      <c r="E774" s="22" t="s">
        <v>1700</v>
      </c>
      <c r="F774" s="22" t="s">
        <v>12</v>
      </c>
    </row>
    <row r="775" ht="18.5" customHeight="1" spans="1:6">
      <c r="A775" s="23">
        <v>774</v>
      </c>
      <c r="B775" s="23" t="s">
        <v>2503</v>
      </c>
      <c r="C775" s="23" t="s">
        <v>844</v>
      </c>
      <c r="D775" s="23" t="s">
        <v>861</v>
      </c>
      <c r="E775" s="23" t="s">
        <v>1700</v>
      </c>
      <c r="F775" s="23" t="s">
        <v>12</v>
      </c>
    </row>
    <row r="776" ht="18.5" customHeight="1" spans="1:6">
      <c r="A776" s="22">
        <v>775</v>
      </c>
      <c r="B776" s="22" t="s">
        <v>2504</v>
      </c>
      <c r="C776" s="22" t="s">
        <v>844</v>
      </c>
      <c r="D776" s="22" t="s">
        <v>881</v>
      </c>
      <c r="E776" s="22" t="s">
        <v>1700</v>
      </c>
      <c r="F776" s="22" t="s">
        <v>12</v>
      </c>
    </row>
    <row r="777" ht="18.5" customHeight="1" spans="1:6">
      <c r="A777" s="23">
        <v>776</v>
      </c>
      <c r="B777" s="23" t="s">
        <v>2505</v>
      </c>
      <c r="C777" s="23" t="s">
        <v>844</v>
      </c>
      <c r="D777" s="23" t="s">
        <v>884</v>
      </c>
      <c r="E777" s="23" t="s">
        <v>1700</v>
      </c>
      <c r="F777" s="23" t="s">
        <v>12</v>
      </c>
    </row>
    <row r="778" ht="18.5" customHeight="1" spans="1:6">
      <c r="A778" s="22">
        <v>777</v>
      </c>
      <c r="B778" s="22" t="s">
        <v>2506</v>
      </c>
      <c r="C778" s="22" t="s">
        <v>844</v>
      </c>
      <c r="D778" s="22" t="s">
        <v>881</v>
      </c>
      <c r="E778" s="22" t="s">
        <v>1700</v>
      </c>
      <c r="F778" s="22" t="s">
        <v>12</v>
      </c>
    </row>
    <row r="779" ht="18.5" customHeight="1" spans="1:6">
      <c r="A779" s="23">
        <v>778</v>
      </c>
      <c r="B779" s="23" t="s">
        <v>2507</v>
      </c>
      <c r="C779" s="23" t="s">
        <v>844</v>
      </c>
      <c r="D779" s="23" t="s">
        <v>2475</v>
      </c>
      <c r="E779" s="23" t="s">
        <v>1700</v>
      </c>
      <c r="F779" s="23" t="s">
        <v>12</v>
      </c>
    </row>
    <row r="780" ht="18.5" customHeight="1" spans="1:6">
      <c r="A780" s="22">
        <v>779</v>
      </c>
      <c r="B780" s="22" t="s">
        <v>2508</v>
      </c>
      <c r="C780" s="22" t="s">
        <v>844</v>
      </c>
      <c r="D780" s="22" t="s">
        <v>845</v>
      </c>
      <c r="E780" s="22" t="s">
        <v>1700</v>
      </c>
      <c r="F780" s="22" t="s">
        <v>12</v>
      </c>
    </row>
    <row r="781" ht="18.5" customHeight="1" spans="1:6">
      <c r="A781" s="23">
        <v>780</v>
      </c>
      <c r="B781" s="23" t="s">
        <v>2509</v>
      </c>
      <c r="C781" s="23" t="s">
        <v>844</v>
      </c>
      <c r="D781" s="23" t="s">
        <v>848</v>
      </c>
      <c r="E781" s="23" t="s">
        <v>1700</v>
      </c>
      <c r="F781" s="23" t="s">
        <v>12</v>
      </c>
    </row>
    <row r="782" ht="18.5" customHeight="1" spans="1:6">
      <c r="A782" s="22">
        <v>781</v>
      </c>
      <c r="B782" s="22" t="s">
        <v>2510</v>
      </c>
      <c r="C782" s="22" t="s">
        <v>844</v>
      </c>
      <c r="D782" s="22" t="s">
        <v>868</v>
      </c>
      <c r="E782" s="22" t="s">
        <v>1700</v>
      </c>
      <c r="F782" s="22" t="s">
        <v>12</v>
      </c>
    </row>
    <row r="783" ht="18.5" customHeight="1" spans="1:6">
      <c r="A783" s="23">
        <v>782</v>
      </c>
      <c r="B783" s="23" t="s">
        <v>2511</v>
      </c>
      <c r="C783" s="23" t="s">
        <v>844</v>
      </c>
      <c r="D783" s="23" t="s">
        <v>863</v>
      </c>
      <c r="E783" s="23" t="s">
        <v>1700</v>
      </c>
      <c r="F783" s="23" t="s">
        <v>12</v>
      </c>
    </row>
    <row r="784" ht="18.5" customHeight="1" spans="1:6">
      <c r="A784" s="22">
        <v>783</v>
      </c>
      <c r="B784" s="22" t="s">
        <v>2512</v>
      </c>
      <c r="C784" s="22" t="s">
        <v>844</v>
      </c>
      <c r="D784" s="22" t="s">
        <v>2465</v>
      </c>
      <c r="E784" s="22" t="s">
        <v>1700</v>
      </c>
      <c r="F784" s="22" t="s">
        <v>12</v>
      </c>
    </row>
    <row r="785" ht="18.5" customHeight="1" spans="1:6">
      <c r="A785" s="23">
        <v>784</v>
      </c>
      <c r="B785" s="23" t="s">
        <v>2513</v>
      </c>
      <c r="C785" s="23" t="s">
        <v>844</v>
      </c>
      <c r="D785" s="23" t="s">
        <v>852</v>
      </c>
      <c r="E785" s="23" t="s">
        <v>1700</v>
      </c>
      <c r="F785" s="23" t="s">
        <v>12</v>
      </c>
    </row>
    <row r="786" ht="18.5" customHeight="1" spans="1:6">
      <c r="A786" s="22">
        <v>785</v>
      </c>
      <c r="B786" s="22" t="s">
        <v>2514</v>
      </c>
      <c r="C786" s="22" t="s">
        <v>902</v>
      </c>
      <c r="D786" s="22" t="s">
        <v>903</v>
      </c>
      <c r="E786" s="22" t="s">
        <v>1700</v>
      </c>
      <c r="F786" s="22" t="s">
        <v>12</v>
      </c>
    </row>
    <row r="787" ht="18.5" customHeight="1" spans="1:6">
      <c r="A787" s="23">
        <v>786</v>
      </c>
      <c r="B787" s="23" t="s">
        <v>2515</v>
      </c>
      <c r="C787" s="23" t="s">
        <v>902</v>
      </c>
      <c r="D787" s="23" t="s">
        <v>903</v>
      </c>
      <c r="E787" s="23" t="s">
        <v>1700</v>
      </c>
      <c r="F787" s="23" t="s">
        <v>12</v>
      </c>
    </row>
    <row r="788" ht="18.5" customHeight="1" spans="1:6">
      <c r="A788" s="22">
        <v>787</v>
      </c>
      <c r="B788" s="22" t="s">
        <v>2516</v>
      </c>
      <c r="C788" s="22" t="s">
        <v>902</v>
      </c>
      <c r="D788" s="22" t="s">
        <v>903</v>
      </c>
      <c r="E788" s="22" t="s">
        <v>1700</v>
      </c>
      <c r="F788" s="22" t="s">
        <v>12</v>
      </c>
    </row>
    <row r="789" ht="18.5" customHeight="1" spans="1:6">
      <c r="A789" s="23">
        <v>788</v>
      </c>
      <c r="B789" s="23" t="s">
        <v>2517</v>
      </c>
      <c r="C789" s="23" t="s">
        <v>902</v>
      </c>
      <c r="D789" s="23" t="s">
        <v>903</v>
      </c>
      <c r="E789" s="23" t="s">
        <v>1700</v>
      </c>
      <c r="F789" s="23" t="s">
        <v>12</v>
      </c>
    </row>
    <row r="790" ht="18.5" customHeight="1" spans="1:6">
      <c r="A790" s="22">
        <v>789</v>
      </c>
      <c r="B790" s="22" t="s">
        <v>2518</v>
      </c>
      <c r="C790" s="22" t="s">
        <v>902</v>
      </c>
      <c r="D790" s="22" t="s">
        <v>905</v>
      </c>
      <c r="E790" s="22" t="s">
        <v>1700</v>
      </c>
      <c r="F790" s="22" t="s">
        <v>12</v>
      </c>
    </row>
    <row r="791" ht="18.5" customHeight="1" spans="1:6">
      <c r="A791" s="23">
        <v>790</v>
      </c>
      <c r="B791" s="23" t="s">
        <v>2519</v>
      </c>
      <c r="C791" s="23" t="s">
        <v>902</v>
      </c>
      <c r="D791" s="23" t="s">
        <v>903</v>
      </c>
      <c r="E791" s="23" t="s">
        <v>1700</v>
      </c>
      <c r="F791" s="23" t="s">
        <v>12</v>
      </c>
    </row>
    <row r="792" ht="18.5" customHeight="1" spans="1:6">
      <c r="A792" s="22">
        <v>791</v>
      </c>
      <c r="B792" s="22" t="s">
        <v>2520</v>
      </c>
      <c r="C792" s="22" t="s">
        <v>902</v>
      </c>
      <c r="D792" s="22" t="s">
        <v>903</v>
      </c>
      <c r="E792" s="22" t="s">
        <v>1700</v>
      </c>
      <c r="F792" s="22" t="s">
        <v>12</v>
      </c>
    </row>
    <row r="793" ht="18.5" customHeight="1" spans="1:6">
      <c r="A793" s="23">
        <v>792</v>
      </c>
      <c r="B793" s="23" t="s">
        <v>2521</v>
      </c>
      <c r="C793" s="23" t="s">
        <v>902</v>
      </c>
      <c r="D793" s="23" t="s">
        <v>903</v>
      </c>
      <c r="E793" s="23" t="s">
        <v>1700</v>
      </c>
      <c r="F793" s="23" t="s">
        <v>12</v>
      </c>
    </row>
    <row r="794" ht="18.5" customHeight="1" spans="1:6">
      <c r="A794" s="22">
        <v>793</v>
      </c>
      <c r="B794" s="22" t="s">
        <v>2522</v>
      </c>
      <c r="C794" s="22" t="s">
        <v>902</v>
      </c>
      <c r="D794" s="22" t="s">
        <v>905</v>
      </c>
      <c r="E794" s="22" t="s">
        <v>1700</v>
      </c>
      <c r="F794" s="22" t="s">
        <v>12</v>
      </c>
    </row>
    <row r="795" ht="18.5" customHeight="1" spans="1:6">
      <c r="A795" s="23">
        <v>794</v>
      </c>
      <c r="B795" s="23" t="s">
        <v>2523</v>
      </c>
      <c r="C795" s="23" t="s">
        <v>902</v>
      </c>
      <c r="D795" s="23" t="s">
        <v>903</v>
      </c>
      <c r="E795" s="23" t="s">
        <v>1700</v>
      </c>
      <c r="F795" s="23" t="s">
        <v>12</v>
      </c>
    </row>
    <row r="796" ht="18.5" customHeight="1" spans="1:6">
      <c r="A796" s="22">
        <v>795</v>
      </c>
      <c r="B796" s="22" t="s">
        <v>2524</v>
      </c>
      <c r="C796" s="22" t="s">
        <v>902</v>
      </c>
      <c r="D796" s="22" t="s">
        <v>919</v>
      </c>
      <c r="E796" s="22" t="s">
        <v>1700</v>
      </c>
      <c r="F796" s="22" t="s">
        <v>12</v>
      </c>
    </row>
    <row r="797" ht="18.5" customHeight="1" spans="1:6">
      <c r="A797" s="23">
        <v>796</v>
      </c>
      <c r="B797" s="23" t="s">
        <v>2525</v>
      </c>
      <c r="C797" s="23" t="s">
        <v>902</v>
      </c>
      <c r="D797" s="23" t="s">
        <v>1580</v>
      </c>
      <c r="E797" s="23" t="s">
        <v>1700</v>
      </c>
      <c r="F797" s="23" t="s">
        <v>12</v>
      </c>
    </row>
    <row r="798" ht="18.5" customHeight="1" spans="1:6">
      <c r="A798" s="22">
        <v>797</v>
      </c>
      <c r="B798" s="22" t="s">
        <v>2526</v>
      </c>
      <c r="C798" s="22" t="s">
        <v>902</v>
      </c>
      <c r="D798" s="22" t="s">
        <v>903</v>
      </c>
      <c r="E798" s="22" t="s">
        <v>1700</v>
      </c>
      <c r="F798" s="22" t="s">
        <v>12</v>
      </c>
    </row>
    <row r="799" ht="18.5" customHeight="1" spans="1:6">
      <c r="A799" s="23">
        <v>798</v>
      </c>
      <c r="B799" s="23" t="s">
        <v>2527</v>
      </c>
      <c r="C799" s="23" t="s">
        <v>902</v>
      </c>
      <c r="D799" s="23" t="s">
        <v>903</v>
      </c>
      <c r="E799" s="23" t="s">
        <v>1700</v>
      </c>
      <c r="F799" s="23" t="s">
        <v>12</v>
      </c>
    </row>
    <row r="800" ht="18.5" customHeight="1" spans="1:6">
      <c r="A800" s="22">
        <v>799</v>
      </c>
      <c r="B800" s="22" t="s">
        <v>2528</v>
      </c>
      <c r="C800" s="22" t="s">
        <v>902</v>
      </c>
      <c r="D800" s="22" t="s">
        <v>903</v>
      </c>
      <c r="E800" s="22" t="s">
        <v>1700</v>
      </c>
      <c r="F800" s="22" t="s">
        <v>12</v>
      </c>
    </row>
    <row r="801" ht="18.5" customHeight="1" spans="1:6">
      <c r="A801" s="23">
        <v>800</v>
      </c>
      <c r="B801" s="23" t="s">
        <v>2529</v>
      </c>
      <c r="C801" s="23" t="s">
        <v>902</v>
      </c>
      <c r="D801" s="23" t="s">
        <v>905</v>
      </c>
      <c r="E801" s="23" t="s">
        <v>1700</v>
      </c>
      <c r="F801" s="23" t="s">
        <v>12</v>
      </c>
    </row>
    <row r="802" ht="18.5" customHeight="1" spans="1:6">
      <c r="A802" s="22">
        <v>801</v>
      </c>
      <c r="B802" s="22" t="s">
        <v>2530</v>
      </c>
      <c r="C802" s="22" t="s">
        <v>902</v>
      </c>
      <c r="D802" s="22" t="s">
        <v>911</v>
      </c>
      <c r="E802" s="22" t="s">
        <v>1700</v>
      </c>
      <c r="F802" s="22" t="s">
        <v>12</v>
      </c>
    </row>
    <row r="803" ht="18.5" customHeight="1" spans="1:6">
      <c r="A803" s="23">
        <v>802</v>
      </c>
      <c r="B803" s="23" t="s">
        <v>2531</v>
      </c>
      <c r="C803" s="23" t="s">
        <v>902</v>
      </c>
      <c r="D803" s="23" t="s">
        <v>926</v>
      </c>
      <c r="E803" s="23" t="s">
        <v>1700</v>
      </c>
      <c r="F803" s="23" t="s">
        <v>12</v>
      </c>
    </row>
    <row r="804" ht="18.5" customHeight="1" spans="1:6">
      <c r="A804" s="22">
        <v>803</v>
      </c>
      <c r="B804" s="22" t="s">
        <v>2532</v>
      </c>
      <c r="C804" s="22" t="s">
        <v>902</v>
      </c>
      <c r="D804" s="22" t="s">
        <v>903</v>
      </c>
      <c r="E804" s="22" t="s">
        <v>1700</v>
      </c>
      <c r="F804" s="22" t="s">
        <v>12</v>
      </c>
    </row>
    <row r="805" ht="18.5" customHeight="1" spans="1:6">
      <c r="A805" s="23">
        <v>804</v>
      </c>
      <c r="B805" s="23" t="s">
        <v>2533</v>
      </c>
      <c r="C805" s="23" t="s">
        <v>902</v>
      </c>
      <c r="D805" s="23" t="s">
        <v>903</v>
      </c>
      <c r="E805" s="23" t="s">
        <v>1700</v>
      </c>
      <c r="F805" s="23" t="s">
        <v>12</v>
      </c>
    </row>
    <row r="806" ht="18.5" customHeight="1" spans="1:6">
      <c r="A806" s="22">
        <v>805</v>
      </c>
      <c r="B806" s="22" t="s">
        <v>2534</v>
      </c>
      <c r="C806" s="22" t="s">
        <v>902</v>
      </c>
      <c r="D806" s="22" t="s">
        <v>903</v>
      </c>
      <c r="E806" s="22" t="s">
        <v>1700</v>
      </c>
      <c r="F806" s="22" t="s">
        <v>12</v>
      </c>
    </row>
    <row r="807" ht="18.5" customHeight="1" spans="1:6">
      <c r="A807" s="23">
        <v>806</v>
      </c>
      <c r="B807" s="23" t="s">
        <v>2535</v>
      </c>
      <c r="C807" s="23" t="s">
        <v>902</v>
      </c>
      <c r="D807" s="23" t="s">
        <v>903</v>
      </c>
      <c r="E807" s="23" t="s">
        <v>1700</v>
      </c>
      <c r="F807" s="23" t="s">
        <v>12</v>
      </c>
    </row>
    <row r="808" ht="18.5" customHeight="1" spans="1:6">
      <c r="A808" s="22">
        <v>807</v>
      </c>
      <c r="B808" s="22" t="s">
        <v>2536</v>
      </c>
      <c r="C808" s="22" t="s">
        <v>902</v>
      </c>
      <c r="D808" s="22" t="s">
        <v>917</v>
      </c>
      <c r="E808" s="22" t="s">
        <v>1700</v>
      </c>
      <c r="F808" s="22" t="s">
        <v>12</v>
      </c>
    </row>
    <row r="809" ht="18.5" customHeight="1" spans="1:6">
      <c r="A809" s="23">
        <v>808</v>
      </c>
      <c r="B809" s="23" t="s">
        <v>2537</v>
      </c>
      <c r="C809" s="23" t="s">
        <v>902</v>
      </c>
      <c r="D809" s="23" t="s">
        <v>931</v>
      </c>
      <c r="E809" s="23" t="s">
        <v>1700</v>
      </c>
      <c r="F809" s="23" t="s">
        <v>12</v>
      </c>
    </row>
    <row r="810" ht="18.5" customHeight="1" spans="1:6">
      <c r="A810" s="22">
        <v>809</v>
      </c>
      <c r="B810" s="22" t="s">
        <v>2538</v>
      </c>
      <c r="C810" s="22" t="s">
        <v>902</v>
      </c>
      <c r="D810" s="22" t="s">
        <v>903</v>
      </c>
      <c r="E810" s="22" t="s">
        <v>1700</v>
      </c>
      <c r="F810" s="22" t="s">
        <v>12</v>
      </c>
    </row>
    <row r="811" ht="18.5" customHeight="1" spans="1:6">
      <c r="A811" s="23">
        <v>810</v>
      </c>
      <c r="B811" s="23" t="s">
        <v>2539</v>
      </c>
      <c r="C811" s="23" t="s">
        <v>902</v>
      </c>
      <c r="D811" s="23" t="s">
        <v>2540</v>
      </c>
      <c r="E811" s="23" t="s">
        <v>1700</v>
      </c>
      <c r="F811" s="23" t="s">
        <v>12</v>
      </c>
    </row>
    <row r="812" ht="18.5" customHeight="1" spans="1:6">
      <c r="A812" s="22">
        <v>811</v>
      </c>
      <c r="B812" s="22" t="s">
        <v>2541</v>
      </c>
      <c r="C812" s="22" t="s">
        <v>902</v>
      </c>
      <c r="D812" s="22" t="s">
        <v>2542</v>
      </c>
      <c r="E812" s="22" t="s">
        <v>1700</v>
      </c>
      <c r="F812" s="22" t="s">
        <v>12</v>
      </c>
    </row>
    <row r="813" ht="18.5" customHeight="1" spans="1:6">
      <c r="A813" s="23">
        <v>812</v>
      </c>
      <c r="B813" s="23" t="s">
        <v>2543</v>
      </c>
      <c r="C813" s="23" t="s">
        <v>902</v>
      </c>
      <c r="D813" s="23" t="s">
        <v>903</v>
      </c>
      <c r="E813" s="23" t="s">
        <v>1700</v>
      </c>
      <c r="F813" s="23" t="s">
        <v>12</v>
      </c>
    </row>
    <row r="814" ht="18.5" customHeight="1" spans="1:6">
      <c r="A814" s="22">
        <v>813</v>
      </c>
      <c r="B814" s="22" t="s">
        <v>2544</v>
      </c>
      <c r="C814" s="22" t="s">
        <v>902</v>
      </c>
      <c r="D814" s="22" t="s">
        <v>917</v>
      </c>
      <c r="E814" s="22" t="s">
        <v>1700</v>
      </c>
      <c r="F814" s="22" t="s">
        <v>12</v>
      </c>
    </row>
    <row r="815" ht="18.5" customHeight="1" spans="1:6">
      <c r="A815" s="23">
        <v>814</v>
      </c>
      <c r="B815" s="23" t="s">
        <v>2545</v>
      </c>
      <c r="C815" s="23" t="s">
        <v>902</v>
      </c>
      <c r="D815" s="23" t="s">
        <v>917</v>
      </c>
      <c r="E815" s="23" t="s">
        <v>1700</v>
      </c>
      <c r="F815" s="23" t="s">
        <v>12</v>
      </c>
    </row>
    <row r="816" ht="18.5" customHeight="1" spans="1:6">
      <c r="A816" s="22">
        <v>815</v>
      </c>
      <c r="B816" s="22" t="s">
        <v>2546</v>
      </c>
      <c r="C816" s="22" t="s">
        <v>943</v>
      </c>
      <c r="D816" s="22" t="s">
        <v>944</v>
      </c>
      <c r="E816" s="22" t="s">
        <v>1700</v>
      </c>
      <c r="F816" s="22" t="s">
        <v>12</v>
      </c>
    </row>
    <row r="817" ht="18.5" customHeight="1" spans="1:6">
      <c r="A817" s="23">
        <v>816</v>
      </c>
      <c r="B817" s="23" t="s">
        <v>2547</v>
      </c>
      <c r="C817" s="23" t="s">
        <v>943</v>
      </c>
      <c r="D817" s="23" t="s">
        <v>2548</v>
      </c>
      <c r="E817" s="23" t="s">
        <v>1700</v>
      </c>
      <c r="F817" s="23" t="s">
        <v>12</v>
      </c>
    </row>
    <row r="818" ht="18.5" customHeight="1" spans="1:6">
      <c r="A818" s="22">
        <v>817</v>
      </c>
      <c r="B818" s="22" t="s">
        <v>2549</v>
      </c>
      <c r="C818" s="22" t="s">
        <v>943</v>
      </c>
      <c r="D818" s="22" t="s">
        <v>944</v>
      </c>
      <c r="E818" s="22" t="s">
        <v>1700</v>
      </c>
      <c r="F818" s="22" t="s">
        <v>12</v>
      </c>
    </row>
    <row r="819" ht="18.5" customHeight="1" spans="1:6">
      <c r="A819" s="23">
        <v>818</v>
      </c>
      <c r="B819" s="23" t="s">
        <v>2550</v>
      </c>
      <c r="C819" s="23" t="s">
        <v>943</v>
      </c>
      <c r="D819" s="23" t="s">
        <v>2551</v>
      </c>
      <c r="E819" s="23" t="s">
        <v>1700</v>
      </c>
      <c r="F819" s="23" t="s">
        <v>12</v>
      </c>
    </row>
    <row r="820" ht="18.5" customHeight="1" spans="1:6">
      <c r="A820" s="22">
        <v>819</v>
      </c>
      <c r="B820" s="22" t="s">
        <v>2552</v>
      </c>
      <c r="C820" s="22" t="s">
        <v>943</v>
      </c>
      <c r="D820" s="22" t="s">
        <v>944</v>
      </c>
      <c r="E820" s="22" t="s">
        <v>1700</v>
      </c>
      <c r="F820" s="22" t="s">
        <v>12</v>
      </c>
    </row>
    <row r="821" ht="18.5" customHeight="1" spans="1:6">
      <c r="A821" s="23">
        <v>820</v>
      </c>
      <c r="B821" s="23" t="s">
        <v>2553</v>
      </c>
      <c r="C821" s="23" t="s">
        <v>943</v>
      </c>
      <c r="D821" s="23" t="s">
        <v>944</v>
      </c>
      <c r="E821" s="23" t="s">
        <v>1700</v>
      </c>
      <c r="F821" s="23" t="s">
        <v>12</v>
      </c>
    </row>
    <row r="822" ht="18.5" customHeight="1" spans="1:6">
      <c r="A822" s="22">
        <v>821</v>
      </c>
      <c r="B822" s="22" t="s">
        <v>2554</v>
      </c>
      <c r="C822" s="22" t="s">
        <v>943</v>
      </c>
      <c r="D822" s="22" t="s">
        <v>944</v>
      </c>
      <c r="E822" s="22" t="s">
        <v>1700</v>
      </c>
      <c r="F822" s="22" t="s">
        <v>12</v>
      </c>
    </row>
    <row r="823" ht="18.5" customHeight="1" spans="1:6">
      <c r="A823" s="23">
        <v>822</v>
      </c>
      <c r="B823" s="23" t="s">
        <v>2555</v>
      </c>
      <c r="C823" s="23" t="s">
        <v>951</v>
      </c>
      <c r="D823" s="23" t="s">
        <v>951</v>
      </c>
      <c r="E823" s="23" t="s">
        <v>1700</v>
      </c>
      <c r="F823" s="23" t="s">
        <v>12</v>
      </c>
    </row>
    <row r="824" ht="18.5" customHeight="1" spans="1:6">
      <c r="A824" s="22">
        <v>823</v>
      </c>
      <c r="B824" s="22" t="s">
        <v>2556</v>
      </c>
      <c r="C824" s="22" t="s">
        <v>951</v>
      </c>
      <c r="D824" s="22" t="s">
        <v>951</v>
      </c>
      <c r="E824" s="22" t="s">
        <v>1700</v>
      </c>
      <c r="F824" s="22" t="s">
        <v>12</v>
      </c>
    </row>
    <row r="825" ht="18.5" customHeight="1" spans="1:6">
      <c r="A825" s="23">
        <v>824</v>
      </c>
      <c r="B825" s="23" t="s">
        <v>2557</v>
      </c>
      <c r="C825" s="23" t="s">
        <v>951</v>
      </c>
      <c r="D825" s="23" t="s">
        <v>951</v>
      </c>
      <c r="E825" s="23" t="s">
        <v>1700</v>
      </c>
      <c r="F825" s="23" t="s">
        <v>12</v>
      </c>
    </row>
    <row r="826" ht="18.5" customHeight="1" spans="1:6">
      <c r="A826" s="22">
        <v>825</v>
      </c>
      <c r="B826" s="22" t="s">
        <v>2558</v>
      </c>
      <c r="C826" s="22" t="s">
        <v>951</v>
      </c>
      <c r="D826" s="22" t="s">
        <v>951</v>
      </c>
      <c r="E826" s="22" t="s">
        <v>1700</v>
      </c>
      <c r="F826" s="22" t="s">
        <v>12</v>
      </c>
    </row>
    <row r="827" ht="18.5" customHeight="1" spans="1:6">
      <c r="A827" s="23">
        <v>826</v>
      </c>
      <c r="B827" s="23" t="s">
        <v>2559</v>
      </c>
      <c r="C827" s="23" t="s">
        <v>951</v>
      </c>
      <c r="D827" s="23" t="s">
        <v>951</v>
      </c>
      <c r="E827" s="23" t="s">
        <v>1700</v>
      </c>
      <c r="F827" s="23" t="s">
        <v>12</v>
      </c>
    </row>
    <row r="828" ht="18.5" customHeight="1" spans="1:6">
      <c r="A828" s="22">
        <v>827</v>
      </c>
      <c r="B828" s="22" t="s">
        <v>2560</v>
      </c>
      <c r="C828" s="22" t="s">
        <v>951</v>
      </c>
      <c r="D828" s="22" t="s">
        <v>951</v>
      </c>
      <c r="E828" s="22" t="s">
        <v>1700</v>
      </c>
      <c r="F828" s="22" t="s">
        <v>12</v>
      </c>
    </row>
    <row r="829" ht="18.5" customHeight="1" spans="1:6">
      <c r="A829" s="23">
        <v>828</v>
      </c>
      <c r="B829" s="23" t="s">
        <v>2561</v>
      </c>
      <c r="C829" s="23" t="s">
        <v>951</v>
      </c>
      <c r="D829" s="23" t="s">
        <v>951</v>
      </c>
      <c r="E829" s="23" t="s">
        <v>1700</v>
      </c>
      <c r="F829" s="23" t="s">
        <v>12</v>
      </c>
    </row>
    <row r="830" ht="18.5" customHeight="1" spans="1:6">
      <c r="A830" s="22">
        <v>829</v>
      </c>
      <c r="B830" s="22" t="s">
        <v>2562</v>
      </c>
      <c r="C830" s="22" t="s">
        <v>951</v>
      </c>
      <c r="D830" s="22" t="s">
        <v>951</v>
      </c>
      <c r="E830" s="22" t="s">
        <v>1700</v>
      </c>
      <c r="F830" s="22" t="s">
        <v>12</v>
      </c>
    </row>
    <row r="831" ht="18.5" customHeight="1" spans="1:6">
      <c r="A831" s="23">
        <v>830</v>
      </c>
      <c r="B831" s="23" t="s">
        <v>2563</v>
      </c>
      <c r="C831" s="23" t="s">
        <v>951</v>
      </c>
      <c r="D831" s="23" t="s">
        <v>951</v>
      </c>
      <c r="E831" s="23" t="s">
        <v>1700</v>
      </c>
      <c r="F831" s="23" t="s">
        <v>12</v>
      </c>
    </row>
    <row r="832" ht="18.5" customHeight="1" spans="1:6">
      <c r="A832" s="22">
        <v>831</v>
      </c>
      <c r="B832" s="22" t="s">
        <v>2564</v>
      </c>
      <c r="C832" s="22" t="s">
        <v>951</v>
      </c>
      <c r="D832" s="22" t="s">
        <v>951</v>
      </c>
      <c r="E832" s="22" t="s">
        <v>1700</v>
      </c>
      <c r="F832" s="22" t="s">
        <v>12</v>
      </c>
    </row>
    <row r="833" ht="18.5" customHeight="1" spans="1:6">
      <c r="A833" s="23">
        <v>832</v>
      </c>
      <c r="B833" s="23" t="s">
        <v>2565</v>
      </c>
      <c r="C833" s="23" t="s">
        <v>951</v>
      </c>
      <c r="D833" s="23" t="s">
        <v>951</v>
      </c>
      <c r="E833" s="23" t="s">
        <v>1700</v>
      </c>
      <c r="F833" s="23" t="s">
        <v>12</v>
      </c>
    </row>
    <row r="834" ht="18.5" customHeight="1" spans="1:6">
      <c r="A834" s="22">
        <v>833</v>
      </c>
      <c r="B834" s="22" t="s">
        <v>2566</v>
      </c>
      <c r="C834" s="22" t="s">
        <v>951</v>
      </c>
      <c r="D834" s="22" t="s">
        <v>951</v>
      </c>
      <c r="E834" s="22" t="s">
        <v>1700</v>
      </c>
      <c r="F834" s="22" t="s">
        <v>12</v>
      </c>
    </row>
    <row r="835" ht="18.5" customHeight="1" spans="1:6">
      <c r="A835" s="23">
        <v>834</v>
      </c>
      <c r="B835" s="23" t="s">
        <v>2567</v>
      </c>
      <c r="C835" s="23" t="s">
        <v>951</v>
      </c>
      <c r="D835" s="23" t="s">
        <v>951</v>
      </c>
      <c r="E835" s="23" t="s">
        <v>1700</v>
      </c>
      <c r="F835" s="23" t="s">
        <v>12</v>
      </c>
    </row>
    <row r="836" ht="18.5" customHeight="1" spans="1:6">
      <c r="A836" s="22">
        <v>835</v>
      </c>
      <c r="B836" s="22" t="s">
        <v>2568</v>
      </c>
      <c r="C836" s="22" t="s">
        <v>951</v>
      </c>
      <c r="D836" s="22" t="s">
        <v>951</v>
      </c>
      <c r="E836" s="22" t="s">
        <v>1700</v>
      </c>
      <c r="F836" s="22" t="s">
        <v>12</v>
      </c>
    </row>
    <row r="837" ht="18.5" customHeight="1" spans="1:6">
      <c r="A837" s="23">
        <v>836</v>
      </c>
      <c r="B837" s="23" t="s">
        <v>2569</v>
      </c>
      <c r="C837" s="23" t="s">
        <v>951</v>
      </c>
      <c r="D837" s="23" t="s">
        <v>951</v>
      </c>
      <c r="E837" s="23" t="s">
        <v>1700</v>
      </c>
      <c r="F837" s="23" t="s">
        <v>12</v>
      </c>
    </row>
    <row r="838" ht="18.5" customHeight="1" spans="1:6">
      <c r="A838" s="22">
        <v>837</v>
      </c>
      <c r="B838" s="22" t="s">
        <v>2570</v>
      </c>
      <c r="C838" s="22" t="s">
        <v>951</v>
      </c>
      <c r="D838" s="22" t="s">
        <v>951</v>
      </c>
      <c r="E838" s="22" t="s">
        <v>1700</v>
      </c>
      <c r="F838" s="22" t="s">
        <v>12</v>
      </c>
    </row>
    <row r="839" ht="18.5" customHeight="1" spans="1:6">
      <c r="A839" s="23">
        <v>838</v>
      </c>
      <c r="B839" s="23" t="s">
        <v>2571</v>
      </c>
      <c r="C839" s="23" t="s">
        <v>951</v>
      </c>
      <c r="D839" s="23" t="s">
        <v>951</v>
      </c>
      <c r="E839" s="23" t="s">
        <v>1700</v>
      </c>
      <c r="F839" s="23" t="s">
        <v>12</v>
      </c>
    </row>
    <row r="840" ht="18.5" customHeight="1" spans="1:6">
      <c r="A840" s="22">
        <v>839</v>
      </c>
      <c r="B840" s="22" t="s">
        <v>2572</v>
      </c>
      <c r="C840" s="22" t="s">
        <v>951</v>
      </c>
      <c r="D840" s="22" t="s">
        <v>951</v>
      </c>
      <c r="E840" s="22" t="s">
        <v>1700</v>
      </c>
      <c r="F840" s="22" t="s">
        <v>12</v>
      </c>
    </row>
    <row r="841" ht="18.5" customHeight="1" spans="1:6">
      <c r="A841" s="23">
        <v>840</v>
      </c>
      <c r="B841" s="23" t="s">
        <v>2573</v>
      </c>
      <c r="C841" s="23" t="s">
        <v>951</v>
      </c>
      <c r="D841" s="23" t="s">
        <v>951</v>
      </c>
      <c r="E841" s="23" t="s">
        <v>1700</v>
      </c>
      <c r="F841" s="23" t="s">
        <v>12</v>
      </c>
    </row>
    <row r="842" ht="18.5" customHeight="1" spans="1:6">
      <c r="A842" s="22">
        <v>841</v>
      </c>
      <c r="B842" s="22" t="s">
        <v>2574</v>
      </c>
      <c r="C842" s="22" t="s">
        <v>951</v>
      </c>
      <c r="D842" s="22" t="s">
        <v>951</v>
      </c>
      <c r="E842" s="22" t="s">
        <v>1700</v>
      </c>
      <c r="F842" s="22" t="s">
        <v>12</v>
      </c>
    </row>
    <row r="843" ht="18.5" customHeight="1" spans="1:6">
      <c r="A843" s="23">
        <v>842</v>
      </c>
      <c r="B843" s="23" t="s">
        <v>2575</v>
      </c>
      <c r="C843" s="23" t="s">
        <v>951</v>
      </c>
      <c r="D843" s="23" t="s">
        <v>951</v>
      </c>
      <c r="E843" s="23" t="s">
        <v>1700</v>
      </c>
      <c r="F843" s="23" t="s">
        <v>12</v>
      </c>
    </row>
    <row r="844" ht="18.5" customHeight="1" spans="1:6">
      <c r="A844" s="22">
        <v>843</v>
      </c>
      <c r="B844" s="22" t="s">
        <v>2576</v>
      </c>
      <c r="C844" s="22" t="s">
        <v>971</v>
      </c>
      <c r="D844" s="22" t="s">
        <v>972</v>
      </c>
      <c r="E844" s="22" t="s">
        <v>1700</v>
      </c>
      <c r="F844" s="22" t="s">
        <v>12</v>
      </c>
    </row>
    <row r="845" ht="18.5" customHeight="1" spans="1:6">
      <c r="A845" s="23">
        <v>844</v>
      </c>
      <c r="B845" s="23" t="s">
        <v>2577</v>
      </c>
      <c r="C845" s="23" t="s">
        <v>971</v>
      </c>
      <c r="D845" s="23" t="s">
        <v>972</v>
      </c>
      <c r="E845" s="23" t="s">
        <v>1700</v>
      </c>
      <c r="F845" s="23" t="s">
        <v>12</v>
      </c>
    </row>
    <row r="846" ht="18.5" customHeight="1" spans="1:6">
      <c r="A846" s="22">
        <v>845</v>
      </c>
      <c r="B846" s="22" t="s">
        <v>2578</v>
      </c>
      <c r="C846" s="22" t="s">
        <v>971</v>
      </c>
      <c r="D846" s="22" t="s">
        <v>990</v>
      </c>
      <c r="E846" s="22" t="s">
        <v>1700</v>
      </c>
      <c r="F846" s="22" t="s">
        <v>12</v>
      </c>
    </row>
    <row r="847" ht="18.5" customHeight="1" spans="1:6">
      <c r="A847" s="23">
        <v>846</v>
      </c>
      <c r="B847" s="23" t="s">
        <v>2579</v>
      </c>
      <c r="C847" s="23" t="s">
        <v>971</v>
      </c>
      <c r="D847" s="23" t="s">
        <v>972</v>
      </c>
      <c r="E847" s="23" t="s">
        <v>1700</v>
      </c>
      <c r="F847" s="23" t="s">
        <v>12</v>
      </c>
    </row>
    <row r="848" ht="18.5" customHeight="1" spans="1:6">
      <c r="A848" s="22">
        <v>847</v>
      </c>
      <c r="B848" s="22" t="s">
        <v>2580</v>
      </c>
      <c r="C848" s="22" t="s">
        <v>971</v>
      </c>
      <c r="D848" s="22" t="s">
        <v>993</v>
      </c>
      <c r="E848" s="22" t="s">
        <v>1700</v>
      </c>
      <c r="F848" s="22" t="s">
        <v>12</v>
      </c>
    </row>
    <row r="849" ht="18.5" customHeight="1" spans="1:6">
      <c r="A849" s="23">
        <v>848</v>
      </c>
      <c r="B849" s="23" t="s">
        <v>2581</v>
      </c>
      <c r="C849" s="23" t="s">
        <v>971</v>
      </c>
      <c r="D849" s="23" t="s">
        <v>998</v>
      </c>
      <c r="E849" s="23" t="s">
        <v>1700</v>
      </c>
      <c r="F849" s="23" t="s">
        <v>12</v>
      </c>
    </row>
    <row r="850" ht="18.5" customHeight="1" spans="1:6">
      <c r="A850" s="22">
        <v>849</v>
      </c>
      <c r="B850" s="22" t="s">
        <v>2582</v>
      </c>
      <c r="C850" s="22" t="s">
        <v>971</v>
      </c>
      <c r="D850" s="22" t="s">
        <v>972</v>
      </c>
      <c r="E850" s="22" t="s">
        <v>1700</v>
      </c>
      <c r="F850" s="22" t="s">
        <v>12</v>
      </c>
    </row>
    <row r="851" ht="18.5" customHeight="1" spans="1:6">
      <c r="A851" s="23">
        <v>850</v>
      </c>
      <c r="B851" s="23" t="s">
        <v>2583</v>
      </c>
      <c r="C851" s="23" t="s">
        <v>971</v>
      </c>
      <c r="D851" s="23" t="s">
        <v>972</v>
      </c>
      <c r="E851" s="23" t="s">
        <v>1700</v>
      </c>
      <c r="F851" s="23" t="s">
        <v>12</v>
      </c>
    </row>
    <row r="852" ht="18.5" customHeight="1" spans="1:6">
      <c r="A852" s="22">
        <v>851</v>
      </c>
      <c r="B852" s="22" t="s">
        <v>2584</v>
      </c>
      <c r="C852" s="22" t="s">
        <v>971</v>
      </c>
      <c r="D852" s="22" t="s">
        <v>1014</v>
      </c>
      <c r="E852" s="22" t="s">
        <v>1700</v>
      </c>
      <c r="F852" s="22" t="s">
        <v>12</v>
      </c>
    </row>
    <row r="853" ht="18.5" customHeight="1" spans="1:6">
      <c r="A853" s="23">
        <v>852</v>
      </c>
      <c r="B853" s="23" t="s">
        <v>2585</v>
      </c>
      <c r="C853" s="23" t="s">
        <v>971</v>
      </c>
      <c r="D853" s="23" t="s">
        <v>978</v>
      </c>
      <c r="E853" s="23" t="s">
        <v>1700</v>
      </c>
      <c r="F853" s="23" t="s">
        <v>12</v>
      </c>
    </row>
    <row r="854" ht="18.5" customHeight="1" spans="1:6">
      <c r="A854" s="22">
        <v>853</v>
      </c>
      <c r="B854" s="22" t="s">
        <v>2586</v>
      </c>
      <c r="C854" s="22" t="s">
        <v>971</v>
      </c>
      <c r="D854" s="22" t="s">
        <v>972</v>
      </c>
      <c r="E854" s="22" t="s">
        <v>1700</v>
      </c>
      <c r="F854" s="22" t="s">
        <v>12</v>
      </c>
    </row>
    <row r="855" ht="18.5" customHeight="1" spans="1:6">
      <c r="A855" s="23">
        <v>854</v>
      </c>
      <c r="B855" s="23" t="s">
        <v>2587</v>
      </c>
      <c r="C855" s="23" t="s">
        <v>971</v>
      </c>
      <c r="D855" s="23" t="s">
        <v>972</v>
      </c>
      <c r="E855" s="23" t="s">
        <v>1700</v>
      </c>
      <c r="F855" s="23" t="s">
        <v>12</v>
      </c>
    </row>
    <row r="856" ht="18.5" customHeight="1" spans="1:6">
      <c r="A856" s="22">
        <v>855</v>
      </c>
      <c r="B856" s="22" t="s">
        <v>2588</v>
      </c>
      <c r="C856" s="22" t="s">
        <v>971</v>
      </c>
      <c r="D856" s="22" t="s">
        <v>1002</v>
      </c>
      <c r="E856" s="22" t="s">
        <v>1700</v>
      </c>
      <c r="F856" s="22" t="s">
        <v>12</v>
      </c>
    </row>
    <row r="857" ht="18.5" customHeight="1" spans="1:6">
      <c r="A857" s="23">
        <v>856</v>
      </c>
      <c r="B857" s="23" t="s">
        <v>2589</v>
      </c>
      <c r="C857" s="23" t="s">
        <v>971</v>
      </c>
      <c r="D857" s="23" t="s">
        <v>972</v>
      </c>
      <c r="E857" s="23" t="s">
        <v>1700</v>
      </c>
      <c r="F857" s="23" t="s">
        <v>12</v>
      </c>
    </row>
    <row r="858" ht="18.5" customHeight="1" spans="1:6">
      <c r="A858" s="22">
        <v>857</v>
      </c>
      <c r="B858" s="22" t="s">
        <v>2590</v>
      </c>
      <c r="C858" s="22" t="s">
        <v>971</v>
      </c>
      <c r="D858" s="22" t="s">
        <v>1000</v>
      </c>
      <c r="E858" s="22" t="s">
        <v>1700</v>
      </c>
      <c r="F858" s="22" t="s">
        <v>12</v>
      </c>
    </row>
    <row r="859" ht="18.5" customHeight="1" spans="1:6">
      <c r="A859" s="23">
        <v>858</v>
      </c>
      <c r="B859" s="23" t="s">
        <v>2591</v>
      </c>
      <c r="C859" s="23" t="s">
        <v>971</v>
      </c>
      <c r="D859" s="23" t="s">
        <v>990</v>
      </c>
      <c r="E859" s="23" t="s">
        <v>1700</v>
      </c>
      <c r="F859" s="23" t="s">
        <v>12</v>
      </c>
    </row>
    <row r="860" ht="18.5" customHeight="1" spans="1:6">
      <c r="A860" s="22">
        <v>859</v>
      </c>
      <c r="B860" s="22" t="s">
        <v>2592</v>
      </c>
      <c r="C860" s="22" t="s">
        <v>971</v>
      </c>
      <c r="D860" s="22" t="s">
        <v>1616</v>
      </c>
      <c r="E860" s="22" t="s">
        <v>1700</v>
      </c>
      <c r="F860" s="22" t="s">
        <v>12</v>
      </c>
    </row>
    <row r="861" ht="18.5" customHeight="1" spans="1:6">
      <c r="A861" s="23">
        <v>860</v>
      </c>
      <c r="B861" s="23" t="s">
        <v>2593</v>
      </c>
      <c r="C861" s="23" t="s">
        <v>971</v>
      </c>
      <c r="D861" s="23" t="s">
        <v>2594</v>
      </c>
      <c r="E861" s="23" t="s">
        <v>1700</v>
      </c>
      <c r="F861" s="23" t="s">
        <v>12</v>
      </c>
    </row>
    <row r="862" ht="18.5" customHeight="1" spans="1:6">
      <c r="A862" s="22">
        <v>861</v>
      </c>
      <c r="B862" s="22" t="s">
        <v>2595</v>
      </c>
      <c r="C862" s="22" t="s">
        <v>971</v>
      </c>
      <c r="D862" s="22" t="s">
        <v>1006</v>
      </c>
      <c r="E862" s="22" t="s">
        <v>1700</v>
      </c>
      <c r="F862" s="22" t="s">
        <v>12</v>
      </c>
    </row>
    <row r="863" ht="18.5" customHeight="1" spans="1:6">
      <c r="A863" s="23">
        <v>862</v>
      </c>
      <c r="B863" s="23" t="s">
        <v>2596</v>
      </c>
      <c r="C863" s="23" t="s">
        <v>971</v>
      </c>
      <c r="D863" s="23" t="s">
        <v>986</v>
      </c>
      <c r="E863" s="23" t="s">
        <v>1700</v>
      </c>
      <c r="F863" s="23" t="s">
        <v>12</v>
      </c>
    </row>
    <row r="864" ht="18.5" customHeight="1" spans="1:6">
      <c r="A864" s="22">
        <v>863</v>
      </c>
      <c r="B864" s="22" t="s">
        <v>2597</v>
      </c>
      <c r="C864" s="22" t="s">
        <v>971</v>
      </c>
      <c r="D864" s="22" t="s">
        <v>972</v>
      </c>
      <c r="E864" s="22" t="s">
        <v>1700</v>
      </c>
      <c r="F864" s="22" t="s">
        <v>12</v>
      </c>
    </row>
    <row r="865" ht="18.5" customHeight="1" spans="1:6">
      <c r="A865" s="23">
        <v>864</v>
      </c>
      <c r="B865" s="23" t="s">
        <v>2598</v>
      </c>
      <c r="C865" s="23" t="s">
        <v>971</v>
      </c>
      <c r="D865" s="23" t="s">
        <v>984</v>
      </c>
      <c r="E865" s="23" t="s">
        <v>1700</v>
      </c>
      <c r="F865" s="23" t="s">
        <v>12</v>
      </c>
    </row>
    <row r="866" ht="18.5" customHeight="1" spans="1:6">
      <c r="A866" s="22">
        <v>865</v>
      </c>
      <c r="B866" s="22" t="s">
        <v>2599</v>
      </c>
      <c r="C866" s="22" t="s">
        <v>971</v>
      </c>
      <c r="D866" s="22" t="s">
        <v>2600</v>
      </c>
      <c r="E866" s="22" t="s">
        <v>1700</v>
      </c>
      <c r="F866" s="22" t="s">
        <v>12</v>
      </c>
    </row>
    <row r="867" ht="18.5" customHeight="1" spans="1:6">
      <c r="A867" s="23">
        <v>866</v>
      </c>
      <c r="B867" s="23" t="s">
        <v>2601</v>
      </c>
      <c r="C867" s="23" t="s">
        <v>971</v>
      </c>
      <c r="D867" s="23" t="s">
        <v>2602</v>
      </c>
      <c r="E867" s="23" t="s">
        <v>1700</v>
      </c>
      <c r="F867" s="23" t="s">
        <v>12</v>
      </c>
    </row>
    <row r="868" ht="18.5" customHeight="1" spans="1:6">
      <c r="A868" s="22">
        <v>867</v>
      </c>
      <c r="B868" s="22" t="s">
        <v>2603</v>
      </c>
      <c r="C868" s="22" t="s">
        <v>971</v>
      </c>
      <c r="D868" s="22" t="s">
        <v>972</v>
      </c>
      <c r="E868" s="22" t="s">
        <v>1700</v>
      </c>
      <c r="F868" s="22" t="s">
        <v>12</v>
      </c>
    </row>
    <row r="869" ht="18.5" customHeight="1" spans="1:6">
      <c r="A869" s="23">
        <v>868</v>
      </c>
      <c r="B869" s="23" t="s">
        <v>2604</v>
      </c>
      <c r="C869" s="23" t="s">
        <v>971</v>
      </c>
      <c r="D869" s="23" t="s">
        <v>972</v>
      </c>
      <c r="E869" s="23" t="s">
        <v>1700</v>
      </c>
      <c r="F869" s="23" t="s">
        <v>12</v>
      </c>
    </row>
    <row r="870" ht="18.5" customHeight="1" spans="1:6">
      <c r="A870" s="22">
        <v>869</v>
      </c>
      <c r="B870" s="22" t="s">
        <v>2605</v>
      </c>
      <c r="C870" s="22" t="s">
        <v>971</v>
      </c>
      <c r="D870" s="22" t="s">
        <v>978</v>
      </c>
      <c r="E870" s="22" t="s">
        <v>1700</v>
      </c>
      <c r="F870" s="22" t="s">
        <v>12</v>
      </c>
    </row>
    <row r="871" ht="18.5" customHeight="1" spans="1:6">
      <c r="A871" s="23">
        <v>870</v>
      </c>
      <c r="B871" s="23" t="s">
        <v>2606</v>
      </c>
      <c r="C871" s="23" t="s">
        <v>971</v>
      </c>
      <c r="D871" s="23" t="s">
        <v>972</v>
      </c>
      <c r="E871" s="23" t="s">
        <v>1700</v>
      </c>
      <c r="F871" s="23" t="s">
        <v>12</v>
      </c>
    </row>
    <row r="872" ht="18.5" customHeight="1" spans="1:6">
      <c r="A872" s="22">
        <v>871</v>
      </c>
      <c r="B872" s="22" t="s">
        <v>2607</v>
      </c>
      <c r="C872" s="22" t="s">
        <v>971</v>
      </c>
      <c r="D872" s="22" t="s">
        <v>972</v>
      </c>
      <c r="E872" s="22" t="s">
        <v>1700</v>
      </c>
      <c r="F872" s="22" t="s">
        <v>12</v>
      </c>
    </row>
    <row r="873" ht="18.5" customHeight="1" spans="1:6">
      <c r="A873" s="23">
        <v>872</v>
      </c>
      <c r="B873" s="23" t="s">
        <v>2608</v>
      </c>
      <c r="C873" s="23" t="s">
        <v>971</v>
      </c>
      <c r="D873" s="23" t="s">
        <v>978</v>
      </c>
      <c r="E873" s="23" t="s">
        <v>1700</v>
      </c>
      <c r="F873" s="23" t="s">
        <v>12</v>
      </c>
    </row>
    <row r="874" ht="18.5" customHeight="1" spans="1:6">
      <c r="A874" s="22">
        <v>873</v>
      </c>
      <c r="B874" s="22" t="s">
        <v>2609</v>
      </c>
      <c r="C874" s="22" t="s">
        <v>971</v>
      </c>
      <c r="D874" s="22" t="s">
        <v>2602</v>
      </c>
      <c r="E874" s="22" t="s">
        <v>1700</v>
      </c>
      <c r="F874" s="22" t="s">
        <v>12</v>
      </c>
    </row>
    <row r="875" ht="18.5" customHeight="1" spans="1:6">
      <c r="A875" s="23">
        <v>874</v>
      </c>
      <c r="B875" s="23" t="s">
        <v>2610</v>
      </c>
      <c r="C875" s="23" t="s">
        <v>971</v>
      </c>
      <c r="D875" s="23" t="s">
        <v>981</v>
      </c>
      <c r="E875" s="23" t="s">
        <v>1700</v>
      </c>
      <c r="F875" s="23" t="s">
        <v>12</v>
      </c>
    </row>
    <row r="876" ht="18.5" customHeight="1" spans="1:6">
      <c r="A876" s="22">
        <v>875</v>
      </c>
      <c r="B876" s="22" t="s">
        <v>2611</v>
      </c>
      <c r="C876" s="22" t="s">
        <v>971</v>
      </c>
      <c r="D876" s="22" t="s">
        <v>998</v>
      </c>
      <c r="E876" s="22" t="s">
        <v>1700</v>
      </c>
      <c r="F876" s="22" t="s">
        <v>12</v>
      </c>
    </row>
    <row r="877" ht="18.5" customHeight="1" spans="1:6">
      <c r="A877" s="23">
        <v>876</v>
      </c>
      <c r="B877" s="23" t="s">
        <v>2612</v>
      </c>
      <c r="C877" s="23" t="s">
        <v>971</v>
      </c>
      <c r="D877" s="23" t="s">
        <v>984</v>
      </c>
      <c r="E877" s="23" t="s">
        <v>1700</v>
      </c>
      <c r="F877" s="23" t="s">
        <v>12</v>
      </c>
    </row>
    <row r="878" ht="18.5" customHeight="1" spans="1:6">
      <c r="A878" s="22">
        <v>877</v>
      </c>
      <c r="B878" s="22" t="s">
        <v>2613</v>
      </c>
      <c r="C878" s="22" t="s">
        <v>971</v>
      </c>
      <c r="D878" s="22" t="s">
        <v>972</v>
      </c>
      <c r="E878" s="22" t="s">
        <v>1700</v>
      </c>
      <c r="F878" s="22" t="s">
        <v>12</v>
      </c>
    </row>
    <row r="879" ht="18.5" customHeight="1" spans="1:6">
      <c r="A879" s="23">
        <v>878</v>
      </c>
      <c r="B879" s="23" t="s">
        <v>2614</v>
      </c>
      <c r="C879" s="23" t="s">
        <v>971</v>
      </c>
      <c r="D879" s="23" t="s">
        <v>972</v>
      </c>
      <c r="E879" s="23" t="s">
        <v>1700</v>
      </c>
      <c r="F879" s="23" t="s">
        <v>12</v>
      </c>
    </row>
    <row r="880" ht="18.5" customHeight="1" spans="1:6">
      <c r="A880" s="22">
        <v>879</v>
      </c>
      <c r="B880" s="22" t="s">
        <v>2615</v>
      </c>
      <c r="C880" s="22" t="s">
        <v>971</v>
      </c>
      <c r="D880" s="22" t="s">
        <v>988</v>
      </c>
      <c r="E880" s="22" t="s">
        <v>1700</v>
      </c>
      <c r="F880" s="22" t="s">
        <v>12</v>
      </c>
    </row>
    <row r="881" ht="18.5" customHeight="1" spans="1:6">
      <c r="A881" s="23">
        <v>880</v>
      </c>
      <c r="B881" s="23" t="s">
        <v>2616</v>
      </c>
      <c r="C881" s="23" t="s">
        <v>971</v>
      </c>
      <c r="D881" s="23" t="s">
        <v>1004</v>
      </c>
      <c r="E881" s="23" t="s">
        <v>1700</v>
      </c>
      <c r="F881" s="23" t="s">
        <v>12</v>
      </c>
    </row>
    <row r="882" ht="18.5" customHeight="1" spans="1:6">
      <c r="A882" s="22">
        <v>881</v>
      </c>
      <c r="B882" s="22" t="s">
        <v>2617</v>
      </c>
      <c r="C882" s="22" t="s">
        <v>971</v>
      </c>
      <c r="D882" s="22" t="s">
        <v>1002</v>
      </c>
      <c r="E882" s="22" t="s">
        <v>1700</v>
      </c>
      <c r="F882" s="22" t="s">
        <v>12</v>
      </c>
    </row>
    <row r="883" ht="18.5" customHeight="1" spans="1:6">
      <c r="A883" s="23">
        <v>882</v>
      </c>
      <c r="B883" s="23" t="s">
        <v>2618</v>
      </c>
      <c r="C883" s="23" t="s">
        <v>971</v>
      </c>
      <c r="D883" s="23" t="s">
        <v>998</v>
      </c>
      <c r="E883" s="23" t="s">
        <v>1700</v>
      </c>
      <c r="F883" s="23" t="s">
        <v>12</v>
      </c>
    </row>
    <row r="884" ht="18.5" customHeight="1" spans="1:6">
      <c r="A884" s="22">
        <v>883</v>
      </c>
      <c r="B884" s="22" t="s">
        <v>2619</v>
      </c>
      <c r="C884" s="22" t="s">
        <v>971</v>
      </c>
      <c r="D884" s="22" t="s">
        <v>993</v>
      </c>
      <c r="E884" s="22" t="s">
        <v>1700</v>
      </c>
      <c r="F884" s="22" t="s">
        <v>12</v>
      </c>
    </row>
    <row r="885" ht="18.5" customHeight="1" spans="1:6">
      <c r="A885" s="23">
        <v>884</v>
      </c>
      <c r="B885" s="23" t="s">
        <v>2620</v>
      </c>
      <c r="C885" s="23" t="s">
        <v>971</v>
      </c>
      <c r="D885" s="23" t="s">
        <v>1017</v>
      </c>
      <c r="E885" s="23" t="s">
        <v>1700</v>
      </c>
      <c r="F885" s="23" t="s">
        <v>12</v>
      </c>
    </row>
    <row r="886" ht="18.5" customHeight="1" spans="1:6">
      <c r="A886" s="22">
        <v>885</v>
      </c>
      <c r="B886" s="22" t="s">
        <v>2621</v>
      </c>
      <c r="C886" s="22" t="s">
        <v>971</v>
      </c>
      <c r="D886" s="22" t="s">
        <v>972</v>
      </c>
      <c r="E886" s="22" t="s">
        <v>1700</v>
      </c>
      <c r="F886" s="22" t="s">
        <v>12</v>
      </c>
    </row>
    <row r="887" ht="18.5" customHeight="1" spans="1:6">
      <c r="A887" s="23">
        <v>886</v>
      </c>
      <c r="B887" s="23" t="s">
        <v>2622</v>
      </c>
      <c r="C887" s="23" t="s">
        <v>1026</v>
      </c>
      <c r="D887" s="23" t="s">
        <v>1045</v>
      </c>
      <c r="E887" s="23" t="s">
        <v>1700</v>
      </c>
      <c r="F887" s="23" t="s">
        <v>12</v>
      </c>
    </row>
    <row r="888" ht="18.5" customHeight="1" spans="1:6">
      <c r="A888" s="22">
        <v>887</v>
      </c>
      <c r="B888" s="22" t="s">
        <v>2623</v>
      </c>
      <c r="C888" s="22" t="s">
        <v>1026</v>
      </c>
      <c r="D888" s="22" t="s">
        <v>1030</v>
      </c>
      <c r="E888" s="22" t="s">
        <v>1700</v>
      </c>
      <c r="F888" s="22" t="s">
        <v>12</v>
      </c>
    </row>
    <row r="889" ht="18.5" customHeight="1" spans="1:6">
      <c r="A889" s="23">
        <v>888</v>
      </c>
      <c r="B889" s="23" t="s">
        <v>2624</v>
      </c>
      <c r="C889" s="23" t="s">
        <v>1026</v>
      </c>
      <c r="D889" s="23" t="s">
        <v>1043</v>
      </c>
      <c r="E889" s="23" t="s">
        <v>1700</v>
      </c>
      <c r="F889" s="23" t="s">
        <v>12</v>
      </c>
    </row>
    <row r="890" ht="18.5" customHeight="1" spans="1:6">
      <c r="A890" s="22">
        <v>889</v>
      </c>
      <c r="B890" s="22" t="s">
        <v>2625</v>
      </c>
      <c r="C890" s="22" t="s">
        <v>1026</v>
      </c>
      <c r="D890" s="22" t="s">
        <v>1039</v>
      </c>
      <c r="E890" s="22" t="s">
        <v>1700</v>
      </c>
      <c r="F890" s="22" t="s">
        <v>12</v>
      </c>
    </row>
    <row r="891" ht="18.5" customHeight="1" spans="1:6">
      <c r="A891" s="23">
        <v>890</v>
      </c>
      <c r="B891" s="23" t="s">
        <v>2626</v>
      </c>
      <c r="C891" s="23" t="s">
        <v>1026</v>
      </c>
      <c r="D891" s="23" t="s">
        <v>1043</v>
      </c>
      <c r="E891" s="23" t="s">
        <v>1700</v>
      </c>
      <c r="F891" s="23" t="s">
        <v>12</v>
      </c>
    </row>
    <row r="892" ht="18.5" customHeight="1" spans="1:6">
      <c r="A892" s="22">
        <v>891</v>
      </c>
      <c r="B892" s="22" t="s">
        <v>2627</v>
      </c>
      <c r="C892" s="22" t="s">
        <v>1026</v>
      </c>
      <c r="D892" s="22" t="s">
        <v>1045</v>
      </c>
      <c r="E892" s="22" t="s">
        <v>1700</v>
      </c>
      <c r="F892" s="22" t="s">
        <v>12</v>
      </c>
    </row>
    <row r="893" ht="18.5" customHeight="1" spans="1:6">
      <c r="A893" s="23">
        <v>892</v>
      </c>
      <c r="B893" s="23" t="s">
        <v>2628</v>
      </c>
      <c r="C893" s="23" t="s">
        <v>1026</v>
      </c>
      <c r="D893" s="23" t="s">
        <v>1030</v>
      </c>
      <c r="E893" s="23" t="s">
        <v>1700</v>
      </c>
      <c r="F893" s="23" t="s">
        <v>12</v>
      </c>
    </row>
    <row r="894" ht="18.5" customHeight="1" spans="1:6">
      <c r="A894" s="22">
        <v>893</v>
      </c>
      <c r="B894" s="22" t="s">
        <v>2629</v>
      </c>
      <c r="C894" s="22" t="s">
        <v>1026</v>
      </c>
      <c r="D894" s="22" t="s">
        <v>1027</v>
      </c>
      <c r="E894" s="22" t="s">
        <v>1700</v>
      </c>
      <c r="F894" s="22" t="s">
        <v>12</v>
      </c>
    </row>
    <row r="895" ht="18.5" customHeight="1" spans="1:6">
      <c r="A895" s="23">
        <v>894</v>
      </c>
      <c r="B895" s="23" t="s">
        <v>2630</v>
      </c>
      <c r="C895" s="23" t="s">
        <v>1026</v>
      </c>
      <c r="D895" s="23" t="s">
        <v>1027</v>
      </c>
      <c r="E895" s="23" t="s">
        <v>1700</v>
      </c>
      <c r="F895" s="23" t="s">
        <v>12</v>
      </c>
    </row>
    <row r="896" ht="18.5" customHeight="1" spans="1:6">
      <c r="A896" s="22">
        <v>895</v>
      </c>
      <c r="B896" s="22" t="s">
        <v>2631</v>
      </c>
      <c r="C896" s="22" t="s">
        <v>1026</v>
      </c>
      <c r="D896" s="22" t="s">
        <v>1050</v>
      </c>
      <c r="E896" s="22" t="s">
        <v>1700</v>
      </c>
      <c r="F896" s="22" t="s">
        <v>12</v>
      </c>
    </row>
    <row r="897" ht="18.5" customHeight="1" spans="1:6">
      <c r="A897" s="23">
        <v>896</v>
      </c>
      <c r="B897" s="23" t="s">
        <v>2632</v>
      </c>
      <c r="C897" s="23" t="s">
        <v>1026</v>
      </c>
      <c r="D897" s="23" t="s">
        <v>1037</v>
      </c>
      <c r="E897" s="23" t="s">
        <v>1700</v>
      </c>
      <c r="F897" s="23" t="s">
        <v>12</v>
      </c>
    </row>
    <row r="898" ht="18.5" customHeight="1" spans="1:6">
      <c r="A898" s="22">
        <v>897</v>
      </c>
      <c r="B898" s="22" t="s">
        <v>2633</v>
      </c>
      <c r="C898" s="22" t="s">
        <v>1026</v>
      </c>
      <c r="D898" s="22" t="s">
        <v>1030</v>
      </c>
      <c r="E898" s="22" t="s">
        <v>1700</v>
      </c>
      <c r="F898" s="22" t="s">
        <v>12</v>
      </c>
    </row>
    <row r="899" ht="18.5" customHeight="1" spans="1:6">
      <c r="A899" s="23">
        <v>898</v>
      </c>
      <c r="B899" s="23" t="s">
        <v>2634</v>
      </c>
      <c r="C899" s="23" t="s">
        <v>1026</v>
      </c>
      <c r="D899" s="23" t="s">
        <v>1027</v>
      </c>
      <c r="E899" s="23" t="s">
        <v>1700</v>
      </c>
      <c r="F899" s="23" t="s">
        <v>12</v>
      </c>
    </row>
    <row r="900" ht="18.5" customHeight="1" spans="1:6">
      <c r="A900" s="22">
        <v>899</v>
      </c>
      <c r="B900" s="22" t="s">
        <v>2635</v>
      </c>
      <c r="C900" s="22" t="s">
        <v>1026</v>
      </c>
      <c r="D900" s="22" t="s">
        <v>1041</v>
      </c>
      <c r="E900" s="22" t="s">
        <v>1700</v>
      </c>
      <c r="F900" s="22" t="s">
        <v>12</v>
      </c>
    </row>
    <row r="901" ht="18.5" customHeight="1" spans="1:6">
      <c r="A901" s="23">
        <v>900</v>
      </c>
      <c r="B901" s="23" t="s">
        <v>2636</v>
      </c>
      <c r="C901" s="23" t="s">
        <v>1026</v>
      </c>
      <c r="D901" s="23" t="s">
        <v>1027</v>
      </c>
      <c r="E901" s="23" t="s">
        <v>1700</v>
      </c>
      <c r="F901" s="23" t="s">
        <v>12</v>
      </c>
    </row>
    <row r="902" ht="18.5" customHeight="1" spans="1:6">
      <c r="A902" s="22">
        <v>901</v>
      </c>
      <c r="B902" s="22" t="s">
        <v>2637</v>
      </c>
      <c r="C902" s="22" t="s">
        <v>1026</v>
      </c>
      <c r="D902" s="22" t="s">
        <v>1027</v>
      </c>
      <c r="E902" s="22" t="s">
        <v>1700</v>
      </c>
      <c r="F902" s="22" t="s">
        <v>12</v>
      </c>
    </row>
    <row r="903" ht="18.5" customHeight="1" spans="1:6">
      <c r="A903" s="23">
        <v>902</v>
      </c>
      <c r="B903" s="23" t="s">
        <v>2638</v>
      </c>
      <c r="C903" s="23" t="s">
        <v>1026</v>
      </c>
      <c r="D903" s="23" t="s">
        <v>1035</v>
      </c>
      <c r="E903" s="23" t="s">
        <v>1700</v>
      </c>
      <c r="F903" s="23" t="s">
        <v>12</v>
      </c>
    </row>
    <row r="904" ht="18.5" customHeight="1" spans="1:6">
      <c r="A904" s="22">
        <v>903</v>
      </c>
      <c r="B904" s="22" t="s">
        <v>2639</v>
      </c>
      <c r="C904" s="22" t="s">
        <v>1026</v>
      </c>
      <c r="D904" s="22" t="s">
        <v>1045</v>
      </c>
      <c r="E904" s="22" t="s">
        <v>1700</v>
      </c>
      <c r="F904" s="22" t="s">
        <v>12</v>
      </c>
    </row>
    <row r="905" ht="18.5" customHeight="1" spans="1:6">
      <c r="A905" s="23">
        <v>904</v>
      </c>
      <c r="B905" s="23" t="s">
        <v>2640</v>
      </c>
      <c r="C905" s="23" t="s">
        <v>1026</v>
      </c>
      <c r="D905" s="23" t="s">
        <v>1041</v>
      </c>
      <c r="E905" s="23" t="s">
        <v>1700</v>
      </c>
      <c r="F905" s="23" t="s">
        <v>12</v>
      </c>
    </row>
    <row r="906" ht="18.5" customHeight="1" spans="1:6">
      <c r="A906" s="22">
        <v>905</v>
      </c>
      <c r="B906" s="22" t="s">
        <v>2641</v>
      </c>
      <c r="C906" s="22" t="s">
        <v>1026</v>
      </c>
      <c r="D906" s="22" t="s">
        <v>1027</v>
      </c>
      <c r="E906" s="22" t="s">
        <v>1700</v>
      </c>
      <c r="F906" s="22" t="s">
        <v>12</v>
      </c>
    </row>
    <row r="907" ht="18.5" customHeight="1" spans="1:6">
      <c r="A907" s="23">
        <v>906</v>
      </c>
      <c r="B907" s="23" t="s">
        <v>2642</v>
      </c>
      <c r="C907" s="23" t="s">
        <v>1026</v>
      </c>
      <c r="D907" s="23" t="s">
        <v>1041</v>
      </c>
      <c r="E907" s="23" t="s">
        <v>1700</v>
      </c>
      <c r="F907" s="23" t="s">
        <v>12</v>
      </c>
    </row>
    <row r="908" ht="18.5" customHeight="1" spans="1:6">
      <c r="A908" s="22">
        <v>907</v>
      </c>
      <c r="B908" s="22" t="s">
        <v>2643</v>
      </c>
      <c r="C908" s="22" t="s">
        <v>1026</v>
      </c>
      <c r="D908" s="22" t="s">
        <v>1027</v>
      </c>
      <c r="E908" s="22" t="s">
        <v>1700</v>
      </c>
      <c r="F908" s="22" t="s">
        <v>12</v>
      </c>
    </row>
    <row r="909" ht="18.5" customHeight="1" spans="1:6">
      <c r="A909" s="23">
        <v>908</v>
      </c>
      <c r="B909" s="23" t="s">
        <v>2644</v>
      </c>
      <c r="C909" s="23" t="s">
        <v>1026</v>
      </c>
      <c r="D909" s="23" t="s">
        <v>1027</v>
      </c>
      <c r="E909" s="23" t="s">
        <v>1700</v>
      </c>
      <c r="F909" s="23" t="s">
        <v>12</v>
      </c>
    </row>
    <row r="910" ht="18.5" customHeight="1" spans="1:6">
      <c r="A910" s="22">
        <v>909</v>
      </c>
      <c r="B910" s="22" t="s">
        <v>2645</v>
      </c>
      <c r="C910" s="22" t="s">
        <v>1026</v>
      </c>
      <c r="D910" s="22" t="s">
        <v>1027</v>
      </c>
      <c r="E910" s="22" t="s">
        <v>1700</v>
      </c>
      <c r="F910" s="22" t="s">
        <v>12</v>
      </c>
    </row>
    <row r="911" ht="18.5" customHeight="1" spans="1:6">
      <c r="A911" s="23">
        <v>910</v>
      </c>
      <c r="B911" s="23" t="s">
        <v>2646</v>
      </c>
      <c r="C911" s="23" t="s">
        <v>1026</v>
      </c>
      <c r="D911" s="23" t="s">
        <v>1027</v>
      </c>
      <c r="E911" s="23" t="s">
        <v>1700</v>
      </c>
      <c r="F911" s="23" t="s">
        <v>12</v>
      </c>
    </row>
    <row r="912" ht="18.5" customHeight="1" spans="1:6">
      <c r="A912" s="22">
        <v>911</v>
      </c>
      <c r="B912" s="22" t="s">
        <v>2647</v>
      </c>
      <c r="C912" s="22" t="s">
        <v>1026</v>
      </c>
      <c r="D912" s="22" t="s">
        <v>1027</v>
      </c>
      <c r="E912" s="22" t="s">
        <v>1700</v>
      </c>
      <c r="F912" s="22" t="s">
        <v>12</v>
      </c>
    </row>
    <row r="913" ht="18.5" customHeight="1" spans="1:6">
      <c r="A913" s="23">
        <v>912</v>
      </c>
      <c r="B913" s="23" t="s">
        <v>2648</v>
      </c>
      <c r="C913" s="23" t="s">
        <v>1026</v>
      </c>
      <c r="D913" s="23" t="s">
        <v>1035</v>
      </c>
      <c r="E913" s="23" t="s">
        <v>1700</v>
      </c>
      <c r="F913" s="23" t="s">
        <v>12</v>
      </c>
    </row>
    <row r="914" ht="18.5" customHeight="1" spans="1:6">
      <c r="A914" s="22">
        <v>913</v>
      </c>
      <c r="B914" s="22" t="s">
        <v>2649</v>
      </c>
      <c r="C914" s="22" t="s">
        <v>1026</v>
      </c>
      <c r="D914" s="22" t="s">
        <v>1027</v>
      </c>
      <c r="E914" s="22" t="s">
        <v>1700</v>
      </c>
      <c r="F914" s="22" t="s">
        <v>12</v>
      </c>
    </row>
    <row r="915" ht="18.5" customHeight="1" spans="1:6">
      <c r="A915" s="23">
        <v>914</v>
      </c>
      <c r="B915" s="23" t="s">
        <v>2650</v>
      </c>
      <c r="C915" s="23" t="s">
        <v>1026</v>
      </c>
      <c r="D915" s="23" t="s">
        <v>1045</v>
      </c>
      <c r="E915" s="23" t="s">
        <v>1700</v>
      </c>
      <c r="F915" s="23" t="s">
        <v>12</v>
      </c>
    </row>
    <row r="916" ht="18.5" customHeight="1" spans="1:6">
      <c r="A916" s="22">
        <v>915</v>
      </c>
      <c r="B916" s="22" t="s">
        <v>2651</v>
      </c>
      <c r="C916" s="22" t="s">
        <v>1026</v>
      </c>
      <c r="D916" s="22" t="s">
        <v>1045</v>
      </c>
      <c r="E916" s="22" t="s">
        <v>1700</v>
      </c>
      <c r="F916" s="22" t="s">
        <v>12</v>
      </c>
    </row>
    <row r="917" ht="18.5" customHeight="1" spans="1:6">
      <c r="A917" s="23">
        <v>916</v>
      </c>
      <c r="B917" s="23" t="s">
        <v>2652</v>
      </c>
      <c r="C917" s="23" t="s">
        <v>1026</v>
      </c>
      <c r="D917" s="23" t="s">
        <v>1050</v>
      </c>
      <c r="E917" s="23" t="s">
        <v>1700</v>
      </c>
      <c r="F917" s="23" t="s">
        <v>12</v>
      </c>
    </row>
    <row r="918" ht="18.5" customHeight="1" spans="1:6">
      <c r="A918" s="22">
        <v>917</v>
      </c>
      <c r="B918" s="22" t="s">
        <v>2653</v>
      </c>
      <c r="C918" s="22" t="s">
        <v>1026</v>
      </c>
      <c r="D918" s="22" t="s">
        <v>1041</v>
      </c>
      <c r="E918" s="22" t="s">
        <v>1700</v>
      </c>
      <c r="F918" s="22" t="s">
        <v>12</v>
      </c>
    </row>
    <row r="919" ht="18.5" customHeight="1" spans="1:6">
      <c r="A919" s="23">
        <v>918</v>
      </c>
      <c r="B919" s="23" t="s">
        <v>2654</v>
      </c>
      <c r="C919" s="23" t="s">
        <v>1026</v>
      </c>
      <c r="D919" s="23" t="s">
        <v>1045</v>
      </c>
      <c r="E919" s="23" t="s">
        <v>1700</v>
      </c>
      <c r="F919" s="23" t="s">
        <v>12</v>
      </c>
    </row>
    <row r="920" ht="18.5" customHeight="1" spans="1:6">
      <c r="A920" s="22">
        <v>919</v>
      </c>
      <c r="B920" s="22" t="s">
        <v>2655</v>
      </c>
      <c r="C920" s="22" t="s">
        <v>1026</v>
      </c>
      <c r="D920" s="22" t="s">
        <v>1027</v>
      </c>
      <c r="E920" s="22" t="s">
        <v>1700</v>
      </c>
      <c r="F920" s="22" t="s">
        <v>12</v>
      </c>
    </row>
    <row r="921" ht="18.5" customHeight="1" spans="1:6">
      <c r="A921" s="23">
        <v>920</v>
      </c>
      <c r="B921" s="23" t="s">
        <v>2656</v>
      </c>
      <c r="C921" s="23" t="s">
        <v>1026</v>
      </c>
      <c r="D921" s="23" t="s">
        <v>1027</v>
      </c>
      <c r="E921" s="23" t="s">
        <v>1700</v>
      </c>
      <c r="F921" s="23" t="s">
        <v>12</v>
      </c>
    </row>
    <row r="922" ht="18.5" customHeight="1" spans="1:6">
      <c r="A922" s="22">
        <v>921</v>
      </c>
      <c r="B922" s="22" t="s">
        <v>2657</v>
      </c>
      <c r="C922" s="22" t="s">
        <v>1026</v>
      </c>
      <c r="D922" s="22" t="s">
        <v>1027</v>
      </c>
      <c r="E922" s="22" t="s">
        <v>1700</v>
      </c>
      <c r="F922" s="22" t="s">
        <v>12</v>
      </c>
    </row>
    <row r="923" ht="18.5" customHeight="1" spans="1:6">
      <c r="A923" s="23">
        <v>922</v>
      </c>
      <c r="B923" s="23" t="s">
        <v>2658</v>
      </c>
      <c r="C923" s="23" t="s">
        <v>1060</v>
      </c>
      <c r="D923" s="23" t="s">
        <v>1061</v>
      </c>
      <c r="E923" s="23" t="s">
        <v>1700</v>
      </c>
      <c r="F923" s="23" t="s">
        <v>12</v>
      </c>
    </row>
    <row r="924" ht="18.5" customHeight="1" spans="1:6">
      <c r="A924" s="22">
        <v>923</v>
      </c>
      <c r="B924" s="22" t="s">
        <v>2659</v>
      </c>
      <c r="C924" s="22" t="s">
        <v>1060</v>
      </c>
      <c r="D924" s="22" t="s">
        <v>1061</v>
      </c>
      <c r="E924" s="22" t="s">
        <v>1700</v>
      </c>
      <c r="F924" s="22" t="s">
        <v>12</v>
      </c>
    </row>
    <row r="925" ht="18.5" customHeight="1" spans="1:6">
      <c r="A925" s="23">
        <v>924</v>
      </c>
      <c r="B925" s="23" t="s">
        <v>2660</v>
      </c>
      <c r="C925" s="23" t="s">
        <v>1060</v>
      </c>
      <c r="D925" s="23" t="s">
        <v>1061</v>
      </c>
      <c r="E925" s="23" t="s">
        <v>1700</v>
      </c>
      <c r="F925" s="23" t="s">
        <v>12</v>
      </c>
    </row>
    <row r="926" ht="18.5" customHeight="1" spans="1:6">
      <c r="A926" s="22">
        <v>925</v>
      </c>
      <c r="B926" s="22" t="s">
        <v>2661</v>
      </c>
      <c r="C926" s="22" t="s">
        <v>1060</v>
      </c>
      <c r="D926" s="22" t="s">
        <v>1061</v>
      </c>
      <c r="E926" s="22" t="s">
        <v>1700</v>
      </c>
      <c r="F926" s="22" t="s">
        <v>12</v>
      </c>
    </row>
    <row r="927" ht="18.5" customHeight="1" spans="1:6">
      <c r="A927" s="23">
        <v>926</v>
      </c>
      <c r="B927" s="23" t="s">
        <v>2662</v>
      </c>
      <c r="C927" s="23" t="s">
        <v>1060</v>
      </c>
      <c r="D927" s="23" t="s">
        <v>1061</v>
      </c>
      <c r="E927" s="23" t="s">
        <v>1700</v>
      </c>
      <c r="F927" s="23" t="s">
        <v>12</v>
      </c>
    </row>
    <row r="928" ht="18.5" customHeight="1" spans="1:6">
      <c r="A928" s="22">
        <v>927</v>
      </c>
      <c r="B928" s="22" t="s">
        <v>2663</v>
      </c>
      <c r="C928" s="22" t="s">
        <v>1060</v>
      </c>
      <c r="D928" s="22" t="s">
        <v>1061</v>
      </c>
      <c r="E928" s="22" t="s">
        <v>1700</v>
      </c>
      <c r="F928" s="22" t="s">
        <v>12</v>
      </c>
    </row>
    <row r="929" ht="18.5" customHeight="1" spans="1:6">
      <c r="A929" s="23">
        <v>928</v>
      </c>
      <c r="B929" s="23" t="s">
        <v>2664</v>
      </c>
      <c r="C929" s="23" t="s">
        <v>1060</v>
      </c>
      <c r="D929" s="23" t="s">
        <v>1061</v>
      </c>
      <c r="E929" s="23" t="s">
        <v>1700</v>
      </c>
      <c r="F929" s="23" t="s">
        <v>12</v>
      </c>
    </row>
    <row r="930" ht="18.5" customHeight="1" spans="1:6">
      <c r="A930" s="22">
        <v>929</v>
      </c>
      <c r="B930" s="22" t="s">
        <v>2665</v>
      </c>
      <c r="C930" s="22" t="s">
        <v>1060</v>
      </c>
      <c r="D930" s="22" t="s">
        <v>2666</v>
      </c>
      <c r="E930" s="22" t="s">
        <v>1700</v>
      </c>
      <c r="F930" s="22" t="s">
        <v>12</v>
      </c>
    </row>
    <row r="931" ht="18.5" customHeight="1" spans="1:6">
      <c r="A931" s="23">
        <v>930</v>
      </c>
      <c r="B931" s="23" t="s">
        <v>2667</v>
      </c>
      <c r="C931" s="23" t="s">
        <v>1060</v>
      </c>
      <c r="D931" s="23" t="s">
        <v>1084</v>
      </c>
      <c r="E931" s="23" t="s">
        <v>1700</v>
      </c>
      <c r="F931" s="23" t="s">
        <v>12</v>
      </c>
    </row>
    <row r="932" ht="18.5" customHeight="1" spans="1:6">
      <c r="A932" s="22">
        <v>931</v>
      </c>
      <c r="B932" s="22" t="s">
        <v>2668</v>
      </c>
      <c r="C932" s="22" t="s">
        <v>1060</v>
      </c>
      <c r="D932" s="22" t="s">
        <v>1073</v>
      </c>
      <c r="E932" s="22" t="s">
        <v>1700</v>
      </c>
      <c r="F932" s="22" t="s">
        <v>12</v>
      </c>
    </row>
    <row r="933" ht="18.5" customHeight="1" spans="1:6">
      <c r="A933" s="23">
        <v>932</v>
      </c>
      <c r="B933" s="23" t="s">
        <v>2669</v>
      </c>
      <c r="C933" s="23" t="s">
        <v>1060</v>
      </c>
      <c r="D933" s="23" t="s">
        <v>1061</v>
      </c>
      <c r="E933" s="23" t="s">
        <v>1700</v>
      </c>
      <c r="F933" s="23" t="s">
        <v>12</v>
      </c>
    </row>
    <row r="934" ht="18.5" customHeight="1" spans="1:6">
      <c r="A934" s="22">
        <v>933</v>
      </c>
      <c r="B934" s="22" t="s">
        <v>2670</v>
      </c>
      <c r="C934" s="22" t="s">
        <v>1060</v>
      </c>
      <c r="D934" s="22" t="s">
        <v>1061</v>
      </c>
      <c r="E934" s="22" t="s">
        <v>1700</v>
      </c>
      <c r="F934" s="22" t="s">
        <v>12</v>
      </c>
    </row>
    <row r="935" ht="18.5" customHeight="1" spans="1:6">
      <c r="A935" s="23">
        <v>934</v>
      </c>
      <c r="B935" s="23" t="s">
        <v>2671</v>
      </c>
      <c r="C935" s="23" t="s">
        <v>1060</v>
      </c>
      <c r="D935" s="23" t="s">
        <v>1061</v>
      </c>
      <c r="E935" s="23" t="s">
        <v>1700</v>
      </c>
      <c r="F935" s="23" t="s">
        <v>12</v>
      </c>
    </row>
    <row r="936" ht="18.5" customHeight="1" spans="1:6">
      <c r="A936" s="22">
        <v>935</v>
      </c>
      <c r="B936" s="22" t="s">
        <v>2672</v>
      </c>
      <c r="C936" s="22" t="s">
        <v>1060</v>
      </c>
      <c r="D936" s="22" t="s">
        <v>1086</v>
      </c>
      <c r="E936" s="22" t="s">
        <v>1700</v>
      </c>
      <c r="F936" s="22" t="s">
        <v>12</v>
      </c>
    </row>
    <row r="937" ht="18.5" customHeight="1" spans="1:6">
      <c r="A937" s="23">
        <v>936</v>
      </c>
      <c r="B937" s="23" t="s">
        <v>2673</v>
      </c>
      <c r="C937" s="23" t="s">
        <v>1060</v>
      </c>
      <c r="D937" s="23" t="s">
        <v>1077</v>
      </c>
      <c r="E937" s="23" t="s">
        <v>1700</v>
      </c>
      <c r="F937" s="23" t="s">
        <v>12</v>
      </c>
    </row>
    <row r="938" ht="18.5" customHeight="1" spans="1:6">
      <c r="A938" s="22">
        <v>937</v>
      </c>
      <c r="B938" s="22" t="s">
        <v>2674</v>
      </c>
      <c r="C938" s="22" t="s">
        <v>1060</v>
      </c>
      <c r="D938" s="22" t="s">
        <v>1079</v>
      </c>
      <c r="E938" s="22" t="s">
        <v>1700</v>
      </c>
      <c r="F938" s="22" t="s">
        <v>12</v>
      </c>
    </row>
    <row r="939" ht="18.5" customHeight="1" spans="1:6">
      <c r="A939" s="23">
        <v>938</v>
      </c>
      <c r="B939" s="23" t="s">
        <v>2675</v>
      </c>
      <c r="C939" s="23" t="s">
        <v>1060</v>
      </c>
      <c r="D939" s="23" t="s">
        <v>1099</v>
      </c>
      <c r="E939" s="23" t="s">
        <v>1700</v>
      </c>
      <c r="F939" s="23" t="s">
        <v>12</v>
      </c>
    </row>
    <row r="940" ht="18.5" customHeight="1" spans="1:6">
      <c r="A940" s="22">
        <v>939</v>
      </c>
      <c r="B940" s="22" t="s">
        <v>2676</v>
      </c>
      <c r="C940" s="22" t="s">
        <v>1060</v>
      </c>
      <c r="D940" s="22" t="s">
        <v>1086</v>
      </c>
      <c r="E940" s="22" t="s">
        <v>1700</v>
      </c>
      <c r="F940" s="22" t="s">
        <v>12</v>
      </c>
    </row>
    <row r="941" ht="18.5" customHeight="1" spans="1:6">
      <c r="A941" s="23">
        <v>940</v>
      </c>
      <c r="B941" s="23" t="s">
        <v>2677</v>
      </c>
      <c r="C941" s="23" t="s">
        <v>1060</v>
      </c>
      <c r="D941" s="23" t="s">
        <v>1061</v>
      </c>
      <c r="E941" s="23" t="s">
        <v>1700</v>
      </c>
      <c r="F941" s="23" t="s">
        <v>12</v>
      </c>
    </row>
    <row r="942" ht="18.5" customHeight="1" spans="1:6">
      <c r="A942" s="22">
        <v>941</v>
      </c>
      <c r="B942" s="22" t="s">
        <v>2678</v>
      </c>
      <c r="C942" s="22" t="s">
        <v>1060</v>
      </c>
      <c r="D942" s="22" t="s">
        <v>1079</v>
      </c>
      <c r="E942" s="22" t="s">
        <v>1700</v>
      </c>
      <c r="F942" s="22" t="s">
        <v>12</v>
      </c>
    </row>
    <row r="943" ht="18.5" customHeight="1" spans="1:6">
      <c r="A943" s="23">
        <v>942</v>
      </c>
      <c r="B943" s="23" t="s">
        <v>2679</v>
      </c>
      <c r="C943" s="23" t="s">
        <v>1060</v>
      </c>
      <c r="D943" s="23" t="s">
        <v>1067</v>
      </c>
      <c r="E943" s="23" t="s">
        <v>1700</v>
      </c>
      <c r="F943" s="23" t="s">
        <v>12</v>
      </c>
    </row>
    <row r="944" ht="18.5" customHeight="1" spans="1:6">
      <c r="A944" s="22">
        <v>943</v>
      </c>
      <c r="B944" s="22" t="s">
        <v>2680</v>
      </c>
      <c r="C944" s="22" t="s">
        <v>1060</v>
      </c>
      <c r="D944" s="22" t="s">
        <v>1061</v>
      </c>
      <c r="E944" s="22" t="s">
        <v>1700</v>
      </c>
      <c r="F944" s="22" t="s">
        <v>12</v>
      </c>
    </row>
    <row r="945" ht="18.5" customHeight="1" spans="1:6">
      <c r="A945" s="23">
        <v>944</v>
      </c>
      <c r="B945" s="23" t="s">
        <v>2681</v>
      </c>
      <c r="C945" s="23" t="s">
        <v>1060</v>
      </c>
      <c r="D945" s="23" t="s">
        <v>1061</v>
      </c>
      <c r="E945" s="23" t="s">
        <v>1700</v>
      </c>
      <c r="F945" s="23" t="s">
        <v>12</v>
      </c>
    </row>
    <row r="946" ht="18.5" customHeight="1" spans="1:6">
      <c r="A946" s="22">
        <v>945</v>
      </c>
      <c r="B946" s="22" t="s">
        <v>2682</v>
      </c>
      <c r="C946" s="22" t="s">
        <v>1060</v>
      </c>
      <c r="D946" s="22" t="s">
        <v>1061</v>
      </c>
      <c r="E946" s="22" t="s">
        <v>1700</v>
      </c>
      <c r="F946" s="22" t="s">
        <v>12</v>
      </c>
    </row>
    <row r="947" ht="18.5" customHeight="1" spans="1:6">
      <c r="A947" s="23">
        <v>946</v>
      </c>
      <c r="B947" s="23" t="s">
        <v>2683</v>
      </c>
      <c r="C947" s="23" t="s">
        <v>1060</v>
      </c>
      <c r="D947" s="23" t="s">
        <v>1071</v>
      </c>
      <c r="E947" s="23" t="s">
        <v>1700</v>
      </c>
      <c r="F947" s="23" t="s">
        <v>12</v>
      </c>
    </row>
    <row r="948" ht="18.5" customHeight="1" spans="1:6">
      <c r="A948" s="22">
        <v>947</v>
      </c>
      <c r="B948" s="22" t="s">
        <v>2684</v>
      </c>
      <c r="C948" s="22" t="s">
        <v>1060</v>
      </c>
      <c r="D948" s="22" t="s">
        <v>1067</v>
      </c>
      <c r="E948" s="22" t="s">
        <v>1700</v>
      </c>
      <c r="F948" s="22" t="s">
        <v>12</v>
      </c>
    </row>
    <row r="949" ht="18.5" customHeight="1" spans="1:6">
      <c r="A949" s="23">
        <v>948</v>
      </c>
      <c r="B949" s="23" t="s">
        <v>2685</v>
      </c>
      <c r="C949" s="23" t="s">
        <v>1060</v>
      </c>
      <c r="D949" s="23" t="s">
        <v>1061</v>
      </c>
      <c r="E949" s="23" t="s">
        <v>1700</v>
      </c>
      <c r="F949" s="23" t="s">
        <v>12</v>
      </c>
    </row>
    <row r="950" ht="18.5" customHeight="1" spans="1:6">
      <c r="A950" s="22">
        <v>949</v>
      </c>
      <c r="B950" s="22" t="s">
        <v>2686</v>
      </c>
      <c r="C950" s="22" t="s">
        <v>1060</v>
      </c>
      <c r="D950" s="22" t="s">
        <v>1061</v>
      </c>
      <c r="E950" s="22" t="s">
        <v>1700</v>
      </c>
      <c r="F950" s="22" t="s">
        <v>12</v>
      </c>
    </row>
    <row r="951" ht="18.5" customHeight="1" spans="1:6">
      <c r="A951" s="23">
        <v>950</v>
      </c>
      <c r="B951" s="23" t="s">
        <v>2687</v>
      </c>
      <c r="C951" s="23" t="s">
        <v>1060</v>
      </c>
      <c r="D951" s="23" t="s">
        <v>1061</v>
      </c>
      <c r="E951" s="23" t="s">
        <v>1700</v>
      </c>
      <c r="F951" s="23" t="s">
        <v>12</v>
      </c>
    </row>
    <row r="952" ht="18.5" customHeight="1" spans="1:6">
      <c r="A952" s="22">
        <v>951</v>
      </c>
      <c r="B952" s="22" t="s">
        <v>2688</v>
      </c>
      <c r="C952" s="22" t="s">
        <v>1060</v>
      </c>
      <c r="D952" s="22" t="s">
        <v>1061</v>
      </c>
      <c r="E952" s="22" t="s">
        <v>1700</v>
      </c>
      <c r="F952" s="22" t="s">
        <v>12</v>
      </c>
    </row>
    <row r="953" ht="18.5" customHeight="1" spans="1:6">
      <c r="A953" s="23">
        <v>952</v>
      </c>
      <c r="B953" s="23" t="s">
        <v>2689</v>
      </c>
      <c r="C953" s="23" t="s">
        <v>1060</v>
      </c>
      <c r="D953" s="23" t="s">
        <v>1061</v>
      </c>
      <c r="E953" s="23" t="s">
        <v>1700</v>
      </c>
      <c r="F953" s="23" t="s">
        <v>12</v>
      </c>
    </row>
    <row r="954" ht="18.5" customHeight="1" spans="1:6">
      <c r="A954" s="22">
        <v>953</v>
      </c>
      <c r="B954" s="22" t="s">
        <v>2690</v>
      </c>
      <c r="C954" s="22" t="s">
        <v>1060</v>
      </c>
      <c r="D954" s="22" t="s">
        <v>1061</v>
      </c>
      <c r="E954" s="22" t="s">
        <v>1700</v>
      </c>
      <c r="F954" s="22" t="s">
        <v>12</v>
      </c>
    </row>
    <row r="955" ht="18.5" customHeight="1" spans="1:6">
      <c r="A955" s="23">
        <v>954</v>
      </c>
      <c r="B955" s="23" t="s">
        <v>2691</v>
      </c>
      <c r="C955" s="23" t="s">
        <v>1060</v>
      </c>
      <c r="D955" s="23" t="s">
        <v>1073</v>
      </c>
      <c r="E955" s="23" t="s">
        <v>1700</v>
      </c>
      <c r="F955" s="23" t="s">
        <v>12</v>
      </c>
    </row>
    <row r="956" ht="18.5" customHeight="1" spans="1:6">
      <c r="A956" s="22">
        <v>955</v>
      </c>
      <c r="B956" s="22" t="s">
        <v>2692</v>
      </c>
      <c r="C956" s="22" t="s">
        <v>1060</v>
      </c>
      <c r="D956" s="22" t="s">
        <v>1079</v>
      </c>
      <c r="E956" s="22" t="s">
        <v>1700</v>
      </c>
      <c r="F956" s="22" t="s">
        <v>12</v>
      </c>
    </row>
    <row r="957" ht="18.5" customHeight="1" spans="1:6">
      <c r="A957" s="23">
        <v>956</v>
      </c>
      <c r="B957" s="23" t="s">
        <v>2693</v>
      </c>
      <c r="C957" s="23" t="s">
        <v>1101</v>
      </c>
      <c r="D957" s="23" t="s">
        <v>1104</v>
      </c>
      <c r="E957" s="23" t="s">
        <v>1700</v>
      </c>
      <c r="F957" s="23" t="s">
        <v>12</v>
      </c>
    </row>
    <row r="958" ht="18.5" customHeight="1" spans="1:6">
      <c r="A958" s="22">
        <v>957</v>
      </c>
      <c r="B958" s="22" t="s">
        <v>2694</v>
      </c>
      <c r="C958" s="22" t="s">
        <v>1101</v>
      </c>
      <c r="D958" s="22" t="s">
        <v>1104</v>
      </c>
      <c r="E958" s="22" t="s">
        <v>1700</v>
      </c>
      <c r="F958" s="22" t="s">
        <v>12</v>
      </c>
    </row>
    <row r="959" ht="18.5" customHeight="1" spans="1:6">
      <c r="A959" s="23">
        <v>958</v>
      </c>
      <c r="B959" s="23" t="s">
        <v>2695</v>
      </c>
      <c r="C959" s="23" t="s">
        <v>1106</v>
      </c>
      <c r="D959" s="23" t="s">
        <v>1111</v>
      </c>
      <c r="E959" s="23" t="s">
        <v>1700</v>
      </c>
      <c r="F959" s="23" t="s">
        <v>12</v>
      </c>
    </row>
    <row r="960" ht="18.5" customHeight="1" spans="1:6">
      <c r="A960" s="22">
        <v>959</v>
      </c>
      <c r="B960" s="22" t="s">
        <v>2696</v>
      </c>
      <c r="C960" s="22" t="s">
        <v>1106</v>
      </c>
      <c r="D960" s="22" t="s">
        <v>1107</v>
      </c>
      <c r="E960" s="22" t="s">
        <v>1700</v>
      </c>
      <c r="F960" s="22" t="s">
        <v>12</v>
      </c>
    </row>
    <row r="961" ht="18.5" customHeight="1" spans="1:6">
      <c r="A961" s="23">
        <v>960</v>
      </c>
      <c r="B961" s="23" t="s">
        <v>2697</v>
      </c>
      <c r="C961" s="23" t="s">
        <v>1106</v>
      </c>
      <c r="D961" s="23" t="s">
        <v>1111</v>
      </c>
      <c r="E961" s="23" t="s">
        <v>1700</v>
      </c>
      <c r="F961" s="23" t="s">
        <v>12</v>
      </c>
    </row>
    <row r="962" ht="18.5" customHeight="1" spans="1:6">
      <c r="A962" s="22">
        <v>961</v>
      </c>
      <c r="B962" s="22" t="s">
        <v>2698</v>
      </c>
      <c r="C962" s="22" t="s">
        <v>1106</v>
      </c>
      <c r="D962" s="22" t="s">
        <v>1111</v>
      </c>
      <c r="E962" s="22" t="s">
        <v>1700</v>
      </c>
      <c r="F962" s="22" t="s">
        <v>12</v>
      </c>
    </row>
    <row r="963" ht="18.5" customHeight="1" spans="1:6">
      <c r="A963" s="23">
        <v>962</v>
      </c>
      <c r="B963" s="23" t="s">
        <v>2699</v>
      </c>
      <c r="C963" s="23" t="s">
        <v>1106</v>
      </c>
      <c r="D963" s="23" t="s">
        <v>1107</v>
      </c>
      <c r="E963" s="23" t="s">
        <v>1700</v>
      </c>
      <c r="F963" s="23" t="s">
        <v>12</v>
      </c>
    </row>
    <row r="964" ht="18.5" customHeight="1" spans="1:6">
      <c r="A964" s="22">
        <v>963</v>
      </c>
      <c r="B964" s="22" t="s">
        <v>2700</v>
      </c>
      <c r="C964" s="22" t="s">
        <v>1106</v>
      </c>
      <c r="D964" s="22" t="s">
        <v>1111</v>
      </c>
      <c r="E964" s="22" t="s">
        <v>1700</v>
      </c>
      <c r="F964" s="22" t="s">
        <v>12</v>
      </c>
    </row>
    <row r="965" ht="18.5" customHeight="1" spans="1:6">
      <c r="A965" s="23">
        <v>964</v>
      </c>
      <c r="B965" s="23" t="s">
        <v>2701</v>
      </c>
      <c r="C965" s="23" t="s">
        <v>1106</v>
      </c>
      <c r="D965" s="23" t="s">
        <v>1111</v>
      </c>
      <c r="E965" s="23" t="s">
        <v>1700</v>
      </c>
      <c r="F965" s="23" t="s">
        <v>12</v>
      </c>
    </row>
    <row r="966" ht="18.5" customHeight="1" spans="1:6">
      <c r="A966" s="22">
        <v>965</v>
      </c>
      <c r="B966" s="22" t="s">
        <v>2702</v>
      </c>
      <c r="C966" s="22" t="s">
        <v>1106</v>
      </c>
      <c r="D966" s="22" t="s">
        <v>1134</v>
      </c>
      <c r="E966" s="22" t="s">
        <v>1700</v>
      </c>
      <c r="F966" s="22" t="s">
        <v>12</v>
      </c>
    </row>
    <row r="967" ht="18.5" customHeight="1" spans="1:6">
      <c r="A967" s="23">
        <v>966</v>
      </c>
      <c r="B967" s="23" t="s">
        <v>2703</v>
      </c>
      <c r="C967" s="23" t="s">
        <v>1106</v>
      </c>
      <c r="D967" s="23" t="s">
        <v>1131</v>
      </c>
      <c r="E967" s="23" t="s">
        <v>1700</v>
      </c>
      <c r="F967" s="23" t="s">
        <v>12</v>
      </c>
    </row>
    <row r="968" ht="18.5" customHeight="1" spans="1:6">
      <c r="A968" s="22">
        <v>967</v>
      </c>
      <c r="B968" s="22" t="s">
        <v>2704</v>
      </c>
      <c r="C968" s="22" t="s">
        <v>1106</v>
      </c>
      <c r="D968" s="22" t="s">
        <v>1129</v>
      </c>
      <c r="E968" s="22" t="s">
        <v>1700</v>
      </c>
      <c r="F968" s="22" t="s">
        <v>12</v>
      </c>
    </row>
    <row r="969" ht="18.5" customHeight="1" spans="1:6">
      <c r="A969" s="23">
        <v>968</v>
      </c>
      <c r="B969" s="23" t="s">
        <v>2705</v>
      </c>
      <c r="C969" s="23" t="s">
        <v>1106</v>
      </c>
      <c r="D969" s="23" t="s">
        <v>1107</v>
      </c>
      <c r="E969" s="23" t="s">
        <v>1700</v>
      </c>
      <c r="F969" s="23" t="s">
        <v>12</v>
      </c>
    </row>
    <row r="970" ht="18.5" customHeight="1" spans="1:6">
      <c r="A970" s="22">
        <v>969</v>
      </c>
      <c r="B970" s="22" t="s">
        <v>2706</v>
      </c>
      <c r="C970" s="22" t="s">
        <v>1106</v>
      </c>
      <c r="D970" s="22" t="s">
        <v>1111</v>
      </c>
      <c r="E970" s="22" t="s">
        <v>1700</v>
      </c>
      <c r="F970" s="22" t="s">
        <v>12</v>
      </c>
    </row>
    <row r="971" ht="18.5" customHeight="1" spans="1:6">
      <c r="A971" s="23">
        <v>970</v>
      </c>
      <c r="B971" s="23" t="s">
        <v>2707</v>
      </c>
      <c r="C971" s="23" t="s">
        <v>1106</v>
      </c>
      <c r="D971" s="23" t="s">
        <v>1111</v>
      </c>
      <c r="E971" s="23" t="s">
        <v>1700</v>
      </c>
      <c r="F971" s="23" t="s">
        <v>12</v>
      </c>
    </row>
    <row r="972" ht="18.5" customHeight="1" spans="1:6">
      <c r="A972" s="22">
        <v>971</v>
      </c>
      <c r="B972" s="22" t="s">
        <v>2708</v>
      </c>
      <c r="C972" s="22" t="s">
        <v>1106</v>
      </c>
      <c r="D972" s="22" t="s">
        <v>1107</v>
      </c>
      <c r="E972" s="22" t="s">
        <v>1700</v>
      </c>
      <c r="F972" s="22" t="s">
        <v>12</v>
      </c>
    </row>
    <row r="973" ht="18.5" customHeight="1" spans="1:6">
      <c r="A973" s="23">
        <v>972</v>
      </c>
      <c r="B973" s="23" t="s">
        <v>2709</v>
      </c>
      <c r="C973" s="23" t="s">
        <v>1106</v>
      </c>
      <c r="D973" s="23" t="s">
        <v>1111</v>
      </c>
      <c r="E973" s="23" t="s">
        <v>1700</v>
      </c>
      <c r="F973" s="23" t="s">
        <v>12</v>
      </c>
    </row>
    <row r="974" ht="18.5" customHeight="1" spans="1:6">
      <c r="A974" s="22">
        <v>973</v>
      </c>
      <c r="B974" s="22" t="s">
        <v>2710</v>
      </c>
      <c r="C974" s="22" t="s">
        <v>1106</v>
      </c>
      <c r="D974" s="22" t="s">
        <v>1144</v>
      </c>
      <c r="E974" s="22" t="s">
        <v>1700</v>
      </c>
      <c r="F974" s="22" t="s">
        <v>12</v>
      </c>
    </row>
    <row r="975" ht="18.5" customHeight="1" spans="1:6">
      <c r="A975" s="23">
        <v>974</v>
      </c>
      <c r="B975" s="23" t="s">
        <v>2711</v>
      </c>
      <c r="C975" s="23" t="s">
        <v>1106</v>
      </c>
      <c r="D975" s="23" t="s">
        <v>1129</v>
      </c>
      <c r="E975" s="23" t="s">
        <v>1700</v>
      </c>
      <c r="F975" s="23" t="s">
        <v>12</v>
      </c>
    </row>
    <row r="976" ht="18.5" customHeight="1" spans="1:6">
      <c r="A976" s="22">
        <v>975</v>
      </c>
      <c r="B976" s="22" t="s">
        <v>2712</v>
      </c>
      <c r="C976" s="22" t="s">
        <v>1106</v>
      </c>
      <c r="D976" s="22" t="s">
        <v>1127</v>
      </c>
      <c r="E976" s="22" t="s">
        <v>1700</v>
      </c>
      <c r="F976" s="22" t="s">
        <v>12</v>
      </c>
    </row>
    <row r="977" ht="18.5" customHeight="1" spans="1:6">
      <c r="A977" s="23">
        <v>976</v>
      </c>
      <c r="B977" s="23" t="s">
        <v>2713</v>
      </c>
      <c r="C977" s="23" t="s">
        <v>1106</v>
      </c>
      <c r="D977" s="23" t="s">
        <v>1134</v>
      </c>
      <c r="E977" s="23" t="s">
        <v>1700</v>
      </c>
      <c r="F977" s="23" t="s">
        <v>12</v>
      </c>
    </row>
    <row r="978" ht="18.5" customHeight="1" spans="1:6">
      <c r="A978" s="22">
        <v>977</v>
      </c>
      <c r="B978" s="22" t="s">
        <v>2714</v>
      </c>
      <c r="C978" s="22" t="s">
        <v>1106</v>
      </c>
      <c r="D978" s="22" t="s">
        <v>1146</v>
      </c>
      <c r="E978" s="22" t="s">
        <v>1700</v>
      </c>
      <c r="F978" s="22" t="s">
        <v>12</v>
      </c>
    </row>
    <row r="979" ht="18.5" customHeight="1" spans="1:6">
      <c r="A979" s="23">
        <v>978</v>
      </c>
      <c r="B979" s="23" t="s">
        <v>2715</v>
      </c>
      <c r="C979" s="23" t="s">
        <v>1106</v>
      </c>
      <c r="D979" s="23" t="s">
        <v>2716</v>
      </c>
      <c r="E979" s="23" t="s">
        <v>1700</v>
      </c>
      <c r="F979" s="23" t="s">
        <v>12</v>
      </c>
    </row>
    <row r="980" ht="18.5" customHeight="1" spans="1:6">
      <c r="A980" s="22">
        <v>979</v>
      </c>
      <c r="B980" s="22" t="s">
        <v>2717</v>
      </c>
      <c r="C980" s="22" t="s">
        <v>1106</v>
      </c>
      <c r="D980" s="22" t="s">
        <v>1111</v>
      </c>
      <c r="E980" s="22" t="s">
        <v>1700</v>
      </c>
      <c r="F980" s="22" t="s">
        <v>12</v>
      </c>
    </row>
    <row r="981" ht="18.5" customHeight="1" spans="1:6">
      <c r="A981" s="23">
        <v>980</v>
      </c>
      <c r="B981" s="23" t="s">
        <v>2718</v>
      </c>
      <c r="C981" s="23" t="s">
        <v>1106</v>
      </c>
      <c r="D981" s="23" t="s">
        <v>1111</v>
      </c>
      <c r="E981" s="23" t="s">
        <v>1700</v>
      </c>
      <c r="F981" s="23" t="s">
        <v>12</v>
      </c>
    </row>
    <row r="982" ht="18.5" customHeight="1" spans="1:6">
      <c r="A982" s="22">
        <v>981</v>
      </c>
      <c r="B982" s="22" t="s">
        <v>2719</v>
      </c>
      <c r="C982" s="22" t="s">
        <v>1106</v>
      </c>
      <c r="D982" s="22" t="s">
        <v>1142</v>
      </c>
      <c r="E982" s="22" t="s">
        <v>1700</v>
      </c>
      <c r="F982" s="22" t="s">
        <v>12</v>
      </c>
    </row>
    <row r="983" ht="18.5" customHeight="1" spans="1:6">
      <c r="A983" s="23">
        <v>982</v>
      </c>
      <c r="B983" s="23" t="s">
        <v>2720</v>
      </c>
      <c r="C983" s="23" t="s">
        <v>1106</v>
      </c>
      <c r="D983" s="23" t="s">
        <v>1111</v>
      </c>
      <c r="E983" s="23" t="s">
        <v>1700</v>
      </c>
      <c r="F983" s="23" t="s">
        <v>12</v>
      </c>
    </row>
    <row r="984" ht="18.5" customHeight="1" spans="1:6">
      <c r="A984" s="22">
        <v>983</v>
      </c>
      <c r="B984" s="22" t="s">
        <v>2721</v>
      </c>
      <c r="C984" s="22" t="s">
        <v>1106</v>
      </c>
      <c r="D984" s="22" t="s">
        <v>1142</v>
      </c>
      <c r="E984" s="22" t="s">
        <v>1700</v>
      </c>
      <c r="F984" s="22" t="s">
        <v>12</v>
      </c>
    </row>
    <row r="985" ht="18.5" customHeight="1" spans="1:6">
      <c r="A985" s="23">
        <v>984</v>
      </c>
      <c r="B985" s="23" t="s">
        <v>2722</v>
      </c>
      <c r="C985" s="23" t="s">
        <v>1106</v>
      </c>
      <c r="D985" s="23" t="s">
        <v>1131</v>
      </c>
      <c r="E985" s="23" t="s">
        <v>1700</v>
      </c>
      <c r="F985" s="23" t="s">
        <v>12</v>
      </c>
    </row>
    <row r="986" ht="18.5" customHeight="1" spans="1:6">
      <c r="A986" s="22">
        <v>985</v>
      </c>
      <c r="B986" s="22" t="s">
        <v>2723</v>
      </c>
      <c r="C986" s="22" t="s">
        <v>1156</v>
      </c>
      <c r="D986" s="22" t="s">
        <v>2724</v>
      </c>
      <c r="E986" s="22" t="s">
        <v>1700</v>
      </c>
      <c r="F986" s="22" t="s">
        <v>12</v>
      </c>
    </row>
    <row r="987" ht="18.5" customHeight="1" spans="1:6">
      <c r="A987" s="23">
        <v>986</v>
      </c>
      <c r="B987" s="23" t="s">
        <v>2725</v>
      </c>
      <c r="C987" s="23" t="s">
        <v>1156</v>
      </c>
      <c r="D987" s="23" t="s">
        <v>1157</v>
      </c>
      <c r="E987" s="23" t="s">
        <v>1700</v>
      </c>
      <c r="F987" s="23" t="s">
        <v>12</v>
      </c>
    </row>
    <row r="988" ht="18.5" customHeight="1" spans="1:6">
      <c r="A988" s="22">
        <v>987</v>
      </c>
      <c r="B988" s="22" t="s">
        <v>2726</v>
      </c>
      <c r="C988" s="22" t="s">
        <v>1156</v>
      </c>
      <c r="D988" s="22" t="s">
        <v>1157</v>
      </c>
      <c r="E988" s="22" t="s">
        <v>1700</v>
      </c>
      <c r="F988" s="22" t="s">
        <v>12</v>
      </c>
    </row>
    <row r="989" ht="18.5" customHeight="1" spans="1:6">
      <c r="A989" s="23">
        <v>988</v>
      </c>
      <c r="B989" s="23" t="s">
        <v>2727</v>
      </c>
      <c r="C989" s="23" t="s">
        <v>1156</v>
      </c>
      <c r="D989" s="23" t="s">
        <v>1157</v>
      </c>
      <c r="E989" s="23" t="s">
        <v>1700</v>
      </c>
      <c r="F989" s="23" t="s">
        <v>12</v>
      </c>
    </row>
    <row r="990" ht="18.5" customHeight="1" spans="1:6">
      <c r="A990" s="22">
        <v>989</v>
      </c>
      <c r="B990" s="22" t="s">
        <v>2728</v>
      </c>
      <c r="C990" s="22" t="s">
        <v>1156</v>
      </c>
      <c r="D990" s="22" t="s">
        <v>1157</v>
      </c>
      <c r="E990" s="22" t="s">
        <v>1700</v>
      </c>
      <c r="F990" s="22" t="s">
        <v>12</v>
      </c>
    </row>
    <row r="991" ht="18.5" customHeight="1" spans="1:6">
      <c r="A991" s="23">
        <v>990</v>
      </c>
      <c r="B991" s="23" t="s">
        <v>2729</v>
      </c>
      <c r="C991" s="23" t="s">
        <v>1156</v>
      </c>
      <c r="D991" s="23" t="s">
        <v>1189</v>
      </c>
      <c r="E991" s="23" t="s">
        <v>1700</v>
      </c>
      <c r="F991" s="23" t="s">
        <v>12</v>
      </c>
    </row>
    <row r="992" ht="18.5" customHeight="1" spans="1:6">
      <c r="A992" s="22">
        <v>991</v>
      </c>
      <c r="B992" s="22" t="s">
        <v>2730</v>
      </c>
      <c r="C992" s="22" t="s">
        <v>1156</v>
      </c>
      <c r="D992" s="22" t="s">
        <v>2731</v>
      </c>
      <c r="E992" s="22" t="s">
        <v>1700</v>
      </c>
      <c r="F992" s="22" t="s">
        <v>12</v>
      </c>
    </row>
    <row r="993" ht="18.5" customHeight="1" spans="1:6">
      <c r="A993" s="23">
        <v>992</v>
      </c>
      <c r="B993" s="23" t="s">
        <v>2732</v>
      </c>
      <c r="C993" s="23" t="s">
        <v>1156</v>
      </c>
      <c r="D993" s="23" t="s">
        <v>2733</v>
      </c>
      <c r="E993" s="23" t="s">
        <v>1700</v>
      </c>
      <c r="F993" s="23" t="s">
        <v>12</v>
      </c>
    </row>
    <row r="994" ht="18.5" customHeight="1" spans="1:6">
      <c r="A994" s="22">
        <v>993</v>
      </c>
      <c r="B994" s="22" t="s">
        <v>2734</v>
      </c>
      <c r="C994" s="22" t="s">
        <v>1156</v>
      </c>
      <c r="D994" s="22" t="s">
        <v>2735</v>
      </c>
      <c r="E994" s="22" t="s">
        <v>1700</v>
      </c>
      <c r="F994" s="22" t="s">
        <v>12</v>
      </c>
    </row>
    <row r="995" ht="18.5" customHeight="1" spans="1:6">
      <c r="A995" s="23">
        <v>994</v>
      </c>
      <c r="B995" s="23" t="s">
        <v>2736</v>
      </c>
      <c r="C995" s="23" t="s">
        <v>1156</v>
      </c>
      <c r="D995" s="23" t="s">
        <v>1157</v>
      </c>
      <c r="E995" s="23" t="s">
        <v>1700</v>
      </c>
      <c r="F995" s="23" t="s">
        <v>12</v>
      </c>
    </row>
    <row r="996" ht="18.5" customHeight="1" spans="1:6">
      <c r="A996" s="22">
        <v>995</v>
      </c>
      <c r="B996" s="22" t="s">
        <v>2737</v>
      </c>
      <c r="C996" s="22" t="s">
        <v>1156</v>
      </c>
      <c r="D996" s="22" t="s">
        <v>1165</v>
      </c>
      <c r="E996" s="22" t="s">
        <v>1700</v>
      </c>
      <c r="F996" s="22" t="s">
        <v>12</v>
      </c>
    </row>
    <row r="997" ht="18.5" customHeight="1" spans="1:6">
      <c r="A997" s="23">
        <v>996</v>
      </c>
      <c r="B997" s="23" t="s">
        <v>2738</v>
      </c>
      <c r="C997" s="23" t="s">
        <v>1156</v>
      </c>
      <c r="D997" s="23" t="s">
        <v>2739</v>
      </c>
      <c r="E997" s="23" t="s">
        <v>1700</v>
      </c>
      <c r="F997" s="23" t="s">
        <v>12</v>
      </c>
    </row>
    <row r="998" ht="18.5" customHeight="1" spans="1:6">
      <c r="A998" s="22">
        <v>997</v>
      </c>
      <c r="B998" s="22" t="s">
        <v>2740</v>
      </c>
      <c r="C998" s="22" t="s">
        <v>1156</v>
      </c>
      <c r="D998" s="22" t="s">
        <v>1157</v>
      </c>
      <c r="E998" s="22" t="s">
        <v>1700</v>
      </c>
      <c r="F998" s="22" t="s">
        <v>12</v>
      </c>
    </row>
    <row r="999" ht="18.5" customHeight="1" spans="1:6">
      <c r="A999" s="23">
        <v>998</v>
      </c>
      <c r="B999" s="23" t="s">
        <v>2741</v>
      </c>
      <c r="C999" s="23" t="s">
        <v>1156</v>
      </c>
      <c r="D999" s="23" t="s">
        <v>1177</v>
      </c>
      <c r="E999" s="23" t="s">
        <v>1700</v>
      </c>
      <c r="F999" s="23" t="s">
        <v>12</v>
      </c>
    </row>
    <row r="1000" ht="18.5" customHeight="1" spans="1:6">
      <c r="A1000" s="22">
        <v>999</v>
      </c>
      <c r="B1000" s="22" t="s">
        <v>2742</v>
      </c>
      <c r="C1000" s="22" t="s">
        <v>1156</v>
      </c>
      <c r="D1000" s="22" t="s">
        <v>1169</v>
      </c>
      <c r="E1000" s="22" t="s">
        <v>1700</v>
      </c>
      <c r="F1000" s="22" t="s">
        <v>12</v>
      </c>
    </row>
    <row r="1001" ht="18.5" customHeight="1" spans="1:6">
      <c r="A1001" s="23">
        <v>1000</v>
      </c>
      <c r="B1001" s="23" t="s">
        <v>2743</v>
      </c>
      <c r="C1001" s="23" t="s">
        <v>1156</v>
      </c>
      <c r="D1001" s="23" t="s">
        <v>1157</v>
      </c>
      <c r="E1001" s="23" t="s">
        <v>1700</v>
      </c>
      <c r="F1001" s="23" t="s">
        <v>12</v>
      </c>
    </row>
    <row r="1002" ht="18.5" customHeight="1" spans="1:6">
      <c r="A1002" s="22">
        <v>1001</v>
      </c>
      <c r="B1002" s="22" t="s">
        <v>2744</v>
      </c>
      <c r="C1002" s="22" t="s">
        <v>1156</v>
      </c>
      <c r="D1002" s="22" t="s">
        <v>1157</v>
      </c>
      <c r="E1002" s="22" t="s">
        <v>1700</v>
      </c>
      <c r="F1002" s="22" t="s">
        <v>12</v>
      </c>
    </row>
    <row r="1003" ht="18.5" customHeight="1" spans="1:6">
      <c r="A1003" s="23">
        <v>1002</v>
      </c>
      <c r="B1003" s="23" t="s">
        <v>2745</v>
      </c>
      <c r="C1003" s="23" t="s">
        <v>1191</v>
      </c>
      <c r="D1003" s="23" t="s">
        <v>1192</v>
      </c>
      <c r="E1003" s="23" t="s">
        <v>1700</v>
      </c>
      <c r="F1003" s="23" t="s">
        <v>12</v>
      </c>
    </row>
    <row r="1004" ht="18.5" customHeight="1" spans="1:6">
      <c r="A1004" s="22">
        <v>1003</v>
      </c>
      <c r="B1004" s="22" t="s">
        <v>2746</v>
      </c>
      <c r="C1004" s="22" t="s">
        <v>1191</v>
      </c>
      <c r="D1004" s="22" t="s">
        <v>1192</v>
      </c>
      <c r="E1004" s="22" t="s">
        <v>1700</v>
      </c>
      <c r="F1004" s="22" t="s">
        <v>12</v>
      </c>
    </row>
    <row r="1005" ht="18.5" customHeight="1" spans="1:6">
      <c r="A1005" s="23">
        <v>1004</v>
      </c>
      <c r="B1005" s="23" t="s">
        <v>2747</v>
      </c>
      <c r="C1005" s="23" t="s">
        <v>1191</v>
      </c>
      <c r="D1005" s="23" t="s">
        <v>1192</v>
      </c>
      <c r="E1005" s="23" t="s">
        <v>1700</v>
      </c>
      <c r="F1005" s="23" t="s">
        <v>12</v>
      </c>
    </row>
    <row r="1006" ht="18.5" customHeight="1" spans="1:6">
      <c r="A1006" s="22">
        <v>1005</v>
      </c>
      <c r="B1006" s="22" t="s">
        <v>2748</v>
      </c>
      <c r="C1006" s="22" t="s">
        <v>1191</v>
      </c>
      <c r="D1006" s="22" t="s">
        <v>1192</v>
      </c>
      <c r="E1006" s="22" t="s">
        <v>1700</v>
      </c>
      <c r="F1006" s="22" t="s">
        <v>12</v>
      </c>
    </row>
    <row r="1007" ht="18.5" customHeight="1" spans="1:6">
      <c r="A1007" s="23">
        <v>1006</v>
      </c>
      <c r="B1007" s="23" t="s">
        <v>2749</v>
      </c>
      <c r="C1007" s="23" t="s">
        <v>1191</v>
      </c>
      <c r="D1007" s="23" t="s">
        <v>1192</v>
      </c>
      <c r="E1007" s="23" t="s">
        <v>1700</v>
      </c>
      <c r="F1007" s="23" t="s">
        <v>12</v>
      </c>
    </row>
    <row r="1008" ht="18.5" customHeight="1" spans="1:6">
      <c r="A1008" s="22">
        <v>1007</v>
      </c>
      <c r="B1008" s="22" t="s">
        <v>2750</v>
      </c>
      <c r="C1008" s="22" t="s">
        <v>1191</v>
      </c>
      <c r="D1008" s="22" t="s">
        <v>2751</v>
      </c>
      <c r="E1008" s="22" t="s">
        <v>1700</v>
      </c>
      <c r="F1008" s="22" t="s">
        <v>12</v>
      </c>
    </row>
    <row r="1009" ht="18.5" customHeight="1" spans="1:6">
      <c r="A1009" s="23">
        <v>1008</v>
      </c>
      <c r="B1009" s="23" t="s">
        <v>2752</v>
      </c>
      <c r="C1009" s="23" t="s">
        <v>1191</v>
      </c>
      <c r="D1009" s="23" t="s">
        <v>2753</v>
      </c>
      <c r="E1009" s="23" t="s">
        <v>1700</v>
      </c>
      <c r="F1009" s="23" t="s">
        <v>12</v>
      </c>
    </row>
    <row r="1010" ht="18.5" customHeight="1" spans="1:6">
      <c r="A1010" s="22">
        <v>1009</v>
      </c>
      <c r="B1010" s="22" t="s">
        <v>2754</v>
      </c>
      <c r="C1010" s="22" t="s">
        <v>1197</v>
      </c>
      <c r="D1010" s="22" t="s">
        <v>2755</v>
      </c>
      <c r="E1010" s="22" t="s">
        <v>1700</v>
      </c>
      <c r="F1010" s="22" t="s">
        <v>12</v>
      </c>
    </row>
    <row r="1011" ht="18.5" customHeight="1" spans="1:6">
      <c r="A1011" s="23">
        <v>1010</v>
      </c>
      <c r="B1011" s="23" t="s">
        <v>2756</v>
      </c>
      <c r="C1011" s="23" t="s">
        <v>1197</v>
      </c>
      <c r="D1011" s="23" t="s">
        <v>1198</v>
      </c>
      <c r="E1011" s="23" t="s">
        <v>1700</v>
      </c>
      <c r="F1011" s="23" t="s">
        <v>12</v>
      </c>
    </row>
    <row r="1012" ht="18.5" customHeight="1" spans="1:6">
      <c r="A1012" s="22">
        <v>1011</v>
      </c>
      <c r="B1012" s="22" t="s">
        <v>2757</v>
      </c>
      <c r="C1012" s="22" t="s">
        <v>1197</v>
      </c>
      <c r="D1012" s="22" t="s">
        <v>1198</v>
      </c>
      <c r="E1012" s="22" t="s">
        <v>1700</v>
      </c>
      <c r="F1012" s="22" t="s">
        <v>12</v>
      </c>
    </row>
    <row r="1013" ht="18.5" customHeight="1" spans="1:6">
      <c r="A1013" s="23">
        <v>1012</v>
      </c>
      <c r="B1013" s="23" t="s">
        <v>2758</v>
      </c>
      <c r="C1013" s="23" t="s">
        <v>1197</v>
      </c>
      <c r="D1013" s="23" t="s">
        <v>1198</v>
      </c>
      <c r="E1013" s="23" t="s">
        <v>1700</v>
      </c>
      <c r="F1013" s="23" t="s">
        <v>12</v>
      </c>
    </row>
    <row r="1014" ht="18.5" customHeight="1" spans="1:6">
      <c r="A1014" s="22">
        <v>1013</v>
      </c>
      <c r="B1014" s="22" t="s">
        <v>2759</v>
      </c>
      <c r="C1014" s="22" t="s">
        <v>1197</v>
      </c>
      <c r="D1014" s="22" t="s">
        <v>1198</v>
      </c>
      <c r="E1014" s="22" t="s">
        <v>1700</v>
      </c>
      <c r="F1014" s="22" t="s">
        <v>12</v>
      </c>
    </row>
    <row r="1015" ht="18.5" customHeight="1" spans="1:6">
      <c r="A1015" s="23">
        <v>1014</v>
      </c>
      <c r="B1015" s="23" t="s">
        <v>2760</v>
      </c>
      <c r="C1015" s="23" t="s">
        <v>1197</v>
      </c>
      <c r="D1015" s="23" t="s">
        <v>1198</v>
      </c>
      <c r="E1015" s="23" t="s">
        <v>1700</v>
      </c>
      <c r="F1015" s="23" t="s">
        <v>12</v>
      </c>
    </row>
    <row r="1016" ht="18.5" customHeight="1" spans="1:6">
      <c r="A1016" s="22">
        <v>1015</v>
      </c>
      <c r="B1016" s="22" t="s">
        <v>2761</v>
      </c>
      <c r="C1016" s="22" t="s">
        <v>1197</v>
      </c>
      <c r="D1016" s="22" t="s">
        <v>1198</v>
      </c>
      <c r="E1016" s="22" t="s">
        <v>1700</v>
      </c>
      <c r="F1016" s="22" t="s">
        <v>12</v>
      </c>
    </row>
    <row r="1017" ht="18.5" customHeight="1" spans="1:6">
      <c r="A1017" s="23">
        <v>1016</v>
      </c>
      <c r="B1017" s="23" t="s">
        <v>2762</v>
      </c>
      <c r="C1017" s="23" t="s">
        <v>1197</v>
      </c>
      <c r="D1017" s="23" t="s">
        <v>1198</v>
      </c>
      <c r="E1017" s="23" t="s">
        <v>1700</v>
      </c>
      <c r="F1017" s="23" t="s">
        <v>12</v>
      </c>
    </row>
    <row r="1018" ht="18.5" customHeight="1" spans="1:6">
      <c r="A1018" s="22">
        <v>1017</v>
      </c>
      <c r="B1018" s="22" t="s">
        <v>2763</v>
      </c>
      <c r="C1018" s="22" t="s">
        <v>1197</v>
      </c>
      <c r="D1018" s="22" t="s">
        <v>1198</v>
      </c>
      <c r="E1018" s="22" t="s">
        <v>1700</v>
      </c>
      <c r="F1018" s="22" t="s">
        <v>12</v>
      </c>
    </row>
    <row r="1019" ht="18.5" customHeight="1" spans="1:6">
      <c r="A1019" s="23">
        <v>1018</v>
      </c>
      <c r="B1019" s="23" t="s">
        <v>2764</v>
      </c>
      <c r="C1019" s="23" t="s">
        <v>1197</v>
      </c>
      <c r="D1019" s="23" t="s">
        <v>1669</v>
      </c>
      <c r="E1019" s="23" t="s">
        <v>1700</v>
      </c>
      <c r="F1019" s="23" t="s">
        <v>12</v>
      </c>
    </row>
    <row r="1020" ht="18.5" customHeight="1" spans="1:6">
      <c r="A1020" s="22">
        <v>1019</v>
      </c>
      <c r="B1020" s="22" t="s">
        <v>2765</v>
      </c>
      <c r="C1020" s="22" t="s">
        <v>1206</v>
      </c>
      <c r="D1020" s="22" t="s">
        <v>1207</v>
      </c>
      <c r="E1020" s="22" t="s">
        <v>1700</v>
      </c>
      <c r="F1020" s="22" t="s">
        <v>12</v>
      </c>
    </row>
    <row r="1021" ht="18.5" customHeight="1" spans="1:6">
      <c r="A1021" s="23">
        <v>1020</v>
      </c>
      <c r="B1021" s="23" t="s">
        <v>2766</v>
      </c>
      <c r="C1021" s="23" t="s">
        <v>1206</v>
      </c>
      <c r="D1021" s="23" t="s">
        <v>1228</v>
      </c>
      <c r="E1021" s="23" t="s">
        <v>1700</v>
      </c>
      <c r="F1021" s="23" t="s">
        <v>12</v>
      </c>
    </row>
    <row r="1022" ht="18.5" customHeight="1" spans="1:6">
      <c r="A1022" s="22">
        <v>1021</v>
      </c>
      <c r="B1022" s="22" t="s">
        <v>2767</v>
      </c>
      <c r="C1022" s="22" t="s">
        <v>1206</v>
      </c>
      <c r="D1022" s="22" t="s">
        <v>1207</v>
      </c>
      <c r="E1022" s="22" t="s">
        <v>1700</v>
      </c>
      <c r="F1022" s="22" t="s">
        <v>12</v>
      </c>
    </row>
    <row r="1023" ht="18.5" customHeight="1" spans="1:6">
      <c r="A1023" s="23">
        <v>1022</v>
      </c>
      <c r="B1023" s="23" t="s">
        <v>2768</v>
      </c>
      <c r="C1023" s="23" t="s">
        <v>1206</v>
      </c>
      <c r="D1023" s="23" t="s">
        <v>1207</v>
      </c>
      <c r="E1023" s="23" t="s">
        <v>1700</v>
      </c>
      <c r="F1023" s="23" t="s">
        <v>12</v>
      </c>
    </row>
    <row r="1024" ht="18.5" customHeight="1" spans="1:6">
      <c r="A1024" s="22">
        <v>1023</v>
      </c>
      <c r="B1024" s="22" t="s">
        <v>2769</v>
      </c>
      <c r="C1024" s="22" t="s">
        <v>1206</v>
      </c>
      <c r="D1024" s="22" t="s">
        <v>1223</v>
      </c>
      <c r="E1024" s="22" t="s">
        <v>1700</v>
      </c>
      <c r="F1024" s="22" t="s">
        <v>12</v>
      </c>
    </row>
    <row r="1025" ht="18.5" customHeight="1" spans="1:6">
      <c r="A1025" s="23">
        <v>1024</v>
      </c>
      <c r="B1025" s="23" t="s">
        <v>2770</v>
      </c>
      <c r="C1025" s="23" t="s">
        <v>1206</v>
      </c>
      <c r="D1025" s="23" t="s">
        <v>1218</v>
      </c>
      <c r="E1025" s="23" t="s">
        <v>1700</v>
      </c>
      <c r="F1025" s="23" t="s">
        <v>12</v>
      </c>
    </row>
    <row r="1026" ht="18.5" customHeight="1" spans="1:6">
      <c r="A1026" s="22">
        <v>1025</v>
      </c>
      <c r="B1026" s="22" t="s">
        <v>2771</v>
      </c>
      <c r="C1026" s="22" t="s">
        <v>1206</v>
      </c>
      <c r="D1026" s="22" t="s">
        <v>1226</v>
      </c>
      <c r="E1026" s="22" t="s">
        <v>1700</v>
      </c>
      <c r="F1026" s="22" t="s">
        <v>12</v>
      </c>
    </row>
    <row r="1027" ht="18.5" customHeight="1" spans="1:6">
      <c r="A1027" s="23">
        <v>1026</v>
      </c>
      <c r="B1027" s="23" t="s">
        <v>2772</v>
      </c>
      <c r="C1027" s="23" t="s">
        <v>1206</v>
      </c>
      <c r="D1027" s="23" t="s">
        <v>1230</v>
      </c>
      <c r="E1027" s="23" t="s">
        <v>1700</v>
      </c>
      <c r="F1027" s="23" t="s">
        <v>12</v>
      </c>
    </row>
    <row r="1028" ht="18.5" customHeight="1" spans="1:6">
      <c r="A1028" s="22">
        <v>1027</v>
      </c>
      <c r="B1028" s="22" t="s">
        <v>2773</v>
      </c>
      <c r="C1028" s="22" t="s">
        <v>1206</v>
      </c>
      <c r="D1028" s="22" t="s">
        <v>1207</v>
      </c>
      <c r="E1028" s="22" t="s">
        <v>1700</v>
      </c>
      <c r="F1028" s="22" t="s">
        <v>12</v>
      </c>
    </row>
    <row r="1029" ht="18.5" customHeight="1" spans="1:6">
      <c r="A1029" s="23">
        <v>1028</v>
      </c>
      <c r="B1029" s="23" t="s">
        <v>2774</v>
      </c>
      <c r="C1029" s="23" t="s">
        <v>1206</v>
      </c>
      <c r="D1029" s="23" t="s">
        <v>1212</v>
      </c>
      <c r="E1029" s="23" t="s">
        <v>1700</v>
      </c>
      <c r="F1029" s="23" t="s">
        <v>12</v>
      </c>
    </row>
    <row r="1030" ht="18.5" customHeight="1" spans="1:6">
      <c r="A1030" s="22">
        <v>1029</v>
      </c>
      <c r="B1030" s="22" t="s">
        <v>2775</v>
      </c>
      <c r="C1030" s="22" t="s">
        <v>1206</v>
      </c>
      <c r="D1030" s="22" t="s">
        <v>1207</v>
      </c>
      <c r="E1030" s="22" t="s">
        <v>1700</v>
      </c>
      <c r="F1030" s="22" t="s">
        <v>12</v>
      </c>
    </row>
    <row r="1031" ht="18.5" customHeight="1" spans="1:6">
      <c r="A1031" s="23">
        <v>1030</v>
      </c>
      <c r="B1031" s="23" t="s">
        <v>2776</v>
      </c>
      <c r="C1031" s="23" t="s">
        <v>1206</v>
      </c>
      <c r="D1031" s="23" t="s">
        <v>1207</v>
      </c>
      <c r="E1031" s="23" t="s">
        <v>1700</v>
      </c>
      <c r="F1031" s="23" t="s">
        <v>12</v>
      </c>
    </row>
    <row r="1032" ht="18.5" customHeight="1" spans="1:6">
      <c r="A1032" s="22">
        <v>1031</v>
      </c>
      <c r="B1032" s="22" t="s">
        <v>2777</v>
      </c>
      <c r="C1032" s="22" t="s">
        <v>1206</v>
      </c>
      <c r="D1032" s="22" t="s">
        <v>1218</v>
      </c>
      <c r="E1032" s="22" t="s">
        <v>1700</v>
      </c>
      <c r="F1032" s="22" t="s">
        <v>12</v>
      </c>
    </row>
    <row r="1033" ht="18.5" customHeight="1" spans="1:6">
      <c r="A1033" s="23">
        <v>1032</v>
      </c>
      <c r="B1033" s="23" t="s">
        <v>2778</v>
      </c>
      <c r="C1033" s="23" t="s">
        <v>1206</v>
      </c>
      <c r="D1033" s="23" t="s">
        <v>1207</v>
      </c>
      <c r="E1033" s="23" t="s">
        <v>1700</v>
      </c>
      <c r="F1033" s="23" t="s">
        <v>12</v>
      </c>
    </row>
    <row r="1034" ht="18.5" customHeight="1" spans="1:6">
      <c r="A1034" s="22">
        <v>1033</v>
      </c>
      <c r="B1034" s="22" t="s">
        <v>2779</v>
      </c>
      <c r="C1034" s="22" t="s">
        <v>1206</v>
      </c>
      <c r="D1034" s="22" t="s">
        <v>1207</v>
      </c>
      <c r="E1034" s="22" t="s">
        <v>1700</v>
      </c>
      <c r="F1034" s="22" t="s">
        <v>12</v>
      </c>
    </row>
    <row r="1035" ht="18.5" customHeight="1" spans="1:6">
      <c r="A1035" s="23">
        <v>1034</v>
      </c>
      <c r="B1035" s="23" t="s">
        <v>2780</v>
      </c>
      <c r="C1035" s="23" t="s">
        <v>1206</v>
      </c>
      <c r="D1035" s="23" t="s">
        <v>1207</v>
      </c>
      <c r="E1035" s="23" t="s">
        <v>1700</v>
      </c>
      <c r="F1035" s="23" t="s">
        <v>12</v>
      </c>
    </row>
    <row r="1036" ht="18.5" customHeight="1" spans="1:6">
      <c r="A1036" s="22">
        <v>1035</v>
      </c>
      <c r="B1036" s="22" t="s">
        <v>2781</v>
      </c>
      <c r="C1036" s="22" t="s">
        <v>1206</v>
      </c>
      <c r="D1036" s="22" t="s">
        <v>2782</v>
      </c>
      <c r="E1036" s="22" t="s">
        <v>1700</v>
      </c>
      <c r="F1036" s="22" t="s">
        <v>12</v>
      </c>
    </row>
    <row r="1037" ht="18.5" customHeight="1" spans="1:6">
      <c r="A1037" s="23">
        <v>1036</v>
      </c>
      <c r="B1037" s="23" t="s">
        <v>2783</v>
      </c>
      <c r="C1037" s="23" t="s">
        <v>1206</v>
      </c>
      <c r="D1037" s="23" t="s">
        <v>2784</v>
      </c>
      <c r="E1037" s="23" t="s">
        <v>1700</v>
      </c>
      <c r="F1037" s="23" t="s">
        <v>12</v>
      </c>
    </row>
    <row r="1038" ht="18.5" customHeight="1" spans="1:6">
      <c r="A1038" s="22">
        <v>1037</v>
      </c>
      <c r="B1038" s="22" t="s">
        <v>2785</v>
      </c>
      <c r="C1038" s="22" t="s">
        <v>1206</v>
      </c>
      <c r="D1038" s="22" t="s">
        <v>2786</v>
      </c>
      <c r="E1038" s="22" t="s">
        <v>1700</v>
      </c>
      <c r="F1038" s="22" t="s">
        <v>12</v>
      </c>
    </row>
    <row r="1039" ht="18.5" customHeight="1" spans="1:6">
      <c r="A1039" s="23">
        <v>1038</v>
      </c>
      <c r="B1039" s="23" t="s">
        <v>2787</v>
      </c>
      <c r="C1039" s="23" t="s">
        <v>1206</v>
      </c>
      <c r="D1039" s="23" t="s">
        <v>1234</v>
      </c>
      <c r="E1039" s="23" t="s">
        <v>1700</v>
      </c>
      <c r="F1039" s="23" t="s">
        <v>12</v>
      </c>
    </row>
    <row r="1040" ht="18.5" customHeight="1" spans="1:6">
      <c r="A1040" s="22">
        <v>1039</v>
      </c>
      <c r="B1040" s="22" t="s">
        <v>2788</v>
      </c>
      <c r="C1040" s="22" t="s">
        <v>1206</v>
      </c>
      <c r="D1040" s="22" t="s">
        <v>1212</v>
      </c>
      <c r="E1040" s="22" t="s">
        <v>1700</v>
      </c>
      <c r="F1040" s="22" t="s">
        <v>12</v>
      </c>
    </row>
    <row r="1041" ht="18.5" customHeight="1" spans="1:6">
      <c r="A1041" s="23">
        <v>1040</v>
      </c>
      <c r="B1041" s="23" t="s">
        <v>2789</v>
      </c>
      <c r="C1041" s="23" t="s">
        <v>1206</v>
      </c>
      <c r="D1041" s="23" t="s">
        <v>1216</v>
      </c>
      <c r="E1041" s="23" t="s">
        <v>1700</v>
      </c>
      <c r="F1041" s="23" t="s">
        <v>12</v>
      </c>
    </row>
    <row r="1042" ht="18.5" customHeight="1" spans="1:6">
      <c r="A1042" s="22">
        <v>1041</v>
      </c>
      <c r="B1042" s="22" t="s">
        <v>2790</v>
      </c>
      <c r="C1042" s="22" t="s">
        <v>1206</v>
      </c>
      <c r="D1042" s="22" t="s">
        <v>2791</v>
      </c>
      <c r="E1042" s="22" t="s">
        <v>1700</v>
      </c>
      <c r="F1042" s="22" t="s">
        <v>12</v>
      </c>
    </row>
    <row r="1043" ht="18.5" customHeight="1" spans="1:6">
      <c r="A1043" s="23">
        <v>1042</v>
      </c>
      <c r="B1043" s="23" t="s">
        <v>2792</v>
      </c>
      <c r="C1043" s="23" t="s">
        <v>1206</v>
      </c>
      <c r="D1043" s="23" t="s">
        <v>2793</v>
      </c>
      <c r="E1043" s="23" t="s">
        <v>1700</v>
      </c>
      <c r="F1043" s="23" t="s">
        <v>12</v>
      </c>
    </row>
    <row r="1044" ht="18.5" customHeight="1" spans="1:6">
      <c r="A1044" s="22">
        <v>1043</v>
      </c>
      <c r="B1044" s="22" t="s">
        <v>2794</v>
      </c>
      <c r="C1044" s="22" t="s">
        <v>1206</v>
      </c>
      <c r="D1044" s="22" t="s">
        <v>2795</v>
      </c>
      <c r="E1044" s="22" t="s">
        <v>1700</v>
      </c>
      <c r="F1044" s="22" t="s">
        <v>12</v>
      </c>
    </row>
    <row r="1045" ht="18.5" customHeight="1" spans="1:6">
      <c r="A1045" s="23">
        <v>1044</v>
      </c>
      <c r="B1045" s="23" t="s">
        <v>2796</v>
      </c>
      <c r="C1045" s="23" t="s">
        <v>1206</v>
      </c>
      <c r="D1045" s="23" t="s">
        <v>1209</v>
      </c>
      <c r="E1045" s="23" t="s">
        <v>1700</v>
      </c>
      <c r="F1045" s="23" t="s">
        <v>12</v>
      </c>
    </row>
    <row r="1046" ht="18.5" customHeight="1" spans="1:6">
      <c r="A1046" s="22">
        <v>1045</v>
      </c>
      <c r="B1046" s="22" t="s">
        <v>2797</v>
      </c>
      <c r="C1046" s="22" t="s">
        <v>1206</v>
      </c>
      <c r="D1046" s="22" t="s">
        <v>1207</v>
      </c>
      <c r="E1046" s="22" t="s">
        <v>1700</v>
      </c>
      <c r="F1046" s="22" t="s">
        <v>12</v>
      </c>
    </row>
    <row r="1047" ht="18.5" customHeight="1" spans="1:6">
      <c r="A1047" s="23">
        <v>1046</v>
      </c>
      <c r="B1047" s="23" t="s">
        <v>2798</v>
      </c>
      <c r="C1047" s="23" t="s">
        <v>1206</v>
      </c>
      <c r="D1047" s="23" t="s">
        <v>2799</v>
      </c>
      <c r="E1047" s="23" t="s">
        <v>1700</v>
      </c>
      <c r="F1047" s="23" t="s">
        <v>12</v>
      </c>
    </row>
    <row r="1048" ht="18.5" customHeight="1" spans="1:6">
      <c r="A1048" s="22">
        <v>1047</v>
      </c>
      <c r="B1048" s="22" t="s">
        <v>2800</v>
      </c>
      <c r="C1048" s="22" t="s">
        <v>951</v>
      </c>
      <c r="D1048" s="22" t="s">
        <v>951</v>
      </c>
      <c r="E1048" s="22" t="s">
        <v>1700</v>
      </c>
      <c r="F1048" s="22" t="s">
        <v>12</v>
      </c>
    </row>
    <row r="1049" ht="18.5" customHeight="1" spans="1:6">
      <c r="A1049" s="23">
        <v>1048</v>
      </c>
      <c r="B1049" s="23" t="s">
        <v>2801</v>
      </c>
      <c r="C1049" s="23" t="s">
        <v>98</v>
      </c>
      <c r="D1049" s="23" t="s">
        <v>103</v>
      </c>
      <c r="E1049" s="23" t="s">
        <v>1700</v>
      </c>
      <c r="F1049" s="23" t="s">
        <v>12</v>
      </c>
    </row>
    <row r="1050" ht="18.5" customHeight="1" spans="1:6">
      <c r="A1050" s="22">
        <v>1049</v>
      </c>
      <c r="B1050" s="22" t="s">
        <v>2802</v>
      </c>
      <c r="C1050" s="22" t="s">
        <v>379</v>
      </c>
      <c r="D1050" s="22" t="s">
        <v>392</v>
      </c>
      <c r="E1050" s="22" t="s">
        <v>1700</v>
      </c>
      <c r="F1050" s="22" t="s">
        <v>12</v>
      </c>
    </row>
    <row r="1051" ht="18.5" customHeight="1" spans="1:6">
      <c r="A1051" s="23">
        <v>1050</v>
      </c>
      <c r="B1051" s="23" t="s">
        <v>2803</v>
      </c>
      <c r="C1051" s="23" t="s">
        <v>797</v>
      </c>
      <c r="D1051" s="23" t="s">
        <v>831</v>
      </c>
      <c r="E1051" s="23" t="s">
        <v>1700</v>
      </c>
      <c r="F1051" s="23" t="s">
        <v>12</v>
      </c>
    </row>
    <row r="1052" ht="18.5" customHeight="1" spans="1:6">
      <c r="A1052" s="22">
        <v>1051</v>
      </c>
      <c r="B1052" s="22" t="s">
        <v>2804</v>
      </c>
      <c r="C1052" s="22" t="s">
        <v>797</v>
      </c>
      <c r="D1052" s="22" t="s">
        <v>825</v>
      </c>
      <c r="E1052" s="22" t="s">
        <v>1700</v>
      </c>
      <c r="F1052" s="22" t="s">
        <v>12</v>
      </c>
    </row>
    <row r="1053" ht="18.5" customHeight="1" spans="1:6">
      <c r="A1053" s="23">
        <v>1052</v>
      </c>
      <c r="B1053" s="23" t="s">
        <v>2805</v>
      </c>
      <c r="C1053" s="23" t="s">
        <v>151</v>
      </c>
      <c r="D1053" s="23" t="s">
        <v>174</v>
      </c>
      <c r="E1053" s="23" t="s">
        <v>1700</v>
      </c>
      <c r="F1053" s="23" t="s">
        <v>12</v>
      </c>
    </row>
    <row r="1054" ht="18.5" customHeight="1" spans="1:6">
      <c r="A1054" s="22">
        <v>1053</v>
      </c>
      <c r="B1054" s="22" t="s">
        <v>2806</v>
      </c>
      <c r="C1054" s="22" t="s">
        <v>692</v>
      </c>
      <c r="D1054" s="22" t="s">
        <v>720</v>
      </c>
      <c r="E1054" s="22" t="s">
        <v>1700</v>
      </c>
      <c r="F1054" s="22" t="s">
        <v>12</v>
      </c>
    </row>
    <row r="1055" ht="18.5" customHeight="1" spans="1:6">
      <c r="A1055" s="23">
        <v>1054</v>
      </c>
      <c r="B1055" s="23" t="s">
        <v>2807</v>
      </c>
      <c r="C1055" s="23" t="s">
        <v>692</v>
      </c>
      <c r="D1055" s="23" t="s">
        <v>2262</v>
      </c>
      <c r="E1055" s="23" t="s">
        <v>1700</v>
      </c>
      <c r="F1055" s="23" t="s">
        <v>12</v>
      </c>
    </row>
    <row r="1056" ht="18.5" customHeight="1" spans="1:6">
      <c r="A1056" s="22">
        <v>1055</v>
      </c>
      <c r="B1056" s="22" t="s">
        <v>2808</v>
      </c>
      <c r="C1056" s="22" t="s">
        <v>692</v>
      </c>
      <c r="D1056" s="22" t="s">
        <v>723</v>
      </c>
      <c r="E1056" s="22" t="s">
        <v>1700</v>
      </c>
      <c r="F1056" s="22" t="s">
        <v>12</v>
      </c>
    </row>
    <row r="1057" ht="18.5" customHeight="1" spans="1:6">
      <c r="A1057" s="23">
        <v>1056</v>
      </c>
      <c r="B1057" s="23" t="s">
        <v>2809</v>
      </c>
      <c r="C1057" s="23" t="s">
        <v>692</v>
      </c>
      <c r="D1057" s="23" t="s">
        <v>714</v>
      </c>
      <c r="E1057" s="23" t="s">
        <v>1700</v>
      </c>
      <c r="F1057" s="23" t="s">
        <v>12</v>
      </c>
    </row>
    <row r="1058" ht="18.5" customHeight="1" spans="1:6">
      <c r="A1058" s="22">
        <v>1057</v>
      </c>
      <c r="B1058" s="22" t="s">
        <v>2810</v>
      </c>
      <c r="C1058" s="22" t="s">
        <v>347</v>
      </c>
      <c r="D1058" s="22" t="s">
        <v>347</v>
      </c>
      <c r="E1058" s="22" t="s">
        <v>1700</v>
      </c>
      <c r="F1058" s="22" t="s">
        <v>12</v>
      </c>
    </row>
    <row r="1059" ht="18.5" customHeight="1" spans="1:6">
      <c r="A1059" s="23">
        <v>1058</v>
      </c>
      <c r="B1059" s="23" t="s">
        <v>2811</v>
      </c>
      <c r="C1059" s="23" t="s">
        <v>347</v>
      </c>
      <c r="D1059" s="23" t="s">
        <v>347</v>
      </c>
      <c r="E1059" s="23" t="s">
        <v>1700</v>
      </c>
      <c r="F1059" s="23" t="s">
        <v>12</v>
      </c>
    </row>
    <row r="1060" ht="18.5" customHeight="1" spans="1:6">
      <c r="A1060" s="22">
        <v>1059</v>
      </c>
      <c r="B1060" s="22" t="s">
        <v>2812</v>
      </c>
      <c r="C1060" s="22" t="s">
        <v>347</v>
      </c>
      <c r="D1060" s="22" t="s">
        <v>347</v>
      </c>
      <c r="E1060" s="22" t="s">
        <v>1700</v>
      </c>
      <c r="F1060" s="22" t="s">
        <v>12</v>
      </c>
    </row>
    <row r="1061" ht="18.5" customHeight="1" spans="1:6">
      <c r="A1061" s="23">
        <v>1060</v>
      </c>
      <c r="B1061" s="23" t="s">
        <v>2813</v>
      </c>
      <c r="C1061" s="23" t="s">
        <v>347</v>
      </c>
      <c r="D1061" s="23" t="s">
        <v>347</v>
      </c>
      <c r="E1061" s="23" t="s">
        <v>1700</v>
      </c>
      <c r="F1061" s="23" t="s">
        <v>12</v>
      </c>
    </row>
    <row r="1062" ht="18.5" customHeight="1" spans="1:6">
      <c r="A1062" s="22">
        <v>1061</v>
      </c>
      <c r="B1062" s="22" t="s">
        <v>2814</v>
      </c>
      <c r="C1062" s="22" t="s">
        <v>1060</v>
      </c>
      <c r="D1062" s="22" t="s">
        <v>1084</v>
      </c>
      <c r="E1062" s="22" t="s">
        <v>1700</v>
      </c>
      <c r="F1062" s="22" t="s">
        <v>12</v>
      </c>
    </row>
    <row r="1063" ht="18.5" customHeight="1" spans="1:6">
      <c r="A1063" s="23">
        <v>1062</v>
      </c>
      <c r="B1063" s="23" t="s">
        <v>2815</v>
      </c>
      <c r="C1063" s="23" t="s">
        <v>1060</v>
      </c>
      <c r="D1063" s="23" t="s">
        <v>1077</v>
      </c>
      <c r="E1063" s="23" t="s">
        <v>1700</v>
      </c>
      <c r="F1063" s="23" t="s">
        <v>12</v>
      </c>
    </row>
    <row r="1064" ht="18.5" customHeight="1" spans="1:6">
      <c r="A1064" s="22">
        <v>1063</v>
      </c>
      <c r="B1064" s="22" t="s">
        <v>2816</v>
      </c>
      <c r="C1064" s="22" t="s">
        <v>1060</v>
      </c>
      <c r="D1064" s="22" t="s">
        <v>1071</v>
      </c>
      <c r="E1064" s="22" t="s">
        <v>1700</v>
      </c>
      <c r="F1064" s="22" t="s">
        <v>12</v>
      </c>
    </row>
    <row r="1065" ht="18.5" customHeight="1" spans="1:6">
      <c r="A1065" s="23">
        <v>1064</v>
      </c>
      <c r="B1065" s="23" t="s">
        <v>2817</v>
      </c>
      <c r="C1065" s="23" t="s">
        <v>98</v>
      </c>
      <c r="D1065" s="23" t="s">
        <v>124</v>
      </c>
      <c r="E1065" s="23" t="s">
        <v>1700</v>
      </c>
      <c r="F1065" s="23" t="s">
        <v>12</v>
      </c>
    </row>
    <row r="1066" ht="18.5" customHeight="1" spans="1:6">
      <c r="A1066" s="22">
        <v>1065</v>
      </c>
      <c r="B1066" s="22" t="s">
        <v>2818</v>
      </c>
      <c r="C1066" s="22" t="s">
        <v>98</v>
      </c>
      <c r="D1066" s="22" t="s">
        <v>132</v>
      </c>
      <c r="E1066" s="22" t="s">
        <v>1700</v>
      </c>
      <c r="F1066" s="22" t="s">
        <v>12</v>
      </c>
    </row>
    <row r="1067" ht="18.5" customHeight="1" spans="1:6">
      <c r="A1067" s="23">
        <v>1066</v>
      </c>
      <c r="B1067" s="23" t="s">
        <v>2819</v>
      </c>
      <c r="C1067" s="23" t="s">
        <v>1026</v>
      </c>
      <c r="D1067" s="23" t="s">
        <v>1027</v>
      </c>
      <c r="E1067" s="23" t="s">
        <v>1700</v>
      </c>
      <c r="F1067" s="23" t="s">
        <v>12</v>
      </c>
    </row>
    <row r="1068" ht="18.5" customHeight="1" spans="1:6">
      <c r="A1068" s="22">
        <v>1067</v>
      </c>
      <c r="B1068" s="22" t="s">
        <v>2820</v>
      </c>
      <c r="C1068" s="22" t="s">
        <v>1060</v>
      </c>
      <c r="D1068" s="22" t="s">
        <v>1090</v>
      </c>
      <c r="E1068" s="22" t="s">
        <v>1700</v>
      </c>
      <c r="F1068" s="22" t="s">
        <v>12</v>
      </c>
    </row>
    <row r="1069" ht="18.5" customHeight="1" spans="1:6">
      <c r="A1069" s="23">
        <v>1068</v>
      </c>
      <c r="B1069" s="23" t="s">
        <v>2821</v>
      </c>
      <c r="C1069" s="23" t="s">
        <v>1060</v>
      </c>
      <c r="D1069" s="23" t="s">
        <v>1097</v>
      </c>
      <c r="E1069" s="23" t="s">
        <v>1700</v>
      </c>
      <c r="F1069" s="23" t="s">
        <v>12</v>
      </c>
    </row>
    <row r="1070" ht="18.5" customHeight="1" spans="1:6">
      <c r="A1070" s="22">
        <v>1069</v>
      </c>
      <c r="B1070" s="22" t="s">
        <v>2822</v>
      </c>
      <c r="C1070" s="22" t="s">
        <v>1060</v>
      </c>
      <c r="D1070" s="22" t="s">
        <v>2823</v>
      </c>
      <c r="E1070" s="22" t="s">
        <v>1700</v>
      </c>
      <c r="F1070" s="22" t="s">
        <v>12</v>
      </c>
    </row>
    <row r="1071" ht="18.5" customHeight="1" spans="1:6">
      <c r="A1071" s="23">
        <v>1070</v>
      </c>
      <c r="B1071" s="23" t="s">
        <v>2824</v>
      </c>
      <c r="C1071" s="23" t="s">
        <v>1197</v>
      </c>
      <c r="D1071" s="23" t="s">
        <v>1669</v>
      </c>
      <c r="E1071" s="23" t="s">
        <v>1700</v>
      </c>
      <c r="F1071" s="23" t="s">
        <v>12</v>
      </c>
    </row>
    <row r="1072" ht="18.5" customHeight="1" spans="1:6">
      <c r="A1072" s="22">
        <v>1071</v>
      </c>
      <c r="B1072" s="22" t="s">
        <v>2825</v>
      </c>
      <c r="C1072" s="22" t="s">
        <v>1206</v>
      </c>
      <c r="D1072" s="22" t="s">
        <v>1207</v>
      </c>
      <c r="E1072" s="22" t="s">
        <v>1700</v>
      </c>
      <c r="F1072" s="22" t="s">
        <v>12</v>
      </c>
    </row>
    <row r="1073" ht="18.5" customHeight="1" spans="1:6">
      <c r="A1073" s="23">
        <v>1072</v>
      </c>
      <c r="B1073" s="23" t="s">
        <v>2826</v>
      </c>
      <c r="C1073" s="23" t="s">
        <v>1206</v>
      </c>
      <c r="D1073" s="23" t="s">
        <v>1226</v>
      </c>
      <c r="E1073" s="23" t="s">
        <v>1700</v>
      </c>
      <c r="F1073" s="23" t="s">
        <v>12</v>
      </c>
    </row>
    <row r="1074" ht="18.5" customHeight="1" spans="1:6">
      <c r="A1074" s="22">
        <v>1073</v>
      </c>
      <c r="B1074" s="22" t="s">
        <v>2827</v>
      </c>
      <c r="C1074" s="22" t="s">
        <v>587</v>
      </c>
      <c r="D1074" s="22" t="s">
        <v>607</v>
      </c>
      <c r="E1074" s="22" t="s">
        <v>1700</v>
      </c>
      <c r="F1074" s="22" t="s">
        <v>12</v>
      </c>
    </row>
    <row r="1075" ht="18.5" customHeight="1" spans="1:6">
      <c r="A1075" s="23">
        <v>1074</v>
      </c>
      <c r="B1075" s="23" t="s">
        <v>2828</v>
      </c>
      <c r="C1075" s="23" t="s">
        <v>587</v>
      </c>
      <c r="D1075" s="23" t="s">
        <v>602</v>
      </c>
      <c r="E1075" s="23" t="s">
        <v>1700</v>
      </c>
      <c r="F1075" s="23" t="s">
        <v>12</v>
      </c>
    </row>
    <row r="1076" ht="18.5" customHeight="1" spans="1:6">
      <c r="A1076" s="22">
        <v>1075</v>
      </c>
      <c r="B1076" s="22" t="s">
        <v>2829</v>
      </c>
      <c r="C1076" s="22" t="s">
        <v>628</v>
      </c>
      <c r="D1076" s="22" t="s">
        <v>660</v>
      </c>
      <c r="E1076" s="22" t="s">
        <v>1700</v>
      </c>
      <c r="F1076" s="22" t="s">
        <v>12</v>
      </c>
    </row>
    <row r="1077" ht="18.5" customHeight="1" spans="1:6">
      <c r="A1077" s="23">
        <v>1076</v>
      </c>
      <c r="B1077" s="23" t="s">
        <v>2830</v>
      </c>
      <c r="C1077" s="23" t="s">
        <v>797</v>
      </c>
      <c r="D1077" s="23" t="s">
        <v>821</v>
      </c>
      <c r="E1077" s="23" t="s">
        <v>1700</v>
      </c>
      <c r="F1077" s="23" t="s">
        <v>12</v>
      </c>
    </row>
    <row r="1078" ht="18.5" customHeight="1" spans="1:6">
      <c r="A1078" s="22">
        <v>1077</v>
      </c>
      <c r="B1078" s="22" t="s">
        <v>2831</v>
      </c>
      <c r="C1078" s="22" t="s">
        <v>797</v>
      </c>
      <c r="D1078" s="22" t="s">
        <v>817</v>
      </c>
      <c r="E1078" s="22" t="s">
        <v>1700</v>
      </c>
      <c r="F1078" s="22" t="s">
        <v>12</v>
      </c>
    </row>
    <row r="1079" ht="18.5" customHeight="1" spans="1:6">
      <c r="A1079" s="23">
        <v>1078</v>
      </c>
      <c r="B1079" s="23" t="s">
        <v>2832</v>
      </c>
      <c r="C1079" s="23" t="s">
        <v>902</v>
      </c>
      <c r="D1079" s="23" t="s">
        <v>903</v>
      </c>
      <c r="E1079" s="23" t="s">
        <v>1700</v>
      </c>
      <c r="F1079" s="23" t="s">
        <v>12</v>
      </c>
    </row>
    <row r="1080" ht="18.5" customHeight="1" spans="1:6">
      <c r="A1080" s="22">
        <v>1079</v>
      </c>
      <c r="B1080" s="22" t="s">
        <v>2833</v>
      </c>
      <c r="C1080" s="22" t="s">
        <v>1156</v>
      </c>
      <c r="D1080" s="22" t="s">
        <v>2724</v>
      </c>
      <c r="E1080" s="22" t="s">
        <v>1700</v>
      </c>
      <c r="F1080" s="22" t="s">
        <v>12</v>
      </c>
    </row>
    <row r="1081" ht="18.5" customHeight="1" spans="1:6">
      <c r="A1081" s="23">
        <v>1080</v>
      </c>
      <c r="B1081" s="23" t="s">
        <v>2834</v>
      </c>
      <c r="C1081" s="23" t="s">
        <v>1206</v>
      </c>
      <c r="D1081" s="23" t="s">
        <v>1216</v>
      </c>
      <c r="E1081" s="23" t="s">
        <v>1700</v>
      </c>
      <c r="F1081" s="23" t="s">
        <v>12</v>
      </c>
    </row>
    <row r="1082" ht="18.5" customHeight="1" spans="1:6">
      <c r="A1082" s="22">
        <v>1081</v>
      </c>
      <c r="B1082" s="22" t="s">
        <v>2835</v>
      </c>
      <c r="C1082" s="22" t="s">
        <v>1206</v>
      </c>
      <c r="D1082" s="22" t="s">
        <v>1232</v>
      </c>
      <c r="E1082" s="22" t="s">
        <v>1700</v>
      </c>
      <c r="F1082" s="22" t="s">
        <v>12</v>
      </c>
    </row>
    <row r="1083" ht="18.5" customHeight="1" spans="1:6">
      <c r="A1083" s="23">
        <v>1082</v>
      </c>
      <c r="B1083" s="23" t="s">
        <v>2836</v>
      </c>
      <c r="C1083" s="23" t="s">
        <v>1206</v>
      </c>
      <c r="D1083" s="23" t="s">
        <v>2837</v>
      </c>
      <c r="E1083" s="23" t="s">
        <v>1700</v>
      </c>
      <c r="F1083" s="23" t="s">
        <v>12</v>
      </c>
    </row>
    <row r="1084" ht="18.5" customHeight="1" spans="1:6">
      <c r="A1084" s="22">
        <v>1083</v>
      </c>
      <c r="B1084" s="22" t="s">
        <v>2838</v>
      </c>
      <c r="C1084" s="22" t="s">
        <v>1206</v>
      </c>
      <c r="D1084" s="22" t="s">
        <v>2839</v>
      </c>
      <c r="E1084" s="22" t="s">
        <v>1700</v>
      </c>
      <c r="F1084" s="22" t="s">
        <v>12</v>
      </c>
    </row>
    <row r="1085" ht="18.5" customHeight="1" spans="1:6">
      <c r="A1085" s="23">
        <v>1084</v>
      </c>
      <c r="B1085" s="23" t="s">
        <v>2840</v>
      </c>
      <c r="C1085" s="23" t="s">
        <v>1206</v>
      </c>
      <c r="D1085" s="23" t="s">
        <v>2841</v>
      </c>
      <c r="E1085" s="23" t="s">
        <v>1700</v>
      </c>
      <c r="F1085" s="23" t="s">
        <v>12</v>
      </c>
    </row>
    <row r="1086" ht="18.5" customHeight="1" spans="1:6">
      <c r="A1086" s="22">
        <v>1085</v>
      </c>
      <c r="B1086" s="22" t="s">
        <v>2842</v>
      </c>
      <c r="C1086" s="22" t="s">
        <v>746</v>
      </c>
      <c r="D1086" s="22" t="s">
        <v>771</v>
      </c>
      <c r="E1086" s="22" t="s">
        <v>1700</v>
      </c>
      <c r="F1086" s="22" t="s">
        <v>12</v>
      </c>
    </row>
    <row r="1087" ht="18.5" customHeight="1" spans="1:6">
      <c r="A1087" s="23">
        <v>1086</v>
      </c>
      <c r="B1087" s="23" t="s">
        <v>2843</v>
      </c>
      <c r="C1087" s="23" t="s">
        <v>746</v>
      </c>
      <c r="D1087" s="23" t="s">
        <v>785</v>
      </c>
      <c r="E1087" s="23" t="s">
        <v>1700</v>
      </c>
      <c r="F1087" s="23" t="s">
        <v>12</v>
      </c>
    </row>
    <row r="1088" ht="18.5" customHeight="1" spans="1:6">
      <c r="A1088" s="22">
        <v>1087</v>
      </c>
      <c r="B1088" s="22" t="s">
        <v>2844</v>
      </c>
      <c r="C1088" s="22" t="s">
        <v>347</v>
      </c>
      <c r="D1088" s="22" t="s">
        <v>347</v>
      </c>
      <c r="E1088" s="22" t="s">
        <v>1700</v>
      </c>
      <c r="F1088" s="22" t="s">
        <v>12</v>
      </c>
    </row>
    <row r="1089" ht="18.5" customHeight="1" spans="1:6">
      <c r="A1089" s="23">
        <v>1088</v>
      </c>
      <c r="B1089" s="23" t="s">
        <v>2845</v>
      </c>
      <c r="C1089" s="23" t="s">
        <v>379</v>
      </c>
      <c r="D1089" s="23" t="s">
        <v>380</v>
      </c>
      <c r="E1089" s="23" t="s">
        <v>1700</v>
      </c>
      <c r="F1089" s="23" t="s">
        <v>12</v>
      </c>
    </row>
    <row r="1090" ht="18.5" customHeight="1" spans="1:6">
      <c r="A1090" s="22">
        <v>1089</v>
      </c>
      <c r="B1090" s="22" t="s">
        <v>2846</v>
      </c>
      <c r="C1090" s="22" t="s">
        <v>844</v>
      </c>
      <c r="D1090" s="22" t="s">
        <v>874</v>
      </c>
      <c r="E1090" s="22" t="s">
        <v>1700</v>
      </c>
      <c r="F1090" s="22" t="s">
        <v>12</v>
      </c>
    </row>
    <row r="1091" ht="18.5" customHeight="1" spans="1:6">
      <c r="A1091" s="23">
        <v>1090</v>
      </c>
      <c r="B1091" s="23" t="s">
        <v>2847</v>
      </c>
      <c r="C1091" s="23" t="s">
        <v>1197</v>
      </c>
      <c r="D1091" s="23" t="s">
        <v>1198</v>
      </c>
      <c r="E1091" s="23" t="s">
        <v>1700</v>
      </c>
      <c r="F1091" s="23" t="s">
        <v>12</v>
      </c>
    </row>
    <row r="1092" ht="18.5" customHeight="1" spans="1:6">
      <c r="A1092" s="22">
        <v>1091</v>
      </c>
      <c r="B1092" s="22" t="s">
        <v>2848</v>
      </c>
      <c r="C1092" s="22" t="s">
        <v>1026</v>
      </c>
      <c r="D1092" s="22" t="s">
        <v>1027</v>
      </c>
      <c r="E1092" s="22" t="s">
        <v>1700</v>
      </c>
      <c r="F1092" s="22" t="s">
        <v>12</v>
      </c>
    </row>
    <row r="1093" ht="18.5" customHeight="1" spans="1:6">
      <c r="A1093" s="23">
        <v>1092</v>
      </c>
      <c r="B1093" s="23" t="s">
        <v>2849</v>
      </c>
      <c r="C1093" s="23" t="s">
        <v>1026</v>
      </c>
      <c r="D1093" s="23" t="s">
        <v>1027</v>
      </c>
      <c r="E1093" s="23" t="s">
        <v>1700</v>
      </c>
      <c r="F1093" s="23" t="s">
        <v>12</v>
      </c>
    </row>
    <row r="1094" ht="18.5" customHeight="1" spans="1:6">
      <c r="A1094" s="22">
        <v>1093</v>
      </c>
      <c r="B1094" s="22" t="s">
        <v>2850</v>
      </c>
      <c r="C1094" s="22" t="s">
        <v>1026</v>
      </c>
      <c r="D1094" s="22" t="s">
        <v>1043</v>
      </c>
      <c r="E1094" s="22" t="s">
        <v>1700</v>
      </c>
      <c r="F1094" s="22" t="s">
        <v>12</v>
      </c>
    </row>
    <row r="1095" ht="18.5" customHeight="1" spans="1:6">
      <c r="A1095" s="23">
        <v>1094</v>
      </c>
      <c r="B1095" s="23" t="s">
        <v>2851</v>
      </c>
      <c r="C1095" s="23" t="s">
        <v>379</v>
      </c>
      <c r="D1095" s="23" t="s">
        <v>403</v>
      </c>
      <c r="E1095" s="23" t="s">
        <v>1700</v>
      </c>
      <c r="F1095" s="23" t="s">
        <v>12</v>
      </c>
    </row>
    <row r="1096" ht="18.5" customHeight="1" spans="1:6">
      <c r="A1096" s="22">
        <v>1095</v>
      </c>
      <c r="B1096" s="22" t="s">
        <v>2852</v>
      </c>
      <c r="C1096" s="22" t="s">
        <v>379</v>
      </c>
      <c r="D1096" s="22" t="s">
        <v>440</v>
      </c>
      <c r="E1096" s="22" t="s">
        <v>1700</v>
      </c>
      <c r="F1096" s="22" t="s">
        <v>12</v>
      </c>
    </row>
    <row r="1097" ht="18.5" customHeight="1" spans="1:6">
      <c r="A1097" s="23">
        <v>1096</v>
      </c>
      <c r="B1097" s="23" t="s">
        <v>2853</v>
      </c>
      <c r="C1097" s="23" t="s">
        <v>379</v>
      </c>
      <c r="D1097" s="23" t="s">
        <v>396</v>
      </c>
      <c r="E1097" s="23" t="s">
        <v>1700</v>
      </c>
      <c r="F1097" s="23" t="s">
        <v>12</v>
      </c>
    </row>
    <row r="1098" ht="18.5" customHeight="1" spans="1:6">
      <c r="A1098" s="22">
        <v>1097</v>
      </c>
      <c r="B1098" s="22" t="s">
        <v>2854</v>
      </c>
      <c r="C1098" s="22" t="s">
        <v>628</v>
      </c>
      <c r="D1098" s="22" t="s">
        <v>660</v>
      </c>
      <c r="E1098" s="22" t="s">
        <v>1700</v>
      </c>
      <c r="F1098" s="22" t="s">
        <v>12</v>
      </c>
    </row>
    <row r="1099" ht="18.5" customHeight="1" spans="1:6">
      <c r="A1099" s="23">
        <v>1098</v>
      </c>
      <c r="B1099" s="23" t="s">
        <v>2855</v>
      </c>
      <c r="C1099" s="23" t="s">
        <v>628</v>
      </c>
      <c r="D1099" s="23" t="s">
        <v>657</v>
      </c>
      <c r="E1099" s="23" t="s">
        <v>1700</v>
      </c>
      <c r="F1099" s="23" t="s">
        <v>12</v>
      </c>
    </row>
    <row r="1100" ht="18.5" customHeight="1" spans="1:6">
      <c r="A1100" s="22">
        <v>1099</v>
      </c>
      <c r="B1100" s="22" t="s">
        <v>2856</v>
      </c>
      <c r="C1100" s="22" t="s">
        <v>692</v>
      </c>
      <c r="D1100" s="22" t="s">
        <v>727</v>
      </c>
      <c r="E1100" s="22" t="s">
        <v>1700</v>
      </c>
      <c r="F1100" s="22" t="s">
        <v>12</v>
      </c>
    </row>
    <row r="1101" ht="18.5" customHeight="1" spans="1:6">
      <c r="A1101" s="23">
        <v>1100</v>
      </c>
      <c r="B1101" s="23" t="s">
        <v>2857</v>
      </c>
      <c r="C1101" s="23" t="s">
        <v>746</v>
      </c>
      <c r="D1101" s="23" t="s">
        <v>788</v>
      </c>
      <c r="E1101" s="23" t="s">
        <v>1700</v>
      </c>
      <c r="F1101" s="23" t="s">
        <v>12</v>
      </c>
    </row>
    <row r="1102" ht="18.5" customHeight="1" spans="1:6">
      <c r="A1102" s="22">
        <v>1101</v>
      </c>
      <c r="B1102" s="22" t="s">
        <v>2858</v>
      </c>
      <c r="C1102" s="22" t="s">
        <v>797</v>
      </c>
      <c r="D1102" s="22" t="s">
        <v>819</v>
      </c>
      <c r="E1102" s="22" t="s">
        <v>1700</v>
      </c>
      <c r="F1102" s="22" t="s">
        <v>12</v>
      </c>
    </row>
    <row r="1103" ht="18.5" customHeight="1" spans="1:6">
      <c r="A1103" s="23">
        <v>1102</v>
      </c>
      <c r="B1103" s="23" t="s">
        <v>2859</v>
      </c>
      <c r="C1103" s="23" t="s">
        <v>797</v>
      </c>
      <c r="D1103" s="23" t="s">
        <v>798</v>
      </c>
      <c r="E1103" s="23" t="s">
        <v>1700</v>
      </c>
      <c r="F1103" s="23" t="s">
        <v>12</v>
      </c>
    </row>
    <row r="1104" ht="18.5" customHeight="1" spans="1:6">
      <c r="A1104" s="22">
        <v>1103</v>
      </c>
      <c r="B1104" s="22" t="s">
        <v>2860</v>
      </c>
      <c r="C1104" s="22" t="s">
        <v>902</v>
      </c>
      <c r="D1104" s="22" t="s">
        <v>921</v>
      </c>
      <c r="E1104" s="22" t="s">
        <v>1700</v>
      </c>
      <c r="F1104" s="22" t="s">
        <v>12</v>
      </c>
    </row>
    <row r="1105" ht="18.5" customHeight="1" spans="1:6">
      <c r="A1105" s="23">
        <v>1104</v>
      </c>
      <c r="B1105" s="23" t="s">
        <v>2861</v>
      </c>
      <c r="C1105" s="23" t="s">
        <v>902</v>
      </c>
      <c r="D1105" s="23" t="s">
        <v>905</v>
      </c>
      <c r="E1105" s="23" t="s">
        <v>1700</v>
      </c>
      <c r="F1105" s="23" t="s">
        <v>12</v>
      </c>
    </row>
    <row r="1106" ht="18.5" customHeight="1" spans="1:6">
      <c r="A1106" s="22">
        <v>1105</v>
      </c>
      <c r="B1106" s="22" t="s">
        <v>2862</v>
      </c>
      <c r="C1106" s="22" t="s">
        <v>943</v>
      </c>
      <c r="D1106" s="22" t="s">
        <v>944</v>
      </c>
      <c r="E1106" s="22" t="s">
        <v>1700</v>
      </c>
      <c r="F1106" s="22" t="s">
        <v>12</v>
      </c>
    </row>
    <row r="1107" ht="18.5" customHeight="1" spans="1:6">
      <c r="A1107" s="23">
        <v>1106</v>
      </c>
      <c r="B1107" s="23" t="s">
        <v>2863</v>
      </c>
      <c r="C1107" s="23" t="s">
        <v>943</v>
      </c>
      <c r="D1107" s="23" t="s">
        <v>944</v>
      </c>
      <c r="E1107" s="23" t="s">
        <v>1700</v>
      </c>
      <c r="F1107" s="23" t="s">
        <v>12</v>
      </c>
    </row>
    <row r="1108" ht="18.5" customHeight="1" spans="1:6">
      <c r="A1108" s="22">
        <v>1107</v>
      </c>
      <c r="B1108" s="22" t="s">
        <v>2864</v>
      </c>
      <c r="C1108" s="22" t="s">
        <v>971</v>
      </c>
      <c r="D1108" s="22" t="s">
        <v>2865</v>
      </c>
      <c r="E1108" s="22" t="s">
        <v>1700</v>
      </c>
      <c r="F1108" s="22" t="s">
        <v>12</v>
      </c>
    </row>
    <row r="1109" ht="18.5" customHeight="1" spans="1:6">
      <c r="A1109" s="23">
        <v>1108</v>
      </c>
      <c r="B1109" s="23" t="s">
        <v>2866</v>
      </c>
      <c r="C1109" s="23" t="s">
        <v>1060</v>
      </c>
      <c r="D1109" s="23" t="s">
        <v>2867</v>
      </c>
      <c r="E1109" s="23" t="s">
        <v>1700</v>
      </c>
      <c r="F1109" s="23" t="s">
        <v>12</v>
      </c>
    </row>
    <row r="1110" ht="18.5" customHeight="1" spans="1:6">
      <c r="A1110" s="22">
        <v>1109</v>
      </c>
      <c r="B1110" s="22" t="s">
        <v>2868</v>
      </c>
      <c r="C1110" s="22" t="s">
        <v>1060</v>
      </c>
      <c r="D1110" s="22" t="s">
        <v>1092</v>
      </c>
      <c r="E1110" s="22" t="s">
        <v>1700</v>
      </c>
      <c r="F1110" s="22" t="s">
        <v>12</v>
      </c>
    </row>
    <row r="1111" ht="18.5" customHeight="1" spans="1:6">
      <c r="A1111" s="23">
        <v>1110</v>
      </c>
      <c r="B1111" s="23" t="s">
        <v>2869</v>
      </c>
      <c r="C1111" s="23" t="s">
        <v>1060</v>
      </c>
      <c r="D1111" s="23" t="s">
        <v>1073</v>
      </c>
      <c r="E1111" s="23" t="s">
        <v>1700</v>
      </c>
      <c r="F1111" s="23" t="s">
        <v>12</v>
      </c>
    </row>
    <row r="1112" ht="18.5" customHeight="1" spans="1:6">
      <c r="A1112" s="22">
        <v>1111</v>
      </c>
      <c r="B1112" s="22" t="s">
        <v>2870</v>
      </c>
      <c r="C1112" s="22" t="s">
        <v>1206</v>
      </c>
      <c r="D1112" s="22" t="s">
        <v>2871</v>
      </c>
      <c r="E1112" s="22" t="s">
        <v>1700</v>
      </c>
      <c r="F1112" s="22" t="s">
        <v>12</v>
      </c>
    </row>
    <row r="1113" ht="18.5" customHeight="1" spans="1:6">
      <c r="A1113" s="23">
        <v>1112</v>
      </c>
      <c r="B1113" s="23" t="s">
        <v>2872</v>
      </c>
      <c r="C1113" s="23" t="s">
        <v>587</v>
      </c>
      <c r="D1113" s="23"/>
      <c r="E1113" s="23" t="s">
        <v>1700</v>
      </c>
      <c r="F1113" s="23" t="s">
        <v>12</v>
      </c>
    </row>
    <row r="1114" ht="18.5" customHeight="1" spans="1:6">
      <c r="A1114" s="22">
        <v>1113</v>
      </c>
      <c r="B1114" s="22" t="s">
        <v>2873</v>
      </c>
      <c r="C1114" s="22" t="s">
        <v>273</v>
      </c>
      <c r="D1114" s="22" t="s">
        <v>290</v>
      </c>
      <c r="E1114" s="22" t="s">
        <v>1700</v>
      </c>
      <c r="F1114" s="22" t="s">
        <v>12</v>
      </c>
    </row>
    <row r="1115" ht="18.5" customHeight="1" spans="1:6">
      <c r="A1115" s="23">
        <v>1114</v>
      </c>
      <c r="B1115" s="23" t="s">
        <v>2874</v>
      </c>
      <c r="C1115" s="23" t="s">
        <v>379</v>
      </c>
      <c r="D1115" s="23" t="s">
        <v>392</v>
      </c>
      <c r="E1115" s="23" t="s">
        <v>1700</v>
      </c>
      <c r="F1115" s="23" t="s">
        <v>12</v>
      </c>
    </row>
    <row r="1116" ht="18.5" customHeight="1" spans="1:6">
      <c r="A1116" s="22">
        <v>1115</v>
      </c>
      <c r="B1116" s="22" t="s">
        <v>2875</v>
      </c>
      <c r="C1116" s="22" t="s">
        <v>379</v>
      </c>
      <c r="D1116" s="22" t="s">
        <v>382</v>
      </c>
      <c r="E1116" s="22" t="s">
        <v>1700</v>
      </c>
      <c r="F1116" s="22" t="s">
        <v>12</v>
      </c>
    </row>
    <row r="1117" ht="18.5" customHeight="1" spans="1:6">
      <c r="A1117" s="23">
        <v>1116</v>
      </c>
      <c r="B1117" s="23" t="s">
        <v>2876</v>
      </c>
      <c r="C1117" s="23" t="s">
        <v>379</v>
      </c>
      <c r="D1117" s="23" t="s">
        <v>401</v>
      </c>
      <c r="E1117" s="23" t="s">
        <v>1700</v>
      </c>
      <c r="F1117" s="23" t="s">
        <v>12</v>
      </c>
    </row>
    <row r="1118" ht="18.5" customHeight="1" spans="1:6">
      <c r="A1118" s="22">
        <v>1117</v>
      </c>
      <c r="B1118" s="22" t="s">
        <v>2877</v>
      </c>
      <c r="C1118" s="22" t="s">
        <v>502</v>
      </c>
      <c r="D1118" s="22" t="s">
        <v>528</v>
      </c>
      <c r="E1118" s="22" t="s">
        <v>1700</v>
      </c>
      <c r="F1118" s="22" t="s">
        <v>12</v>
      </c>
    </row>
    <row r="1119" ht="18.5" customHeight="1" spans="1:6">
      <c r="A1119" s="23">
        <v>1118</v>
      </c>
      <c r="B1119" s="23" t="s">
        <v>2878</v>
      </c>
      <c r="C1119" s="23" t="s">
        <v>553</v>
      </c>
      <c r="D1119" s="23" t="s">
        <v>554</v>
      </c>
      <c r="E1119" s="23" t="s">
        <v>1700</v>
      </c>
      <c r="F1119" s="23" t="s">
        <v>12</v>
      </c>
    </row>
    <row r="1120" ht="18.5" customHeight="1" spans="1:6">
      <c r="A1120" s="22">
        <v>1119</v>
      </c>
      <c r="B1120" s="22" t="s">
        <v>2879</v>
      </c>
      <c r="C1120" s="22" t="s">
        <v>587</v>
      </c>
      <c r="D1120" s="22" t="s">
        <v>618</v>
      </c>
      <c r="E1120" s="22" t="s">
        <v>1700</v>
      </c>
      <c r="F1120" s="22" t="s">
        <v>12</v>
      </c>
    </row>
    <row r="1121" ht="18.5" customHeight="1" spans="1:6">
      <c r="A1121" s="23">
        <v>1120</v>
      </c>
      <c r="B1121" s="23" t="s">
        <v>2880</v>
      </c>
      <c r="C1121" s="23" t="s">
        <v>587</v>
      </c>
      <c r="D1121" s="23" t="s">
        <v>616</v>
      </c>
      <c r="E1121" s="23" t="s">
        <v>1700</v>
      </c>
      <c r="F1121" s="23" t="s">
        <v>12</v>
      </c>
    </row>
    <row r="1122" ht="18.5" customHeight="1" spans="1:6">
      <c r="A1122" s="22">
        <v>1121</v>
      </c>
      <c r="B1122" s="22" t="s">
        <v>2881</v>
      </c>
      <c r="C1122" s="22" t="s">
        <v>628</v>
      </c>
      <c r="D1122" s="22" t="s">
        <v>655</v>
      </c>
      <c r="E1122" s="22" t="s">
        <v>1700</v>
      </c>
      <c r="F1122" s="22" t="s">
        <v>12</v>
      </c>
    </row>
    <row r="1123" ht="18.5" customHeight="1" spans="1:6">
      <c r="A1123" s="23">
        <v>1122</v>
      </c>
      <c r="B1123" s="23" t="s">
        <v>2882</v>
      </c>
      <c r="C1123" s="23" t="s">
        <v>951</v>
      </c>
      <c r="D1123" s="23" t="s">
        <v>951</v>
      </c>
      <c r="E1123" s="23" t="s">
        <v>1700</v>
      </c>
      <c r="F1123" s="23" t="s">
        <v>12</v>
      </c>
    </row>
    <row r="1124" ht="18.5" customHeight="1" spans="1:6">
      <c r="A1124" s="22">
        <v>1123</v>
      </c>
      <c r="B1124" s="22" t="s">
        <v>2883</v>
      </c>
      <c r="C1124" s="22" t="s">
        <v>971</v>
      </c>
      <c r="D1124" s="22" t="s">
        <v>1000</v>
      </c>
      <c r="E1124" s="22" t="s">
        <v>1700</v>
      </c>
      <c r="F1124" s="22" t="s">
        <v>12</v>
      </c>
    </row>
    <row r="1125" ht="18.5" customHeight="1" spans="1:6">
      <c r="A1125" s="23">
        <v>1124</v>
      </c>
      <c r="B1125" s="23" t="s">
        <v>2884</v>
      </c>
      <c r="C1125" s="23" t="s">
        <v>971</v>
      </c>
      <c r="D1125" s="23" t="s">
        <v>1000</v>
      </c>
      <c r="E1125" s="23" t="s">
        <v>1700</v>
      </c>
      <c r="F1125" s="23" t="s">
        <v>12</v>
      </c>
    </row>
    <row r="1126" ht="18.5" customHeight="1" spans="1:6">
      <c r="A1126" s="22">
        <v>1125</v>
      </c>
      <c r="B1126" s="22" t="s">
        <v>2885</v>
      </c>
      <c r="C1126" s="22" t="s">
        <v>1101</v>
      </c>
      <c r="D1126" s="22" t="s">
        <v>2886</v>
      </c>
      <c r="E1126" s="22" t="s">
        <v>1700</v>
      </c>
      <c r="F1126" s="22" t="s">
        <v>12</v>
      </c>
    </row>
    <row r="1127" ht="18.5" customHeight="1" spans="1:6">
      <c r="A1127" s="23">
        <v>1126</v>
      </c>
      <c r="B1127" s="23" t="s">
        <v>2887</v>
      </c>
      <c r="C1127" s="23" t="s">
        <v>1206</v>
      </c>
      <c r="D1127" s="23" t="s">
        <v>1223</v>
      </c>
      <c r="E1127" s="23" t="s">
        <v>1700</v>
      </c>
      <c r="F1127" s="23" t="s">
        <v>12</v>
      </c>
    </row>
    <row r="1128" ht="18.5" customHeight="1" spans="1:6">
      <c r="A1128" s="22">
        <v>1127</v>
      </c>
      <c r="B1128" s="22" t="s">
        <v>2888</v>
      </c>
      <c r="C1128" s="22" t="s">
        <v>10</v>
      </c>
      <c r="D1128" s="22" t="s">
        <v>10</v>
      </c>
      <c r="E1128" s="22" t="s">
        <v>1700</v>
      </c>
      <c r="F1128" s="22" t="s">
        <v>1252</v>
      </c>
    </row>
    <row r="1129" ht="18.5" customHeight="1" spans="1:6">
      <c r="A1129" s="23">
        <v>1128</v>
      </c>
      <c r="B1129" s="23" t="s">
        <v>2889</v>
      </c>
      <c r="C1129" s="23" t="s">
        <v>10</v>
      </c>
      <c r="D1129" s="23" t="s">
        <v>10</v>
      </c>
      <c r="E1129" s="23" t="s">
        <v>1700</v>
      </c>
      <c r="F1129" s="23" t="s">
        <v>1252</v>
      </c>
    </row>
    <row r="1130" ht="18.5" customHeight="1" spans="1:6">
      <c r="A1130" s="22">
        <v>1129</v>
      </c>
      <c r="B1130" s="22" t="s">
        <v>2890</v>
      </c>
      <c r="C1130" s="22" t="s">
        <v>10</v>
      </c>
      <c r="D1130" s="22" t="s">
        <v>10</v>
      </c>
      <c r="E1130" s="22" t="s">
        <v>1700</v>
      </c>
      <c r="F1130" s="22" t="s">
        <v>1252</v>
      </c>
    </row>
    <row r="1131" ht="18.5" customHeight="1" spans="1:6">
      <c r="A1131" s="23">
        <v>1130</v>
      </c>
      <c r="B1131" s="23" t="s">
        <v>2891</v>
      </c>
      <c r="C1131" s="23" t="s">
        <v>10</v>
      </c>
      <c r="D1131" s="23" t="s">
        <v>10</v>
      </c>
      <c r="E1131" s="23" t="s">
        <v>1700</v>
      </c>
      <c r="F1131" s="23" t="s">
        <v>1252</v>
      </c>
    </row>
    <row r="1132" ht="18.5" customHeight="1" spans="1:6">
      <c r="A1132" s="22">
        <v>1131</v>
      </c>
      <c r="B1132" s="22" t="s">
        <v>2892</v>
      </c>
      <c r="C1132" s="22" t="s">
        <v>10</v>
      </c>
      <c r="D1132" s="22" t="s">
        <v>10</v>
      </c>
      <c r="E1132" s="22" t="s">
        <v>1700</v>
      </c>
      <c r="F1132" s="22" t="s">
        <v>1252</v>
      </c>
    </row>
    <row r="1133" ht="18.5" customHeight="1" spans="1:6">
      <c r="A1133" s="23">
        <v>1132</v>
      </c>
      <c r="B1133" s="23" t="s">
        <v>2893</v>
      </c>
      <c r="C1133" s="23" t="s">
        <v>10</v>
      </c>
      <c r="D1133" s="23" t="s">
        <v>10</v>
      </c>
      <c r="E1133" s="23" t="s">
        <v>1700</v>
      </c>
      <c r="F1133" s="23" t="s">
        <v>1252</v>
      </c>
    </row>
    <row r="1134" ht="18.5" customHeight="1" spans="1:6">
      <c r="A1134" s="22">
        <v>1133</v>
      </c>
      <c r="B1134" s="22" t="s">
        <v>2894</v>
      </c>
      <c r="C1134" s="22" t="s">
        <v>10</v>
      </c>
      <c r="D1134" s="22" t="s">
        <v>10</v>
      </c>
      <c r="E1134" s="22" t="s">
        <v>1700</v>
      </c>
      <c r="F1134" s="22" t="s">
        <v>1252</v>
      </c>
    </row>
    <row r="1135" ht="18.5" customHeight="1" spans="1:6">
      <c r="A1135" s="23">
        <v>1134</v>
      </c>
      <c r="B1135" s="23" t="s">
        <v>2895</v>
      </c>
      <c r="C1135" s="23" t="s">
        <v>10</v>
      </c>
      <c r="D1135" s="23" t="s">
        <v>10</v>
      </c>
      <c r="E1135" s="23" t="s">
        <v>1700</v>
      </c>
      <c r="F1135" s="23" t="s">
        <v>1252</v>
      </c>
    </row>
    <row r="1136" ht="18.5" customHeight="1" spans="1:6">
      <c r="A1136" s="22">
        <v>1135</v>
      </c>
      <c r="B1136" s="22" t="s">
        <v>2896</v>
      </c>
      <c r="C1136" s="22" t="s">
        <v>10</v>
      </c>
      <c r="D1136" s="22" t="s">
        <v>10</v>
      </c>
      <c r="E1136" s="22" t="s">
        <v>1700</v>
      </c>
      <c r="F1136" s="22" t="s">
        <v>1252</v>
      </c>
    </row>
    <row r="1137" ht="18.5" customHeight="1" spans="1:6">
      <c r="A1137" s="23">
        <v>1136</v>
      </c>
      <c r="B1137" s="23" t="s">
        <v>2897</v>
      </c>
      <c r="C1137" s="23" t="s">
        <v>76</v>
      </c>
      <c r="D1137" s="23" t="s">
        <v>76</v>
      </c>
      <c r="E1137" s="23" t="s">
        <v>1700</v>
      </c>
      <c r="F1137" s="23" t="s">
        <v>1252</v>
      </c>
    </row>
    <row r="1138" ht="18.5" customHeight="1" spans="1:6">
      <c r="A1138" s="22">
        <v>1137</v>
      </c>
      <c r="B1138" s="22" t="s">
        <v>2898</v>
      </c>
      <c r="C1138" s="22" t="s">
        <v>98</v>
      </c>
      <c r="D1138" s="22" t="s">
        <v>103</v>
      </c>
      <c r="E1138" s="22" t="s">
        <v>1700</v>
      </c>
      <c r="F1138" s="22" t="s">
        <v>1252</v>
      </c>
    </row>
    <row r="1139" ht="18.5" customHeight="1" spans="1:6">
      <c r="A1139" s="23">
        <v>1138</v>
      </c>
      <c r="B1139" s="23" t="s">
        <v>2899</v>
      </c>
      <c r="C1139" s="23" t="s">
        <v>98</v>
      </c>
      <c r="D1139" s="23" t="s">
        <v>103</v>
      </c>
      <c r="E1139" s="23" t="s">
        <v>1700</v>
      </c>
      <c r="F1139" s="23" t="s">
        <v>1252</v>
      </c>
    </row>
    <row r="1140" ht="18.5" customHeight="1" spans="1:6">
      <c r="A1140" s="22">
        <v>1139</v>
      </c>
      <c r="B1140" s="22" t="s">
        <v>2900</v>
      </c>
      <c r="C1140" s="22" t="s">
        <v>98</v>
      </c>
      <c r="D1140" s="22" t="s">
        <v>103</v>
      </c>
      <c r="E1140" s="22" t="s">
        <v>1700</v>
      </c>
      <c r="F1140" s="22" t="s">
        <v>1252</v>
      </c>
    </row>
    <row r="1141" ht="18.5" customHeight="1" spans="1:6">
      <c r="A1141" s="23">
        <v>1140</v>
      </c>
      <c r="B1141" s="23" t="s">
        <v>2901</v>
      </c>
      <c r="C1141" s="23" t="s">
        <v>98</v>
      </c>
      <c r="D1141" s="23" t="s">
        <v>103</v>
      </c>
      <c r="E1141" s="23" t="s">
        <v>1700</v>
      </c>
      <c r="F1141" s="23" t="s">
        <v>1252</v>
      </c>
    </row>
    <row r="1142" ht="18.5" customHeight="1" spans="1:6">
      <c r="A1142" s="22">
        <v>1141</v>
      </c>
      <c r="B1142" s="22" t="s">
        <v>2902</v>
      </c>
      <c r="C1142" s="22" t="s">
        <v>98</v>
      </c>
      <c r="D1142" s="22" t="s">
        <v>103</v>
      </c>
      <c r="E1142" s="22" t="s">
        <v>1700</v>
      </c>
      <c r="F1142" s="22" t="s">
        <v>1252</v>
      </c>
    </row>
    <row r="1143" ht="18.5" customHeight="1" spans="1:6">
      <c r="A1143" s="23">
        <v>1142</v>
      </c>
      <c r="B1143" s="23" t="s">
        <v>2903</v>
      </c>
      <c r="C1143" s="23" t="s">
        <v>98</v>
      </c>
      <c r="D1143" s="23" t="s">
        <v>103</v>
      </c>
      <c r="E1143" s="23" t="s">
        <v>1700</v>
      </c>
      <c r="F1143" s="23" t="s">
        <v>1252</v>
      </c>
    </row>
    <row r="1144" ht="18.5" customHeight="1" spans="1:6">
      <c r="A1144" s="22">
        <v>1143</v>
      </c>
      <c r="B1144" s="22" t="s">
        <v>2904</v>
      </c>
      <c r="C1144" s="22" t="s">
        <v>98</v>
      </c>
      <c r="D1144" s="22" t="s">
        <v>103</v>
      </c>
      <c r="E1144" s="22" t="s">
        <v>1700</v>
      </c>
      <c r="F1144" s="22" t="s">
        <v>1252</v>
      </c>
    </row>
    <row r="1145" ht="18.5" customHeight="1" spans="1:6">
      <c r="A1145" s="23">
        <v>1144</v>
      </c>
      <c r="B1145" s="23" t="s">
        <v>2905</v>
      </c>
      <c r="C1145" s="23" t="s">
        <v>98</v>
      </c>
      <c r="D1145" s="23" t="s">
        <v>103</v>
      </c>
      <c r="E1145" s="23" t="s">
        <v>1700</v>
      </c>
      <c r="F1145" s="23" t="s">
        <v>1252</v>
      </c>
    </row>
    <row r="1146" ht="18.5" customHeight="1" spans="1:6">
      <c r="A1146" s="22">
        <v>1145</v>
      </c>
      <c r="B1146" s="22" t="s">
        <v>2906</v>
      </c>
      <c r="C1146" s="22" t="s">
        <v>98</v>
      </c>
      <c r="D1146" s="22" t="s">
        <v>103</v>
      </c>
      <c r="E1146" s="22" t="s">
        <v>1700</v>
      </c>
      <c r="F1146" s="22" t="s">
        <v>1252</v>
      </c>
    </row>
    <row r="1147" ht="18.5" customHeight="1" spans="1:6">
      <c r="A1147" s="23">
        <v>1146</v>
      </c>
      <c r="B1147" s="23" t="s">
        <v>2907</v>
      </c>
      <c r="C1147" s="23" t="s">
        <v>98</v>
      </c>
      <c r="D1147" s="23" t="s">
        <v>103</v>
      </c>
      <c r="E1147" s="23" t="s">
        <v>1700</v>
      </c>
      <c r="F1147" s="23" t="s">
        <v>1252</v>
      </c>
    </row>
    <row r="1148" ht="18.5" customHeight="1" spans="1:6">
      <c r="A1148" s="22">
        <v>1147</v>
      </c>
      <c r="B1148" s="22" t="s">
        <v>2908</v>
      </c>
      <c r="C1148" s="22" t="s">
        <v>98</v>
      </c>
      <c r="D1148" s="22" t="s">
        <v>111</v>
      </c>
      <c r="E1148" s="22" t="s">
        <v>1700</v>
      </c>
      <c r="F1148" s="22" t="s">
        <v>1252</v>
      </c>
    </row>
    <row r="1149" ht="18.5" customHeight="1" spans="1:6">
      <c r="A1149" s="23">
        <v>1148</v>
      </c>
      <c r="B1149" s="23" t="s">
        <v>2909</v>
      </c>
      <c r="C1149" s="23" t="s">
        <v>98</v>
      </c>
      <c r="D1149" s="23" t="s">
        <v>106</v>
      </c>
      <c r="E1149" s="23" t="s">
        <v>1700</v>
      </c>
      <c r="F1149" s="23" t="s">
        <v>1252</v>
      </c>
    </row>
    <row r="1150" ht="18.5" customHeight="1" spans="1:6">
      <c r="A1150" s="22">
        <v>1149</v>
      </c>
      <c r="B1150" s="22" t="s">
        <v>2910</v>
      </c>
      <c r="C1150" s="22" t="s">
        <v>98</v>
      </c>
      <c r="D1150" s="22" t="s">
        <v>106</v>
      </c>
      <c r="E1150" s="22" t="s">
        <v>1700</v>
      </c>
      <c r="F1150" s="22" t="s">
        <v>1252</v>
      </c>
    </row>
    <row r="1151" ht="18.5" customHeight="1" spans="1:6">
      <c r="A1151" s="23">
        <v>1150</v>
      </c>
      <c r="B1151" s="23" t="s">
        <v>2911</v>
      </c>
      <c r="C1151" s="23" t="s">
        <v>98</v>
      </c>
      <c r="D1151" s="23" t="s">
        <v>128</v>
      </c>
      <c r="E1151" s="23" t="s">
        <v>1700</v>
      </c>
      <c r="F1151" s="23" t="s">
        <v>1252</v>
      </c>
    </row>
    <row r="1152" ht="18.5" customHeight="1" spans="1:6">
      <c r="A1152" s="22">
        <v>1151</v>
      </c>
      <c r="B1152" s="22" t="s">
        <v>2912</v>
      </c>
      <c r="C1152" s="22" t="s">
        <v>151</v>
      </c>
      <c r="D1152" s="22" t="s">
        <v>181</v>
      </c>
      <c r="E1152" s="22" t="s">
        <v>1700</v>
      </c>
      <c r="F1152" s="22" t="s">
        <v>1252</v>
      </c>
    </row>
    <row r="1153" ht="18.5" customHeight="1" spans="1:6">
      <c r="A1153" s="23">
        <v>1152</v>
      </c>
      <c r="B1153" s="23" t="s">
        <v>2913</v>
      </c>
      <c r="C1153" s="23" t="s">
        <v>151</v>
      </c>
      <c r="D1153" s="23" t="s">
        <v>157</v>
      </c>
      <c r="E1153" s="23" t="s">
        <v>1700</v>
      </c>
      <c r="F1153" s="23" t="s">
        <v>1252</v>
      </c>
    </row>
    <row r="1154" ht="18.5" customHeight="1" spans="1:6">
      <c r="A1154" s="22">
        <v>1153</v>
      </c>
      <c r="B1154" s="22" t="s">
        <v>2914</v>
      </c>
      <c r="C1154" s="22" t="s">
        <v>151</v>
      </c>
      <c r="D1154" s="22" t="s">
        <v>157</v>
      </c>
      <c r="E1154" s="22" t="s">
        <v>1700</v>
      </c>
      <c r="F1154" s="22" t="s">
        <v>1252</v>
      </c>
    </row>
    <row r="1155" ht="18.5" customHeight="1" spans="1:6">
      <c r="A1155" s="23">
        <v>1154</v>
      </c>
      <c r="B1155" s="23" t="s">
        <v>2915</v>
      </c>
      <c r="C1155" s="23" t="s">
        <v>151</v>
      </c>
      <c r="D1155" s="23" t="s">
        <v>152</v>
      </c>
      <c r="E1155" s="23" t="s">
        <v>1700</v>
      </c>
      <c r="F1155" s="23" t="s">
        <v>1252</v>
      </c>
    </row>
    <row r="1156" ht="18.5" customHeight="1" spans="1:6">
      <c r="A1156" s="22">
        <v>1155</v>
      </c>
      <c r="B1156" s="22" t="s">
        <v>2916</v>
      </c>
      <c r="C1156" s="22" t="s">
        <v>191</v>
      </c>
      <c r="D1156" s="22" t="s">
        <v>192</v>
      </c>
      <c r="E1156" s="22" t="s">
        <v>1700</v>
      </c>
      <c r="F1156" s="22" t="s">
        <v>1252</v>
      </c>
    </row>
    <row r="1157" ht="18.5" customHeight="1" spans="1:6">
      <c r="A1157" s="23">
        <v>1156</v>
      </c>
      <c r="B1157" s="23" t="s">
        <v>2917</v>
      </c>
      <c r="C1157" s="23" t="s">
        <v>191</v>
      </c>
      <c r="D1157" s="23" t="s">
        <v>192</v>
      </c>
      <c r="E1157" s="23" t="s">
        <v>1700</v>
      </c>
      <c r="F1157" s="23" t="s">
        <v>1252</v>
      </c>
    </row>
    <row r="1158" ht="18.5" customHeight="1" spans="1:6">
      <c r="A1158" s="22">
        <v>1157</v>
      </c>
      <c r="B1158" s="22" t="s">
        <v>2918</v>
      </c>
      <c r="C1158" s="22" t="s">
        <v>191</v>
      </c>
      <c r="D1158" s="22" t="s">
        <v>192</v>
      </c>
      <c r="E1158" s="22" t="s">
        <v>1700</v>
      </c>
      <c r="F1158" s="22" t="s">
        <v>1252</v>
      </c>
    </row>
    <row r="1159" ht="18.5" customHeight="1" spans="1:6">
      <c r="A1159" s="23">
        <v>1158</v>
      </c>
      <c r="B1159" s="23" t="s">
        <v>2919</v>
      </c>
      <c r="C1159" s="23" t="s">
        <v>191</v>
      </c>
      <c r="D1159" s="23" t="s">
        <v>202</v>
      </c>
      <c r="E1159" s="23" t="s">
        <v>1700</v>
      </c>
      <c r="F1159" s="23" t="s">
        <v>1252</v>
      </c>
    </row>
    <row r="1160" ht="18.5" customHeight="1" spans="1:6">
      <c r="A1160" s="22">
        <v>1159</v>
      </c>
      <c r="B1160" s="22" t="s">
        <v>2920</v>
      </c>
      <c r="C1160" s="22" t="s">
        <v>191</v>
      </c>
      <c r="D1160" s="22" t="s">
        <v>192</v>
      </c>
      <c r="E1160" s="22" t="s">
        <v>1700</v>
      </c>
      <c r="F1160" s="22" t="s">
        <v>1252</v>
      </c>
    </row>
    <row r="1161" ht="18.5" customHeight="1" spans="1:6">
      <c r="A1161" s="23">
        <v>1160</v>
      </c>
      <c r="B1161" s="23" t="s">
        <v>2921</v>
      </c>
      <c r="C1161" s="23" t="s">
        <v>191</v>
      </c>
      <c r="D1161" s="23" t="s">
        <v>192</v>
      </c>
      <c r="E1161" s="23" t="s">
        <v>1700</v>
      </c>
      <c r="F1161" s="23" t="s">
        <v>1252</v>
      </c>
    </row>
    <row r="1162" ht="18.5" customHeight="1" spans="1:6">
      <c r="A1162" s="22">
        <v>1161</v>
      </c>
      <c r="B1162" s="22" t="s">
        <v>2922</v>
      </c>
      <c r="C1162" s="22" t="s">
        <v>191</v>
      </c>
      <c r="D1162" s="22" t="s">
        <v>192</v>
      </c>
      <c r="E1162" s="22" t="s">
        <v>1700</v>
      </c>
      <c r="F1162" s="22" t="s">
        <v>1252</v>
      </c>
    </row>
    <row r="1163" ht="18.5" customHeight="1" spans="1:6">
      <c r="A1163" s="23">
        <v>1162</v>
      </c>
      <c r="B1163" s="23" t="s">
        <v>2923</v>
      </c>
      <c r="C1163" s="23" t="s">
        <v>191</v>
      </c>
      <c r="D1163" s="23" t="s">
        <v>209</v>
      </c>
      <c r="E1163" s="23" t="s">
        <v>1700</v>
      </c>
      <c r="F1163" s="23" t="s">
        <v>1252</v>
      </c>
    </row>
    <row r="1164" ht="18.5" customHeight="1" spans="1:6">
      <c r="A1164" s="22">
        <v>1163</v>
      </c>
      <c r="B1164" s="22" t="s">
        <v>2924</v>
      </c>
      <c r="C1164" s="22" t="s">
        <v>220</v>
      </c>
      <c r="D1164" s="22" t="s">
        <v>223</v>
      </c>
      <c r="E1164" s="22" t="s">
        <v>1700</v>
      </c>
      <c r="F1164" s="22" t="s">
        <v>1252</v>
      </c>
    </row>
    <row r="1165" ht="18.5" customHeight="1" spans="1:6">
      <c r="A1165" s="23">
        <v>1164</v>
      </c>
      <c r="B1165" s="23" t="s">
        <v>2925</v>
      </c>
      <c r="C1165" s="23" t="s">
        <v>220</v>
      </c>
      <c r="D1165" s="23" t="s">
        <v>221</v>
      </c>
      <c r="E1165" s="23" t="s">
        <v>1700</v>
      </c>
      <c r="F1165" s="23" t="s">
        <v>1252</v>
      </c>
    </row>
    <row r="1166" ht="18.5" customHeight="1" spans="1:6">
      <c r="A1166" s="22">
        <v>1165</v>
      </c>
      <c r="B1166" s="22" t="s">
        <v>2926</v>
      </c>
      <c r="C1166" s="22" t="s">
        <v>220</v>
      </c>
      <c r="D1166" s="22" t="s">
        <v>223</v>
      </c>
      <c r="E1166" s="22" t="s">
        <v>1700</v>
      </c>
      <c r="F1166" s="22" t="s">
        <v>1252</v>
      </c>
    </row>
    <row r="1167" ht="18.5" customHeight="1" spans="1:6">
      <c r="A1167" s="23">
        <v>1166</v>
      </c>
      <c r="B1167" s="23" t="s">
        <v>2927</v>
      </c>
      <c r="C1167" s="23" t="s">
        <v>220</v>
      </c>
      <c r="D1167" s="23" t="s">
        <v>223</v>
      </c>
      <c r="E1167" s="23" t="s">
        <v>1700</v>
      </c>
      <c r="F1167" s="23" t="s">
        <v>1252</v>
      </c>
    </row>
    <row r="1168" ht="18.5" customHeight="1" spans="1:6">
      <c r="A1168" s="22">
        <v>1167</v>
      </c>
      <c r="B1168" s="22" t="s">
        <v>2928</v>
      </c>
      <c r="C1168" s="22" t="s">
        <v>220</v>
      </c>
      <c r="D1168" s="22" t="s">
        <v>223</v>
      </c>
      <c r="E1168" s="22" t="s">
        <v>1700</v>
      </c>
      <c r="F1168" s="22" t="s">
        <v>1252</v>
      </c>
    </row>
    <row r="1169" ht="18.5" customHeight="1" spans="1:6">
      <c r="A1169" s="23">
        <v>1168</v>
      </c>
      <c r="B1169" s="23" t="s">
        <v>2929</v>
      </c>
      <c r="C1169" s="23" t="s">
        <v>220</v>
      </c>
      <c r="D1169" s="23" t="s">
        <v>223</v>
      </c>
      <c r="E1169" s="23" t="s">
        <v>1700</v>
      </c>
      <c r="F1169" s="23" t="s">
        <v>1252</v>
      </c>
    </row>
    <row r="1170" ht="18.5" customHeight="1" spans="1:6">
      <c r="A1170" s="22">
        <v>1169</v>
      </c>
      <c r="B1170" s="22" t="s">
        <v>2930</v>
      </c>
      <c r="C1170" s="22" t="s">
        <v>220</v>
      </c>
      <c r="D1170" s="22" t="s">
        <v>223</v>
      </c>
      <c r="E1170" s="22" t="s">
        <v>1700</v>
      </c>
      <c r="F1170" s="22" t="s">
        <v>1252</v>
      </c>
    </row>
    <row r="1171" ht="18.5" customHeight="1" spans="1:6">
      <c r="A1171" s="23">
        <v>1170</v>
      </c>
      <c r="B1171" s="23" t="s">
        <v>2931</v>
      </c>
      <c r="C1171" s="23" t="s">
        <v>220</v>
      </c>
      <c r="D1171" s="23" t="s">
        <v>223</v>
      </c>
      <c r="E1171" s="23" t="s">
        <v>1700</v>
      </c>
      <c r="F1171" s="23" t="s">
        <v>1252</v>
      </c>
    </row>
    <row r="1172" ht="18.5" customHeight="1" spans="1:6">
      <c r="A1172" s="22">
        <v>1171</v>
      </c>
      <c r="B1172" s="22" t="s">
        <v>2932</v>
      </c>
      <c r="C1172" s="22" t="s">
        <v>220</v>
      </c>
      <c r="D1172" s="22" t="s">
        <v>221</v>
      </c>
      <c r="E1172" s="22" t="s">
        <v>1700</v>
      </c>
      <c r="F1172" s="22" t="s">
        <v>1252</v>
      </c>
    </row>
    <row r="1173" ht="18.5" customHeight="1" spans="1:6">
      <c r="A1173" s="23">
        <v>1172</v>
      </c>
      <c r="B1173" s="23" t="s">
        <v>2933</v>
      </c>
      <c r="C1173" s="23" t="s">
        <v>273</v>
      </c>
      <c r="D1173" s="23" t="s">
        <v>274</v>
      </c>
      <c r="E1173" s="23" t="s">
        <v>1700</v>
      </c>
      <c r="F1173" s="23" t="s">
        <v>1252</v>
      </c>
    </row>
    <row r="1174" ht="18.5" customHeight="1" spans="1:6">
      <c r="A1174" s="22">
        <v>1173</v>
      </c>
      <c r="B1174" s="22" t="s">
        <v>2934</v>
      </c>
      <c r="C1174" s="22" t="s">
        <v>273</v>
      </c>
      <c r="D1174" s="22" t="s">
        <v>274</v>
      </c>
      <c r="E1174" s="22" t="s">
        <v>1700</v>
      </c>
      <c r="F1174" s="22" t="s">
        <v>1252</v>
      </c>
    </row>
    <row r="1175" ht="18.5" customHeight="1" spans="1:6">
      <c r="A1175" s="23">
        <v>1174</v>
      </c>
      <c r="B1175" s="23" t="s">
        <v>2935</v>
      </c>
      <c r="C1175" s="23" t="s">
        <v>273</v>
      </c>
      <c r="D1175" s="23" t="s">
        <v>274</v>
      </c>
      <c r="E1175" s="23" t="s">
        <v>1700</v>
      </c>
      <c r="F1175" s="23" t="s">
        <v>1252</v>
      </c>
    </row>
    <row r="1176" ht="18.5" customHeight="1" spans="1:6">
      <c r="A1176" s="22">
        <v>1175</v>
      </c>
      <c r="B1176" s="22" t="s">
        <v>2936</v>
      </c>
      <c r="C1176" s="22" t="s">
        <v>273</v>
      </c>
      <c r="D1176" s="22" t="s">
        <v>274</v>
      </c>
      <c r="E1176" s="22" t="s">
        <v>1700</v>
      </c>
      <c r="F1176" s="22" t="s">
        <v>1252</v>
      </c>
    </row>
    <row r="1177" ht="18.5" customHeight="1" spans="1:6">
      <c r="A1177" s="23">
        <v>1176</v>
      </c>
      <c r="B1177" s="23" t="s">
        <v>2937</v>
      </c>
      <c r="C1177" s="23" t="s">
        <v>273</v>
      </c>
      <c r="D1177" s="23" t="s">
        <v>276</v>
      </c>
      <c r="E1177" s="23" t="s">
        <v>1700</v>
      </c>
      <c r="F1177" s="23" t="s">
        <v>1252</v>
      </c>
    </row>
    <row r="1178" ht="18.5" customHeight="1" spans="1:6">
      <c r="A1178" s="22">
        <v>1177</v>
      </c>
      <c r="B1178" s="22" t="s">
        <v>2938</v>
      </c>
      <c r="C1178" s="22" t="s">
        <v>273</v>
      </c>
      <c r="D1178" s="22" t="s">
        <v>274</v>
      </c>
      <c r="E1178" s="22" t="s">
        <v>1700</v>
      </c>
      <c r="F1178" s="22" t="s">
        <v>1252</v>
      </c>
    </row>
    <row r="1179" ht="18.5" customHeight="1" spans="1:6">
      <c r="A1179" s="23">
        <v>1178</v>
      </c>
      <c r="B1179" s="23" t="s">
        <v>2939</v>
      </c>
      <c r="C1179" s="23" t="s">
        <v>273</v>
      </c>
      <c r="D1179" s="23" t="s">
        <v>274</v>
      </c>
      <c r="E1179" s="23" t="s">
        <v>1700</v>
      </c>
      <c r="F1179" s="23" t="s">
        <v>1252</v>
      </c>
    </row>
    <row r="1180" ht="18.5" customHeight="1" spans="1:6">
      <c r="A1180" s="22">
        <v>1179</v>
      </c>
      <c r="B1180" s="22" t="s">
        <v>2940</v>
      </c>
      <c r="C1180" s="22" t="s">
        <v>273</v>
      </c>
      <c r="D1180" s="22" t="s">
        <v>288</v>
      </c>
      <c r="E1180" s="22" t="s">
        <v>1700</v>
      </c>
      <c r="F1180" s="22" t="s">
        <v>1252</v>
      </c>
    </row>
    <row r="1181" ht="18.5" customHeight="1" spans="1:6">
      <c r="A1181" s="23">
        <v>1180</v>
      </c>
      <c r="B1181" s="23" t="s">
        <v>2941</v>
      </c>
      <c r="C1181" s="23" t="s">
        <v>308</v>
      </c>
      <c r="D1181" s="23" t="s">
        <v>309</v>
      </c>
      <c r="E1181" s="23" t="s">
        <v>1700</v>
      </c>
      <c r="F1181" s="23" t="s">
        <v>1252</v>
      </c>
    </row>
    <row r="1182" ht="18.5" customHeight="1" spans="1:6">
      <c r="A1182" s="22">
        <v>1181</v>
      </c>
      <c r="B1182" s="22" t="s">
        <v>2942</v>
      </c>
      <c r="C1182" s="22" t="s">
        <v>308</v>
      </c>
      <c r="D1182" s="22" t="s">
        <v>309</v>
      </c>
      <c r="E1182" s="22" t="s">
        <v>1700</v>
      </c>
      <c r="F1182" s="22" t="s">
        <v>1252</v>
      </c>
    </row>
    <row r="1183" ht="18.5" customHeight="1" spans="1:6">
      <c r="A1183" s="23">
        <v>1182</v>
      </c>
      <c r="B1183" s="23" t="s">
        <v>2943</v>
      </c>
      <c r="C1183" s="23" t="s">
        <v>308</v>
      </c>
      <c r="D1183" s="23" t="s">
        <v>317</v>
      </c>
      <c r="E1183" s="23" t="s">
        <v>1700</v>
      </c>
      <c r="F1183" s="23" t="s">
        <v>1252</v>
      </c>
    </row>
    <row r="1184" ht="18.5" customHeight="1" spans="1:6">
      <c r="A1184" s="22">
        <v>1183</v>
      </c>
      <c r="B1184" s="22" t="s">
        <v>2944</v>
      </c>
      <c r="C1184" s="22" t="s">
        <v>308</v>
      </c>
      <c r="D1184" s="22" t="s">
        <v>309</v>
      </c>
      <c r="E1184" s="22" t="s">
        <v>1700</v>
      </c>
      <c r="F1184" s="22" t="s">
        <v>1252</v>
      </c>
    </row>
    <row r="1185" ht="18.5" customHeight="1" spans="1:6">
      <c r="A1185" s="23">
        <v>1184</v>
      </c>
      <c r="B1185" s="23" t="s">
        <v>2945</v>
      </c>
      <c r="C1185" s="23" t="s">
        <v>308</v>
      </c>
      <c r="D1185" s="23" t="s">
        <v>327</v>
      </c>
      <c r="E1185" s="23" t="s">
        <v>1700</v>
      </c>
      <c r="F1185" s="23" t="s">
        <v>1252</v>
      </c>
    </row>
    <row r="1186" ht="18.5" customHeight="1" spans="1:6">
      <c r="A1186" s="22">
        <v>1185</v>
      </c>
      <c r="B1186" s="22" t="s">
        <v>2946</v>
      </c>
      <c r="C1186" s="22" t="s">
        <v>308</v>
      </c>
      <c r="D1186" s="22" t="s">
        <v>309</v>
      </c>
      <c r="E1186" s="22" t="s">
        <v>1700</v>
      </c>
      <c r="F1186" s="22" t="s">
        <v>1252</v>
      </c>
    </row>
    <row r="1187" ht="18.5" customHeight="1" spans="1:6">
      <c r="A1187" s="23">
        <v>1186</v>
      </c>
      <c r="B1187" s="23" t="s">
        <v>2947</v>
      </c>
      <c r="C1187" s="23" t="s">
        <v>347</v>
      </c>
      <c r="D1187" s="23" t="s">
        <v>347</v>
      </c>
      <c r="E1187" s="23" t="s">
        <v>1700</v>
      </c>
      <c r="F1187" s="23" t="s">
        <v>1252</v>
      </c>
    </row>
    <row r="1188" ht="18.5" customHeight="1" spans="1:6">
      <c r="A1188" s="22">
        <v>1187</v>
      </c>
      <c r="B1188" s="22" t="s">
        <v>2948</v>
      </c>
      <c r="C1188" s="22" t="s">
        <v>347</v>
      </c>
      <c r="D1188" s="22" t="s">
        <v>347</v>
      </c>
      <c r="E1188" s="22" t="s">
        <v>1700</v>
      </c>
      <c r="F1188" s="22" t="s">
        <v>1252</v>
      </c>
    </row>
    <row r="1189" ht="18.5" customHeight="1" spans="1:6">
      <c r="A1189" s="23">
        <v>1188</v>
      </c>
      <c r="B1189" s="23" t="s">
        <v>2949</v>
      </c>
      <c r="C1189" s="23" t="s">
        <v>347</v>
      </c>
      <c r="D1189" s="23" t="s">
        <v>347</v>
      </c>
      <c r="E1189" s="23" t="s">
        <v>1700</v>
      </c>
      <c r="F1189" s="23" t="s">
        <v>1252</v>
      </c>
    </row>
    <row r="1190" ht="18.5" customHeight="1" spans="1:6">
      <c r="A1190" s="22">
        <v>1189</v>
      </c>
      <c r="B1190" s="22" t="s">
        <v>2950</v>
      </c>
      <c r="C1190" s="22" t="s">
        <v>347</v>
      </c>
      <c r="D1190" s="22" t="s">
        <v>347</v>
      </c>
      <c r="E1190" s="22" t="s">
        <v>1700</v>
      </c>
      <c r="F1190" s="22" t="s">
        <v>1252</v>
      </c>
    </row>
    <row r="1191" ht="18.5" customHeight="1" spans="1:6">
      <c r="A1191" s="23">
        <v>1190</v>
      </c>
      <c r="B1191" s="23" t="s">
        <v>2951</v>
      </c>
      <c r="C1191" s="23" t="s">
        <v>347</v>
      </c>
      <c r="D1191" s="23" t="s">
        <v>347</v>
      </c>
      <c r="E1191" s="23" t="s">
        <v>1700</v>
      </c>
      <c r="F1191" s="23" t="s">
        <v>1252</v>
      </c>
    </row>
    <row r="1192" ht="18.5" customHeight="1" spans="1:6">
      <c r="A1192" s="22">
        <v>1191</v>
      </c>
      <c r="B1192" s="22" t="s">
        <v>2952</v>
      </c>
      <c r="C1192" s="22" t="s">
        <v>347</v>
      </c>
      <c r="D1192" s="22" t="s">
        <v>347</v>
      </c>
      <c r="E1192" s="22" t="s">
        <v>1700</v>
      </c>
      <c r="F1192" s="22" t="s">
        <v>1252</v>
      </c>
    </row>
    <row r="1193" ht="18.5" customHeight="1" spans="1:6">
      <c r="A1193" s="23">
        <v>1192</v>
      </c>
      <c r="B1193" s="23" t="s">
        <v>2953</v>
      </c>
      <c r="C1193" s="23" t="s">
        <v>347</v>
      </c>
      <c r="D1193" s="23" t="s">
        <v>347</v>
      </c>
      <c r="E1193" s="23" t="s">
        <v>1700</v>
      </c>
      <c r="F1193" s="23" t="s">
        <v>1252</v>
      </c>
    </row>
    <row r="1194" ht="18.5" customHeight="1" spans="1:6">
      <c r="A1194" s="22">
        <v>1193</v>
      </c>
      <c r="B1194" s="22" t="s">
        <v>2954</v>
      </c>
      <c r="C1194" s="22" t="s">
        <v>347</v>
      </c>
      <c r="D1194" s="22" t="s">
        <v>347</v>
      </c>
      <c r="E1194" s="22" t="s">
        <v>1700</v>
      </c>
      <c r="F1194" s="22" t="s">
        <v>1252</v>
      </c>
    </row>
    <row r="1195" ht="18.5" customHeight="1" spans="1:6">
      <c r="A1195" s="23">
        <v>1194</v>
      </c>
      <c r="B1195" s="23" t="s">
        <v>2955</v>
      </c>
      <c r="C1195" s="23" t="s">
        <v>347</v>
      </c>
      <c r="D1195" s="23" t="s">
        <v>347</v>
      </c>
      <c r="E1195" s="23" t="s">
        <v>1700</v>
      </c>
      <c r="F1195" s="23" t="s">
        <v>1252</v>
      </c>
    </row>
    <row r="1196" ht="18.5" customHeight="1" spans="1:6">
      <c r="A1196" s="22">
        <v>1195</v>
      </c>
      <c r="B1196" s="22" t="s">
        <v>2956</v>
      </c>
      <c r="C1196" s="22" t="s">
        <v>347</v>
      </c>
      <c r="D1196" s="22" t="s">
        <v>347</v>
      </c>
      <c r="E1196" s="22" t="s">
        <v>1700</v>
      </c>
      <c r="F1196" s="22" t="s">
        <v>1252</v>
      </c>
    </row>
    <row r="1197" ht="18.5" customHeight="1" spans="1:6">
      <c r="A1197" s="23">
        <v>1196</v>
      </c>
      <c r="B1197" s="23" t="s">
        <v>2957</v>
      </c>
      <c r="C1197" s="23" t="s">
        <v>347</v>
      </c>
      <c r="D1197" s="23" t="s">
        <v>347</v>
      </c>
      <c r="E1197" s="23" t="s">
        <v>1700</v>
      </c>
      <c r="F1197" s="23" t="s">
        <v>1252</v>
      </c>
    </row>
    <row r="1198" ht="18.5" customHeight="1" spans="1:6">
      <c r="A1198" s="22">
        <v>1197</v>
      </c>
      <c r="B1198" s="22" t="s">
        <v>2958</v>
      </c>
      <c r="C1198" s="22" t="s">
        <v>379</v>
      </c>
      <c r="D1198" s="22" t="s">
        <v>403</v>
      </c>
      <c r="E1198" s="22" t="s">
        <v>1700</v>
      </c>
      <c r="F1198" s="22" t="s">
        <v>1252</v>
      </c>
    </row>
    <row r="1199" ht="18.5" customHeight="1" spans="1:6">
      <c r="A1199" s="23">
        <v>1198</v>
      </c>
      <c r="B1199" s="23" t="s">
        <v>2959</v>
      </c>
      <c r="C1199" s="23" t="s">
        <v>379</v>
      </c>
      <c r="D1199" s="23" t="s">
        <v>389</v>
      </c>
      <c r="E1199" s="23" t="s">
        <v>1700</v>
      </c>
      <c r="F1199" s="23" t="s">
        <v>1252</v>
      </c>
    </row>
    <row r="1200" ht="18.5" customHeight="1" spans="1:6">
      <c r="A1200" s="22">
        <v>1199</v>
      </c>
      <c r="B1200" s="22" t="s">
        <v>2960</v>
      </c>
      <c r="C1200" s="22" t="s">
        <v>379</v>
      </c>
      <c r="D1200" s="22" t="s">
        <v>382</v>
      </c>
      <c r="E1200" s="22" t="s">
        <v>1700</v>
      </c>
      <c r="F1200" s="22" t="s">
        <v>1252</v>
      </c>
    </row>
    <row r="1201" ht="18.5" customHeight="1" spans="1:6">
      <c r="A1201" s="23">
        <v>1200</v>
      </c>
      <c r="B1201" s="23" t="s">
        <v>2961</v>
      </c>
      <c r="C1201" s="23" t="s">
        <v>379</v>
      </c>
      <c r="D1201" s="23" t="s">
        <v>380</v>
      </c>
      <c r="E1201" s="23" t="s">
        <v>1700</v>
      </c>
      <c r="F1201" s="23" t="s">
        <v>1252</v>
      </c>
    </row>
    <row r="1202" ht="18.5" customHeight="1" spans="1:6">
      <c r="A1202" s="22">
        <v>1201</v>
      </c>
      <c r="B1202" s="22" t="s">
        <v>2962</v>
      </c>
      <c r="C1202" s="22" t="s">
        <v>379</v>
      </c>
      <c r="D1202" s="22" t="s">
        <v>382</v>
      </c>
      <c r="E1202" s="22" t="s">
        <v>1700</v>
      </c>
      <c r="F1202" s="22" t="s">
        <v>1252</v>
      </c>
    </row>
    <row r="1203" ht="18.5" customHeight="1" spans="1:6">
      <c r="A1203" s="23">
        <v>1202</v>
      </c>
      <c r="B1203" s="23" t="s">
        <v>2963</v>
      </c>
      <c r="C1203" s="23" t="s">
        <v>379</v>
      </c>
      <c r="D1203" s="23" t="s">
        <v>396</v>
      </c>
      <c r="E1203" s="23" t="s">
        <v>1700</v>
      </c>
      <c r="F1203" s="23" t="s">
        <v>1252</v>
      </c>
    </row>
    <row r="1204" ht="18.5" customHeight="1" spans="1:6">
      <c r="A1204" s="22">
        <v>1203</v>
      </c>
      <c r="B1204" s="22" t="s">
        <v>2964</v>
      </c>
      <c r="C1204" s="22" t="s">
        <v>379</v>
      </c>
      <c r="D1204" s="22" t="s">
        <v>412</v>
      </c>
      <c r="E1204" s="22" t="s">
        <v>1700</v>
      </c>
      <c r="F1204" s="22" t="s">
        <v>1252</v>
      </c>
    </row>
    <row r="1205" ht="18.5" customHeight="1" spans="1:6">
      <c r="A1205" s="23">
        <v>1204</v>
      </c>
      <c r="B1205" s="23" t="s">
        <v>2965</v>
      </c>
      <c r="C1205" s="23" t="s">
        <v>379</v>
      </c>
      <c r="D1205" s="23" t="s">
        <v>380</v>
      </c>
      <c r="E1205" s="23" t="s">
        <v>1700</v>
      </c>
      <c r="F1205" s="23" t="s">
        <v>1252</v>
      </c>
    </row>
    <row r="1206" ht="18.5" customHeight="1" spans="1:6">
      <c r="A1206" s="22">
        <v>1205</v>
      </c>
      <c r="B1206" s="22" t="s">
        <v>2966</v>
      </c>
      <c r="C1206" s="22" t="s">
        <v>379</v>
      </c>
      <c r="D1206" s="22" t="s">
        <v>380</v>
      </c>
      <c r="E1206" s="22" t="s">
        <v>1700</v>
      </c>
      <c r="F1206" s="22" t="s">
        <v>1252</v>
      </c>
    </row>
    <row r="1207" ht="18.5" customHeight="1" spans="1:6">
      <c r="A1207" s="23">
        <v>1206</v>
      </c>
      <c r="B1207" s="23" t="s">
        <v>2967</v>
      </c>
      <c r="C1207" s="23" t="s">
        <v>379</v>
      </c>
      <c r="D1207" s="23" t="s">
        <v>396</v>
      </c>
      <c r="E1207" s="23" t="s">
        <v>1700</v>
      </c>
      <c r="F1207" s="23" t="s">
        <v>1252</v>
      </c>
    </row>
    <row r="1208" ht="18.5" customHeight="1" spans="1:6">
      <c r="A1208" s="22">
        <v>1207</v>
      </c>
      <c r="B1208" s="22" t="s">
        <v>2968</v>
      </c>
      <c r="C1208" s="22" t="s">
        <v>379</v>
      </c>
      <c r="D1208" s="22" t="s">
        <v>396</v>
      </c>
      <c r="E1208" s="22" t="s">
        <v>1700</v>
      </c>
      <c r="F1208" s="22" t="s">
        <v>1252</v>
      </c>
    </row>
    <row r="1209" ht="18.5" customHeight="1" spans="1:6">
      <c r="A1209" s="23">
        <v>1208</v>
      </c>
      <c r="B1209" s="23" t="s">
        <v>2969</v>
      </c>
      <c r="C1209" s="23" t="s">
        <v>379</v>
      </c>
      <c r="D1209" s="23" t="s">
        <v>380</v>
      </c>
      <c r="E1209" s="23" t="s">
        <v>1700</v>
      </c>
      <c r="F1209" s="23" t="s">
        <v>1252</v>
      </c>
    </row>
    <row r="1210" ht="18.5" customHeight="1" spans="1:6">
      <c r="A1210" s="22">
        <v>1209</v>
      </c>
      <c r="B1210" s="22" t="s">
        <v>2970</v>
      </c>
      <c r="C1210" s="22" t="s">
        <v>379</v>
      </c>
      <c r="D1210" s="22" t="s">
        <v>392</v>
      </c>
      <c r="E1210" s="22" t="s">
        <v>1700</v>
      </c>
      <c r="F1210" s="22" t="s">
        <v>1252</v>
      </c>
    </row>
    <row r="1211" ht="18.5" customHeight="1" spans="1:6">
      <c r="A1211" s="23">
        <v>1210</v>
      </c>
      <c r="B1211" s="23" t="s">
        <v>2971</v>
      </c>
      <c r="C1211" s="23" t="s">
        <v>379</v>
      </c>
      <c r="D1211" s="23" t="s">
        <v>424</v>
      </c>
      <c r="E1211" s="23" t="s">
        <v>1700</v>
      </c>
      <c r="F1211" s="23" t="s">
        <v>1252</v>
      </c>
    </row>
    <row r="1212" ht="18.5" customHeight="1" spans="1:6">
      <c r="A1212" s="22">
        <v>1211</v>
      </c>
      <c r="B1212" s="22" t="s">
        <v>2972</v>
      </c>
      <c r="C1212" s="22" t="s">
        <v>379</v>
      </c>
      <c r="D1212" s="22" t="s">
        <v>387</v>
      </c>
      <c r="E1212" s="22" t="s">
        <v>1700</v>
      </c>
      <c r="F1212" s="22" t="s">
        <v>1252</v>
      </c>
    </row>
    <row r="1213" ht="18.5" customHeight="1" spans="1:6">
      <c r="A1213" s="23">
        <v>1212</v>
      </c>
      <c r="B1213" s="23" t="s">
        <v>2973</v>
      </c>
      <c r="C1213" s="23" t="s">
        <v>379</v>
      </c>
      <c r="D1213" s="23" t="s">
        <v>382</v>
      </c>
      <c r="E1213" s="23" t="s">
        <v>1700</v>
      </c>
      <c r="F1213" s="23" t="s">
        <v>1252</v>
      </c>
    </row>
    <row r="1214" ht="18.5" customHeight="1" spans="1:6">
      <c r="A1214" s="22">
        <v>1213</v>
      </c>
      <c r="B1214" s="22" t="s">
        <v>2974</v>
      </c>
      <c r="C1214" s="22" t="s">
        <v>379</v>
      </c>
      <c r="D1214" s="22" t="s">
        <v>380</v>
      </c>
      <c r="E1214" s="22" t="s">
        <v>1700</v>
      </c>
      <c r="F1214" s="22" t="s">
        <v>1252</v>
      </c>
    </row>
    <row r="1215" ht="18.5" customHeight="1" spans="1:6">
      <c r="A1215" s="23">
        <v>1214</v>
      </c>
      <c r="B1215" s="23" t="s">
        <v>2975</v>
      </c>
      <c r="C1215" s="23" t="s">
        <v>379</v>
      </c>
      <c r="D1215" s="23" t="s">
        <v>382</v>
      </c>
      <c r="E1215" s="23" t="s">
        <v>1700</v>
      </c>
      <c r="F1215" s="23" t="s">
        <v>1252</v>
      </c>
    </row>
    <row r="1216" ht="18.5" customHeight="1" spans="1:6">
      <c r="A1216" s="22">
        <v>1215</v>
      </c>
      <c r="B1216" s="22" t="s">
        <v>2976</v>
      </c>
      <c r="C1216" s="22" t="s">
        <v>379</v>
      </c>
      <c r="D1216" s="22" t="s">
        <v>440</v>
      </c>
      <c r="E1216" s="22" t="s">
        <v>1700</v>
      </c>
      <c r="F1216" s="22" t="s">
        <v>1252</v>
      </c>
    </row>
    <row r="1217" ht="18.5" customHeight="1" spans="1:6">
      <c r="A1217" s="23">
        <v>1216</v>
      </c>
      <c r="B1217" s="23" t="s">
        <v>2977</v>
      </c>
      <c r="C1217" s="23" t="s">
        <v>379</v>
      </c>
      <c r="D1217" s="23" t="s">
        <v>424</v>
      </c>
      <c r="E1217" s="23" t="s">
        <v>1700</v>
      </c>
      <c r="F1217" s="23" t="s">
        <v>1252</v>
      </c>
    </row>
    <row r="1218" ht="18.5" customHeight="1" spans="1:6">
      <c r="A1218" s="22">
        <v>1217</v>
      </c>
      <c r="B1218" s="22" t="s">
        <v>2978</v>
      </c>
      <c r="C1218" s="22" t="s">
        <v>448</v>
      </c>
      <c r="D1218" s="22" t="s">
        <v>449</v>
      </c>
      <c r="E1218" s="22" t="s">
        <v>1700</v>
      </c>
      <c r="F1218" s="22" t="s">
        <v>1252</v>
      </c>
    </row>
    <row r="1219" ht="18.5" customHeight="1" spans="1:6">
      <c r="A1219" s="23">
        <v>1218</v>
      </c>
      <c r="B1219" s="23" t="s">
        <v>2979</v>
      </c>
      <c r="C1219" s="23" t="s">
        <v>448</v>
      </c>
      <c r="D1219" s="23" t="s">
        <v>465</v>
      </c>
      <c r="E1219" s="23" t="s">
        <v>1700</v>
      </c>
      <c r="F1219" s="23" t="s">
        <v>1252</v>
      </c>
    </row>
    <row r="1220" ht="18.5" customHeight="1" spans="1:6">
      <c r="A1220" s="22">
        <v>1219</v>
      </c>
      <c r="B1220" s="22" t="s">
        <v>2980</v>
      </c>
      <c r="C1220" s="22" t="s">
        <v>448</v>
      </c>
      <c r="D1220" s="22" t="s">
        <v>457</v>
      </c>
      <c r="E1220" s="22" t="s">
        <v>1700</v>
      </c>
      <c r="F1220" s="22" t="s">
        <v>1252</v>
      </c>
    </row>
    <row r="1221" ht="18.5" customHeight="1" spans="1:6">
      <c r="A1221" s="23">
        <v>1220</v>
      </c>
      <c r="B1221" s="23" t="s">
        <v>2981</v>
      </c>
      <c r="C1221" s="23" t="s">
        <v>448</v>
      </c>
      <c r="D1221" s="23" t="s">
        <v>449</v>
      </c>
      <c r="E1221" s="23" t="s">
        <v>1700</v>
      </c>
      <c r="F1221" s="23" t="s">
        <v>1252</v>
      </c>
    </row>
    <row r="1222" ht="18.5" customHeight="1" spans="1:6">
      <c r="A1222" s="22">
        <v>1221</v>
      </c>
      <c r="B1222" s="22" t="s">
        <v>2982</v>
      </c>
      <c r="C1222" s="22" t="s">
        <v>448</v>
      </c>
      <c r="D1222" s="22" t="s">
        <v>473</v>
      </c>
      <c r="E1222" s="22" t="s">
        <v>1700</v>
      </c>
      <c r="F1222" s="22" t="s">
        <v>1252</v>
      </c>
    </row>
    <row r="1223" ht="18.5" customHeight="1" spans="1:6">
      <c r="A1223" s="23">
        <v>1222</v>
      </c>
      <c r="B1223" s="23" t="s">
        <v>2983</v>
      </c>
      <c r="C1223" s="23" t="s">
        <v>448</v>
      </c>
      <c r="D1223" s="23" t="s">
        <v>449</v>
      </c>
      <c r="E1223" s="23" t="s">
        <v>1700</v>
      </c>
      <c r="F1223" s="23" t="s">
        <v>1252</v>
      </c>
    </row>
    <row r="1224" ht="18.5" customHeight="1" spans="1:6">
      <c r="A1224" s="22">
        <v>1223</v>
      </c>
      <c r="B1224" s="22" t="s">
        <v>2984</v>
      </c>
      <c r="C1224" s="22" t="s">
        <v>448</v>
      </c>
      <c r="D1224" s="22" t="s">
        <v>467</v>
      </c>
      <c r="E1224" s="22" t="s">
        <v>1700</v>
      </c>
      <c r="F1224" s="22" t="s">
        <v>1252</v>
      </c>
    </row>
    <row r="1225" ht="18.5" customHeight="1" spans="1:6">
      <c r="A1225" s="23">
        <v>1224</v>
      </c>
      <c r="B1225" s="23" t="s">
        <v>2985</v>
      </c>
      <c r="C1225" s="23" t="s">
        <v>448</v>
      </c>
      <c r="D1225" s="23" t="s">
        <v>460</v>
      </c>
      <c r="E1225" s="23" t="s">
        <v>1700</v>
      </c>
      <c r="F1225" s="23" t="s">
        <v>1252</v>
      </c>
    </row>
    <row r="1226" ht="18.5" customHeight="1" spans="1:6">
      <c r="A1226" s="22">
        <v>1225</v>
      </c>
      <c r="B1226" s="22" t="s">
        <v>2986</v>
      </c>
      <c r="C1226" s="22" t="s">
        <v>448</v>
      </c>
      <c r="D1226" s="22" t="s">
        <v>463</v>
      </c>
      <c r="E1226" s="22" t="s">
        <v>1700</v>
      </c>
      <c r="F1226" s="22" t="s">
        <v>1252</v>
      </c>
    </row>
    <row r="1227" ht="18.5" customHeight="1" spans="1:6">
      <c r="A1227" s="23">
        <v>1226</v>
      </c>
      <c r="B1227" s="23" t="s">
        <v>2987</v>
      </c>
      <c r="C1227" s="23" t="s">
        <v>448</v>
      </c>
      <c r="D1227" s="23" t="s">
        <v>460</v>
      </c>
      <c r="E1227" s="23" t="s">
        <v>1700</v>
      </c>
      <c r="F1227" s="23" t="s">
        <v>1252</v>
      </c>
    </row>
    <row r="1228" ht="18.5" customHeight="1" spans="1:6">
      <c r="A1228" s="22">
        <v>1227</v>
      </c>
      <c r="B1228" s="22" t="s">
        <v>2988</v>
      </c>
      <c r="C1228" s="22" t="s">
        <v>502</v>
      </c>
      <c r="D1228" s="22" t="s">
        <v>503</v>
      </c>
      <c r="E1228" s="22" t="s">
        <v>1700</v>
      </c>
      <c r="F1228" s="22" t="s">
        <v>1252</v>
      </c>
    </row>
    <row r="1229" ht="18.5" customHeight="1" spans="1:6">
      <c r="A1229" s="23">
        <v>1228</v>
      </c>
      <c r="B1229" s="23" t="s">
        <v>2989</v>
      </c>
      <c r="C1229" s="23" t="s">
        <v>502</v>
      </c>
      <c r="D1229" s="23" t="s">
        <v>503</v>
      </c>
      <c r="E1229" s="23" t="s">
        <v>1700</v>
      </c>
      <c r="F1229" s="23" t="s">
        <v>1252</v>
      </c>
    </row>
    <row r="1230" ht="18.5" customHeight="1" spans="1:6">
      <c r="A1230" s="22">
        <v>1229</v>
      </c>
      <c r="B1230" s="22" t="s">
        <v>2990</v>
      </c>
      <c r="C1230" s="22" t="s">
        <v>502</v>
      </c>
      <c r="D1230" s="22" t="s">
        <v>503</v>
      </c>
      <c r="E1230" s="22" t="s">
        <v>1700</v>
      </c>
      <c r="F1230" s="22" t="s">
        <v>1252</v>
      </c>
    </row>
    <row r="1231" ht="18.5" customHeight="1" spans="1:6">
      <c r="A1231" s="23">
        <v>1230</v>
      </c>
      <c r="B1231" s="23" t="s">
        <v>2991</v>
      </c>
      <c r="C1231" s="23" t="s">
        <v>502</v>
      </c>
      <c r="D1231" s="23" t="s">
        <v>520</v>
      </c>
      <c r="E1231" s="23" t="s">
        <v>1700</v>
      </c>
      <c r="F1231" s="23" t="s">
        <v>1252</v>
      </c>
    </row>
    <row r="1232" ht="18.5" customHeight="1" spans="1:6">
      <c r="A1232" s="22">
        <v>1231</v>
      </c>
      <c r="B1232" s="22" t="s">
        <v>2992</v>
      </c>
      <c r="C1232" s="22" t="s">
        <v>502</v>
      </c>
      <c r="D1232" s="22" t="s">
        <v>503</v>
      </c>
      <c r="E1232" s="22" t="s">
        <v>1700</v>
      </c>
      <c r="F1232" s="22" t="s">
        <v>1252</v>
      </c>
    </row>
    <row r="1233" ht="18.5" customHeight="1" spans="1:6">
      <c r="A1233" s="23">
        <v>1232</v>
      </c>
      <c r="B1233" s="23" t="s">
        <v>2993</v>
      </c>
      <c r="C1233" s="23" t="s">
        <v>502</v>
      </c>
      <c r="D1233" s="23" t="s">
        <v>503</v>
      </c>
      <c r="E1233" s="23" t="s">
        <v>1700</v>
      </c>
      <c r="F1233" s="23" t="s">
        <v>1252</v>
      </c>
    </row>
    <row r="1234" ht="18.5" customHeight="1" spans="1:6">
      <c r="A1234" s="22">
        <v>1233</v>
      </c>
      <c r="B1234" s="22" t="s">
        <v>2994</v>
      </c>
      <c r="C1234" s="22" t="s">
        <v>502</v>
      </c>
      <c r="D1234" s="22" t="s">
        <v>503</v>
      </c>
      <c r="E1234" s="22" t="s">
        <v>1700</v>
      </c>
      <c r="F1234" s="22" t="s">
        <v>1252</v>
      </c>
    </row>
    <row r="1235" ht="18.5" customHeight="1" spans="1:6">
      <c r="A1235" s="23">
        <v>1234</v>
      </c>
      <c r="B1235" s="23" t="s">
        <v>2995</v>
      </c>
      <c r="C1235" s="23" t="s">
        <v>502</v>
      </c>
      <c r="D1235" s="23" t="s">
        <v>503</v>
      </c>
      <c r="E1235" s="23" t="s">
        <v>1700</v>
      </c>
      <c r="F1235" s="23" t="s">
        <v>1252</v>
      </c>
    </row>
    <row r="1236" ht="18.5" customHeight="1" spans="1:6">
      <c r="A1236" s="22">
        <v>1235</v>
      </c>
      <c r="B1236" s="22" t="s">
        <v>2996</v>
      </c>
      <c r="C1236" s="22" t="s">
        <v>502</v>
      </c>
      <c r="D1236" s="22" t="s">
        <v>515</v>
      </c>
      <c r="E1236" s="22" t="s">
        <v>1700</v>
      </c>
      <c r="F1236" s="22" t="s">
        <v>1252</v>
      </c>
    </row>
    <row r="1237" ht="18.5" customHeight="1" spans="1:6">
      <c r="A1237" s="23">
        <v>1236</v>
      </c>
      <c r="B1237" s="23" t="s">
        <v>2997</v>
      </c>
      <c r="C1237" s="23" t="s">
        <v>502</v>
      </c>
      <c r="D1237" s="23" t="s">
        <v>520</v>
      </c>
      <c r="E1237" s="23" t="s">
        <v>1700</v>
      </c>
      <c r="F1237" s="23" t="s">
        <v>1252</v>
      </c>
    </row>
    <row r="1238" ht="18.5" customHeight="1" spans="1:6">
      <c r="A1238" s="22">
        <v>1237</v>
      </c>
      <c r="B1238" s="22" t="s">
        <v>2998</v>
      </c>
      <c r="C1238" s="22" t="s">
        <v>502</v>
      </c>
      <c r="D1238" s="22" t="s">
        <v>509</v>
      </c>
      <c r="E1238" s="22" t="s">
        <v>1700</v>
      </c>
      <c r="F1238" s="22" t="s">
        <v>1252</v>
      </c>
    </row>
    <row r="1239" ht="18.5" customHeight="1" spans="1:6">
      <c r="A1239" s="23">
        <v>1238</v>
      </c>
      <c r="B1239" s="23" t="s">
        <v>2999</v>
      </c>
      <c r="C1239" s="23" t="s">
        <v>502</v>
      </c>
      <c r="D1239" s="23" t="s">
        <v>524</v>
      </c>
      <c r="E1239" s="23" t="s">
        <v>1700</v>
      </c>
      <c r="F1239" s="23" t="s">
        <v>1252</v>
      </c>
    </row>
    <row r="1240" ht="18.5" customHeight="1" spans="1:6">
      <c r="A1240" s="22">
        <v>1239</v>
      </c>
      <c r="B1240" s="22" t="s">
        <v>3000</v>
      </c>
      <c r="C1240" s="22" t="s">
        <v>502</v>
      </c>
      <c r="D1240" s="22" t="s">
        <v>503</v>
      </c>
      <c r="E1240" s="22" t="s">
        <v>1700</v>
      </c>
      <c r="F1240" s="22" t="s">
        <v>1252</v>
      </c>
    </row>
    <row r="1241" ht="18.5" customHeight="1" spans="1:6">
      <c r="A1241" s="23">
        <v>1240</v>
      </c>
      <c r="B1241" s="23" t="s">
        <v>3001</v>
      </c>
      <c r="C1241" s="23" t="s">
        <v>502</v>
      </c>
      <c r="D1241" s="23" t="s">
        <v>511</v>
      </c>
      <c r="E1241" s="23" t="s">
        <v>1700</v>
      </c>
      <c r="F1241" s="23" t="s">
        <v>1252</v>
      </c>
    </row>
    <row r="1242" ht="18.5" customHeight="1" spans="1:6">
      <c r="A1242" s="22">
        <v>1241</v>
      </c>
      <c r="B1242" s="22" t="s">
        <v>3002</v>
      </c>
      <c r="C1242" s="22" t="s">
        <v>502</v>
      </c>
      <c r="D1242" s="22" t="s">
        <v>503</v>
      </c>
      <c r="E1242" s="22" t="s">
        <v>1700</v>
      </c>
      <c r="F1242" s="22" t="s">
        <v>1252</v>
      </c>
    </row>
    <row r="1243" ht="18.5" customHeight="1" spans="1:6">
      <c r="A1243" s="23">
        <v>1242</v>
      </c>
      <c r="B1243" s="23" t="s">
        <v>3003</v>
      </c>
      <c r="C1243" s="23" t="s">
        <v>502</v>
      </c>
      <c r="D1243" s="23" t="s">
        <v>526</v>
      </c>
      <c r="E1243" s="23" t="s">
        <v>1700</v>
      </c>
      <c r="F1243" s="23" t="s">
        <v>1252</v>
      </c>
    </row>
    <row r="1244" ht="18.5" customHeight="1" spans="1:6">
      <c r="A1244" s="22">
        <v>1243</v>
      </c>
      <c r="B1244" s="22" t="s">
        <v>3004</v>
      </c>
      <c r="C1244" s="22" t="s">
        <v>502</v>
      </c>
      <c r="D1244" s="22" t="s">
        <v>533</v>
      </c>
      <c r="E1244" s="22" t="s">
        <v>1700</v>
      </c>
      <c r="F1244" s="22" t="s">
        <v>1252</v>
      </c>
    </row>
    <row r="1245" ht="18.5" customHeight="1" spans="1:6">
      <c r="A1245" s="23">
        <v>1244</v>
      </c>
      <c r="B1245" s="23" t="s">
        <v>3005</v>
      </c>
      <c r="C1245" s="23" t="s">
        <v>553</v>
      </c>
      <c r="D1245" s="23" t="s">
        <v>558</v>
      </c>
      <c r="E1245" s="23" t="s">
        <v>1700</v>
      </c>
      <c r="F1245" s="23" t="s">
        <v>1252</v>
      </c>
    </row>
    <row r="1246" ht="18.5" customHeight="1" spans="1:6">
      <c r="A1246" s="22">
        <v>1245</v>
      </c>
      <c r="B1246" s="22" t="s">
        <v>3006</v>
      </c>
      <c r="C1246" s="22" t="s">
        <v>553</v>
      </c>
      <c r="D1246" s="22" t="s">
        <v>558</v>
      </c>
      <c r="E1246" s="22" t="s">
        <v>1700</v>
      </c>
      <c r="F1246" s="22" t="s">
        <v>1252</v>
      </c>
    </row>
    <row r="1247" ht="18.5" customHeight="1" spans="1:6">
      <c r="A1247" s="23">
        <v>1246</v>
      </c>
      <c r="B1247" s="23" t="s">
        <v>3007</v>
      </c>
      <c r="C1247" s="23" t="s">
        <v>553</v>
      </c>
      <c r="D1247" s="23" t="s">
        <v>556</v>
      </c>
      <c r="E1247" s="23" t="s">
        <v>1700</v>
      </c>
      <c r="F1247" s="23" t="s">
        <v>1252</v>
      </c>
    </row>
    <row r="1248" ht="18.5" customHeight="1" spans="1:6">
      <c r="A1248" s="22">
        <v>1247</v>
      </c>
      <c r="B1248" s="22" t="s">
        <v>3008</v>
      </c>
      <c r="C1248" s="22" t="s">
        <v>553</v>
      </c>
      <c r="D1248" s="22" t="s">
        <v>556</v>
      </c>
      <c r="E1248" s="22" t="s">
        <v>1700</v>
      </c>
      <c r="F1248" s="22" t="s">
        <v>1252</v>
      </c>
    </row>
    <row r="1249" ht="18.5" customHeight="1" spans="1:6">
      <c r="A1249" s="23">
        <v>1248</v>
      </c>
      <c r="B1249" s="23" t="s">
        <v>3009</v>
      </c>
      <c r="C1249" s="23" t="s">
        <v>553</v>
      </c>
      <c r="D1249" s="23" t="s">
        <v>558</v>
      </c>
      <c r="E1249" s="23" t="s">
        <v>1700</v>
      </c>
      <c r="F1249" s="23" t="s">
        <v>1252</v>
      </c>
    </row>
    <row r="1250" ht="18.5" customHeight="1" spans="1:6">
      <c r="A1250" s="22">
        <v>1249</v>
      </c>
      <c r="B1250" s="22" t="s">
        <v>3010</v>
      </c>
      <c r="C1250" s="22" t="s">
        <v>553</v>
      </c>
      <c r="D1250" s="22" t="s">
        <v>554</v>
      </c>
      <c r="E1250" s="22" t="s">
        <v>1700</v>
      </c>
      <c r="F1250" s="22" t="s">
        <v>1252</v>
      </c>
    </row>
    <row r="1251" ht="18.5" customHeight="1" spans="1:6">
      <c r="A1251" s="23">
        <v>1250</v>
      </c>
      <c r="B1251" s="23" t="s">
        <v>3011</v>
      </c>
      <c r="C1251" s="23" t="s">
        <v>553</v>
      </c>
      <c r="D1251" s="23" t="s">
        <v>554</v>
      </c>
      <c r="E1251" s="23" t="s">
        <v>1700</v>
      </c>
      <c r="F1251" s="23" t="s">
        <v>1252</v>
      </c>
    </row>
    <row r="1252" ht="18.5" customHeight="1" spans="1:6">
      <c r="A1252" s="22">
        <v>1251</v>
      </c>
      <c r="B1252" s="22" t="s">
        <v>3012</v>
      </c>
      <c r="C1252" s="22" t="s">
        <v>553</v>
      </c>
      <c r="D1252" s="22" t="s">
        <v>558</v>
      </c>
      <c r="E1252" s="22" t="s">
        <v>1700</v>
      </c>
      <c r="F1252" s="22" t="s">
        <v>1252</v>
      </c>
    </row>
    <row r="1253" ht="18.5" customHeight="1" spans="1:6">
      <c r="A1253" s="23">
        <v>1252</v>
      </c>
      <c r="B1253" s="23" t="s">
        <v>3013</v>
      </c>
      <c r="C1253" s="23" t="s">
        <v>553</v>
      </c>
      <c r="D1253" s="23" t="s">
        <v>558</v>
      </c>
      <c r="E1253" s="23" t="s">
        <v>1700</v>
      </c>
      <c r="F1253" s="23" t="s">
        <v>1252</v>
      </c>
    </row>
    <row r="1254" ht="18.5" customHeight="1" spans="1:6">
      <c r="A1254" s="22">
        <v>1253</v>
      </c>
      <c r="B1254" s="22" t="s">
        <v>3014</v>
      </c>
      <c r="C1254" s="22" t="s">
        <v>553</v>
      </c>
      <c r="D1254" s="22" t="s">
        <v>554</v>
      </c>
      <c r="E1254" s="22" t="s">
        <v>1700</v>
      </c>
      <c r="F1254" s="22" t="s">
        <v>1252</v>
      </c>
    </row>
    <row r="1255" ht="18.5" customHeight="1" spans="1:6">
      <c r="A1255" s="23">
        <v>1254</v>
      </c>
      <c r="B1255" s="23" t="s">
        <v>3015</v>
      </c>
      <c r="C1255" s="23" t="s">
        <v>553</v>
      </c>
      <c r="D1255" s="23" t="s">
        <v>554</v>
      </c>
      <c r="E1255" s="23" t="s">
        <v>1700</v>
      </c>
      <c r="F1255" s="23" t="s">
        <v>1252</v>
      </c>
    </row>
    <row r="1256" ht="18.5" customHeight="1" spans="1:6">
      <c r="A1256" s="22">
        <v>1255</v>
      </c>
      <c r="B1256" s="22" t="s">
        <v>3016</v>
      </c>
      <c r="C1256" s="22" t="s">
        <v>553</v>
      </c>
      <c r="D1256" s="22" t="s">
        <v>554</v>
      </c>
      <c r="E1256" s="22" t="s">
        <v>1700</v>
      </c>
      <c r="F1256" s="22" t="s">
        <v>1252</v>
      </c>
    </row>
    <row r="1257" ht="18.5" customHeight="1" spans="1:6">
      <c r="A1257" s="23">
        <v>1256</v>
      </c>
      <c r="B1257" s="23" t="s">
        <v>3017</v>
      </c>
      <c r="C1257" s="23" t="s">
        <v>553</v>
      </c>
      <c r="D1257" s="23" t="s">
        <v>554</v>
      </c>
      <c r="E1257" s="23" t="s">
        <v>1700</v>
      </c>
      <c r="F1257" s="23" t="s">
        <v>1252</v>
      </c>
    </row>
    <row r="1258" ht="18.5" customHeight="1" spans="1:6">
      <c r="A1258" s="22">
        <v>1257</v>
      </c>
      <c r="B1258" s="22" t="s">
        <v>3018</v>
      </c>
      <c r="C1258" s="22" t="s">
        <v>553</v>
      </c>
      <c r="D1258" s="22" t="s">
        <v>572</v>
      </c>
      <c r="E1258" s="22" t="s">
        <v>1700</v>
      </c>
      <c r="F1258" s="22" t="s">
        <v>1252</v>
      </c>
    </row>
    <row r="1259" ht="18.5" customHeight="1" spans="1:6">
      <c r="A1259" s="23">
        <v>1258</v>
      </c>
      <c r="B1259" s="23" t="s">
        <v>3019</v>
      </c>
      <c r="C1259" s="23" t="s">
        <v>553</v>
      </c>
      <c r="D1259" s="23" t="s">
        <v>572</v>
      </c>
      <c r="E1259" s="23" t="s">
        <v>1700</v>
      </c>
      <c r="F1259" s="23" t="s">
        <v>1252</v>
      </c>
    </row>
    <row r="1260" ht="18.5" customHeight="1" spans="1:6">
      <c r="A1260" s="22">
        <v>1259</v>
      </c>
      <c r="B1260" s="22" t="s">
        <v>3020</v>
      </c>
      <c r="C1260" s="22" t="s">
        <v>553</v>
      </c>
      <c r="D1260" s="22" t="s">
        <v>567</v>
      </c>
      <c r="E1260" s="22" t="s">
        <v>1700</v>
      </c>
      <c r="F1260" s="22" t="s">
        <v>1252</v>
      </c>
    </row>
    <row r="1261" ht="18.5" customHeight="1" spans="1:6">
      <c r="A1261" s="23">
        <v>1260</v>
      </c>
      <c r="B1261" s="23" t="s">
        <v>3021</v>
      </c>
      <c r="C1261" s="23" t="s">
        <v>553</v>
      </c>
      <c r="D1261" s="23" t="s">
        <v>556</v>
      </c>
      <c r="E1261" s="23" t="s">
        <v>1700</v>
      </c>
      <c r="F1261" s="23" t="s">
        <v>1252</v>
      </c>
    </row>
    <row r="1262" ht="18.5" customHeight="1" spans="1:6">
      <c r="A1262" s="22">
        <v>1261</v>
      </c>
      <c r="B1262" s="22" t="s">
        <v>3022</v>
      </c>
      <c r="C1262" s="22" t="s">
        <v>553</v>
      </c>
      <c r="D1262" s="22" t="s">
        <v>556</v>
      </c>
      <c r="E1262" s="22" t="s">
        <v>1700</v>
      </c>
      <c r="F1262" s="22" t="s">
        <v>1252</v>
      </c>
    </row>
    <row r="1263" ht="18.5" customHeight="1" spans="1:6">
      <c r="A1263" s="23">
        <v>1262</v>
      </c>
      <c r="B1263" s="23" t="s">
        <v>3023</v>
      </c>
      <c r="C1263" s="23" t="s">
        <v>553</v>
      </c>
      <c r="D1263" s="23" t="s">
        <v>554</v>
      </c>
      <c r="E1263" s="23" t="s">
        <v>1700</v>
      </c>
      <c r="F1263" s="23" t="s">
        <v>1252</v>
      </c>
    </row>
    <row r="1264" ht="18.5" customHeight="1" spans="1:6">
      <c r="A1264" s="22">
        <v>1263</v>
      </c>
      <c r="B1264" s="22" t="s">
        <v>3024</v>
      </c>
      <c r="C1264" s="22" t="s">
        <v>553</v>
      </c>
      <c r="D1264" s="22" t="s">
        <v>556</v>
      </c>
      <c r="E1264" s="22" t="s">
        <v>1700</v>
      </c>
      <c r="F1264" s="22" t="s">
        <v>1252</v>
      </c>
    </row>
    <row r="1265" ht="18.5" customHeight="1" spans="1:6">
      <c r="A1265" s="23">
        <v>1264</v>
      </c>
      <c r="B1265" s="23" t="s">
        <v>3025</v>
      </c>
      <c r="C1265" s="23" t="s">
        <v>587</v>
      </c>
      <c r="D1265" s="23" t="s">
        <v>588</v>
      </c>
      <c r="E1265" s="23" t="s">
        <v>1700</v>
      </c>
      <c r="F1265" s="23" t="s">
        <v>1252</v>
      </c>
    </row>
    <row r="1266" ht="18.5" customHeight="1" spans="1:6">
      <c r="A1266" s="22">
        <v>1265</v>
      </c>
      <c r="B1266" s="22" t="s">
        <v>3026</v>
      </c>
      <c r="C1266" s="22" t="s">
        <v>587</v>
      </c>
      <c r="D1266" s="22" t="s">
        <v>588</v>
      </c>
      <c r="E1266" s="22" t="s">
        <v>1700</v>
      </c>
      <c r="F1266" s="22" t="s">
        <v>1252</v>
      </c>
    </row>
    <row r="1267" ht="18.5" customHeight="1" spans="1:6">
      <c r="A1267" s="23">
        <v>1266</v>
      </c>
      <c r="B1267" s="23" t="s">
        <v>3027</v>
      </c>
      <c r="C1267" s="23" t="s">
        <v>587</v>
      </c>
      <c r="D1267" s="23" t="s">
        <v>616</v>
      </c>
      <c r="E1267" s="23" t="s">
        <v>1700</v>
      </c>
      <c r="F1267" s="23" t="s">
        <v>1252</v>
      </c>
    </row>
    <row r="1268" ht="18.5" customHeight="1" spans="1:6">
      <c r="A1268" s="22">
        <v>1267</v>
      </c>
      <c r="B1268" s="22" t="s">
        <v>3028</v>
      </c>
      <c r="C1268" s="22" t="s">
        <v>587</v>
      </c>
      <c r="D1268" s="22" t="s">
        <v>616</v>
      </c>
      <c r="E1268" s="22" t="s">
        <v>1700</v>
      </c>
      <c r="F1268" s="22" t="s">
        <v>1252</v>
      </c>
    </row>
    <row r="1269" ht="18.5" customHeight="1" spans="1:6">
      <c r="A1269" s="23">
        <v>1268</v>
      </c>
      <c r="B1269" s="23" t="s">
        <v>3029</v>
      </c>
      <c r="C1269" s="23" t="s">
        <v>587</v>
      </c>
      <c r="D1269" s="23" t="s">
        <v>618</v>
      </c>
      <c r="E1269" s="23" t="s">
        <v>1700</v>
      </c>
      <c r="F1269" s="23" t="s">
        <v>1252</v>
      </c>
    </row>
    <row r="1270" ht="18.5" customHeight="1" spans="1:6">
      <c r="A1270" s="22">
        <v>1269</v>
      </c>
      <c r="B1270" s="22" t="s">
        <v>3030</v>
      </c>
      <c r="C1270" s="22" t="s">
        <v>587</v>
      </c>
      <c r="D1270" s="22" t="s">
        <v>588</v>
      </c>
      <c r="E1270" s="22" t="s">
        <v>1700</v>
      </c>
      <c r="F1270" s="22" t="s">
        <v>1252</v>
      </c>
    </row>
    <row r="1271" ht="18.5" customHeight="1" spans="1:6">
      <c r="A1271" s="23">
        <v>1270</v>
      </c>
      <c r="B1271" s="23" t="s">
        <v>3031</v>
      </c>
      <c r="C1271" s="23" t="s">
        <v>587</v>
      </c>
      <c r="D1271" s="23" t="s">
        <v>596</v>
      </c>
      <c r="E1271" s="23" t="s">
        <v>1700</v>
      </c>
      <c r="F1271" s="23" t="s">
        <v>1252</v>
      </c>
    </row>
    <row r="1272" ht="18.5" customHeight="1" spans="1:6">
      <c r="A1272" s="22">
        <v>1271</v>
      </c>
      <c r="B1272" s="22" t="s">
        <v>3032</v>
      </c>
      <c r="C1272" s="22" t="s">
        <v>587</v>
      </c>
      <c r="D1272" s="22" t="s">
        <v>604</v>
      </c>
      <c r="E1272" s="22" t="s">
        <v>1700</v>
      </c>
      <c r="F1272" s="22" t="s">
        <v>1252</v>
      </c>
    </row>
    <row r="1273" ht="18.5" customHeight="1" spans="1:6">
      <c r="A1273" s="23">
        <v>1272</v>
      </c>
      <c r="B1273" s="23" t="s">
        <v>3033</v>
      </c>
      <c r="C1273" s="23" t="s">
        <v>587</v>
      </c>
      <c r="D1273" s="23" t="s">
        <v>588</v>
      </c>
      <c r="E1273" s="23" t="s">
        <v>1700</v>
      </c>
      <c r="F1273" s="23" t="s">
        <v>1252</v>
      </c>
    </row>
    <row r="1274" ht="18.5" customHeight="1" spans="1:6">
      <c r="A1274" s="22">
        <v>1273</v>
      </c>
      <c r="B1274" s="22" t="s">
        <v>3034</v>
      </c>
      <c r="C1274" s="22" t="s">
        <v>587</v>
      </c>
      <c r="D1274" s="22" t="s">
        <v>618</v>
      </c>
      <c r="E1274" s="22" t="s">
        <v>1700</v>
      </c>
      <c r="F1274" s="22" t="s">
        <v>1252</v>
      </c>
    </row>
    <row r="1275" ht="18.5" customHeight="1" spans="1:6">
      <c r="A1275" s="23">
        <v>1274</v>
      </c>
      <c r="B1275" s="23" t="s">
        <v>3035</v>
      </c>
      <c r="C1275" s="23" t="s">
        <v>587</v>
      </c>
      <c r="D1275" s="23" t="s">
        <v>594</v>
      </c>
      <c r="E1275" s="23" t="s">
        <v>1700</v>
      </c>
      <c r="F1275" s="23" t="s">
        <v>1252</v>
      </c>
    </row>
    <row r="1276" ht="18.5" customHeight="1" spans="1:6">
      <c r="A1276" s="22">
        <v>1275</v>
      </c>
      <c r="B1276" s="22" t="s">
        <v>3036</v>
      </c>
      <c r="C1276" s="22" t="s">
        <v>628</v>
      </c>
      <c r="D1276" s="22" t="s">
        <v>651</v>
      </c>
      <c r="E1276" s="22" t="s">
        <v>1700</v>
      </c>
      <c r="F1276" s="22" t="s">
        <v>1252</v>
      </c>
    </row>
    <row r="1277" ht="18.5" customHeight="1" spans="1:6">
      <c r="A1277" s="23">
        <v>1276</v>
      </c>
      <c r="B1277" s="23" t="s">
        <v>3037</v>
      </c>
      <c r="C1277" s="23" t="s">
        <v>628</v>
      </c>
      <c r="D1277" s="23" t="s">
        <v>657</v>
      </c>
      <c r="E1277" s="23" t="s">
        <v>1700</v>
      </c>
      <c r="F1277" s="23" t="s">
        <v>1252</v>
      </c>
    </row>
    <row r="1278" ht="18.5" customHeight="1" spans="1:6">
      <c r="A1278" s="22">
        <v>1277</v>
      </c>
      <c r="B1278" s="22" t="s">
        <v>3038</v>
      </c>
      <c r="C1278" s="22" t="s">
        <v>628</v>
      </c>
      <c r="D1278" s="22" t="s">
        <v>642</v>
      </c>
      <c r="E1278" s="22" t="s">
        <v>1700</v>
      </c>
      <c r="F1278" s="22" t="s">
        <v>1252</v>
      </c>
    </row>
    <row r="1279" ht="18.5" customHeight="1" spans="1:6">
      <c r="A1279" s="23">
        <v>1278</v>
      </c>
      <c r="B1279" s="23" t="s">
        <v>3039</v>
      </c>
      <c r="C1279" s="23" t="s">
        <v>628</v>
      </c>
      <c r="D1279" s="23" t="s">
        <v>629</v>
      </c>
      <c r="E1279" s="23" t="s">
        <v>1700</v>
      </c>
      <c r="F1279" s="23" t="s">
        <v>1252</v>
      </c>
    </row>
    <row r="1280" ht="18.5" customHeight="1" spans="1:6">
      <c r="A1280" s="22">
        <v>1279</v>
      </c>
      <c r="B1280" s="22" t="s">
        <v>3040</v>
      </c>
      <c r="C1280" s="22" t="s">
        <v>628</v>
      </c>
      <c r="D1280" s="22" t="s">
        <v>631</v>
      </c>
      <c r="E1280" s="22" t="s">
        <v>1700</v>
      </c>
      <c r="F1280" s="22" t="s">
        <v>1252</v>
      </c>
    </row>
    <row r="1281" ht="18.5" customHeight="1" spans="1:6">
      <c r="A1281" s="23">
        <v>1280</v>
      </c>
      <c r="B1281" s="23" t="s">
        <v>3041</v>
      </c>
      <c r="C1281" s="23" t="s">
        <v>628</v>
      </c>
      <c r="D1281" s="23" t="s">
        <v>631</v>
      </c>
      <c r="E1281" s="23" t="s">
        <v>1700</v>
      </c>
      <c r="F1281" s="23" t="s">
        <v>1252</v>
      </c>
    </row>
    <row r="1282" ht="18.5" customHeight="1" spans="1:6">
      <c r="A1282" s="22">
        <v>1281</v>
      </c>
      <c r="B1282" s="22" t="s">
        <v>3042</v>
      </c>
      <c r="C1282" s="22" t="s">
        <v>628</v>
      </c>
      <c r="D1282" s="22" t="s">
        <v>645</v>
      </c>
      <c r="E1282" s="22" t="s">
        <v>1700</v>
      </c>
      <c r="F1282" s="22" t="s">
        <v>1252</v>
      </c>
    </row>
    <row r="1283" ht="18.5" customHeight="1" spans="1:6">
      <c r="A1283" s="23">
        <v>1282</v>
      </c>
      <c r="B1283" s="23" t="s">
        <v>3043</v>
      </c>
      <c r="C1283" s="23" t="s">
        <v>628</v>
      </c>
      <c r="D1283" s="23" t="s">
        <v>629</v>
      </c>
      <c r="E1283" s="23" t="s">
        <v>1700</v>
      </c>
      <c r="F1283" s="23" t="s">
        <v>1252</v>
      </c>
    </row>
    <row r="1284" ht="18.5" customHeight="1" spans="1:6">
      <c r="A1284" s="22">
        <v>1283</v>
      </c>
      <c r="B1284" s="22" t="s">
        <v>3044</v>
      </c>
      <c r="C1284" s="22" t="s">
        <v>628</v>
      </c>
      <c r="D1284" s="22" t="s">
        <v>631</v>
      </c>
      <c r="E1284" s="22" t="s">
        <v>1700</v>
      </c>
      <c r="F1284" s="22" t="s">
        <v>1252</v>
      </c>
    </row>
    <row r="1285" ht="18.5" customHeight="1" spans="1:6">
      <c r="A1285" s="23">
        <v>1284</v>
      </c>
      <c r="B1285" s="23" t="s">
        <v>3045</v>
      </c>
      <c r="C1285" s="23" t="s">
        <v>628</v>
      </c>
      <c r="D1285" s="23" t="s">
        <v>645</v>
      </c>
      <c r="E1285" s="23" t="s">
        <v>1700</v>
      </c>
      <c r="F1285" s="23" t="s">
        <v>1252</v>
      </c>
    </row>
    <row r="1286" ht="18.5" customHeight="1" spans="1:6">
      <c r="A1286" s="22">
        <v>1285</v>
      </c>
      <c r="B1286" s="22" t="s">
        <v>3046</v>
      </c>
      <c r="C1286" s="22" t="s">
        <v>628</v>
      </c>
      <c r="D1286" s="22" t="s">
        <v>629</v>
      </c>
      <c r="E1286" s="22" t="s">
        <v>1700</v>
      </c>
      <c r="F1286" s="22" t="s">
        <v>1252</v>
      </c>
    </row>
    <row r="1287" ht="18.5" customHeight="1" spans="1:6">
      <c r="A1287" s="23">
        <v>1286</v>
      </c>
      <c r="B1287" s="23" t="s">
        <v>3047</v>
      </c>
      <c r="C1287" s="23" t="s">
        <v>628</v>
      </c>
      <c r="D1287" s="23" t="s">
        <v>660</v>
      </c>
      <c r="E1287" s="23" t="s">
        <v>1700</v>
      </c>
      <c r="F1287" s="23" t="s">
        <v>1252</v>
      </c>
    </row>
    <row r="1288" ht="18.5" customHeight="1" spans="1:6">
      <c r="A1288" s="22">
        <v>1287</v>
      </c>
      <c r="B1288" s="22" t="s">
        <v>3048</v>
      </c>
      <c r="C1288" s="22" t="s">
        <v>628</v>
      </c>
      <c r="D1288" s="22" t="s">
        <v>688</v>
      </c>
      <c r="E1288" s="22" t="s">
        <v>1700</v>
      </c>
      <c r="F1288" s="22" t="s">
        <v>1252</v>
      </c>
    </row>
    <row r="1289" ht="18.5" customHeight="1" spans="1:6">
      <c r="A1289" s="23">
        <v>1288</v>
      </c>
      <c r="B1289" s="23" t="s">
        <v>3049</v>
      </c>
      <c r="C1289" s="23" t="s">
        <v>628</v>
      </c>
      <c r="D1289" s="23" t="s">
        <v>631</v>
      </c>
      <c r="E1289" s="23" t="s">
        <v>1700</v>
      </c>
      <c r="F1289" s="23" t="s">
        <v>1252</v>
      </c>
    </row>
    <row r="1290" ht="18.5" customHeight="1" spans="1:6">
      <c r="A1290" s="22">
        <v>1289</v>
      </c>
      <c r="B1290" s="22" t="s">
        <v>3050</v>
      </c>
      <c r="C1290" s="22" t="s">
        <v>628</v>
      </c>
      <c r="D1290" s="22" t="s">
        <v>645</v>
      </c>
      <c r="E1290" s="22" t="s">
        <v>1700</v>
      </c>
      <c r="F1290" s="22" t="s">
        <v>1252</v>
      </c>
    </row>
    <row r="1291" ht="18.5" customHeight="1" spans="1:6">
      <c r="A1291" s="23">
        <v>1290</v>
      </c>
      <c r="B1291" s="23" t="s">
        <v>3051</v>
      </c>
      <c r="C1291" s="23" t="s">
        <v>628</v>
      </c>
      <c r="D1291" s="23" t="s">
        <v>648</v>
      </c>
      <c r="E1291" s="23" t="s">
        <v>1700</v>
      </c>
      <c r="F1291" s="23" t="s">
        <v>1252</v>
      </c>
    </row>
    <row r="1292" ht="18.5" customHeight="1" spans="1:6">
      <c r="A1292" s="22">
        <v>1291</v>
      </c>
      <c r="B1292" s="22" t="s">
        <v>3052</v>
      </c>
      <c r="C1292" s="22" t="s">
        <v>692</v>
      </c>
      <c r="D1292" s="22" t="s">
        <v>693</v>
      </c>
      <c r="E1292" s="22" t="s">
        <v>1700</v>
      </c>
      <c r="F1292" s="22" t="s">
        <v>1252</v>
      </c>
    </row>
    <row r="1293" ht="18.5" customHeight="1" spans="1:6">
      <c r="A1293" s="23">
        <v>1292</v>
      </c>
      <c r="B1293" s="23" t="s">
        <v>3053</v>
      </c>
      <c r="C1293" s="23" t="s">
        <v>692</v>
      </c>
      <c r="D1293" s="23" t="s">
        <v>693</v>
      </c>
      <c r="E1293" s="23" t="s">
        <v>1700</v>
      </c>
      <c r="F1293" s="23" t="s">
        <v>1252</v>
      </c>
    </row>
    <row r="1294" ht="18.5" customHeight="1" spans="1:6">
      <c r="A1294" s="22">
        <v>1293</v>
      </c>
      <c r="B1294" s="22" t="s">
        <v>3054</v>
      </c>
      <c r="C1294" s="22" t="s">
        <v>692</v>
      </c>
      <c r="D1294" s="22" t="s">
        <v>693</v>
      </c>
      <c r="E1294" s="22" t="s">
        <v>1700</v>
      </c>
      <c r="F1294" s="22" t="s">
        <v>1252</v>
      </c>
    </row>
    <row r="1295" ht="18.5" customHeight="1" spans="1:6">
      <c r="A1295" s="23">
        <v>1294</v>
      </c>
      <c r="B1295" s="23" t="s">
        <v>3055</v>
      </c>
      <c r="C1295" s="23" t="s">
        <v>692</v>
      </c>
      <c r="D1295" s="23" t="s">
        <v>693</v>
      </c>
      <c r="E1295" s="23" t="s">
        <v>1700</v>
      </c>
      <c r="F1295" s="23" t="s">
        <v>1252</v>
      </c>
    </row>
    <row r="1296" ht="18.5" customHeight="1" spans="1:6">
      <c r="A1296" s="22">
        <v>1295</v>
      </c>
      <c r="B1296" s="22" t="s">
        <v>3056</v>
      </c>
      <c r="C1296" s="22" t="s">
        <v>692</v>
      </c>
      <c r="D1296" s="22" t="s">
        <v>696</v>
      </c>
      <c r="E1296" s="22" t="s">
        <v>1700</v>
      </c>
      <c r="F1296" s="22" t="s">
        <v>1252</v>
      </c>
    </row>
    <row r="1297" ht="18.5" customHeight="1" spans="1:6">
      <c r="A1297" s="23">
        <v>1296</v>
      </c>
      <c r="B1297" s="23" t="s">
        <v>3057</v>
      </c>
      <c r="C1297" s="23" t="s">
        <v>692</v>
      </c>
      <c r="D1297" s="23" t="s">
        <v>718</v>
      </c>
      <c r="E1297" s="23" t="s">
        <v>1700</v>
      </c>
      <c r="F1297" s="23" t="s">
        <v>1252</v>
      </c>
    </row>
    <row r="1298" ht="18.5" customHeight="1" spans="1:6">
      <c r="A1298" s="22">
        <v>1297</v>
      </c>
      <c r="B1298" s="22" t="s">
        <v>3058</v>
      </c>
      <c r="C1298" s="22" t="s">
        <v>692</v>
      </c>
      <c r="D1298" s="22" t="s">
        <v>693</v>
      </c>
      <c r="E1298" s="22" t="s">
        <v>1700</v>
      </c>
      <c r="F1298" s="22" t="s">
        <v>1252</v>
      </c>
    </row>
    <row r="1299" ht="18.5" customHeight="1" spans="1:6">
      <c r="A1299" s="23">
        <v>1298</v>
      </c>
      <c r="B1299" s="23" t="s">
        <v>3059</v>
      </c>
      <c r="C1299" s="23" t="s">
        <v>692</v>
      </c>
      <c r="D1299" s="23" t="s">
        <v>693</v>
      </c>
      <c r="E1299" s="23" t="s">
        <v>1700</v>
      </c>
      <c r="F1299" s="23" t="s">
        <v>1252</v>
      </c>
    </row>
    <row r="1300" ht="18.5" customHeight="1" spans="1:6">
      <c r="A1300" s="22">
        <v>1299</v>
      </c>
      <c r="B1300" s="22" t="s">
        <v>3060</v>
      </c>
      <c r="C1300" s="22" t="s">
        <v>692</v>
      </c>
      <c r="D1300" s="22" t="s">
        <v>704</v>
      </c>
      <c r="E1300" s="22" t="s">
        <v>1700</v>
      </c>
      <c r="F1300" s="22" t="s">
        <v>1252</v>
      </c>
    </row>
    <row r="1301" ht="18.5" customHeight="1" spans="1:6">
      <c r="A1301" s="23">
        <v>1300</v>
      </c>
      <c r="B1301" s="23" t="s">
        <v>3061</v>
      </c>
      <c r="C1301" s="23" t="s">
        <v>692</v>
      </c>
      <c r="D1301" s="23" t="s">
        <v>712</v>
      </c>
      <c r="E1301" s="23" t="s">
        <v>1700</v>
      </c>
      <c r="F1301" s="23" t="s">
        <v>1252</v>
      </c>
    </row>
    <row r="1302" ht="18.5" customHeight="1" spans="1:6">
      <c r="A1302" s="22">
        <v>1301</v>
      </c>
      <c r="B1302" s="22" t="s">
        <v>3062</v>
      </c>
      <c r="C1302" s="22" t="s">
        <v>692</v>
      </c>
      <c r="D1302" s="22" t="s">
        <v>2274</v>
      </c>
      <c r="E1302" s="22" t="s">
        <v>1700</v>
      </c>
      <c r="F1302" s="22" t="s">
        <v>1252</v>
      </c>
    </row>
    <row r="1303" ht="18.5" customHeight="1" spans="1:6">
      <c r="A1303" s="23">
        <v>1302</v>
      </c>
      <c r="B1303" s="23" t="s">
        <v>3063</v>
      </c>
      <c r="C1303" s="23" t="s">
        <v>692</v>
      </c>
      <c r="D1303" s="23" t="s">
        <v>720</v>
      </c>
      <c r="E1303" s="23" t="s">
        <v>1700</v>
      </c>
      <c r="F1303" s="23" t="s">
        <v>1252</v>
      </c>
    </row>
    <row r="1304" ht="18.5" customHeight="1" spans="1:6">
      <c r="A1304" s="22">
        <v>1303</v>
      </c>
      <c r="B1304" s="22" t="s">
        <v>3064</v>
      </c>
      <c r="C1304" s="22" t="s">
        <v>692</v>
      </c>
      <c r="D1304" s="22" t="s">
        <v>693</v>
      </c>
      <c r="E1304" s="22" t="s">
        <v>1700</v>
      </c>
      <c r="F1304" s="22" t="s">
        <v>1252</v>
      </c>
    </row>
    <row r="1305" ht="18.5" customHeight="1" spans="1:6">
      <c r="A1305" s="23">
        <v>1304</v>
      </c>
      <c r="B1305" s="23" t="s">
        <v>3065</v>
      </c>
      <c r="C1305" s="23" t="s">
        <v>692</v>
      </c>
      <c r="D1305" s="23" t="s">
        <v>693</v>
      </c>
      <c r="E1305" s="23" t="s">
        <v>1700</v>
      </c>
      <c r="F1305" s="23" t="s">
        <v>1252</v>
      </c>
    </row>
    <row r="1306" ht="18.5" customHeight="1" spans="1:6">
      <c r="A1306" s="22">
        <v>1305</v>
      </c>
      <c r="B1306" s="22" t="s">
        <v>3066</v>
      </c>
      <c r="C1306" s="22" t="s">
        <v>692</v>
      </c>
      <c r="D1306" s="22" t="s">
        <v>700</v>
      </c>
      <c r="E1306" s="22" t="s">
        <v>1700</v>
      </c>
      <c r="F1306" s="22" t="s">
        <v>1252</v>
      </c>
    </row>
    <row r="1307" ht="18.5" customHeight="1" spans="1:6">
      <c r="A1307" s="23">
        <v>1306</v>
      </c>
      <c r="B1307" s="23" t="s">
        <v>3067</v>
      </c>
      <c r="C1307" s="23" t="s">
        <v>692</v>
      </c>
      <c r="D1307" s="23" t="s">
        <v>729</v>
      </c>
      <c r="E1307" s="23" t="s">
        <v>1700</v>
      </c>
      <c r="F1307" s="23" t="s">
        <v>1252</v>
      </c>
    </row>
    <row r="1308" ht="18.5" customHeight="1" spans="1:6">
      <c r="A1308" s="22">
        <v>1307</v>
      </c>
      <c r="B1308" s="22" t="s">
        <v>3068</v>
      </c>
      <c r="C1308" s="22" t="s">
        <v>692</v>
      </c>
      <c r="D1308" s="22" t="s">
        <v>712</v>
      </c>
      <c r="E1308" s="22" t="s">
        <v>1700</v>
      </c>
      <c r="F1308" s="22" t="s">
        <v>1252</v>
      </c>
    </row>
    <row r="1309" ht="18.5" customHeight="1" spans="1:6">
      <c r="A1309" s="23">
        <v>1308</v>
      </c>
      <c r="B1309" s="23" t="s">
        <v>3069</v>
      </c>
      <c r="C1309" s="23" t="s">
        <v>692</v>
      </c>
      <c r="D1309" s="23" t="s">
        <v>716</v>
      </c>
      <c r="E1309" s="23" t="s">
        <v>1700</v>
      </c>
      <c r="F1309" s="23" t="s">
        <v>1252</v>
      </c>
    </row>
    <row r="1310" ht="18.5" customHeight="1" spans="1:6">
      <c r="A1310" s="22">
        <v>1309</v>
      </c>
      <c r="B1310" s="22" t="s">
        <v>3070</v>
      </c>
      <c r="C1310" s="22" t="s">
        <v>692</v>
      </c>
      <c r="D1310" s="22" t="s">
        <v>693</v>
      </c>
      <c r="E1310" s="22" t="s">
        <v>1700</v>
      </c>
      <c r="F1310" s="22" t="s">
        <v>1252</v>
      </c>
    </row>
    <row r="1311" ht="18.5" customHeight="1" spans="1:6">
      <c r="A1311" s="23">
        <v>1310</v>
      </c>
      <c r="B1311" s="23" t="s">
        <v>3071</v>
      </c>
      <c r="C1311" s="23" t="s">
        <v>692</v>
      </c>
      <c r="D1311" s="23" t="s">
        <v>693</v>
      </c>
      <c r="E1311" s="23" t="s">
        <v>1700</v>
      </c>
      <c r="F1311" s="23" t="s">
        <v>1252</v>
      </c>
    </row>
    <row r="1312" ht="18.5" customHeight="1" spans="1:6">
      <c r="A1312" s="22">
        <v>1311</v>
      </c>
      <c r="B1312" s="22" t="s">
        <v>3072</v>
      </c>
      <c r="C1312" s="22" t="s">
        <v>692</v>
      </c>
      <c r="D1312" s="22" t="s">
        <v>693</v>
      </c>
      <c r="E1312" s="22" t="s">
        <v>1700</v>
      </c>
      <c r="F1312" s="22" t="s">
        <v>1252</v>
      </c>
    </row>
    <row r="1313" ht="18.5" customHeight="1" spans="1:6">
      <c r="A1313" s="23">
        <v>1312</v>
      </c>
      <c r="B1313" s="23" t="s">
        <v>3073</v>
      </c>
      <c r="C1313" s="23" t="s">
        <v>692</v>
      </c>
      <c r="D1313" s="23" t="s">
        <v>693</v>
      </c>
      <c r="E1313" s="23" t="s">
        <v>1700</v>
      </c>
      <c r="F1313" s="23" t="s">
        <v>1252</v>
      </c>
    </row>
    <row r="1314" ht="18.5" customHeight="1" spans="1:6">
      <c r="A1314" s="22">
        <v>1313</v>
      </c>
      <c r="B1314" s="22" t="s">
        <v>3074</v>
      </c>
      <c r="C1314" s="22" t="s">
        <v>692</v>
      </c>
      <c r="D1314" s="22" t="s">
        <v>693</v>
      </c>
      <c r="E1314" s="22" t="s">
        <v>1700</v>
      </c>
      <c r="F1314" s="22" t="s">
        <v>1252</v>
      </c>
    </row>
    <row r="1315" ht="18.5" customHeight="1" spans="1:6">
      <c r="A1315" s="23">
        <v>1314</v>
      </c>
      <c r="B1315" s="23" t="s">
        <v>3075</v>
      </c>
      <c r="C1315" s="23" t="s">
        <v>746</v>
      </c>
      <c r="D1315" s="23" t="s">
        <v>747</v>
      </c>
      <c r="E1315" s="23" t="s">
        <v>1700</v>
      </c>
      <c r="F1315" s="23" t="s">
        <v>1252</v>
      </c>
    </row>
    <row r="1316" ht="18.5" customHeight="1" spans="1:6">
      <c r="A1316" s="22">
        <v>1315</v>
      </c>
      <c r="B1316" s="22" t="s">
        <v>3076</v>
      </c>
      <c r="C1316" s="22" t="s">
        <v>746</v>
      </c>
      <c r="D1316" s="22" t="s">
        <v>747</v>
      </c>
      <c r="E1316" s="22" t="s">
        <v>1700</v>
      </c>
      <c r="F1316" s="22" t="s">
        <v>1252</v>
      </c>
    </row>
    <row r="1317" ht="18.5" customHeight="1" spans="1:6">
      <c r="A1317" s="23">
        <v>1316</v>
      </c>
      <c r="B1317" s="23" t="s">
        <v>3077</v>
      </c>
      <c r="C1317" s="23" t="s">
        <v>746</v>
      </c>
      <c r="D1317" s="23" t="s">
        <v>747</v>
      </c>
      <c r="E1317" s="23" t="s">
        <v>1700</v>
      </c>
      <c r="F1317" s="23" t="s">
        <v>1252</v>
      </c>
    </row>
    <row r="1318" ht="18.5" customHeight="1" spans="1:6">
      <c r="A1318" s="22">
        <v>1317</v>
      </c>
      <c r="B1318" s="22" t="s">
        <v>3078</v>
      </c>
      <c r="C1318" s="22" t="s">
        <v>746</v>
      </c>
      <c r="D1318" s="22" t="s">
        <v>747</v>
      </c>
      <c r="E1318" s="22" t="s">
        <v>1700</v>
      </c>
      <c r="F1318" s="22" t="s">
        <v>1252</v>
      </c>
    </row>
    <row r="1319" ht="18.5" customHeight="1" spans="1:6">
      <c r="A1319" s="23">
        <v>1318</v>
      </c>
      <c r="B1319" s="23" t="s">
        <v>3079</v>
      </c>
      <c r="C1319" s="23" t="s">
        <v>746</v>
      </c>
      <c r="D1319" s="23" t="s">
        <v>747</v>
      </c>
      <c r="E1319" s="23" t="s">
        <v>1700</v>
      </c>
      <c r="F1319" s="23" t="s">
        <v>1252</v>
      </c>
    </row>
    <row r="1320" ht="18.5" customHeight="1" spans="1:6">
      <c r="A1320" s="22">
        <v>1319</v>
      </c>
      <c r="B1320" s="22" t="s">
        <v>3080</v>
      </c>
      <c r="C1320" s="22" t="s">
        <v>746</v>
      </c>
      <c r="D1320" s="22" t="s">
        <v>747</v>
      </c>
      <c r="E1320" s="22" t="s">
        <v>1700</v>
      </c>
      <c r="F1320" s="22" t="s">
        <v>1252</v>
      </c>
    </row>
    <row r="1321" ht="18.5" customHeight="1" spans="1:6">
      <c r="A1321" s="23">
        <v>1320</v>
      </c>
      <c r="B1321" s="23" t="s">
        <v>3081</v>
      </c>
      <c r="C1321" s="23" t="s">
        <v>746</v>
      </c>
      <c r="D1321" s="23" t="s">
        <v>747</v>
      </c>
      <c r="E1321" s="23" t="s">
        <v>1700</v>
      </c>
      <c r="F1321" s="23" t="s">
        <v>1252</v>
      </c>
    </row>
    <row r="1322" ht="18.5" customHeight="1" spans="1:6">
      <c r="A1322" s="22">
        <v>1321</v>
      </c>
      <c r="B1322" s="22" t="s">
        <v>3082</v>
      </c>
      <c r="C1322" s="22" t="s">
        <v>746</v>
      </c>
      <c r="D1322" s="22" t="s">
        <v>765</v>
      </c>
      <c r="E1322" s="22" t="s">
        <v>1700</v>
      </c>
      <c r="F1322" s="22" t="s">
        <v>1252</v>
      </c>
    </row>
    <row r="1323" ht="18.5" customHeight="1" spans="1:6">
      <c r="A1323" s="23">
        <v>1322</v>
      </c>
      <c r="B1323" s="23" t="s">
        <v>3083</v>
      </c>
      <c r="C1323" s="23" t="s">
        <v>746</v>
      </c>
      <c r="D1323" s="23" t="s">
        <v>751</v>
      </c>
      <c r="E1323" s="23" t="s">
        <v>1700</v>
      </c>
      <c r="F1323" s="23" t="s">
        <v>1252</v>
      </c>
    </row>
    <row r="1324" ht="18.5" customHeight="1" spans="1:6">
      <c r="A1324" s="22">
        <v>1323</v>
      </c>
      <c r="B1324" s="22" t="s">
        <v>3084</v>
      </c>
      <c r="C1324" s="22" t="s">
        <v>746</v>
      </c>
      <c r="D1324" s="22" t="s">
        <v>747</v>
      </c>
      <c r="E1324" s="22" t="s">
        <v>1700</v>
      </c>
      <c r="F1324" s="22" t="s">
        <v>1252</v>
      </c>
    </row>
    <row r="1325" ht="18.5" customHeight="1" spans="1:6">
      <c r="A1325" s="23">
        <v>1324</v>
      </c>
      <c r="B1325" s="23" t="s">
        <v>3085</v>
      </c>
      <c r="C1325" s="23" t="s">
        <v>746</v>
      </c>
      <c r="D1325" s="23" t="s">
        <v>781</v>
      </c>
      <c r="E1325" s="23" t="s">
        <v>1700</v>
      </c>
      <c r="F1325" s="23" t="s">
        <v>1252</v>
      </c>
    </row>
    <row r="1326" ht="18.5" customHeight="1" spans="1:6">
      <c r="A1326" s="22">
        <v>1325</v>
      </c>
      <c r="B1326" s="22" t="s">
        <v>3086</v>
      </c>
      <c r="C1326" s="22" t="s">
        <v>746</v>
      </c>
      <c r="D1326" s="22" t="s">
        <v>778</v>
      </c>
      <c r="E1326" s="22" t="s">
        <v>1700</v>
      </c>
      <c r="F1326" s="22" t="s">
        <v>1252</v>
      </c>
    </row>
    <row r="1327" ht="18.5" customHeight="1" spans="1:6">
      <c r="A1327" s="23">
        <v>1326</v>
      </c>
      <c r="B1327" s="23" t="s">
        <v>3087</v>
      </c>
      <c r="C1327" s="23" t="s">
        <v>797</v>
      </c>
      <c r="D1327" s="23" t="s">
        <v>802</v>
      </c>
      <c r="E1327" s="23" t="s">
        <v>1700</v>
      </c>
      <c r="F1327" s="23" t="s">
        <v>1252</v>
      </c>
    </row>
    <row r="1328" ht="18.5" customHeight="1" spans="1:6">
      <c r="A1328" s="22">
        <v>1327</v>
      </c>
      <c r="B1328" s="22" t="s">
        <v>3088</v>
      </c>
      <c r="C1328" s="22" t="s">
        <v>797</v>
      </c>
      <c r="D1328" s="22" t="s">
        <v>825</v>
      </c>
      <c r="E1328" s="22" t="s">
        <v>1700</v>
      </c>
      <c r="F1328" s="22" t="s">
        <v>1252</v>
      </c>
    </row>
    <row r="1329" ht="18.5" customHeight="1" spans="1:6">
      <c r="A1329" s="23">
        <v>1328</v>
      </c>
      <c r="B1329" s="23" t="s">
        <v>3089</v>
      </c>
      <c r="C1329" s="23" t="s">
        <v>797</v>
      </c>
      <c r="D1329" s="23" t="s">
        <v>802</v>
      </c>
      <c r="E1329" s="23" t="s">
        <v>1700</v>
      </c>
      <c r="F1329" s="23" t="s">
        <v>1252</v>
      </c>
    </row>
    <row r="1330" ht="18.5" customHeight="1" spans="1:6">
      <c r="A1330" s="22">
        <v>1329</v>
      </c>
      <c r="B1330" s="22" t="s">
        <v>3090</v>
      </c>
      <c r="C1330" s="22" t="s">
        <v>797</v>
      </c>
      <c r="D1330" s="22" t="s">
        <v>802</v>
      </c>
      <c r="E1330" s="22" t="s">
        <v>1700</v>
      </c>
      <c r="F1330" s="22" t="s">
        <v>1252</v>
      </c>
    </row>
    <row r="1331" ht="18.5" customHeight="1" spans="1:6">
      <c r="A1331" s="23">
        <v>1330</v>
      </c>
      <c r="B1331" s="23" t="s">
        <v>3091</v>
      </c>
      <c r="C1331" s="23" t="s">
        <v>797</v>
      </c>
      <c r="D1331" s="23" t="s">
        <v>802</v>
      </c>
      <c r="E1331" s="23" t="s">
        <v>1700</v>
      </c>
      <c r="F1331" s="23" t="s">
        <v>1252</v>
      </c>
    </row>
    <row r="1332" ht="18.5" customHeight="1" spans="1:6">
      <c r="A1332" s="22">
        <v>1331</v>
      </c>
      <c r="B1332" s="22" t="s">
        <v>3092</v>
      </c>
      <c r="C1332" s="22" t="s">
        <v>797</v>
      </c>
      <c r="D1332" s="22" t="s">
        <v>821</v>
      </c>
      <c r="E1332" s="22" t="s">
        <v>1700</v>
      </c>
      <c r="F1332" s="22" t="s">
        <v>1252</v>
      </c>
    </row>
    <row r="1333" ht="18.5" customHeight="1" spans="1:6">
      <c r="A1333" s="23">
        <v>1332</v>
      </c>
      <c r="B1333" s="23" t="s">
        <v>3093</v>
      </c>
      <c r="C1333" s="23" t="s">
        <v>797</v>
      </c>
      <c r="D1333" s="23" t="s">
        <v>815</v>
      </c>
      <c r="E1333" s="23" t="s">
        <v>1700</v>
      </c>
      <c r="F1333" s="23" t="s">
        <v>1252</v>
      </c>
    </row>
    <row r="1334" ht="18.5" customHeight="1" spans="1:6">
      <c r="A1334" s="22">
        <v>1333</v>
      </c>
      <c r="B1334" s="22" t="s">
        <v>3094</v>
      </c>
      <c r="C1334" s="22" t="s">
        <v>797</v>
      </c>
      <c r="D1334" s="22" t="s">
        <v>802</v>
      </c>
      <c r="E1334" s="22" t="s">
        <v>1700</v>
      </c>
      <c r="F1334" s="22" t="s">
        <v>1252</v>
      </c>
    </row>
    <row r="1335" ht="18.5" customHeight="1" spans="1:6">
      <c r="A1335" s="23">
        <v>1334</v>
      </c>
      <c r="B1335" s="23" t="s">
        <v>3095</v>
      </c>
      <c r="C1335" s="23" t="s">
        <v>797</v>
      </c>
      <c r="D1335" s="23" t="s">
        <v>798</v>
      </c>
      <c r="E1335" s="23" t="s">
        <v>1700</v>
      </c>
      <c r="F1335" s="23" t="s">
        <v>1252</v>
      </c>
    </row>
    <row r="1336" ht="18.5" customHeight="1" spans="1:6">
      <c r="A1336" s="22">
        <v>1335</v>
      </c>
      <c r="B1336" s="22" t="s">
        <v>3096</v>
      </c>
      <c r="C1336" s="22" t="s">
        <v>844</v>
      </c>
      <c r="D1336" s="22" t="s">
        <v>2473</v>
      </c>
      <c r="E1336" s="22" t="s">
        <v>1700</v>
      </c>
      <c r="F1336" s="22" t="s">
        <v>1252</v>
      </c>
    </row>
    <row r="1337" ht="18.5" customHeight="1" spans="1:6">
      <c r="A1337" s="23">
        <v>1336</v>
      </c>
      <c r="B1337" s="23" t="s">
        <v>3097</v>
      </c>
      <c r="C1337" s="23" t="s">
        <v>844</v>
      </c>
      <c r="D1337" s="23" t="s">
        <v>845</v>
      </c>
      <c r="E1337" s="23" t="s">
        <v>1700</v>
      </c>
      <c r="F1337" s="23" t="s">
        <v>1252</v>
      </c>
    </row>
    <row r="1338" ht="18.5" customHeight="1" spans="1:6">
      <c r="A1338" s="22">
        <v>1337</v>
      </c>
      <c r="B1338" s="22" t="s">
        <v>3098</v>
      </c>
      <c r="C1338" s="22" t="s">
        <v>844</v>
      </c>
      <c r="D1338" s="22" t="s">
        <v>874</v>
      </c>
      <c r="E1338" s="22" t="s">
        <v>1700</v>
      </c>
      <c r="F1338" s="22" t="s">
        <v>1252</v>
      </c>
    </row>
    <row r="1339" ht="18.5" customHeight="1" spans="1:6">
      <c r="A1339" s="23">
        <v>1338</v>
      </c>
      <c r="B1339" s="23" t="s">
        <v>3099</v>
      </c>
      <c r="C1339" s="23" t="s">
        <v>844</v>
      </c>
      <c r="D1339" s="23" t="s">
        <v>845</v>
      </c>
      <c r="E1339" s="23" t="s">
        <v>1700</v>
      </c>
      <c r="F1339" s="23" t="s">
        <v>1252</v>
      </c>
    </row>
    <row r="1340" ht="18.5" customHeight="1" spans="1:6">
      <c r="A1340" s="22">
        <v>1339</v>
      </c>
      <c r="B1340" s="22" t="s">
        <v>3100</v>
      </c>
      <c r="C1340" s="22" t="s">
        <v>844</v>
      </c>
      <c r="D1340" s="22" t="s">
        <v>1569</v>
      </c>
      <c r="E1340" s="22" t="s">
        <v>1700</v>
      </c>
      <c r="F1340" s="22" t="s">
        <v>1252</v>
      </c>
    </row>
    <row r="1341" ht="18.5" customHeight="1" spans="1:6">
      <c r="A1341" s="23">
        <v>1340</v>
      </c>
      <c r="B1341" s="23" t="s">
        <v>3101</v>
      </c>
      <c r="C1341" s="23" t="s">
        <v>844</v>
      </c>
      <c r="D1341" s="23" t="s">
        <v>845</v>
      </c>
      <c r="E1341" s="23" t="s">
        <v>1700</v>
      </c>
      <c r="F1341" s="23" t="s">
        <v>1252</v>
      </c>
    </row>
    <row r="1342" ht="18.5" customHeight="1" spans="1:6">
      <c r="A1342" s="22">
        <v>1341</v>
      </c>
      <c r="B1342" s="22" t="s">
        <v>3102</v>
      </c>
      <c r="C1342" s="22" t="s">
        <v>844</v>
      </c>
      <c r="D1342" s="22" t="s">
        <v>866</v>
      </c>
      <c r="E1342" s="22" t="s">
        <v>1700</v>
      </c>
      <c r="F1342" s="22" t="s">
        <v>1252</v>
      </c>
    </row>
    <row r="1343" ht="18.5" customHeight="1" spans="1:6">
      <c r="A1343" s="23">
        <v>1342</v>
      </c>
      <c r="B1343" s="23" t="s">
        <v>3103</v>
      </c>
      <c r="C1343" s="23" t="s">
        <v>844</v>
      </c>
      <c r="D1343" s="23" t="s">
        <v>845</v>
      </c>
      <c r="E1343" s="23" t="s">
        <v>1700</v>
      </c>
      <c r="F1343" s="23" t="s">
        <v>1252</v>
      </c>
    </row>
    <row r="1344" ht="18.5" customHeight="1" spans="1:6">
      <c r="A1344" s="22">
        <v>1343</v>
      </c>
      <c r="B1344" s="22" t="s">
        <v>3104</v>
      </c>
      <c r="C1344" s="22" t="s">
        <v>844</v>
      </c>
      <c r="D1344" s="22" t="s">
        <v>845</v>
      </c>
      <c r="E1344" s="22" t="s">
        <v>1700</v>
      </c>
      <c r="F1344" s="22" t="s">
        <v>1252</v>
      </c>
    </row>
    <row r="1345" ht="18.5" customHeight="1" spans="1:6">
      <c r="A1345" s="23">
        <v>1344</v>
      </c>
      <c r="B1345" s="23" t="s">
        <v>3105</v>
      </c>
      <c r="C1345" s="23" t="s">
        <v>844</v>
      </c>
      <c r="D1345" s="23" t="s">
        <v>861</v>
      </c>
      <c r="E1345" s="23" t="s">
        <v>1700</v>
      </c>
      <c r="F1345" s="23" t="s">
        <v>1252</v>
      </c>
    </row>
    <row r="1346" ht="18.5" customHeight="1" spans="1:6">
      <c r="A1346" s="22">
        <v>1345</v>
      </c>
      <c r="B1346" s="22" t="s">
        <v>3106</v>
      </c>
      <c r="C1346" s="22" t="s">
        <v>844</v>
      </c>
      <c r="D1346" s="22" t="s">
        <v>845</v>
      </c>
      <c r="E1346" s="22" t="s">
        <v>1700</v>
      </c>
      <c r="F1346" s="22" t="s">
        <v>1252</v>
      </c>
    </row>
    <row r="1347" ht="18.5" customHeight="1" spans="1:6">
      <c r="A1347" s="23">
        <v>1346</v>
      </c>
      <c r="B1347" s="23" t="s">
        <v>3107</v>
      </c>
      <c r="C1347" s="23" t="s">
        <v>844</v>
      </c>
      <c r="D1347" s="23" t="s">
        <v>845</v>
      </c>
      <c r="E1347" s="23" t="s">
        <v>1700</v>
      </c>
      <c r="F1347" s="23" t="s">
        <v>1252</v>
      </c>
    </row>
    <row r="1348" ht="18.5" customHeight="1" spans="1:6">
      <c r="A1348" s="22">
        <v>1347</v>
      </c>
      <c r="B1348" s="22" t="s">
        <v>3108</v>
      </c>
      <c r="C1348" s="22" t="s">
        <v>844</v>
      </c>
      <c r="D1348" s="22" t="s">
        <v>845</v>
      </c>
      <c r="E1348" s="22" t="s">
        <v>1700</v>
      </c>
      <c r="F1348" s="22" t="s">
        <v>1252</v>
      </c>
    </row>
    <row r="1349" ht="18.5" customHeight="1" spans="1:6">
      <c r="A1349" s="23">
        <v>1348</v>
      </c>
      <c r="B1349" s="23" t="s">
        <v>3109</v>
      </c>
      <c r="C1349" s="23" t="s">
        <v>844</v>
      </c>
      <c r="D1349" s="23" t="s">
        <v>845</v>
      </c>
      <c r="E1349" s="23" t="s">
        <v>1700</v>
      </c>
      <c r="F1349" s="23" t="s">
        <v>1252</v>
      </c>
    </row>
    <row r="1350" ht="18.5" customHeight="1" spans="1:6">
      <c r="A1350" s="22">
        <v>1349</v>
      </c>
      <c r="B1350" s="22" t="s">
        <v>3110</v>
      </c>
      <c r="C1350" s="22" t="s">
        <v>844</v>
      </c>
      <c r="D1350" s="22" t="s">
        <v>845</v>
      </c>
      <c r="E1350" s="22" t="s">
        <v>1700</v>
      </c>
      <c r="F1350" s="22" t="s">
        <v>1252</v>
      </c>
    </row>
    <row r="1351" ht="18.5" customHeight="1" spans="1:6">
      <c r="A1351" s="23">
        <v>1350</v>
      </c>
      <c r="B1351" s="23" t="s">
        <v>3111</v>
      </c>
      <c r="C1351" s="23" t="s">
        <v>844</v>
      </c>
      <c r="D1351" s="23" t="s">
        <v>852</v>
      </c>
      <c r="E1351" s="23" t="s">
        <v>1700</v>
      </c>
      <c r="F1351" s="23" t="s">
        <v>1252</v>
      </c>
    </row>
    <row r="1352" ht="18.5" customHeight="1" spans="1:6">
      <c r="A1352" s="22">
        <v>1351</v>
      </c>
      <c r="B1352" s="22" t="s">
        <v>3112</v>
      </c>
      <c r="C1352" s="22" t="s">
        <v>844</v>
      </c>
      <c r="D1352" s="22" t="s">
        <v>845</v>
      </c>
      <c r="E1352" s="22" t="s">
        <v>1700</v>
      </c>
      <c r="F1352" s="22" t="s">
        <v>1252</v>
      </c>
    </row>
    <row r="1353" ht="18.5" customHeight="1" spans="1:6">
      <c r="A1353" s="23">
        <v>1352</v>
      </c>
      <c r="B1353" s="23" t="s">
        <v>3113</v>
      </c>
      <c r="C1353" s="23" t="s">
        <v>844</v>
      </c>
      <c r="D1353" s="23" t="s">
        <v>881</v>
      </c>
      <c r="E1353" s="23" t="s">
        <v>1700</v>
      </c>
      <c r="F1353" s="23" t="s">
        <v>1252</v>
      </c>
    </row>
    <row r="1354" ht="18.5" customHeight="1" spans="1:6">
      <c r="A1354" s="22">
        <v>1353</v>
      </c>
      <c r="B1354" s="22" t="s">
        <v>3114</v>
      </c>
      <c r="C1354" s="22" t="s">
        <v>844</v>
      </c>
      <c r="D1354" s="22" t="s">
        <v>845</v>
      </c>
      <c r="E1354" s="22" t="s">
        <v>1700</v>
      </c>
      <c r="F1354" s="22" t="s">
        <v>1252</v>
      </c>
    </row>
    <row r="1355" ht="18.5" customHeight="1" spans="1:6">
      <c r="A1355" s="23">
        <v>1354</v>
      </c>
      <c r="B1355" s="23" t="s">
        <v>3115</v>
      </c>
      <c r="C1355" s="23" t="s">
        <v>844</v>
      </c>
      <c r="D1355" s="23" t="s">
        <v>845</v>
      </c>
      <c r="E1355" s="23" t="s">
        <v>1700</v>
      </c>
      <c r="F1355" s="23" t="s">
        <v>1252</v>
      </c>
    </row>
    <row r="1356" ht="18.5" customHeight="1" spans="1:6">
      <c r="A1356" s="22">
        <v>1355</v>
      </c>
      <c r="B1356" s="22" t="s">
        <v>3116</v>
      </c>
      <c r="C1356" s="22" t="s">
        <v>844</v>
      </c>
      <c r="D1356" s="22" t="s">
        <v>845</v>
      </c>
      <c r="E1356" s="22" t="s">
        <v>1700</v>
      </c>
      <c r="F1356" s="22" t="s">
        <v>1252</v>
      </c>
    </row>
    <row r="1357" ht="18.5" customHeight="1" spans="1:6">
      <c r="A1357" s="23">
        <v>1356</v>
      </c>
      <c r="B1357" s="23" t="s">
        <v>3117</v>
      </c>
      <c r="C1357" s="23" t="s">
        <v>844</v>
      </c>
      <c r="D1357" s="23" t="s">
        <v>886</v>
      </c>
      <c r="E1357" s="23" t="s">
        <v>1700</v>
      </c>
      <c r="F1357" s="23" t="s">
        <v>1252</v>
      </c>
    </row>
    <row r="1358" ht="18.5" customHeight="1" spans="1:6">
      <c r="A1358" s="22">
        <v>1357</v>
      </c>
      <c r="B1358" s="22" t="s">
        <v>3118</v>
      </c>
      <c r="C1358" s="22" t="s">
        <v>844</v>
      </c>
      <c r="D1358" s="22" t="s">
        <v>866</v>
      </c>
      <c r="E1358" s="22" t="s">
        <v>1700</v>
      </c>
      <c r="F1358" s="22" t="s">
        <v>1252</v>
      </c>
    </row>
    <row r="1359" ht="18.5" customHeight="1" spans="1:6">
      <c r="A1359" s="23">
        <v>1358</v>
      </c>
      <c r="B1359" s="23" t="s">
        <v>3119</v>
      </c>
      <c r="C1359" s="23" t="s">
        <v>844</v>
      </c>
      <c r="D1359" s="23" t="s">
        <v>2475</v>
      </c>
      <c r="E1359" s="23" t="s">
        <v>1700</v>
      </c>
      <c r="F1359" s="23" t="s">
        <v>1252</v>
      </c>
    </row>
    <row r="1360" ht="18.5" customHeight="1" spans="1:6">
      <c r="A1360" s="22">
        <v>1359</v>
      </c>
      <c r="B1360" s="22" t="s">
        <v>3120</v>
      </c>
      <c r="C1360" s="22" t="s">
        <v>844</v>
      </c>
      <c r="D1360" s="22" t="s">
        <v>886</v>
      </c>
      <c r="E1360" s="22" t="s">
        <v>1700</v>
      </c>
      <c r="F1360" s="22" t="s">
        <v>1252</v>
      </c>
    </row>
    <row r="1361" ht="18.5" customHeight="1" spans="1:6">
      <c r="A1361" s="23">
        <v>1360</v>
      </c>
      <c r="B1361" s="23" t="s">
        <v>3121</v>
      </c>
      <c r="C1361" s="23" t="s">
        <v>844</v>
      </c>
      <c r="D1361" s="23" t="s">
        <v>866</v>
      </c>
      <c r="E1361" s="23" t="s">
        <v>1700</v>
      </c>
      <c r="F1361" s="23" t="s">
        <v>1252</v>
      </c>
    </row>
    <row r="1362" ht="18.5" customHeight="1" spans="1:6">
      <c r="A1362" s="22">
        <v>1361</v>
      </c>
      <c r="B1362" s="22" t="s">
        <v>3122</v>
      </c>
      <c r="C1362" s="22" t="s">
        <v>902</v>
      </c>
      <c r="D1362" s="22" t="s">
        <v>907</v>
      </c>
      <c r="E1362" s="22" t="s">
        <v>1700</v>
      </c>
      <c r="F1362" s="22" t="s">
        <v>1252</v>
      </c>
    </row>
    <row r="1363" ht="18.5" customHeight="1" spans="1:6">
      <c r="A1363" s="23">
        <v>1362</v>
      </c>
      <c r="B1363" s="23" t="s">
        <v>3123</v>
      </c>
      <c r="C1363" s="23" t="s">
        <v>902</v>
      </c>
      <c r="D1363" s="23" t="s">
        <v>907</v>
      </c>
      <c r="E1363" s="23" t="s">
        <v>1700</v>
      </c>
      <c r="F1363" s="23" t="s">
        <v>1252</v>
      </c>
    </row>
    <row r="1364" ht="18.5" customHeight="1" spans="1:6">
      <c r="A1364" s="22">
        <v>1363</v>
      </c>
      <c r="B1364" s="22" t="s">
        <v>3124</v>
      </c>
      <c r="C1364" s="22" t="s">
        <v>902</v>
      </c>
      <c r="D1364" s="22" t="s">
        <v>903</v>
      </c>
      <c r="E1364" s="22" t="s">
        <v>1700</v>
      </c>
      <c r="F1364" s="22" t="s">
        <v>1252</v>
      </c>
    </row>
    <row r="1365" ht="18.5" customHeight="1" spans="1:6">
      <c r="A1365" s="23">
        <v>1364</v>
      </c>
      <c r="B1365" s="23" t="s">
        <v>3125</v>
      </c>
      <c r="C1365" s="23" t="s">
        <v>902</v>
      </c>
      <c r="D1365" s="23" t="s">
        <v>931</v>
      </c>
      <c r="E1365" s="23" t="s">
        <v>1700</v>
      </c>
      <c r="F1365" s="23" t="s">
        <v>1252</v>
      </c>
    </row>
    <row r="1366" ht="18.5" customHeight="1" spans="1:6">
      <c r="A1366" s="22">
        <v>1365</v>
      </c>
      <c r="B1366" s="22" t="s">
        <v>3126</v>
      </c>
      <c r="C1366" s="22" t="s">
        <v>902</v>
      </c>
      <c r="D1366" s="22" t="s">
        <v>911</v>
      </c>
      <c r="E1366" s="22" t="s">
        <v>1700</v>
      </c>
      <c r="F1366" s="22" t="s">
        <v>1252</v>
      </c>
    </row>
    <row r="1367" ht="18.5" customHeight="1" spans="1:6">
      <c r="A1367" s="23">
        <v>1366</v>
      </c>
      <c r="B1367" s="23" t="s">
        <v>3127</v>
      </c>
      <c r="C1367" s="23" t="s">
        <v>902</v>
      </c>
      <c r="D1367" s="23" t="s">
        <v>917</v>
      </c>
      <c r="E1367" s="23" t="s">
        <v>1700</v>
      </c>
      <c r="F1367" s="23" t="s">
        <v>1252</v>
      </c>
    </row>
    <row r="1368" ht="18.5" customHeight="1" spans="1:6">
      <c r="A1368" s="22">
        <v>1367</v>
      </c>
      <c r="B1368" s="22" t="s">
        <v>3128</v>
      </c>
      <c r="C1368" s="22" t="s">
        <v>902</v>
      </c>
      <c r="D1368" s="22" t="s">
        <v>903</v>
      </c>
      <c r="E1368" s="22" t="s">
        <v>1700</v>
      </c>
      <c r="F1368" s="22" t="s">
        <v>1252</v>
      </c>
    </row>
    <row r="1369" ht="18.5" customHeight="1" spans="1:6">
      <c r="A1369" s="23">
        <v>1368</v>
      </c>
      <c r="B1369" s="23" t="s">
        <v>3129</v>
      </c>
      <c r="C1369" s="23" t="s">
        <v>902</v>
      </c>
      <c r="D1369" s="23" t="s">
        <v>917</v>
      </c>
      <c r="E1369" s="23" t="s">
        <v>1700</v>
      </c>
      <c r="F1369" s="23" t="s">
        <v>1252</v>
      </c>
    </row>
    <row r="1370" ht="18.5" customHeight="1" spans="1:6">
      <c r="A1370" s="22">
        <v>1369</v>
      </c>
      <c r="B1370" s="22" t="s">
        <v>3130</v>
      </c>
      <c r="C1370" s="22" t="s">
        <v>902</v>
      </c>
      <c r="D1370" s="22" t="s">
        <v>911</v>
      </c>
      <c r="E1370" s="22" t="s">
        <v>1700</v>
      </c>
      <c r="F1370" s="22" t="s">
        <v>1252</v>
      </c>
    </row>
    <row r="1371" ht="18.5" customHeight="1" spans="1:6">
      <c r="A1371" s="23">
        <v>1370</v>
      </c>
      <c r="B1371" s="23" t="s">
        <v>3131</v>
      </c>
      <c r="C1371" s="23" t="s">
        <v>902</v>
      </c>
      <c r="D1371" s="23" t="s">
        <v>917</v>
      </c>
      <c r="E1371" s="23" t="s">
        <v>1700</v>
      </c>
      <c r="F1371" s="23" t="s">
        <v>1252</v>
      </c>
    </row>
    <row r="1372" ht="18.5" customHeight="1" spans="1:6">
      <c r="A1372" s="22">
        <v>1371</v>
      </c>
      <c r="B1372" s="22" t="s">
        <v>3132</v>
      </c>
      <c r="C1372" s="22" t="s">
        <v>902</v>
      </c>
      <c r="D1372" s="22" t="s">
        <v>921</v>
      </c>
      <c r="E1372" s="22" t="s">
        <v>1700</v>
      </c>
      <c r="F1372" s="22" t="s">
        <v>1252</v>
      </c>
    </row>
    <row r="1373" ht="18.5" customHeight="1" spans="1:6">
      <c r="A1373" s="23">
        <v>1372</v>
      </c>
      <c r="B1373" s="23" t="s">
        <v>3133</v>
      </c>
      <c r="C1373" s="23" t="s">
        <v>902</v>
      </c>
      <c r="D1373" s="23" t="s">
        <v>928</v>
      </c>
      <c r="E1373" s="23" t="s">
        <v>1700</v>
      </c>
      <c r="F1373" s="23" t="s">
        <v>1252</v>
      </c>
    </row>
    <row r="1374" ht="18.5" customHeight="1" spans="1:6">
      <c r="A1374" s="22">
        <v>1373</v>
      </c>
      <c r="B1374" s="22" t="s">
        <v>3134</v>
      </c>
      <c r="C1374" s="22" t="s">
        <v>902</v>
      </c>
      <c r="D1374" s="22" t="s">
        <v>926</v>
      </c>
      <c r="E1374" s="22" t="s">
        <v>1700</v>
      </c>
      <c r="F1374" s="22" t="s">
        <v>1252</v>
      </c>
    </row>
    <row r="1375" ht="18.5" customHeight="1" spans="1:6">
      <c r="A1375" s="23">
        <v>1374</v>
      </c>
      <c r="B1375" s="23" t="s">
        <v>3135</v>
      </c>
      <c r="C1375" s="23" t="s">
        <v>902</v>
      </c>
      <c r="D1375" s="23" t="s">
        <v>1580</v>
      </c>
      <c r="E1375" s="23" t="s">
        <v>1700</v>
      </c>
      <c r="F1375" s="23" t="s">
        <v>1252</v>
      </c>
    </row>
    <row r="1376" ht="18.5" customHeight="1" spans="1:6">
      <c r="A1376" s="22">
        <v>1375</v>
      </c>
      <c r="B1376" s="22" t="s">
        <v>3136</v>
      </c>
      <c r="C1376" s="22" t="s">
        <v>943</v>
      </c>
      <c r="D1376" s="22" t="s">
        <v>946</v>
      </c>
      <c r="E1376" s="22" t="s">
        <v>1700</v>
      </c>
      <c r="F1376" s="22" t="s">
        <v>1252</v>
      </c>
    </row>
    <row r="1377" ht="18.5" customHeight="1" spans="1:6">
      <c r="A1377" s="23">
        <v>1376</v>
      </c>
      <c r="B1377" s="23" t="s">
        <v>3137</v>
      </c>
      <c r="C1377" s="23" t="s">
        <v>943</v>
      </c>
      <c r="D1377" s="23" t="s">
        <v>944</v>
      </c>
      <c r="E1377" s="23" t="s">
        <v>1700</v>
      </c>
      <c r="F1377" s="23" t="s">
        <v>1252</v>
      </c>
    </row>
    <row r="1378" ht="18.5" customHeight="1" spans="1:6">
      <c r="A1378" s="22">
        <v>1377</v>
      </c>
      <c r="B1378" s="22" t="s">
        <v>3138</v>
      </c>
      <c r="C1378" s="22" t="s">
        <v>943</v>
      </c>
      <c r="D1378" s="22" t="s">
        <v>946</v>
      </c>
      <c r="E1378" s="22" t="s">
        <v>1700</v>
      </c>
      <c r="F1378" s="22" t="s">
        <v>1252</v>
      </c>
    </row>
    <row r="1379" ht="18.5" customHeight="1" spans="1:6">
      <c r="A1379" s="23">
        <v>1378</v>
      </c>
      <c r="B1379" s="23" t="s">
        <v>3139</v>
      </c>
      <c r="C1379" s="23" t="s">
        <v>943</v>
      </c>
      <c r="D1379" s="23" t="s">
        <v>946</v>
      </c>
      <c r="E1379" s="23" t="s">
        <v>1700</v>
      </c>
      <c r="F1379" s="23" t="s">
        <v>1252</v>
      </c>
    </row>
    <row r="1380" ht="18.5" customHeight="1" spans="1:6">
      <c r="A1380" s="22">
        <v>1379</v>
      </c>
      <c r="B1380" s="22" t="s">
        <v>3140</v>
      </c>
      <c r="C1380" s="22" t="s">
        <v>943</v>
      </c>
      <c r="D1380" s="22" t="s">
        <v>946</v>
      </c>
      <c r="E1380" s="22" t="s">
        <v>1700</v>
      </c>
      <c r="F1380" s="22" t="s">
        <v>1252</v>
      </c>
    </row>
    <row r="1381" ht="18.5" customHeight="1" spans="1:6">
      <c r="A1381" s="23">
        <v>1380</v>
      </c>
      <c r="B1381" s="23" t="s">
        <v>3141</v>
      </c>
      <c r="C1381" s="23" t="s">
        <v>943</v>
      </c>
      <c r="D1381" s="23" t="s">
        <v>3142</v>
      </c>
      <c r="E1381" s="23" t="s">
        <v>1700</v>
      </c>
      <c r="F1381" s="23" t="s">
        <v>1252</v>
      </c>
    </row>
    <row r="1382" ht="18.5" customHeight="1" spans="1:6">
      <c r="A1382" s="22">
        <v>1381</v>
      </c>
      <c r="B1382" s="22" t="s">
        <v>3143</v>
      </c>
      <c r="C1382" s="22" t="s">
        <v>951</v>
      </c>
      <c r="D1382" s="22" t="s">
        <v>951</v>
      </c>
      <c r="E1382" s="22" t="s">
        <v>1700</v>
      </c>
      <c r="F1382" s="22" t="s">
        <v>1252</v>
      </c>
    </row>
    <row r="1383" ht="18.5" customHeight="1" spans="1:6">
      <c r="A1383" s="23">
        <v>1382</v>
      </c>
      <c r="B1383" s="23" t="s">
        <v>3144</v>
      </c>
      <c r="C1383" s="23" t="s">
        <v>951</v>
      </c>
      <c r="D1383" s="23" t="s">
        <v>951</v>
      </c>
      <c r="E1383" s="23" t="s">
        <v>1700</v>
      </c>
      <c r="F1383" s="23" t="s">
        <v>1252</v>
      </c>
    </row>
    <row r="1384" ht="18.5" customHeight="1" spans="1:6">
      <c r="A1384" s="22">
        <v>1383</v>
      </c>
      <c r="B1384" s="22" t="s">
        <v>3145</v>
      </c>
      <c r="C1384" s="22" t="s">
        <v>951</v>
      </c>
      <c r="D1384" s="22" t="s">
        <v>951</v>
      </c>
      <c r="E1384" s="22" t="s">
        <v>1700</v>
      </c>
      <c r="F1384" s="22" t="s">
        <v>1252</v>
      </c>
    </row>
    <row r="1385" ht="18.5" customHeight="1" spans="1:6">
      <c r="A1385" s="23">
        <v>1384</v>
      </c>
      <c r="B1385" s="23" t="s">
        <v>3146</v>
      </c>
      <c r="C1385" s="23" t="s">
        <v>951</v>
      </c>
      <c r="D1385" s="23" t="s">
        <v>951</v>
      </c>
      <c r="E1385" s="23" t="s">
        <v>1700</v>
      </c>
      <c r="F1385" s="23" t="s">
        <v>1252</v>
      </c>
    </row>
    <row r="1386" ht="18.5" customHeight="1" spans="1:6">
      <c r="A1386" s="22">
        <v>1385</v>
      </c>
      <c r="B1386" s="22" t="s">
        <v>3147</v>
      </c>
      <c r="C1386" s="22" t="s">
        <v>951</v>
      </c>
      <c r="D1386" s="22" t="s">
        <v>951</v>
      </c>
      <c r="E1386" s="22" t="s">
        <v>1700</v>
      </c>
      <c r="F1386" s="22" t="s">
        <v>1252</v>
      </c>
    </row>
    <row r="1387" ht="18.5" customHeight="1" spans="1:6">
      <c r="A1387" s="23">
        <v>1386</v>
      </c>
      <c r="B1387" s="23" t="s">
        <v>3148</v>
      </c>
      <c r="C1387" s="23" t="s">
        <v>951</v>
      </c>
      <c r="D1387" s="23" t="s">
        <v>951</v>
      </c>
      <c r="E1387" s="23" t="s">
        <v>1700</v>
      </c>
      <c r="F1387" s="23" t="s">
        <v>1252</v>
      </c>
    </row>
    <row r="1388" ht="18.5" customHeight="1" spans="1:6">
      <c r="A1388" s="22">
        <v>1387</v>
      </c>
      <c r="B1388" s="22" t="s">
        <v>3149</v>
      </c>
      <c r="C1388" s="22" t="s">
        <v>951</v>
      </c>
      <c r="D1388" s="22" t="s">
        <v>951</v>
      </c>
      <c r="E1388" s="22" t="s">
        <v>1700</v>
      </c>
      <c r="F1388" s="22" t="s">
        <v>1252</v>
      </c>
    </row>
    <row r="1389" ht="18.5" customHeight="1" spans="1:6">
      <c r="A1389" s="23">
        <v>1388</v>
      </c>
      <c r="B1389" s="23" t="s">
        <v>3150</v>
      </c>
      <c r="C1389" s="23" t="s">
        <v>951</v>
      </c>
      <c r="D1389" s="23" t="s">
        <v>951</v>
      </c>
      <c r="E1389" s="23" t="s">
        <v>1700</v>
      </c>
      <c r="F1389" s="23" t="s">
        <v>1252</v>
      </c>
    </row>
    <row r="1390" ht="18.5" customHeight="1" spans="1:6">
      <c r="A1390" s="22">
        <v>1389</v>
      </c>
      <c r="B1390" s="22" t="s">
        <v>3151</v>
      </c>
      <c r="C1390" s="22" t="s">
        <v>951</v>
      </c>
      <c r="D1390" s="22" t="s">
        <v>951</v>
      </c>
      <c r="E1390" s="22" t="s">
        <v>1700</v>
      </c>
      <c r="F1390" s="22" t="s">
        <v>1252</v>
      </c>
    </row>
    <row r="1391" ht="18.5" customHeight="1" spans="1:6">
      <c r="A1391" s="23">
        <v>1390</v>
      </c>
      <c r="B1391" s="23" t="s">
        <v>3152</v>
      </c>
      <c r="C1391" s="23" t="s">
        <v>951</v>
      </c>
      <c r="D1391" s="23" t="s">
        <v>951</v>
      </c>
      <c r="E1391" s="23" t="s">
        <v>1700</v>
      </c>
      <c r="F1391" s="23" t="s">
        <v>1252</v>
      </c>
    </row>
    <row r="1392" ht="18.5" customHeight="1" spans="1:6">
      <c r="A1392" s="22">
        <v>1391</v>
      </c>
      <c r="B1392" s="22" t="s">
        <v>3153</v>
      </c>
      <c r="C1392" s="22" t="s">
        <v>951</v>
      </c>
      <c r="D1392" s="22" t="s">
        <v>951</v>
      </c>
      <c r="E1392" s="22" t="s">
        <v>1700</v>
      </c>
      <c r="F1392" s="22" t="s">
        <v>1252</v>
      </c>
    </row>
    <row r="1393" ht="18.5" customHeight="1" spans="1:6">
      <c r="A1393" s="23">
        <v>1392</v>
      </c>
      <c r="B1393" s="23" t="s">
        <v>3154</v>
      </c>
      <c r="C1393" s="23" t="s">
        <v>951</v>
      </c>
      <c r="D1393" s="23" t="s">
        <v>951</v>
      </c>
      <c r="E1393" s="23" t="s">
        <v>1700</v>
      </c>
      <c r="F1393" s="23" t="s">
        <v>1252</v>
      </c>
    </row>
    <row r="1394" ht="18.5" customHeight="1" spans="1:6">
      <c r="A1394" s="22">
        <v>1393</v>
      </c>
      <c r="B1394" s="22" t="s">
        <v>3155</v>
      </c>
      <c r="C1394" s="22" t="s">
        <v>951</v>
      </c>
      <c r="D1394" s="22" t="s">
        <v>951</v>
      </c>
      <c r="E1394" s="22" t="s">
        <v>1700</v>
      </c>
      <c r="F1394" s="22" t="s">
        <v>1252</v>
      </c>
    </row>
    <row r="1395" ht="18.5" customHeight="1" spans="1:6">
      <c r="A1395" s="23">
        <v>1394</v>
      </c>
      <c r="B1395" s="23" t="s">
        <v>3156</v>
      </c>
      <c r="C1395" s="23" t="s">
        <v>951</v>
      </c>
      <c r="D1395" s="23" t="s">
        <v>951</v>
      </c>
      <c r="E1395" s="23" t="s">
        <v>1700</v>
      </c>
      <c r="F1395" s="23" t="s">
        <v>1252</v>
      </c>
    </row>
    <row r="1396" ht="18.5" customHeight="1" spans="1:6">
      <c r="A1396" s="22">
        <v>1395</v>
      </c>
      <c r="B1396" s="22" t="s">
        <v>3157</v>
      </c>
      <c r="C1396" s="22" t="s">
        <v>951</v>
      </c>
      <c r="D1396" s="22" t="s">
        <v>951</v>
      </c>
      <c r="E1396" s="22" t="s">
        <v>1700</v>
      </c>
      <c r="F1396" s="22" t="s">
        <v>1252</v>
      </c>
    </row>
    <row r="1397" ht="18.5" customHeight="1" spans="1:6">
      <c r="A1397" s="23">
        <v>1396</v>
      </c>
      <c r="B1397" s="23" t="s">
        <v>3158</v>
      </c>
      <c r="C1397" s="23" t="s">
        <v>951</v>
      </c>
      <c r="D1397" s="23" t="s">
        <v>951</v>
      </c>
      <c r="E1397" s="23" t="s">
        <v>1700</v>
      </c>
      <c r="F1397" s="23" t="s">
        <v>1252</v>
      </c>
    </row>
    <row r="1398" ht="18.5" customHeight="1" spans="1:6">
      <c r="A1398" s="22">
        <v>1397</v>
      </c>
      <c r="B1398" s="22" t="s">
        <v>3159</v>
      </c>
      <c r="C1398" s="22" t="s">
        <v>951</v>
      </c>
      <c r="D1398" s="22" t="s">
        <v>951</v>
      </c>
      <c r="E1398" s="22" t="s">
        <v>1700</v>
      </c>
      <c r="F1398" s="22" t="s">
        <v>1252</v>
      </c>
    </row>
    <row r="1399" ht="18.5" customHeight="1" spans="1:6">
      <c r="A1399" s="23">
        <v>1398</v>
      </c>
      <c r="B1399" s="23" t="s">
        <v>3160</v>
      </c>
      <c r="C1399" s="23" t="s">
        <v>951</v>
      </c>
      <c r="D1399" s="23" t="s">
        <v>951</v>
      </c>
      <c r="E1399" s="23" t="s">
        <v>1700</v>
      </c>
      <c r="F1399" s="23" t="s">
        <v>1252</v>
      </c>
    </row>
    <row r="1400" ht="18.5" customHeight="1" spans="1:6">
      <c r="A1400" s="22">
        <v>1399</v>
      </c>
      <c r="B1400" s="22" t="s">
        <v>3161</v>
      </c>
      <c r="C1400" s="22" t="s">
        <v>951</v>
      </c>
      <c r="D1400" s="22" t="s">
        <v>951</v>
      </c>
      <c r="E1400" s="22" t="s">
        <v>1700</v>
      </c>
      <c r="F1400" s="22" t="s">
        <v>1252</v>
      </c>
    </row>
    <row r="1401" ht="18.5" customHeight="1" spans="1:6">
      <c r="A1401" s="23">
        <v>1400</v>
      </c>
      <c r="B1401" s="23" t="s">
        <v>3162</v>
      </c>
      <c r="C1401" s="23" t="s">
        <v>951</v>
      </c>
      <c r="D1401" s="23" t="s">
        <v>951</v>
      </c>
      <c r="E1401" s="23" t="s">
        <v>1700</v>
      </c>
      <c r="F1401" s="23" t="s">
        <v>1252</v>
      </c>
    </row>
    <row r="1402" ht="18.5" customHeight="1" spans="1:6">
      <c r="A1402" s="22">
        <v>1401</v>
      </c>
      <c r="B1402" s="22" t="s">
        <v>3163</v>
      </c>
      <c r="C1402" s="22" t="s">
        <v>971</v>
      </c>
      <c r="D1402" s="22" t="s">
        <v>972</v>
      </c>
      <c r="E1402" s="22" t="s">
        <v>1700</v>
      </c>
      <c r="F1402" s="22" t="s">
        <v>1252</v>
      </c>
    </row>
    <row r="1403" ht="18.5" customHeight="1" spans="1:6">
      <c r="A1403" s="23">
        <v>1402</v>
      </c>
      <c r="B1403" s="23" t="s">
        <v>3164</v>
      </c>
      <c r="C1403" s="23" t="s">
        <v>971</v>
      </c>
      <c r="D1403" s="23" t="s">
        <v>972</v>
      </c>
      <c r="E1403" s="23" t="s">
        <v>1700</v>
      </c>
      <c r="F1403" s="23" t="s">
        <v>1252</v>
      </c>
    </row>
    <row r="1404" ht="18.5" customHeight="1" spans="1:6">
      <c r="A1404" s="22">
        <v>1403</v>
      </c>
      <c r="B1404" s="22" t="s">
        <v>3165</v>
      </c>
      <c r="C1404" s="22" t="s">
        <v>971</v>
      </c>
      <c r="D1404" s="22" t="s">
        <v>972</v>
      </c>
      <c r="E1404" s="22" t="s">
        <v>1700</v>
      </c>
      <c r="F1404" s="22" t="s">
        <v>1252</v>
      </c>
    </row>
    <row r="1405" ht="18.5" customHeight="1" spans="1:6">
      <c r="A1405" s="23">
        <v>1404</v>
      </c>
      <c r="B1405" s="23" t="s">
        <v>3166</v>
      </c>
      <c r="C1405" s="23" t="s">
        <v>971</v>
      </c>
      <c r="D1405" s="23" t="s">
        <v>972</v>
      </c>
      <c r="E1405" s="23" t="s">
        <v>1700</v>
      </c>
      <c r="F1405" s="23" t="s">
        <v>1252</v>
      </c>
    </row>
    <row r="1406" ht="18.5" customHeight="1" spans="1:6">
      <c r="A1406" s="22">
        <v>1405</v>
      </c>
      <c r="B1406" s="22" t="s">
        <v>3167</v>
      </c>
      <c r="C1406" s="22" t="s">
        <v>971</v>
      </c>
      <c r="D1406" s="22" t="s">
        <v>972</v>
      </c>
      <c r="E1406" s="22" t="s">
        <v>1700</v>
      </c>
      <c r="F1406" s="22" t="s">
        <v>1252</v>
      </c>
    </row>
    <row r="1407" ht="18.5" customHeight="1" spans="1:6">
      <c r="A1407" s="23">
        <v>1406</v>
      </c>
      <c r="B1407" s="23" t="s">
        <v>3168</v>
      </c>
      <c r="C1407" s="23" t="s">
        <v>971</v>
      </c>
      <c r="D1407" s="23" t="s">
        <v>972</v>
      </c>
      <c r="E1407" s="23" t="s">
        <v>1700</v>
      </c>
      <c r="F1407" s="23" t="s">
        <v>1252</v>
      </c>
    </row>
    <row r="1408" ht="18.5" customHeight="1" spans="1:6">
      <c r="A1408" s="22">
        <v>1407</v>
      </c>
      <c r="B1408" s="22" t="s">
        <v>3169</v>
      </c>
      <c r="C1408" s="22" t="s">
        <v>971</v>
      </c>
      <c r="D1408" s="22" t="s">
        <v>972</v>
      </c>
      <c r="E1408" s="22" t="s">
        <v>1700</v>
      </c>
      <c r="F1408" s="22" t="s">
        <v>1252</v>
      </c>
    </row>
    <row r="1409" ht="18.5" customHeight="1" spans="1:6">
      <c r="A1409" s="23">
        <v>1408</v>
      </c>
      <c r="B1409" s="23" t="s">
        <v>3170</v>
      </c>
      <c r="C1409" s="23" t="s">
        <v>971</v>
      </c>
      <c r="D1409" s="23" t="s">
        <v>972</v>
      </c>
      <c r="E1409" s="23" t="s">
        <v>1700</v>
      </c>
      <c r="F1409" s="23" t="s">
        <v>1252</v>
      </c>
    </row>
    <row r="1410" ht="18.5" customHeight="1" spans="1:6">
      <c r="A1410" s="22">
        <v>1409</v>
      </c>
      <c r="B1410" s="22" t="s">
        <v>3171</v>
      </c>
      <c r="C1410" s="22" t="s">
        <v>971</v>
      </c>
      <c r="D1410" s="22" t="s">
        <v>972</v>
      </c>
      <c r="E1410" s="22" t="s">
        <v>1700</v>
      </c>
      <c r="F1410" s="22" t="s">
        <v>1252</v>
      </c>
    </row>
    <row r="1411" ht="18.5" customHeight="1" spans="1:6">
      <c r="A1411" s="23">
        <v>1410</v>
      </c>
      <c r="B1411" s="23" t="s">
        <v>3172</v>
      </c>
      <c r="C1411" s="23" t="s">
        <v>971</v>
      </c>
      <c r="D1411" s="23" t="s">
        <v>990</v>
      </c>
      <c r="E1411" s="23" t="s">
        <v>1700</v>
      </c>
      <c r="F1411" s="23" t="s">
        <v>1252</v>
      </c>
    </row>
    <row r="1412" ht="18.5" customHeight="1" spans="1:6">
      <c r="A1412" s="22">
        <v>1411</v>
      </c>
      <c r="B1412" s="22" t="s">
        <v>3173</v>
      </c>
      <c r="C1412" s="22" t="s">
        <v>971</v>
      </c>
      <c r="D1412" s="22" t="s">
        <v>978</v>
      </c>
      <c r="E1412" s="22" t="s">
        <v>1700</v>
      </c>
      <c r="F1412" s="22" t="s">
        <v>1252</v>
      </c>
    </row>
    <row r="1413" ht="18.5" customHeight="1" spans="1:6">
      <c r="A1413" s="23">
        <v>1412</v>
      </c>
      <c r="B1413" s="23" t="s">
        <v>3174</v>
      </c>
      <c r="C1413" s="23" t="s">
        <v>971</v>
      </c>
      <c r="D1413" s="23" t="s">
        <v>3175</v>
      </c>
      <c r="E1413" s="23" t="s">
        <v>1700</v>
      </c>
      <c r="F1413" s="23" t="s">
        <v>1252</v>
      </c>
    </row>
    <row r="1414" ht="18.5" customHeight="1" spans="1:6">
      <c r="A1414" s="22">
        <v>1413</v>
      </c>
      <c r="B1414" s="22" t="s">
        <v>3176</v>
      </c>
      <c r="C1414" s="22" t="s">
        <v>971</v>
      </c>
      <c r="D1414" s="22" t="s">
        <v>3177</v>
      </c>
      <c r="E1414" s="22" t="s">
        <v>1700</v>
      </c>
      <c r="F1414" s="22" t="s">
        <v>1252</v>
      </c>
    </row>
    <row r="1415" ht="18.5" customHeight="1" spans="1:6">
      <c r="A1415" s="23">
        <v>1414</v>
      </c>
      <c r="B1415" s="23" t="s">
        <v>3178</v>
      </c>
      <c r="C1415" s="23" t="s">
        <v>971</v>
      </c>
      <c r="D1415" s="23" t="s">
        <v>978</v>
      </c>
      <c r="E1415" s="23" t="s">
        <v>1700</v>
      </c>
      <c r="F1415" s="23" t="s">
        <v>1252</v>
      </c>
    </row>
    <row r="1416" ht="18.5" customHeight="1" spans="1:6">
      <c r="A1416" s="22">
        <v>1415</v>
      </c>
      <c r="B1416" s="22" t="s">
        <v>3179</v>
      </c>
      <c r="C1416" s="22" t="s">
        <v>971</v>
      </c>
      <c r="D1416" s="22" t="s">
        <v>972</v>
      </c>
      <c r="E1416" s="22" t="s">
        <v>1700</v>
      </c>
      <c r="F1416" s="22" t="s">
        <v>1252</v>
      </c>
    </row>
    <row r="1417" ht="18.5" customHeight="1" spans="1:6">
      <c r="A1417" s="23">
        <v>1416</v>
      </c>
      <c r="B1417" s="23" t="s">
        <v>3180</v>
      </c>
      <c r="C1417" s="23" t="s">
        <v>971</v>
      </c>
      <c r="D1417" s="23" t="s">
        <v>972</v>
      </c>
      <c r="E1417" s="23" t="s">
        <v>1700</v>
      </c>
      <c r="F1417" s="23" t="s">
        <v>1252</v>
      </c>
    </row>
    <row r="1418" ht="18.5" customHeight="1" spans="1:6">
      <c r="A1418" s="22">
        <v>1417</v>
      </c>
      <c r="B1418" s="22" t="s">
        <v>3181</v>
      </c>
      <c r="C1418" s="22" t="s">
        <v>971</v>
      </c>
      <c r="D1418" s="22" t="s">
        <v>988</v>
      </c>
      <c r="E1418" s="22" t="s">
        <v>1700</v>
      </c>
      <c r="F1418" s="22" t="s">
        <v>1252</v>
      </c>
    </row>
    <row r="1419" ht="18.5" customHeight="1" spans="1:6">
      <c r="A1419" s="23">
        <v>1418</v>
      </c>
      <c r="B1419" s="23" t="s">
        <v>3182</v>
      </c>
      <c r="C1419" s="23" t="s">
        <v>971</v>
      </c>
      <c r="D1419" s="23" t="s">
        <v>1616</v>
      </c>
      <c r="E1419" s="23" t="s">
        <v>1700</v>
      </c>
      <c r="F1419" s="23" t="s">
        <v>1252</v>
      </c>
    </row>
    <row r="1420" ht="18.5" customHeight="1" spans="1:6">
      <c r="A1420" s="22">
        <v>1419</v>
      </c>
      <c r="B1420" s="22" t="s">
        <v>3183</v>
      </c>
      <c r="C1420" s="22" t="s">
        <v>971</v>
      </c>
      <c r="D1420" s="22" t="s">
        <v>1616</v>
      </c>
      <c r="E1420" s="22" t="s">
        <v>1700</v>
      </c>
      <c r="F1420" s="22" t="s">
        <v>1252</v>
      </c>
    </row>
    <row r="1421" ht="18.5" customHeight="1" spans="1:6">
      <c r="A1421" s="23">
        <v>1420</v>
      </c>
      <c r="B1421" s="23" t="s">
        <v>3184</v>
      </c>
      <c r="C1421" s="23" t="s">
        <v>971</v>
      </c>
      <c r="D1421" s="23" t="s">
        <v>984</v>
      </c>
      <c r="E1421" s="23" t="s">
        <v>1700</v>
      </c>
      <c r="F1421" s="23" t="s">
        <v>1252</v>
      </c>
    </row>
    <row r="1422" ht="18.5" customHeight="1" spans="1:6">
      <c r="A1422" s="22">
        <v>1421</v>
      </c>
      <c r="B1422" s="22" t="s">
        <v>3185</v>
      </c>
      <c r="C1422" s="22" t="s">
        <v>971</v>
      </c>
      <c r="D1422" s="22" t="s">
        <v>984</v>
      </c>
      <c r="E1422" s="22" t="s">
        <v>1700</v>
      </c>
      <c r="F1422" s="22" t="s">
        <v>1252</v>
      </c>
    </row>
    <row r="1423" ht="18.5" customHeight="1" spans="1:6">
      <c r="A1423" s="23">
        <v>1422</v>
      </c>
      <c r="B1423" s="23" t="s">
        <v>3186</v>
      </c>
      <c r="C1423" s="23" t="s">
        <v>971</v>
      </c>
      <c r="D1423" s="23" t="s">
        <v>990</v>
      </c>
      <c r="E1423" s="23" t="s">
        <v>1700</v>
      </c>
      <c r="F1423" s="23" t="s">
        <v>1252</v>
      </c>
    </row>
    <row r="1424" ht="18.5" customHeight="1" spans="1:6">
      <c r="A1424" s="22">
        <v>1423</v>
      </c>
      <c r="B1424" s="22" t="s">
        <v>3187</v>
      </c>
      <c r="C1424" s="22" t="s">
        <v>971</v>
      </c>
      <c r="D1424" s="22" t="s">
        <v>1616</v>
      </c>
      <c r="E1424" s="22" t="s">
        <v>1700</v>
      </c>
      <c r="F1424" s="22" t="s">
        <v>1252</v>
      </c>
    </row>
    <row r="1425" ht="18.5" customHeight="1" spans="1:6">
      <c r="A1425" s="23">
        <v>1424</v>
      </c>
      <c r="B1425" s="23" t="s">
        <v>3188</v>
      </c>
      <c r="C1425" s="23" t="s">
        <v>971</v>
      </c>
      <c r="D1425" s="23" t="s">
        <v>1616</v>
      </c>
      <c r="E1425" s="23" t="s">
        <v>1700</v>
      </c>
      <c r="F1425" s="23" t="s">
        <v>1252</v>
      </c>
    </row>
    <row r="1426" ht="18.5" customHeight="1" spans="1:6">
      <c r="A1426" s="22">
        <v>1425</v>
      </c>
      <c r="B1426" s="22" t="s">
        <v>3189</v>
      </c>
      <c r="C1426" s="22" t="s">
        <v>971</v>
      </c>
      <c r="D1426" s="22" t="s">
        <v>993</v>
      </c>
      <c r="E1426" s="22" t="s">
        <v>1700</v>
      </c>
      <c r="F1426" s="22" t="s">
        <v>1252</v>
      </c>
    </row>
    <row r="1427" ht="18.5" customHeight="1" spans="1:6">
      <c r="A1427" s="23">
        <v>1426</v>
      </c>
      <c r="B1427" s="23" t="s">
        <v>3190</v>
      </c>
      <c r="C1427" s="23" t="s">
        <v>971</v>
      </c>
      <c r="D1427" s="23" t="s">
        <v>1014</v>
      </c>
      <c r="E1427" s="23" t="s">
        <v>1700</v>
      </c>
      <c r="F1427" s="23" t="s">
        <v>1252</v>
      </c>
    </row>
    <row r="1428" ht="18.5" customHeight="1" spans="1:6">
      <c r="A1428" s="22">
        <v>1427</v>
      </c>
      <c r="B1428" s="22" t="s">
        <v>3191</v>
      </c>
      <c r="C1428" s="22" t="s">
        <v>971</v>
      </c>
      <c r="D1428" s="22" t="s">
        <v>3177</v>
      </c>
      <c r="E1428" s="22" t="s">
        <v>1700</v>
      </c>
      <c r="F1428" s="22" t="s">
        <v>1252</v>
      </c>
    </row>
    <row r="1429" ht="18.5" customHeight="1" spans="1:6">
      <c r="A1429" s="23">
        <v>1428</v>
      </c>
      <c r="B1429" s="23" t="s">
        <v>3192</v>
      </c>
      <c r="C1429" s="23" t="s">
        <v>971</v>
      </c>
      <c r="D1429" s="23" t="s">
        <v>3177</v>
      </c>
      <c r="E1429" s="23" t="s">
        <v>1700</v>
      </c>
      <c r="F1429" s="23" t="s">
        <v>1252</v>
      </c>
    </row>
    <row r="1430" ht="18.5" customHeight="1" spans="1:6">
      <c r="A1430" s="22">
        <v>1429</v>
      </c>
      <c r="B1430" s="22" t="s">
        <v>3193</v>
      </c>
      <c r="C1430" s="22" t="s">
        <v>971</v>
      </c>
      <c r="D1430" s="22" t="s">
        <v>993</v>
      </c>
      <c r="E1430" s="22" t="s">
        <v>1700</v>
      </c>
      <c r="F1430" s="22" t="s">
        <v>1252</v>
      </c>
    </row>
    <row r="1431" ht="18.5" customHeight="1" spans="1:6">
      <c r="A1431" s="23">
        <v>1430</v>
      </c>
      <c r="B1431" s="23" t="s">
        <v>3194</v>
      </c>
      <c r="C1431" s="23" t="s">
        <v>971</v>
      </c>
      <c r="D1431" s="23" t="s">
        <v>978</v>
      </c>
      <c r="E1431" s="23" t="s">
        <v>1700</v>
      </c>
      <c r="F1431" s="23" t="s">
        <v>1252</v>
      </c>
    </row>
    <row r="1432" ht="18.5" customHeight="1" spans="1:6">
      <c r="A1432" s="22">
        <v>1431</v>
      </c>
      <c r="B1432" s="22" t="s">
        <v>3195</v>
      </c>
      <c r="C1432" s="22" t="s">
        <v>971</v>
      </c>
      <c r="D1432" s="22" t="s">
        <v>984</v>
      </c>
      <c r="E1432" s="22" t="s">
        <v>1700</v>
      </c>
      <c r="F1432" s="22" t="s">
        <v>1252</v>
      </c>
    </row>
    <row r="1433" ht="18.5" customHeight="1" spans="1:6">
      <c r="A1433" s="23">
        <v>1432</v>
      </c>
      <c r="B1433" s="23" t="s">
        <v>3196</v>
      </c>
      <c r="C1433" s="23" t="s">
        <v>971</v>
      </c>
      <c r="D1433" s="23" t="s">
        <v>990</v>
      </c>
      <c r="E1433" s="23" t="s">
        <v>1700</v>
      </c>
      <c r="F1433" s="23" t="s">
        <v>1252</v>
      </c>
    </row>
    <row r="1434" ht="18.5" customHeight="1" spans="1:6">
      <c r="A1434" s="22">
        <v>1433</v>
      </c>
      <c r="B1434" s="22" t="s">
        <v>3197</v>
      </c>
      <c r="C1434" s="22" t="s">
        <v>971</v>
      </c>
      <c r="D1434" s="22" t="s">
        <v>981</v>
      </c>
      <c r="E1434" s="22" t="s">
        <v>1700</v>
      </c>
      <c r="F1434" s="22" t="s">
        <v>1252</v>
      </c>
    </row>
    <row r="1435" ht="18.5" customHeight="1" spans="1:6">
      <c r="A1435" s="23">
        <v>1434</v>
      </c>
      <c r="B1435" s="23" t="s">
        <v>3198</v>
      </c>
      <c r="C1435" s="23" t="s">
        <v>971</v>
      </c>
      <c r="D1435" s="23" t="s">
        <v>2602</v>
      </c>
      <c r="E1435" s="23" t="s">
        <v>1700</v>
      </c>
      <c r="F1435" s="23" t="s">
        <v>1252</v>
      </c>
    </row>
    <row r="1436" ht="18.5" customHeight="1" spans="1:6">
      <c r="A1436" s="22">
        <v>1435</v>
      </c>
      <c r="B1436" s="22" t="s">
        <v>3199</v>
      </c>
      <c r="C1436" s="22" t="s">
        <v>1026</v>
      </c>
      <c r="D1436" s="22" t="s">
        <v>1027</v>
      </c>
      <c r="E1436" s="22" t="s">
        <v>1700</v>
      </c>
      <c r="F1436" s="22" t="s">
        <v>1252</v>
      </c>
    </row>
    <row r="1437" ht="18.5" customHeight="1" spans="1:6">
      <c r="A1437" s="23">
        <v>1436</v>
      </c>
      <c r="B1437" s="23" t="s">
        <v>3200</v>
      </c>
      <c r="C1437" s="23" t="s">
        <v>1026</v>
      </c>
      <c r="D1437" s="23" t="s">
        <v>1045</v>
      </c>
      <c r="E1437" s="23" t="s">
        <v>1700</v>
      </c>
      <c r="F1437" s="23" t="s">
        <v>1252</v>
      </c>
    </row>
    <row r="1438" ht="18.5" customHeight="1" spans="1:6">
      <c r="A1438" s="22">
        <v>1437</v>
      </c>
      <c r="B1438" s="22" t="s">
        <v>3201</v>
      </c>
      <c r="C1438" s="22" t="s">
        <v>1026</v>
      </c>
      <c r="D1438" s="22" t="s">
        <v>1035</v>
      </c>
      <c r="E1438" s="22" t="s">
        <v>1700</v>
      </c>
      <c r="F1438" s="22" t="s">
        <v>1252</v>
      </c>
    </row>
    <row r="1439" ht="18.5" customHeight="1" spans="1:6">
      <c r="A1439" s="23">
        <v>1438</v>
      </c>
      <c r="B1439" s="23" t="s">
        <v>3202</v>
      </c>
      <c r="C1439" s="23" t="s">
        <v>1026</v>
      </c>
      <c r="D1439" s="23" t="s">
        <v>1041</v>
      </c>
      <c r="E1439" s="23" t="s">
        <v>1700</v>
      </c>
      <c r="F1439" s="23" t="s">
        <v>1252</v>
      </c>
    </row>
    <row r="1440" ht="18.5" customHeight="1" spans="1:6">
      <c r="A1440" s="22">
        <v>1439</v>
      </c>
      <c r="B1440" s="22" t="s">
        <v>3203</v>
      </c>
      <c r="C1440" s="22" t="s">
        <v>1026</v>
      </c>
      <c r="D1440" s="22" t="s">
        <v>1045</v>
      </c>
      <c r="E1440" s="22" t="s">
        <v>1700</v>
      </c>
      <c r="F1440" s="22" t="s">
        <v>1252</v>
      </c>
    </row>
    <row r="1441" ht="18.5" customHeight="1" spans="1:6">
      <c r="A1441" s="23">
        <v>1440</v>
      </c>
      <c r="B1441" s="23" t="s">
        <v>3204</v>
      </c>
      <c r="C1441" s="23" t="s">
        <v>1026</v>
      </c>
      <c r="D1441" s="23" t="s">
        <v>1039</v>
      </c>
      <c r="E1441" s="23" t="s">
        <v>1700</v>
      </c>
      <c r="F1441" s="23" t="s">
        <v>1252</v>
      </c>
    </row>
    <row r="1442" ht="18.5" customHeight="1" spans="1:6">
      <c r="A1442" s="22">
        <v>1441</v>
      </c>
      <c r="B1442" s="22" t="s">
        <v>3205</v>
      </c>
      <c r="C1442" s="22" t="s">
        <v>1060</v>
      </c>
      <c r="D1442" s="22" t="s">
        <v>1061</v>
      </c>
      <c r="E1442" s="22" t="s">
        <v>1700</v>
      </c>
      <c r="F1442" s="22" t="s">
        <v>1252</v>
      </c>
    </row>
    <row r="1443" ht="18.5" customHeight="1" spans="1:6">
      <c r="A1443" s="23">
        <v>1442</v>
      </c>
      <c r="B1443" s="23" t="s">
        <v>3206</v>
      </c>
      <c r="C1443" s="23" t="s">
        <v>1060</v>
      </c>
      <c r="D1443" s="23" t="s">
        <v>1061</v>
      </c>
      <c r="E1443" s="23" t="s">
        <v>1700</v>
      </c>
      <c r="F1443" s="23" t="s">
        <v>1252</v>
      </c>
    </row>
    <row r="1444" ht="18.5" customHeight="1" spans="1:6">
      <c r="A1444" s="22">
        <v>1443</v>
      </c>
      <c r="B1444" s="22" t="s">
        <v>3207</v>
      </c>
      <c r="C1444" s="22" t="s">
        <v>1060</v>
      </c>
      <c r="D1444" s="22" t="s">
        <v>1061</v>
      </c>
      <c r="E1444" s="22" t="s">
        <v>1700</v>
      </c>
      <c r="F1444" s="22" t="s">
        <v>1252</v>
      </c>
    </row>
    <row r="1445" ht="18.5" customHeight="1" spans="1:6">
      <c r="A1445" s="23">
        <v>1444</v>
      </c>
      <c r="B1445" s="23" t="s">
        <v>3208</v>
      </c>
      <c r="C1445" s="23" t="s">
        <v>1060</v>
      </c>
      <c r="D1445" s="23" t="s">
        <v>1061</v>
      </c>
      <c r="E1445" s="23" t="s">
        <v>1700</v>
      </c>
      <c r="F1445" s="23" t="s">
        <v>1252</v>
      </c>
    </row>
    <row r="1446" ht="18.5" customHeight="1" spans="1:6">
      <c r="A1446" s="22">
        <v>1445</v>
      </c>
      <c r="B1446" s="22" t="s">
        <v>3209</v>
      </c>
      <c r="C1446" s="22" t="s">
        <v>1060</v>
      </c>
      <c r="D1446" s="22" t="s">
        <v>1061</v>
      </c>
      <c r="E1446" s="22" t="s">
        <v>1700</v>
      </c>
      <c r="F1446" s="22" t="s">
        <v>1252</v>
      </c>
    </row>
    <row r="1447" ht="18.5" customHeight="1" spans="1:6">
      <c r="A1447" s="23">
        <v>1446</v>
      </c>
      <c r="B1447" s="23" t="s">
        <v>3210</v>
      </c>
      <c r="C1447" s="23" t="s">
        <v>1060</v>
      </c>
      <c r="D1447" s="23" t="s">
        <v>1090</v>
      </c>
      <c r="E1447" s="23" t="s">
        <v>1700</v>
      </c>
      <c r="F1447" s="23" t="s">
        <v>1252</v>
      </c>
    </row>
    <row r="1448" ht="18.5" customHeight="1" spans="1:6">
      <c r="A1448" s="22">
        <v>1447</v>
      </c>
      <c r="B1448" s="22" t="s">
        <v>3211</v>
      </c>
      <c r="C1448" s="22" t="s">
        <v>1060</v>
      </c>
      <c r="D1448" s="22" t="s">
        <v>1061</v>
      </c>
      <c r="E1448" s="22" t="s">
        <v>1700</v>
      </c>
      <c r="F1448" s="22" t="s">
        <v>1252</v>
      </c>
    </row>
    <row r="1449" ht="18.5" customHeight="1" spans="1:6">
      <c r="A1449" s="23">
        <v>1448</v>
      </c>
      <c r="B1449" s="23" t="s">
        <v>3212</v>
      </c>
      <c r="C1449" s="23" t="s">
        <v>1060</v>
      </c>
      <c r="D1449" s="23" t="s">
        <v>1061</v>
      </c>
      <c r="E1449" s="23" t="s">
        <v>1700</v>
      </c>
      <c r="F1449" s="23" t="s">
        <v>1252</v>
      </c>
    </row>
    <row r="1450" ht="18.5" customHeight="1" spans="1:6">
      <c r="A1450" s="22">
        <v>1449</v>
      </c>
      <c r="B1450" s="22" t="s">
        <v>3213</v>
      </c>
      <c r="C1450" s="22" t="s">
        <v>1060</v>
      </c>
      <c r="D1450" s="22" t="s">
        <v>1061</v>
      </c>
      <c r="E1450" s="22" t="s">
        <v>1700</v>
      </c>
      <c r="F1450" s="22" t="s">
        <v>1252</v>
      </c>
    </row>
    <row r="1451" ht="18.5" customHeight="1" spans="1:6">
      <c r="A1451" s="23">
        <v>1450</v>
      </c>
      <c r="B1451" s="23" t="s">
        <v>3214</v>
      </c>
      <c r="C1451" s="23" t="s">
        <v>1060</v>
      </c>
      <c r="D1451" s="23" t="s">
        <v>1061</v>
      </c>
      <c r="E1451" s="23" t="s">
        <v>1700</v>
      </c>
      <c r="F1451" s="23" t="s">
        <v>1252</v>
      </c>
    </row>
    <row r="1452" ht="18.5" customHeight="1" spans="1:6">
      <c r="A1452" s="22">
        <v>1451</v>
      </c>
      <c r="B1452" s="22" t="s">
        <v>3215</v>
      </c>
      <c r="C1452" s="22" t="s">
        <v>1060</v>
      </c>
      <c r="D1452" s="22" t="s">
        <v>1061</v>
      </c>
      <c r="E1452" s="22" t="s">
        <v>1700</v>
      </c>
      <c r="F1452" s="22" t="s">
        <v>1252</v>
      </c>
    </row>
    <row r="1453" ht="18.5" customHeight="1" spans="1:6">
      <c r="A1453" s="23">
        <v>1452</v>
      </c>
      <c r="B1453" s="23" t="s">
        <v>3216</v>
      </c>
      <c r="C1453" s="23" t="s">
        <v>1106</v>
      </c>
      <c r="D1453" s="23" t="s">
        <v>1111</v>
      </c>
      <c r="E1453" s="23" t="s">
        <v>1700</v>
      </c>
      <c r="F1453" s="23" t="s">
        <v>1252</v>
      </c>
    </row>
    <row r="1454" ht="18.5" customHeight="1" spans="1:6">
      <c r="A1454" s="22">
        <v>1453</v>
      </c>
      <c r="B1454" s="22" t="s">
        <v>3217</v>
      </c>
      <c r="C1454" s="22" t="s">
        <v>1106</v>
      </c>
      <c r="D1454" s="22" t="s">
        <v>1111</v>
      </c>
      <c r="E1454" s="22" t="s">
        <v>1700</v>
      </c>
      <c r="F1454" s="22" t="s">
        <v>1252</v>
      </c>
    </row>
    <row r="1455" ht="18.5" customHeight="1" spans="1:6">
      <c r="A1455" s="23">
        <v>1454</v>
      </c>
      <c r="B1455" s="23" t="s">
        <v>3218</v>
      </c>
      <c r="C1455" s="23" t="s">
        <v>1106</v>
      </c>
      <c r="D1455" s="23" t="s">
        <v>1111</v>
      </c>
      <c r="E1455" s="23" t="s">
        <v>1700</v>
      </c>
      <c r="F1455" s="23" t="s">
        <v>1252</v>
      </c>
    </row>
    <row r="1456" ht="18.5" customHeight="1" spans="1:6">
      <c r="A1456" s="22">
        <v>1455</v>
      </c>
      <c r="B1456" s="22" t="s">
        <v>3219</v>
      </c>
      <c r="C1456" s="22" t="s">
        <v>1106</v>
      </c>
      <c r="D1456" s="22" t="s">
        <v>1111</v>
      </c>
      <c r="E1456" s="22" t="s">
        <v>1700</v>
      </c>
      <c r="F1456" s="22" t="s">
        <v>1252</v>
      </c>
    </row>
    <row r="1457" ht="18.5" customHeight="1" spans="1:6">
      <c r="A1457" s="23">
        <v>1456</v>
      </c>
      <c r="B1457" s="23" t="s">
        <v>3220</v>
      </c>
      <c r="C1457" s="23" t="s">
        <v>1106</v>
      </c>
      <c r="D1457" s="23" t="s">
        <v>1111</v>
      </c>
      <c r="E1457" s="23" t="s">
        <v>1700</v>
      </c>
      <c r="F1457" s="23" t="s">
        <v>1252</v>
      </c>
    </row>
    <row r="1458" ht="18.5" customHeight="1" spans="1:6">
      <c r="A1458" s="22">
        <v>1457</v>
      </c>
      <c r="B1458" s="22" t="s">
        <v>3221</v>
      </c>
      <c r="C1458" s="22" t="s">
        <v>1106</v>
      </c>
      <c r="D1458" s="22" t="s">
        <v>1111</v>
      </c>
      <c r="E1458" s="22" t="s">
        <v>1700</v>
      </c>
      <c r="F1458" s="22" t="s">
        <v>1252</v>
      </c>
    </row>
    <row r="1459" ht="18.5" customHeight="1" spans="1:6">
      <c r="A1459" s="23">
        <v>1458</v>
      </c>
      <c r="B1459" s="23" t="s">
        <v>3222</v>
      </c>
      <c r="C1459" s="23" t="s">
        <v>1106</v>
      </c>
      <c r="D1459" s="23" t="s">
        <v>1111</v>
      </c>
      <c r="E1459" s="23" t="s">
        <v>1700</v>
      </c>
      <c r="F1459" s="23" t="s">
        <v>1252</v>
      </c>
    </row>
    <row r="1460" ht="18.5" customHeight="1" spans="1:6">
      <c r="A1460" s="22">
        <v>1459</v>
      </c>
      <c r="B1460" s="22" t="s">
        <v>3223</v>
      </c>
      <c r="C1460" s="22" t="s">
        <v>1106</v>
      </c>
      <c r="D1460" s="22" t="s">
        <v>1131</v>
      </c>
      <c r="E1460" s="22" t="s">
        <v>1700</v>
      </c>
      <c r="F1460" s="22" t="s">
        <v>1252</v>
      </c>
    </row>
    <row r="1461" ht="18.5" customHeight="1" spans="1:6">
      <c r="A1461" s="23">
        <v>1460</v>
      </c>
      <c r="B1461" s="23" t="s">
        <v>3224</v>
      </c>
      <c r="C1461" s="23" t="s">
        <v>1106</v>
      </c>
      <c r="D1461" s="23" t="s">
        <v>1142</v>
      </c>
      <c r="E1461" s="23" t="s">
        <v>1700</v>
      </c>
      <c r="F1461" s="23" t="s">
        <v>1252</v>
      </c>
    </row>
    <row r="1462" ht="18.5" customHeight="1" spans="1:6">
      <c r="A1462" s="22">
        <v>1461</v>
      </c>
      <c r="B1462" s="22" t="s">
        <v>3225</v>
      </c>
      <c r="C1462" s="22" t="s">
        <v>1106</v>
      </c>
      <c r="D1462" s="22" t="s">
        <v>1131</v>
      </c>
      <c r="E1462" s="22" t="s">
        <v>1700</v>
      </c>
      <c r="F1462" s="22" t="s">
        <v>1252</v>
      </c>
    </row>
    <row r="1463" ht="18.5" customHeight="1" spans="1:6">
      <c r="A1463" s="23">
        <v>1462</v>
      </c>
      <c r="B1463" s="23" t="s">
        <v>3226</v>
      </c>
      <c r="C1463" s="23" t="s">
        <v>1156</v>
      </c>
      <c r="D1463" s="23" t="s">
        <v>1157</v>
      </c>
      <c r="E1463" s="23" t="s">
        <v>1700</v>
      </c>
      <c r="F1463" s="23" t="s">
        <v>1252</v>
      </c>
    </row>
    <row r="1464" ht="18.5" customHeight="1" spans="1:6">
      <c r="A1464" s="22">
        <v>1463</v>
      </c>
      <c r="B1464" s="22" t="s">
        <v>3227</v>
      </c>
      <c r="C1464" s="22" t="s">
        <v>1156</v>
      </c>
      <c r="D1464" s="22" t="s">
        <v>1157</v>
      </c>
      <c r="E1464" s="22" t="s">
        <v>1700</v>
      </c>
      <c r="F1464" s="22" t="s">
        <v>1252</v>
      </c>
    </row>
    <row r="1465" ht="18.5" customHeight="1" spans="1:6">
      <c r="A1465" s="23">
        <v>1464</v>
      </c>
      <c r="B1465" s="23" t="s">
        <v>3228</v>
      </c>
      <c r="C1465" s="23" t="s">
        <v>1156</v>
      </c>
      <c r="D1465" s="23" t="s">
        <v>2735</v>
      </c>
      <c r="E1465" s="23" t="s">
        <v>1700</v>
      </c>
      <c r="F1465" s="23" t="s">
        <v>1252</v>
      </c>
    </row>
    <row r="1466" ht="18.5" customHeight="1" spans="1:6">
      <c r="A1466" s="22">
        <v>1465</v>
      </c>
      <c r="B1466" s="22" t="s">
        <v>3229</v>
      </c>
      <c r="C1466" s="22" t="s">
        <v>1206</v>
      </c>
      <c r="D1466" s="22" t="s">
        <v>1207</v>
      </c>
      <c r="E1466" s="22" t="s">
        <v>1700</v>
      </c>
      <c r="F1466" s="22" t="s">
        <v>1252</v>
      </c>
    </row>
    <row r="1467" ht="18.5" customHeight="1" spans="1:6">
      <c r="A1467" s="23">
        <v>1466</v>
      </c>
      <c r="B1467" s="23" t="s">
        <v>3230</v>
      </c>
      <c r="C1467" s="23" t="s">
        <v>1206</v>
      </c>
      <c r="D1467" s="23" t="s">
        <v>1207</v>
      </c>
      <c r="E1467" s="23" t="s">
        <v>1700</v>
      </c>
      <c r="F1467" s="23" t="s">
        <v>1252</v>
      </c>
    </row>
    <row r="1468" ht="18.5" customHeight="1" spans="1:6">
      <c r="A1468" s="22">
        <v>1467</v>
      </c>
      <c r="B1468" s="22" t="s">
        <v>3231</v>
      </c>
      <c r="C1468" s="22" t="s">
        <v>1206</v>
      </c>
      <c r="D1468" s="22" t="s">
        <v>3232</v>
      </c>
      <c r="E1468" s="22" t="s">
        <v>1700</v>
      </c>
      <c r="F1468" s="22" t="s">
        <v>1252</v>
      </c>
    </row>
    <row r="1469" ht="18.5" customHeight="1" spans="1:6">
      <c r="A1469" s="23">
        <v>1468</v>
      </c>
      <c r="B1469" s="23" t="s">
        <v>3233</v>
      </c>
      <c r="C1469" s="23" t="s">
        <v>1206</v>
      </c>
      <c r="D1469" s="23" t="s">
        <v>1207</v>
      </c>
      <c r="E1469" s="23" t="s">
        <v>1700</v>
      </c>
      <c r="F1469" s="23" t="s">
        <v>1252</v>
      </c>
    </row>
    <row r="1470" ht="18.5" customHeight="1" spans="1:6">
      <c r="A1470" s="22">
        <v>1469</v>
      </c>
      <c r="B1470" s="22" t="s">
        <v>3234</v>
      </c>
      <c r="C1470" s="22" t="s">
        <v>692</v>
      </c>
      <c r="D1470" s="22" t="s">
        <v>696</v>
      </c>
      <c r="E1470" s="22" t="s">
        <v>1700</v>
      </c>
      <c r="F1470" s="22" t="s">
        <v>1252</v>
      </c>
    </row>
    <row r="1471" ht="18.5" customHeight="1" spans="1:6">
      <c r="A1471" s="23">
        <v>1470</v>
      </c>
      <c r="B1471" s="23" t="s">
        <v>3235</v>
      </c>
      <c r="C1471" s="23" t="s">
        <v>692</v>
      </c>
      <c r="D1471" s="23" t="s">
        <v>709</v>
      </c>
      <c r="E1471" s="23" t="s">
        <v>1700</v>
      </c>
      <c r="F1471" s="23" t="s">
        <v>1252</v>
      </c>
    </row>
    <row r="1472" ht="18.5" customHeight="1" spans="1:6">
      <c r="A1472" s="22">
        <v>1471</v>
      </c>
      <c r="B1472" s="22" t="s">
        <v>3236</v>
      </c>
      <c r="C1472" s="22" t="s">
        <v>692</v>
      </c>
      <c r="D1472" s="22" t="s">
        <v>700</v>
      </c>
      <c r="E1472" s="22" t="s">
        <v>1700</v>
      </c>
      <c r="F1472" s="22" t="s">
        <v>1252</v>
      </c>
    </row>
    <row r="1473" ht="18.5" customHeight="1" spans="1:6">
      <c r="A1473" s="23">
        <v>1472</v>
      </c>
      <c r="B1473" s="23" t="s">
        <v>3237</v>
      </c>
      <c r="C1473" s="23" t="s">
        <v>692</v>
      </c>
      <c r="D1473" s="23" t="s">
        <v>693</v>
      </c>
      <c r="E1473" s="23" t="s">
        <v>1700</v>
      </c>
      <c r="F1473" s="23" t="s">
        <v>1252</v>
      </c>
    </row>
    <row r="1474" ht="18.5" customHeight="1" spans="1:6">
      <c r="A1474" s="22">
        <v>1473</v>
      </c>
      <c r="B1474" s="22" t="s">
        <v>3238</v>
      </c>
      <c r="C1474" s="22" t="s">
        <v>692</v>
      </c>
      <c r="D1474" s="22" t="s">
        <v>693</v>
      </c>
      <c r="E1474" s="22" t="s">
        <v>1700</v>
      </c>
      <c r="F1474" s="22" t="s">
        <v>1252</v>
      </c>
    </row>
    <row r="1475" ht="18.5" customHeight="1" spans="1:6">
      <c r="A1475" s="23">
        <v>1474</v>
      </c>
      <c r="B1475" s="23" t="s">
        <v>3239</v>
      </c>
      <c r="C1475" s="23" t="s">
        <v>98</v>
      </c>
      <c r="D1475" s="23" t="s">
        <v>111</v>
      </c>
      <c r="E1475" s="23" t="s">
        <v>1700</v>
      </c>
      <c r="F1475" s="23" t="s">
        <v>1252</v>
      </c>
    </row>
    <row r="1476" ht="18.5" customHeight="1" spans="1:6">
      <c r="A1476" s="22">
        <v>1475</v>
      </c>
      <c r="B1476" s="22" t="s">
        <v>3240</v>
      </c>
      <c r="C1476" s="22" t="s">
        <v>98</v>
      </c>
      <c r="D1476" s="22" t="s">
        <v>101</v>
      </c>
      <c r="E1476" s="22" t="s">
        <v>1700</v>
      </c>
      <c r="F1476" s="22" t="s">
        <v>1252</v>
      </c>
    </row>
    <row r="1477" ht="18.5" customHeight="1" spans="1:6">
      <c r="A1477" s="23">
        <v>1476</v>
      </c>
      <c r="B1477" s="23" t="s">
        <v>3241</v>
      </c>
      <c r="C1477" s="23" t="s">
        <v>844</v>
      </c>
      <c r="D1477" s="23" t="s">
        <v>1569</v>
      </c>
      <c r="E1477" s="23" t="s">
        <v>1700</v>
      </c>
      <c r="F1477" s="23" t="s">
        <v>1252</v>
      </c>
    </row>
    <row r="1478" ht="18.5" customHeight="1" spans="1:6">
      <c r="A1478" s="22">
        <v>1477</v>
      </c>
      <c r="B1478" s="22" t="s">
        <v>3242</v>
      </c>
      <c r="C1478" s="22" t="s">
        <v>1026</v>
      </c>
      <c r="D1478" s="22" t="s">
        <v>1035</v>
      </c>
      <c r="E1478" s="22" t="s">
        <v>1700</v>
      </c>
      <c r="F1478" s="22" t="s">
        <v>1252</v>
      </c>
    </row>
    <row r="1479" ht="18.5" customHeight="1" spans="1:6">
      <c r="A1479" s="23">
        <v>1478</v>
      </c>
      <c r="B1479" s="23" t="s">
        <v>3243</v>
      </c>
      <c r="C1479" s="23" t="s">
        <v>628</v>
      </c>
      <c r="D1479" s="23" t="s">
        <v>645</v>
      </c>
      <c r="E1479" s="23" t="s">
        <v>1700</v>
      </c>
      <c r="F1479" s="23" t="s">
        <v>1252</v>
      </c>
    </row>
    <row r="1480" ht="18.5" customHeight="1" spans="1:6">
      <c r="A1480" s="22">
        <v>1479</v>
      </c>
      <c r="B1480" s="22" t="s">
        <v>3244</v>
      </c>
      <c r="C1480" s="22" t="s">
        <v>628</v>
      </c>
      <c r="D1480" s="22" t="s">
        <v>660</v>
      </c>
      <c r="E1480" s="22" t="s">
        <v>1700</v>
      </c>
      <c r="F1480" s="22" t="s">
        <v>1252</v>
      </c>
    </row>
    <row r="1481" ht="18.5" customHeight="1" spans="1:6">
      <c r="A1481" s="23">
        <v>1480</v>
      </c>
      <c r="B1481" s="23" t="s">
        <v>3245</v>
      </c>
      <c r="C1481" s="23" t="s">
        <v>692</v>
      </c>
      <c r="D1481" s="23" t="s">
        <v>693</v>
      </c>
      <c r="E1481" s="23" t="s">
        <v>1700</v>
      </c>
      <c r="F1481" s="23" t="s">
        <v>1252</v>
      </c>
    </row>
    <row r="1482" ht="18.5" customHeight="1" spans="1:6">
      <c r="A1482" s="22">
        <v>1481</v>
      </c>
      <c r="B1482" s="22" t="s">
        <v>3246</v>
      </c>
      <c r="C1482" s="22" t="s">
        <v>692</v>
      </c>
      <c r="D1482" s="22" t="s">
        <v>693</v>
      </c>
      <c r="E1482" s="22" t="s">
        <v>1700</v>
      </c>
      <c r="F1482" s="22" t="s">
        <v>1252</v>
      </c>
    </row>
    <row r="1483" ht="18.5" customHeight="1" spans="1:6">
      <c r="A1483" s="23">
        <v>1482</v>
      </c>
      <c r="B1483" s="23" t="s">
        <v>3247</v>
      </c>
      <c r="C1483" s="23" t="s">
        <v>797</v>
      </c>
      <c r="D1483" s="23" t="s">
        <v>802</v>
      </c>
      <c r="E1483" s="23" t="s">
        <v>1700</v>
      </c>
      <c r="F1483" s="23" t="s">
        <v>1252</v>
      </c>
    </row>
    <row r="1484" ht="18.5" customHeight="1" spans="1:6">
      <c r="A1484" s="22">
        <v>1483</v>
      </c>
      <c r="B1484" s="22" t="s">
        <v>3248</v>
      </c>
      <c r="C1484" s="22" t="s">
        <v>797</v>
      </c>
      <c r="D1484" s="22" t="s">
        <v>802</v>
      </c>
      <c r="E1484" s="22" t="s">
        <v>1700</v>
      </c>
      <c r="F1484" s="22" t="s">
        <v>1252</v>
      </c>
    </row>
    <row r="1485" ht="18.5" customHeight="1" spans="1:6">
      <c r="A1485" s="23">
        <v>1484</v>
      </c>
      <c r="B1485" s="23" t="s">
        <v>3249</v>
      </c>
      <c r="C1485" s="23" t="s">
        <v>797</v>
      </c>
      <c r="D1485" s="23" t="s">
        <v>811</v>
      </c>
      <c r="E1485" s="23" t="s">
        <v>1700</v>
      </c>
      <c r="F1485" s="23" t="s">
        <v>1252</v>
      </c>
    </row>
    <row r="1486" ht="18.5" customHeight="1" spans="1:6">
      <c r="A1486" s="22">
        <v>1485</v>
      </c>
      <c r="B1486" s="22" t="s">
        <v>3250</v>
      </c>
      <c r="C1486" s="22" t="s">
        <v>797</v>
      </c>
      <c r="D1486" s="22" t="s">
        <v>813</v>
      </c>
      <c r="E1486" s="22" t="s">
        <v>1700</v>
      </c>
      <c r="F1486" s="22" t="s">
        <v>1252</v>
      </c>
    </row>
    <row r="1487" ht="18.5" customHeight="1" spans="1:6">
      <c r="A1487" s="23">
        <v>1486</v>
      </c>
      <c r="B1487" s="23" t="s">
        <v>3251</v>
      </c>
      <c r="C1487" s="23" t="s">
        <v>797</v>
      </c>
      <c r="D1487" s="23" t="s">
        <v>815</v>
      </c>
      <c r="E1487" s="23" t="s">
        <v>1700</v>
      </c>
      <c r="F1487" s="23" t="s">
        <v>1252</v>
      </c>
    </row>
    <row r="1488" ht="18.5" customHeight="1" spans="1:6">
      <c r="A1488" s="22">
        <v>1487</v>
      </c>
      <c r="B1488" s="22" t="s">
        <v>3252</v>
      </c>
      <c r="C1488" s="22" t="s">
        <v>902</v>
      </c>
      <c r="D1488" s="22" t="s">
        <v>907</v>
      </c>
      <c r="E1488" s="22" t="s">
        <v>1700</v>
      </c>
      <c r="F1488" s="22" t="s">
        <v>1252</v>
      </c>
    </row>
    <row r="1489" ht="18.5" customHeight="1" spans="1:6">
      <c r="A1489" s="23">
        <v>1488</v>
      </c>
      <c r="B1489" s="23" t="s">
        <v>3253</v>
      </c>
      <c r="C1489" s="23" t="s">
        <v>971</v>
      </c>
      <c r="D1489" s="23" t="s">
        <v>2594</v>
      </c>
      <c r="E1489" s="23" t="s">
        <v>1700</v>
      </c>
      <c r="F1489" s="23" t="s">
        <v>1252</v>
      </c>
    </row>
    <row r="1490" ht="18.5" customHeight="1" spans="1:6">
      <c r="A1490" s="22">
        <v>1489</v>
      </c>
      <c r="B1490" s="22" t="s">
        <v>3254</v>
      </c>
      <c r="C1490" s="22" t="s">
        <v>971</v>
      </c>
      <c r="D1490" s="22" t="s">
        <v>2594</v>
      </c>
      <c r="E1490" s="22" t="s">
        <v>1700</v>
      </c>
      <c r="F1490" s="22" t="s">
        <v>1252</v>
      </c>
    </row>
    <row r="1491" ht="18.5" customHeight="1" spans="1:6">
      <c r="A1491" s="23">
        <v>1490</v>
      </c>
      <c r="B1491" s="23" t="s">
        <v>3255</v>
      </c>
      <c r="C1491" s="23" t="s">
        <v>971</v>
      </c>
      <c r="D1491" s="23" t="s">
        <v>2594</v>
      </c>
      <c r="E1491" s="23" t="s">
        <v>1700</v>
      </c>
      <c r="F1491" s="23" t="s">
        <v>1252</v>
      </c>
    </row>
    <row r="1492" ht="18.5" customHeight="1" spans="1:6">
      <c r="A1492" s="22">
        <v>1491</v>
      </c>
      <c r="B1492" s="22" t="s">
        <v>3256</v>
      </c>
      <c r="C1492" s="22" t="s">
        <v>273</v>
      </c>
      <c r="D1492" s="22" t="s">
        <v>274</v>
      </c>
      <c r="E1492" s="22" t="s">
        <v>1700</v>
      </c>
      <c r="F1492" s="22" t="s">
        <v>1252</v>
      </c>
    </row>
    <row r="1493" ht="18.5" customHeight="1" spans="1:6">
      <c r="A1493" s="23">
        <v>1492</v>
      </c>
      <c r="B1493" s="23" t="s">
        <v>3257</v>
      </c>
      <c r="C1493" s="23" t="s">
        <v>502</v>
      </c>
      <c r="D1493" s="23" t="s">
        <v>511</v>
      </c>
      <c r="E1493" s="23" t="s">
        <v>1700</v>
      </c>
      <c r="F1493" s="23" t="s">
        <v>1252</v>
      </c>
    </row>
    <row r="1494" ht="18.5" customHeight="1" spans="1:6">
      <c r="A1494" s="22">
        <v>1493</v>
      </c>
      <c r="B1494" s="22" t="s">
        <v>3258</v>
      </c>
      <c r="C1494" s="22" t="s">
        <v>502</v>
      </c>
      <c r="D1494" s="22" t="s">
        <v>511</v>
      </c>
      <c r="E1494" s="22" t="s">
        <v>1700</v>
      </c>
      <c r="F1494" s="22" t="s">
        <v>1252</v>
      </c>
    </row>
    <row r="1495" ht="18.5" customHeight="1" spans="1:6">
      <c r="A1495" s="23">
        <v>1494</v>
      </c>
      <c r="B1495" s="23" t="s">
        <v>3259</v>
      </c>
      <c r="C1495" s="23" t="s">
        <v>502</v>
      </c>
      <c r="D1495" s="23" t="s">
        <v>515</v>
      </c>
      <c r="E1495" s="23" t="s">
        <v>1700</v>
      </c>
      <c r="F1495" s="23" t="s">
        <v>1252</v>
      </c>
    </row>
    <row r="1496" ht="18.5" customHeight="1" spans="1:6">
      <c r="A1496" s="22">
        <v>1495</v>
      </c>
      <c r="B1496" s="22" t="s">
        <v>3260</v>
      </c>
      <c r="C1496" s="22" t="s">
        <v>943</v>
      </c>
      <c r="D1496" s="22" t="s">
        <v>3261</v>
      </c>
      <c r="E1496" s="22" t="s">
        <v>1700</v>
      </c>
      <c r="F1496" s="22" t="s">
        <v>1252</v>
      </c>
    </row>
    <row r="1497" ht="18.5" customHeight="1" spans="1:6">
      <c r="A1497" s="23">
        <v>1496</v>
      </c>
      <c r="B1497" s="23" t="s">
        <v>3262</v>
      </c>
      <c r="C1497" s="23" t="s">
        <v>98</v>
      </c>
      <c r="D1497" s="23" t="s">
        <v>128</v>
      </c>
      <c r="E1497" s="23" t="s">
        <v>1700</v>
      </c>
      <c r="F1497" s="23" t="s">
        <v>1252</v>
      </c>
    </row>
    <row r="1498" ht="18.5" customHeight="1" spans="1:6">
      <c r="A1498" s="22">
        <v>1497</v>
      </c>
      <c r="B1498" s="22" t="s">
        <v>3263</v>
      </c>
      <c r="C1498" s="22" t="s">
        <v>587</v>
      </c>
      <c r="D1498" s="22" t="s">
        <v>604</v>
      </c>
      <c r="E1498" s="22" t="s">
        <v>1700</v>
      </c>
      <c r="F1498" s="22" t="s">
        <v>1252</v>
      </c>
    </row>
    <row r="1499" ht="18.5" customHeight="1" spans="1:6">
      <c r="A1499" s="23">
        <v>1498</v>
      </c>
      <c r="B1499" s="23" t="s">
        <v>3264</v>
      </c>
      <c r="C1499" s="23" t="s">
        <v>587</v>
      </c>
      <c r="D1499" s="23" t="s">
        <v>591</v>
      </c>
      <c r="E1499" s="23" t="s">
        <v>1700</v>
      </c>
      <c r="F1499" s="23" t="s">
        <v>1252</v>
      </c>
    </row>
    <row r="1500" ht="18.5" customHeight="1" spans="1:6">
      <c r="A1500" s="22">
        <v>1499</v>
      </c>
      <c r="B1500" s="22" t="s">
        <v>3265</v>
      </c>
      <c r="C1500" s="22" t="s">
        <v>628</v>
      </c>
      <c r="D1500" s="22" t="s">
        <v>657</v>
      </c>
      <c r="E1500" s="22" t="s">
        <v>1700</v>
      </c>
      <c r="F1500" s="22" t="s">
        <v>1252</v>
      </c>
    </row>
    <row r="1501" ht="18.5" customHeight="1" spans="1:6">
      <c r="A1501" s="23">
        <v>1500</v>
      </c>
      <c r="B1501" s="23" t="s">
        <v>3266</v>
      </c>
      <c r="C1501" s="23" t="s">
        <v>628</v>
      </c>
      <c r="D1501" s="23" t="s">
        <v>688</v>
      </c>
      <c r="E1501" s="23" t="s">
        <v>1700</v>
      </c>
      <c r="F1501" s="23" t="s">
        <v>1252</v>
      </c>
    </row>
    <row r="1502" ht="18.5" customHeight="1" spans="1:6">
      <c r="A1502" s="22">
        <v>1501</v>
      </c>
      <c r="B1502" s="22" t="s">
        <v>3267</v>
      </c>
      <c r="C1502" s="22" t="s">
        <v>692</v>
      </c>
      <c r="D1502" s="22" t="s">
        <v>712</v>
      </c>
      <c r="E1502" s="22" t="s">
        <v>1700</v>
      </c>
      <c r="F1502" s="22" t="s">
        <v>1252</v>
      </c>
    </row>
    <row r="1503" ht="18.5" customHeight="1" spans="1:6">
      <c r="A1503" s="23">
        <v>1502</v>
      </c>
      <c r="B1503" s="23" t="s">
        <v>3268</v>
      </c>
      <c r="C1503" s="23" t="s">
        <v>692</v>
      </c>
      <c r="D1503" s="23" t="s">
        <v>712</v>
      </c>
      <c r="E1503" s="23" t="s">
        <v>1700</v>
      </c>
      <c r="F1503" s="23" t="s">
        <v>1252</v>
      </c>
    </row>
    <row r="1504" ht="18.5" customHeight="1" spans="1:6">
      <c r="A1504" s="22">
        <v>1503</v>
      </c>
      <c r="B1504" s="22" t="s">
        <v>3269</v>
      </c>
      <c r="C1504" s="22" t="s">
        <v>692</v>
      </c>
      <c r="D1504" s="22" t="s">
        <v>714</v>
      </c>
      <c r="E1504" s="22" t="s">
        <v>1700</v>
      </c>
      <c r="F1504" s="22" t="s">
        <v>1252</v>
      </c>
    </row>
    <row r="1505" ht="18.5" customHeight="1" spans="1:6">
      <c r="A1505" s="23">
        <v>1504</v>
      </c>
      <c r="B1505" s="23" t="s">
        <v>3270</v>
      </c>
      <c r="C1505" s="23" t="s">
        <v>692</v>
      </c>
      <c r="D1505" s="23" t="s">
        <v>704</v>
      </c>
      <c r="E1505" s="23" t="s">
        <v>1700</v>
      </c>
      <c r="F1505" s="23" t="s">
        <v>1252</v>
      </c>
    </row>
    <row r="1506" ht="18.5" customHeight="1" spans="1:6">
      <c r="A1506" s="22">
        <v>1505</v>
      </c>
      <c r="B1506" s="22" t="s">
        <v>3271</v>
      </c>
      <c r="C1506" s="22" t="s">
        <v>951</v>
      </c>
      <c r="D1506" s="22" t="s">
        <v>951</v>
      </c>
      <c r="E1506" s="22" t="s">
        <v>1700</v>
      </c>
      <c r="F1506" s="22" t="s">
        <v>1252</v>
      </c>
    </row>
    <row r="1507" ht="18.5" customHeight="1" spans="1:6">
      <c r="A1507" s="23">
        <v>1506</v>
      </c>
      <c r="B1507" s="23" t="s">
        <v>3272</v>
      </c>
      <c r="C1507" s="23" t="s">
        <v>951</v>
      </c>
      <c r="D1507" s="23" t="s">
        <v>951</v>
      </c>
      <c r="E1507" s="23" t="s">
        <v>1700</v>
      </c>
      <c r="F1507" s="23" t="s">
        <v>1252</v>
      </c>
    </row>
    <row r="1508" ht="18.5" customHeight="1" spans="1:6">
      <c r="A1508" s="22">
        <v>1507</v>
      </c>
      <c r="B1508" s="22" t="s">
        <v>3273</v>
      </c>
      <c r="C1508" s="22" t="s">
        <v>971</v>
      </c>
      <c r="D1508" s="22" t="s">
        <v>972</v>
      </c>
      <c r="E1508" s="22" t="s">
        <v>1700</v>
      </c>
      <c r="F1508" s="22" t="s">
        <v>1252</v>
      </c>
    </row>
    <row r="1509" ht="18.5" customHeight="1" spans="1:6">
      <c r="A1509" s="23">
        <v>1508</v>
      </c>
      <c r="B1509" s="23" t="s">
        <v>3274</v>
      </c>
      <c r="C1509" s="23" t="s">
        <v>797</v>
      </c>
      <c r="D1509" s="23" t="s">
        <v>802</v>
      </c>
      <c r="E1509" s="23" t="s">
        <v>1700</v>
      </c>
      <c r="F1509" s="23" t="s">
        <v>1252</v>
      </c>
    </row>
    <row r="1510" ht="18.5" customHeight="1" spans="1:6">
      <c r="A1510" s="22">
        <v>1509</v>
      </c>
      <c r="B1510" s="22" t="s">
        <v>3275</v>
      </c>
      <c r="C1510" s="22" t="s">
        <v>943</v>
      </c>
      <c r="D1510" s="22" t="s">
        <v>946</v>
      </c>
      <c r="E1510" s="22" t="s">
        <v>1700</v>
      </c>
      <c r="F1510" s="22" t="s">
        <v>1252</v>
      </c>
    </row>
    <row r="1511" ht="18.5" customHeight="1" spans="1:6">
      <c r="A1511" s="23">
        <v>1510</v>
      </c>
      <c r="B1511" s="23" t="s">
        <v>3276</v>
      </c>
      <c r="C1511" s="23" t="s">
        <v>151</v>
      </c>
      <c r="D1511" s="23" t="s">
        <v>164</v>
      </c>
      <c r="E1511" s="23" t="s">
        <v>1700</v>
      </c>
      <c r="F1511" s="23" t="s">
        <v>1252</v>
      </c>
    </row>
    <row r="1512" ht="18.5" customHeight="1" spans="1:6">
      <c r="A1512" s="22">
        <v>1511</v>
      </c>
      <c r="B1512" s="22" t="s">
        <v>3277</v>
      </c>
      <c r="C1512" s="22" t="s">
        <v>797</v>
      </c>
      <c r="D1512" s="22" t="s">
        <v>802</v>
      </c>
      <c r="E1512" s="22" t="s">
        <v>1700</v>
      </c>
      <c r="F1512" s="22" t="s">
        <v>1252</v>
      </c>
    </row>
    <row r="1513" ht="18.5" customHeight="1" spans="1:6">
      <c r="A1513" s="23">
        <v>1512</v>
      </c>
      <c r="B1513" s="23" t="s">
        <v>3278</v>
      </c>
      <c r="C1513" s="23" t="s">
        <v>797</v>
      </c>
      <c r="D1513" s="23" t="s">
        <v>836</v>
      </c>
      <c r="E1513" s="23" t="s">
        <v>1700</v>
      </c>
      <c r="F1513" s="23" t="s">
        <v>1252</v>
      </c>
    </row>
    <row r="1514" ht="18.5" customHeight="1" spans="1:6">
      <c r="A1514" s="22">
        <v>1513</v>
      </c>
      <c r="B1514" s="22" t="s">
        <v>3279</v>
      </c>
      <c r="C1514" s="22" t="s">
        <v>797</v>
      </c>
      <c r="D1514" s="22" t="s">
        <v>815</v>
      </c>
      <c r="E1514" s="22" t="s">
        <v>1700</v>
      </c>
      <c r="F1514" s="22" t="s">
        <v>1252</v>
      </c>
    </row>
    <row r="1515" ht="18.5" customHeight="1" spans="1:6">
      <c r="A1515" s="23">
        <v>1514</v>
      </c>
      <c r="B1515" s="23" t="s">
        <v>3280</v>
      </c>
      <c r="C1515" s="23" t="s">
        <v>797</v>
      </c>
      <c r="D1515" s="23" t="s">
        <v>813</v>
      </c>
      <c r="E1515" s="23" t="s">
        <v>1700</v>
      </c>
      <c r="F1515" s="23" t="s">
        <v>1252</v>
      </c>
    </row>
    <row r="1516" ht="18.5" customHeight="1" spans="1:6">
      <c r="A1516" s="22">
        <v>1515</v>
      </c>
      <c r="B1516" s="22" t="s">
        <v>3281</v>
      </c>
      <c r="C1516" s="22" t="s">
        <v>587</v>
      </c>
      <c r="D1516" s="22" t="s">
        <v>2156</v>
      </c>
      <c r="E1516" s="22" t="s">
        <v>1700</v>
      </c>
      <c r="F1516" s="22" t="s">
        <v>1252</v>
      </c>
    </row>
    <row r="1517" ht="18.5" customHeight="1" spans="1:6">
      <c r="A1517" s="23">
        <v>1516</v>
      </c>
      <c r="B1517" s="23" t="s">
        <v>3282</v>
      </c>
      <c r="C1517" s="23" t="s">
        <v>98</v>
      </c>
      <c r="D1517" s="23" t="s">
        <v>103</v>
      </c>
      <c r="E1517" s="23" t="s">
        <v>1700</v>
      </c>
      <c r="F1517" s="23" t="s">
        <v>1252</v>
      </c>
    </row>
    <row r="1518" ht="18.5" customHeight="1" spans="1:6">
      <c r="A1518" s="22">
        <v>1517</v>
      </c>
      <c r="B1518" s="22" t="s">
        <v>3283</v>
      </c>
      <c r="C1518" s="22" t="s">
        <v>98</v>
      </c>
      <c r="D1518" s="22" t="s">
        <v>103</v>
      </c>
      <c r="E1518" s="22" t="s">
        <v>1700</v>
      </c>
      <c r="F1518" s="22" t="s">
        <v>1252</v>
      </c>
    </row>
    <row r="1519" ht="18.5" customHeight="1" spans="1:6">
      <c r="A1519" s="23">
        <v>1518</v>
      </c>
      <c r="B1519" s="23" t="s">
        <v>3284</v>
      </c>
      <c r="C1519" s="23" t="s">
        <v>308</v>
      </c>
      <c r="D1519" s="23" t="s">
        <v>309</v>
      </c>
      <c r="E1519" s="23" t="s">
        <v>1700</v>
      </c>
      <c r="F1519" s="23" t="s">
        <v>1252</v>
      </c>
    </row>
    <row r="1520" ht="18.5" customHeight="1" spans="1:6">
      <c r="A1520" s="22">
        <v>1519</v>
      </c>
      <c r="B1520" s="22" t="s">
        <v>3285</v>
      </c>
      <c r="C1520" s="22" t="s">
        <v>308</v>
      </c>
      <c r="D1520" s="22" t="s">
        <v>327</v>
      </c>
      <c r="E1520" s="22" t="s">
        <v>1700</v>
      </c>
      <c r="F1520" s="22" t="s">
        <v>1252</v>
      </c>
    </row>
    <row r="1521" ht="18.5" customHeight="1" spans="1:6">
      <c r="A1521" s="23">
        <v>1520</v>
      </c>
      <c r="B1521" s="23" t="s">
        <v>3286</v>
      </c>
      <c r="C1521" s="23" t="s">
        <v>448</v>
      </c>
      <c r="D1521" s="23" t="s">
        <v>463</v>
      </c>
      <c r="E1521" s="23" t="s">
        <v>1700</v>
      </c>
      <c r="F1521" s="23" t="s">
        <v>1252</v>
      </c>
    </row>
    <row r="1522" ht="18.5" customHeight="1" spans="1:6">
      <c r="A1522" s="22">
        <v>1521</v>
      </c>
      <c r="B1522" s="22" t="s">
        <v>3287</v>
      </c>
      <c r="C1522" s="22" t="s">
        <v>587</v>
      </c>
      <c r="D1522" s="22" t="s">
        <v>594</v>
      </c>
      <c r="E1522" s="22" t="s">
        <v>1700</v>
      </c>
      <c r="F1522" s="22" t="s">
        <v>1252</v>
      </c>
    </row>
    <row r="1523" ht="18.5" customHeight="1" spans="1:6">
      <c r="A1523" s="23">
        <v>1522</v>
      </c>
      <c r="B1523" s="23" t="s">
        <v>3288</v>
      </c>
      <c r="C1523" s="23" t="s">
        <v>587</v>
      </c>
      <c r="D1523" s="23" t="s">
        <v>594</v>
      </c>
      <c r="E1523" s="23" t="s">
        <v>1700</v>
      </c>
      <c r="F1523" s="23" t="s">
        <v>1252</v>
      </c>
    </row>
    <row r="1524" ht="18.5" customHeight="1" spans="1:6">
      <c r="A1524" s="22">
        <v>1523</v>
      </c>
      <c r="B1524" s="22" t="s">
        <v>3289</v>
      </c>
      <c r="C1524" s="22" t="s">
        <v>628</v>
      </c>
      <c r="D1524" s="22" t="s">
        <v>651</v>
      </c>
      <c r="E1524" s="22" t="s">
        <v>1700</v>
      </c>
      <c r="F1524" s="22" t="s">
        <v>1252</v>
      </c>
    </row>
    <row r="1525" ht="18.5" customHeight="1" spans="1:6">
      <c r="A1525" s="23">
        <v>1524</v>
      </c>
      <c r="B1525" s="23" t="s">
        <v>3290</v>
      </c>
      <c r="C1525" s="23" t="s">
        <v>628</v>
      </c>
      <c r="D1525" s="23" t="s">
        <v>688</v>
      </c>
      <c r="E1525" s="23" t="s">
        <v>1700</v>
      </c>
      <c r="F1525" s="23" t="s">
        <v>1252</v>
      </c>
    </row>
    <row r="1526" ht="18.5" customHeight="1" spans="1:6">
      <c r="A1526" s="22">
        <v>1525</v>
      </c>
      <c r="B1526" s="22" t="s">
        <v>3291</v>
      </c>
      <c r="C1526" s="22" t="s">
        <v>628</v>
      </c>
      <c r="D1526" s="22" t="s">
        <v>671</v>
      </c>
      <c r="E1526" s="22" t="s">
        <v>1700</v>
      </c>
      <c r="F1526" s="22" t="s">
        <v>1252</v>
      </c>
    </row>
    <row r="1527" ht="18.5" customHeight="1" spans="1:6">
      <c r="A1527" s="23">
        <v>1526</v>
      </c>
      <c r="B1527" s="23" t="s">
        <v>3292</v>
      </c>
      <c r="C1527" s="23" t="s">
        <v>628</v>
      </c>
      <c r="D1527" s="23" t="s">
        <v>662</v>
      </c>
      <c r="E1527" s="23" t="s">
        <v>1700</v>
      </c>
      <c r="F1527" s="23" t="s">
        <v>1252</v>
      </c>
    </row>
    <row r="1528" ht="18.5" customHeight="1" spans="1:6">
      <c r="A1528" s="22">
        <v>1527</v>
      </c>
      <c r="B1528" s="22" t="s">
        <v>3293</v>
      </c>
      <c r="C1528" s="22" t="s">
        <v>628</v>
      </c>
      <c r="D1528" s="22" t="s">
        <v>666</v>
      </c>
      <c r="E1528" s="22" t="s">
        <v>1700</v>
      </c>
      <c r="F1528" s="22" t="s">
        <v>1252</v>
      </c>
    </row>
    <row r="1529" ht="18.5" customHeight="1" spans="1:6">
      <c r="A1529" s="23">
        <v>1528</v>
      </c>
      <c r="B1529" s="23" t="s">
        <v>3294</v>
      </c>
      <c r="C1529" s="23" t="s">
        <v>692</v>
      </c>
      <c r="D1529" s="23" t="s">
        <v>709</v>
      </c>
      <c r="E1529" s="23" t="s">
        <v>1700</v>
      </c>
      <c r="F1529" s="23" t="s">
        <v>1252</v>
      </c>
    </row>
    <row r="1530" ht="18.5" customHeight="1" spans="1:6">
      <c r="A1530" s="22">
        <v>1529</v>
      </c>
      <c r="B1530" s="22" t="s">
        <v>3295</v>
      </c>
      <c r="C1530" s="22" t="s">
        <v>692</v>
      </c>
      <c r="D1530" s="22" t="s">
        <v>709</v>
      </c>
      <c r="E1530" s="22" t="s">
        <v>1700</v>
      </c>
      <c r="F1530" s="22" t="s">
        <v>1252</v>
      </c>
    </row>
    <row r="1531" ht="18.5" customHeight="1" spans="1:6">
      <c r="A1531" s="23">
        <v>1530</v>
      </c>
      <c r="B1531" s="23" t="s">
        <v>3296</v>
      </c>
      <c r="C1531" s="23" t="s">
        <v>692</v>
      </c>
      <c r="D1531" s="23" t="s">
        <v>714</v>
      </c>
      <c r="E1531" s="23" t="s">
        <v>1700</v>
      </c>
      <c r="F1531" s="23" t="s">
        <v>1252</v>
      </c>
    </row>
    <row r="1532" ht="18.5" customHeight="1" spans="1:6">
      <c r="A1532" s="22">
        <v>1531</v>
      </c>
      <c r="B1532" s="22" t="s">
        <v>3297</v>
      </c>
      <c r="C1532" s="22" t="s">
        <v>692</v>
      </c>
      <c r="D1532" s="22" t="s">
        <v>729</v>
      </c>
      <c r="E1532" s="22" t="s">
        <v>1700</v>
      </c>
      <c r="F1532" s="22" t="s">
        <v>1252</v>
      </c>
    </row>
    <row r="1533" ht="18.5" customHeight="1" spans="1:6">
      <c r="A1533" s="23">
        <v>1532</v>
      </c>
      <c r="B1533" s="23" t="s">
        <v>3298</v>
      </c>
      <c r="C1533" s="23" t="s">
        <v>797</v>
      </c>
      <c r="D1533" s="23" t="s">
        <v>811</v>
      </c>
      <c r="E1533" s="23" t="s">
        <v>1700</v>
      </c>
      <c r="F1533" s="23" t="s">
        <v>1252</v>
      </c>
    </row>
    <row r="1534" ht="18.5" customHeight="1" spans="1:6">
      <c r="A1534" s="22">
        <v>1533</v>
      </c>
      <c r="B1534" s="22" t="s">
        <v>3299</v>
      </c>
      <c r="C1534" s="22" t="s">
        <v>797</v>
      </c>
      <c r="D1534" s="22" t="s">
        <v>817</v>
      </c>
      <c r="E1534" s="22" t="s">
        <v>1700</v>
      </c>
      <c r="F1534" s="22" t="s">
        <v>1252</v>
      </c>
    </row>
    <row r="1535" ht="18.5" customHeight="1" spans="1:6">
      <c r="A1535" s="23">
        <v>1534</v>
      </c>
      <c r="B1535" s="23" t="s">
        <v>3300</v>
      </c>
      <c r="C1535" s="23" t="s">
        <v>951</v>
      </c>
      <c r="D1535" s="23" t="s">
        <v>951</v>
      </c>
      <c r="E1535" s="23" t="s">
        <v>1700</v>
      </c>
      <c r="F1535" s="23" t="s">
        <v>1252</v>
      </c>
    </row>
    <row r="1536" ht="18.5" customHeight="1" spans="1:6">
      <c r="A1536" s="22">
        <v>1535</v>
      </c>
      <c r="B1536" s="22" t="s">
        <v>3301</v>
      </c>
      <c r="C1536" s="22" t="s">
        <v>1060</v>
      </c>
      <c r="D1536" s="22" t="s">
        <v>1061</v>
      </c>
      <c r="E1536" s="22" t="s">
        <v>1700</v>
      </c>
      <c r="F1536" s="22" t="s">
        <v>1252</v>
      </c>
    </row>
    <row r="1537" ht="18.5" customHeight="1" spans="1:6">
      <c r="A1537" s="23">
        <v>1536</v>
      </c>
      <c r="B1537" s="23" t="s">
        <v>3302</v>
      </c>
      <c r="C1537" s="23" t="s">
        <v>379</v>
      </c>
      <c r="D1537" s="23" t="s">
        <v>382</v>
      </c>
      <c r="E1537" s="23" t="s">
        <v>1700</v>
      </c>
      <c r="F1537" s="23" t="s">
        <v>1687</v>
      </c>
    </row>
    <row r="1538" ht="18.5" customHeight="1" spans="1:6">
      <c r="A1538" s="22">
        <v>1537</v>
      </c>
      <c r="B1538" s="22" t="s">
        <v>3303</v>
      </c>
      <c r="C1538" s="22" t="s">
        <v>553</v>
      </c>
      <c r="D1538" s="22" t="s">
        <v>558</v>
      </c>
      <c r="E1538" s="22" t="s">
        <v>1700</v>
      </c>
      <c r="F1538" s="22" t="s">
        <v>1687</v>
      </c>
    </row>
    <row r="1539" ht="18.5" customHeight="1" spans="1:6">
      <c r="A1539" s="23">
        <v>1538</v>
      </c>
      <c r="B1539" s="23" t="s">
        <v>3304</v>
      </c>
      <c r="C1539" s="23" t="s">
        <v>692</v>
      </c>
      <c r="D1539" s="23" t="s">
        <v>693</v>
      </c>
      <c r="E1539" s="23" t="s">
        <v>1700</v>
      </c>
      <c r="F1539" s="23" t="s">
        <v>1687</v>
      </c>
    </row>
  </sheetData>
  <hyperlinks>
    <hyperlink ref="B16" r:id="rId1" display="天津滨海职业学院" tooltip="https://www.dxsbb.com/news/list_120.html"/>
    <hyperlink ref="C39" r:id="rId2" display="河北" tooltip="https://www.dxsbb.com/news/list_105.html"/>
    <hyperlink ref="B56" r:id="rId3" display="河北化工医药职业技术学院" tooltip="https://www.dxsbb.com/news/list_198.html"/>
    <hyperlink ref="B70" r:id="rId4" display="河北正定师范高等专科学校" tooltip="https://www.dxsbb.com/news/list_196.html"/>
    <hyperlink ref="B85" r:id="rId5" display="山西省财政税务专科学校" tooltip="https://www.dxsbb.com/news/list_114.html"/>
    <hyperlink ref="C125" r:id="rId6" display="内蒙古" tooltip="https://www.dxsbb.com/news/list_122.html"/>
    <hyperlink ref="B146" r:id="rId7" display="内蒙古民族幼儿师范高等专科学校" tooltip="https://www.dxsbb.com/news/list_202.html"/>
    <hyperlink ref="C150" r:id="rId8" display="辽宁" tooltip="https://www.dxsbb.com/news/list_107.html"/>
    <hyperlink ref="C191" r:id="rId9" display="吉林" tooltip="https://www.dxsbb.com/news/list_119.html"/>
    <hyperlink ref="C209" r:id="rId10" display="黑龙江" tooltip="https://www.dxsbb.com/news/list_113.html"/>
    <hyperlink ref="A212" r:id="rId11" display="211" tooltip="https://www.dxsbb.com/news/list_194.html"/>
    <hyperlink ref="B239" r:id="rId12" display="上海旅游高等专科学校" tooltip="https://www.dxsbb.com/news/list_116.html"/>
    <hyperlink ref="B248" r:id="rId13" display="上海农林职业技术学院" tooltip="https://www.dxsbb.com/news/list_203.html"/>
    <hyperlink ref="B251" r:id="rId14" display="上海南湖职业技术学院" tooltip="https://www.dxsbb.com/news/list_125.html"/>
    <hyperlink ref="C252" r:id="rId15" display="江苏" tooltip="https://www.dxsbb.com/news/list_99.html"/>
    <hyperlink ref="B296" r:id="rId16" display="江苏财经职业技术学院" tooltip="https://www.dxsbb.com/news/list_197.html"/>
    <hyperlink ref="C315" r:id="rId17" display="浙江" tooltip="https://www.dxsbb.com/news/list_110.html"/>
    <hyperlink ref="C350" r:id="rId18" display="安徽" tooltip="https://www.dxsbb.com/news/list_106.html"/>
    <hyperlink ref="B405" r:id="rId19" display="福建船政交通职业学院" tooltip="https://www.dxsbb.com/news/list_112.html"/>
    <hyperlink ref="C432" r:id="rId20" display="江西" tooltip="https://www.dxsbb.com/news/list_111.html"/>
    <hyperlink ref="B477" r:id="rId21" display="山东医学高等专科学校" tooltip="https://www.dxsbb.com/news/list_100.html"/>
    <hyperlink ref="B526" r:id="rId22" display="山东理工职业学院" tooltip="https://www.dxsbb.com/news/list_200.html"/>
    <hyperlink ref="B541" r:id="rId23" display="河南职业技术学院" tooltip="https://www.dxsbb.com/news/list_102.html"/>
    <hyperlink ref="C612" r:id="rId24" display="湖北" tooltip="https://www.dxsbb.com/news/list_103.html"/>
    <hyperlink ref="C659" r:id="rId25" display="湖南" tooltip="https://www.dxsbb.com/news/list_104.html"/>
    <hyperlink ref="B725" r:id="rId26" display="广东交通职业技术学院" tooltip="https://www.dxsbb.com/news/list_101.html"/>
    <hyperlink ref="B786" r:id="rId27" display="广西机电职业技术学院" tooltip="https://www.dxsbb.com/news/list_115.html"/>
    <hyperlink ref="B823" r:id="rId28" display="重庆航天职业技术学院" tooltip="https://www.dxsbb.com/news/list_117.html"/>
    <hyperlink ref="B844" r:id="rId29" display="四川电力职业技术学院" tooltip="https://www.dxsbb.com/news/list_109.html"/>
    <hyperlink ref="C887" r:id="rId30" display="贵州" tooltip="https://www.dxsbb.com/news/list_121.html"/>
    <hyperlink ref="B923" r:id="rId31" display="云南国土资源职业学院" tooltip="https://www.dxsbb.com/news/list_118.html"/>
    <hyperlink ref="B957" r:id="rId32" display="西藏警官高等专科学校" tooltip="https://www.dxsbb.com/news/list_128.html"/>
    <hyperlink ref="C959" r:id="rId33" display="陕西" tooltip="https://www.dxsbb.com/news/list_108.html"/>
    <hyperlink ref="A986" r:id="rId34" display="985" tooltip="https://www.dxsbb.com/news/list_195.html"/>
    <hyperlink ref="C986" r:id="rId35" display="甘肃" tooltip="https://www.dxsbb.com/news/list_123.html"/>
    <hyperlink ref="B1003" r:id="rId36" display="青海卫生职业技术学院" tooltip="https://www.dxsbb.com/news/list_127.html"/>
    <hyperlink ref="B1010" r:id="rId37" display="宁夏民族职业技术学院" tooltip="https://www.dxsbb.com/news/list_126.html"/>
    <hyperlink ref="C1020" r:id="rId38" display="新疆" tooltip="https://www.dxsbb.com/news/list_124.html"/>
    <hyperlink ref="B1196" r:id="rId39" display="上海电影艺术职业学院" tooltip="https://www.dxsbb.com/news/list_45.html"/>
  </hyperlink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0"/>
  <sheetViews>
    <sheetView topLeftCell="A9" workbookViewId="0">
      <selection activeCell="E35" sqref="E34:E35"/>
    </sheetView>
  </sheetViews>
  <sheetFormatPr defaultColWidth="9" defaultRowHeight="13.5" outlineLevelCol="3"/>
  <cols>
    <col min="1" max="1" width="6.675" customWidth="1"/>
    <col min="2" max="2" width="16.3416666666667" style="19" customWidth="1"/>
    <col min="3" max="3" width="8.50833333333333" customWidth="1"/>
    <col min="4" max="4" width="6.625" customWidth="1"/>
    <col min="5" max="5" width="7.375" customWidth="1"/>
  </cols>
  <sheetData>
    <row r="1" ht="18.5" customHeight="1" spans="1:4">
      <c r="A1" s="10" t="s">
        <v>3881</v>
      </c>
      <c r="B1" s="11" t="s">
        <v>3882</v>
      </c>
      <c r="C1" s="12" t="s">
        <v>3306</v>
      </c>
      <c r="D1">
        <v>985</v>
      </c>
    </row>
    <row r="2" ht="18.5" customHeight="1" spans="1:4">
      <c r="A2" s="13">
        <v>1</v>
      </c>
      <c r="B2" s="14" t="s">
        <v>14</v>
      </c>
      <c r="C2" s="15" t="s">
        <v>10</v>
      </c>
      <c r="D2">
        <v>985</v>
      </c>
    </row>
    <row r="3" ht="18.5" customHeight="1" spans="1:4">
      <c r="A3" s="13">
        <v>2</v>
      </c>
      <c r="B3" s="14" t="s">
        <v>9</v>
      </c>
      <c r="C3" s="15" t="s">
        <v>10</v>
      </c>
      <c r="D3">
        <v>985</v>
      </c>
    </row>
    <row r="4" ht="18.5" customHeight="1" spans="1:4">
      <c r="A4" s="13">
        <v>3</v>
      </c>
      <c r="B4" s="14" t="s">
        <v>504</v>
      </c>
      <c r="C4" s="15" t="s">
        <v>502</v>
      </c>
      <c r="D4">
        <v>985</v>
      </c>
    </row>
    <row r="5" ht="18.5" customHeight="1" spans="1:4">
      <c r="A5" s="13">
        <v>4</v>
      </c>
      <c r="B5" s="14" t="s">
        <v>346</v>
      </c>
      <c r="C5" s="15" t="s">
        <v>347</v>
      </c>
      <c r="D5">
        <v>985</v>
      </c>
    </row>
    <row r="6" ht="18.5" customHeight="1" spans="1:4">
      <c r="A6" s="13">
        <v>5</v>
      </c>
      <c r="B6" s="14" t="s">
        <v>13</v>
      </c>
      <c r="C6" s="15" t="s">
        <v>10</v>
      </c>
      <c r="D6">
        <v>985</v>
      </c>
    </row>
    <row r="7" ht="18.5" customHeight="1" spans="1:4">
      <c r="A7" s="13">
        <v>6</v>
      </c>
      <c r="B7" s="14" t="s">
        <v>349</v>
      </c>
      <c r="C7" s="15" t="s">
        <v>347</v>
      </c>
      <c r="D7">
        <v>985</v>
      </c>
    </row>
    <row r="8" ht="18.5" customHeight="1" spans="1:4">
      <c r="A8" s="13">
        <v>7</v>
      </c>
      <c r="B8" s="14" t="s">
        <v>378</v>
      </c>
      <c r="C8" s="15" t="s">
        <v>379</v>
      </c>
      <c r="D8">
        <v>985</v>
      </c>
    </row>
    <row r="9" ht="18.5" customHeight="1" spans="1:4">
      <c r="A9" s="13">
        <v>8</v>
      </c>
      <c r="B9" s="14" t="s">
        <v>348</v>
      </c>
      <c r="C9" s="15" t="s">
        <v>347</v>
      </c>
      <c r="D9">
        <v>985</v>
      </c>
    </row>
    <row r="10" ht="18.5" customHeight="1" spans="1:4">
      <c r="A10" s="13">
        <v>9</v>
      </c>
      <c r="B10" s="14" t="s">
        <v>447</v>
      </c>
      <c r="C10" s="15" t="s">
        <v>448</v>
      </c>
      <c r="D10">
        <v>985</v>
      </c>
    </row>
    <row r="11" ht="18.5" customHeight="1" spans="1:4">
      <c r="A11" s="13">
        <v>10</v>
      </c>
      <c r="B11" s="14" t="s">
        <v>75</v>
      </c>
      <c r="C11" s="15" t="s">
        <v>76</v>
      </c>
      <c r="D11">
        <v>985</v>
      </c>
    </row>
    <row r="12" ht="18.5" customHeight="1" spans="1:4">
      <c r="A12" s="13">
        <v>11</v>
      </c>
      <c r="B12" s="14" t="s">
        <v>17</v>
      </c>
      <c r="C12" s="15" t="s">
        <v>10</v>
      </c>
      <c r="D12">
        <v>985</v>
      </c>
    </row>
    <row r="13" ht="18.5" customHeight="1" spans="1:4">
      <c r="A13" s="13">
        <v>12</v>
      </c>
      <c r="B13" s="14" t="s">
        <v>35</v>
      </c>
      <c r="C13" s="15" t="s">
        <v>10</v>
      </c>
      <c r="D13">
        <v>985</v>
      </c>
    </row>
    <row r="14" ht="18.5" customHeight="1" spans="1:4">
      <c r="A14" s="13">
        <v>13</v>
      </c>
      <c r="B14" s="14" t="s">
        <v>745</v>
      </c>
      <c r="C14" s="15" t="s">
        <v>746</v>
      </c>
      <c r="D14">
        <v>985</v>
      </c>
    </row>
    <row r="15" ht="18.5" customHeight="1" spans="1:4">
      <c r="A15" s="13">
        <v>14</v>
      </c>
      <c r="B15" s="14" t="s">
        <v>1112</v>
      </c>
      <c r="C15" s="15" t="s">
        <v>1106</v>
      </c>
      <c r="D15">
        <v>985</v>
      </c>
    </row>
    <row r="16" ht="18.5" customHeight="1" spans="1:4">
      <c r="A16" s="13">
        <v>15</v>
      </c>
      <c r="B16" s="14" t="s">
        <v>77</v>
      </c>
      <c r="C16" s="15" t="s">
        <v>76</v>
      </c>
      <c r="D16">
        <v>985</v>
      </c>
    </row>
    <row r="17" ht="18.5" customHeight="1" spans="1:4">
      <c r="A17" s="13">
        <v>16</v>
      </c>
      <c r="B17" s="14" t="s">
        <v>748</v>
      </c>
      <c r="C17" s="15" t="s">
        <v>746</v>
      </c>
      <c r="D17">
        <v>985</v>
      </c>
    </row>
    <row r="18" ht="18.5" customHeight="1" spans="1:4">
      <c r="A18" s="13">
        <v>17</v>
      </c>
      <c r="B18" s="14" t="s">
        <v>18</v>
      </c>
      <c r="C18" s="15" t="s">
        <v>10</v>
      </c>
      <c r="D18">
        <v>985</v>
      </c>
    </row>
    <row r="19" ht="18.5" customHeight="1" spans="1:4">
      <c r="A19" s="13">
        <v>18</v>
      </c>
      <c r="B19" s="14" t="s">
        <v>383</v>
      </c>
      <c r="C19" s="15" t="s">
        <v>379</v>
      </c>
      <c r="D19">
        <v>985</v>
      </c>
    </row>
    <row r="20" ht="18.5" customHeight="1" spans="1:4">
      <c r="A20" s="13">
        <v>19</v>
      </c>
      <c r="B20" s="14" t="s">
        <v>843</v>
      </c>
      <c r="C20" s="15" t="s">
        <v>844</v>
      </c>
      <c r="D20">
        <v>985</v>
      </c>
    </row>
    <row r="21" ht="18.5" customHeight="1" spans="1:4">
      <c r="A21" s="13">
        <v>20</v>
      </c>
      <c r="B21" s="14" t="s">
        <v>359</v>
      </c>
      <c r="C21" s="15" t="s">
        <v>347</v>
      </c>
      <c r="D21">
        <v>985</v>
      </c>
    </row>
    <row r="22" ht="18.5" customHeight="1" spans="1:4">
      <c r="A22" s="13">
        <v>21</v>
      </c>
      <c r="B22" s="14" t="s">
        <v>310</v>
      </c>
      <c r="C22" s="15" t="s">
        <v>308</v>
      </c>
      <c r="D22">
        <v>985</v>
      </c>
    </row>
    <row r="23" ht="18.5" customHeight="1" spans="1:4">
      <c r="A23" s="13">
        <v>22</v>
      </c>
      <c r="B23" s="14" t="s">
        <v>552</v>
      </c>
      <c r="C23" s="15" t="s">
        <v>553</v>
      </c>
      <c r="D23">
        <v>985</v>
      </c>
    </row>
    <row r="24" ht="18.5" customHeight="1" spans="1:4">
      <c r="A24" s="13">
        <v>23</v>
      </c>
      <c r="B24" s="14" t="s">
        <v>1113</v>
      </c>
      <c r="C24" s="15" t="s">
        <v>1106</v>
      </c>
      <c r="D24">
        <v>985</v>
      </c>
    </row>
    <row r="25" ht="18.5" customHeight="1" spans="1:4">
      <c r="A25" s="13">
        <v>24</v>
      </c>
      <c r="B25" s="14" t="s">
        <v>803</v>
      </c>
      <c r="C25" s="15" t="s">
        <v>797</v>
      </c>
      <c r="D25">
        <v>985</v>
      </c>
    </row>
    <row r="26" ht="18.5" customHeight="1" spans="1:4">
      <c r="A26" s="13">
        <v>25</v>
      </c>
      <c r="B26" s="14" t="s">
        <v>222</v>
      </c>
      <c r="C26" s="15" t="s">
        <v>220</v>
      </c>
      <c r="D26">
        <v>985</v>
      </c>
    </row>
    <row r="27" ht="18.5" customHeight="1" spans="1:4">
      <c r="A27" s="13">
        <v>26</v>
      </c>
      <c r="B27" s="14" t="s">
        <v>970</v>
      </c>
      <c r="C27" s="15" t="s">
        <v>971</v>
      </c>
      <c r="D27">
        <v>985</v>
      </c>
    </row>
    <row r="28" ht="18.5" customHeight="1" spans="1:4">
      <c r="A28" s="13">
        <v>27</v>
      </c>
      <c r="B28" s="14" t="s">
        <v>974</v>
      </c>
      <c r="C28" s="15" t="s">
        <v>971</v>
      </c>
      <c r="D28">
        <v>985</v>
      </c>
    </row>
    <row r="29" ht="18.5" customHeight="1" spans="1:4">
      <c r="A29" s="13">
        <v>28</v>
      </c>
      <c r="B29" s="14" t="s">
        <v>849</v>
      </c>
      <c r="C29" s="15" t="s">
        <v>844</v>
      </c>
      <c r="D29">
        <v>985</v>
      </c>
    </row>
    <row r="30" ht="18.5" customHeight="1" spans="1:4">
      <c r="A30" s="13">
        <v>29</v>
      </c>
      <c r="B30" s="14" t="s">
        <v>272</v>
      </c>
      <c r="C30" s="15" t="s">
        <v>273</v>
      </c>
      <c r="D30">
        <v>985</v>
      </c>
    </row>
    <row r="31" ht="18.5" customHeight="1" spans="1:4">
      <c r="A31" s="13">
        <v>30</v>
      </c>
      <c r="B31" s="14" t="s">
        <v>801</v>
      </c>
      <c r="C31" s="15" t="s">
        <v>797</v>
      </c>
      <c r="D31">
        <v>985</v>
      </c>
    </row>
    <row r="32" ht="18.5" customHeight="1" spans="1:4">
      <c r="A32" s="13">
        <v>31</v>
      </c>
      <c r="B32" s="14" t="s">
        <v>950</v>
      </c>
      <c r="C32" s="15" t="s">
        <v>951</v>
      </c>
      <c r="D32">
        <v>985</v>
      </c>
    </row>
    <row r="33" ht="18.5" customHeight="1" spans="1:4">
      <c r="A33" s="13">
        <v>32</v>
      </c>
      <c r="B33" s="14" t="s">
        <v>627</v>
      </c>
      <c r="C33" s="15" t="s">
        <v>628</v>
      </c>
      <c r="D33">
        <v>985</v>
      </c>
    </row>
    <row r="34" ht="18.5" customHeight="1" spans="1:4">
      <c r="A34" s="13">
        <v>33</v>
      </c>
      <c r="B34" s="14" t="s">
        <v>29</v>
      </c>
      <c r="C34" s="15" t="s">
        <v>10</v>
      </c>
      <c r="D34">
        <v>985</v>
      </c>
    </row>
    <row r="35" ht="18.5" customHeight="1" spans="1:4">
      <c r="A35" s="13">
        <v>34</v>
      </c>
      <c r="B35" s="14" t="s">
        <v>630</v>
      </c>
      <c r="C35" s="15" t="s">
        <v>628</v>
      </c>
      <c r="D35">
        <v>985</v>
      </c>
    </row>
    <row r="36" ht="18.5" customHeight="1" spans="1:4">
      <c r="A36" s="13">
        <v>35</v>
      </c>
      <c r="B36" s="14" t="s">
        <v>58</v>
      </c>
      <c r="C36" s="15" t="s">
        <v>10</v>
      </c>
      <c r="D36">
        <v>985</v>
      </c>
    </row>
    <row r="37" ht="18.5" customHeight="1" spans="1:4">
      <c r="A37" s="13">
        <v>36</v>
      </c>
      <c r="B37" s="14" t="s">
        <v>227</v>
      </c>
      <c r="C37" s="15" t="s">
        <v>220</v>
      </c>
      <c r="D37">
        <v>985</v>
      </c>
    </row>
    <row r="38" ht="18.5" customHeight="1" spans="1:4">
      <c r="A38" s="13">
        <v>37</v>
      </c>
      <c r="B38" s="14" t="s">
        <v>1155</v>
      </c>
      <c r="C38" s="15" t="s">
        <v>1156</v>
      </c>
      <c r="D38">
        <v>985</v>
      </c>
    </row>
    <row r="39" ht="18.5" customHeight="1" spans="1:4">
      <c r="A39" s="13">
        <v>38</v>
      </c>
      <c r="B39" s="14" t="s">
        <v>1123</v>
      </c>
      <c r="C39" s="15" t="s">
        <v>1106</v>
      </c>
      <c r="D39">
        <v>985</v>
      </c>
    </row>
    <row r="40" ht="18.5" customHeight="1" spans="1:4">
      <c r="A40" s="20" t="s">
        <v>3883</v>
      </c>
      <c r="B40" s="17" t="s">
        <v>3884</v>
      </c>
      <c r="C40" s="18" t="s">
        <v>797</v>
      </c>
      <c r="D40">
        <v>985</v>
      </c>
    </row>
    <row r="41" ht="18.6" customHeight="1" spans="1:4">
      <c r="B41"/>
    </row>
    <row r="42" ht="18.6" customHeight="1" spans="1:4">
      <c r="B42"/>
    </row>
    <row r="43" ht="18.6" customHeight="1" spans="1:4">
      <c r="B43"/>
    </row>
    <row r="44" ht="18.6" customHeight="1" spans="1:4">
      <c r="B44"/>
    </row>
    <row r="45" ht="18.6" customHeight="1" spans="1:4">
      <c r="B45"/>
    </row>
    <row r="46" ht="18.6" customHeight="1" spans="1:4">
      <c r="B46"/>
    </row>
    <row r="47" ht="18.6" customHeight="1" spans="1:4">
      <c r="B47"/>
    </row>
    <row r="48" ht="18.6" customHeight="1" spans="1:4">
      <c r="B48"/>
    </row>
    <row r="49" ht="18.6" customHeight="1" spans="2:2">
      <c r="B49"/>
    </row>
    <row r="50" ht="18.6" customHeight="1" spans="2:2">
      <c r="B50"/>
    </row>
    <row r="51" ht="18.6" customHeight="1" spans="2:2">
      <c r="B51"/>
    </row>
    <row r="52" ht="18.6" customHeight="1" spans="2:2">
      <c r="B52"/>
    </row>
    <row r="53" ht="18.6" customHeight="1" spans="2:2">
      <c r="B53"/>
    </row>
    <row r="54" ht="18.6" customHeight="1" spans="2:2">
      <c r="B54"/>
    </row>
    <row r="55" ht="18.6" customHeight="1" spans="2:2">
      <c r="B55"/>
    </row>
    <row r="56" ht="18.6" customHeight="1" spans="2:2">
      <c r="B56"/>
    </row>
    <row r="57" ht="18.6" customHeight="1" spans="2:2">
      <c r="B57"/>
    </row>
    <row r="58" ht="18.6" customHeight="1" spans="2:2">
      <c r="B58"/>
    </row>
    <row r="59" ht="18.6" customHeight="1" spans="2:2">
      <c r="B59"/>
    </row>
    <row r="60" ht="18.6" customHeight="1" spans="2:2">
      <c r="B60"/>
    </row>
    <row r="61" ht="18.6" customHeight="1" spans="2:2">
      <c r="B61"/>
    </row>
    <row r="62" ht="18.6" customHeight="1" spans="2:2">
      <c r="B62"/>
    </row>
    <row r="63" ht="18.6" customHeight="1" spans="2:2">
      <c r="B63"/>
    </row>
    <row r="64" ht="18.6" customHeight="1" spans="2:2">
      <c r="B64"/>
    </row>
    <row r="65" ht="18.6" customHeight="1" spans="2:2">
      <c r="B65"/>
    </row>
    <row r="66" ht="18.6" customHeight="1" spans="2:2">
      <c r="B66"/>
    </row>
    <row r="67" ht="18.6" customHeight="1" spans="2:2">
      <c r="B67"/>
    </row>
    <row r="68" ht="18.6" customHeight="1" spans="2:2">
      <c r="B68"/>
    </row>
    <row r="69" ht="18.6" customHeight="1" spans="2:2">
      <c r="B69"/>
    </row>
    <row r="70" ht="18.6" customHeight="1" spans="2:2">
      <c r="B70"/>
    </row>
    <row r="71" ht="18.6" customHeight="1" spans="2:2">
      <c r="B71"/>
    </row>
    <row r="72" ht="18.6" customHeight="1" spans="2:2">
      <c r="B72"/>
    </row>
    <row r="73" ht="18.6" customHeight="1" spans="2:2">
      <c r="B73"/>
    </row>
    <row r="74" ht="18.6" customHeight="1" spans="2:2">
      <c r="B74"/>
    </row>
    <row r="75" ht="18.6" customHeight="1" spans="2:2">
      <c r="B75"/>
    </row>
    <row r="76" ht="18.6" customHeight="1" spans="2:2">
      <c r="B76"/>
    </row>
    <row r="77" ht="18.6" customHeight="1" spans="2:2">
      <c r="B77"/>
    </row>
    <row r="78" ht="18.6" customHeight="1" spans="2:2">
      <c r="B78"/>
    </row>
    <row r="79" ht="18.6" customHeight="1" spans="2:2">
      <c r="B79"/>
    </row>
    <row r="80" ht="18.6" customHeight="1" spans="2:2">
      <c r="B80"/>
    </row>
    <row r="81" ht="18.6" customHeight="1" spans="2:2">
      <c r="B81"/>
    </row>
    <row r="82" ht="18.6" customHeight="1" spans="2:2">
      <c r="B82"/>
    </row>
    <row r="83" ht="18.6" customHeight="1" spans="2:2">
      <c r="B83"/>
    </row>
    <row r="84" ht="18.6" customHeight="1" spans="2:2">
      <c r="B84"/>
    </row>
    <row r="85" ht="18.6" customHeight="1" spans="2:2">
      <c r="B85"/>
    </row>
    <row r="86" ht="18.6" customHeight="1" spans="2:2">
      <c r="B86"/>
    </row>
    <row r="87" ht="18.6" customHeight="1" spans="2:2">
      <c r="B87"/>
    </row>
    <row r="88" ht="18.6" customHeight="1" spans="2:2">
      <c r="B88"/>
    </row>
    <row r="89" ht="18.6" customHeight="1" spans="2:2">
      <c r="B89"/>
    </row>
    <row r="90" ht="18.6" customHeight="1" spans="2:2">
      <c r="B90"/>
    </row>
    <row r="91" ht="18.6" customHeight="1" spans="2:2">
      <c r="B91"/>
    </row>
    <row r="92" ht="18.6" customHeight="1" spans="2:2">
      <c r="B92"/>
    </row>
    <row r="93" ht="18.6" customHeight="1" spans="2:2">
      <c r="B93"/>
    </row>
    <row r="94" ht="18.6" customHeight="1" spans="2:2">
      <c r="B94"/>
    </row>
    <row r="95" ht="18.6" customHeight="1" spans="2:2">
      <c r="B95"/>
    </row>
    <row r="96" ht="18.6" customHeight="1" spans="2:2">
      <c r="B96"/>
    </row>
    <row r="97" ht="18.6" customHeight="1" spans="2:2">
      <c r="B97"/>
    </row>
    <row r="98" ht="18.6" customHeight="1" spans="2:2">
      <c r="B98"/>
    </row>
    <row r="99" ht="18.6" customHeight="1" spans="2:2">
      <c r="B99"/>
    </row>
    <row r="100" ht="18.6" customHeight="1" spans="2:2">
      <c r="B100"/>
    </row>
    <row r="101" ht="18.6" customHeight="1" spans="2:2">
      <c r="B101"/>
    </row>
    <row r="102" ht="18.6" customHeight="1" spans="2:2">
      <c r="B102"/>
    </row>
    <row r="103" ht="18.6" customHeight="1" spans="2:2">
      <c r="B103"/>
    </row>
    <row r="104" ht="18.6" customHeight="1" spans="2:2">
      <c r="B104"/>
    </row>
    <row r="105" ht="18.6" customHeight="1" spans="2:2">
      <c r="B105"/>
    </row>
    <row r="106" ht="18.6" customHeight="1" spans="2:2">
      <c r="B106"/>
    </row>
    <row r="107" ht="18.6" customHeight="1" spans="2:2">
      <c r="B107"/>
    </row>
    <row r="108" ht="18.6" customHeight="1" spans="2:2">
      <c r="B108"/>
    </row>
    <row r="109" ht="18.6" customHeight="1" spans="2:2">
      <c r="B109"/>
    </row>
    <row r="110" ht="18.6" customHeight="1" spans="2:2">
      <c r="B110"/>
    </row>
    <row r="111" ht="18.6" customHeight="1" spans="2:2">
      <c r="B111"/>
    </row>
    <row r="112" ht="18.6" customHeight="1" spans="2:2">
      <c r="B112"/>
    </row>
    <row r="113" ht="18.6" customHeight="1" spans="2:2">
      <c r="B113"/>
    </row>
    <row r="114" ht="18.6" customHeight="1" spans="2:2">
      <c r="B114"/>
    </row>
    <row r="115" ht="18.6" customHeight="1" spans="2:2">
      <c r="B115"/>
    </row>
    <row r="116" ht="18.6" customHeight="1" spans="2:2">
      <c r="B116"/>
    </row>
    <row r="117" ht="18.6" customHeight="1" spans="2:2">
      <c r="B117"/>
    </row>
    <row r="118" ht="18.6" customHeight="1" spans="2:2">
      <c r="B118"/>
    </row>
    <row r="119" ht="18.6" customHeight="1" spans="2:2">
      <c r="B119"/>
    </row>
    <row r="120" ht="18.6" customHeight="1" spans="2:2">
      <c r="B120"/>
    </row>
    <row r="121" ht="18.6" customHeight="1" spans="2:2">
      <c r="B121"/>
    </row>
    <row r="122" ht="18.6" customHeight="1" spans="2:2">
      <c r="B122"/>
    </row>
    <row r="123" ht="18.6" customHeight="1" spans="2:2">
      <c r="B123"/>
    </row>
    <row r="124" ht="18.6" customHeight="1" spans="2:2">
      <c r="B124"/>
    </row>
    <row r="125" ht="18.6" customHeight="1" spans="2:2">
      <c r="B125"/>
    </row>
    <row r="126" ht="18.6" customHeight="1" spans="2:2">
      <c r="B126"/>
    </row>
    <row r="127" ht="18.6" customHeight="1" spans="2:2">
      <c r="B127"/>
    </row>
    <row r="128" ht="18.6" customHeight="1" spans="2:2">
      <c r="B128"/>
    </row>
    <row r="129" ht="18.6" customHeight="1" spans="2:2">
      <c r="B129"/>
    </row>
    <row r="130" ht="18.6" customHeight="1" spans="2:2">
      <c r="B130"/>
    </row>
    <row r="131" ht="18.6" customHeight="1" spans="2:2">
      <c r="B131"/>
    </row>
    <row r="132" ht="18.6" customHeight="1" spans="2:2">
      <c r="B132"/>
    </row>
    <row r="133" ht="18.6" customHeight="1" spans="2:2">
      <c r="B133"/>
    </row>
    <row r="134" ht="18.6" customHeight="1" spans="2:2">
      <c r="B134"/>
    </row>
    <row r="135" ht="18.6" customHeight="1" spans="2:2">
      <c r="B135"/>
    </row>
    <row r="136" ht="18.6" customHeight="1" spans="2:2">
      <c r="B136"/>
    </row>
    <row r="137" ht="18.6" customHeight="1" spans="2:2">
      <c r="B137"/>
    </row>
    <row r="138" ht="18.6" customHeight="1" spans="2:2">
      <c r="B138"/>
    </row>
    <row r="139" ht="18.6" customHeight="1" spans="2:2">
      <c r="B139"/>
    </row>
    <row r="140" ht="18.6" customHeight="1" spans="2:2">
      <c r="B140"/>
    </row>
  </sheetData>
  <hyperlinks>
    <hyperlink ref="C4" r:id="rId1" display="安徽" tooltip="https://www.dxsbb.com/news/list_106.html"/>
    <hyperlink ref="C8" r:id="rId2" display="江苏" tooltip="https://www.dxsbb.com/news/list_99.html"/>
    <hyperlink ref="C14" r:id="rId3" display="湖北" tooltip="https://www.dxsbb.com/news/list_103.html"/>
    <hyperlink ref="C15" r:id="rId4" display="陕西" tooltip="https://www.dxsbb.com/news/list_108.html"/>
    <hyperlink ref="C20" r:id="rId5" display="广东" tooltip="https://www.dxsbb.com/news/list_101.html"/>
    <hyperlink ref="C22" r:id="rId6" display="黑龙江" tooltip="https://www.dxsbb.com/news/list_113.html"/>
    <hyperlink ref="C23" r:id="rId7" display="福建" tooltip="https://www.dxsbb.com/news/list_112.html"/>
    <hyperlink ref="C25" r:id="rId8" display="湖南" tooltip="https://www.dxsbb.com/news/list_104.html"/>
    <hyperlink ref="C26" r:id="rId9" display="辽宁" tooltip="https://www.dxsbb.com/news/list_107.html"/>
    <hyperlink ref="B27" r:id="rId10" display="四川大学" tooltip="https://www.dxsbb.com/news/list_109.html"/>
    <hyperlink ref="B30" r:id="rId11" display="吉林大学" tooltip="https://www.dxsbb.com/news/list_119.html"/>
    <hyperlink ref="B32" r:id="rId12" display="重庆大学" tooltip="https://www.dxsbb.com/news/list_117.html"/>
    <hyperlink ref="B33" r:id="rId13" display="山东大学" tooltip="https://www.dxsbb.com/news/list_100.html"/>
    <hyperlink ref="B36" r:id="rId14" display="中央民族大学" tooltip="https://www.dxsbb.com/news/list_202.html"/>
    <hyperlink ref="C38" r:id="rId15" display="甘肃" tooltip="https://www.dxsbb.com/news/list_123.html"/>
    <hyperlink ref="B39" r:id="rId16" display="西北农林科技大学" tooltip="https://www.dxsbb.com/news/list_203.html"/>
  </hyperlinks>
  <pageMargins left="0.75" right="0.75" top="1" bottom="1" header="0.5" footer="0.5"/>
  <pageSetup paperSize="9" orientation="portrait" horizontalDpi="1200" verticalDpi="12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6"/>
  <sheetViews>
    <sheetView topLeftCell="A85" workbookViewId="0">
      <selection activeCell="E115" sqref="E115"/>
    </sheetView>
  </sheetViews>
  <sheetFormatPr defaultColWidth="9" defaultRowHeight="13.5" outlineLevelCol="3"/>
  <cols>
    <col min="1" max="1" width="6.675" customWidth="1"/>
    <col min="2" max="2" width="20.675" customWidth="1"/>
    <col min="3" max="3" width="8.50833333333333" customWidth="1"/>
  </cols>
  <sheetData>
    <row r="1" ht="18.5" customHeight="1" spans="1:4">
      <c r="A1" s="10" t="s">
        <v>0</v>
      </c>
      <c r="B1" s="11" t="s">
        <v>3882</v>
      </c>
      <c r="C1" s="12" t="s">
        <v>3306</v>
      </c>
      <c r="D1">
        <v>211</v>
      </c>
    </row>
    <row r="2" ht="18.5" customHeight="1" spans="1:4">
      <c r="A2" s="13">
        <v>1</v>
      </c>
      <c r="B2" s="14" t="s">
        <v>504</v>
      </c>
      <c r="C2" s="15" t="s">
        <v>502</v>
      </c>
      <c r="D2">
        <v>211</v>
      </c>
    </row>
    <row r="3" ht="18.5" customHeight="1" spans="1:4">
      <c r="A3" s="13">
        <v>2</v>
      </c>
      <c r="B3" s="14" t="s">
        <v>505</v>
      </c>
      <c r="C3" s="15" t="s">
        <v>502</v>
      </c>
      <c r="D3">
        <v>211</v>
      </c>
    </row>
    <row r="4" ht="18.5" customHeight="1" spans="1:4">
      <c r="A4" s="13">
        <v>3</v>
      </c>
      <c r="B4" s="14" t="s">
        <v>501</v>
      </c>
      <c r="C4" s="15" t="s">
        <v>502</v>
      </c>
      <c r="D4">
        <v>211</v>
      </c>
    </row>
    <row r="5" ht="18.5" customHeight="1" spans="1:4">
      <c r="A5" s="13">
        <v>4</v>
      </c>
      <c r="B5" s="14" t="s">
        <v>14</v>
      </c>
      <c r="C5" s="15" t="s">
        <v>10</v>
      </c>
      <c r="D5">
        <v>211</v>
      </c>
    </row>
    <row r="6" ht="18.5" customHeight="1" spans="1:4">
      <c r="A6" s="13">
        <v>5</v>
      </c>
      <c r="B6" s="14" t="s">
        <v>9</v>
      </c>
      <c r="C6" s="15" t="s">
        <v>10</v>
      </c>
      <c r="D6">
        <v>211</v>
      </c>
    </row>
    <row r="7" ht="18.5" customHeight="1" spans="1:4">
      <c r="A7" s="13">
        <v>6</v>
      </c>
      <c r="B7" s="14" t="s">
        <v>13</v>
      </c>
      <c r="C7" s="15" t="s">
        <v>10</v>
      </c>
      <c r="D7">
        <v>211</v>
      </c>
    </row>
    <row r="8" ht="18.5" customHeight="1" spans="1:4">
      <c r="A8" s="13">
        <v>7</v>
      </c>
      <c r="B8" s="14" t="s">
        <v>17</v>
      </c>
      <c r="C8" s="15" t="s">
        <v>10</v>
      </c>
      <c r="D8">
        <v>211</v>
      </c>
    </row>
    <row r="9" ht="18.5" customHeight="1" spans="1:4">
      <c r="A9" s="13">
        <v>8</v>
      </c>
      <c r="B9" s="14" t="s">
        <v>42</v>
      </c>
      <c r="C9" s="15" t="s">
        <v>10</v>
      </c>
      <c r="D9">
        <v>211</v>
      </c>
    </row>
    <row r="10" ht="18.5" customHeight="1" spans="1:4">
      <c r="A10" s="13">
        <v>9</v>
      </c>
      <c r="B10" s="14" t="s">
        <v>35</v>
      </c>
      <c r="C10" s="15" t="s">
        <v>10</v>
      </c>
      <c r="D10">
        <v>211</v>
      </c>
    </row>
    <row r="11" ht="18.5" customHeight="1" spans="1:4">
      <c r="A11" s="13">
        <v>10</v>
      </c>
      <c r="B11" s="14" t="s">
        <v>43</v>
      </c>
      <c r="C11" s="15" t="s">
        <v>10</v>
      </c>
      <c r="D11">
        <v>211</v>
      </c>
    </row>
    <row r="12" ht="18.5" customHeight="1" spans="1:4">
      <c r="A12" s="13">
        <v>11</v>
      </c>
      <c r="B12" s="14" t="s">
        <v>18</v>
      </c>
      <c r="C12" s="15" t="s">
        <v>10</v>
      </c>
      <c r="D12">
        <v>211</v>
      </c>
    </row>
    <row r="13" ht="18.5" customHeight="1" spans="1:4">
      <c r="A13" s="13">
        <v>12</v>
      </c>
      <c r="B13" s="14" t="s">
        <v>38</v>
      </c>
      <c r="C13" s="15" t="s">
        <v>10</v>
      </c>
      <c r="D13">
        <v>211</v>
      </c>
    </row>
    <row r="14" ht="18.5" customHeight="1" spans="1:4">
      <c r="A14" s="13">
        <v>13</v>
      </c>
      <c r="B14" s="14" t="s">
        <v>59</v>
      </c>
      <c r="C14" s="15" t="s">
        <v>10</v>
      </c>
      <c r="D14">
        <v>211</v>
      </c>
    </row>
    <row r="15" ht="18.5" customHeight="1" spans="1:4">
      <c r="A15" s="13">
        <v>14</v>
      </c>
      <c r="B15" s="14" t="s">
        <v>24</v>
      </c>
      <c r="C15" s="15" t="s">
        <v>10</v>
      </c>
      <c r="D15">
        <v>211</v>
      </c>
    </row>
    <row r="16" ht="18.5" customHeight="1" spans="1:4">
      <c r="A16" s="13">
        <v>15</v>
      </c>
      <c r="B16" s="14" t="s">
        <v>41</v>
      </c>
      <c r="C16" s="15" t="s">
        <v>10</v>
      </c>
      <c r="D16">
        <v>211</v>
      </c>
    </row>
    <row r="17" ht="18.5" customHeight="1" spans="1:4">
      <c r="A17" s="13">
        <v>16</v>
      </c>
      <c r="B17" s="14" t="s">
        <v>19</v>
      </c>
      <c r="C17" s="15" t="s">
        <v>10</v>
      </c>
      <c r="D17">
        <v>211</v>
      </c>
    </row>
    <row r="18" ht="18.5" customHeight="1" spans="1:4">
      <c r="A18" s="13">
        <v>17</v>
      </c>
      <c r="B18" s="14" t="s">
        <v>15</v>
      </c>
      <c r="C18" s="15" t="s">
        <v>10</v>
      </c>
      <c r="D18">
        <v>211</v>
      </c>
    </row>
    <row r="19" ht="18.5" customHeight="1" spans="1:4">
      <c r="A19" s="13">
        <v>18</v>
      </c>
      <c r="B19" s="14" t="s">
        <v>29</v>
      </c>
      <c r="C19" s="15" t="s">
        <v>10</v>
      </c>
      <c r="D19">
        <v>211</v>
      </c>
    </row>
    <row r="20" ht="18.5" customHeight="1" spans="1:4">
      <c r="A20" s="13">
        <v>19</v>
      </c>
      <c r="B20" s="14" t="s">
        <v>58</v>
      </c>
      <c r="C20" s="15" t="s">
        <v>10</v>
      </c>
      <c r="D20">
        <v>211</v>
      </c>
    </row>
    <row r="21" ht="18.5" customHeight="1" spans="1:4">
      <c r="A21" s="13">
        <v>20</v>
      </c>
      <c r="B21" s="14" t="s">
        <v>60</v>
      </c>
      <c r="C21" s="15" t="s">
        <v>10</v>
      </c>
      <c r="D21">
        <v>211</v>
      </c>
    </row>
    <row r="22" ht="18.5" customHeight="1" spans="1:4">
      <c r="A22" s="13">
        <v>21</v>
      </c>
      <c r="B22" s="14" t="s">
        <v>34</v>
      </c>
      <c r="C22" s="15" t="s">
        <v>10</v>
      </c>
      <c r="D22">
        <v>211</v>
      </c>
    </row>
    <row r="23" ht="18.5" customHeight="1" spans="1:4">
      <c r="A23" s="13">
        <v>22</v>
      </c>
      <c r="B23" s="14" t="s">
        <v>31</v>
      </c>
      <c r="C23" s="15" t="s">
        <v>10</v>
      </c>
      <c r="D23">
        <v>211</v>
      </c>
    </row>
    <row r="24" ht="18.5" customHeight="1" spans="1:4">
      <c r="A24" s="13">
        <v>23</v>
      </c>
      <c r="B24" s="14" t="s">
        <v>16</v>
      </c>
      <c r="C24" s="15" t="s">
        <v>10</v>
      </c>
      <c r="D24">
        <v>211</v>
      </c>
    </row>
    <row r="25" ht="18.5" customHeight="1" spans="1:4">
      <c r="A25" s="13">
        <v>24</v>
      </c>
      <c r="B25" s="14" t="s">
        <v>21</v>
      </c>
      <c r="C25" s="15" t="s">
        <v>10</v>
      </c>
      <c r="D25">
        <v>211</v>
      </c>
    </row>
    <row r="26" ht="18.5" customHeight="1" spans="1:4">
      <c r="A26" s="13">
        <v>25</v>
      </c>
      <c r="B26" s="14" t="s">
        <v>65</v>
      </c>
      <c r="C26" s="15" t="s">
        <v>10</v>
      </c>
      <c r="D26">
        <v>211</v>
      </c>
    </row>
    <row r="27" ht="18.5" customHeight="1" spans="1:4">
      <c r="A27" s="13">
        <v>26</v>
      </c>
      <c r="B27" s="14" t="s">
        <v>63</v>
      </c>
      <c r="C27" s="15" t="s">
        <v>10</v>
      </c>
      <c r="D27">
        <v>211</v>
      </c>
    </row>
    <row r="28" ht="18.5" customHeight="1" spans="1:4">
      <c r="A28" s="13">
        <v>27</v>
      </c>
      <c r="B28" s="14" t="s">
        <v>50</v>
      </c>
      <c r="C28" s="15" t="s">
        <v>10</v>
      </c>
      <c r="D28">
        <v>211</v>
      </c>
    </row>
    <row r="29" ht="18.5" customHeight="1" spans="1:4">
      <c r="A29" s="13">
        <v>28</v>
      </c>
      <c r="B29" s="14" t="s">
        <v>64</v>
      </c>
      <c r="C29" s="15" t="s">
        <v>10</v>
      </c>
      <c r="D29">
        <v>211</v>
      </c>
    </row>
    <row r="30" ht="18.5" customHeight="1" spans="1:4">
      <c r="A30" s="13">
        <v>29</v>
      </c>
      <c r="B30" s="14" t="s">
        <v>51</v>
      </c>
      <c r="C30" s="15" t="s">
        <v>10</v>
      </c>
      <c r="D30">
        <v>211</v>
      </c>
    </row>
    <row r="31" ht="18.5" customHeight="1" spans="1:4">
      <c r="A31" s="13">
        <v>30</v>
      </c>
      <c r="B31" s="14" t="s">
        <v>552</v>
      </c>
      <c r="C31" s="15" t="s">
        <v>553</v>
      </c>
      <c r="D31">
        <v>211</v>
      </c>
    </row>
    <row r="32" ht="18.5" customHeight="1" spans="1:4">
      <c r="A32" s="13">
        <v>31</v>
      </c>
      <c r="B32" s="14" t="s">
        <v>557</v>
      </c>
      <c r="C32" s="15" t="s">
        <v>553</v>
      </c>
      <c r="D32">
        <v>211</v>
      </c>
    </row>
    <row r="33" ht="18.5" customHeight="1" spans="1:4">
      <c r="A33" s="13">
        <v>32</v>
      </c>
      <c r="B33" s="14" t="s">
        <v>1155</v>
      </c>
      <c r="C33" s="15" t="s">
        <v>1156</v>
      </c>
      <c r="D33">
        <v>211</v>
      </c>
    </row>
    <row r="34" ht="18.5" customHeight="1" spans="1:4">
      <c r="A34" s="13">
        <v>33</v>
      </c>
      <c r="B34" s="14" t="s">
        <v>843</v>
      </c>
      <c r="C34" s="15" t="s">
        <v>844</v>
      </c>
      <c r="D34">
        <v>211</v>
      </c>
    </row>
    <row r="35" ht="18.5" customHeight="1" spans="1:4">
      <c r="A35" s="13">
        <v>34</v>
      </c>
      <c r="B35" s="14" t="s">
        <v>849</v>
      </c>
      <c r="C35" s="15" t="s">
        <v>844</v>
      </c>
      <c r="D35">
        <v>211</v>
      </c>
    </row>
    <row r="36" ht="18.5" customHeight="1" spans="1:4">
      <c r="A36" s="13">
        <v>35</v>
      </c>
      <c r="B36" s="14" t="s">
        <v>846</v>
      </c>
      <c r="C36" s="15" t="s">
        <v>844</v>
      </c>
      <c r="D36">
        <v>211</v>
      </c>
    </row>
    <row r="37" ht="18.5" customHeight="1" spans="1:4">
      <c r="A37" s="13">
        <v>36</v>
      </c>
      <c r="B37" s="14" t="s">
        <v>857</v>
      </c>
      <c r="C37" s="15" t="s">
        <v>844</v>
      </c>
      <c r="D37">
        <v>211</v>
      </c>
    </row>
    <row r="38" ht="18.5" customHeight="1" spans="1:4">
      <c r="A38" s="13">
        <v>37</v>
      </c>
      <c r="B38" s="14" t="s">
        <v>901</v>
      </c>
      <c r="C38" s="15" t="s">
        <v>902</v>
      </c>
      <c r="D38">
        <v>211</v>
      </c>
    </row>
    <row r="39" ht="18.5" customHeight="1" spans="1:4">
      <c r="A39" s="13">
        <v>38</v>
      </c>
      <c r="B39" s="14" t="s">
        <v>1025</v>
      </c>
      <c r="C39" s="15" t="s">
        <v>1026</v>
      </c>
      <c r="D39">
        <v>211</v>
      </c>
    </row>
    <row r="40" ht="18.5" customHeight="1" spans="1:4">
      <c r="A40" s="13">
        <v>39</v>
      </c>
      <c r="B40" s="14" t="s">
        <v>942</v>
      </c>
      <c r="C40" s="15" t="s">
        <v>943</v>
      </c>
      <c r="D40">
        <v>211</v>
      </c>
    </row>
    <row r="41" ht="18.5" customHeight="1" spans="1:4">
      <c r="A41" s="13">
        <v>40</v>
      </c>
      <c r="B41" s="14" t="s">
        <v>104</v>
      </c>
      <c r="C41" s="15" t="s">
        <v>98</v>
      </c>
      <c r="D41">
        <v>211</v>
      </c>
    </row>
    <row r="42" ht="18.5" customHeight="1" spans="1:4">
      <c r="A42" s="13">
        <v>41</v>
      </c>
      <c r="B42" s="14" t="s">
        <v>694</v>
      </c>
      <c r="C42" s="15" t="s">
        <v>692</v>
      </c>
      <c r="D42">
        <v>211</v>
      </c>
    </row>
    <row r="43" ht="18.5" customHeight="1" spans="1:4">
      <c r="A43" s="13">
        <v>42</v>
      </c>
      <c r="B43" s="14" t="s">
        <v>310</v>
      </c>
      <c r="C43" s="15" t="s">
        <v>308</v>
      </c>
      <c r="D43">
        <v>211</v>
      </c>
    </row>
    <row r="44" ht="18.5" customHeight="1" spans="1:4">
      <c r="A44" s="13">
        <v>43</v>
      </c>
      <c r="B44" s="14" t="s">
        <v>312</v>
      </c>
      <c r="C44" s="15" t="s">
        <v>308</v>
      </c>
      <c r="D44">
        <v>211</v>
      </c>
    </row>
    <row r="45" ht="18.5" customHeight="1" spans="1:4">
      <c r="A45" s="13">
        <v>44</v>
      </c>
      <c r="B45" s="14" t="s">
        <v>320</v>
      </c>
      <c r="C45" s="15" t="s">
        <v>308</v>
      </c>
      <c r="D45">
        <v>211</v>
      </c>
    </row>
    <row r="46" ht="18.5" customHeight="1" spans="1:4">
      <c r="A46" s="13">
        <v>45</v>
      </c>
      <c r="B46" s="14" t="s">
        <v>319</v>
      </c>
      <c r="C46" s="15" t="s">
        <v>308</v>
      </c>
      <c r="D46">
        <v>211</v>
      </c>
    </row>
    <row r="47" ht="18.5" customHeight="1" spans="1:4">
      <c r="A47" s="13">
        <v>46</v>
      </c>
      <c r="B47" s="14" t="s">
        <v>745</v>
      </c>
      <c r="C47" s="15" t="s">
        <v>746</v>
      </c>
      <c r="D47">
        <v>211</v>
      </c>
    </row>
    <row r="48" ht="18.5" customHeight="1" spans="1:4">
      <c r="A48" s="13">
        <v>47</v>
      </c>
      <c r="B48" s="14" t="s">
        <v>748</v>
      </c>
      <c r="C48" s="15" t="s">
        <v>746</v>
      </c>
      <c r="D48">
        <v>211</v>
      </c>
    </row>
    <row r="49" ht="18.5" customHeight="1" spans="1:4">
      <c r="A49" s="13">
        <v>48</v>
      </c>
      <c r="B49" s="14" t="s">
        <v>772</v>
      </c>
      <c r="C49" s="15" t="s">
        <v>746</v>
      </c>
      <c r="D49">
        <v>211</v>
      </c>
    </row>
    <row r="50" ht="18.5" customHeight="1" spans="1:4">
      <c r="A50" s="13">
        <v>49</v>
      </c>
      <c r="B50" s="14" t="s">
        <v>760</v>
      </c>
      <c r="C50" s="15" t="s">
        <v>746</v>
      </c>
      <c r="D50">
        <v>211</v>
      </c>
    </row>
    <row r="51" ht="18.5" customHeight="1" spans="1:4">
      <c r="A51" s="13">
        <v>50</v>
      </c>
      <c r="B51" s="14" t="s">
        <v>756</v>
      </c>
      <c r="C51" s="15" t="s">
        <v>746</v>
      </c>
      <c r="D51">
        <v>211</v>
      </c>
    </row>
    <row r="52" ht="18.5" customHeight="1" spans="1:4">
      <c r="A52" s="13">
        <v>51</v>
      </c>
      <c r="B52" s="14" t="s">
        <v>753</v>
      </c>
      <c r="C52" s="15" t="s">
        <v>746</v>
      </c>
      <c r="D52">
        <v>211</v>
      </c>
    </row>
    <row r="53" ht="18.5" customHeight="1" spans="1:4">
      <c r="A53" s="13">
        <v>52</v>
      </c>
      <c r="B53" s="14" t="s">
        <v>758</v>
      </c>
      <c r="C53" s="15" t="s">
        <v>746</v>
      </c>
      <c r="D53">
        <v>211</v>
      </c>
    </row>
    <row r="54" ht="18.5" customHeight="1" spans="1:4">
      <c r="A54" s="13">
        <v>53</v>
      </c>
      <c r="B54" s="14" t="s">
        <v>803</v>
      </c>
      <c r="C54" s="15" t="s">
        <v>797</v>
      </c>
      <c r="D54">
        <v>211</v>
      </c>
    </row>
    <row r="55" ht="18.5" customHeight="1" spans="1:4">
      <c r="A55" s="13">
        <v>54</v>
      </c>
      <c r="B55" s="14" t="s">
        <v>801</v>
      </c>
      <c r="C55" s="15" t="s">
        <v>797</v>
      </c>
      <c r="D55">
        <v>211</v>
      </c>
    </row>
    <row r="56" ht="18.5" customHeight="1" spans="1:4">
      <c r="A56" s="13">
        <v>55</v>
      </c>
      <c r="B56" s="14" t="s">
        <v>809</v>
      </c>
      <c r="C56" s="15" t="s">
        <v>797</v>
      </c>
      <c r="D56">
        <v>211</v>
      </c>
    </row>
    <row r="57" ht="18.5" customHeight="1" spans="1:4">
      <c r="A57" s="13">
        <v>56</v>
      </c>
      <c r="B57" s="14" t="s">
        <v>3884</v>
      </c>
      <c r="C57" s="15" t="s">
        <v>797</v>
      </c>
      <c r="D57">
        <v>211</v>
      </c>
    </row>
    <row r="58" ht="18.5" customHeight="1" spans="1:4">
      <c r="A58" s="13">
        <v>57</v>
      </c>
      <c r="B58" s="14" t="s">
        <v>272</v>
      </c>
      <c r="C58" s="15" t="s">
        <v>273</v>
      </c>
      <c r="D58">
        <v>211</v>
      </c>
    </row>
    <row r="59" ht="18.5" customHeight="1" spans="1:4">
      <c r="A59" s="13">
        <v>58</v>
      </c>
      <c r="B59" s="14" t="s">
        <v>285</v>
      </c>
      <c r="C59" s="15" t="s">
        <v>273</v>
      </c>
      <c r="D59">
        <v>211</v>
      </c>
    </row>
    <row r="60" ht="18.5" customHeight="1" spans="1:4">
      <c r="A60" s="13">
        <v>59</v>
      </c>
      <c r="B60" s="14" t="s">
        <v>275</v>
      </c>
      <c r="C60" s="15" t="s">
        <v>273</v>
      </c>
      <c r="D60">
        <v>211</v>
      </c>
    </row>
    <row r="61" ht="18.5" customHeight="1" spans="1:4">
      <c r="A61" s="13">
        <v>60</v>
      </c>
      <c r="B61" s="14" t="s">
        <v>378</v>
      </c>
      <c r="C61" s="15" t="s">
        <v>379</v>
      </c>
      <c r="D61">
        <v>211</v>
      </c>
    </row>
    <row r="62" ht="18.5" customHeight="1" spans="1:4">
      <c r="A62" s="13">
        <v>61</v>
      </c>
      <c r="B62" s="14" t="s">
        <v>383</v>
      </c>
      <c r="C62" s="15" t="s">
        <v>379</v>
      </c>
      <c r="D62">
        <v>211</v>
      </c>
    </row>
    <row r="63" ht="18.5" customHeight="1" spans="1:4">
      <c r="A63" s="13">
        <v>62</v>
      </c>
      <c r="B63" s="14" t="s">
        <v>384</v>
      </c>
      <c r="C63" s="15" t="s">
        <v>379</v>
      </c>
      <c r="D63">
        <v>211</v>
      </c>
    </row>
    <row r="64" ht="18.5" customHeight="1" spans="1:4">
      <c r="A64" s="13">
        <v>63</v>
      </c>
      <c r="B64" s="14" t="s">
        <v>385</v>
      </c>
      <c r="C64" s="15" t="s">
        <v>379</v>
      </c>
      <c r="D64">
        <v>211</v>
      </c>
    </row>
    <row r="65" ht="18.5" customHeight="1" spans="1:4">
      <c r="A65" s="13">
        <v>64</v>
      </c>
      <c r="B65" s="14" t="s">
        <v>381</v>
      </c>
      <c r="C65" s="15" t="s">
        <v>379</v>
      </c>
      <c r="D65">
        <v>211</v>
      </c>
    </row>
    <row r="66" ht="18.5" customHeight="1" spans="1:4">
      <c r="A66" s="13">
        <v>65</v>
      </c>
      <c r="B66" s="14" t="s">
        <v>408</v>
      </c>
      <c r="C66" s="15" t="s">
        <v>379</v>
      </c>
      <c r="D66">
        <v>211</v>
      </c>
    </row>
    <row r="67" ht="18.5" customHeight="1" spans="1:4">
      <c r="A67" s="13">
        <v>66</v>
      </c>
      <c r="B67" s="14" t="s">
        <v>394</v>
      </c>
      <c r="C67" s="15" t="s">
        <v>379</v>
      </c>
      <c r="D67">
        <v>211</v>
      </c>
    </row>
    <row r="68" ht="18.5" customHeight="1" spans="1:4">
      <c r="A68" s="13">
        <v>67</v>
      </c>
      <c r="B68" s="14" t="s">
        <v>395</v>
      </c>
      <c r="C68" s="15" t="s">
        <v>379</v>
      </c>
      <c r="D68">
        <v>211</v>
      </c>
    </row>
    <row r="69" ht="18.5" customHeight="1" spans="1:4">
      <c r="A69" s="13">
        <v>68</v>
      </c>
      <c r="B69" s="14" t="s">
        <v>409</v>
      </c>
      <c r="C69" s="15" t="s">
        <v>379</v>
      </c>
      <c r="D69">
        <v>211</v>
      </c>
    </row>
    <row r="70" ht="18.5" customHeight="1" spans="1:4">
      <c r="A70" s="13">
        <v>69</v>
      </c>
      <c r="B70" s="14" t="s">
        <v>404</v>
      </c>
      <c r="C70" s="15" t="s">
        <v>379</v>
      </c>
      <c r="D70">
        <v>211</v>
      </c>
    </row>
    <row r="71" ht="18.5" customHeight="1" spans="1:4">
      <c r="A71" s="13">
        <v>70</v>
      </c>
      <c r="B71" s="14" t="s">
        <v>388</v>
      </c>
      <c r="C71" s="15" t="s">
        <v>379</v>
      </c>
      <c r="D71">
        <v>211</v>
      </c>
    </row>
    <row r="72" ht="18.5" customHeight="1" spans="1:4">
      <c r="A72" s="13">
        <v>71</v>
      </c>
      <c r="B72" s="14" t="s">
        <v>586</v>
      </c>
      <c r="C72" s="15" t="s">
        <v>587</v>
      </c>
      <c r="D72">
        <v>211</v>
      </c>
    </row>
    <row r="73" ht="18.5" customHeight="1" spans="1:4">
      <c r="A73" s="13">
        <v>72</v>
      </c>
      <c r="B73" s="14" t="s">
        <v>222</v>
      </c>
      <c r="C73" s="15" t="s">
        <v>220</v>
      </c>
      <c r="D73">
        <v>211</v>
      </c>
    </row>
    <row r="74" ht="18.5" customHeight="1" spans="1:4">
      <c r="A74" s="13">
        <v>73</v>
      </c>
      <c r="B74" s="14" t="s">
        <v>227</v>
      </c>
      <c r="C74" s="15" t="s">
        <v>220</v>
      </c>
      <c r="D74">
        <v>211</v>
      </c>
    </row>
    <row r="75" ht="18.5" customHeight="1" spans="1:4">
      <c r="A75" s="13">
        <v>74</v>
      </c>
      <c r="B75" s="14" t="s">
        <v>236</v>
      </c>
      <c r="C75" s="15" t="s">
        <v>220</v>
      </c>
      <c r="D75">
        <v>211</v>
      </c>
    </row>
    <row r="76" ht="18.5" customHeight="1" spans="1:4">
      <c r="A76" s="13">
        <v>75</v>
      </c>
      <c r="B76" s="14" t="s">
        <v>219</v>
      </c>
      <c r="C76" s="15" t="s">
        <v>220</v>
      </c>
      <c r="D76">
        <v>211</v>
      </c>
    </row>
    <row r="77" ht="18.5" customHeight="1" spans="1:4">
      <c r="A77" s="13">
        <v>76</v>
      </c>
      <c r="B77" s="14" t="s">
        <v>190</v>
      </c>
      <c r="C77" s="15" t="s">
        <v>191</v>
      </c>
      <c r="D77">
        <v>211</v>
      </c>
    </row>
    <row r="78" ht="18.5" customHeight="1" spans="1:4">
      <c r="A78" s="13">
        <v>77</v>
      </c>
      <c r="B78" s="14" t="s">
        <v>1196</v>
      </c>
      <c r="C78" s="15" t="s">
        <v>1197</v>
      </c>
      <c r="D78">
        <v>211</v>
      </c>
    </row>
    <row r="79" ht="18.5" customHeight="1" spans="1:4">
      <c r="A79" s="13">
        <v>78</v>
      </c>
      <c r="B79" s="14" t="s">
        <v>1190</v>
      </c>
      <c r="C79" s="15" t="s">
        <v>1191</v>
      </c>
      <c r="D79">
        <v>211</v>
      </c>
    </row>
    <row r="80" ht="18.5" customHeight="1" spans="1:4">
      <c r="A80" s="13">
        <v>79</v>
      </c>
      <c r="B80" s="14" t="s">
        <v>627</v>
      </c>
      <c r="C80" s="15" t="s">
        <v>628</v>
      </c>
      <c r="D80">
        <v>211</v>
      </c>
    </row>
    <row r="81" ht="18.5" customHeight="1" spans="1:4">
      <c r="A81" s="13">
        <v>80</v>
      </c>
      <c r="B81" s="14" t="s">
        <v>630</v>
      </c>
      <c r="C81" s="15" t="s">
        <v>628</v>
      </c>
      <c r="D81">
        <v>211</v>
      </c>
    </row>
    <row r="82" ht="18.5" customHeight="1" spans="1:4">
      <c r="A82" s="13">
        <v>81</v>
      </c>
      <c r="B82" s="14" t="s">
        <v>633</v>
      </c>
      <c r="C82" s="15" t="s">
        <v>628</v>
      </c>
      <c r="D82">
        <v>211</v>
      </c>
    </row>
    <row r="83" ht="18.5" customHeight="1" spans="1:4">
      <c r="A83" s="13">
        <v>82</v>
      </c>
      <c r="B83" s="14" t="s">
        <v>155</v>
      </c>
      <c r="C83" s="15" t="s">
        <v>151</v>
      </c>
      <c r="D83">
        <v>211</v>
      </c>
    </row>
    <row r="84" ht="18.5" customHeight="1" spans="1:4">
      <c r="A84" s="13">
        <v>83</v>
      </c>
      <c r="B84" s="14" t="s">
        <v>1112</v>
      </c>
      <c r="C84" s="15" t="s">
        <v>1106</v>
      </c>
      <c r="D84">
        <v>211</v>
      </c>
    </row>
    <row r="85" ht="18.5" customHeight="1" spans="1:4">
      <c r="A85" s="13">
        <v>84</v>
      </c>
      <c r="B85" s="14" t="s">
        <v>1113</v>
      </c>
      <c r="C85" s="15" t="s">
        <v>1106</v>
      </c>
      <c r="D85">
        <v>211</v>
      </c>
    </row>
    <row r="86" ht="18.5" customHeight="1" spans="1:4">
      <c r="A86" s="13">
        <v>85</v>
      </c>
      <c r="B86" s="14" t="s">
        <v>1115</v>
      </c>
      <c r="C86" s="15" t="s">
        <v>1106</v>
      </c>
      <c r="D86">
        <v>211</v>
      </c>
    </row>
    <row r="87" ht="18.5" customHeight="1" spans="1:4">
      <c r="A87" s="13">
        <v>86</v>
      </c>
      <c r="B87" s="14" t="s">
        <v>1110</v>
      </c>
      <c r="C87" s="15" t="s">
        <v>1106</v>
      </c>
      <c r="D87">
        <v>211</v>
      </c>
    </row>
    <row r="88" ht="18.5" customHeight="1" spans="1:4">
      <c r="A88" s="13">
        <v>87</v>
      </c>
      <c r="B88" s="14" t="s">
        <v>1122</v>
      </c>
      <c r="C88" s="15" t="s">
        <v>1106</v>
      </c>
      <c r="D88">
        <v>211</v>
      </c>
    </row>
    <row r="89" ht="18.5" customHeight="1" spans="1:4">
      <c r="A89" s="13">
        <v>88</v>
      </c>
      <c r="B89" s="14" t="s">
        <v>1125</v>
      </c>
      <c r="C89" s="15" t="s">
        <v>1106</v>
      </c>
      <c r="D89">
        <v>211</v>
      </c>
    </row>
    <row r="90" ht="18.5" customHeight="1" spans="1:4">
      <c r="A90" s="13">
        <v>89</v>
      </c>
      <c r="B90" s="14" t="s">
        <v>1123</v>
      </c>
      <c r="C90" s="15" t="s">
        <v>1106</v>
      </c>
      <c r="D90">
        <v>211</v>
      </c>
    </row>
    <row r="91" ht="18.5" customHeight="1" spans="1:4">
      <c r="A91" s="13">
        <v>90</v>
      </c>
      <c r="B91" s="14" t="s">
        <v>3885</v>
      </c>
      <c r="C91" s="15" t="s">
        <v>1106</v>
      </c>
      <c r="D91">
        <v>211</v>
      </c>
    </row>
    <row r="92" ht="18.5" customHeight="1" spans="1:4">
      <c r="A92" s="13">
        <v>91</v>
      </c>
      <c r="B92" s="14" t="s">
        <v>346</v>
      </c>
      <c r="C92" s="15" t="s">
        <v>347</v>
      </c>
      <c r="D92">
        <v>211</v>
      </c>
    </row>
    <row r="93" ht="18.5" customHeight="1" spans="1:4">
      <c r="A93" s="13">
        <v>92</v>
      </c>
      <c r="B93" s="14" t="s">
        <v>349</v>
      </c>
      <c r="C93" s="15" t="s">
        <v>347</v>
      </c>
      <c r="D93">
        <v>211</v>
      </c>
    </row>
    <row r="94" ht="18.5" customHeight="1" spans="1:4">
      <c r="A94" s="13">
        <v>93</v>
      </c>
      <c r="B94" s="14" t="s">
        <v>348</v>
      </c>
      <c r="C94" s="15" t="s">
        <v>347</v>
      </c>
      <c r="D94">
        <v>211</v>
      </c>
    </row>
    <row r="95" ht="18.5" customHeight="1" spans="1:4">
      <c r="A95" s="13">
        <v>94</v>
      </c>
      <c r="B95" s="14" t="s">
        <v>362</v>
      </c>
      <c r="C95" s="15" t="s">
        <v>347</v>
      </c>
      <c r="D95">
        <v>211</v>
      </c>
    </row>
    <row r="96" ht="18.5" customHeight="1" spans="1:4">
      <c r="A96" s="13">
        <v>95</v>
      </c>
      <c r="B96" s="14" t="s">
        <v>359</v>
      </c>
      <c r="C96" s="15" t="s">
        <v>347</v>
      </c>
      <c r="D96">
        <v>211</v>
      </c>
    </row>
    <row r="97" ht="18.5" customHeight="1" spans="1:4">
      <c r="A97" s="13">
        <v>96</v>
      </c>
      <c r="B97" s="14" t="s">
        <v>361</v>
      </c>
      <c r="C97" s="15" t="s">
        <v>347</v>
      </c>
      <c r="D97">
        <v>211</v>
      </c>
    </row>
    <row r="98" ht="18.5" customHeight="1" spans="1:4">
      <c r="A98" s="13">
        <v>97</v>
      </c>
      <c r="B98" s="14" t="s">
        <v>350</v>
      </c>
      <c r="C98" s="15" t="s">
        <v>347</v>
      </c>
      <c r="D98">
        <v>211</v>
      </c>
    </row>
    <row r="99" ht="18.5" customHeight="1" spans="1:4">
      <c r="A99" s="13">
        <v>98</v>
      </c>
      <c r="B99" s="14" t="s">
        <v>353</v>
      </c>
      <c r="C99" s="15" t="s">
        <v>347</v>
      </c>
      <c r="D99">
        <v>211</v>
      </c>
    </row>
    <row r="100" ht="18.5" customHeight="1" spans="1:4">
      <c r="A100" s="13">
        <v>99</v>
      </c>
      <c r="B100" s="14" t="s">
        <v>369</v>
      </c>
      <c r="C100" s="15" t="s">
        <v>347</v>
      </c>
      <c r="D100">
        <v>211</v>
      </c>
    </row>
    <row r="101" ht="18.5" customHeight="1" spans="1:4">
      <c r="A101" s="13">
        <v>100</v>
      </c>
      <c r="B101" s="14" t="s">
        <v>3886</v>
      </c>
      <c r="C101" s="15" t="s">
        <v>347</v>
      </c>
      <c r="D101">
        <v>211</v>
      </c>
    </row>
    <row r="102" ht="18.5" customHeight="1" spans="1:4">
      <c r="A102" s="13">
        <v>101</v>
      </c>
      <c r="B102" s="14" t="s">
        <v>1007</v>
      </c>
      <c r="C102" s="15" t="s">
        <v>971</v>
      </c>
      <c r="D102">
        <v>211</v>
      </c>
    </row>
    <row r="103" ht="18.5" customHeight="1" spans="1:4">
      <c r="A103" s="13">
        <v>102</v>
      </c>
      <c r="B103" s="14" t="s">
        <v>970</v>
      </c>
      <c r="C103" s="15" t="s">
        <v>971</v>
      </c>
      <c r="D103">
        <v>211</v>
      </c>
    </row>
    <row r="104" ht="18.5" customHeight="1" spans="1:4">
      <c r="A104" s="13">
        <v>103</v>
      </c>
      <c r="B104" s="14" t="s">
        <v>974</v>
      </c>
      <c r="C104" s="15" t="s">
        <v>971</v>
      </c>
      <c r="D104">
        <v>211</v>
      </c>
    </row>
    <row r="105" ht="18.5" customHeight="1" spans="1:4">
      <c r="A105" s="13">
        <v>104</v>
      </c>
      <c r="B105" s="14" t="s">
        <v>973</v>
      </c>
      <c r="C105" s="15" t="s">
        <v>971</v>
      </c>
      <c r="D105">
        <v>211</v>
      </c>
    </row>
    <row r="106" ht="18.5" customHeight="1" spans="1:4">
      <c r="A106" s="13">
        <v>105</v>
      </c>
      <c r="B106" s="14" t="s">
        <v>985</v>
      </c>
      <c r="C106" s="15" t="s">
        <v>971</v>
      </c>
      <c r="D106">
        <v>211</v>
      </c>
    </row>
    <row r="107" ht="18.5" customHeight="1" spans="1:4">
      <c r="A107" s="13">
        <v>106</v>
      </c>
      <c r="B107" s="14" t="s">
        <v>75</v>
      </c>
      <c r="C107" s="15" t="s">
        <v>76</v>
      </c>
      <c r="D107">
        <v>211</v>
      </c>
    </row>
    <row r="108" ht="18.5" customHeight="1" spans="1:4">
      <c r="A108" s="13">
        <v>107</v>
      </c>
      <c r="B108" s="14" t="s">
        <v>77</v>
      </c>
      <c r="C108" s="15" t="s">
        <v>76</v>
      </c>
      <c r="D108">
        <v>211</v>
      </c>
    </row>
    <row r="109" ht="18.5" customHeight="1" spans="1:4">
      <c r="A109" s="13">
        <v>108</v>
      </c>
      <c r="B109" s="14" t="s">
        <v>83</v>
      </c>
      <c r="C109" s="15" t="s">
        <v>76</v>
      </c>
      <c r="D109">
        <v>211</v>
      </c>
    </row>
    <row r="110" ht="18.5" customHeight="1" spans="1:4">
      <c r="A110" s="13">
        <v>109</v>
      </c>
      <c r="B110" s="14" t="s">
        <v>1103</v>
      </c>
      <c r="C110" s="15" t="s">
        <v>1101</v>
      </c>
      <c r="D110">
        <v>211</v>
      </c>
    </row>
    <row r="111" ht="18.5" customHeight="1" spans="1:4">
      <c r="A111" s="13">
        <v>110</v>
      </c>
      <c r="B111" s="14" t="s">
        <v>1205</v>
      </c>
      <c r="C111" s="15" t="s">
        <v>1206</v>
      </c>
      <c r="D111">
        <v>211</v>
      </c>
    </row>
    <row r="112" ht="18.5" customHeight="1" spans="1:4">
      <c r="A112" s="13">
        <v>111</v>
      </c>
      <c r="B112" s="14" t="s">
        <v>1211</v>
      </c>
      <c r="C112" s="15" t="s">
        <v>1206</v>
      </c>
      <c r="D112">
        <v>211</v>
      </c>
    </row>
    <row r="113" ht="18.5" customHeight="1" spans="1:4">
      <c r="A113" s="13">
        <v>112</v>
      </c>
      <c r="B113" s="14" t="s">
        <v>1059</v>
      </c>
      <c r="C113" s="15" t="s">
        <v>1060</v>
      </c>
      <c r="D113">
        <v>211</v>
      </c>
    </row>
    <row r="114" ht="18.5" customHeight="1" spans="1:4">
      <c r="A114" s="13">
        <v>113</v>
      </c>
      <c r="B114" s="14" t="s">
        <v>447</v>
      </c>
      <c r="C114" s="15" t="s">
        <v>448</v>
      </c>
      <c r="D114">
        <v>211</v>
      </c>
    </row>
    <row r="115" ht="18.5" customHeight="1" spans="1:4">
      <c r="A115" s="13">
        <v>114</v>
      </c>
      <c r="B115" s="14" t="s">
        <v>950</v>
      </c>
      <c r="C115" s="15" t="s">
        <v>951</v>
      </c>
      <c r="D115">
        <v>211</v>
      </c>
    </row>
    <row r="116" ht="18.5" customHeight="1" spans="1:4">
      <c r="A116" s="16">
        <v>115</v>
      </c>
      <c r="B116" s="17" t="s">
        <v>955</v>
      </c>
      <c r="C116" s="18" t="s">
        <v>951</v>
      </c>
      <c r="D116">
        <v>211</v>
      </c>
    </row>
  </sheetData>
  <hyperlinks>
    <hyperlink ref="B14" r:id="rId1" display="中国政法大学" tooltip="https://www.dxsbb.com/news/list_201.html"/>
    <hyperlink ref="B20" r:id="rId2" display="中央民族大学" tooltip="https://www.dxsbb.com/news/list_202.html"/>
    <hyperlink ref="B22" r:id="rId3" display="北京中医药大学" tooltip="https://www.dxsbb.com/news/list_198.html"/>
    <hyperlink ref="B28" r:id="rId4" display="北京体育大学" tooltip="https://www.dxsbb.com/news/list_205.html"/>
    <hyperlink ref="C31" r:id="rId5" display="福建" tooltip="https://www.dxsbb.com/news/list_112.html"/>
    <hyperlink ref="C33" r:id="rId6" display="甘肃" tooltip="https://www.dxsbb.com/news/list_123.html"/>
    <hyperlink ref="C34" r:id="rId7" display="广东" tooltip="https://www.dxsbb.com/news/list_101.html"/>
    <hyperlink ref="B38" r:id="rId8" display="广西大学" tooltip="https://www.dxsbb.com/news/list_115.html"/>
    <hyperlink ref="B39" r:id="rId9" display="贵州大学" tooltip="https://www.dxsbb.com/news/list_121.html"/>
    <hyperlink ref="B40" r:id="rId10" display="海南大学" tooltip="https://www.dxsbb.com/news/list_125.html"/>
    <hyperlink ref="B41" r:id="rId11" display="河北工业大学" tooltip="https://www.dxsbb.com/news/list_105.html"/>
    <hyperlink ref="C42" r:id="rId12" display="河南" tooltip="https://www.dxsbb.com/news/list_102.html"/>
    <hyperlink ref="C43" r:id="rId13" display="黑龙江" tooltip="https://www.dxsbb.com/news/list_113.html"/>
    <hyperlink ref="C47" r:id="rId14" display="湖北" tooltip="https://www.dxsbb.com/news/list_103.html"/>
    <hyperlink ref="C54" r:id="rId15" display="湖南" tooltip="https://www.dxsbb.com/news/list_104.html"/>
    <hyperlink ref="B58" r:id="rId16" display="吉林大学" tooltip="https://www.dxsbb.com/news/list_119.html"/>
    <hyperlink ref="C61" r:id="rId17" display="江苏" tooltip="https://www.dxsbb.com/news/list_99.html"/>
    <hyperlink ref="C72" r:id="rId18" display="江西" tooltip="https://www.dxsbb.com/news/list_111.html"/>
    <hyperlink ref="C73" r:id="rId19" display="辽宁" tooltip="https://www.dxsbb.com/news/list_107.html"/>
    <hyperlink ref="B77" r:id="rId20" display="内蒙古大学" tooltip="https://www.dxsbb.com/news/list_122.html"/>
    <hyperlink ref="B78" r:id="rId21" display="宁夏大学" tooltip="https://www.dxsbb.com/news/list_126.html"/>
    <hyperlink ref="B79" r:id="rId22" display="青海大学" tooltip="https://www.dxsbb.com/news/list_127.html"/>
    <hyperlink ref="B80" r:id="rId23" display="山东大学" tooltip="https://www.dxsbb.com/news/list_100.html"/>
    <hyperlink ref="C83" r:id="rId24" display="山西" tooltip="https://www.dxsbb.com/news/list_114.html"/>
    <hyperlink ref="C84" r:id="rId25" display="陕西" tooltip="https://www.dxsbb.com/news/list_108.html"/>
    <hyperlink ref="B90" r:id="rId26" display="西北农林科技大学" tooltip="https://www.dxsbb.com/news/list_203.html"/>
    <hyperlink ref="C92" r:id="rId27" display="上海" tooltip="https://www.dxsbb.com/news/list_116.html"/>
    <hyperlink ref="C102" r:id="rId28" display="四川" tooltip="https://www.dxsbb.com/news/list_109.html"/>
    <hyperlink ref="C107" r:id="rId29" display="天津" tooltip="https://www.dxsbb.com/news/list_120.html"/>
    <hyperlink ref="B110" r:id="rId30" display="西藏大学" tooltip="https://www.dxsbb.com/news/list_128.html"/>
    <hyperlink ref="B111" r:id="rId31" display="新疆大学" tooltip="https://www.dxsbb.com/news/list_124.html"/>
    <hyperlink ref="B113" r:id="rId32" display="云南大学" tooltip="https://www.dxsbb.com/news/list_118.html"/>
    <hyperlink ref="B114" r:id="rId33" display="浙江大学" tooltip="https://www.dxsbb.com/news/list_110.html"/>
    <hyperlink ref="B115" r:id="rId34" display="重庆大学" tooltip="https://www.dxsbb.com/news/list_117.html"/>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8"/>
  <sheetViews>
    <sheetView zoomScale="115" zoomScaleNormal="115" topLeftCell="A122" workbookViewId="0">
      <selection activeCell="B2" sqref="B2:D148"/>
    </sheetView>
  </sheetViews>
  <sheetFormatPr defaultColWidth="9" defaultRowHeight="13.5" outlineLevelCol="3"/>
  <cols>
    <col min="1" max="1" width="9.675" customWidth="1"/>
    <col min="2" max="3" width="20.675" customWidth="1"/>
    <col min="4" max="4" width="8" customWidth="1"/>
    <col min="5" max="5" width="9.625" customWidth="1"/>
    <col min="6" max="7" width="6.625" customWidth="1"/>
    <col min="8" max="9" width="6" customWidth="1"/>
    <col min="10" max="10" width="8.5" customWidth="1"/>
    <col min="11" max="11" width="10.375" customWidth="1"/>
  </cols>
  <sheetData>
    <row r="1" ht="18.5" customHeight="1" spans="1:4">
      <c r="A1" s="7" t="s">
        <v>0</v>
      </c>
      <c r="B1" s="7" t="s">
        <v>1</v>
      </c>
      <c r="C1" s="7">
        <v>3232</v>
      </c>
      <c r="D1" t="s">
        <v>5</v>
      </c>
    </row>
    <row r="2" ht="18.5" customHeight="1" spans="1:4">
      <c r="A2" s="8">
        <v>1</v>
      </c>
      <c r="B2" s="9" t="s">
        <v>9</v>
      </c>
      <c r="C2" s="9"/>
      <c r="D2" t="s">
        <v>5</v>
      </c>
    </row>
    <row r="3" ht="18.5" customHeight="1" spans="1:4">
      <c r="A3" s="8">
        <v>2</v>
      </c>
      <c r="B3" s="9" t="s">
        <v>13</v>
      </c>
      <c r="C3" s="9"/>
      <c r="D3" t="s">
        <v>5</v>
      </c>
    </row>
    <row r="4" ht="18.5" customHeight="1" spans="1:4">
      <c r="A4" s="8">
        <v>3</v>
      </c>
      <c r="B4" s="9" t="s">
        <v>14</v>
      </c>
      <c r="C4" s="9"/>
      <c r="D4" t="s">
        <v>5</v>
      </c>
    </row>
    <row r="5" ht="18.5" customHeight="1" spans="1:4">
      <c r="A5" s="8">
        <v>4</v>
      </c>
      <c r="B5" s="9" t="s">
        <v>15</v>
      </c>
      <c r="C5" s="9"/>
      <c r="D5" t="s">
        <v>5</v>
      </c>
    </row>
    <row r="6" ht="18.5" customHeight="1" spans="1:4">
      <c r="A6" s="8">
        <v>5</v>
      </c>
      <c r="B6" s="9" t="s">
        <v>16</v>
      </c>
      <c r="C6" s="9"/>
      <c r="D6" t="s">
        <v>5</v>
      </c>
    </row>
    <row r="7" ht="18.5" customHeight="1" spans="1:4">
      <c r="A7" s="8">
        <v>6</v>
      </c>
      <c r="B7" s="9" t="s">
        <v>17</v>
      </c>
      <c r="C7" s="9"/>
      <c r="D7" t="s">
        <v>5</v>
      </c>
    </row>
    <row r="8" ht="18.5" customHeight="1" spans="1:4">
      <c r="A8" s="8">
        <v>7</v>
      </c>
      <c r="B8" s="9" t="s">
        <v>18</v>
      </c>
      <c r="C8" s="9"/>
      <c r="D8" t="s">
        <v>5</v>
      </c>
    </row>
    <row r="9" ht="18.5" customHeight="1" spans="1:4">
      <c r="A9" s="8">
        <v>8</v>
      </c>
      <c r="B9" s="9" t="s">
        <v>19</v>
      </c>
      <c r="C9" s="9"/>
      <c r="D9" t="s">
        <v>5</v>
      </c>
    </row>
    <row r="10" ht="18.5" customHeight="1" spans="1:4">
      <c r="A10" s="8">
        <v>9</v>
      </c>
      <c r="B10" s="9" t="s">
        <v>21</v>
      </c>
      <c r="C10" s="9"/>
      <c r="D10" t="s">
        <v>5</v>
      </c>
    </row>
    <row r="11" ht="18.5" customHeight="1" spans="1:4">
      <c r="A11" s="8">
        <v>10</v>
      </c>
      <c r="B11" s="9" t="s">
        <v>24</v>
      </c>
      <c r="C11" s="9"/>
      <c r="D11" t="s">
        <v>5</v>
      </c>
    </row>
    <row r="12" ht="18.5" customHeight="1" spans="1:4">
      <c r="A12" s="8">
        <v>11</v>
      </c>
      <c r="B12" s="9" t="s">
        <v>29</v>
      </c>
      <c r="C12" s="9"/>
      <c r="D12" t="s">
        <v>5</v>
      </c>
    </row>
    <row r="13" ht="18.5" customHeight="1" spans="1:4">
      <c r="A13" s="8">
        <v>12</v>
      </c>
      <c r="B13" s="9" t="s">
        <v>31</v>
      </c>
      <c r="C13" s="9"/>
      <c r="D13" t="s">
        <v>5</v>
      </c>
    </row>
    <row r="14" ht="18.5" customHeight="1" spans="1:4">
      <c r="A14" s="8">
        <v>13</v>
      </c>
      <c r="B14" s="9" t="s">
        <v>32</v>
      </c>
      <c r="C14" s="9"/>
      <c r="D14" t="s">
        <v>5</v>
      </c>
    </row>
    <row r="15" ht="18.5" customHeight="1" spans="1:4">
      <c r="A15" s="8">
        <v>14</v>
      </c>
      <c r="B15" s="9" t="s">
        <v>34</v>
      </c>
      <c r="C15" s="9"/>
      <c r="D15" t="s">
        <v>5</v>
      </c>
    </row>
    <row r="16" ht="18.5" customHeight="1" spans="1:4">
      <c r="A16" s="8">
        <v>15</v>
      </c>
      <c r="B16" s="9" t="s">
        <v>35</v>
      </c>
      <c r="C16" s="9"/>
      <c r="D16" t="s">
        <v>5</v>
      </c>
    </row>
    <row r="17" ht="18.5" customHeight="1" spans="1:4">
      <c r="A17" s="8">
        <v>16</v>
      </c>
      <c r="B17" s="9" t="s">
        <v>36</v>
      </c>
      <c r="C17" s="9"/>
      <c r="D17" t="s">
        <v>5</v>
      </c>
    </row>
    <row r="18" ht="18.5" customHeight="1" spans="1:4">
      <c r="A18" s="8">
        <v>17</v>
      </c>
      <c r="B18" s="9" t="s">
        <v>38</v>
      </c>
      <c r="C18" s="9"/>
      <c r="D18" t="s">
        <v>5</v>
      </c>
    </row>
    <row r="19" ht="18.5" customHeight="1" spans="1:4">
      <c r="A19" s="8">
        <v>18</v>
      </c>
      <c r="B19" s="9" t="s">
        <v>41</v>
      </c>
      <c r="C19" s="9"/>
      <c r="D19" t="s">
        <v>5</v>
      </c>
    </row>
    <row r="20" ht="18.5" customHeight="1" spans="1:4">
      <c r="A20" s="8">
        <v>19</v>
      </c>
      <c r="B20" s="9" t="s">
        <v>42</v>
      </c>
      <c r="C20" s="9"/>
      <c r="D20" t="s">
        <v>5</v>
      </c>
    </row>
    <row r="21" ht="18.5" customHeight="1" spans="1:4">
      <c r="A21" s="8">
        <v>20</v>
      </c>
      <c r="B21" s="9" t="s">
        <v>43</v>
      </c>
      <c r="C21" s="9"/>
      <c r="D21" t="s">
        <v>5</v>
      </c>
    </row>
    <row r="22" ht="18.5" customHeight="1" spans="1:4">
      <c r="A22" s="8">
        <v>21</v>
      </c>
      <c r="B22" s="9" t="s">
        <v>47</v>
      </c>
      <c r="C22" s="9"/>
      <c r="D22" t="s">
        <v>5</v>
      </c>
    </row>
    <row r="23" ht="18.5" customHeight="1" spans="1:4">
      <c r="A23" s="8">
        <v>22</v>
      </c>
      <c r="B23" s="9" t="s">
        <v>48</v>
      </c>
      <c r="C23" s="9"/>
      <c r="D23" t="s">
        <v>5</v>
      </c>
    </row>
    <row r="24" ht="18.5" customHeight="1" spans="1:4">
      <c r="A24" s="8">
        <v>23</v>
      </c>
      <c r="B24" s="9" t="s">
        <v>50</v>
      </c>
      <c r="C24" s="9"/>
      <c r="D24" t="s">
        <v>5</v>
      </c>
    </row>
    <row r="25" ht="18.5" customHeight="1" spans="1:4">
      <c r="A25" s="8">
        <v>24</v>
      </c>
      <c r="B25" s="9" t="s">
        <v>51</v>
      </c>
      <c r="C25" s="9"/>
      <c r="D25" t="s">
        <v>5</v>
      </c>
    </row>
    <row r="26" ht="18.5" customHeight="1" spans="1:4">
      <c r="A26" s="8">
        <v>25</v>
      </c>
      <c r="B26" s="9" t="s">
        <v>52</v>
      </c>
      <c r="C26" s="9"/>
      <c r="D26" t="s">
        <v>5</v>
      </c>
    </row>
    <row r="27" ht="18.5" customHeight="1" spans="1:4">
      <c r="A27" s="8">
        <v>26</v>
      </c>
      <c r="B27" s="9" t="s">
        <v>53</v>
      </c>
      <c r="C27" s="9"/>
      <c r="D27" t="s">
        <v>5</v>
      </c>
    </row>
    <row r="28" ht="18.5" customHeight="1" spans="1:4">
      <c r="A28" s="8">
        <v>27</v>
      </c>
      <c r="B28" s="9" t="s">
        <v>54</v>
      </c>
      <c r="C28" s="9"/>
      <c r="D28" t="s">
        <v>5</v>
      </c>
    </row>
    <row r="29" ht="18.5" customHeight="1" spans="1:4">
      <c r="A29" s="8">
        <v>28</v>
      </c>
      <c r="B29" s="9" t="s">
        <v>58</v>
      </c>
      <c r="C29" s="9"/>
      <c r="D29" t="s">
        <v>5</v>
      </c>
    </row>
    <row r="30" ht="18.5" customHeight="1" spans="1:4">
      <c r="A30" s="8">
        <v>29</v>
      </c>
      <c r="B30" s="9" t="s">
        <v>59</v>
      </c>
      <c r="C30" s="9"/>
      <c r="D30" t="s">
        <v>5</v>
      </c>
    </row>
    <row r="31" ht="18.5" customHeight="1" spans="1:4">
      <c r="A31" s="8">
        <v>30</v>
      </c>
      <c r="B31" s="9" t="s">
        <v>75</v>
      </c>
      <c r="C31" s="9"/>
      <c r="D31" t="s">
        <v>5</v>
      </c>
    </row>
    <row r="32" ht="18.5" customHeight="1" spans="1:4">
      <c r="A32" s="8">
        <v>31</v>
      </c>
      <c r="B32" s="9" t="s">
        <v>77</v>
      </c>
      <c r="C32" s="9"/>
      <c r="D32" t="s">
        <v>5</v>
      </c>
    </row>
    <row r="33" ht="18.5" customHeight="1" spans="1:4">
      <c r="A33" s="8">
        <v>32</v>
      </c>
      <c r="B33" s="9" t="s">
        <v>79</v>
      </c>
      <c r="C33" s="9"/>
      <c r="D33" t="s">
        <v>5</v>
      </c>
    </row>
    <row r="34" ht="18.5" customHeight="1" spans="1:4">
      <c r="A34" s="8">
        <v>33</v>
      </c>
      <c r="B34" s="9" t="s">
        <v>83</v>
      </c>
      <c r="C34" s="9"/>
      <c r="D34" t="s">
        <v>5</v>
      </c>
    </row>
    <row r="35" ht="18.5" customHeight="1" spans="1:4">
      <c r="A35" s="8">
        <v>34</v>
      </c>
      <c r="B35" s="9" t="s">
        <v>84</v>
      </c>
      <c r="C35" s="9"/>
      <c r="D35" t="s">
        <v>5</v>
      </c>
    </row>
    <row r="36" ht="18.5" customHeight="1" spans="1:4">
      <c r="A36" s="8">
        <v>35</v>
      </c>
      <c r="B36" s="9" t="s">
        <v>60</v>
      </c>
      <c r="C36" s="9"/>
      <c r="D36" t="s">
        <v>5</v>
      </c>
    </row>
    <row r="37" ht="18.5" customHeight="1" spans="1:4">
      <c r="A37" s="8">
        <v>36</v>
      </c>
      <c r="B37" s="9" t="s">
        <v>104</v>
      </c>
      <c r="C37" s="9"/>
      <c r="D37" t="s">
        <v>5</v>
      </c>
    </row>
    <row r="38" ht="18.5" customHeight="1" spans="1:4">
      <c r="A38" s="8">
        <v>37</v>
      </c>
      <c r="B38" s="9" t="s">
        <v>150</v>
      </c>
      <c r="C38" s="9"/>
      <c r="D38" t="s">
        <v>5</v>
      </c>
    </row>
    <row r="39" ht="18.5" customHeight="1" spans="1:4">
      <c r="A39" s="8">
        <v>38</v>
      </c>
      <c r="B39" s="9" t="s">
        <v>155</v>
      </c>
      <c r="C39" s="9"/>
      <c r="D39" t="s">
        <v>5</v>
      </c>
    </row>
    <row r="40" ht="18.5" customHeight="1" spans="1:4">
      <c r="A40" s="8">
        <v>39</v>
      </c>
      <c r="B40" s="9" t="s">
        <v>190</v>
      </c>
      <c r="C40" s="9"/>
      <c r="D40" t="s">
        <v>5</v>
      </c>
    </row>
    <row r="41" ht="18.5" customHeight="1" spans="1:4">
      <c r="A41" s="8">
        <v>40</v>
      </c>
      <c r="B41" s="9" t="s">
        <v>219</v>
      </c>
      <c r="C41" s="9"/>
      <c r="D41" t="s">
        <v>5</v>
      </c>
    </row>
    <row r="42" ht="18.5" customHeight="1" spans="1:4">
      <c r="A42" s="8">
        <v>41</v>
      </c>
      <c r="B42" s="9" t="s">
        <v>222</v>
      </c>
      <c r="C42" s="9"/>
      <c r="D42" t="s">
        <v>5</v>
      </c>
    </row>
    <row r="43" ht="18.5" customHeight="1" spans="1:4">
      <c r="A43" s="8">
        <v>42</v>
      </c>
      <c r="B43" s="9" t="s">
        <v>227</v>
      </c>
      <c r="C43" s="9"/>
      <c r="D43" t="s">
        <v>5</v>
      </c>
    </row>
    <row r="44" ht="18.5" customHeight="1" spans="1:4">
      <c r="A44" s="8">
        <v>43</v>
      </c>
      <c r="B44" s="9" t="s">
        <v>236</v>
      </c>
      <c r="C44" s="9"/>
      <c r="D44" t="s">
        <v>5</v>
      </c>
    </row>
    <row r="45" ht="18.5" customHeight="1" spans="1:4">
      <c r="A45" s="8">
        <v>44</v>
      </c>
      <c r="B45" s="9" t="s">
        <v>272</v>
      </c>
      <c r="C45" s="9"/>
      <c r="D45" t="s">
        <v>5</v>
      </c>
    </row>
    <row r="46" ht="18.5" customHeight="1" spans="1:4">
      <c r="A46" s="8">
        <v>45</v>
      </c>
      <c r="B46" s="9" t="s">
        <v>275</v>
      </c>
      <c r="C46" s="9"/>
      <c r="D46" t="s">
        <v>5</v>
      </c>
    </row>
    <row r="47" ht="18.5" customHeight="1" spans="1:4">
      <c r="A47" s="8">
        <v>46</v>
      </c>
      <c r="B47" s="9" t="s">
        <v>285</v>
      </c>
      <c r="C47" s="9"/>
      <c r="D47" t="s">
        <v>5</v>
      </c>
    </row>
    <row r="48" ht="18.5" customHeight="1" spans="1:4">
      <c r="A48" s="8">
        <v>47</v>
      </c>
      <c r="B48" s="9" t="s">
        <v>310</v>
      </c>
      <c r="C48" s="9"/>
      <c r="D48" t="s">
        <v>5</v>
      </c>
    </row>
    <row r="49" ht="18.5" customHeight="1" spans="1:4">
      <c r="A49" s="8">
        <v>48</v>
      </c>
      <c r="B49" s="9" t="s">
        <v>312</v>
      </c>
      <c r="C49" s="9"/>
      <c r="D49" t="s">
        <v>5</v>
      </c>
    </row>
    <row r="50" ht="18.5" customHeight="1" spans="1:4">
      <c r="A50" s="8">
        <v>49</v>
      </c>
      <c r="B50" s="9" t="s">
        <v>319</v>
      </c>
      <c r="C50" s="9"/>
      <c r="D50" t="s">
        <v>5</v>
      </c>
    </row>
    <row r="51" ht="18.5" customHeight="1" spans="1:4">
      <c r="A51" s="8">
        <v>50</v>
      </c>
      <c r="B51" s="9" t="s">
        <v>320</v>
      </c>
      <c r="C51" s="9"/>
      <c r="D51" t="s">
        <v>5</v>
      </c>
    </row>
    <row r="52" ht="18.5" customHeight="1" spans="1:4">
      <c r="A52" s="8">
        <v>51</v>
      </c>
      <c r="B52" s="9" t="s">
        <v>346</v>
      </c>
      <c r="C52" s="9"/>
      <c r="D52" t="s">
        <v>5</v>
      </c>
    </row>
    <row r="53" ht="18.5" customHeight="1" spans="1:4">
      <c r="A53" s="8">
        <v>52</v>
      </c>
      <c r="B53" s="9" t="s">
        <v>348</v>
      </c>
      <c r="C53" s="9"/>
      <c r="D53" t="s">
        <v>5</v>
      </c>
    </row>
    <row r="54" ht="18.5" customHeight="1" spans="1:4">
      <c r="A54" s="8">
        <v>53</v>
      </c>
      <c r="B54" s="9" t="s">
        <v>349</v>
      </c>
      <c r="C54" s="9"/>
      <c r="D54" t="s">
        <v>5</v>
      </c>
    </row>
    <row r="55" ht="18.5" customHeight="1" spans="1:4">
      <c r="A55" s="8">
        <v>54</v>
      </c>
      <c r="B55" s="9" t="s">
        <v>350</v>
      </c>
      <c r="C55" s="9"/>
      <c r="D55" t="s">
        <v>5</v>
      </c>
    </row>
    <row r="56" ht="18.5" customHeight="1" spans="1:4">
      <c r="A56" s="8">
        <v>55</v>
      </c>
      <c r="B56" s="9" t="s">
        <v>353</v>
      </c>
      <c r="C56" s="9"/>
      <c r="D56" t="s">
        <v>5</v>
      </c>
    </row>
    <row r="57" ht="18.5" customHeight="1" spans="1:4">
      <c r="A57" s="8">
        <v>56</v>
      </c>
      <c r="B57" s="9" t="s">
        <v>357</v>
      </c>
      <c r="C57" s="9"/>
      <c r="D57" t="s">
        <v>5</v>
      </c>
    </row>
    <row r="58" ht="18.5" customHeight="1" spans="1:4">
      <c r="A58" s="8">
        <v>57</v>
      </c>
      <c r="B58" s="9" t="s">
        <v>358</v>
      </c>
      <c r="C58" s="9"/>
      <c r="D58" t="s">
        <v>5</v>
      </c>
    </row>
    <row r="59" ht="18.5" customHeight="1" spans="1:4">
      <c r="A59" s="8">
        <v>58</v>
      </c>
      <c r="B59" s="9" t="s">
        <v>359</v>
      </c>
      <c r="C59" s="9"/>
      <c r="D59" t="s">
        <v>5</v>
      </c>
    </row>
    <row r="60" ht="18.5" customHeight="1" spans="1:4">
      <c r="A60" s="8">
        <v>59</v>
      </c>
      <c r="B60" s="9" t="s">
        <v>361</v>
      </c>
      <c r="C60" s="9"/>
      <c r="D60" t="s">
        <v>5</v>
      </c>
    </row>
    <row r="61" ht="18.5" customHeight="1" spans="1:4">
      <c r="A61" s="8">
        <v>60</v>
      </c>
      <c r="B61" s="9" t="s">
        <v>362</v>
      </c>
      <c r="C61" s="9"/>
      <c r="D61" t="s">
        <v>5</v>
      </c>
    </row>
    <row r="62" ht="18.5" customHeight="1" spans="1:4">
      <c r="A62" s="8">
        <v>61</v>
      </c>
      <c r="B62" s="9" t="s">
        <v>3887</v>
      </c>
      <c r="C62" s="9"/>
      <c r="D62" t="s">
        <v>5</v>
      </c>
    </row>
    <row r="63" ht="18.5" customHeight="1" spans="1:4">
      <c r="A63" s="8">
        <v>62</v>
      </c>
      <c r="B63" s="9" t="s">
        <v>367</v>
      </c>
      <c r="C63" s="9"/>
      <c r="D63" t="s">
        <v>5</v>
      </c>
    </row>
    <row r="64" ht="18.5" customHeight="1" spans="1:4">
      <c r="A64" s="8">
        <v>63</v>
      </c>
      <c r="B64" s="9" t="s">
        <v>369</v>
      </c>
      <c r="C64" s="9"/>
      <c r="D64" t="s">
        <v>5</v>
      </c>
    </row>
    <row r="65" ht="18.5" customHeight="1" spans="1:4">
      <c r="A65" s="8">
        <v>64</v>
      </c>
      <c r="B65" s="9" t="s">
        <v>378</v>
      </c>
      <c r="C65" s="9"/>
      <c r="D65" t="s">
        <v>5</v>
      </c>
    </row>
    <row r="66" ht="18.5" customHeight="1" spans="1:4">
      <c r="A66" s="8">
        <v>65</v>
      </c>
      <c r="B66" s="9" t="s">
        <v>381</v>
      </c>
      <c r="C66" s="9"/>
      <c r="D66" t="s">
        <v>5</v>
      </c>
    </row>
    <row r="67" ht="18.5" customHeight="1" spans="1:4">
      <c r="A67" s="8">
        <v>66</v>
      </c>
      <c r="B67" s="9" t="s">
        <v>383</v>
      </c>
      <c r="C67" s="9"/>
      <c r="D67" t="s">
        <v>5</v>
      </c>
    </row>
    <row r="68" ht="18.5" customHeight="1" spans="1:4">
      <c r="A68" s="8">
        <v>67</v>
      </c>
      <c r="B68" s="9" t="s">
        <v>384</v>
      </c>
      <c r="C68" s="9"/>
      <c r="D68" t="s">
        <v>5</v>
      </c>
    </row>
    <row r="69" ht="18.5" customHeight="1" spans="1:4">
      <c r="A69" s="8">
        <v>68</v>
      </c>
      <c r="B69" s="9" t="s">
        <v>385</v>
      </c>
      <c r="C69" s="9"/>
      <c r="D69" t="s">
        <v>5</v>
      </c>
    </row>
    <row r="70" ht="18.5" customHeight="1" spans="1:4">
      <c r="A70" s="8">
        <v>69</v>
      </c>
      <c r="B70" s="9" t="s">
        <v>388</v>
      </c>
      <c r="C70" s="9"/>
      <c r="D70" t="s">
        <v>5</v>
      </c>
    </row>
    <row r="71" ht="18.5" customHeight="1" spans="1:4">
      <c r="A71" s="8">
        <v>70</v>
      </c>
      <c r="B71" s="9" t="s">
        <v>393</v>
      </c>
      <c r="C71" s="9"/>
      <c r="D71" t="s">
        <v>5</v>
      </c>
    </row>
    <row r="72" ht="18.5" customHeight="1" spans="1:4">
      <c r="A72" s="8">
        <v>71</v>
      </c>
      <c r="B72" s="9" t="s">
        <v>394</v>
      </c>
      <c r="C72" s="9"/>
      <c r="D72" t="s">
        <v>5</v>
      </c>
    </row>
    <row r="73" ht="18.5" customHeight="1" spans="1:4">
      <c r="A73" s="8">
        <v>72</v>
      </c>
      <c r="B73" s="9" t="s">
        <v>395</v>
      </c>
      <c r="C73" s="9"/>
      <c r="D73" t="s">
        <v>5</v>
      </c>
    </row>
    <row r="74" ht="18.5" customHeight="1" spans="1:4">
      <c r="A74" s="8">
        <v>73</v>
      </c>
      <c r="B74" s="9" t="s">
        <v>397</v>
      </c>
      <c r="C74" s="9"/>
      <c r="D74" t="s">
        <v>5</v>
      </c>
    </row>
    <row r="75" ht="18.5" customHeight="1" spans="1:4">
      <c r="A75" s="8">
        <v>74</v>
      </c>
      <c r="B75" s="9" t="s">
        <v>399</v>
      </c>
      <c r="C75" s="9"/>
      <c r="D75" t="s">
        <v>5</v>
      </c>
    </row>
    <row r="76" ht="18.5" customHeight="1" spans="1:4">
      <c r="A76" s="8">
        <v>75</v>
      </c>
      <c r="B76" s="9" t="s">
        <v>404</v>
      </c>
      <c r="C76" s="9"/>
      <c r="D76" t="s">
        <v>5</v>
      </c>
    </row>
    <row r="77" ht="18.5" customHeight="1" spans="1:4">
      <c r="A77" s="8">
        <v>76</v>
      </c>
      <c r="B77" s="9" t="s">
        <v>405</v>
      </c>
      <c r="C77" s="9"/>
      <c r="D77" t="s">
        <v>5</v>
      </c>
    </row>
    <row r="78" ht="18.5" customHeight="1" spans="1:4">
      <c r="A78" s="8">
        <v>77</v>
      </c>
      <c r="B78" s="9" t="s">
        <v>407</v>
      </c>
      <c r="C78" s="9"/>
      <c r="D78" t="s">
        <v>5</v>
      </c>
    </row>
    <row r="79" ht="18.5" customHeight="1" spans="1:4">
      <c r="A79" s="8">
        <v>78</v>
      </c>
      <c r="B79" s="9" t="s">
        <v>408</v>
      </c>
      <c r="C79" s="9"/>
      <c r="D79" t="s">
        <v>5</v>
      </c>
    </row>
    <row r="80" ht="18.5" customHeight="1" spans="1:4">
      <c r="A80" s="8">
        <v>79</v>
      </c>
      <c r="B80" s="9" t="s">
        <v>409</v>
      </c>
      <c r="C80" s="9"/>
      <c r="D80" t="s">
        <v>5</v>
      </c>
    </row>
    <row r="81" ht="18.5" customHeight="1" spans="1:4">
      <c r="A81" s="8">
        <v>80</v>
      </c>
      <c r="B81" s="9" t="s">
        <v>447</v>
      </c>
      <c r="C81" s="9"/>
      <c r="D81" t="s">
        <v>5</v>
      </c>
    </row>
    <row r="82" ht="18.5" customHeight="1" spans="1:4">
      <c r="A82" s="8">
        <v>81</v>
      </c>
      <c r="B82" s="9" t="s">
        <v>474</v>
      </c>
      <c r="C82" s="9"/>
      <c r="D82" t="s">
        <v>5</v>
      </c>
    </row>
    <row r="83" ht="18.5" customHeight="1" spans="1:4">
      <c r="A83" s="8">
        <v>82</v>
      </c>
      <c r="B83" s="9" t="s">
        <v>501</v>
      </c>
      <c r="C83" s="9"/>
      <c r="D83" t="s">
        <v>5</v>
      </c>
    </row>
    <row r="84" ht="18.5" customHeight="1" spans="1:4">
      <c r="A84" s="8">
        <v>83</v>
      </c>
      <c r="B84" s="9" t="s">
        <v>504</v>
      </c>
      <c r="C84" s="9"/>
      <c r="D84" t="s">
        <v>5</v>
      </c>
    </row>
    <row r="85" ht="18.5" customHeight="1" spans="1:4">
      <c r="A85" s="8">
        <v>84</v>
      </c>
      <c r="B85" s="9" t="s">
        <v>505</v>
      </c>
      <c r="C85" s="9"/>
      <c r="D85" t="s">
        <v>5</v>
      </c>
    </row>
    <row r="86" ht="18.5" customHeight="1" spans="1:4">
      <c r="A86" s="8">
        <v>85</v>
      </c>
      <c r="B86" s="9" t="s">
        <v>552</v>
      </c>
      <c r="C86" s="9"/>
      <c r="D86" t="s">
        <v>5</v>
      </c>
    </row>
    <row r="87" ht="18.5" customHeight="1" spans="1:4">
      <c r="A87" s="8">
        <v>86</v>
      </c>
      <c r="B87" s="9" t="s">
        <v>557</v>
      </c>
      <c r="C87" s="9"/>
      <c r="D87" t="s">
        <v>5</v>
      </c>
    </row>
    <row r="88" ht="18.5" customHeight="1" spans="1:4">
      <c r="A88" s="8">
        <v>87</v>
      </c>
      <c r="B88" s="9" t="s">
        <v>586</v>
      </c>
      <c r="C88" s="9"/>
      <c r="D88" t="s">
        <v>5</v>
      </c>
    </row>
    <row r="89" ht="18.5" customHeight="1" spans="1:4">
      <c r="A89" s="8">
        <v>88</v>
      </c>
      <c r="B89" s="9" t="s">
        <v>627</v>
      </c>
      <c r="C89" s="9"/>
      <c r="D89" t="s">
        <v>5</v>
      </c>
    </row>
    <row r="90" ht="18.5" customHeight="1" spans="1:4">
      <c r="A90" s="8">
        <v>89</v>
      </c>
      <c r="B90" s="9" t="s">
        <v>630</v>
      </c>
      <c r="C90" s="9"/>
      <c r="D90" t="s">
        <v>5</v>
      </c>
    </row>
    <row r="91" ht="18.5" customHeight="1" spans="1:4">
      <c r="A91" s="8">
        <v>90</v>
      </c>
      <c r="B91" s="9" t="s">
        <v>633</v>
      </c>
      <c r="C91" s="9"/>
      <c r="D91" t="s">
        <v>5</v>
      </c>
    </row>
    <row r="92" ht="18.5" customHeight="1" spans="1:4">
      <c r="A92" s="8">
        <v>91</v>
      </c>
      <c r="B92" s="9" t="s">
        <v>694</v>
      </c>
      <c r="C92" s="9"/>
      <c r="D92" t="s">
        <v>5</v>
      </c>
    </row>
    <row r="93" ht="18.5" customHeight="1" spans="1:4">
      <c r="A93" s="8">
        <v>92</v>
      </c>
      <c r="B93" s="9" t="s">
        <v>708</v>
      </c>
      <c r="C93" s="9"/>
      <c r="D93" t="s">
        <v>5</v>
      </c>
    </row>
    <row r="94" ht="18.5" customHeight="1" spans="1:4">
      <c r="A94" s="8">
        <v>93</v>
      </c>
      <c r="B94" s="9" t="s">
        <v>745</v>
      </c>
      <c r="C94" s="9"/>
      <c r="D94" t="s">
        <v>5</v>
      </c>
    </row>
    <row r="95" ht="18.5" customHeight="1" spans="1:4">
      <c r="A95" s="8">
        <v>94</v>
      </c>
      <c r="B95" s="9" t="s">
        <v>748</v>
      </c>
      <c r="C95" s="9"/>
      <c r="D95" t="s">
        <v>5</v>
      </c>
    </row>
    <row r="96" ht="18.5" customHeight="1" spans="1:4">
      <c r="A96" s="8">
        <v>95</v>
      </c>
      <c r="B96" s="9" t="s">
        <v>753</v>
      </c>
      <c r="C96" s="9"/>
      <c r="D96" t="s">
        <v>5</v>
      </c>
    </row>
    <row r="97" ht="18.5" customHeight="1" spans="1:4">
      <c r="A97" s="8">
        <v>96</v>
      </c>
      <c r="B97" s="9" t="s">
        <v>756</v>
      </c>
      <c r="C97" s="9"/>
      <c r="D97" t="s">
        <v>5</v>
      </c>
    </row>
    <row r="98" ht="18.5" customHeight="1" spans="1:4">
      <c r="A98" s="8">
        <v>97</v>
      </c>
      <c r="B98" s="9" t="s">
        <v>758</v>
      </c>
      <c r="C98" s="9"/>
      <c r="D98" t="s">
        <v>5</v>
      </c>
    </row>
    <row r="99" ht="18.5" customHeight="1" spans="1:4">
      <c r="A99" s="8">
        <v>98</v>
      </c>
      <c r="B99" s="9" t="s">
        <v>760</v>
      </c>
      <c r="C99" s="9"/>
      <c r="D99" t="s">
        <v>5</v>
      </c>
    </row>
    <row r="100" ht="18.5" customHeight="1" spans="1:4">
      <c r="A100" s="8">
        <v>99</v>
      </c>
      <c r="B100" s="9" t="s">
        <v>772</v>
      </c>
      <c r="C100" s="9"/>
      <c r="D100" t="s">
        <v>5</v>
      </c>
    </row>
    <row r="101" ht="18.5" customHeight="1" spans="1:4">
      <c r="A101" s="8">
        <v>100</v>
      </c>
      <c r="B101" s="9" t="s">
        <v>796</v>
      </c>
      <c r="C101" s="9"/>
      <c r="D101" t="s">
        <v>5</v>
      </c>
    </row>
    <row r="102" ht="18.5" customHeight="1" spans="1:4">
      <c r="A102" s="8">
        <v>101</v>
      </c>
      <c r="B102" s="9" t="s">
        <v>801</v>
      </c>
      <c r="C102" s="9"/>
      <c r="D102" t="s">
        <v>5</v>
      </c>
    </row>
    <row r="103" ht="18.5" customHeight="1" spans="1:4">
      <c r="A103" s="8">
        <v>102</v>
      </c>
      <c r="B103" s="9" t="s">
        <v>803</v>
      </c>
      <c r="C103" s="9"/>
      <c r="D103" t="s">
        <v>5</v>
      </c>
    </row>
    <row r="104" ht="18.5" customHeight="1" spans="1:4">
      <c r="A104" s="8">
        <v>103</v>
      </c>
      <c r="B104" s="9" t="s">
        <v>809</v>
      </c>
      <c r="C104" s="9"/>
      <c r="D104" t="s">
        <v>5</v>
      </c>
    </row>
    <row r="105" ht="18.5" customHeight="1" spans="1:4">
      <c r="A105" s="8">
        <v>104</v>
      </c>
      <c r="B105" s="9" t="s">
        <v>843</v>
      </c>
      <c r="C105" s="9"/>
      <c r="D105" t="s">
        <v>5</v>
      </c>
    </row>
    <row r="106" ht="18.5" customHeight="1" spans="1:4">
      <c r="A106" s="8">
        <v>105</v>
      </c>
      <c r="B106" s="9" t="s">
        <v>846</v>
      </c>
      <c r="C106" s="9"/>
      <c r="D106" t="s">
        <v>5</v>
      </c>
    </row>
    <row r="107" ht="18.5" customHeight="1" spans="1:4">
      <c r="A107" s="8">
        <v>106</v>
      </c>
      <c r="B107" s="9" t="s">
        <v>849</v>
      </c>
      <c r="C107" s="9"/>
      <c r="D107" t="s">
        <v>5</v>
      </c>
    </row>
    <row r="108" ht="18.5" customHeight="1" spans="1:4">
      <c r="A108" s="8">
        <v>107</v>
      </c>
      <c r="B108" s="9" t="s">
        <v>850</v>
      </c>
      <c r="C108" s="9"/>
      <c r="D108" t="s">
        <v>5</v>
      </c>
    </row>
    <row r="109" ht="18.5" customHeight="1" spans="1:4">
      <c r="A109" s="8">
        <v>108</v>
      </c>
      <c r="B109" s="9" t="s">
        <v>853</v>
      </c>
      <c r="C109" s="9"/>
      <c r="D109" t="s">
        <v>5</v>
      </c>
    </row>
    <row r="110" ht="18.5" customHeight="1" spans="1:4">
      <c r="A110" s="8">
        <v>109</v>
      </c>
      <c r="B110" s="9" t="s">
        <v>855</v>
      </c>
      <c r="C110" s="9"/>
      <c r="D110" t="s">
        <v>5</v>
      </c>
    </row>
    <row r="111" ht="18.5" customHeight="1" spans="1:4">
      <c r="A111" s="8">
        <v>110</v>
      </c>
      <c r="B111" s="9" t="s">
        <v>857</v>
      </c>
      <c r="C111" s="9"/>
      <c r="D111" t="s">
        <v>5</v>
      </c>
    </row>
    <row r="112" ht="18.5" customHeight="1" spans="1:4">
      <c r="A112" s="8">
        <v>111</v>
      </c>
      <c r="B112" s="9" t="s">
        <v>942</v>
      </c>
      <c r="C112" s="9"/>
      <c r="D112" t="s">
        <v>5</v>
      </c>
    </row>
    <row r="113" ht="18.5" customHeight="1" spans="1:4">
      <c r="A113" s="8">
        <v>112</v>
      </c>
      <c r="B113" s="9" t="s">
        <v>901</v>
      </c>
      <c r="C113" s="9"/>
      <c r="D113" t="s">
        <v>5</v>
      </c>
    </row>
    <row r="114" ht="18.5" customHeight="1" spans="1:4">
      <c r="A114" s="8">
        <v>113</v>
      </c>
      <c r="B114" s="9" t="s">
        <v>970</v>
      </c>
      <c r="C114" s="9"/>
      <c r="D114" t="s">
        <v>5</v>
      </c>
    </row>
    <row r="115" ht="18.5" customHeight="1" spans="1:4">
      <c r="A115" s="8">
        <v>114</v>
      </c>
      <c r="B115" s="9" t="s">
        <v>950</v>
      </c>
      <c r="C115" s="9"/>
      <c r="D115" t="s">
        <v>5</v>
      </c>
    </row>
    <row r="116" ht="18.5" customHeight="1" spans="1:4">
      <c r="A116" s="8">
        <v>115</v>
      </c>
      <c r="B116" s="9" t="s">
        <v>973</v>
      </c>
      <c r="C116" s="9"/>
      <c r="D116" t="s">
        <v>5</v>
      </c>
    </row>
    <row r="117" ht="18.5" customHeight="1" spans="1:4">
      <c r="A117" s="8">
        <v>116</v>
      </c>
      <c r="B117" s="9" t="s">
        <v>974</v>
      </c>
      <c r="C117" s="9"/>
      <c r="D117" t="s">
        <v>5</v>
      </c>
    </row>
    <row r="118" ht="18.5" customHeight="1" spans="1:4">
      <c r="A118" s="8">
        <v>117</v>
      </c>
      <c r="B118" s="9" t="s">
        <v>975</v>
      </c>
      <c r="C118" s="9"/>
      <c r="D118" t="s">
        <v>5</v>
      </c>
    </row>
    <row r="119" ht="18.5" customHeight="1" spans="1:4">
      <c r="A119" s="8">
        <v>118</v>
      </c>
      <c r="B119" s="9" t="s">
        <v>976</v>
      </c>
      <c r="C119" s="9"/>
      <c r="D119" t="s">
        <v>5</v>
      </c>
    </row>
    <row r="120" ht="18.5" customHeight="1" spans="1:4">
      <c r="A120" s="8">
        <v>119</v>
      </c>
      <c r="B120" s="9" t="s">
        <v>985</v>
      </c>
      <c r="C120" s="9"/>
      <c r="D120" t="s">
        <v>5</v>
      </c>
    </row>
    <row r="121" ht="18.5" customHeight="1" spans="1:4">
      <c r="A121" s="8">
        <v>120</v>
      </c>
      <c r="B121" s="9" t="s">
        <v>991</v>
      </c>
      <c r="C121" s="9"/>
      <c r="D121" t="s">
        <v>5</v>
      </c>
    </row>
    <row r="122" ht="18.5" customHeight="1" spans="1:4">
      <c r="A122" s="8">
        <v>121</v>
      </c>
      <c r="B122" s="9" t="s">
        <v>955</v>
      </c>
      <c r="C122" s="9"/>
      <c r="D122" t="s">
        <v>5</v>
      </c>
    </row>
    <row r="123" ht="18.5" customHeight="1" spans="1:4">
      <c r="A123" s="8">
        <v>122</v>
      </c>
      <c r="B123" s="9" t="s">
        <v>1007</v>
      </c>
      <c r="C123" s="9"/>
      <c r="D123" t="s">
        <v>5</v>
      </c>
    </row>
    <row r="124" ht="18.5" customHeight="1" spans="1:4">
      <c r="A124" s="8">
        <v>123</v>
      </c>
      <c r="B124" s="9" t="s">
        <v>1025</v>
      </c>
      <c r="C124" s="9"/>
      <c r="D124" t="s">
        <v>5</v>
      </c>
    </row>
    <row r="125" ht="18.5" customHeight="1" spans="1:4">
      <c r="A125" s="8">
        <v>124</v>
      </c>
      <c r="B125" s="9" t="s">
        <v>1059</v>
      </c>
      <c r="C125" s="9"/>
      <c r="D125" t="s">
        <v>5</v>
      </c>
    </row>
    <row r="126" ht="18.5" customHeight="1" spans="1:4">
      <c r="A126" s="8">
        <v>125</v>
      </c>
      <c r="B126" s="9" t="s">
        <v>1103</v>
      </c>
      <c r="C126" s="9"/>
      <c r="D126" t="s">
        <v>5</v>
      </c>
    </row>
    <row r="127" ht="18.5" customHeight="1" spans="1:4">
      <c r="A127" s="8">
        <v>126</v>
      </c>
      <c r="B127" s="9" t="s">
        <v>1110</v>
      </c>
      <c r="C127" s="9"/>
      <c r="D127" t="s">
        <v>5</v>
      </c>
    </row>
    <row r="128" ht="18.5" customHeight="1" spans="1:4">
      <c r="A128" s="8">
        <v>127</v>
      </c>
      <c r="B128" s="9" t="s">
        <v>1112</v>
      </c>
      <c r="C128" s="9"/>
      <c r="D128" t="s">
        <v>5</v>
      </c>
    </row>
    <row r="129" ht="18.5" customHeight="1" spans="1:4">
      <c r="A129" s="8">
        <v>128</v>
      </c>
      <c r="B129" s="9" t="s">
        <v>1113</v>
      </c>
      <c r="C129" s="9"/>
      <c r="D129" t="s">
        <v>5</v>
      </c>
    </row>
    <row r="130" ht="18.5" customHeight="1" spans="1:4">
      <c r="A130" s="8">
        <v>129</v>
      </c>
      <c r="B130" s="9" t="s">
        <v>1115</v>
      </c>
      <c r="C130" s="9"/>
      <c r="D130" t="s">
        <v>5</v>
      </c>
    </row>
    <row r="131" ht="18.5" customHeight="1" spans="1:4">
      <c r="A131" s="8">
        <v>130</v>
      </c>
      <c r="B131" s="9" t="s">
        <v>1122</v>
      </c>
      <c r="C131" s="9"/>
      <c r="D131" t="s">
        <v>5</v>
      </c>
    </row>
    <row r="132" ht="18.5" customHeight="1" spans="1:4">
      <c r="A132" s="8">
        <v>131</v>
      </c>
      <c r="B132" s="9" t="s">
        <v>1123</v>
      </c>
      <c r="C132" s="9"/>
      <c r="D132" t="s">
        <v>5</v>
      </c>
    </row>
    <row r="133" ht="18.5" customHeight="1" spans="1:4">
      <c r="A133" s="8">
        <v>132</v>
      </c>
      <c r="B133" s="9" t="s">
        <v>1125</v>
      </c>
      <c r="C133" s="9"/>
      <c r="D133" t="s">
        <v>5</v>
      </c>
    </row>
    <row r="134" ht="18.5" customHeight="1" spans="1:4">
      <c r="A134" s="8">
        <v>133</v>
      </c>
      <c r="B134" s="9" t="s">
        <v>1155</v>
      </c>
      <c r="C134" s="9"/>
      <c r="D134" t="s">
        <v>5</v>
      </c>
    </row>
    <row r="135" ht="18.5" customHeight="1" spans="1:4">
      <c r="A135" s="8">
        <v>134</v>
      </c>
      <c r="B135" s="9" t="s">
        <v>1190</v>
      </c>
      <c r="C135" s="9"/>
      <c r="D135" t="s">
        <v>5</v>
      </c>
    </row>
    <row r="136" ht="18.5" customHeight="1" spans="1:4">
      <c r="A136" s="8">
        <v>135</v>
      </c>
      <c r="B136" s="9" t="s">
        <v>1196</v>
      </c>
      <c r="C136" s="9"/>
      <c r="D136" t="s">
        <v>5</v>
      </c>
    </row>
    <row r="137" ht="18.5" customHeight="1" spans="1:4">
      <c r="A137" s="8">
        <v>136</v>
      </c>
      <c r="B137" s="9" t="s">
        <v>1205</v>
      </c>
      <c r="C137" s="9"/>
      <c r="D137" t="s">
        <v>5</v>
      </c>
    </row>
    <row r="138" ht="18.5" customHeight="1" spans="1:4">
      <c r="A138" s="8">
        <v>137</v>
      </c>
      <c r="B138" s="9" t="s">
        <v>1211</v>
      </c>
      <c r="C138" s="9"/>
      <c r="D138" t="s">
        <v>5</v>
      </c>
    </row>
    <row r="139" ht="18.5" customHeight="1" spans="1:4">
      <c r="A139" s="8">
        <v>138</v>
      </c>
      <c r="B139" s="9" t="s">
        <v>63</v>
      </c>
      <c r="C139" s="9"/>
      <c r="D139" t="s">
        <v>5</v>
      </c>
    </row>
    <row r="140" ht="18.5" customHeight="1" spans="1:4">
      <c r="A140" s="8">
        <v>139</v>
      </c>
      <c r="B140" s="9" t="s">
        <v>64</v>
      </c>
      <c r="C140" s="9"/>
      <c r="D140" t="s">
        <v>5</v>
      </c>
    </row>
    <row r="141" ht="18.5" customHeight="1" spans="1:4">
      <c r="A141" s="8">
        <v>140</v>
      </c>
      <c r="B141" s="9" t="s">
        <v>65</v>
      </c>
      <c r="C141" s="9"/>
      <c r="D141" t="s">
        <v>5</v>
      </c>
    </row>
    <row r="142" ht="18.5" customHeight="1" spans="1:4">
      <c r="A142" s="8">
        <v>141</v>
      </c>
      <c r="B142" s="9" t="s">
        <v>485</v>
      </c>
      <c r="C142" s="9"/>
      <c r="D142" t="s">
        <v>5</v>
      </c>
    </row>
    <row r="143" ht="18.5" customHeight="1" spans="1:4">
      <c r="A143" s="8">
        <v>142</v>
      </c>
      <c r="B143" s="9" t="s">
        <v>893</v>
      </c>
      <c r="C143" s="9"/>
      <c r="D143" t="s">
        <v>5</v>
      </c>
    </row>
    <row r="144" ht="18.5" customHeight="1" spans="1:4">
      <c r="A144" s="8">
        <v>143</v>
      </c>
      <c r="B144" s="9" t="s">
        <v>377</v>
      </c>
      <c r="C144" s="9"/>
      <c r="D144" t="s">
        <v>5</v>
      </c>
    </row>
    <row r="145" ht="18.5" customHeight="1" spans="1:4">
      <c r="A145" s="8">
        <v>144</v>
      </c>
      <c r="B145" s="9" t="s">
        <v>71</v>
      </c>
      <c r="C145" s="9"/>
      <c r="D145" t="s">
        <v>5</v>
      </c>
    </row>
    <row r="146" ht="18.5" customHeight="1" spans="1:4">
      <c r="A146" s="8">
        <v>145</v>
      </c>
      <c r="B146" s="9" t="s">
        <v>3884</v>
      </c>
      <c r="C146" s="9"/>
      <c r="D146" t="s">
        <v>5</v>
      </c>
    </row>
    <row r="147" ht="18.5" customHeight="1" spans="1:4">
      <c r="A147" s="8">
        <v>146</v>
      </c>
      <c r="B147" s="9" t="s">
        <v>3879</v>
      </c>
      <c r="C147" s="9"/>
      <c r="D147" t="s">
        <v>5</v>
      </c>
    </row>
    <row r="148" ht="18.5" customHeight="1" spans="1:4">
      <c r="A148" s="8">
        <v>147</v>
      </c>
      <c r="B148" s="9" t="s">
        <v>1238</v>
      </c>
      <c r="C148" s="9"/>
      <c r="D148" t="s">
        <v>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workbookViewId="0">
      <selection activeCell="C16" sqref="C16"/>
    </sheetView>
  </sheetViews>
  <sheetFormatPr defaultColWidth="9" defaultRowHeight="13.5" outlineLevelRow="5"/>
  <cols>
    <col min="2" max="2" width="30.5" customWidth="1"/>
    <col min="3" max="3" width="26.5" customWidth="1"/>
  </cols>
  <sheetData>
    <row r="1" spans="1:11">
      <c r="A1" s="1" t="s">
        <v>3888</v>
      </c>
    </row>
    <row r="2" ht="15" spans="1:11">
      <c r="A2" s="2" t="s">
        <v>0</v>
      </c>
      <c r="B2" s="2" t="s">
        <v>1</v>
      </c>
      <c r="C2" s="2" t="s">
        <v>2</v>
      </c>
      <c r="D2" s="2" t="s">
        <v>3</v>
      </c>
      <c r="E2" s="2" t="s">
        <v>4</v>
      </c>
      <c r="F2" s="2">
        <v>985</v>
      </c>
      <c r="G2" s="2">
        <v>211</v>
      </c>
      <c r="H2" s="2" t="s">
        <v>5</v>
      </c>
      <c r="I2" s="2" t="s">
        <v>6</v>
      </c>
      <c r="J2" s="2" t="s">
        <v>7</v>
      </c>
      <c r="K2" s="2" t="s">
        <v>8</v>
      </c>
    </row>
    <row r="3" ht="16.5" spans="1:11">
      <c r="A3" s="3">
        <v>1</v>
      </c>
      <c r="B3" s="3" t="s">
        <v>9</v>
      </c>
      <c r="C3" s="4" t="e">
        <f t="array" ref="C3">VLOOKUP(寻找的值,所在的表,2,0)</f>
        <v>#NAME?</v>
      </c>
      <c r="D3" s="4" t="e">
        <f t="array" ref="D3">VLOOKUP(寻找的值,所在的表,3,0)</f>
        <v>#NAME?</v>
      </c>
      <c r="E3" s="4" t="e">
        <f>VLOOKUP(寻找的值,所在的表,4,0)</f>
        <v>#NAME?</v>
      </c>
      <c r="F3" s="4" t="e">
        <f t="array" ref="F3">VLOOKUP(寻找的值,所在的表,5,0)</f>
        <v>#NAME?</v>
      </c>
      <c r="G3" s="4" t="e">
        <f t="array" ref="G3">VLOOKUP(寻找的值,所在的表,6,0)</f>
        <v>#NAME?</v>
      </c>
      <c r="H3" s="4" t="e">
        <f t="array" ref="H3">VLOOKUP(寻找的值,所在的表,7,0)</f>
        <v>#NAME?</v>
      </c>
      <c r="I3" s="4" t="e">
        <f t="array" ref="I3">VLOOKUP(寻找的值,所在的表,8,0)</f>
        <v>#NAME?</v>
      </c>
      <c r="J3" s="4" t="e">
        <f t="array" ref="J3">VLOOKUP(寻找的值,所在的表,9,0)</f>
        <v>#NAME?</v>
      </c>
      <c r="K3" s="5" t="e">
        <f t="array" ref="K3">VLOOKUP(寻找的值,所在的表,10,0)</f>
        <v>#NAME?</v>
      </c>
    </row>
    <row r="5" spans="1:11">
      <c r="B5" t="s">
        <v>1</v>
      </c>
      <c r="C5" t="s">
        <v>3889</v>
      </c>
      <c r="D5" t="s">
        <v>3890</v>
      </c>
    </row>
    <row r="6" spans="1:11">
      <c r="A6" t="s">
        <v>3891</v>
      </c>
      <c r="B6" s="6" t="s">
        <v>3892</v>
      </c>
      <c r="C6" t="str">
        <f>LEFT(B6,FIND("(",B6)-1)</f>
        <v>陆军工程大学06专业组</v>
      </c>
      <c r="D6" t="str">
        <f>MID(B6,FIND("(",B6),LEN(B6)-FIND("(",B6)+1)</f>
        <v>(不限)</v>
      </c>
    </row>
  </sheetData>
  <pageMargins left="0.75" right="0.75" top="1" bottom="1" header="0.5" footer="0.5"/>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全部</vt:lpstr>
      <vt:lpstr>教育部大学名单</vt:lpstr>
      <vt:lpstr>汇总</vt:lpstr>
      <vt:lpstr>本科</vt:lpstr>
      <vt:lpstr>专科</vt:lpstr>
      <vt:lpstr>985</vt:lpstr>
      <vt:lpstr>211</vt:lpstr>
      <vt:lpstr>双一流</vt:lpstr>
      <vt:lpstr>公式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2023-05-12T11:15:00Z</dcterms:created>
  <dcterms:modified xsi:type="dcterms:W3CDTF">2026-06-11T04:16:51Z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201971AFC954408FA4208FD8C7969BDE_12</vt:lpwstr>
  </property>
  <property fmtid="{D5CDD505-2E9C-101B-9397-08002B2CF9AE}" pid="4" name="CalculationRule">
    <vt:i4>0</vt:i4>
  </property>
</Properties>
</file>